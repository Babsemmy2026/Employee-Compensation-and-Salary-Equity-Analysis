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babsn\Downloads\DATA PROJECTS\Employee_Compensation Project\"/>
    </mc:Choice>
  </mc:AlternateContent>
  <xr:revisionPtr revIDLastSave="0" documentId="13_ncr:1_{9273681C-DEAD-462E-A714-CE2174886898}" xr6:coauthVersionLast="47" xr6:coauthVersionMax="47" xr10:uidLastSave="{00000000-0000-0000-0000-000000000000}"/>
  <bookViews>
    <workbookView xWindow="19090" yWindow="-110" windowWidth="19420" windowHeight="10300" activeTab="3" xr2:uid="{00000000-000D-0000-FFFF-FFFF00000000}"/>
  </bookViews>
  <sheets>
    <sheet name="Compensation_Cleaned" sheetId="5" r:id="rId1"/>
    <sheet name="Dashboard_Plan" sheetId="13" r:id="rId2"/>
    <sheet name="Supporting_Pivots" sheetId="16" r:id="rId3"/>
    <sheet name="Dashboard" sheetId="17" r:id="rId4"/>
  </sheets>
  <definedNames>
    <definedName name="ExternalData_2" localSheetId="0" hidden="1">'Compensation_Cleaned'!$A$1:$Q$4991</definedName>
    <definedName name="Slicer_Department1">#N/A</definedName>
    <definedName name="Slicer_Educational_Level_Slicer">#N/A</definedName>
    <definedName name="Slicer_Employment_Type1">#N/A</definedName>
    <definedName name="Slicer_Gender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16" l="1"/>
  <c r="I2" i="5" a="1"/>
  <c r="I3" i="5" a="1"/>
  <c r="I4" i="5" a="1"/>
  <c r="I5" i="5" a="1"/>
  <c r="I6" i="5" a="1"/>
  <c r="I7" i="5" a="1"/>
  <c r="I8" i="5" a="1"/>
  <c r="I9" i="5" a="1"/>
  <c r="I10" i="5" a="1"/>
  <c r="I11" i="5" a="1"/>
  <c r="I12" i="5" a="1"/>
  <c r="I13" i="5" a="1"/>
  <c r="I14" i="5" a="1"/>
  <c r="I15" i="5" a="1"/>
  <c r="I16" i="5" a="1"/>
  <c r="I17" i="5" a="1"/>
  <c r="I18" i="5" a="1"/>
  <c r="I19" i="5" a="1"/>
  <c r="I20" i="5" a="1"/>
  <c r="I21" i="5" a="1"/>
  <c r="I22" i="5" a="1"/>
  <c r="I23" i="5" a="1"/>
  <c r="I24" i="5" a="1"/>
  <c r="I25" i="5" a="1"/>
  <c r="I26" i="5" a="1"/>
  <c r="I27" i="5" a="1"/>
  <c r="I28" i="5" a="1"/>
  <c r="I29" i="5" a="1"/>
  <c r="I30" i="5" a="1"/>
  <c r="I31" i="5" a="1"/>
  <c r="I32" i="5" a="1"/>
  <c r="I33" i="5" a="1"/>
  <c r="I34" i="5" a="1"/>
  <c r="I35" i="5" a="1"/>
  <c r="I36" i="5" a="1"/>
  <c r="I37" i="5" a="1"/>
  <c r="I38" i="5" a="1"/>
  <c r="I39" i="5" a="1"/>
  <c r="I40" i="5" a="1"/>
  <c r="I41" i="5" a="1"/>
  <c r="I42" i="5" a="1"/>
  <c r="I43" i="5" a="1"/>
  <c r="I44" i="5" a="1"/>
  <c r="I45" i="5" a="1"/>
  <c r="I46" i="5" a="1"/>
  <c r="I47" i="5" a="1"/>
  <c r="I48" i="5" a="1"/>
  <c r="I49" i="5" a="1"/>
  <c r="I50" i="5" a="1"/>
  <c r="I51" i="5" a="1"/>
  <c r="I52" i="5" a="1"/>
  <c r="I53" i="5" a="1"/>
  <c r="I54" i="5" a="1"/>
  <c r="I55" i="5" a="1"/>
  <c r="I56" i="5" a="1"/>
  <c r="I57" i="5" a="1"/>
  <c r="I58" i="5" a="1"/>
  <c r="I59" i="5" a="1"/>
  <c r="I60" i="5" a="1"/>
  <c r="I61" i="5" a="1"/>
  <c r="I62" i="5" a="1"/>
  <c r="I63" i="5" a="1"/>
  <c r="I64" i="5" a="1"/>
  <c r="I65" i="5" a="1"/>
  <c r="I66" i="5" a="1"/>
  <c r="I67" i="5" a="1"/>
  <c r="I68" i="5" a="1"/>
  <c r="I69" i="5" a="1"/>
  <c r="I70" i="5" a="1"/>
  <c r="I71" i="5" a="1"/>
  <c r="I72" i="5" a="1"/>
  <c r="I73" i="5" a="1"/>
  <c r="I74" i="5" a="1"/>
  <c r="I75" i="5" a="1"/>
  <c r="I76" i="5" a="1"/>
  <c r="I77" i="5" a="1"/>
  <c r="I78" i="5" a="1"/>
  <c r="I79" i="5" a="1"/>
  <c r="I80" i="5" a="1"/>
  <c r="I81" i="5" a="1"/>
  <c r="I82" i="5" a="1"/>
  <c r="I83" i="5" a="1"/>
  <c r="I84" i="5" a="1"/>
  <c r="I85" i="5" a="1"/>
  <c r="I86" i="5" a="1"/>
  <c r="I87" i="5" a="1"/>
  <c r="I88" i="5" a="1"/>
  <c r="I89" i="5" a="1"/>
  <c r="I90" i="5" a="1"/>
  <c r="I91" i="5" a="1"/>
  <c r="I92" i="5" a="1"/>
  <c r="I93" i="5" a="1"/>
  <c r="I94" i="5" a="1"/>
  <c r="I95" i="5" a="1"/>
  <c r="I96" i="5" a="1"/>
  <c r="I97" i="5" a="1"/>
  <c r="I98" i="5" a="1"/>
  <c r="I99" i="5" a="1"/>
  <c r="I100" i="5" a="1"/>
  <c r="I101" i="5" a="1"/>
  <c r="I102" i="5" a="1"/>
  <c r="I103" i="5" a="1"/>
  <c r="I104" i="5" a="1"/>
  <c r="I105" i="5" a="1"/>
  <c r="I106" i="5" a="1"/>
  <c r="I107" i="5" a="1"/>
  <c r="I108" i="5" a="1"/>
  <c r="I109" i="5" a="1"/>
  <c r="I110" i="5" a="1"/>
  <c r="I111" i="5" a="1"/>
  <c r="I112" i="5" a="1"/>
  <c r="I113" i="5" a="1"/>
  <c r="I114" i="5" a="1"/>
  <c r="I115" i="5" a="1"/>
  <c r="I116" i="5" a="1"/>
  <c r="I117" i="5" a="1"/>
  <c r="I118" i="5" a="1"/>
  <c r="I119" i="5" a="1"/>
  <c r="I120" i="5" a="1"/>
  <c r="I121" i="5" a="1"/>
  <c r="I122" i="5" a="1"/>
  <c r="I123" i="5" a="1"/>
  <c r="I124" i="5" a="1"/>
  <c r="I125" i="5" a="1"/>
  <c r="I126" i="5" a="1"/>
  <c r="I127" i="5" a="1"/>
  <c r="I128" i="5" a="1"/>
  <c r="I129" i="5" a="1"/>
  <c r="I130" i="5" a="1"/>
  <c r="I131" i="5" a="1"/>
  <c r="I132" i="5" a="1"/>
  <c r="I133" i="5" a="1"/>
  <c r="I134" i="5" a="1"/>
  <c r="I135" i="5" a="1"/>
  <c r="I136" i="5" a="1"/>
  <c r="I137" i="5" a="1"/>
  <c r="I138" i="5" a="1"/>
  <c r="I139" i="5" a="1"/>
  <c r="I140" i="5" a="1"/>
  <c r="I141" i="5" a="1"/>
  <c r="I142" i="5" a="1"/>
  <c r="I143" i="5" a="1"/>
  <c r="I144" i="5" a="1"/>
  <c r="I145" i="5" a="1"/>
  <c r="I146" i="5" a="1"/>
  <c r="I147" i="5" a="1"/>
  <c r="I148" i="5" a="1"/>
  <c r="I149" i="5" a="1"/>
  <c r="I150" i="5" a="1"/>
  <c r="I151" i="5" a="1"/>
  <c r="I152" i="5" a="1"/>
  <c r="I153" i="5" a="1"/>
  <c r="I154" i="5" a="1"/>
  <c r="I155" i="5" a="1"/>
  <c r="I156" i="5" a="1"/>
  <c r="I157" i="5" a="1"/>
  <c r="I158" i="5" a="1"/>
  <c r="I159" i="5" a="1"/>
  <c r="I160" i="5" a="1"/>
  <c r="I161" i="5" a="1"/>
  <c r="I162" i="5" a="1"/>
  <c r="I163" i="5" a="1"/>
  <c r="I164" i="5" a="1"/>
  <c r="I165" i="5" a="1"/>
  <c r="I166" i="5" a="1"/>
  <c r="I167" i="5" a="1"/>
  <c r="I168" i="5" a="1"/>
  <c r="I169" i="5" a="1"/>
  <c r="I170" i="5" a="1"/>
  <c r="I171" i="5" a="1"/>
  <c r="I172" i="5" a="1"/>
  <c r="I173" i="5" a="1"/>
  <c r="I174" i="5" a="1"/>
  <c r="I175" i="5" a="1"/>
  <c r="I176" i="5" a="1"/>
  <c r="I177" i="5" a="1"/>
  <c r="I178" i="5" a="1"/>
  <c r="I179" i="5" a="1"/>
  <c r="I180" i="5" a="1"/>
  <c r="I181" i="5" a="1"/>
  <c r="I182" i="5" a="1"/>
  <c r="I183" i="5" a="1"/>
  <c r="I184" i="5" a="1"/>
  <c r="I185" i="5" a="1"/>
  <c r="I186" i="5" a="1"/>
  <c r="I187" i="5" a="1"/>
  <c r="I188" i="5" a="1"/>
  <c r="I189" i="5" a="1"/>
  <c r="I190" i="5" a="1"/>
  <c r="I191" i="5" a="1"/>
  <c r="I192" i="5" a="1"/>
  <c r="I193" i="5" a="1"/>
  <c r="I194" i="5" a="1"/>
  <c r="I195" i="5" a="1"/>
  <c r="I196" i="5" a="1"/>
  <c r="I197" i="5" a="1"/>
  <c r="I198" i="5" a="1"/>
  <c r="I199" i="5" a="1"/>
  <c r="I200" i="5" a="1"/>
  <c r="I201" i="5" a="1"/>
  <c r="I202" i="5" a="1"/>
  <c r="I203" i="5" a="1"/>
  <c r="I204" i="5" a="1"/>
  <c r="I205" i="5" a="1"/>
  <c r="I206" i="5" a="1"/>
  <c r="I207" i="5" a="1"/>
  <c r="I208" i="5" a="1"/>
  <c r="I209" i="5" a="1"/>
  <c r="I210" i="5" a="1"/>
  <c r="I211" i="5" a="1"/>
  <c r="I212" i="5" a="1"/>
  <c r="I213" i="5" a="1"/>
  <c r="I214" i="5" a="1"/>
  <c r="I215" i="5" a="1"/>
  <c r="I216" i="5" a="1"/>
  <c r="I217" i="5" a="1"/>
  <c r="I218" i="5" a="1"/>
  <c r="I219" i="5" a="1"/>
  <c r="I220" i="5" a="1"/>
  <c r="I221" i="5" a="1"/>
  <c r="I222" i="5" a="1"/>
  <c r="I223" i="5" a="1"/>
  <c r="I224" i="5" a="1"/>
  <c r="I225" i="5" a="1"/>
  <c r="I226" i="5" a="1"/>
  <c r="I227" i="5" a="1"/>
  <c r="I228" i="5" a="1"/>
  <c r="I229" i="5" a="1"/>
  <c r="I230" i="5" a="1"/>
  <c r="I231" i="5" a="1"/>
  <c r="I232" i="5" a="1"/>
  <c r="I233" i="5" a="1"/>
  <c r="I234" i="5" a="1"/>
  <c r="I235" i="5" a="1"/>
  <c r="I236" i="5" a="1"/>
  <c r="I237" i="5" a="1"/>
  <c r="I238" i="5" a="1"/>
  <c r="I239" i="5" a="1"/>
  <c r="I240" i="5" a="1"/>
  <c r="I241" i="5" a="1"/>
  <c r="I242" i="5" a="1"/>
  <c r="I243" i="5" a="1"/>
  <c r="I244" i="5" a="1"/>
  <c r="I245" i="5" a="1"/>
  <c r="I246" i="5" a="1"/>
  <c r="I247" i="5" a="1"/>
  <c r="I248" i="5" a="1"/>
  <c r="I249" i="5" a="1"/>
  <c r="I250" i="5" a="1"/>
  <c r="I251" i="5" a="1"/>
  <c r="I252" i="5" a="1"/>
  <c r="I253" i="5" a="1"/>
  <c r="I254" i="5" a="1"/>
  <c r="I255" i="5" a="1"/>
  <c r="I256" i="5" a="1"/>
  <c r="I257" i="5" a="1"/>
  <c r="I258" i="5" a="1"/>
  <c r="I259" i="5" a="1"/>
  <c r="I260" i="5" a="1"/>
  <c r="I261" i="5" a="1"/>
  <c r="I262" i="5" a="1"/>
  <c r="I263" i="5" a="1"/>
  <c r="I264" i="5" a="1"/>
  <c r="I265" i="5" a="1"/>
  <c r="I266" i="5" a="1"/>
  <c r="I267" i="5" a="1"/>
  <c r="I268" i="5" a="1"/>
  <c r="I269" i="5" a="1"/>
  <c r="I270" i="5" a="1"/>
  <c r="I271" i="5" a="1"/>
  <c r="I272" i="5" a="1"/>
  <c r="I273" i="5" a="1"/>
  <c r="I274" i="5" a="1"/>
  <c r="I275" i="5" a="1"/>
  <c r="I276" i="5" a="1"/>
  <c r="I277" i="5" a="1"/>
  <c r="I278" i="5" a="1"/>
  <c r="I279" i="5" a="1"/>
  <c r="I280" i="5" a="1"/>
  <c r="I281" i="5" a="1"/>
  <c r="I282" i="5" a="1"/>
  <c r="I283" i="5" a="1"/>
  <c r="I284" i="5" a="1"/>
  <c r="I285" i="5" a="1"/>
  <c r="I286" i="5" a="1"/>
  <c r="I287" i="5" a="1"/>
  <c r="I288" i="5" a="1"/>
  <c r="I289" i="5" a="1"/>
  <c r="I290" i="5" a="1"/>
  <c r="I291" i="5" a="1"/>
  <c r="I292" i="5" a="1"/>
  <c r="I293" i="5" a="1"/>
  <c r="I294" i="5" a="1"/>
  <c r="I295" i="5" a="1"/>
  <c r="I296" i="5" a="1"/>
  <c r="I297" i="5" a="1"/>
  <c r="I298" i="5" a="1"/>
  <c r="I299" i="5" a="1"/>
  <c r="I300" i="5" a="1"/>
  <c r="I301" i="5" a="1"/>
  <c r="I302" i="5" a="1"/>
  <c r="I303" i="5" a="1"/>
  <c r="I304" i="5" a="1"/>
  <c r="I305" i="5" a="1"/>
  <c r="I306" i="5" a="1"/>
  <c r="I307" i="5" a="1"/>
  <c r="I308" i="5" a="1"/>
  <c r="I309" i="5" a="1"/>
  <c r="I310" i="5" a="1"/>
  <c r="I311" i="5" a="1"/>
  <c r="I312" i="5" a="1"/>
  <c r="I313" i="5" a="1"/>
  <c r="I314" i="5" a="1"/>
  <c r="I315" i="5" a="1"/>
  <c r="I316" i="5" a="1"/>
  <c r="I317" i="5" a="1"/>
  <c r="I318" i="5" a="1"/>
  <c r="I319" i="5" a="1"/>
  <c r="I320" i="5" a="1"/>
  <c r="I321" i="5" a="1"/>
  <c r="I322" i="5" a="1"/>
  <c r="I323" i="5" a="1"/>
  <c r="I324" i="5" a="1"/>
  <c r="I325" i="5" a="1"/>
  <c r="I326" i="5" a="1"/>
  <c r="I327" i="5" a="1"/>
  <c r="I328" i="5" a="1"/>
  <c r="I329" i="5" a="1"/>
  <c r="I330" i="5" a="1"/>
  <c r="I331" i="5" a="1"/>
  <c r="I332" i="5" a="1"/>
  <c r="I333" i="5" a="1"/>
  <c r="I334" i="5" a="1"/>
  <c r="I335" i="5" a="1"/>
  <c r="I336" i="5" a="1"/>
  <c r="I337" i="5" a="1"/>
  <c r="I338" i="5" a="1"/>
  <c r="I339" i="5" a="1"/>
  <c r="I340" i="5" a="1"/>
  <c r="I341" i="5" a="1"/>
  <c r="I342" i="5" a="1"/>
  <c r="I343" i="5" a="1"/>
  <c r="I344" i="5" a="1"/>
  <c r="I345" i="5" a="1"/>
  <c r="I346" i="5" a="1"/>
  <c r="I347" i="5" a="1"/>
  <c r="I348" i="5" a="1"/>
  <c r="I349" i="5" a="1"/>
  <c r="I350" i="5" a="1"/>
  <c r="I351" i="5" a="1"/>
  <c r="I352" i="5" a="1"/>
  <c r="I353" i="5" a="1"/>
  <c r="I354" i="5" a="1"/>
  <c r="I355" i="5" a="1"/>
  <c r="I356" i="5" a="1"/>
  <c r="I357" i="5" a="1"/>
  <c r="I358" i="5" a="1"/>
  <c r="I359" i="5" a="1"/>
  <c r="I360" i="5" a="1"/>
  <c r="I361" i="5" a="1"/>
  <c r="I362" i="5" a="1"/>
  <c r="I363" i="5" a="1"/>
  <c r="I364" i="5" a="1"/>
  <c r="I365" i="5" a="1"/>
  <c r="I366" i="5" a="1"/>
  <c r="I367" i="5" a="1"/>
  <c r="I368" i="5" a="1"/>
  <c r="I369" i="5" a="1"/>
  <c r="I370" i="5" a="1"/>
  <c r="I371" i="5" a="1"/>
  <c r="I372" i="5" a="1"/>
  <c r="I373" i="5" a="1"/>
  <c r="I374" i="5" a="1"/>
  <c r="I375" i="5" a="1"/>
  <c r="I376" i="5" a="1"/>
  <c r="I377" i="5" a="1"/>
  <c r="I378" i="5" a="1"/>
  <c r="I379" i="5" a="1"/>
  <c r="I380" i="5" a="1"/>
  <c r="I381" i="5" a="1"/>
  <c r="I382" i="5" a="1"/>
  <c r="I383" i="5" a="1"/>
  <c r="I384" i="5" a="1"/>
  <c r="I385" i="5" a="1"/>
  <c r="I386" i="5" a="1"/>
  <c r="I387" i="5" a="1"/>
  <c r="I388" i="5" a="1"/>
  <c r="I389" i="5" a="1"/>
  <c r="I390" i="5" a="1"/>
  <c r="I391" i="5" a="1"/>
  <c r="I392" i="5" a="1"/>
  <c r="I393" i="5" a="1"/>
  <c r="I394" i="5" a="1"/>
  <c r="I395" i="5" a="1"/>
  <c r="I396" i="5" a="1"/>
  <c r="I397" i="5" a="1"/>
  <c r="I398" i="5" a="1"/>
  <c r="I399" i="5" a="1"/>
  <c r="I400" i="5" a="1"/>
  <c r="I401" i="5" a="1"/>
  <c r="I402" i="5" a="1"/>
  <c r="I403" i="5" a="1"/>
  <c r="I404" i="5" a="1"/>
  <c r="I405" i="5" a="1"/>
  <c r="I406" i="5" a="1"/>
  <c r="I407" i="5" a="1"/>
  <c r="I408" i="5" a="1"/>
  <c r="I409" i="5" a="1"/>
  <c r="I410" i="5" a="1"/>
  <c r="I411" i="5" a="1"/>
  <c r="I412" i="5" a="1"/>
  <c r="I413" i="5" a="1"/>
  <c r="I414" i="5" a="1"/>
  <c r="I415" i="5" a="1"/>
  <c r="I416" i="5" a="1"/>
  <c r="I417" i="5" a="1"/>
  <c r="I418" i="5" a="1"/>
  <c r="I419" i="5" a="1"/>
  <c r="I420" i="5" a="1"/>
  <c r="I421" i="5" a="1"/>
  <c r="I422" i="5" a="1"/>
  <c r="I423" i="5" a="1"/>
  <c r="I424" i="5" a="1"/>
  <c r="I425" i="5" a="1"/>
  <c r="I426" i="5" a="1"/>
  <c r="I427" i="5" a="1"/>
  <c r="I428" i="5" a="1"/>
  <c r="I429" i="5" a="1"/>
  <c r="I430" i="5" a="1"/>
  <c r="I431" i="5" a="1"/>
  <c r="I432" i="5" a="1"/>
  <c r="I433" i="5" a="1"/>
  <c r="I434" i="5" a="1"/>
  <c r="I435" i="5" a="1"/>
  <c r="I436" i="5" a="1"/>
  <c r="I437" i="5" a="1"/>
  <c r="I438" i="5" a="1"/>
  <c r="I439" i="5" a="1"/>
  <c r="I440" i="5" a="1"/>
  <c r="I441" i="5" a="1"/>
  <c r="I442" i="5" a="1"/>
  <c r="I443" i="5" a="1"/>
  <c r="I444" i="5" a="1"/>
  <c r="I445" i="5" a="1"/>
  <c r="I446" i="5" a="1"/>
  <c r="I447" i="5" a="1"/>
  <c r="I448" i="5" a="1"/>
  <c r="I449" i="5" a="1"/>
  <c r="I450" i="5" a="1"/>
  <c r="I451" i="5" a="1"/>
  <c r="I452" i="5" a="1"/>
  <c r="I453" i="5" a="1"/>
  <c r="I454" i="5" a="1"/>
  <c r="I455" i="5" a="1"/>
  <c r="I456" i="5" a="1"/>
  <c r="I457" i="5" a="1"/>
  <c r="I458" i="5" a="1"/>
  <c r="I459" i="5" a="1"/>
  <c r="I460" i="5" a="1"/>
  <c r="I461" i="5" a="1"/>
  <c r="I462" i="5" a="1"/>
  <c r="I463" i="5" a="1"/>
  <c r="I464" i="5" a="1"/>
  <c r="I465" i="5" a="1"/>
  <c r="I466" i="5" a="1"/>
  <c r="I467" i="5" a="1"/>
  <c r="I468" i="5" a="1"/>
  <c r="I469" i="5" a="1"/>
  <c r="I470" i="5" a="1"/>
  <c r="I471" i="5" a="1"/>
  <c r="I472" i="5" a="1"/>
  <c r="I473" i="5" a="1"/>
  <c r="I474" i="5" a="1"/>
  <c r="I475" i="5" a="1"/>
  <c r="I476" i="5" a="1"/>
  <c r="I477" i="5" a="1"/>
  <c r="I478" i="5" a="1"/>
  <c r="I479" i="5" a="1"/>
  <c r="I480" i="5" a="1"/>
  <c r="I481" i="5" a="1"/>
  <c r="I482" i="5" a="1"/>
  <c r="I483" i="5" a="1"/>
  <c r="I484" i="5" a="1"/>
  <c r="I485" i="5" a="1"/>
  <c r="I486" i="5" a="1"/>
  <c r="I487" i="5" a="1"/>
  <c r="I488" i="5" a="1"/>
  <c r="I489" i="5" a="1"/>
  <c r="I490" i="5" a="1"/>
  <c r="I491" i="5" a="1"/>
  <c r="I492" i="5" a="1"/>
  <c r="I493" i="5" a="1"/>
  <c r="I494" i="5" a="1"/>
  <c r="I495" i="5" a="1"/>
  <c r="I496" i="5" a="1"/>
  <c r="I497" i="5" a="1"/>
  <c r="I498" i="5" a="1"/>
  <c r="I499" i="5" a="1"/>
  <c r="I500" i="5" a="1"/>
  <c r="I501" i="5" a="1"/>
  <c r="I502" i="5" a="1"/>
  <c r="I503" i="5" a="1"/>
  <c r="I504" i="5" a="1"/>
  <c r="I505" i="5" a="1"/>
  <c r="I506" i="5" a="1"/>
  <c r="I507" i="5" a="1"/>
  <c r="I508" i="5" a="1"/>
  <c r="I509" i="5" a="1"/>
  <c r="I510" i="5" a="1"/>
  <c r="I511" i="5" a="1"/>
  <c r="I512" i="5" a="1"/>
  <c r="I513" i="5" a="1"/>
  <c r="I514" i="5" a="1"/>
  <c r="I515" i="5" a="1"/>
  <c r="I516" i="5" a="1"/>
  <c r="I517" i="5" a="1"/>
  <c r="I518" i="5" a="1"/>
  <c r="I519" i="5" a="1"/>
  <c r="I520" i="5" a="1"/>
  <c r="I521" i="5" a="1"/>
  <c r="I522" i="5" a="1"/>
  <c r="I523" i="5" a="1"/>
  <c r="I524" i="5" a="1"/>
  <c r="I525" i="5" a="1"/>
  <c r="I526" i="5" a="1"/>
  <c r="I527" i="5" a="1"/>
  <c r="I528" i="5" a="1"/>
  <c r="I529" i="5" a="1"/>
  <c r="I530" i="5" a="1"/>
  <c r="I531" i="5" a="1"/>
  <c r="I532" i="5" a="1"/>
  <c r="I533" i="5" a="1"/>
  <c r="I534" i="5" a="1"/>
  <c r="I535" i="5" a="1"/>
  <c r="I536" i="5" a="1"/>
  <c r="I537" i="5" a="1"/>
  <c r="I538" i="5" a="1"/>
  <c r="I539" i="5" a="1"/>
  <c r="I540" i="5" a="1"/>
  <c r="I541" i="5" a="1"/>
  <c r="I542" i="5" a="1"/>
  <c r="I543" i="5" a="1"/>
  <c r="I544" i="5" a="1"/>
  <c r="I545" i="5" a="1"/>
  <c r="I546" i="5" a="1"/>
  <c r="I547" i="5" a="1"/>
  <c r="I548" i="5" a="1"/>
  <c r="I549" i="5" a="1"/>
  <c r="I550" i="5" a="1"/>
  <c r="I551" i="5" a="1"/>
  <c r="I552" i="5" a="1"/>
  <c r="I553" i="5" a="1"/>
  <c r="I554" i="5" a="1"/>
  <c r="I555" i="5" a="1"/>
  <c r="I556" i="5" a="1"/>
  <c r="I557" i="5" a="1"/>
  <c r="I558" i="5" a="1"/>
  <c r="I559" i="5" a="1"/>
  <c r="I560" i="5" a="1"/>
  <c r="I561" i="5" a="1"/>
  <c r="I562" i="5" a="1"/>
  <c r="I563" i="5" a="1"/>
  <c r="I564" i="5" a="1"/>
  <c r="I565" i="5" a="1"/>
  <c r="I566" i="5" a="1"/>
  <c r="I567" i="5" a="1"/>
  <c r="I568" i="5" a="1"/>
  <c r="I569" i="5" a="1"/>
  <c r="I570" i="5" a="1"/>
  <c r="I571" i="5" a="1"/>
  <c r="I572" i="5" a="1"/>
  <c r="I573" i="5" a="1"/>
  <c r="I574" i="5" a="1"/>
  <c r="I575" i="5" a="1"/>
  <c r="I576" i="5" a="1"/>
  <c r="I577" i="5" a="1"/>
  <c r="I578" i="5" a="1"/>
  <c r="I579" i="5" a="1"/>
  <c r="I580" i="5" a="1"/>
  <c r="I581" i="5" a="1"/>
  <c r="I582" i="5" a="1"/>
  <c r="I583" i="5" a="1"/>
  <c r="I584" i="5" a="1"/>
  <c r="I585" i="5" a="1"/>
  <c r="I586" i="5" a="1"/>
  <c r="I587" i="5" a="1"/>
  <c r="I588" i="5" a="1"/>
  <c r="I589" i="5" a="1"/>
  <c r="I590" i="5" a="1"/>
  <c r="I591" i="5" a="1"/>
  <c r="I592" i="5" a="1"/>
  <c r="I593" i="5" a="1"/>
  <c r="I594" i="5" a="1"/>
  <c r="I595" i="5" a="1"/>
  <c r="I596" i="5" a="1"/>
  <c r="I597" i="5" a="1"/>
  <c r="I598" i="5" a="1"/>
  <c r="I599" i="5" a="1"/>
  <c r="I600" i="5" a="1"/>
  <c r="I601" i="5" a="1"/>
  <c r="I602" i="5" a="1"/>
  <c r="I603" i="5" a="1"/>
  <c r="I604" i="5" a="1"/>
  <c r="I605" i="5" a="1"/>
  <c r="I606" i="5" a="1"/>
  <c r="I607" i="5" a="1"/>
  <c r="I608" i="5" a="1"/>
  <c r="I609" i="5" a="1"/>
  <c r="I610" i="5" a="1"/>
  <c r="I611" i="5" a="1"/>
  <c r="I612" i="5" a="1"/>
  <c r="I613" i="5" a="1"/>
  <c r="I614" i="5" a="1"/>
  <c r="I615" i="5" a="1"/>
  <c r="I616" i="5" a="1"/>
  <c r="I617" i="5" a="1"/>
  <c r="I618" i="5" a="1"/>
  <c r="I619" i="5" a="1"/>
  <c r="I620" i="5" a="1"/>
  <c r="I621" i="5" a="1"/>
  <c r="I622" i="5" a="1"/>
  <c r="I623" i="5" a="1"/>
  <c r="I624" i="5" a="1"/>
  <c r="I625" i="5" a="1"/>
  <c r="I626" i="5" a="1"/>
  <c r="I627" i="5" a="1"/>
  <c r="I628" i="5" a="1"/>
  <c r="I629" i="5" a="1"/>
  <c r="I630" i="5" a="1"/>
  <c r="I631" i="5" a="1"/>
  <c r="I632" i="5" a="1"/>
  <c r="I633" i="5" a="1"/>
  <c r="I634" i="5" a="1"/>
  <c r="I635" i="5" a="1"/>
  <c r="I636" i="5" a="1"/>
  <c r="I637" i="5" a="1"/>
  <c r="I638" i="5" a="1"/>
  <c r="I639" i="5" a="1"/>
  <c r="I640" i="5" a="1"/>
  <c r="I641" i="5" a="1"/>
  <c r="I642" i="5" a="1"/>
  <c r="I643" i="5" a="1"/>
  <c r="I644" i="5" a="1"/>
  <c r="I645" i="5" a="1"/>
  <c r="I646" i="5" a="1"/>
  <c r="I647" i="5" a="1"/>
  <c r="I648" i="5" a="1"/>
  <c r="I649" i="5" a="1"/>
  <c r="I650" i="5" a="1"/>
  <c r="I651" i="5" a="1"/>
  <c r="I652" i="5" a="1"/>
  <c r="I653" i="5" a="1"/>
  <c r="I654" i="5" a="1"/>
  <c r="I655" i="5" a="1"/>
  <c r="I656" i="5" a="1"/>
  <c r="I657" i="5" a="1"/>
  <c r="I658" i="5" a="1"/>
  <c r="I659" i="5" a="1"/>
  <c r="I660" i="5" a="1"/>
  <c r="I661" i="5" a="1"/>
  <c r="I662" i="5" a="1"/>
  <c r="I663" i="5" a="1"/>
  <c r="I664" i="5" a="1"/>
  <c r="I665" i="5" a="1"/>
  <c r="I666" i="5" a="1"/>
  <c r="I667" i="5" a="1"/>
  <c r="I668" i="5" a="1"/>
  <c r="I669" i="5" a="1"/>
  <c r="I670" i="5" a="1"/>
  <c r="I671" i="5" a="1"/>
  <c r="I672" i="5" a="1"/>
  <c r="I673" i="5" a="1"/>
  <c r="I674" i="5" a="1"/>
  <c r="I675" i="5" a="1"/>
  <c r="I676" i="5" a="1"/>
  <c r="I677" i="5" a="1"/>
  <c r="I678" i="5" a="1"/>
  <c r="I679" i="5" a="1"/>
  <c r="I680" i="5" a="1"/>
  <c r="I681" i="5" a="1"/>
  <c r="I682" i="5" a="1"/>
  <c r="I683" i="5" a="1"/>
  <c r="I684" i="5" a="1"/>
  <c r="I685" i="5" a="1"/>
  <c r="I686" i="5" a="1"/>
  <c r="I687" i="5" a="1"/>
  <c r="I688" i="5" a="1"/>
  <c r="I689" i="5" a="1"/>
  <c r="I690" i="5" a="1"/>
  <c r="I691" i="5" a="1"/>
  <c r="I692" i="5" a="1"/>
  <c r="I693" i="5" a="1"/>
  <c r="I694" i="5" a="1"/>
  <c r="I695" i="5" a="1"/>
  <c r="I696" i="5" a="1"/>
  <c r="I697" i="5" a="1"/>
  <c r="I698" i="5" a="1"/>
  <c r="I699" i="5" a="1"/>
  <c r="I700" i="5" a="1"/>
  <c r="I701" i="5" a="1"/>
  <c r="I702" i="5" a="1"/>
  <c r="I703" i="5" a="1"/>
  <c r="I704" i="5" a="1"/>
  <c r="I705" i="5" a="1"/>
  <c r="I706" i="5" a="1"/>
  <c r="I707" i="5" a="1"/>
  <c r="I708" i="5" a="1"/>
  <c r="I709" i="5" a="1"/>
  <c r="I710" i="5" a="1"/>
  <c r="I711" i="5" a="1"/>
  <c r="I712" i="5" a="1"/>
  <c r="I713" i="5" a="1"/>
  <c r="I714" i="5" a="1"/>
  <c r="I715" i="5" a="1"/>
  <c r="I716" i="5" a="1"/>
  <c r="I717" i="5" a="1"/>
  <c r="I718" i="5" a="1"/>
  <c r="I719" i="5" a="1"/>
  <c r="I720" i="5" a="1"/>
  <c r="I721" i="5" a="1"/>
  <c r="I722" i="5" a="1"/>
  <c r="I723" i="5" a="1"/>
  <c r="I724" i="5" a="1"/>
  <c r="I725" i="5" a="1"/>
  <c r="I726" i="5" a="1"/>
  <c r="I727" i="5" a="1"/>
  <c r="I728" i="5" a="1"/>
  <c r="I729" i="5" a="1"/>
  <c r="I730" i="5" a="1"/>
  <c r="I731" i="5" a="1"/>
  <c r="I732" i="5" a="1"/>
  <c r="I733" i="5" a="1"/>
  <c r="I734" i="5" a="1"/>
  <c r="I735" i="5" a="1"/>
  <c r="I736" i="5" a="1"/>
  <c r="I737" i="5" a="1"/>
  <c r="I738" i="5" a="1"/>
  <c r="I739" i="5" a="1"/>
  <c r="I740" i="5" a="1"/>
  <c r="I741" i="5" a="1"/>
  <c r="I742" i="5" a="1"/>
  <c r="I743" i="5" a="1"/>
  <c r="I744" i="5" a="1"/>
  <c r="I745" i="5" a="1"/>
  <c r="I746" i="5" a="1"/>
  <c r="I747" i="5" a="1"/>
  <c r="I748" i="5" a="1"/>
  <c r="I749" i="5" a="1"/>
  <c r="I750" i="5" a="1"/>
  <c r="I751" i="5" a="1"/>
  <c r="I752" i="5" a="1"/>
  <c r="I753" i="5" a="1"/>
  <c r="I754" i="5" a="1"/>
  <c r="I755" i="5" a="1"/>
  <c r="I756" i="5" a="1"/>
  <c r="I757" i="5" a="1"/>
  <c r="I758" i="5" a="1"/>
  <c r="I759" i="5" a="1"/>
  <c r="I760" i="5" a="1"/>
  <c r="I761" i="5" a="1"/>
  <c r="I762" i="5" a="1"/>
  <c r="I763" i="5" a="1"/>
  <c r="I764" i="5" a="1"/>
  <c r="I765" i="5" a="1"/>
  <c r="I766" i="5" a="1"/>
  <c r="I767" i="5" a="1"/>
  <c r="I768" i="5" a="1"/>
  <c r="I769" i="5" a="1"/>
  <c r="I770" i="5" a="1"/>
  <c r="I771" i="5" a="1"/>
  <c r="I772" i="5" a="1"/>
  <c r="I773" i="5" a="1"/>
  <c r="I774" i="5" a="1"/>
  <c r="I775" i="5" a="1"/>
  <c r="I776" i="5" a="1"/>
  <c r="I777" i="5" a="1"/>
  <c r="I778" i="5" a="1"/>
  <c r="I779" i="5" a="1"/>
  <c r="I780" i="5" a="1"/>
  <c r="I781" i="5" a="1"/>
  <c r="I782" i="5" a="1"/>
  <c r="I783" i="5" a="1"/>
  <c r="I784" i="5" a="1"/>
  <c r="I785" i="5" a="1"/>
  <c r="I786" i="5" a="1"/>
  <c r="I787" i="5" a="1"/>
  <c r="I788" i="5" a="1"/>
  <c r="I789" i="5" a="1"/>
  <c r="I790" i="5" a="1"/>
  <c r="I791" i="5" a="1"/>
  <c r="I792" i="5" a="1"/>
  <c r="I793" i="5" a="1"/>
  <c r="I794" i="5" a="1"/>
  <c r="I795" i="5" a="1"/>
  <c r="I796" i="5" a="1"/>
  <c r="I797" i="5" a="1"/>
  <c r="I798" i="5" a="1"/>
  <c r="I799" i="5" a="1"/>
  <c r="I800" i="5" a="1"/>
  <c r="I801" i="5" a="1"/>
  <c r="I802" i="5" a="1"/>
  <c r="I803" i="5" a="1"/>
  <c r="I804" i="5" a="1"/>
  <c r="I805" i="5" a="1"/>
  <c r="I806" i="5" a="1"/>
  <c r="I807" i="5" a="1"/>
  <c r="I808" i="5" a="1"/>
  <c r="I809" i="5" a="1"/>
  <c r="I810" i="5" a="1"/>
  <c r="I811" i="5" a="1"/>
  <c r="I812" i="5" a="1"/>
  <c r="I813" i="5" a="1"/>
  <c r="I814" i="5" a="1"/>
  <c r="I815" i="5" a="1"/>
  <c r="I816" i="5" a="1"/>
  <c r="I817" i="5" a="1"/>
  <c r="I818" i="5" a="1"/>
  <c r="I819" i="5" a="1"/>
  <c r="I820" i="5" a="1"/>
  <c r="I821" i="5" a="1"/>
  <c r="I822" i="5" a="1"/>
  <c r="I823" i="5" a="1"/>
  <c r="I824" i="5" a="1"/>
  <c r="I825" i="5" a="1"/>
  <c r="I826" i="5" a="1"/>
  <c r="I827" i="5" a="1"/>
  <c r="I828" i="5" a="1"/>
  <c r="I829" i="5" a="1"/>
  <c r="I830" i="5" a="1"/>
  <c r="I831" i="5" a="1"/>
  <c r="I832" i="5" a="1"/>
  <c r="I833" i="5" a="1"/>
  <c r="I834" i="5" a="1"/>
  <c r="I835" i="5" a="1"/>
  <c r="I836" i="5" a="1"/>
  <c r="I837" i="5" a="1"/>
  <c r="I838" i="5" a="1"/>
  <c r="I839" i="5" a="1"/>
  <c r="I840" i="5" a="1"/>
  <c r="I841" i="5" a="1"/>
  <c r="I842" i="5" a="1"/>
  <c r="I843" i="5" a="1"/>
  <c r="I844" i="5" a="1"/>
  <c r="I845" i="5" a="1"/>
  <c r="I846" i="5" a="1"/>
  <c r="I847" i="5" a="1"/>
  <c r="I848" i="5" a="1"/>
  <c r="I849" i="5" a="1"/>
  <c r="I850" i="5" a="1"/>
  <c r="I851" i="5" a="1"/>
  <c r="I852" i="5" a="1"/>
  <c r="I853" i="5" a="1"/>
  <c r="I854" i="5" a="1"/>
  <c r="I855" i="5" a="1"/>
  <c r="I856" i="5" a="1"/>
  <c r="I857" i="5" a="1"/>
  <c r="I858" i="5" a="1"/>
  <c r="I859" i="5" a="1"/>
  <c r="I860" i="5" a="1"/>
  <c r="I861" i="5" a="1"/>
  <c r="I862" i="5" a="1"/>
  <c r="I863" i="5" a="1"/>
  <c r="I864" i="5" a="1"/>
  <c r="I865" i="5" a="1"/>
  <c r="I866" i="5" a="1"/>
  <c r="I867" i="5" a="1"/>
  <c r="I868" i="5" a="1"/>
  <c r="I869" i="5" a="1"/>
  <c r="I870" i="5" a="1"/>
  <c r="I871" i="5" a="1"/>
  <c r="I872" i="5" a="1"/>
  <c r="I873" i="5" a="1"/>
  <c r="I874" i="5" a="1"/>
  <c r="I875" i="5" a="1"/>
  <c r="I876" i="5" a="1"/>
  <c r="I877" i="5" a="1"/>
  <c r="I878" i="5" a="1"/>
  <c r="I879" i="5" a="1"/>
  <c r="I880" i="5" a="1"/>
  <c r="I881" i="5" a="1"/>
  <c r="I882" i="5" a="1"/>
  <c r="I883" i="5" a="1"/>
  <c r="I884" i="5" a="1"/>
  <c r="I885" i="5" a="1"/>
  <c r="I886" i="5" a="1"/>
  <c r="I887" i="5" a="1"/>
  <c r="I888" i="5" a="1"/>
  <c r="I889" i="5" a="1"/>
  <c r="I890" i="5" a="1"/>
  <c r="I891" i="5" a="1"/>
  <c r="I892" i="5" a="1"/>
  <c r="I893" i="5" a="1"/>
  <c r="I894" i="5" a="1"/>
  <c r="I895" i="5" a="1"/>
  <c r="I896" i="5" a="1"/>
  <c r="I897" i="5" a="1"/>
  <c r="I898" i="5" a="1"/>
  <c r="I899" i="5" a="1"/>
  <c r="I900" i="5" a="1"/>
  <c r="I901" i="5" a="1"/>
  <c r="I902" i="5" a="1"/>
  <c r="I903" i="5" a="1"/>
  <c r="I904" i="5" a="1"/>
  <c r="I905" i="5" a="1"/>
  <c r="I906" i="5" a="1"/>
  <c r="I907" i="5" a="1"/>
  <c r="I908" i="5" a="1"/>
  <c r="I909" i="5" a="1"/>
  <c r="I910" i="5" a="1"/>
  <c r="I911" i="5" a="1"/>
  <c r="I912" i="5" a="1"/>
  <c r="I913" i="5" a="1"/>
  <c r="I914" i="5" a="1"/>
  <c r="I915" i="5" a="1"/>
  <c r="I916" i="5" a="1"/>
  <c r="I917" i="5" a="1"/>
  <c r="I918" i="5" a="1"/>
  <c r="I919" i="5" a="1"/>
  <c r="I920" i="5" a="1"/>
  <c r="I921" i="5" a="1"/>
  <c r="I922" i="5" a="1"/>
  <c r="I923" i="5" a="1"/>
  <c r="I924" i="5" a="1"/>
  <c r="I925" i="5" a="1"/>
  <c r="I926" i="5" a="1"/>
  <c r="I927" i="5" a="1"/>
  <c r="I928" i="5" a="1"/>
  <c r="I929" i="5" a="1"/>
  <c r="I930" i="5" a="1"/>
  <c r="I931" i="5" a="1"/>
  <c r="I932" i="5" a="1"/>
  <c r="I933" i="5" a="1"/>
  <c r="I934" i="5" a="1"/>
  <c r="I935" i="5" a="1"/>
  <c r="I936" i="5" a="1"/>
  <c r="I937" i="5" a="1"/>
  <c r="I938" i="5" a="1"/>
  <c r="I939" i="5" a="1"/>
  <c r="I940" i="5" a="1"/>
  <c r="I941" i="5" a="1"/>
  <c r="I942" i="5" a="1"/>
  <c r="I943" i="5" a="1"/>
  <c r="I944" i="5" a="1"/>
  <c r="I945" i="5" a="1"/>
  <c r="I946" i="5" a="1"/>
  <c r="I947" i="5" a="1"/>
  <c r="I948" i="5" a="1"/>
  <c r="I949" i="5" a="1"/>
  <c r="I950" i="5" a="1"/>
  <c r="I951" i="5" a="1"/>
  <c r="I952" i="5" a="1"/>
  <c r="I953" i="5" a="1"/>
  <c r="I954" i="5" a="1"/>
  <c r="I955" i="5" a="1"/>
  <c r="I956" i="5" a="1"/>
  <c r="I957" i="5" a="1"/>
  <c r="I958" i="5" a="1"/>
  <c r="I959" i="5" a="1"/>
  <c r="I960" i="5" a="1"/>
  <c r="I961" i="5" a="1"/>
  <c r="I962" i="5" a="1"/>
  <c r="I963" i="5" a="1"/>
  <c r="I964" i="5" a="1"/>
  <c r="I965" i="5" a="1"/>
  <c r="I966" i="5" a="1"/>
  <c r="I967" i="5" a="1"/>
  <c r="I968" i="5" a="1"/>
  <c r="I969" i="5" a="1"/>
  <c r="I970" i="5" a="1"/>
  <c r="I971" i="5" a="1"/>
  <c r="I972" i="5" a="1"/>
  <c r="I973" i="5" a="1"/>
  <c r="I974" i="5" a="1"/>
  <c r="I975" i="5" a="1"/>
  <c r="I976" i="5" a="1"/>
  <c r="I977" i="5" a="1"/>
  <c r="I978" i="5" a="1"/>
  <c r="I979" i="5" a="1"/>
  <c r="I980" i="5" a="1"/>
  <c r="I981" i="5" a="1"/>
  <c r="I982" i="5" a="1"/>
  <c r="I983" i="5" a="1"/>
  <c r="I984" i="5" a="1"/>
  <c r="I985" i="5" a="1"/>
  <c r="I986" i="5" a="1"/>
  <c r="I987" i="5" a="1"/>
  <c r="I988" i="5" a="1"/>
  <c r="I989" i="5" a="1"/>
  <c r="I990" i="5" a="1"/>
  <c r="I991" i="5" a="1"/>
  <c r="I992" i="5" a="1"/>
  <c r="I993" i="5" a="1"/>
  <c r="I994" i="5" a="1"/>
  <c r="I995" i="5" a="1"/>
  <c r="I996" i="5" a="1"/>
  <c r="I997" i="5" a="1"/>
  <c r="I998" i="5" a="1"/>
  <c r="I999" i="5" a="1"/>
  <c r="I1000" i="5" a="1"/>
  <c r="I1001" i="5" a="1"/>
  <c r="I1002" i="5" a="1"/>
  <c r="I1003" i="5" a="1"/>
  <c r="I1004" i="5" a="1"/>
  <c r="I1005" i="5" a="1"/>
  <c r="I1006" i="5" a="1"/>
  <c r="I1007" i="5" a="1"/>
  <c r="I1008" i="5" a="1"/>
  <c r="I1009" i="5" a="1"/>
  <c r="I1010" i="5" a="1"/>
  <c r="I1011" i="5" a="1"/>
  <c r="I1012" i="5" a="1"/>
  <c r="I1013" i="5" a="1"/>
  <c r="I1014" i="5" a="1"/>
  <c r="I1015" i="5" a="1"/>
  <c r="I1016" i="5" a="1"/>
  <c r="I1017" i="5" a="1"/>
  <c r="I1018" i="5" a="1"/>
  <c r="I1019" i="5" a="1"/>
  <c r="I1020" i="5" a="1"/>
  <c r="I1021" i="5" a="1"/>
  <c r="I1022" i="5" a="1"/>
  <c r="I1023" i="5" a="1"/>
  <c r="I1024" i="5" a="1"/>
  <c r="I1025" i="5" a="1"/>
  <c r="I1026" i="5" a="1"/>
  <c r="I1027" i="5" a="1"/>
  <c r="I1028" i="5" a="1"/>
  <c r="I1029" i="5" a="1"/>
  <c r="I1030" i="5" a="1"/>
  <c r="I1031" i="5" a="1"/>
  <c r="I1032" i="5" a="1"/>
  <c r="I1033" i="5" a="1"/>
  <c r="I1034" i="5" a="1"/>
  <c r="I1035" i="5" a="1"/>
  <c r="I1036" i="5" a="1"/>
  <c r="I1037" i="5" a="1"/>
  <c r="I1038" i="5" a="1"/>
  <c r="I1039" i="5" a="1"/>
  <c r="I1040" i="5" a="1"/>
  <c r="I1041" i="5" a="1"/>
  <c r="I1042" i="5" a="1"/>
  <c r="I1043" i="5" a="1"/>
  <c r="I1044" i="5" a="1"/>
  <c r="I1045" i="5" a="1"/>
  <c r="I1046" i="5" a="1"/>
  <c r="I1047" i="5" a="1"/>
  <c r="I1048" i="5" a="1"/>
  <c r="I1049" i="5" a="1"/>
  <c r="I1050" i="5" a="1"/>
  <c r="I1051" i="5" a="1"/>
  <c r="I1052" i="5" a="1"/>
  <c r="I1053" i="5" a="1"/>
  <c r="I1054" i="5" a="1"/>
  <c r="I1055" i="5" a="1"/>
  <c r="I1056" i="5" a="1"/>
  <c r="I1057" i="5" a="1"/>
  <c r="I1058" i="5" a="1"/>
  <c r="I1059" i="5" a="1"/>
  <c r="I1060" i="5" a="1"/>
  <c r="I1061" i="5" a="1"/>
  <c r="I1062" i="5" a="1"/>
  <c r="I1063" i="5" a="1"/>
  <c r="I1064" i="5" a="1"/>
  <c r="I1065" i="5" a="1"/>
  <c r="I1066" i="5" a="1"/>
  <c r="I1067" i="5" a="1"/>
  <c r="I1068" i="5" a="1"/>
  <c r="I1069" i="5" a="1"/>
  <c r="I1070" i="5" a="1"/>
  <c r="I1071" i="5" a="1"/>
  <c r="I1072" i="5" a="1"/>
  <c r="I1073" i="5" a="1"/>
  <c r="I1074" i="5" a="1"/>
  <c r="I1075" i="5" a="1"/>
  <c r="I1076" i="5" a="1"/>
  <c r="I1077" i="5" a="1"/>
  <c r="I1078" i="5" a="1"/>
  <c r="I1079" i="5" a="1"/>
  <c r="I1080" i="5" a="1"/>
  <c r="I1081" i="5" a="1"/>
  <c r="I1082" i="5" a="1"/>
  <c r="I1083" i="5" a="1"/>
  <c r="I1084" i="5" a="1"/>
  <c r="I1085" i="5" a="1"/>
  <c r="I1086" i="5" a="1"/>
  <c r="I1087" i="5" a="1"/>
  <c r="I1088" i="5" a="1"/>
  <c r="I1089" i="5" a="1"/>
  <c r="I1090" i="5" a="1"/>
  <c r="I1091" i="5" a="1"/>
  <c r="I1092" i="5" a="1"/>
  <c r="I1093" i="5" a="1"/>
  <c r="I1094" i="5" a="1"/>
  <c r="I1095" i="5" a="1"/>
  <c r="I1096" i="5" a="1"/>
  <c r="I1097" i="5" a="1"/>
  <c r="I1098" i="5" a="1"/>
  <c r="I1099" i="5" a="1"/>
  <c r="I1100" i="5" a="1"/>
  <c r="I1101" i="5" a="1"/>
  <c r="I1102" i="5" a="1"/>
  <c r="I1103" i="5" a="1"/>
  <c r="I1104" i="5" a="1"/>
  <c r="I1105" i="5" a="1"/>
  <c r="I1106" i="5" a="1"/>
  <c r="I1107" i="5" a="1"/>
  <c r="I1108" i="5" a="1"/>
  <c r="I1109" i="5" a="1"/>
  <c r="I1110" i="5" a="1"/>
  <c r="I1111" i="5" a="1"/>
  <c r="I1112" i="5" a="1"/>
  <c r="I1113" i="5" a="1"/>
  <c r="I1114" i="5" a="1"/>
  <c r="I1115" i="5" a="1"/>
  <c r="I1116" i="5" a="1"/>
  <c r="I1117" i="5" a="1"/>
  <c r="I1118" i="5" a="1"/>
  <c r="I1119" i="5" a="1"/>
  <c r="I1120" i="5" a="1"/>
  <c r="I1121" i="5" a="1"/>
  <c r="I1122" i="5" a="1"/>
  <c r="I1123" i="5" a="1"/>
  <c r="I1124" i="5" a="1"/>
  <c r="I1125" i="5" a="1"/>
  <c r="I1126" i="5" a="1"/>
  <c r="I1127" i="5" a="1"/>
  <c r="I1128" i="5" a="1"/>
  <c r="I1129" i="5" a="1"/>
  <c r="I1130" i="5" a="1"/>
  <c r="I1131" i="5" a="1"/>
  <c r="I1132" i="5" a="1"/>
  <c r="I1133" i="5" a="1"/>
  <c r="I1134" i="5" a="1"/>
  <c r="I1135" i="5" a="1"/>
  <c r="I1136" i="5" a="1"/>
  <c r="I1137" i="5" a="1"/>
  <c r="I1138" i="5" a="1"/>
  <c r="I1139" i="5" a="1"/>
  <c r="I1140" i="5" a="1"/>
  <c r="I1141" i="5" a="1"/>
  <c r="I1142" i="5" a="1"/>
  <c r="I1143" i="5" a="1"/>
  <c r="I1144" i="5" a="1"/>
  <c r="I1145" i="5" a="1"/>
  <c r="I1146" i="5" a="1"/>
  <c r="I1147" i="5" a="1"/>
  <c r="I1148" i="5" a="1"/>
  <c r="I1149" i="5" a="1"/>
  <c r="I1150" i="5" a="1"/>
  <c r="I1151" i="5" a="1"/>
  <c r="I1152" i="5" a="1"/>
  <c r="I1153" i="5" a="1"/>
  <c r="I1154" i="5" a="1"/>
  <c r="I1155" i="5" a="1"/>
  <c r="I1156" i="5" a="1"/>
  <c r="I1157" i="5" a="1"/>
  <c r="I1158" i="5" a="1"/>
  <c r="I1159" i="5" a="1"/>
  <c r="I1160" i="5" a="1"/>
  <c r="I1161" i="5" a="1"/>
  <c r="I1162" i="5" a="1"/>
  <c r="I1163" i="5" a="1"/>
  <c r="I1164" i="5" a="1"/>
  <c r="I1165" i="5" a="1"/>
  <c r="I1166" i="5" a="1"/>
  <c r="I1167" i="5" a="1"/>
  <c r="I1168" i="5" a="1"/>
  <c r="I1169" i="5" a="1"/>
  <c r="I1170" i="5" a="1"/>
  <c r="I1171" i="5" a="1"/>
  <c r="I1172" i="5" a="1"/>
  <c r="I1173" i="5" a="1"/>
  <c r="I1174" i="5" a="1"/>
  <c r="I1175" i="5" a="1"/>
  <c r="I1176" i="5" a="1"/>
  <c r="I1177" i="5" a="1"/>
  <c r="I1178" i="5" a="1"/>
  <c r="I1179" i="5" a="1"/>
  <c r="I1180" i="5" a="1"/>
  <c r="I1181" i="5" a="1"/>
  <c r="I1182" i="5" a="1"/>
  <c r="I1183" i="5" a="1"/>
  <c r="I1184" i="5" a="1"/>
  <c r="I1185" i="5" a="1"/>
  <c r="I1186" i="5" a="1"/>
  <c r="I1187" i="5" a="1"/>
  <c r="I1188" i="5" a="1"/>
  <c r="I1189" i="5" a="1"/>
  <c r="I1190" i="5" a="1"/>
  <c r="I1191" i="5" a="1"/>
  <c r="I1192" i="5" a="1"/>
  <c r="I1193" i="5" a="1"/>
  <c r="I1194" i="5" a="1"/>
  <c r="I1195" i="5" a="1"/>
  <c r="I1196" i="5" a="1"/>
  <c r="I1197" i="5" a="1"/>
  <c r="I1198" i="5" a="1"/>
  <c r="I1199" i="5" a="1"/>
  <c r="I1200" i="5" a="1"/>
  <c r="I1201" i="5" a="1"/>
  <c r="I1202" i="5" a="1"/>
  <c r="I1203" i="5" a="1"/>
  <c r="I1204" i="5" a="1"/>
  <c r="I1205" i="5" a="1"/>
  <c r="I1206" i="5" a="1"/>
  <c r="I1207" i="5" a="1"/>
  <c r="I1208" i="5" a="1"/>
  <c r="I1209" i="5" a="1"/>
  <c r="I1210" i="5" a="1"/>
  <c r="I1211" i="5" a="1"/>
  <c r="I1212" i="5" a="1"/>
  <c r="I1213" i="5" a="1"/>
  <c r="I1214" i="5" a="1"/>
  <c r="I1215" i="5" a="1"/>
  <c r="I1216" i="5" a="1"/>
  <c r="I1217" i="5" a="1"/>
  <c r="I1218" i="5" a="1"/>
  <c r="I1219" i="5" a="1"/>
  <c r="I1220" i="5" a="1"/>
  <c r="I1221" i="5" a="1"/>
  <c r="I1222" i="5" a="1"/>
  <c r="I1223" i="5" a="1"/>
  <c r="I1224" i="5" a="1"/>
  <c r="I1225" i="5" a="1"/>
  <c r="I1226" i="5" a="1"/>
  <c r="I1227" i="5" a="1"/>
  <c r="I1228" i="5" a="1"/>
  <c r="I1229" i="5" a="1"/>
  <c r="I1230" i="5" a="1"/>
  <c r="I1231" i="5" a="1"/>
  <c r="I1232" i="5" a="1"/>
  <c r="I1233" i="5" a="1"/>
  <c r="I1234" i="5" a="1"/>
  <c r="I1235" i="5" a="1"/>
  <c r="I1236" i="5" a="1"/>
  <c r="I1237" i="5" a="1"/>
  <c r="I1238" i="5" a="1"/>
  <c r="I1239" i="5" a="1"/>
  <c r="I1240" i="5" a="1"/>
  <c r="I1241" i="5" a="1"/>
  <c r="I1242" i="5" a="1"/>
  <c r="I1243" i="5" a="1"/>
  <c r="I1244" i="5" a="1"/>
  <c r="I1245" i="5" a="1"/>
  <c r="I1246" i="5" a="1"/>
  <c r="I1247" i="5" a="1"/>
  <c r="I1248" i="5" a="1"/>
  <c r="I1249" i="5" a="1"/>
  <c r="I1250" i="5" a="1"/>
  <c r="I1251" i="5" a="1"/>
  <c r="I1252" i="5" a="1"/>
  <c r="I1253" i="5" a="1"/>
  <c r="I1254" i="5" a="1"/>
  <c r="I1255" i="5" a="1"/>
  <c r="I1256" i="5" a="1"/>
  <c r="I1257" i="5" a="1"/>
  <c r="I1258" i="5" a="1"/>
  <c r="I1259" i="5" a="1"/>
  <c r="I1260" i="5" a="1"/>
  <c r="I1261" i="5" a="1"/>
  <c r="I1262" i="5" a="1"/>
  <c r="I1263" i="5" a="1"/>
  <c r="I1264" i="5" a="1"/>
  <c r="I1265" i="5" a="1"/>
  <c r="I1266" i="5" a="1"/>
  <c r="I1267" i="5" a="1"/>
  <c r="I1268" i="5" a="1"/>
  <c r="I1269" i="5" a="1"/>
  <c r="I1270" i="5" a="1"/>
  <c r="I1271" i="5" a="1"/>
  <c r="I1272" i="5" a="1"/>
  <c r="I1273" i="5" a="1"/>
  <c r="I1274" i="5" a="1"/>
  <c r="I1275" i="5" a="1"/>
  <c r="I1276" i="5" a="1"/>
  <c r="I1277" i="5" a="1"/>
  <c r="I1278" i="5" a="1"/>
  <c r="I1279" i="5" a="1"/>
  <c r="I1280" i="5" a="1"/>
  <c r="I1281" i="5" a="1"/>
  <c r="I1282" i="5" a="1"/>
  <c r="I1283" i="5" a="1"/>
  <c r="I1284" i="5" a="1"/>
  <c r="I1285" i="5" a="1"/>
  <c r="I1286" i="5" a="1"/>
  <c r="I1287" i="5" a="1"/>
  <c r="I1288" i="5" a="1"/>
  <c r="I1289" i="5" a="1"/>
  <c r="I1290" i="5" a="1"/>
  <c r="I1291" i="5" a="1"/>
  <c r="I1292" i="5" a="1"/>
  <c r="I1293" i="5" a="1"/>
  <c r="I1294" i="5" a="1"/>
  <c r="I1295" i="5" a="1"/>
  <c r="I1296" i="5" a="1"/>
  <c r="I1297" i="5" a="1"/>
  <c r="I1298" i="5" a="1"/>
  <c r="I1299" i="5" a="1"/>
  <c r="I1300" i="5" a="1"/>
  <c r="I1301" i="5" a="1"/>
  <c r="I1302" i="5" a="1"/>
  <c r="I1303" i="5" a="1"/>
  <c r="I1304" i="5" a="1"/>
  <c r="I1305" i="5" a="1"/>
  <c r="I1306" i="5" a="1"/>
  <c r="I1307" i="5" a="1"/>
  <c r="I1308" i="5" a="1"/>
  <c r="I1309" i="5" a="1"/>
  <c r="I1310" i="5" a="1"/>
  <c r="I1311" i="5" a="1"/>
  <c r="I1312" i="5" a="1"/>
  <c r="I1313" i="5" a="1"/>
  <c r="I1314" i="5" a="1"/>
  <c r="I1315" i="5" a="1"/>
  <c r="I1316" i="5" a="1"/>
  <c r="I1317" i="5" a="1"/>
  <c r="I1318" i="5" a="1"/>
  <c r="I1319" i="5" a="1"/>
  <c r="I1320" i="5" a="1"/>
  <c r="I1321" i="5" a="1"/>
  <c r="I1322" i="5" a="1"/>
  <c r="I1323" i="5" a="1"/>
  <c r="I1324" i="5" a="1"/>
  <c r="I1325" i="5" a="1"/>
  <c r="I1326" i="5" a="1"/>
  <c r="I1327" i="5" a="1"/>
  <c r="I1328" i="5" a="1"/>
  <c r="I1329" i="5" a="1"/>
  <c r="I1330" i="5" a="1"/>
  <c r="I1331" i="5" a="1"/>
  <c r="I1332" i="5" a="1"/>
  <c r="I1333" i="5" a="1"/>
  <c r="I1334" i="5" a="1"/>
  <c r="I1335" i="5" a="1"/>
  <c r="I1336" i="5" a="1"/>
  <c r="I1337" i="5" a="1"/>
  <c r="I1338" i="5" a="1"/>
  <c r="I1339" i="5" a="1"/>
  <c r="I1340" i="5" a="1"/>
  <c r="I1341" i="5" a="1"/>
  <c r="I1342" i="5" a="1"/>
  <c r="I1343" i="5" a="1"/>
  <c r="I1344" i="5" a="1"/>
  <c r="I1345" i="5" a="1"/>
  <c r="I1346" i="5" a="1"/>
  <c r="I1347" i="5" a="1"/>
  <c r="I1348" i="5" a="1"/>
  <c r="I1349" i="5" a="1"/>
  <c r="I1350" i="5" a="1"/>
  <c r="I1351" i="5" a="1"/>
  <c r="I1352" i="5" a="1"/>
  <c r="I1353" i="5" a="1"/>
  <c r="I1354" i="5" a="1"/>
  <c r="I1355" i="5" a="1"/>
  <c r="I1356" i="5" a="1"/>
  <c r="I1357" i="5" a="1"/>
  <c r="I1358" i="5" a="1"/>
  <c r="I1359" i="5" a="1"/>
  <c r="I1360" i="5" a="1"/>
  <c r="I1361" i="5" a="1"/>
  <c r="I1362" i="5" a="1"/>
  <c r="I1363" i="5" a="1"/>
  <c r="I1364" i="5" a="1"/>
  <c r="I1365" i="5" a="1"/>
  <c r="I1366" i="5" a="1"/>
  <c r="I1367" i="5" a="1"/>
  <c r="I1368" i="5" a="1"/>
  <c r="I1369" i="5" a="1"/>
  <c r="I1370" i="5" a="1"/>
  <c r="I1371" i="5" a="1"/>
  <c r="I1372" i="5" a="1"/>
  <c r="I1373" i="5" a="1"/>
  <c r="I1374" i="5" a="1"/>
  <c r="I1375" i="5" a="1"/>
  <c r="I1376" i="5" a="1"/>
  <c r="I1377" i="5" a="1"/>
  <c r="I1378" i="5" a="1"/>
  <c r="I1379" i="5" a="1"/>
  <c r="I1380" i="5" a="1"/>
  <c r="I1381" i="5" a="1"/>
  <c r="I1382" i="5" a="1"/>
  <c r="I1383" i="5" a="1"/>
  <c r="I1384" i="5" a="1"/>
  <c r="I1385" i="5" a="1"/>
  <c r="I1386" i="5" a="1"/>
  <c r="I1387" i="5" a="1"/>
  <c r="I1388" i="5" a="1"/>
  <c r="I1389" i="5" a="1"/>
  <c r="I1390" i="5" a="1"/>
  <c r="I1391" i="5" a="1"/>
  <c r="I1392" i="5" a="1"/>
  <c r="I1393" i="5" a="1"/>
  <c r="I1394" i="5" a="1"/>
  <c r="I1395" i="5" a="1"/>
  <c r="I1396" i="5" a="1"/>
  <c r="I1397" i="5" a="1"/>
  <c r="I1398" i="5" a="1"/>
  <c r="I1399" i="5" a="1"/>
  <c r="I1400" i="5" a="1"/>
  <c r="I1401" i="5" a="1"/>
  <c r="I1402" i="5" a="1"/>
  <c r="I1403" i="5" a="1"/>
  <c r="I1404" i="5" a="1"/>
  <c r="I1405" i="5" a="1"/>
  <c r="I1406" i="5" a="1"/>
  <c r="I1407" i="5" a="1"/>
  <c r="I1408" i="5" a="1"/>
  <c r="I1409" i="5" a="1"/>
  <c r="I1410" i="5" a="1"/>
  <c r="I1411" i="5" a="1"/>
  <c r="I1412" i="5" a="1"/>
  <c r="I1413" i="5" a="1"/>
  <c r="I1414" i="5" a="1"/>
  <c r="I1415" i="5" a="1"/>
  <c r="I1416" i="5" a="1"/>
  <c r="I1417" i="5" a="1"/>
  <c r="I1418" i="5" a="1"/>
  <c r="I1419" i="5" a="1"/>
  <c r="I1420" i="5" a="1"/>
  <c r="I1421" i="5" a="1"/>
  <c r="I1422" i="5" a="1"/>
  <c r="I1423" i="5" a="1"/>
  <c r="I1424" i="5" a="1"/>
  <c r="I1425" i="5" a="1"/>
  <c r="I1426" i="5" a="1"/>
  <c r="I1427" i="5" a="1"/>
  <c r="I1428" i="5" a="1"/>
  <c r="I1429" i="5" a="1"/>
  <c r="I1430" i="5" a="1"/>
  <c r="I1431" i="5" a="1"/>
  <c r="I1432" i="5" a="1"/>
  <c r="I1433" i="5" a="1"/>
  <c r="I1434" i="5" a="1"/>
  <c r="I1435" i="5" a="1"/>
  <c r="I1436" i="5" a="1"/>
  <c r="I1437" i="5" a="1"/>
  <c r="I1438" i="5" a="1"/>
  <c r="I1439" i="5" a="1"/>
  <c r="I1440" i="5" a="1"/>
  <c r="I1441" i="5" a="1"/>
  <c r="I1442" i="5" a="1"/>
  <c r="I1443" i="5" a="1"/>
  <c r="I1444" i="5" a="1"/>
  <c r="I1445" i="5" a="1"/>
  <c r="I1446" i="5" a="1"/>
  <c r="I1447" i="5" a="1"/>
  <c r="I1448" i="5" a="1"/>
  <c r="I1449" i="5" a="1"/>
  <c r="I1450" i="5" a="1"/>
  <c r="I1451" i="5" a="1"/>
  <c r="I1452" i="5" a="1"/>
  <c r="I1453" i="5" a="1"/>
  <c r="I1454" i="5" a="1"/>
  <c r="I1455" i="5" a="1"/>
  <c r="I1456" i="5" a="1"/>
  <c r="I1457" i="5" a="1"/>
  <c r="I1458" i="5" a="1"/>
  <c r="I1459" i="5" a="1"/>
  <c r="I1460" i="5" a="1"/>
  <c r="I1461" i="5" a="1"/>
  <c r="I1462" i="5" a="1"/>
  <c r="I1463" i="5" a="1"/>
  <c r="I1464" i="5" a="1"/>
  <c r="I1465" i="5" a="1"/>
  <c r="I1466" i="5" a="1"/>
  <c r="I1467" i="5" a="1"/>
  <c r="I1468" i="5" a="1"/>
  <c r="I1469" i="5" a="1"/>
  <c r="I1470" i="5" a="1"/>
  <c r="I1471" i="5" a="1"/>
  <c r="I1472" i="5" a="1"/>
  <c r="I1473" i="5" a="1"/>
  <c r="I1474" i="5" a="1"/>
  <c r="I1475" i="5" a="1"/>
  <c r="I1476" i="5" a="1"/>
  <c r="I1477" i="5" a="1"/>
  <c r="I1478" i="5" a="1"/>
  <c r="I1479" i="5" a="1"/>
  <c r="I1480" i="5" a="1"/>
  <c r="I1481" i="5" a="1"/>
  <c r="I1482" i="5" a="1"/>
  <c r="I1483" i="5" a="1"/>
  <c r="I1484" i="5" a="1"/>
  <c r="I1485" i="5" a="1"/>
  <c r="I1486" i="5" a="1"/>
  <c r="I1487" i="5" a="1"/>
  <c r="I1488" i="5" a="1"/>
  <c r="I1489" i="5" a="1"/>
  <c r="I1490" i="5" a="1"/>
  <c r="I1491" i="5" a="1"/>
  <c r="I1492" i="5" a="1"/>
  <c r="I1493" i="5" a="1"/>
  <c r="I1494" i="5" a="1"/>
  <c r="I1495" i="5" a="1"/>
  <c r="I1496" i="5" a="1"/>
  <c r="I1497" i="5" a="1"/>
  <c r="I1498" i="5" a="1"/>
  <c r="I1499" i="5" a="1"/>
  <c r="I1500" i="5" a="1"/>
  <c r="I1501" i="5" a="1"/>
  <c r="I1502" i="5" a="1"/>
  <c r="I1503" i="5" a="1"/>
  <c r="I1504" i="5" a="1"/>
  <c r="I1505" i="5" a="1"/>
  <c r="I1506" i="5" a="1"/>
  <c r="I1507" i="5" a="1"/>
  <c r="I1508" i="5" a="1"/>
  <c r="I1509" i="5" a="1"/>
  <c r="I1510" i="5" a="1"/>
  <c r="I1511" i="5" a="1"/>
  <c r="I1512" i="5" a="1"/>
  <c r="I1513" i="5" a="1"/>
  <c r="I1514" i="5" a="1"/>
  <c r="I1515" i="5" a="1"/>
  <c r="I1516" i="5" a="1"/>
  <c r="I1517" i="5" a="1"/>
  <c r="I1518" i="5" a="1"/>
  <c r="I1519" i="5" a="1"/>
  <c r="I1520" i="5" a="1"/>
  <c r="I1521" i="5" a="1"/>
  <c r="I1522" i="5" a="1"/>
  <c r="I1523" i="5" a="1"/>
  <c r="I1524" i="5" a="1"/>
  <c r="I1525" i="5" a="1"/>
  <c r="I1526" i="5" a="1"/>
  <c r="I1527" i="5" a="1"/>
  <c r="I1528" i="5" a="1"/>
  <c r="I1529" i="5" a="1"/>
  <c r="I1530" i="5" a="1"/>
  <c r="I1531" i="5" a="1"/>
  <c r="I1532" i="5" a="1"/>
  <c r="I1533" i="5" a="1"/>
  <c r="I1534" i="5" a="1"/>
  <c r="I1535" i="5" a="1"/>
  <c r="I1536" i="5" a="1"/>
  <c r="I1537" i="5" a="1"/>
  <c r="I1538" i="5" a="1"/>
  <c r="I1539" i="5" a="1"/>
  <c r="I1540" i="5" a="1"/>
  <c r="I1541" i="5" a="1"/>
  <c r="I1542" i="5" a="1"/>
  <c r="I1543" i="5" a="1"/>
  <c r="I1544" i="5" a="1"/>
  <c r="I1545" i="5" a="1"/>
  <c r="I1546" i="5" a="1"/>
  <c r="I1547" i="5" a="1"/>
  <c r="I1548" i="5" a="1"/>
  <c r="I1549" i="5" a="1"/>
  <c r="I1550" i="5" a="1"/>
  <c r="I1551" i="5" a="1"/>
  <c r="I1552" i="5" a="1"/>
  <c r="I1553" i="5" a="1"/>
  <c r="I1554" i="5" a="1"/>
  <c r="I1555" i="5" a="1"/>
  <c r="I1556" i="5" a="1"/>
  <c r="I1557" i="5" a="1"/>
  <c r="I1558" i="5" a="1"/>
  <c r="I1559" i="5" a="1"/>
  <c r="I1560" i="5" a="1"/>
  <c r="I1561" i="5" a="1"/>
  <c r="I1562" i="5" a="1"/>
  <c r="I1563" i="5" a="1"/>
  <c r="I1564" i="5" a="1"/>
  <c r="I1565" i="5" a="1"/>
  <c r="I1566" i="5" a="1"/>
  <c r="I1567" i="5" a="1"/>
  <c r="I1568" i="5" a="1"/>
  <c r="I1569" i="5" a="1"/>
  <c r="I1570" i="5" a="1"/>
  <c r="I1571" i="5" a="1"/>
  <c r="I1572" i="5" a="1"/>
  <c r="I1573" i="5" a="1"/>
  <c r="I1574" i="5" a="1"/>
  <c r="I1575" i="5" a="1"/>
  <c r="I1576" i="5" a="1"/>
  <c r="I1577" i="5" a="1"/>
  <c r="I1578" i="5" a="1"/>
  <c r="I1579" i="5" a="1"/>
  <c r="I1580" i="5" a="1"/>
  <c r="I1581" i="5" a="1"/>
  <c r="I1582" i="5" a="1"/>
  <c r="I1583" i="5" a="1"/>
  <c r="I1584" i="5" a="1"/>
  <c r="I1585" i="5" a="1"/>
  <c r="I1586" i="5" a="1"/>
  <c r="I1587" i="5" a="1"/>
  <c r="I1588" i="5" a="1"/>
  <c r="I1589" i="5" a="1"/>
  <c r="I1590" i="5" a="1"/>
  <c r="I1591" i="5" a="1"/>
  <c r="I1592" i="5" a="1"/>
  <c r="I1593" i="5" a="1"/>
  <c r="I1594" i="5" a="1"/>
  <c r="I1595" i="5" a="1"/>
  <c r="I1596" i="5" a="1"/>
  <c r="I1597" i="5" a="1"/>
  <c r="I1598" i="5" a="1"/>
  <c r="I1599" i="5" a="1"/>
  <c r="I1600" i="5" a="1"/>
  <c r="I1601" i="5" a="1"/>
  <c r="I1602" i="5" a="1"/>
  <c r="I1603" i="5" a="1"/>
  <c r="I1604" i="5" a="1"/>
  <c r="I1605" i="5" a="1"/>
  <c r="I1606" i="5" a="1"/>
  <c r="I1607" i="5" a="1"/>
  <c r="I1608" i="5" a="1"/>
  <c r="I1609" i="5" a="1"/>
  <c r="I1610" i="5" a="1"/>
  <c r="I1611" i="5" a="1"/>
  <c r="I1612" i="5" a="1"/>
  <c r="I1613" i="5" a="1"/>
  <c r="I1614" i="5" a="1"/>
  <c r="I1615" i="5" a="1"/>
  <c r="I1616" i="5" a="1"/>
  <c r="I1617" i="5" a="1"/>
  <c r="I1618" i="5" a="1"/>
  <c r="I1619" i="5" a="1"/>
  <c r="I1620" i="5" a="1"/>
  <c r="I1621" i="5" a="1"/>
  <c r="I1622" i="5" a="1"/>
  <c r="I1623" i="5" a="1"/>
  <c r="I1624" i="5" a="1"/>
  <c r="I1625" i="5" a="1"/>
  <c r="I1626" i="5" a="1"/>
  <c r="I1627" i="5" a="1"/>
  <c r="I1628" i="5" a="1"/>
  <c r="I1629" i="5" a="1"/>
  <c r="I1630" i="5" a="1"/>
  <c r="I1631" i="5" a="1"/>
  <c r="I1632" i="5" a="1"/>
  <c r="I1633" i="5" a="1"/>
  <c r="I1634" i="5" a="1"/>
  <c r="I1635" i="5" a="1"/>
  <c r="I1636" i="5" a="1"/>
  <c r="I1637" i="5" a="1"/>
  <c r="I1638" i="5" a="1"/>
  <c r="I1639" i="5" a="1"/>
  <c r="I1640" i="5" a="1"/>
  <c r="I1641" i="5" a="1"/>
  <c r="I1642" i="5" a="1"/>
  <c r="I1643" i="5" a="1"/>
  <c r="I1644" i="5" a="1"/>
  <c r="I1645" i="5" a="1"/>
  <c r="I1646" i="5" a="1"/>
  <c r="I1647" i="5" a="1"/>
  <c r="I1648" i="5" a="1"/>
  <c r="I1649" i="5" a="1"/>
  <c r="I1650" i="5" a="1"/>
  <c r="I1651" i="5" a="1"/>
  <c r="I1652" i="5" a="1"/>
  <c r="I1653" i="5" a="1"/>
  <c r="I1654" i="5" a="1"/>
  <c r="I1655" i="5" a="1"/>
  <c r="I1656" i="5" a="1"/>
  <c r="I1657" i="5" a="1"/>
  <c r="I1658" i="5" a="1"/>
  <c r="I1659" i="5" a="1"/>
  <c r="I1660" i="5" a="1"/>
  <c r="I1661" i="5" a="1"/>
  <c r="I1662" i="5" a="1"/>
  <c r="I1663" i="5" a="1"/>
  <c r="I1664" i="5" a="1"/>
  <c r="I1665" i="5" a="1"/>
  <c r="I1666" i="5" a="1"/>
  <c r="I1667" i="5" a="1"/>
  <c r="I1668" i="5" a="1"/>
  <c r="I1669" i="5" a="1"/>
  <c r="I1670" i="5" a="1"/>
  <c r="I1671" i="5" a="1"/>
  <c r="I1672" i="5" a="1"/>
  <c r="I1673" i="5" a="1"/>
  <c r="I1674" i="5" a="1"/>
  <c r="I1675" i="5" a="1"/>
  <c r="I1676" i="5" a="1"/>
  <c r="I1677" i="5" a="1"/>
  <c r="I1678" i="5" a="1"/>
  <c r="I1679" i="5" a="1"/>
  <c r="I1680" i="5" a="1"/>
  <c r="I1681" i="5" a="1"/>
  <c r="I1682" i="5" a="1"/>
  <c r="I1683" i="5" a="1"/>
  <c r="I1684" i="5" a="1"/>
  <c r="I1685" i="5" a="1"/>
  <c r="I1686" i="5" a="1"/>
  <c r="I1687" i="5" a="1"/>
  <c r="I1688" i="5" a="1"/>
  <c r="I1689" i="5" a="1"/>
  <c r="I1690" i="5" a="1"/>
  <c r="I1691" i="5" a="1"/>
  <c r="I1692" i="5" a="1"/>
  <c r="I1693" i="5" a="1"/>
  <c r="I1694" i="5" a="1"/>
  <c r="I1695" i="5" a="1"/>
  <c r="I1696" i="5" a="1"/>
  <c r="I1697" i="5" a="1"/>
  <c r="I1698" i="5" a="1"/>
  <c r="I1699" i="5" a="1"/>
  <c r="I1700" i="5" a="1"/>
  <c r="I1701" i="5" a="1"/>
  <c r="I1702" i="5" a="1"/>
  <c r="I1703" i="5" a="1"/>
  <c r="I1704" i="5" a="1"/>
  <c r="I1705" i="5" a="1"/>
  <c r="I1706" i="5" a="1"/>
  <c r="I1707" i="5" a="1"/>
  <c r="I1708" i="5" a="1"/>
  <c r="I1709" i="5" a="1"/>
  <c r="I1710" i="5" a="1"/>
  <c r="I1711" i="5" a="1"/>
  <c r="I1712" i="5" a="1"/>
  <c r="I1713" i="5" a="1"/>
  <c r="I1714" i="5" a="1"/>
  <c r="I1715" i="5" a="1"/>
  <c r="I1716" i="5" a="1"/>
  <c r="I1717" i="5" a="1"/>
  <c r="I1718" i="5" a="1"/>
  <c r="I1719" i="5" a="1"/>
  <c r="I1720" i="5" a="1"/>
  <c r="I1721" i="5" a="1"/>
  <c r="I1722" i="5" a="1"/>
  <c r="I1723" i="5" a="1"/>
  <c r="I1724" i="5" a="1"/>
  <c r="I1725" i="5" a="1"/>
  <c r="I1726" i="5" a="1"/>
  <c r="I1727" i="5" a="1"/>
  <c r="I1728" i="5" a="1"/>
  <c r="I1729" i="5" a="1"/>
  <c r="I1730" i="5" a="1"/>
  <c r="I1731" i="5" a="1"/>
  <c r="I1732" i="5" a="1"/>
  <c r="I1733" i="5" a="1"/>
  <c r="I1734" i="5" a="1"/>
  <c r="I1735" i="5" a="1"/>
  <c r="I1736" i="5" a="1"/>
  <c r="I1737" i="5" a="1"/>
  <c r="I1738" i="5" a="1"/>
  <c r="I1739" i="5" a="1"/>
  <c r="I1740" i="5" a="1"/>
  <c r="I1741" i="5" a="1"/>
  <c r="I1742" i="5" a="1"/>
  <c r="I1743" i="5" a="1"/>
  <c r="I1744" i="5" a="1"/>
  <c r="I1745" i="5" a="1"/>
  <c r="I1746" i="5" a="1"/>
  <c r="I1747" i="5" a="1"/>
  <c r="I1748" i="5" a="1"/>
  <c r="I1749" i="5" a="1"/>
  <c r="I1750" i="5" a="1"/>
  <c r="I1751" i="5" a="1"/>
  <c r="I1752" i="5" a="1"/>
  <c r="I1753" i="5" a="1"/>
  <c r="I1754" i="5" a="1"/>
  <c r="I1755" i="5" a="1"/>
  <c r="I1756" i="5" a="1"/>
  <c r="I1757" i="5" a="1"/>
  <c r="I1758" i="5" a="1"/>
  <c r="I1759" i="5" a="1"/>
  <c r="I1760" i="5" a="1"/>
  <c r="I1761" i="5" a="1"/>
  <c r="I1762" i="5" a="1"/>
  <c r="I1763" i="5" a="1"/>
  <c r="I1764" i="5" a="1"/>
  <c r="I1765" i="5" a="1"/>
  <c r="I1766" i="5" a="1"/>
  <c r="I1767" i="5" a="1"/>
  <c r="I1768" i="5" a="1"/>
  <c r="I1769" i="5" a="1"/>
  <c r="I1770" i="5" a="1"/>
  <c r="I1771" i="5" a="1"/>
  <c r="I1772" i="5" a="1"/>
  <c r="I1773" i="5" a="1"/>
  <c r="I1774" i="5" a="1"/>
  <c r="I1775" i="5" a="1"/>
  <c r="I1776" i="5" a="1"/>
  <c r="I1777" i="5" a="1"/>
  <c r="I1778" i="5" a="1"/>
  <c r="I1779" i="5" a="1"/>
  <c r="I1780" i="5" a="1"/>
  <c r="I1781" i="5" a="1"/>
  <c r="I1782" i="5" a="1"/>
  <c r="I1783" i="5" a="1"/>
  <c r="I1784" i="5" a="1"/>
  <c r="I1785" i="5" a="1"/>
  <c r="I1786" i="5" a="1"/>
  <c r="I1787" i="5" a="1"/>
  <c r="I1788" i="5" a="1"/>
  <c r="I1789" i="5" a="1"/>
  <c r="I1790" i="5" a="1"/>
  <c r="I1791" i="5" a="1"/>
  <c r="I1792" i="5" a="1"/>
  <c r="I1793" i="5" a="1"/>
  <c r="I1794" i="5" a="1"/>
  <c r="I1795" i="5" a="1"/>
  <c r="I1796" i="5" a="1"/>
  <c r="I1797" i="5" a="1"/>
  <c r="I1798" i="5" a="1"/>
  <c r="I1799" i="5" a="1"/>
  <c r="I1800" i="5" a="1"/>
  <c r="I1801" i="5" a="1"/>
  <c r="I1802" i="5" a="1"/>
  <c r="I1803" i="5" a="1"/>
  <c r="I1804" i="5" a="1"/>
  <c r="I1805" i="5" a="1"/>
  <c r="I1806" i="5" a="1"/>
  <c r="I1807" i="5" a="1"/>
  <c r="I1808" i="5" a="1"/>
  <c r="I1809" i="5" a="1"/>
  <c r="I1810" i="5" a="1"/>
  <c r="I1811" i="5" a="1"/>
  <c r="I1812" i="5" a="1"/>
  <c r="I1813" i="5" a="1"/>
  <c r="I1814" i="5" a="1"/>
  <c r="I1815" i="5" a="1"/>
  <c r="I1816" i="5" a="1"/>
  <c r="I1817" i="5" a="1"/>
  <c r="I1818" i="5" a="1"/>
  <c r="I1819" i="5" a="1"/>
  <c r="I1820" i="5" a="1"/>
  <c r="I1821" i="5" a="1"/>
  <c r="I1822" i="5" a="1"/>
  <c r="I1823" i="5" a="1"/>
  <c r="I1824" i="5" a="1"/>
  <c r="I1825" i="5" a="1"/>
  <c r="I1826" i="5" a="1"/>
  <c r="I1827" i="5" a="1"/>
  <c r="I1828" i="5" a="1"/>
  <c r="I1829" i="5" a="1"/>
  <c r="I1830" i="5" a="1"/>
  <c r="I1831" i="5" a="1"/>
  <c r="I1832" i="5" a="1"/>
  <c r="I1833" i="5" a="1"/>
  <c r="I1834" i="5" a="1"/>
  <c r="I1835" i="5" a="1"/>
  <c r="I1836" i="5" a="1"/>
  <c r="I1837" i="5" a="1"/>
  <c r="I1838" i="5" a="1"/>
  <c r="I1839" i="5" a="1"/>
  <c r="I1840" i="5" a="1"/>
  <c r="I1841" i="5" a="1"/>
  <c r="I1842" i="5" a="1"/>
  <c r="I1843" i="5" a="1"/>
  <c r="I1844" i="5" a="1"/>
  <c r="I1845" i="5" a="1"/>
  <c r="I1846" i="5" a="1"/>
  <c r="I1847" i="5" a="1"/>
  <c r="I1848" i="5" a="1"/>
  <c r="I1849" i="5" a="1"/>
  <c r="I1850" i="5" a="1"/>
  <c r="I1851" i="5" a="1"/>
  <c r="I1852" i="5" a="1"/>
  <c r="I1853" i="5" a="1"/>
  <c r="I1854" i="5" a="1"/>
  <c r="I1855" i="5" a="1"/>
  <c r="I1856" i="5" a="1"/>
  <c r="I1857" i="5" a="1"/>
  <c r="I1858" i="5" a="1"/>
  <c r="I1859" i="5" a="1"/>
  <c r="I1860" i="5" a="1"/>
  <c r="I1861" i="5" a="1"/>
  <c r="I1862" i="5" a="1"/>
  <c r="I1863" i="5" a="1"/>
  <c r="I1864" i="5" a="1"/>
  <c r="I1865" i="5" a="1"/>
  <c r="I1866" i="5" a="1"/>
  <c r="I1867" i="5" a="1"/>
  <c r="I1868" i="5" a="1"/>
  <c r="I1869" i="5" a="1"/>
  <c r="I1870" i="5" a="1"/>
  <c r="I1871" i="5" a="1"/>
  <c r="I1872" i="5" a="1"/>
  <c r="I1873" i="5" a="1"/>
  <c r="I1874" i="5" a="1"/>
  <c r="I1875" i="5" a="1"/>
  <c r="I1876" i="5" a="1"/>
  <c r="I1877" i="5" a="1"/>
  <c r="I1878" i="5" a="1"/>
  <c r="I1879" i="5" a="1"/>
  <c r="I1880" i="5" a="1"/>
  <c r="I1881" i="5" a="1"/>
  <c r="I1882" i="5" a="1"/>
  <c r="I1883" i="5" a="1"/>
  <c r="I1884" i="5" a="1"/>
  <c r="I1885" i="5" a="1"/>
  <c r="I1886" i="5" a="1"/>
  <c r="I1887" i="5" a="1"/>
  <c r="I1888" i="5" a="1"/>
  <c r="I1889" i="5" a="1"/>
  <c r="I1890" i="5" a="1"/>
  <c r="I1891" i="5" a="1"/>
  <c r="I1892" i="5" a="1"/>
  <c r="I1893" i="5" a="1"/>
  <c r="I1894" i="5" a="1"/>
  <c r="I1895" i="5" a="1"/>
  <c r="I1896" i="5" a="1"/>
  <c r="I1897" i="5" a="1"/>
  <c r="I1898" i="5" a="1"/>
  <c r="I1899" i="5" a="1"/>
  <c r="I1900" i="5" a="1"/>
  <c r="I1901" i="5" a="1"/>
  <c r="I1902" i="5" a="1"/>
  <c r="I1903" i="5" a="1"/>
  <c r="I1904" i="5" a="1"/>
  <c r="I1905" i="5" a="1"/>
  <c r="I1906" i="5" a="1"/>
  <c r="I1907" i="5" a="1"/>
  <c r="I1908" i="5" a="1"/>
  <c r="I1909" i="5" a="1"/>
  <c r="I1910" i="5" a="1"/>
  <c r="I1911" i="5" a="1"/>
  <c r="I1912" i="5" a="1"/>
  <c r="I1913" i="5" a="1"/>
  <c r="I1914" i="5" a="1"/>
  <c r="I1915" i="5" a="1"/>
  <c r="I1916" i="5" a="1"/>
  <c r="I1917" i="5" a="1"/>
  <c r="I1918" i="5" a="1"/>
  <c r="I1919" i="5" a="1"/>
  <c r="I1920" i="5" a="1"/>
  <c r="I1921" i="5" a="1"/>
  <c r="I1922" i="5" a="1"/>
  <c r="I1923" i="5" a="1"/>
  <c r="I1924" i="5" a="1"/>
  <c r="I1925" i="5" a="1"/>
  <c r="I1926" i="5" a="1"/>
  <c r="I1927" i="5" a="1"/>
  <c r="I1928" i="5" a="1"/>
  <c r="I1929" i="5" a="1"/>
  <c r="I1930" i="5" a="1"/>
  <c r="I1931" i="5" a="1"/>
  <c r="I1932" i="5" a="1"/>
  <c r="I1933" i="5" a="1"/>
  <c r="I1934" i="5" a="1"/>
  <c r="I1935" i="5" a="1"/>
  <c r="I1936" i="5" a="1"/>
  <c r="I1937" i="5" a="1"/>
  <c r="I1938" i="5" a="1"/>
  <c r="I1939" i="5" a="1"/>
  <c r="I1940" i="5" a="1"/>
  <c r="I1941" i="5" a="1"/>
  <c r="I1942" i="5" a="1"/>
  <c r="I1943" i="5" a="1"/>
  <c r="I1944" i="5" a="1"/>
  <c r="I1945" i="5" a="1"/>
  <c r="I1946" i="5" a="1"/>
  <c r="I1947" i="5" a="1"/>
  <c r="I1948" i="5" a="1"/>
  <c r="I1949" i="5" a="1"/>
  <c r="I1950" i="5" a="1"/>
  <c r="I1951" i="5" a="1"/>
  <c r="I1952" i="5" a="1"/>
  <c r="I1953" i="5" a="1"/>
  <c r="I1954" i="5" a="1"/>
  <c r="I1955" i="5" a="1"/>
  <c r="I1956" i="5" a="1"/>
  <c r="I1957" i="5" a="1"/>
  <c r="I1958" i="5" a="1"/>
  <c r="I1959" i="5" a="1"/>
  <c r="I1960" i="5" a="1"/>
  <c r="I1961" i="5" a="1"/>
  <c r="I1962" i="5" a="1"/>
  <c r="I1963" i="5" a="1"/>
  <c r="I1964" i="5" a="1"/>
  <c r="I1965" i="5" a="1"/>
  <c r="I1966" i="5" a="1"/>
  <c r="I1967" i="5" a="1"/>
  <c r="I1968" i="5" a="1"/>
  <c r="I1969" i="5" a="1"/>
  <c r="I1970" i="5" a="1"/>
  <c r="I1971" i="5" a="1"/>
  <c r="I1972" i="5" a="1"/>
  <c r="I1973" i="5" a="1"/>
  <c r="I1974" i="5" a="1"/>
  <c r="I1975" i="5" a="1"/>
  <c r="I1976" i="5" a="1"/>
  <c r="I1977" i="5" a="1"/>
  <c r="I1978" i="5" a="1"/>
  <c r="I1979" i="5" a="1"/>
  <c r="I1980" i="5" a="1"/>
  <c r="I1981" i="5" a="1"/>
  <c r="I1982" i="5" a="1"/>
  <c r="I1983" i="5" a="1"/>
  <c r="I1984" i="5" a="1"/>
  <c r="I1985" i="5" a="1"/>
  <c r="I1986" i="5" a="1"/>
  <c r="I1987" i="5" a="1"/>
  <c r="I1988" i="5" a="1"/>
  <c r="I1989" i="5" a="1"/>
  <c r="I1990" i="5" a="1"/>
  <c r="I1991" i="5" a="1"/>
  <c r="I1992" i="5" a="1"/>
  <c r="I1993" i="5" a="1"/>
  <c r="I1994" i="5" a="1"/>
  <c r="I1995" i="5" a="1"/>
  <c r="I1996" i="5" a="1"/>
  <c r="I1997" i="5" a="1"/>
  <c r="I1998" i="5" a="1"/>
  <c r="I1999" i="5" a="1"/>
  <c r="I2000" i="5" a="1"/>
  <c r="I2001" i="5" a="1"/>
  <c r="I2002" i="5" a="1"/>
  <c r="I2003" i="5" a="1"/>
  <c r="I2004" i="5" a="1"/>
  <c r="I2005" i="5" a="1"/>
  <c r="I2006" i="5" a="1"/>
  <c r="I2007" i="5" a="1"/>
  <c r="I2008" i="5" a="1"/>
  <c r="I2009" i="5" a="1"/>
  <c r="I2010" i="5" a="1"/>
  <c r="I2011" i="5" a="1"/>
  <c r="I2012" i="5" a="1"/>
  <c r="I2013" i="5" a="1"/>
  <c r="I2014" i="5" a="1"/>
  <c r="I2015" i="5" a="1"/>
  <c r="I2016" i="5" a="1"/>
  <c r="I2017" i="5" a="1"/>
  <c r="I2018" i="5" a="1"/>
  <c r="I2019" i="5" a="1"/>
  <c r="I2020" i="5" a="1"/>
  <c r="I2021" i="5" a="1"/>
  <c r="I2022" i="5" a="1"/>
  <c r="I2023" i="5" a="1"/>
  <c r="I2024" i="5" a="1"/>
  <c r="I2025" i="5" a="1"/>
  <c r="I2026" i="5" a="1"/>
  <c r="I2027" i="5" a="1"/>
  <c r="I2028" i="5" a="1"/>
  <c r="I2029" i="5" a="1"/>
  <c r="I2030" i="5" a="1"/>
  <c r="I2031" i="5" a="1"/>
  <c r="I2032" i="5" a="1"/>
  <c r="I2033" i="5" a="1"/>
  <c r="I2034" i="5" a="1"/>
  <c r="I2035" i="5" a="1"/>
  <c r="I2036" i="5" a="1"/>
  <c r="I2037" i="5" a="1"/>
  <c r="I2038" i="5" a="1"/>
  <c r="I2039" i="5" a="1"/>
  <c r="I2040" i="5" a="1"/>
  <c r="I2041" i="5" a="1"/>
  <c r="I2042" i="5" a="1"/>
  <c r="I2043" i="5" a="1"/>
  <c r="I2044" i="5" a="1"/>
  <c r="I2045" i="5" a="1"/>
  <c r="I2046" i="5" a="1"/>
  <c r="I2047" i="5" a="1"/>
  <c r="I2048" i="5" a="1"/>
  <c r="I2049" i="5" a="1"/>
  <c r="I2050" i="5" a="1"/>
  <c r="I2051" i="5" a="1"/>
  <c r="I2052" i="5" a="1"/>
  <c r="I2053" i="5" a="1"/>
  <c r="I2054" i="5" a="1"/>
  <c r="I2055" i="5" a="1"/>
  <c r="I2056" i="5" a="1"/>
  <c r="I2057" i="5" a="1"/>
  <c r="I2058" i="5" a="1"/>
  <c r="I2059" i="5" a="1"/>
  <c r="I2060" i="5" a="1"/>
  <c r="I2061" i="5" a="1"/>
  <c r="I2062" i="5" a="1"/>
  <c r="I2063" i="5" a="1"/>
  <c r="I2064" i="5" a="1"/>
  <c r="I2065" i="5" a="1"/>
  <c r="I2066" i="5" a="1"/>
  <c r="I2067" i="5" a="1"/>
  <c r="I2068" i="5" a="1"/>
  <c r="I2069" i="5" a="1"/>
  <c r="I2070" i="5" a="1"/>
  <c r="I2071" i="5" a="1"/>
  <c r="I2072" i="5" a="1"/>
  <c r="I2073" i="5" a="1"/>
  <c r="I2074" i="5" a="1"/>
  <c r="I2075" i="5" a="1"/>
  <c r="I2076" i="5" a="1"/>
  <c r="I2077" i="5" a="1"/>
  <c r="I2078" i="5" a="1"/>
  <c r="I2079" i="5" a="1"/>
  <c r="I2080" i="5" a="1"/>
  <c r="I2081" i="5" a="1"/>
  <c r="I2082" i="5" a="1"/>
  <c r="I2083" i="5" a="1"/>
  <c r="I2084" i="5" a="1"/>
  <c r="I2085" i="5" a="1"/>
  <c r="I2086" i="5" a="1"/>
  <c r="I2087" i="5" a="1"/>
  <c r="I2088" i="5" a="1"/>
  <c r="I2089" i="5" a="1"/>
  <c r="I2090" i="5" a="1"/>
  <c r="I2091" i="5" a="1"/>
  <c r="I2092" i="5" a="1"/>
  <c r="I2093" i="5" a="1"/>
  <c r="I2094" i="5" a="1"/>
  <c r="I2095" i="5" a="1"/>
  <c r="I2096" i="5" a="1"/>
  <c r="I2097" i="5" a="1"/>
  <c r="I2098" i="5" a="1"/>
  <c r="I2099" i="5" a="1"/>
  <c r="I2100" i="5" a="1"/>
  <c r="I2101" i="5" a="1"/>
  <c r="I2102" i="5" a="1"/>
  <c r="I2103" i="5" a="1"/>
  <c r="I2104" i="5" a="1"/>
  <c r="I2105" i="5" a="1"/>
  <c r="I2106" i="5" a="1"/>
  <c r="I2107" i="5" a="1"/>
  <c r="I2108" i="5" a="1"/>
  <c r="I2109" i="5" a="1"/>
  <c r="I2110" i="5" a="1"/>
  <c r="I2111" i="5" a="1"/>
  <c r="I2112" i="5" a="1"/>
  <c r="I2113" i="5" a="1"/>
  <c r="I2114" i="5" a="1"/>
  <c r="I2115" i="5" a="1"/>
  <c r="I2116" i="5" a="1"/>
  <c r="I2117" i="5" a="1"/>
  <c r="I2118" i="5" a="1"/>
  <c r="I2119" i="5" a="1"/>
  <c r="I2120" i="5" a="1"/>
  <c r="I2121" i="5" a="1"/>
  <c r="I2122" i="5" a="1"/>
  <c r="I2123" i="5" a="1"/>
  <c r="I2124" i="5" a="1"/>
  <c r="I2125" i="5" a="1"/>
  <c r="I2126" i="5" a="1"/>
  <c r="I2127" i="5" a="1"/>
  <c r="I2128" i="5" a="1"/>
  <c r="I2129" i="5" a="1"/>
  <c r="I2130" i="5" a="1"/>
  <c r="I2131" i="5" a="1"/>
  <c r="I2132" i="5" a="1"/>
  <c r="I2133" i="5" a="1"/>
  <c r="I2134" i="5" a="1"/>
  <c r="I2135" i="5" a="1"/>
  <c r="I2136" i="5" a="1"/>
  <c r="I2137" i="5" a="1"/>
  <c r="I2138" i="5" a="1"/>
  <c r="I2139" i="5" a="1"/>
  <c r="I2140" i="5" a="1"/>
  <c r="I2141" i="5" a="1"/>
  <c r="I2142" i="5" a="1"/>
  <c r="I2143" i="5" a="1"/>
  <c r="I2144" i="5" a="1"/>
  <c r="I2145" i="5" a="1"/>
  <c r="I2146" i="5" a="1"/>
  <c r="I2147" i="5" a="1"/>
  <c r="I2148" i="5" a="1"/>
  <c r="I2149" i="5" a="1"/>
  <c r="I2150" i="5" a="1"/>
  <c r="I2151" i="5" a="1"/>
  <c r="I2152" i="5" a="1"/>
  <c r="I2153" i="5" a="1"/>
  <c r="I2154" i="5" a="1"/>
  <c r="I2155" i="5" a="1"/>
  <c r="I2156" i="5" a="1"/>
  <c r="I2157" i="5" a="1"/>
  <c r="I2158" i="5" a="1"/>
  <c r="I2159" i="5" a="1"/>
  <c r="I2160" i="5" a="1"/>
  <c r="I2161" i="5" a="1"/>
  <c r="I2162" i="5" a="1"/>
  <c r="I2163" i="5" a="1"/>
  <c r="I2164" i="5" a="1"/>
  <c r="I2165" i="5" a="1"/>
  <c r="I2166" i="5" a="1"/>
  <c r="I2167" i="5" a="1"/>
  <c r="I2168" i="5" a="1"/>
  <c r="I2169" i="5" a="1"/>
  <c r="I2170" i="5" a="1"/>
  <c r="I2171" i="5" a="1"/>
  <c r="I2172" i="5" a="1"/>
  <c r="I2173" i="5" a="1"/>
  <c r="I2174" i="5" a="1"/>
  <c r="I2175" i="5" a="1"/>
  <c r="I2176" i="5" a="1"/>
  <c r="I2177" i="5" a="1"/>
  <c r="I2178" i="5" a="1"/>
  <c r="I2179" i="5" a="1"/>
  <c r="I2180" i="5" a="1"/>
  <c r="I2181" i="5" a="1"/>
  <c r="I2182" i="5" a="1"/>
  <c r="I2183" i="5" a="1"/>
  <c r="I2184" i="5" a="1"/>
  <c r="I2185" i="5" a="1"/>
  <c r="I2186" i="5" a="1"/>
  <c r="I2187" i="5" a="1"/>
  <c r="I2188" i="5" a="1"/>
  <c r="I2189" i="5" a="1"/>
  <c r="I2190" i="5" a="1"/>
  <c r="I2191" i="5" a="1"/>
  <c r="I2192" i="5" a="1"/>
  <c r="I2193" i="5" a="1"/>
  <c r="I2194" i="5" a="1"/>
  <c r="I2195" i="5" a="1"/>
  <c r="I2196" i="5" a="1"/>
  <c r="I2197" i="5" a="1"/>
  <c r="I2198" i="5" a="1"/>
  <c r="I2199" i="5" a="1"/>
  <c r="I2200" i="5" a="1"/>
  <c r="I2201" i="5" a="1"/>
  <c r="I2202" i="5" a="1"/>
  <c r="I2203" i="5" a="1"/>
  <c r="I2204" i="5" a="1"/>
  <c r="I2205" i="5" a="1"/>
  <c r="I2206" i="5" a="1"/>
  <c r="I2207" i="5" a="1"/>
  <c r="I2208" i="5" a="1"/>
  <c r="I2209" i="5" a="1"/>
  <c r="I2210" i="5" a="1"/>
  <c r="I2211" i="5" a="1"/>
  <c r="I2212" i="5" a="1"/>
  <c r="I2213" i="5" a="1"/>
  <c r="I2214" i="5" a="1"/>
  <c r="I2215" i="5" a="1"/>
  <c r="I2216" i="5" a="1"/>
  <c r="I2217" i="5" a="1"/>
  <c r="I2218" i="5" a="1"/>
  <c r="I2219" i="5" a="1"/>
  <c r="I2220" i="5" a="1"/>
  <c r="I2221" i="5" a="1"/>
  <c r="I2222" i="5" a="1"/>
  <c r="I2223" i="5" a="1"/>
  <c r="I2224" i="5" a="1"/>
  <c r="I2225" i="5" a="1"/>
  <c r="I2226" i="5" a="1"/>
  <c r="I2227" i="5" a="1"/>
  <c r="I2228" i="5" a="1"/>
  <c r="I2229" i="5" a="1"/>
  <c r="I2230" i="5" a="1"/>
  <c r="I2231" i="5" a="1"/>
  <c r="I2232" i="5" a="1"/>
  <c r="I2233" i="5" a="1"/>
  <c r="I2234" i="5" a="1"/>
  <c r="I2235" i="5" a="1"/>
  <c r="I2236" i="5" a="1"/>
  <c r="I2237" i="5" a="1"/>
  <c r="I2238" i="5" a="1"/>
  <c r="I2239" i="5" a="1"/>
  <c r="I2240" i="5" a="1"/>
  <c r="I2241" i="5" a="1"/>
  <c r="I2242" i="5" a="1"/>
  <c r="I2243" i="5" a="1"/>
  <c r="I2244" i="5" a="1"/>
  <c r="I2245" i="5" a="1"/>
  <c r="I2246" i="5" a="1"/>
  <c r="I2247" i="5" a="1"/>
  <c r="I2248" i="5" a="1"/>
  <c r="I2249" i="5" a="1"/>
  <c r="I2250" i="5" a="1"/>
  <c r="I2251" i="5" a="1"/>
  <c r="I2252" i="5" a="1"/>
  <c r="I2253" i="5" a="1"/>
  <c r="I2254" i="5" a="1"/>
  <c r="I2255" i="5" a="1"/>
  <c r="I2256" i="5" a="1"/>
  <c r="I2257" i="5" a="1"/>
  <c r="I2258" i="5" a="1"/>
  <c r="I2259" i="5" a="1"/>
  <c r="I2260" i="5" a="1"/>
  <c r="I2261" i="5" a="1"/>
  <c r="I2262" i="5" a="1"/>
  <c r="I2263" i="5" a="1"/>
  <c r="I2264" i="5" a="1"/>
  <c r="I2265" i="5" a="1"/>
  <c r="I2266" i="5" a="1"/>
  <c r="I2267" i="5" a="1"/>
  <c r="I2268" i="5" a="1"/>
  <c r="I2269" i="5" a="1"/>
  <c r="I2270" i="5" a="1"/>
  <c r="I2271" i="5" a="1"/>
  <c r="I2272" i="5" a="1"/>
  <c r="I2273" i="5" a="1"/>
  <c r="I2274" i="5" a="1"/>
  <c r="I2275" i="5" a="1"/>
  <c r="I2276" i="5" a="1"/>
  <c r="I2277" i="5" a="1"/>
  <c r="I2278" i="5" a="1"/>
  <c r="I2279" i="5" a="1"/>
  <c r="I2280" i="5" a="1"/>
  <c r="I2281" i="5" a="1"/>
  <c r="I2282" i="5" a="1"/>
  <c r="I2283" i="5" a="1"/>
  <c r="I2284" i="5" a="1"/>
  <c r="I2285" i="5" a="1"/>
  <c r="I2286" i="5" a="1"/>
  <c r="I2287" i="5" a="1"/>
  <c r="I2288" i="5" a="1"/>
  <c r="I2289" i="5" a="1"/>
  <c r="I2290" i="5" a="1"/>
  <c r="I2291" i="5" a="1"/>
  <c r="I2292" i="5" a="1"/>
  <c r="I2293" i="5" a="1"/>
  <c r="I2294" i="5" a="1"/>
  <c r="I2295" i="5" a="1"/>
  <c r="I2296" i="5" a="1"/>
  <c r="I2297" i="5" a="1"/>
  <c r="I2298" i="5" a="1"/>
  <c r="I2299" i="5" a="1"/>
  <c r="I2300" i="5" a="1"/>
  <c r="I2301" i="5" a="1"/>
  <c r="I2302" i="5" a="1"/>
  <c r="I2303" i="5" a="1"/>
  <c r="I2304" i="5" a="1"/>
  <c r="I2305" i="5" a="1"/>
  <c r="I2306" i="5" a="1"/>
  <c r="I2307" i="5" a="1"/>
  <c r="I2308" i="5" a="1"/>
  <c r="I2309" i="5" a="1"/>
  <c r="I2310" i="5" a="1"/>
  <c r="I2311" i="5" a="1"/>
  <c r="I2312" i="5" a="1"/>
  <c r="I2313" i="5" a="1"/>
  <c r="I2314" i="5" a="1"/>
  <c r="I2315" i="5" a="1"/>
  <c r="I2316" i="5" a="1"/>
  <c r="I2317" i="5" a="1"/>
  <c r="I2318" i="5" a="1"/>
  <c r="I2319" i="5" a="1"/>
  <c r="I2320" i="5" a="1"/>
  <c r="I2321" i="5" a="1"/>
  <c r="I2322" i="5" a="1"/>
  <c r="I2323" i="5" a="1"/>
  <c r="I2324" i="5" a="1"/>
  <c r="I2325" i="5" a="1"/>
  <c r="I2326" i="5" a="1"/>
  <c r="I2327" i="5" a="1"/>
  <c r="I2328" i="5" a="1"/>
  <c r="I2329" i="5" a="1"/>
  <c r="I2330" i="5" a="1"/>
  <c r="I2331" i="5" a="1"/>
  <c r="I2332" i="5" a="1"/>
  <c r="I2333" i="5" a="1"/>
  <c r="I2334" i="5" a="1"/>
  <c r="I2335" i="5" a="1"/>
  <c r="I2336" i="5" a="1"/>
  <c r="I2337" i="5" a="1"/>
  <c r="I2338" i="5" a="1"/>
  <c r="I2339" i="5" a="1"/>
  <c r="I2340" i="5" a="1"/>
  <c r="I2341" i="5" a="1"/>
  <c r="I2342" i="5" a="1"/>
  <c r="I2343" i="5" a="1"/>
  <c r="I2344" i="5" a="1"/>
  <c r="I2345" i="5" a="1"/>
  <c r="I2346" i="5" a="1"/>
  <c r="I2347" i="5" a="1"/>
  <c r="I2348" i="5" a="1"/>
  <c r="I2349" i="5" a="1"/>
  <c r="I2350" i="5" a="1"/>
  <c r="I2351" i="5" a="1"/>
  <c r="I2352" i="5" a="1"/>
  <c r="I2353" i="5" a="1"/>
  <c r="I2354" i="5" a="1"/>
  <c r="I2355" i="5" a="1"/>
  <c r="I2356" i="5" a="1"/>
  <c r="I2357" i="5" a="1"/>
  <c r="I2358" i="5" a="1"/>
  <c r="I2359" i="5" a="1"/>
  <c r="I2360" i="5" a="1"/>
  <c r="I2361" i="5" a="1"/>
  <c r="I2362" i="5" a="1"/>
  <c r="I2363" i="5" a="1"/>
  <c r="I2364" i="5" a="1"/>
  <c r="I2365" i="5" a="1"/>
  <c r="I2366" i="5" a="1"/>
  <c r="I2367" i="5" a="1"/>
  <c r="I2368" i="5" a="1"/>
  <c r="I2369" i="5" a="1"/>
  <c r="I2370" i="5" a="1"/>
  <c r="I2371" i="5" a="1"/>
  <c r="I2372" i="5" a="1"/>
  <c r="I2373" i="5" a="1"/>
  <c r="I2374" i="5" a="1"/>
  <c r="I2375" i="5" a="1"/>
  <c r="I2376" i="5" a="1"/>
  <c r="I2377" i="5" a="1"/>
  <c r="I2378" i="5" a="1"/>
  <c r="I2379" i="5" a="1"/>
  <c r="I2380" i="5" a="1"/>
  <c r="I2381" i="5" a="1"/>
  <c r="I2382" i="5" a="1"/>
  <c r="I2383" i="5" a="1"/>
  <c r="I2384" i="5" a="1"/>
  <c r="I2385" i="5" a="1"/>
  <c r="I2386" i="5" a="1"/>
  <c r="I2387" i="5" a="1"/>
  <c r="I2388" i="5" a="1"/>
  <c r="I2389" i="5" a="1"/>
  <c r="I2390" i="5" a="1"/>
  <c r="I2391" i="5" a="1"/>
  <c r="I2392" i="5" a="1"/>
  <c r="I2393" i="5" a="1"/>
  <c r="I2394" i="5" a="1"/>
  <c r="I2395" i="5" a="1"/>
  <c r="I2396" i="5" a="1"/>
  <c r="I2397" i="5" a="1"/>
  <c r="I2398" i="5" a="1"/>
  <c r="I2399" i="5" a="1"/>
  <c r="I2400" i="5" a="1"/>
  <c r="I2401" i="5" a="1"/>
  <c r="I2402" i="5" a="1"/>
  <c r="I2403" i="5" a="1"/>
  <c r="I2404" i="5" a="1"/>
  <c r="I2405" i="5" a="1"/>
  <c r="I2406" i="5" a="1"/>
  <c r="I2407" i="5" a="1"/>
  <c r="I2408" i="5" a="1"/>
  <c r="I2409" i="5" a="1"/>
  <c r="I2410" i="5" a="1"/>
  <c r="I2411" i="5" a="1"/>
  <c r="I2412" i="5" a="1"/>
  <c r="I2413" i="5" a="1"/>
  <c r="I2414" i="5" a="1"/>
  <c r="I2415" i="5" a="1"/>
  <c r="I2416" i="5" a="1"/>
  <c r="I2417" i="5" a="1"/>
  <c r="I2418" i="5" a="1"/>
  <c r="I2419" i="5" a="1"/>
  <c r="I2420" i="5" a="1"/>
  <c r="I2421" i="5" a="1"/>
  <c r="I2422" i="5" a="1"/>
  <c r="I2423" i="5" a="1"/>
  <c r="I2424" i="5" a="1"/>
  <c r="I2425" i="5" a="1"/>
  <c r="I2426" i="5" a="1"/>
  <c r="I2427" i="5" a="1"/>
  <c r="I2428" i="5" a="1"/>
  <c r="I2429" i="5" a="1"/>
  <c r="I2430" i="5" a="1"/>
  <c r="I2431" i="5" a="1"/>
  <c r="I2432" i="5" a="1"/>
  <c r="I2433" i="5" a="1"/>
  <c r="I2434" i="5" a="1"/>
  <c r="I2435" i="5" a="1"/>
  <c r="I2436" i="5" a="1"/>
  <c r="I2437" i="5" a="1"/>
  <c r="I2438" i="5" a="1"/>
  <c r="I2439" i="5" a="1"/>
  <c r="I2440" i="5" a="1"/>
  <c r="I2441" i="5" a="1"/>
  <c r="I2442" i="5" a="1"/>
  <c r="I2443" i="5" a="1"/>
  <c r="I2444" i="5" a="1"/>
  <c r="I2445" i="5" a="1"/>
  <c r="I2446" i="5" a="1"/>
  <c r="I2447" i="5" a="1"/>
  <c r="I2448" i="5" a="1"/>
  <c r="I2449" i="5" a="1"/>
  <c r="I2450" i="5" a="1"/>
  <c r="I2451" i="5" a="1"/>
  <c r="I2452" i="5" a="1"/>
  <c r="I2453" i="5" a="1"/>
  <c r="I2454" i="5" a="1"/>
  <c r="I2455" i="5" a="1"/>
  <c r="I2456" i="5" a="1"/>
  <c r="I2457" i="5" a="1"/>
  <c r="I2458" i="5" a="1"/>
  <c r="I2459" i="5" a="1"/>
  <c r="I2460" i="5" a="1"/>
  <c r="I2461" i="5" a="1"/>
  <c r="I2462" i="5" a="1"/>
  <c r="I2463" i="5" a="1"/>
  <c r="I2464" i="5" a="1"/>
  <c r="I2465" i="5" a="1"/>
  <c r="I2466" i="5" a="1"/>
  <c r="I2467" i="5" a="1"/>
  <c r="I2468" i="5" a="1"/>
  <c r="I2469" i="5" a="1"/>
  <c r="I2470" i="5" a="1"/>
  <c r="I2471" i="5" a="1"/>
  <c r="I2472" i="5" a="1"/>
  <c r="I2473" i="5" a="1"/>
  <c r="I2474" i="5" a="1"/>
  <c r="I2475" i="5" a="1"/>
  <c r="I2476" i="5" a="1"/>
  <c r="I2477" i="5" a="1"/>
  <c r="I2478" i="5" a="1"/>
  <c r="I2479" i="5" a="1"/>
  <c r="I2480" i="5" a="1"/>
  <c r="I2481" i="5" a="1"/>
  <c r="I2482" i="5" a="1"/>
  <c r="I2483" i="5" a="1"/>
  <c r="I2484" i="5" a="1"/>
  <c r="I2485" i="5" a="1"/>
  <c r="I2486" i="5" a="1"/>
  <c r="I2487" i="5" a="1"/>
  <c r="I2488" i="5" a="1"/>
  <c r="I2489" i="5" a="1"/>
  <c r="I2490" i="5" a="1"/>
  <c r="I2491" i="5" a="1"/>
  <c r="I2492" i="5" a="1"/>
  <c r="I2493" i="5" a="1"/>
  <c r="I2494" i="5" a="1"/>
  <c r="I2495" i="5" a="1"/>
  <c r="I2496" i="5" a="1"/>
  <c r="I2497" i="5" a="1"/>
  <c r="I2498" i="5" a="1"/>
  <c r="I2499" i="5" a="1"/>
  <c r="I2500" i="5" a="1"/>
  <c r="I2501" i="5" a="1"/>
  <c r="I2502" i="5" a="1"/>
  <c r="I2503" i="5" a="1"/>
  <c r="I2504" i="5" a="1"/>
  <c r="I2505" i="5" a="1"/>
  <c r="I2506" i="5" a="1"/>
  <c r="I2507" i="5" a="1"/>
  <c r="I2508" i="5" a="1"/>
  <c r="I2509" i="5" a="1"/>
  <c r="I2510" i="5" a="1"/>
  <c r="I2511" i="5" a="1"/>
  <c r="I2512" i="5" a="1"/>
  <c r="I2513" i="5" a="1"/>
  <c r="I2514" i="5" a="1"/>
  <c r="I2515" i="5" a="1"/>
  <c r="I2516" i="5" a="1"/>
  <c r="I2517" i="5" a="1"/>
  <c r="I2518" i="5" a="1"/>
  <c r="I2519" i="5" a="1"/>
  <c r="I2520" i="5" a="1"/>
  <c r="I2521" i="5" a="1"/>
  <c r="I2522" i="5" a="1"/>
  <c r="I2523" i="5" a="1"/>
  <c r="I2524" i="5" a="1"/>
  <c r="I2525" i="5" a="1"/>
  <c r="I2526" i="5" a="1"/>
  <c r="I2527" i="5" a="1"/>
  <c r="I2528" i="5" a="1"/>
  <c r="I2529" i="5" a="1"/>
  <c r="I2530" i="5" a="1"/>
  <c r="I2531" i="5" a="1"/>
  <c r="I2532" i="5" a="1"/>
  <c r="I2533" i="5" a="1"/>
  <c r="I2534" i="5" a="1"/>
  <c r="I2535" i="5" a="1"/>
  <c r="I2536" i="5" a="1"/>
  <c r="I2537" i="5" a="1"/>
  <c r="I2538" i="5" a="1"/>
  <c r="I2539" i="5" a="1"/>
  <c r="I2540" i="5" a="1"/>
  <c r="I2541" i="5" a="1"/>
  <c r="I2542" i="5" a="1"/>
  <c r="I2543" i="5" a="1"/>
  <c r="I2544" i="5" a="1"/>
  <c r="I2545" i="5" a="1"/>
  <c r="I2546" i="5" a="1"/>
  <c r="I2547" i="5" a="1"/>
  <c r="I2548" i="5" a="1"/>
  <c r="I2549" i="5" a="1"/>
  <c r="I2550" i="5" a="1"/>
  <c r="I2551" i="5" a="1"/>
  <c r="I2552" i="5" a="1"/>
  <c r="I2553" i="5" a="1"/>
  <c r="I2554" i="5" a="1"/>
  <c r="I2555" i="5" a="1"/>
  <c r="I2556" i="5" a="1"/>
  <c r="I2557" i="5" a="1"/>
  <c r="I2558" i="5" a="1"/>
  <c r="I2559" i="5" a="1"/>
  <c r="I2560" i="5" a="1"/>
  <c r="I2561" i="5" a="1"/>
  <c r="I2562" i="5" a="1"/>
  <c r="I2563" i="5" a="1"/>
  <c r="I2564" i="5" a="1"/>
  <c r="I2565" i="5" a="1"/>
  <c r="I2566" i="5" a="1"/>
  <c r="I2567" i="5" a="1"/>
  <c r="I2568" i="5" a="1"/>
  <c r="I2569" i="5" a="1"/>
  <c r="I2570" i="5" a="1"/>
  <c r="I2571" i="5" a="1"/>
  <c r="I2572" i="5" a="1"/>
  <c r="I2573" i="5" a="1"/>
  <c r="I2574" i="5" a="1"/>
  <c r="I2575" i="5" a="1"/>
  <c r="I2576" i="5" a="1"/>
  <c r="I2577" i="5" a="1"/>
  <c r="I2578" i="5" a="1"/>
  <c r="I2579" i="5" a="1"/>
  <c r="I2580" i="5" a="1"/>
  <c r="I2581" i="5" a="1"/>
  <c r="I2582" i="5" a="1"/>
  <c r="I2583" i="5" a="1"/>
  <c r="I2584" i="5" a="1"/>
  <c r="I2585" i="5" a="1"/>
  <c r="I2586" i="5" a="1"/>
  <c r="I2587" i="5" a="1"/>
  <c r="I2588" i="5" a="1"/>
  <c r="I2589" i="5" a="1"/>
  <c r="I2590" i="5" a="1"/>
  <c r="I2591" i="5" a="1"/>
  <c r="I2592" i="5" a="1"/>
  <c r="I2593" i="5" a="1"/>
  <c r="I2594" i="5" a="1"/>
  <c r="I2595" i="5" a="1"/>
  <c r="I2596" i="5" a="1"/>
  <c r="I2597" i="5" a="1"/>
  <c r="I2598" i="5" a="1"/>
  <c r="I2599" i="5" a="1"/>
  <c r="I2600" i="5" a="1"/>
  <c r="I2601" i="5" a="1"/>
  <c r="I2602" i="5" a="1"/>
  <c r="I2603" i="5" a="1"/>
  <c r="I2604" i="5" a="1"/>
  <c r="I2605" i="5" a="1"/>
  <c r="I2606" i="5" a="1"/>
  <c r="I2607" i="5" a="1"/>
  <c r="I2608" i="5" a="1"/>
  <c r="I2609" i="5" a="1"/>
  <c r="I2610" i="5" a="1"/>
  <c r="I2611" i="5" a="1"/>
  <c r="I2612" i="5" a="1"/>
  <c r="I2613" i="5" a="1"/>
  <c r="I2614" i="5" a="1"/>
  <c r="I2615" i="5" a="1"/>
  <c r="I2616" i="5" a="1"/>
  <c r="I2617" i="5" a="1"/>
  <c r="I2618" i="5" a="1"/>
  <c r="I2619" i="5" a="1"/>
  <c r="I2620" i="5" a="1"/>
  <c r="I2621" i="5" a="1"/>
  <c r="I2622" i="5" a="1"/>
  <c r="I2623" i="5" a="1"/>
  <c r="I2624" i="5" a="1"/>
  <c r="I2625" i="5" a="1"/>
  <c r="I2626" i="5" a="1"/>
  <c r="I2627" i="5" a="1"/>
  <c r="I2628" i="5" a="1"/>
  <c r="I2629" i="5" a="1"/>
  <c r="I2630" i="5" a="1"/>
  <c r="I2631" i="5" a="1"/>
  <c r="I2632" i="5" a="1"/>
  <c r="I2633" i="5" a="1"/>
  <c r="I2634" i="5" a="1"/>
  <c r="I2635" i="5" a="1"/>
  <c r="I2636" i="5" a="1"/>
  <c r="I2637" i="5" a="1"/>
  <c r="I2638" i="5" a="1"/>
  <c r="I2639" i="5" a="1"/>
  <c r="I2640" i="5" a="1"/>
  <c r="I2641" i="5" a="1"/>
  <c r="I2642" i="5" a="1"/>
  <c r="I2643" i="5" a="1"/>
  <c r="I2644" i="5" a="1"/>
  <c r="I2645" i="5" a="1"/>
  <c r="I2646" i="5" a="1"/>
  <c r="I2647" i="5" a="1"/>
  <c r="I2648" i="5" a="1"/>
  <c r="I2649" i="5" a="1"/>
  <c r="I2650" i="5" a="1"/>
  <c r="I2651" i="5" a="1"/>
  <c r="I2652" i="5" a="1"/>
  <c r="I2653" i="5" a="1"/>
  <c r="I2654" i="5" a="1"/>
  <c r="I2655" i="5" a="1"/>
  <c r="I2656" i="5" a="1"/>
  <c r="I2657" i="5" a="1"/>
  <c r="I2658" i="5" a="1"/>
  <c r="I2659" i="5" a="1"/>
  <c r="I2660" i="5" a="1"/>
  <c r="I2661" i="5" a="1"/>
  <c r="I2662" i="5" a="1"/>
  <c r="I2663" i="5" a="1"/>
  <c r="I2664" i="5" a="1"/>
  <c r="I2665" i="5" a="1"/>
  <c r="I2666" i="5" a="1"/>
  <c r="I2667" i="5" a="1"/>
  <c r="I2668" i="5" a="1"/>
  <c r="I2669" i="5" a="1"/>
  <c r="I2670" i="5" a="1"/>
  <c r="I2671" i="5" a="1"/>
  <c r="I2672" i="5" a="1"/>
  <c r="I2673" i="5" a="1"/>
  <c r="I2674" i="5" a="1"/>
  <c r="I2675" i="5" a="1"/>
  <c r="I2676" i="5" a="1"/>
  <c r="I2677" i="5" a="1"/>
  <c r="I2678" i="5" a="1"/>
  <c r="I2679" i="5" a="1"/>
  <c r="I2680" i="5" a="1"/>
  <c r="I2681" i="5" a="1"/>
  <c r="I2682" i="5" a="1"/>
  <c r="I2683" i="5" a="1"/>
  <c r="I2684" i="5" a="1"/>
  <c r="I2685" i="5" a="1"/>
  <c r="I2686" i="5" a="1"/>
  <c r="I2687" i="5" a="1"/>
  <c r="I2688" i="5" a="1"/>
  <c r="I2689" i="5" a="1"/>
  <c r="I2690" i="5" a="1"/>
  <c r="I2691" i="5" a="1"/>
  <c r="I2692" i="5" a="1"/>
  <c r="I2693" i="5" a="1"/>
  <c r="I2694" i="5" a="1"/>
  <c r="I2695" i="5" a="1"/>
  <c r="I2696" i="5" a="1"/>
  <c r="I2697" i="5" a="1"/>
  <c r="I2698" i="5" a="1"/>
  <c r="I2699" i="5" a="1"/>
  <c r="I2700" i="5" a="1"/>
  <c r="I2701" i="5" a="1"/>
  <c r="I2702" i="5" a="1"/>
  <c r="I2703" i="5" a="1"/>
  <c r="I2704" i="5" a="1"/>
  <c r="I2705" i="5" a="1"/>
  <c r="I2706" i="5" a="1"/>
  <c r="I2707" i="5" a="1"/>
  <c r="I2708" i="5" a="1"/>
  <c r="I2709" i="5" a="1"/>
  <c r="I2710" i="5" a="1"/>
  <c r="I2711" i="5" a="1"/>
  <c r="I2712" i="5" a="1"/>
  <c r="I2713" i="5" a="1"/>
  <c r="I2714" i="5" a="1"/>
  <c r="I2715" i="5" a="1"/>
  <c r="I2716" i="5" a="1"/>
  <c r="I2717" i="5" a="1"/>
  <c r="I2718" i="5" a="1"/>
  <c r="I2719" i="5" a="1"/>
  <c r="I2720" i="5" a="1"/>
  <c r="I2721" i="5" a="1"/>
  <c r="I2722" i="5" a="1"/>
  <c r="I2723" i="5" a="1"/>
  <c r="I2724" i="5" a="1"/>
  <c r="I2725" i="5" a="1"/>
  <c r="I2726" i="5" a="1"/>
  <c r="I2727" i="5" a="1"/>
  <c r="I2728" i="5" a="1"/>
  <c r="I2729" i="5" a="1"/>
  <c r="I2730" i="5" a="1"/>
  <c r="I2731" i="5" a="1"/>
  <c r="I2732" i="5" a="1"/>
  <c r="I2733" i="5" a="1"/>
  <c r="I2734" i="5" a="1"/>
  <c r="I2735" i="5" a="1"/>
  <c r="I2736" i="5" a="1"/>
  <c r="I2737" i="5" a="1"/>
  <c r="I2738" i="5" a="1"/>
  <c r="I2739" i="5" a="1"/>
  <c r="I2740" i="5" a="1"/>
  <c r="I2741" i="5" a="1"/>
  <c r="I2742" i="5" a="1"/>
  <c r="I2743" i="5" a="1"/>
  <c r="I2744" i="5" a="1"/>
  <c r="I2745" i="5" a="1"/>
  <c r="I2746" i="5" a="1"/>
  <c r="I2747" i="5" a="1"/>
  <c r="I2748" i="5" a="1"/>
  <c r="I2749" i="5" a="1"/>
  <c r="I2750" i="5" a="1"/>
  <c r="I2751" i="5" a="1"/>
  <c r="I2752" i="5" a="1"/>
  <c r="I2753" i="5" a="1"/>
  <c r="I2754" i="5" a="1"/>
  <c r="I2755" i="5" a="1"/>
  <c r="I2756" i="5" a="1"/>
  <c r="I2757" i="5" a="1"/>
  <c r="I2758" i="5" a="1"/>
  <c r="I2759" i="5" a="1"/>
  <c r="I2760" i="5" a="1"/>
  <c r="I2761" i="5" a="1"/>
  <c r="I2762" i="5" a="1"/>
  <c r="I2763" i="5" a="1"/>
  <c r="I2764" i="5" a="1"/>
  <c r="I2765" i="5" a="1"/>
  <c r="I2766" i="5" a="1"/>
  <c r="I2767" i="5" a="1"/>
  <c r="I2768" i="5" a="1"/>
  <c r="I2769" i="5" a="1"/>
  <c r="I2770" i="5" a="1"/>
  <c r="I2771" i="5" a="1"/>
  <c r="I2772" i="5" a="1"/>
  <c r="I2773" i="5" a="1"/>
  <c r="I2774" i="5" a="1"/>
  <c r="I2775" i="5" a="1"/>
  <c r="I2776" i="5" a="1"/>
  <c r="I2777" i="5" a="1"/>
  <c r="I2778" i="5" a="1"/>
  <c r="I2779" i="5" a="1"/>
  <c r="I2780" i="5" a="1"/>
  <c r="I2781" i="5" a="1"/>
  <c r="I2782" i="5" a="1"/>
  <c r="I2783" i="5" a="1"/>
  <c r="I2784" i="5" a="1"/>
  <c r="I2785" i="5" a="1"/>
  <c r="I2786" i="5" a="1"/>
  <c r="I2787" i="5" a="1"/>
  <c r="I2788" i="5" a="1"/>
  <c r="I2789" i="5" a="1"/>
  <c r="I2790" i="5" a="1"/>
  <c r="I2791" i="5" a="1"/>
  <c r="I2792" i="5" a="1"/>
  <c r="I2793" i="5" a="1"/>
  <c r="I2794" i="5" a="1"/>
  <c r="I2795" i="5" a="1"/>
  <c r="I2796" i="5" a="1"/>
  <c r="I2797" i="5" a="1"/>
  <c r="I2798" i="5" a="1"/>
  <c r="I2799" i="5" a="1"/>
  <c r="I2800" i="5" a="1"/>
  <c r="I2801" i="5" a="1"/>
  <c r="I2802" i="5" a="1"/>
  <c r="I2803" i="5" a="1"/>
  <c r="I2804" i="5" a="1"/>
  <c r="I2805" i="5" a="1"/>
  <c r="I2806" i="5" a="1"/>
  <c r="I2807" i="5" a="1"/>
  <c r="I2808" i="5" a="1"/>
  <c r="I2809" i="5" a="1"/>
  <c r="I2810" i="5" a="1"/>
  <c r="I2811" i="5" a="1"/>
  <c r="I2812" i="5" a="1"/>
  <c r="I2813" i="5" a="1"/>
  <c r="I2814" i="5" a="1"/>
  <c r="I2815" i="5" a="1"/>
  <c r="I2816" i="5" a="1"/>
  <c r="I2817" i="5" a="1"/>
  <c r="I2818" i="5" a="1"/>
  <c r="I2819" i="5" a="1"/>
  <c r="I2820" i="5" a="1"/>
  <c r="I2821" i="5" a="1"/>
  <c r="I2822" i="5" a="1"/>
  <c r="I2823" i="5" a="1"/>
  <c r="I2824" i="5" a="1"/>
  <c r="I2825" i="5" a="1"/>
  <c r="I2826" i="5" a="1"/>
  <c r="I2827" i="5" a="1"/>
  <c r="I2828" i="5" a="1"/>
  <c r="I2829" i="5" a="1"/>
  <c r="I2830" i="5" a="1"/>
  <c r="I2831" i="5" a="1"/>
  <c r="I2832" i="5" a="1"/>
  <c r="I2833" i="5" a="1"/>
  <c r="I2834" i="5" a="1"/>
  <c r="I2835" i="5" a="1"/>
  <c r="I2836" i="5" a="1"/>
  <c r="I2837" i="5" a="1"/>
  <c r="I2838" i="5" a="1"/>
  <c r="I2839" i="5" a="1"/>
  <c r="I2840" i="5" a="1"/>
  <c r="I2841" i="5" a="1"/>
  <c r="I2842" i="5" a="1"/>
  <c r="I2843" i="5" a="1"/>
  <c r="I2844" i="5" a="1"/>
  <c r="I2845" i="5" a="1"/>
  <c r="I2846" i="5" a="1"/>
  <c r="I2847" i="5" a="1"/>
  <c r="I2848" i="5" a="1"/>
  <c r="I2849" i="5" a="1"/>
  <c r="I2850" i="5" a="1"/>
  <c r="I2851" i="5" a="1"/>
  <c r="I2852" i="5" a="1"/>
  <c r="I2853" i="5" a="1"/>
  <c r="I2854" i="5" a="1"/>
  <c r="I2855" i="5" a="1"/>
  <c r="I2856" i="5" a="1"/>
  <c r="I2857" i="5" a="1"/>
  <c r="I2858" i="5" a="1"/>
  <c r="I2859" i="5" a="1"/>
  <c r="I2860" i="5" a="1"/>
  <c r="I2861" i="5" a="1"/>
  <c r="I2862" i="5" a="1"/>
  <c r="I2863" i="5" a="1"/>
  <c r="I2864" i="5" a="1"/>
  <c r="I2865" i="5" a="1"/>
  <c r="I2866" i="5" a="1"/>
  <c r="I2867" i="5" a="1"/>
  <c r="I2868" i="5" a="1"/>
  <c r="I2869" i="5" a="1"/>
  <c r="I2870" i="5" a="1"/>
  <c r="I2871" i="5" a="1"/>
  <c r="I2872" i="5" a="1"/>
  <c r="I2873" i="5" a="1"/>
  <c r="I2874" i="5" a="1"/>
  <c r="I2875" i="5" a="1"/>
  <c r="I2876" i="5" a="1"/>
  <c r="I2877" i="5" a="1"/>
  <c r="I2878" i="5" a="1"/>
  <c r="I2879" i="5" a="1"/>
  <c r="I2880" i="5" a="1"/>
  <c r="I2881" i="5" a="1"/>
  <c r="I2882" i="5" a="1"/>
  <c r="I2883" i="5" a="1"/>
  <c r="I2884" i="5" a="1"/>
  <c r="I2885" i="5" a="1"/>
  <c r="I2886" i="5" a="1"/>
  <c r="I2887" i="5" a="1"/>
  <c r="I2888" i="5" a="1"/>
  <c r="I2889" i="5" a="1"/>
  <c r="I2890" i="5" a="1"/>
  <c r="I2891" i="5" a="1"/>
  <c r="I2892" i="5" a="1"/>
  <c r="I2893" i="5" a="1"/>
  <c r="I2894" i="5" a="1"/>
  <c r="I2895" i="5" a="1"/>
  <c r="I2896" i="5" a="1"/>
  <c r="I2897" i="5" a="1"/>
  <c r="I2898" i="5" a="1"/>
  <c r="I2899" i="5" a="1"/>
  <c r="I2900" i="5" a="1"/>
  <c r="I2901" i="5" a="1"/>
  <c r="I2902" i="5" a="1"/>
  <c r="I2903" i="5" a="1"/>
  <c r="I2904" i="5" a="1"/>
  <c r="I2905" i="5" a="1"/>
  <c r="I2906" i="5" a="1"/>
  <c r="I2907" i="5" a="1"/>
  <c r="I2908" i="5" a="1"/>
  <c r="I2909" i="5" a="1"/>
  <c r="I2910" i="5" a="1"/>
  <c r="I2911" i="5" a="1"/>
  <c r="I2912" i="5" a="1"/>
  <c r="I2913" i="5" a="1"/>
  <c r="I2914" i="5" a="1"/>
  <c r="I2915" i="5" a="1"/>
  <c r="I2916" i="5" a="1"/>
  <c r="I2917" i="5" a="1"/>
  <c r="I2918" i="5" a="1"/>
  <c r="I2919" i="5" a="1"/>
  <c r="I2920" i="5" a="1"/>
  <c r="I2921" i="5" a="1"/>
  <c r="I2922" i="5" a="1"/>
  <c r="I2923" i="5" a="1"/>
  <c r="I2924" i="5" a="1"/>
  <c r="I2925" i="5" a="1"/>
  <c r="I2926" i="5" a="1"/>
  <c r="I2927" i="5" a="1"/>
  <c r="I2928" i="5" a="1"/>
  <c r="I2929" i="5" a="1"/>
  <c r="I2930" i="5" a="1"/>
  <c r="I2931" i="5" a="1"/>
  <c r="I2932" i="5" a="1"/>
  <c r="I2933" i="5" a="1"/>
  <c r="I2934" i="5" a="1"/>
  <c r="I2935" i="5" a="1"/>
  <c r="I2936" i="5" a="1"/>
  <c r="I2937" i="5" a="1"/>
  <c r="I2938" i="5" a="1"/>
  <c r="I2939" i="5" a="1"/>
  <c r="I2940" i="5" a="1"/>
  <c r="I2941" i="5" a="1"/>
  <c r="I2942" i="5" a="1"/>
  <c r="I2943" i="5" a="1"/>
  <c r="I2944" i="5" a="1"/>
  <c r="I2945" i="5" a="1"/>
  <c r="I2946" i="5" a="1"/>
  <c r="I2947" i="5" a="1"/>
  <c r="I2948" i="5" a="1"/>
  <c r="I2949" i="5" a="1"/>
  <c r="I2950" i="5" a="1"/>
  <c r="I2951" i="5" a="1"/>
  <c r="I2952" i="5" a="1"/>
  <c r="I2953" i="5" a="1"/>
  <c r="I2954" i="5" a="1"/>
  <c r="I2955" i="5" a="1"/>
  <c r="I2956" i="5" a="1"/>
  <c r="I2957" i="5" a="1"/>
  <c r="I2958" i="5" a="1"/>
  <c r="I2959" i="5" a="1"/>
  <c r="I2960" i="5" a="1"/>
  <c r="I2961" i="5" a="1"/>
  <c r="I2962" i="5" a="1"/>
  <c r="I2963" i="5" a="1"/>
  <c r="I2964" i="5" a="1"/>
  <c r="I2965" i="5" a="1"/>
  <c r="I2966" i="5" a="1"/>
  <c r="I2967" i="5" a="1"/>
  <c r="I2968" i="5" a="1"/>
  <c r="I2969" i="5" a="1"/>
  <c r="I2970" i="5" a="1"/>
  <c r="I2971" i="5" a="1"/>
  <c r="I2972" i="5" a="1"/>
  <c r="I2973" i="5" a="1"/>
  <c r="I2974" i="5" a="1"/>
  <c r="I2975" i="5" a="1"/>
  <c r="I2976" i="5" a="1"/>
  <c r="I2977" i="5" a="1"/>
  <c r="I2978" i="5" a="1"/>
  <c r="I2979" i="5" a="1"/>
  <c r="I2980" i="5" a="1"/>
  <c r="I2981" i="5" a="1"/>
  <c r="I2982" i="5" a="1"/>
  <c r="I2983" i="5" a="1"/>
  <c r="I2984" i="5" a="1"/>
  <c r="I2985" i="5" a="1"/>
  <c r="I2986" i="5" a="1"/>
  <c r="I2987" i="5" a="1"/>
  <c r="I2988" i="5" a="1"/>
  <c r="I2989" i="5" a="1"/>
  <c r="I2990" i="5" a="1"/>
  <c r="I2991" i="5" a="1"/>
  <c r="I2992" i="5" a="1"/>
  <c r="I2993" i="5" a="1"/>
  <c r="I2994" i="5" a="1"/>
  <c r="I2995" i="5" a="1"/>
  <c r="I2996" i="5" a="1"/>
  <c r="I2997" i="5" a="1"/>
  <c r="I2998" i="5" a="1"/>
  <c r="I2999" i="5" a="1"/>
  <c r="I3000" i="5" a="1"/>
  <c r="I3001" i="5" a="1"/>
  <c r="I3002" i="5" a="1"/>
  <c r="I3003" i="5" a="1"/>
  <c r="I3004" i="5" a="1"/>
  <c r="I3005" i="5" a="1"/>
  <c r="I3006" i="5" a="1"/>
  <c r="I3007" i="5" a="1"/>
  <c r="I3008" i="5" a="1"/>
  <c r="I3009" i="5" a="1"/>
  <c r="I3010" i="5" a="1"/>
  <c r="I3011" i="5" a="1"/>
  <c r="I3012" i="5" a="1"/>
  <c r="I3013" i="5" a="1"/>
  <c r="I3014" i="5" a="1"/>
  <c r="I3015" i="5" a="1"/>
  <c r="I3016" i="5" a="1"/>
  <c r="I3017" i="5" a="1"/>
  <c r="I3018" i="5" a="1"/>
  <c r="I3019" i="5" a="1"/>
  <c r="I3020" i="5" a="1"/>
  <c r="I3021" i="5" a="1"/>
  <c r="I3022" i="5" a="1"/>
  <c r="I3023" i="5" a="1"/>
  <c r="I3024" i="5" a="1"/>
  <c r="I3025" i="5" a="1"/>
  <c r="I3026" i="5" a="1"/>
  <c r="I3027" i="5" a="1"/>
  <c r="I3028" i="5" a="1"/>
  <c r="I3029" i="5" a="1"/>
  <c r="I3030" i="5" a="1"/>
  <c r="I3031" i="5" a="1"/>
  <c r="I3032" i="5" a="1"/>
  <c r="I3033" i="5" a="1"/>
  <c r="I3034" i="5" a="1"/>
  <c r="I3035" i="5" a="1"/>
  <c r="I3036" i="5" a="1"/>
  <c r="I3037" i="5" a="1"/>
  <c r="I3038" i="5" a="1"/>
  <c r="I3039" i="5" a="1"/>
  <c r="I3040" i="5" a="1"/>
  <c r="I3041" i="5" a="1"/>
  <c r="I3042" i="5" a="1"/>
  <c r="I3043" i="5" a="1"/>
  <c r="I3044" i="5" a="1"/>
  <c r="I3045" i="5" a="1"/>
  <c r="I3046" i="5" a="1"/>
  <c r="I3047" i="5" a="1"/>
  <c r="I3048" i="5" a="1"/>
  <c r="I3049" i="5" a="1"/>
  <c r="I3050" i="5" a="1"/>
  <c r="I3051" i="5" a="1"/>
  <c r="I3052" i="5" a="1"/>
  <c r="I3053" i="5" a="1"/>
  <c r="I3054" i="5" a="1"/>
  <c r="I3055" i="5" a="1"/>
  <c r="I3056" i="5" a="1"/>
  <c r="I3057" i="5" a="1"/>
  <c r="I3058" i="5" a="1"/>
  <c r="I3059" i="5" a="1"/>
  <c r="I3060" i="5" a="1"/>
  <c r="I3061" i="5" a="1"/>
  <c r="I3062" i="5" a="1"/>
  <c r="I3063" i="5" a="1"/>
  <c r="I3064" i="5" a="1"/>
  <c r="I3065" i="5" a="1"/>
  <c r="I3066" i="5" a="1"/>
  <c r="I3067" i="5" a="1"/>
  <c r="I3068" i="5" a="1"/>
  <c r="I3069" i="5" a="1"/>
  <c r="I3070" i="5" a="1"/>
  <c r="I3071" i="5" a="1"/>
  <c r="I3072" i="5" a="1"/>
  <c r="I3073" i="5" a="1"/>
  <c r="I3074" i="5" a="1"/>
  <c r="I3075" i="5" a="1"/>
  <c r="I3076" i="5" a="1"/>
  <c r="I3077" i="5" a="1"/>
  <c r="I3078" i="5" a="1"/>
  <c r="I3079" i="5" a="1"/>
  <c r="I3080" i="5" a="1"/>
  <c r="I3081" i="5" a="1"/>
  <c r="I3082" i="5" a="1"/>
  <c r="I3083" i="5" a="1"/>
  <c r="I3084" i="5" a="1"/>
  <c r="I3085" i="5" a="1"/>
  <c r="I3086" i="5" a="1"/>
  <c r="I3087" i="5" a="1"/>
  <c r="I3088" i="5" a="1"/>
  <c r="I3089" i="5" a="1"/>
  <c r="I3090" i="5" a="1"/>
  <c r="I3091" i="5" a="1"/>
  <c r="I3092" i="5" a="1"/>
  <c r="I3093" i="5" a="1"/>
  <c r="I3094" i="5" a="1"/>
  <c r="I3095" i="5" a="1"/>
  <c r="I3096" i="5" a="1"/>
  <c r="I3097" i="5" a="1"/>
  <c r="I3098" i="5" a="1"/>
  <c r="I3099" i="5" a="1"/>
  <c r="I3100" i="5" a="1"/>
  <c r="I3101" i="5" a="1"/>
  <c r="I3102" i="5" a="1"/>
  <c r="I3103" i="5" a="1"/>
  <c r="I3104" i="5" a="1"/>
  <c r="I3105" i="5" a="1"/>
  <c r="I3106" i="5" a="1"/>
  <c r="I3107" i="5" a="1"/>
  <c r="I3108" i="5" a="1"/>
  <c r="I3109" i="5" a="1"/>
  <c r="I3110" i="5" a="1"/>
  <c r="I3111" i="5" a="1"/>
  <c r="I3112" i="5" a="1"/>
  <c r="I3113" i="5" a="1"/>
  <c r="I3114" i="5" a="1"/>
  <c r="I3115" i="5" a="1"/>
  <c r="I3116" i="5" a="1"/>
  <c r="I3117" i="5" a="1"/>
  <c r="I3118" i="5" a="1"/>
  <c r="I3119" i="5" a="1"/>
  <c r="I3120" i="5" a="1"/>
  <c r="I3121" i="5" a="1"/>
  <c r="I3122" i="5" a="1"/>
  <c r="I3123" i="5" a="1"/>
  <c r="I3124" i="5" a="1"/>
  <c r="I3125" i="5" a="1"/>
  <c r="I3126" i="5" a="1"/>
  <c r="I3127" i="5" a="1"/>
  <c r="I3128" i="5" a="1"/>
  <c r="I3129" i="5" a="1"/>
  <c r="I3130" i="5" a="1"/>
  <c r="I3131" i="5" a="1"/>
  <c r="I3132" i="5" a="1"/>
  <c r="I3133" i="5" a="1"/>
  <c r="I3134" i="5" a="1"/>
  <c r="I3135" i="5" a="1"/>
  <c r="I3136" i="5" a="1"/>
  <c r="I3137" i="5" a="1"/>
  <c r="I3138" i="5" a="1"/>
  <c r="I3139" i="5" a="1"/>
  <c r="I3140" i="5" a="1"/>
  <c r="I3141" i="5" a="1"/>
  <c r="I3142" i="5" a="1"/>
  <c r="I3143" i="5" a="1"/>
  <c r="I3144" i="5" a="1"/>
  <c r="I3145" i="5" a="1"/>
  <c r="I3146" i="5" a="1"/>
  <c r="I3147" i="5" a="1"/>
  <c r="I3148" i="5" a="1"/>
  <c r="I3149" i="5" a="1"/>
  <c r="I3150" i="5" a="1"/>
  <c r="I3151" i="5" a="1"/>
  <c r="I3152" i="5" a="1"/>
  <c r="I3153" i="5" a="1"/>
  <c r="I3154" i="5" a="1"/>
  <c r="I3155" i="5" a="1"/>
  <c r="I3156" i="5" a="1"/>
  <c r="I3157" i="5" a="1"/>
  <c r="I3158" i="5" a="1"/>
  <c r="I3159" i="5" a="1"/>
  <c r="I3160" i="5" a="1"/>
  <c r="I3161" i="5" a="1"/>
  <c r="I3162" i="5" a="1"/>
  <c r="I3163" i="5" a="1"/>
  <c r="I3164" i="5" a="1"/>
  <c r="I3165" i="5" a="1"/>
  <c r="I3166" i="5" a="1"/>
  <c r="I3167" i="5" a="1"/>
  <c r="I3168" i="5" a="1"/>
  <c r="I3169" i="5" a="1"/>
  <c r="I3170" i="5" a="1"/>
  <c r="I3171" i="5" a="1"/>
  <c r="I3172" i="5" a="1"/>
  <c r="I3173" i="5" a="1"/>
  <c r="I3174" i="5" a="1"/>
  <c r="I3175" i="5" a="1"/>
  <c r="I3176" i="5" a="1"/>
  <c r="I3177" i="5" a="1"/>
  <c r="I3178" i="5" a="1"/>
  <c r="I3179" i="5" a="1"/>
  <c r="I3180" i="5" a="1"/>
  <c r="I3181" i="5" a="1"/>
  <c r="I3182" i="5" a="1"/>
  <c r="I3183" i="5" a="1"/>
  <c r="I3184" i="5" a="1"/>
  <c r="I3185" i="5" a="1"/>
  <c r="I3186" i="5" a="1"/>
  <c r="I3187" i="5" a="1"/>
  <c r="I3188" i="5" a="1"/>
  <c r="I3189" i="5" a="1"/>
  <c r="I3190" i="5" a="1"/>
  <c r="I3191" i="5" a="1"/>
  <c r="I3192" i="5" a="1"/>
  <c r="I3193" i="5" a="1"/>
  <c r="I3194" i="5" a="1"/>
  <c r="I3195" i="5" a="1"/>
  <c r="I3196" i="5" a="1"/>
  <c r="I3197" i="5" a="1"/>
  <c r="I3198" i="5" a="1"/>
  <c r="I3199" i="5" a="1"/>
  <c r="I3200" i="5" a="1"/>
  <c r="I3201" i="5" a="1"/>
  <c r="I3202" i="5" a="1"/>
  <c r="I3203" i="5" a="1"/>
  <c r="I3204" i="5" a="1"/>
  <c r="I3205" i="5" a="1"/>
  <c r="I3206" i="5" a="1"/>
  <c r="I3207" i="5" a="1"/>
  <c r="I3208" i="5" a="1"/>
  <c r="I3209" i="5" a="1"/>
  <c r="I3210" i="5" a="1"/>
  <c r="I3211" i="5" a="1"/>
  <c r="I3212" i="5" a="1"/>
  <c r="I3213" i="5" a="1"/>
  <c r="I3214" i="5" a="1"/>
  <c r="I3215" i="5" a="1"/>
  <c r="I3216" i="5" a="1"/>
  <c r="I3217" i="5" a="1"/>
  <c r="I3218" i="5" a="1"/>
  <c r="I3219" i="5" a="1"/>
  <c r="I3220" i="5" a="1"/>
  <c r="I3221" i="5" a="1"/>
  <c r="I3222" i="5" a="1"/>
  <c r="I3223" i="5" a="1"/>
  <c r="I3224" i="5" a="1"/>
  <c r="I3225" i="5" a="1"/>
  <c r="I3226" i="5" a="1"/>
  <c r="I3227" i="5" a="1"/>
  <c r="I3228" i="5" a="1"/>
  <c r="I3229" i="5" a="1"/>
  <c r="I3230" i="5" a="1"/>
  <c r="I3231" i="5" a="1"/>
  <c r="I3232" i="5" a="1"/>
  <c r="I3233" i="5" a="1"/>
  <c r="I3234" i="5" a="1"/>
  <c r="I3235" i="5" a="1"/>
  <c r="I3236" i="5" a="1"/>
  <c r="I3237" i="5" a="1"/>
  <c r="I3238" i="5" a="1"/>
  <c r="I3239" i="5" a="1"/>
  <c r="I3240" i="5" a="1"/>
  <c r="I3241" i="5" a="1"/>
  <c r="I3242" i="5" a="1"/>
  <c r="I3243" i="5" a="1"/>
  <c r="I3244" i="5" a="1"/>
  <c r="I3245" i="5" a="1"/>
  <c r="I3246" i="5" a="1"/>
  <c r="I3247" i="5" a="1"/>
  <c r="I3248" i="5" a="1"/>
  <c r="I3249" i="5" a="1"/>
  <c r="I3250" i="5" a="1"/>
  <c r="I3251" i="5" a="1"/>
  <c r="I3252" i="5" a="1"/>
  <c r="I3253" i="5" a="1"/>
  <c r="I3254" i="5" a="1"/>
  <c r="I3255" i="5" a="1"/>
  <c r="I3256" i="5" a="1"/>
  <c r="I3257" i="5" a="1"/>
  <c r="I3258" i="5" a="1"/>
  <c r="I3259" i="5" a="1"/>
  <c r="I3260" i="5" a="1"/>
  <c r="I3261" i="5" a="1"/>
  <c r="I3262" i="5" a="1"/>
  <c r="I3263" i="5" a="1"/>
  <c r="I3264" i="5" a="1"/>
  <c r="I3265" i="5" a="1"/>
  <c r="I3266" i="5" a="1"/>
  <c r="I3267" i="5" a="1"/>
  <c r="I3268" i="5" a="1"/>
  <c r="I3269" i="5" a="1"/>
  <c r="I3270" i="5" a="1"/>
  <c r="I3271" i="5" a="1"/>
  <c r="I3272" i="5" a="1"/>
  <c r="I3273" i="5" a="1"/>
  <c r="I3274" i="5" a="1"/>
  <c r="I3275" i="5" a="1"/>
  <c r="I3276" i="5" a="1"/>
  <c r="I3277" i="5" a="1"/>
  <c r="I3278" i="5" a="1"/>
  <c r="I3279" i="5" a="1"/>
  <c r="I3280" i="5" a="1"/>
  <c r="I3281" i="5" a="1"/>
  <c r="I3282" i="5" a="1"/>
  <c r="I3283" i="5" a="1"/>
  <c r="I3284" i="5" a="1"/>
  <c r="I3285" i="5" a="1"/>
  <c r="I3286" i="5" a="1"/>
  <c r="I3287" i="5" a="1"/>
  <c r="I3288" i="5" a="1"/>
  <c r="I3289" i="5" a="1"/>
  <c r="I3290" i="5" a="1"/>
  <c r="I3291" i="5" a="1"/>
  <c r="I3292" i="5" a="1"/>
  <c r="I3293" i="5" a="1"/>
  <c r="I3294" i="5" a="1"/>
  <c r="I3295" i="5" a="1"/>
  <c r="I3296" i="5" a="1"/>
  <c r="I3297" i="5" a="1"/>
  <c r="I3298" i="5" a="1"/>
  <c r="I3299" i="5" a="1"/>
  <c r="I3300" i="5" a="1"/>
  <c r="I3301" i="5" a="1"/>
  <c r="I3302" i="5" a="1"/>
  <c r="I3303" i="5" a="1"/>
  <c r="I3304" i="5" a="1"/>
  <c r="I3305" i="5" a="1"/>
  <c r="I3306" i="5" a="1"/>
  <c r="I3307" i="5" a="1"/>
  <c r="I3308" i="5" a="1"/>
  <c r="I3309" i="5" a="1"/>
  <c r="I3310" i="5" a="1"/>
  <c r="I3311" i="5" a="1"/>
  <c r="I3312" i="5" a="1"/>
  <c r="I3313" i="5" a="1"/>
  <c r="I3314" i="5" a="1"/>
  <c r="I3315" i="5" a="1"/>
  <c r="I3316" i="5" a="1"/>
  <c r="I3317" i="5" a="1"/>
  <c r="I3318" i="5" a="1"/>
  <c r="I3319" i="5" a="1"/>
  <c r="I3320" i="5" a="1"/>
  <c r="I3321" i="5" a="1"/>
  <c r="I3322" i="5" a="1"/>
  <c r="I3323" i="5" a="1"/>
  <c r="I3324" i="5" a="1"/>
  <c r="I3325" i="5" a="1"/>
  <c r="I3326" i="5" a="1"/>
  <c r="I3327" i="5" a="1"/>
  <c r="I3328" i="5" a="1"/>
  <c r="I3329" i="5" a="1"/>
  <c r="I3330" i="5" a="1"/>
  <c r="I3331" i="5" a="1"/>
  <c r="I3332" i="5" a="1"/>
  <c r="I3333" i="5" a="1"/>
  <c r="I3334" i="5" a="1"/>
  <c r="I3335" i="5" a="1"/>
  <c r="I3336" i="5" a="1"/>
  <c r="I3337" i="5" a="1"/>
  <c r="I3338" i="5" a="1"/>
  <c r="I3339" i="5" a="1"/>
  <c r="I3340" i="5" a="1"/>
  <c r="I3341" i="5" a="1"/>
  <c r="I3342" i="5" a="1"/>
  <c r="I3343" i="5" a="1"/>
  <c r="I3344" i="5" a="1"/>
  <c r="I3345" i="5" a="1"/>
  <c r="I3346" i="5" a="1"/>
  <c r="I3347" i="5" a="1"/>
  <c r="I3348" i="5" a="1"/>
  <c r="I3349" i="5" a="1"/>
  <c r="I3350" i="5" a="1"/>
  <c r="I3351" i="5" a="1"/>
  <c r="I3352" i="5" a="1"/>
  <c r="I3353" i="5" a="1"/>
  <c r="I3354" i="5" a="1"/>
  <c r="I3355" i="5" a="1"/>
  <c r="I3356" i="5" a="1"/>
  <c r="I3357" i="5" a="1"/>
  <c r="I3358" i="5" a="1"/>
  <c r="I3359" i="5" a="1"/>
  <c r="I3360" i="5" a="1"/>
  <c r="I3361" i="5" a="1"/>
  <c r="I3362" i="5" a="1"/>
  <c r="I3363" i="5" a="1"/>
  <c r="I3364" i="5" a="1"/>
  <c r="I3365" i="5" a="1"/>
  <c r="I3366" i="5" a="1"/>
  <c r="I3367" i="5" a="1"/>
  <c r="I3368" i="5" a="1"/>
  <c r="I3369" i="5" a="1"/>
  <c r="I3370" i="5" a="1"/>
  <c r="I3371" i="5" a="1"/>
  <c r="I3372" i="5" a="1"/>
  <c r="I3373" i="5" a="1"/>
  <c r="I3374" i="5" a="1"/>
  <c r="I3375" i="5" a="1"/>
  <c r="I3376" i="5" a="1"/>
  <c r="I3377" i="5" a="1"/>
  <c r="I3378" i="5" a="1"/>
  <c r="I3379" i="5" a="1"/>
  <c r="I3380" i="5" a="1"/>
  <c r="I3381" i="5" a="1"/>
  <c r="I3382" i="5" a="1"/>
  <c r="I3383" i="5" a="1"/>
  <c r="I3384" i="5" a="1"/>
  <c r="I3385" i="5" a="1"/>
  <c r="I3386" i="5" a="1"/>
  <c r="I3387" i="5" a="1"/>
  <c r="I3388" i="5" a="1"/>
  <c r="I3389" i="5" a="1"/>
  <c r="I3390" i="5" a="1"/>
  <c r="I3391" i="5" a="1"/>
  <c r="I3392" i="5" a="1"/>
  <c r="I3393" i="5" a="1"/>
  <c r="I3394" i="5" a="1"/>
  <c r="I3395" i="5" a="1"/>
  <c r="I3396" i="5" a="1"/>
  <c r="I3397" i="5" a="1"/>
  <c r="I3398" i="5" a="1"/>
  <c r="I3399" i="5" a="1"/>
  <c r="I3400" i="5" a="1"/>
  <c r="I3401" i="5" a="1"/>
  <c r="I3402" i="5" a="1"/>
  <c r="I3403" i="5" a="1"/>
  <c r="I3404" i="5" a="1"/>
  <c r="I3405" i="5" a="1"/>
  <c r="I3406" i="5" a="1"/>
  <c r="I3407" i="5" a="1"/>
  <c r="I3408" i="5" a="1"/>
  <c r="I3409" i="5" a="1"/>
  <c r="I3410" i="5" a="1"/>
  <c r="I3411" i="5" a="1"/>
  <c r="I3412" i="5" a="1"/>
  <c r="I3413" i="5" a="1"/>
  <c r="I3414" i="5" a="1"/>
  <c r="I3415" i="5" a="1"/>
  <c r="I3416" i="5" a="1"/>
  <c r="I3417" i="5" a="1"/>
  <c r="I3418" i="5" a="1"/>
  <c r="I3419" i="5" a="1"/>
  <c r="I3420" i="5" a="1"/>
  <c r="I3421" i="5" a="1"/>
  <c r="I3422" i="5" a="1"/>
  <c r="I3423" i="5" a="1"/>
  <c r="I3424" i="5" a="1"/>
  <c r="I3425" i="5" a="1"/>
  <c r="I3426" i="5" a="1"/>
  <c r="I3427" i="5" a="1"/>
  <c r="I3428" i="5" a="1"/>
  <c r="I3429" i="5" a="1"/>
  <c r="I3430" i="5" a="1"/>
  <c r="I3431" i="5" a="1"/>
  <c r="I3432" i="5" a="1"/>
  <c r="I3433" i="5" a="1"/>
  <c r="I3434" i="5" a="1"/>
  <c r="I3435" i="5" a="1"/>
  <c r="I3436" i="5" a="1"/>
  <c r="I3437" i="5" a="1"/>
  <c r="I3438" i="5" a="1"/>
  <c r="I3439" i="5" a="1"/>
  <c r="I3440" i="5" a="1"/>
  <c r="I3441" i="5" a="1"/>
  <c r="I3442" i="5" a="1"/>
  <c r="I3443" i="5" a="1"/>
  <c r="I3444" i="5" a="1"/>
  <c r="I3445" i="5" a="1"/>
  <c r="I3446" i="5" a="1"/>
  <c r="I3447" i="5" a="1"/>
  <c r="I3448" i="5" a="1"/>
  <c r="I3449" i="5" a="1"/>
  <c r="I3450" i="5" a="1"/>
  <c r="I3451" i="5" a="1"/>
  <c r="I3452" i="5" a="1"/>
  <c r="I3453" i="5" a="1"/>
  <c r="I3454" i="5" a="1"/>
  <c r="I3455" i="5" a="1"/>
  <c r="I3456" i="5" a="1"/>
  <c r="I3457" i="5" a="1"/>
  <c r="I3458" i="5" a="1"/>
  <c r="I3459" i="5" a="1"/>
  <c r="I3460" i="5" a="1"/>
  <c r="I3461" i="5" a="1"/>
  <c r="I3462" i="5" a="1"/>
  <c r="I3463" i="5" a="1"/>
  <c r="I3464" i="5" a="1"/>
  <c r="I3465" i="5" a="1"/>
  <c r="I3466" i="5" a="1"/>
  <c r="I3467" i="5" a="1"/>
  <c r="I3468" i="5" a="1"/>
  <c r="I3469" i="5" a="1"/>
  <c r="I3470" i="5" a="1"/>
  <c r="I3471" i="5" a="1"/>
  <c r="I3472" i="5" a="1"/>
  <c r="I3473" i="5" a="1"/>
  <c r="I3474" i="5" a="1"/>
  <c r="I3475" i="5" a="1"/>
  <c r="I3476" i="5" a="1"/>
  <c r="I3477" i="5" a="1"/>
  <c r="I3478" i="5" a="1"/>
  <c r="I3479" i="5" a="1"/>
  <c r="I3480" i="5" a="1"/>
  <c r="I3481" i="5" a="1"/>
  <c r="I3482" i="5" a="1"/>
  <c r="I3483" i="5" a="1"/>
  <c r="I3484" i="5" a="1"/>
  <c r="I3485" i="5" a="1"/>
  <c r="I3486" i="5" a="1"/>
  <c r="I3487" i="5" a="1"/>
  <c r="I3488" i="5" a="1"/>
  <c r="I3489" i="5" a="1"/>
  <c r="I3490" i="5" a="1"/>
  <c r="I3491" i="5" a="1"/>
  <c r="I3492" i="5" a="1"/>
  <c r="I3493" i="5" a="1"/>
  <c r="I3494" i="5" a="1"/>
  <c r="I3495" i="5" a="1"/>
  <c r="I3496" i="5" a="1"/>
  <c r="I3497" i="5" a="1"/>
  <c r="I3498" i="5" a="1"/>
  <c r="I3499" i="5" a="1"/>
  <c r="I3500" i="5" a="1"/>
  <c r="I3501" i="5" a="1"/>
  <c r="I3502" i="5" a="1"/>
  <c r="I3503" i="5" a="1"/>
  <c r="I3504" i="5" a="1"/>
  <c r="I3505" i="5" a="1"/>
  <c r="I3506" i="5" a="1"/>
  <c r="I3507" i="5" a="1"/>
  <c r="I3508" i="5" a="1"/>
  <c r="I3509" i="5" a="1"/>
  <c r="I3510" i="5" a="1"/>
  <c r="I3511" i="5" a="1"/>
  <c r="I3512" i="5" a="1"/>
  <c r="I3513" i="5" a="1"/>
  <c r="I3514" i="5" a="1"/>
  <c r="I3515" i="5" a="1"/>
  <c r="I3516" i="5" a="1"/>
  <c r="I3517" i="5" a="1"/>
  <c r="I3518" i="5" a="1"/>
  <c r="I3519" i="5" a="1"/>
  <c r="I3520" i="5" a="1"/>
  <c r="I3521" i="5" a="1"/>
  <c r="I3522" i="5" a="1"/>
  <c r="I3523" i="5" a="1"/>
  <c r="I3524" i="5" a="1"/>
  <c r="I3525" i="5" a="1"/>
  <c r="I3526" i="5" a="1"/>
  <c r="I3527" i="5" a="1"/>
  <c r="I3528" i="5" a="1"/>
  <c r="I3529" i="5" a="1"/>
  <c r="I3530" i="5" a="1"/>
  <c r="I3531" i="5" a="1"/>
  <c r="I3532" i="5" a="1"/>
  <c r="I3533" i="5" a="1"/>
  <c r="I3534" i="5" a="1"/>
  <c r="I3535" i="5" a="1"/>
  <c r="I3536" i="5" a="1"/>
  <c r="I3537" i="5" a="1"/>
  <c r="I3538" i="5" a="1"/>
  <c r="I3539" i="5" a="1"/>
  <c r="I3540" i="5" a="1"/>
  <c r="I3541" i="5" a="1"/>
  <c r="I3542" i="5" a="1"/>
  <c r="I3543" i="5" a="1"/>
  <c r="I3544" i="5" a="1"/>
  <c r="I3545" i="5" a="1"/>
  <c r="I3546" i="5" a="1"/>
  <c r="I3547" i="5" a="1"/>
  <c r="I3548" i="5" a="1"/>
  <c r="I3549" i="5" a="1"/>
  <c r="I3550" i="5" a="1"/>
  <c r="I3551" i="5" a="1"/>
  <c r="I3552" i="5" a="1"/>
  <c r="I3553" i="5" a="1"/>
  <c r="I3554" i="5" a="1"/>
  <c r="I3555" i="5" a="1"/>
  <c r="I3556" i="5" a="1"/>
  <c r="I3557" i="5" a="1"/>
  <c r="I3558" i="5" a="1"/>
  <c r="I3559" i="5" a="1"/>
  <c r="I3560" i="5" a="1"/>
  <c r="I3561" i="5" a="1"/>
  <c r="I3562" i="5" a="1"/>
  <c r="I3563" i="5" a="1"/>
  <c r="I3564" i="5" a="1"/>
  <c r="I3565" i="5" a="1"/>
  <c r="I3566" i="5" a="1"/>
  <c r="I3567" i="5" a="1"/>
  <c r="I3568" i="5" a="1"/>
  <c r="I3569" i="5" a="1"/>
  <c r="I3570" i="5" a="1"/>
  <c r="I3571" i="5" a="1"/>
  <c r="I3572" i="5" a="1"/>
  <c r="I3573" i="5" a="1"/>
  <c r="I3574" i="5" a="1"/>
  <c r="I3575" i="5" a="1"/>
  <c r="I3576" i="5" a="1"/>
  <c r="I3577" i="5" a="1"/>
  <c r="I3578" i="5" a="1"/>
  <c r="I3579" i="5" a="1"/>
  <c r="I3580" i="5" a="1"/>
  <c r="I3581" i="5" a="1"/>
  <c r="I3582" i="5" a="1"/>
  <c r="I3583" i="5" a="1"/>
  <c r="I3584" i="5" a="1"/>
  <c r="I3585" i="5" a="1"/>
  <c r="I3586" i="5" a="1"/>
  <c r="I3587" i="5" a="1"/>
  <c r="I3588" i="5" a="1"/>
  <c r="I3589" i="5" a="1"/>
  <c r="I3590" i="5" a="1"/>
  <c r="I3591" i="5" a="1"/>
  <c r="I3592" i="5" a="1"/>
  <c r="I3593" i="5" a="1"/>
  <c r="I3594" i="5" a="1"/>
  <c r="I3595" i="5" a="1"/>
  <c r="I3596" i="5" a="1"/>
  <c r="I3597" i="5" a="1"/>
  <c r="I3598" i="5" a="1"/>
  <c r="I3599" i="5" a="1"/>
  <c r="I3600" i="5" a="1"/>
  <c r="I3601" i="5" a="1"/>
  <c r="I3602" i="5" a="1"/>
  <c r="I3603" i="5" a="1"/>
  <c r="I3604" i="5" a="1"/>
  <c r="I3605" i="5" a="1"/>
  <c r="I3606" i="5" a="1"/>
  <c r="I3607" i="5" a="1"/>
  <c r="I3608" i="5" a="1"/>
  <c r="I3609" i="5" a="1"/>
  <c r="I3610" i="5" a="1"/>
  <c r="I3611" i="5" a="1"/>
  <c r="I3612" i="5" a="1"/>
  <c r="I3613" i="5" a="1"/>
  <c r="I3614" i="5" a="1"/>
  <c r="I3615" i="5" a="1"/>
  <c r="I3616" i="5" a="1"/>
  <c r="I3617" i="5" a="1"/>
  <c r="I3618" i="5" a="1"/>
  <c r="I3619" i="5" a="1"/>
  <c r="I3620" i="5" a="1"/>
  <c r="I3621" i="5" a="1"/>
  <c r="I3622" i="5" a="1"/>
  <c r="I3623" i="5" a="1"/>
  <c r="I3624" i="5" a="1"/>
  <c r="I3625" i="5" a="1"/>
  <c r="I3626" i="5" a="1"/>
  <c r="I3627" i="5" a="1"/>
  <c r="I3628" i="5" a="1"/>
  <c r="I3629" i="5" a="1"/>
  <c r="I3630" i="5" a="1"/>
  <c r="I3631" i="5" a="1"/>
  <c r="I3632" i="5" a="1"/>
  <c r="I3633" i="5" a="1"/>
  <c r="I3634" i="5" a="1"/>
  <c r="I3635" i="5" a="1"/>
  <c r="I3636" i="5" a="1"/>
  <c r="I3637" i="5" a="1"/>
  <c r="I3638" i="5" a="1"/>
  <c r="I3639" i="5" a="1"/>
  <c r="I3640" i="5" a="1"/>
  <c r="I3641" i="5" a="1"/>
  <c r="I3642" i="5" a="1"/>
  <c r="I3643" i="5" a="1"/>
  <c r="I3644" i="5" a="1"/>
  <c r="I3645" i="5" a="1"/>
  <c r="I3646" i="5" a="1"/>
  <c r="I3647" i="5" a="1"/>
  <c r="I3648" i="5" a="1"/>
  <c r="I3649" i="5" a="1"/>
  <c r="I3650" i="5" a="1"/>
  <c r="I3651" i="5" a="1"/>
  <c r="I3652" i="5" a="1"/>
  <c r="I3653" i="5" a="1"/>
  <c r="I3654" i="5" a="1"/>
  <c r="I3655" i="5" a="1"/>
  <c r="I3656" i="5" a="1"/>
  <c r="I3657" i="5" a="1"/>
  <c r="I3658" i="5" a="1"/>
  <c r="I3659" i="5" a="1"/>
  <c r="I3660" i="5" a="1"/>
  <c r="I3661" i="5" a="1"/>
  <c r="I3662" i="5" a="1"/>
  <c r="I3663" i="5" a="1"/>
  <c r="I3664" i="5" a="1"/>
  <c r="I3665" i="5" a="1"/>
  <c r="I3666" i="5" a="1"/>
  <c r="I3667" i="5" a="1"/>
  <c r="I3668" i="5" a="1"/>
  <c r="I3669" i="5" a="1"/>
  <c r="I3670" i="5" a="1"/>
  <c r="I3671" i="5" a="1"/>
  <c r="I3672" i="5" a="1"/>
  <c r="I3673" i="5" a="1"/>
  <c r="I3674" i="5" a="1"/>
  <c r="I3675" i="5" a="1"/>
  <c r="I3676" i="5" a="1"/>
  <c r="I3677" i="5" a="1"/>
  <c r="I3678" i="5" a="1"/>
  <c r="I3679" i="5" a="1"/>
  <c r="I3680" i="5" a="1"/>
  <c r="I3681" i="5" a="1"/>
  <c r="I3682" i="5" a="1"/>
  <c r="I3683" i="5" a="1"/>
  <c r="I3684" i="5" a="1"/>
  <c r="I3685" i="5" a="1"/>
  <c r="I3686" i="5" a="1"/>
  <c r="I3687" i="5" a="1"/>
  <c r="I3688" i="5" a="1"/>
  <c r="I3689" i="5" a="1"/>
  <c r="I3690" i="5" a="1"/>
  <c r="I3691" i="5" a="1"/>
  <c r="I3692" i="5" a="1"/>
  <c r="I3693" i="5" a="1"/>
  <c r="I3694" i="5" a="1"/>
  <c r="I3695" i="5" a="1"/>
  <c r="I3696" i="5" a="1"/>
  <c r="I3697" i="5" a="1"/>
  <c r="I3698" i="5" a="1"/>
  <c r="I3699" i="5" a="1"/>
  <c r="I3700" i="5" a="1"/>
  <c r="I3701" i="5" a="1"/>
  <c r="I3702" i="5" a="1"/>
  <c r="I3703" i="5" a="1"/>
  <c r="I3704" i="5" a="1"/>
  <c r="I3705" i="5" a="1"/>
  <c r="I3706" i="5" a="1"/>
  <c r="I3707" i="5" a="1"/>
  <c r="I3708" i="5" a="1"/>
  <c r="I3709" i="5" a="1"/>
  <c r="I3710" i="5" a="1"/>
  <c r="I3711" i="5" a="1"/>
  <c r="I3712" i="5" a="1"/>
  <c r="I3713" i="5" a="1"/>
  <c r="I3714" i="5" a="1"/>
  <c r="I3715" i="5" a="1"/>
  <c r="I3716" i="5" a="1"/>
  <c r="I3717" i="5" a="1"/>
  <c r="I3718" i="5" a="1"/>
  <c r="I3719" i="5" a="1"/>
  <c r="I3720" i="5" a="1"/>
  <c r="I3721" i="5" a="1"/>
  <c r="I3722" i="5" a="1"/>
  <c r="I3723" i="5" a="1"/>
  <c r="I3724" i="5" a="1"/>
  <c r="I3725" i="5" a="1"/>
  <c r="I3726" i="5" a="1"/>
  <c r="I3727" i="5" a="1"/>
  <c r="I3728" i="5" a="1"/>
  <c r="I3729" i="5" a="1"/>
  <c r="I3730" i="5" a="1"/>
  <c r="I3731" i="5" a="1"/>
  <c r="I3732" i="5" a="1"/>
  <c r="I3733" i="5" a="1"/>
  <c r="I3734" i="5" a="1"/>
  <c r="I3735" i="5" a="1"/>
  <c r="I3736" i="5" a="1"/>
  <c r="I3737" i="5" a="1"/>
  <c r="I3738" i="5" a="1"/>
  <c r="I3739" i="5" a="1"/>
  <c r="I3740" i="5" a="1"/>
  <c r="I3741" i="5" a="1"/>
  <c r="I3742" i="5" a="1"/>
  <c r="I3743" i="5" a="1"/>
  <c r="I3744" i="5" a="1"/>
  <c r="I3745" i="5" a="1"/>
  <c r="I3746" i="5" a="1"/>
  <c r="I3747" i="5" a="1"/>
  <c r="I3748" i="5" a="1"/>
  <c r="I3749" i="5" a="1"/>
  <c r="I3750" i="5" a="1"/>
  <c r="I3751" i="5" a="1"/>
  <c r="I3752" i="5" a="1"/>
  <c r="I3753" i="5" a="1"/>
  <c r="I3754" i="5" a="1"/>
  <c r="I3755" i="5" a="1"/>
  <c r="I3756" i="5" a="1"/>
  <c r="I3757" i="5" a="1"/>
  <c r="I3758" i="5" a="1"/>
  <c r="I3759" i="5" a="1"/>
  <c r="I3760" i="5" a="1"/>
  <c r="I3761" i="5" a="1"/>
  <c r="I3762" i="5" a="1"/>
  <c r="I3763" i="5" a="1"/>
  <c r="I3764" i="5" a="1"/>
  <c r="I3765" i="5" a="1"/>
  <c r="I3766" i="5" a="1"/>
  <c r="I3767" i="5" a="1"/>
  <c r="I3768" i="5" a="1"/>
  <c r="I3769" i="5" a="1"/>
  <c r="I3770" i="5" a="1"/>
  <c r="I3771" i="5" a="1"/>
  <c r="I3772" i="5" a="1"/>
  <c r="I3773" i="5" a="1"/>
  <c r="I3774" i="5" a="1"/>
  <c r="I3775" i="5" a="1"/>
  <c r="I3776" i="5" a="1"/>
  <c r="I3777" i="5" a="1"/>
  <c r="I3778" i="5" a="1"/>
  <c r="I3779" i="5" a="1"/>
  <c r="I3780" i="5" a="1"/>
  <c r="I3781" i="5" a="1"/>
  <c r="I3782" i="5" a="1"/>
  <c r="I3783" i="5" a="1"/>
  <c r="I3784" i="5" a="1"/>
  <c r="I3785" i="5" a="1"/>
  <c r="I3786" i="5" a="1"/>
  <c r="I3787" i="5" a="1"/>
  <c r="I3788" i="5" a="1"/>
  <c r="I3789" i="5" a="1"/>
  <c r="I3790" i="5" a="1"/>
  <c r="I3791" i="5" a="1"/>
  <c r="I3792" i="5" a="1"/>
  <c r="I3793" i="5" a="1"/>
  <c r="I3794" i="5" a="1"/>
  <c r="I3795" i="5" a="1"/>
  <c r="I3796" i="5" a="1"/>
  <c r="I3797" i="5" a="1"/>
  <c r="I3798" i="5" a="1"/>
  <c r="I3799" i="5" a="1"/>
  <c r="I3800" i="5" a="1"/>
  <c r="I3801" i="5" a="1"/>
  <c r="I3802" i="5" a="1"/>
  <c r="I3803" i="5" a="1"/>
  <c r="I3804" i="5" a="1"/>
  <c r="I3805" i="5" a="1"/>
  <c r="I3806" i="5" a="1"/>
  <c r="I3807" i="5" a="1"/>
  <c r="I3808" i="5" a="1"/>
  <c r="I3809" i="5" a="1"/>
  <c r="I3810" i="5" a="1"/>
  <c r="I3811" i="5" a="1"/>
  <c r="I3812" i="5" a="1"/>
  <c r="I3813" i="5" a="1"/>
  <c r="I3814" i="5" a="1"/>
  <c r="I3815" i="5" a="1"/>
  <c r="I3816" i="5" a="1"/>
  <c r="I3817" i="5" a="1"/>
  <c r="I3818" i="5" a="1"/>
  <c r="I3819" i="5" a="1"/>
  <c r="I3820" i="5" a="1"/>
  <c r="I3821" i="5" a="1"/>
  <c r="I3822" i="5" a="1"/>
  <c r="I3823" i="5" a="1"/>
  <c r="I3824" i="5" a="1"/>
  <c r="I3825" i="5" a="1"/>
  <c r="I3826" i="5" a="1"/>
  <c r="I3827" i="5" a="1"/>
  <c r="I3828" i="5" a="1"/>
  <c r="I3829" i="5" a="1"/>
  <c r="I3830" i="5" a="1"/>
  <c r="I3831" i="5" a="1"/>
  <c r="I3832" i="5" a="1"/>
  <c r="I3833" i="5" a="1"/>
  <c r="I3834" i="5" a="1"/>
  <c r="I3835" i="5" a="1"/>
  <c r="I3836" i="5" a="1"/>
  <c r="I3837" i="5" a="1"/>
  <c r="I3838" i="5" a="1"/>
  <c r="I3839" i="5" a="1"/>
  <c r="I3840" i="5" a="1"/>
  <c r="I3841" i="5" a="1"/>
  <c r="I3842" i="5" a="1"/>
  <c r="I3843" i="5" a="1"/>
  <c r="I3844" i="5" a="1"/>
  <c r="I3845" i="5" a="1"/>
  <c r="I3846" i="5" a="1"/>
  <c r="I3847" i="5" a="1"/>
  <c r="I3848" i="5" a="1"/>
  <c r="I3849" i="5" a="1"/>
  <c r="I3850" i="5" a="1"/>
  <c r="I3851" i="5" a="1"/>
  <c r="I3852" i="5" a="1"/>
  <c r="I3853" i="5" a="1"/>
  <c r="I3854" i="5" a="1"/>
  <c r="I3855" i="5" a="1"/>
  <c r="I3856" i="5" a="1"/>
  <c r="I3857" i="5" a="1"/>
  <c r="I3858" i="5" a="1"/>
  <c r="I3859" i="5" a="1"/>
  <c r="I3860" i="5" a="1"/>
  <c r="I3861" i="5" a="1"/>
  <c r="I3862" i="5" a="1"/>
  <c r="I3863" i="5" a="1"/>
  <c r="I3864" i="5" a="1"/>
  <c r="I3865" i="5" a="1"/>
  <c r="I3866" i="5" a="1"/>
  <c r="I3867" i="5" a="1"/>
  <c r="I3868" i="5" a="1"/>
  <c r="I3869" i="5" a="1"/>
  <c r="I3870" i="5" a="1"/>
  <c r="I3871" i="5" a="1"/>
  <c r="I3872" i="5" a="1"/>
  <c r="I3873" i="5" a="1"/>
  <c r="I3874" i="5" a="1"/>
  <c r="I3875" i="5" a="1"/>
  <c r="I3876" i="5" a="1"/>
  <c r="I3877" i="5" a="1"/>
  <c r="I3878" i="5" a="1"/>
  <c r="I3879" i="5" a="1"/>
  <c r="I3880" i="5" a="1"/>
  <c r="I3881" i="5" a="1"/>
  <c r="I3882" i="5" a="1"/>
  <c r="I3883" i="5" a="1"/>
  <c r="I3884" i="5" a="1"/>
  <c r="I3885" i="5" a="1"/>
  <c r="I3886" i="5" a="1"/>
  <c r="I3887" i="5" a="1"/>
  <c r="I3888" i="5" a="1"/>
  <c r="I3889" i="5" a="1"/>
  <c r="I3890" i="5" a="1"/>
  <c r="I3891" i="5" a="1"/>
  <c r="I3892" i="5" a="1"/>
  <c r="I3893" i="5" a="1"/>
  <c r="I3894" i="5" a="1"/>
  <c r="I3895" i="5" a="1"/>
  <c r="I3896" i="5" a="1"/>
  <c r="I3897" i="5" a="1"/>
  <c r="I3898" i="5" a="1"/>
  <c r="I3899" i="5" a="1"/>
  <c r="I3900" i="5" a="1"/>
  <c r="I3901" i="5" a="1"/>
  <c r="I3902" i="5" a="1"/>
  <c r="I3903" i="5" a="1"/>
  <c r="I3904" i="5" a="1"/>
  <c r="I3905" i="5" a="1"/>
  <c r="I3906" i="5" a="1"/>
  <c r="I3907" i="5" a="1"/>
  <c r="I3908" i="5" a="1"/>
  <c r="I3909" i="5" a="1"/>
  <c r="I3910" i="5" a="1"/>
  <c r="I3911" i="5" a="1"/>
  <c r="I3912" i="5" a="1"/>
  <c r="I3913" i="5" a="1"/>
  <c r="I3914" i="5" a="1"/>
  <c r="I3915" i="5" a="1"/>
  <c r="I3916" i="5" a="1"/>
  <c r="I3917" i="5" a="1"/>
  <c r="I3918" i="5" a="1"/>
  <c r="I3919" i="5" a="1"/>
  <c r="I3920" i="5" a="1"/>
  <c r="I3921" i="5" a="1"/>
  <c r="I3922" i="5" a="1"/>
  <c r="I3923" i="5" a="1"/>
  <c r="I3924" i="5" a="1"/>
  <c r="I3925" i="5" a="1"/>
  <c r="I3926" i="5" a="1"/>
  <c r="I3927" i="5" a="1"/>
  <c r="I3928" i="5" a="1"/>
  <c r="I3929" i="5" a="1"/>
  <c r="I3930" i="5" a="1"/>
  <c r="I3931" i="5" a="1"/>
  <c r="I3932" i="5" a="1"/>
  <c r="I3933" i="5" a="1"/>
  <c r="I3934" i="5" a="1"/>
  <c r="I3935" i="5" a="1"/>
  <c r="I3936" i="5" a="1"/>
  <c r="I3937" i="5" a="1"/>
  <c r="I3938" i="5" a="1"/>
  <c r="I3939" i="5" a="1"/>
  <c r="I3940" i="5" a="1"/>
  <c r="I3941" i="5" a="1"/>
  <c r="I3942" i="5" a="1"/>
  <c r="I3943" i="5" a="1"/>
  <c r="I3944" i="5" a="1"/>
  <c r="I3945" i="5" a="1"/>
  <c r="I3946" i="5" a="1"/>
  <c r="I3947" i="5" a="1"/>
  <c r="I3948" i="5" a="1"/>
  <c r="I3949" i="5" a="1"/>
  <c r="I3950" i="5" a="1"/>
  <c r="I3951" i="5" a="1"/>
  <c r="I3952" i="5" a="1"/>
  <c r="I3953" i="5" a="1"/>
  <c r="I3954" i="5" a="1"/>
  <c r="I3955" i="5" a="1"/>
  <c r="I3956" i="5" a="1"/>
  <c r="I3957" i="5" a="1"/>
  <c r="I3958" i="5" a="1"/>
  <c r="I3959" i="5" a="1"/>
  <c r="I3960" i="5" a="1"/>
  <c r="I3961" i="5" a="1"/>
  <c r="I3962" i="5" a="1"/>
  <c r="I3963" i="5" a="1"/>
  <c r="I3964" i="5" a="1"/>
  <c r="I3965" i="5" a="1"/>
  <c r="I3966" i="5" a="1"/>
  <c r="I3967" i="5" a="1"/>
  <c r="I3968" i="5" a="1"/>
  <c r="I3969" i="5" a="1"/>
  <c r="I3970" i="5" a="1"/>
  <c r="I3971" i="5" a="1"/>
  <c r="I3972" i="5" a="1"/>
  <c r="I3973" i="5" a="1"/>
  <c r="I3974" i="5" a="1"/>
  <c r="I3975" i="5" a="1"/>
  <c r="I3976" i="5" a="1"/>
  <c r="I3977" i="5" a="1"/>
  <c r="I3978" i="5" a="1"/>
  <c r="I3979" i="5" a="1"/>
  <c r="I3980" i="5" a="1"/>
  <c r="I3981" i="5" a="1"/>
  <c r="I3982" i="5" a="1"/>
  <c r="I3983" i="5" a="1"/>
  <c r="I3984" i="5" a="1"/>
  <c r="I3985" i="5" a="1"/>
  <c r="I3986" i="5" a="1"/>
  <c r="I3987" i="5" a="1"/>
  <c r="I3988" i="5" a="1"/>
  <c r="I3989" i="5" a="1"/>
  <c r="I3990" i="5" a="1"/>
  <c r="I3991" i="5" a="1"/>
  <c r="I3992" i="5" a="1"/>
  <c r="I3993" i="5" a="1"/>
  <c r="I3994" i="5" a="1"/>
  <c r="I3995" i="5" a="1"/>
  <c r="I3996" i="5" a="1"/>
  <c r="I3997" i="5" a="1"/>
  <c r="I3998" i="5" a="1"/>
  <c r="I3999" i="5" a="1"/>
  <c r="I4000" i="5" a="1"/>
  <c r="I4001" i="5" a="1"/>
  <c r="I4002" i="5" a="1"/>
  <c r="I4003" i="5" a="1"/>
  <c r="I4004" i="5" a="1"/>
  <c r="I4005" i="5" a="1"/>
  <c r="I4006" i="5" a="1"/>
  <c r="I4007" i="5" a="1"/>
  <c r="I4008" i="5" a="1"/>
  <c r="I4009" i="5" a="1"/>
  <c r="I4010" i="5" a="1"/>
  <c r="I4011" i="5" a="1"/>
  <c r="I4012" i="5" a="1"/>
  <c r="I4013" i="5" a="1"/>
  <c r="I4014" i="5" a="1"/>
  <c r="I4015" i="5" a="1"/>
  <c r="I4016" i="5" a="1"/>
  <c r="I4017" i="5" a="1"/>
  <c r="I4018" i="5" a="1"/>
  <c r="I4019" i="5" a="1"/>
  <c r="I4020" i="5" a="1"/>
  <c r="I4021" i="5" a="1"/>
  <c r="I4022" i="5" a="1"/>
  <c r="I4023" i="5" a="1"/>
  <c r="I4024" i="5" a="1"/>
  <c r="I4025" i="5" a="1"/>
  <c r="I4026" i="5" a="1"/>
  <c r="I4027" i="5" a="1"/>
  <c r="I4028" i="5" a="1"/>
  <c r="I4029" i="5" a="1"/>
  <c r="I4030" i="5" a="1"/>
  <c r="I4031" i="5" a="1"/>
  <c r="I4032" i="5" a="1"/>
  <c r="I4033" i="5" a="1"/>
  <c r="I4034" i="5" a="1"/>
  <c r="I4035" i="5" a="1"/>
  <c r="I4036" i="5" a="1"/>
  <c r="I4037" i="5" a="1"/>
  <c r="I4038" i="5" a="1"/>
  <c r="I4039" i="5" a="1"/>
  <c r="I4040" i="5" a="1"/>
  <c r="I4041" i="5" a="1"/>
  <c r="I4042" i="5" a="1"/>
  <c r="I4043" i="5" a="1"/>
  <c r="I4044" i="5" a="1"/>
  <c r="I4045" i="5" a="1"/>
  <c r="I4046" i="5" a="1"/>
  <c r="I4047" i="5" a="1"/>
  <c r="I4048" i="5" a="1"/>
  <c r="I4049" i="5" a="1"/>
  <c r="I4050" i="5" a="1"/>
  <c r="I4051" i="5" a="1"/>
  <c r="I4052" i="5" a="1"/>
  <c r="I4053" i="5" a="1"/>
  <c r="I4054" i="5" a="1"/>
  <c r="I4055" i="5" a="1"/>
  <c r="I4056" i="5" a="1"/>
  <c r="I4057" i="5" a="1"/>
  <c r="I4058" i="5" a="1"/>
  <c r="I4059" i="5" a="1"/>
  <c r="I4060" i="5" a="1"/>
  <c r="I4061" i="5" a="1"/>
  <c r="I4062" i="5" a="1"/>
  <c r="I4063" i="5" a="1"/>
  <c r="I4064" i="5" a="1"/>
  <c r="I4065" i="5" a="1"/>
  <c r="I4066" i="5" a="1"/>
  <c r="I4067" i="5" a="1"/>
  <c r="I4068" i="5" a="1"/>
  <c r="I4069" i="5" a="1"/>
  <c r="I4070" i="5" a="1"/>
  <c r="I4071" i="5" a="1"/>
  <c r="I4072" i="5" a="1"/>
  <c r="I4073" i="5" a="1"/>
  <c r="I4074" i="5" a="1"/>
  <c r="I4075" i="5" a="1"/>
  <c r="I4076" i="5" a="1"/>
  <c r="I4077" i="5" a="1"/>
  <c r="I4078" i="5" a="1"/>
  <c r="I4079" i="5" a="1"/>
  <c r="I4080" i="5" a="1"/>
  <c r="I4081" i="5" a="1"/>
  <c r="I4082" i="5" a="1"/>
  <c r="I4083" i="5" a="1"/>
  <c r="I4084" i="5" a="1"/>
  <c r="I4085" i="5" a="1"/>
  <c r="I4086" i="5" a="1"/>
  <c r="I4087" i="5" a="1"/>
  <c r="I4088" i="5" a="1"/>
  <c r="I4089" i="5" a="1"/>
  <c r="I4090" i="5" a="1"/>
  <c r="I4091" i="5" a="1"/>
  <c r="I4092" i="5" a="1"/>
  <c r="I4093" i="5" a="1"/>
  <c r="I4094" i="5" a="1"/>
  <c r="I4095" i="5" a="1"/>
  <c r="I4096" i="5" a="1"/>
  <c r="I4097" i="5" a="1"/>
  <c r="I4098" i="5" a="1"/>
  <c r="I4099" i="5" a="1"/>
  <c r="I4100" i="5" a="1"/>
  <c r="I4101" i="5" a="1"/>
  <c r="I4102" i="5" a="1"/>
  <c r="I4103" i="5" a="1"/>
  <c r="I4104" i="5" a="1"/>
  <c r="I4105" i="5" a="1"/>
  <c r="I4106" i="5" a="1"/>
  <c r="I4107" i="5" a="1"/>
  <c r="I4108" i="5" a="1"/>
  <c r="I4109" i="5" a="1"/>
  <c r="I4110" i="5" a="1"/>
  <c r="I4111" i="5" a="1"/>
  <c r="I4112" i="5" a="1"/>
  <c r="I4113" i="5" a="1"/>
  <c r="I4114" i="5" a="1"/>
  <c r="I4115" i="5" a="1"/>
  <c r="I4116" i="5" a="1"/>
  <c r="I4117" i="5" a="1"/>
  <c r="I4118" i="5" a="1"/>
  <c r="I4119" i="5" a="1"/>
  <c r="I4120" i="5" a="1"/>
  <c r="I4121" i="5" a="1"/>
  <c r="I4122" i="5" a="1"/>
  <c r="I4123" i="5" a="1"/>
  <c r="I4124" i="5" a="1"/>
  <c r="I4125" i="5" a="1"/>
  <c r="I4126" i="5" a="1"/>
  <c r="I4127" i="5" a="1"/>
  <c r="I4128" i="5" a="1"/>
  <c r="I4129" i="5" a="1"/>
  <c r="I4130" i="5" a="1"/>
  <c r="I4131" i="5" a="1"/>
  <c r="I4132" i="5" a="1"/>
  <c r="I4133" i="5" a="1"/>
  <c r="I4134" i="5" a="1"/>
  <c r="I4135" i="5" a="1"/>
  <c r="I4136" i="5" a="1"/>
  <c r="I4137" i="5" a="1"/>
  <c r="I4138" i="5" a="1"/>
  <c r="I4139" i="5" a="1"/>
  <c r="I4140" i="5" a="1"/>
  <c r="I4141" i="5" a="1"/>
  <c r="I4142" i="5" a="1"/>
  <c r="I4143" i="5" a="1"/>
  <c r="I4144" i="5" a="1"/>
  <c r="I4145" i="5" a="1"/>
  <c r="I4146" i="5" a="1"/>
  <c r="I4147" i="5" a="1"/>
  <c r="I4148" i="5" a="1"/>
  <c r="I4149" i="5" a="1"/>
  <c r="I4150" i="5" a="1"/>
  <c r="I4151" i="5" a="1"/>
  <c r="I4152" i="5" a="1"/>
  <c r="I4153" i="5" a="1"/>
  <c r="I4154" i="5" a="1"/>
  <c r="I4155" i="5" a="1"/>
  <c r="I4156" i="5" a="1"/>
  <c r="I4157" i="5" a="1"/>
  <c r="I4158" i="5" a="1"/>
  <c r="I4159" i="5" a="1"/>
  <c r="I4160" i="5" a="1"/>
  <c r="I4161" i="5" a="1"/>
  <c r="I4162" i="5" a="1"/>
  <c r="I4163" i="5" a="1"/>
  <c r="I4164" i="5" a="1"/>
  <c r="I4165" i="5" a="1"/>
  <c r="I4166" i="5" a="1"/>
  <c r="I4167" i="5" a="1"/>
  <c r="I4168" i="5" a="1"/>
  <c r="I4169" i="5" a="1"/>
  <c r="I4170" i="5" a="1"/>
  <c r="I4171" i="5" a="1"/>
  <c r="I4172" i="5" a="1"/>
  <c r="I4173" i="5" a="1"/>
  <c r="I4174" i="5" a="1"/>
  <c r="I4175" i="5" a="1"/>
  <c r="I4176" i="5" a="1"/>
  <c r="I4177" i="5" a="1"/>
  <c r="I4178" i="5" a="1"/>
  <c r="I4179" i="5" a="1"/>
  <c r="I4180" i="5" a="1"/>
  <c r="I4181" i="5" a="1"/>
  <c r="I4182" i="5" a="1"/>
  <c r="I4183" i="5" a="1"/>
  <c r="I4184" i="5" a="1"/>
  <c r="I4185" i="5" a="1"/>
  <c r="I4186" i="5" a="1"/>
  <c r="I4187" i="5" a="1"/>
  <c r="I4188" i="5" a="1"/>
  <c r="I4189" i="5" a="1"/>
  <c r="I4190" i="5" a="1"/>
  <c r="I4191" i="5" a="1"/>
  <c r="I4192" i="5" a="1"/>
  <c r="I4193" i="5" a="1"/>
  <c r="I4194" i="5" a="1"/>
  <c r="I4195" i="5" a="1"/>
  <c r="I4196" i="5" a="1"/>
  <c r="I4197" i="5" a="1"/>
  <c r="I4198" i="5" a="1"/>
  <c r="I4199" i="5" a="1"/>
  <c r="I4200" i="5" a="1"/>
  <c r="I4201" i="5" a="1"/>
  <c r="I4202" i="5" a="1"/>
  <c r="I4203" i="5" a="1"/>
  <c r="I4204" i="5" a="1"/>
  <c r="I4205" i="5" a="1"/>
  <c r="I4206" i="5" a="1"/>
  <c r="I4207" i="5" a="1"/>
  <c r="I4208" i="5" a="1"/>
  <c r="I4209" i="5" a="1"/>
  <c r="I4210" i="5" a="1"/>
  <c r="I4211" i="5" a="1"/>
  <c r="I4212" i="5" a="1"/>
  <c r="I4213" i="5" a="1"/>
  <c r="I4214" i="5" a="1"/>
  <c r="I4215" i="5" a="1"/>
  <c r="I4216" i="5" a="1"/>
  <c r="I4217" i="5" a="1"/>
  <c r="I4218" i="5" a="1"/>
  <c r="I4219" i="5" a="1"/>
  <c r="I4220" i="5" a="1"/>
  <c r="I4221" i="5" a="1"/>
  <c r="I4222" i="5" a="1"/>
  <c r="I4223" i="5" a="1"/>
  <c r="I4224" i="5" a="1"/>
  <c r="I4225" i="5" a="1"/>
  <c r="I4226" i="5" a="1"/>
  <c r="I4227" i="5" a="1"/>
  <c r="I4228" i="5" a="1"/>
  <c r="I4229" i="5" a="1"/>
  <c r="I4230" i="5" a="1"/>
  <c r="I4231" i="5" a="1"/>
  <c r="I4232" i="5" a="1"/>
  <c r="I4233" i="5" a="1"/>
  <c r="I4234" i="5" a="1"/>
  <c r="I4235" i="5" a="1"/>
  <c r="I4236" i="5" a="1"/>
  <c r="I4237" i="5" a="1"/>
  <c r="I4238" i="5" a="1"/>
  <c r="I4239" i="5" a="1"/>
  <c r="I4240" i="5" a="1"/>
  <c r="I4241" i="5" a="1"/>
  <c r="I4242" i="5" a="1"/>
  <c r="I4243" i="5" a="1"/>
  <c r="I4244" i="5" a="1"/>
  <c r="I4245" i="5" a="1"/>
  <c r="I4246" i="5" a="1"/>
  <c r="I4247" i="5" a="1"/>
  <c r="I4248" i="5" a="1"/>
  <c r="I4249" i="5" a="1"/>
  <c r="I4250" i="5" a="1"/>
  <c r="I4251" i="5" a="1"/>
  <c r="I4252" i="5" a="1"/>
  <c r="I4253" i="5" a="1"/>
  <c r="I4254" i="5" a="1"/>
  <c r="I4255" i="5" a="1"/>
  <c r="I4256" i="5" a="1"/>
  <c r="I4257" i="5" a="1"/>
  <c r="I4258" i="5" a="1"/>
  <c r="I4259" i="5" a="1"/>
  <c r="I4260" i="5" a="1"/>
  <c r="I4261" i="5" a="1"/>
  <c r="I4262" i="5" a="1"/>
  <c r="I4263" i="5" a="1"/>
  <c r="I4264" i="5" a="1"/>
  <c r="I4265" i="5" a="1"/>
  <c r="I4266" i="5" a="1"/>
  <c r="I4267" i="5" a="1"/>
  <c r="I4268" i="5" a="1"/>
  <c r="I4269" i="5" a="1"/>
  <c r="I4270" i="5" a="1"/>
  <c r="I4271" i="5" a="1"/>
  <c r="I4272" i="5" a="1"/>
  <c r="I4273" i="5" a="1"/>
  <c r="I4274" i="5" a="1"/>
  <c r="I4275" i="5" a="1"/>
  <c r="I4276" i="5" a="1"/>
  <c r="I4277" i="5" a="1"/>
  <c r="I4278" i="5" a="1"/>
  <c r="I4279" i="5" a="1"/>
  <c r="I4280" i="5" a="1"/>
  <c r="I4281" i="5" a="1"/>
  <c r="I4282" i="5" a="1"/>
  <c r="I4283" i="5" a="1"/>
  <c r="I4284" i="5" a="1"/>
  <c r="I4285" i="5" a="1"/>
  <c r="I4286" i="5" a="1"/>
  <c r="I4287" i="5" a="1"/>
  <c r="I4288" i="5" a="1"/>
  <c r="I4289" i="5" a="1"/>
  <c r="I4290" i="5" a="1"/>
  <c r="I4291" i="5" a="1"/>
  <c r="I4292" i="5" a="1"/>
  <c r="I4293" i="5" a="1"/>
  <c r="I4294" i="5" a="1"/>
  <c r="I4295" i="5" a="1"/>
  <c r="I4296" i="5" a="1"/>
  <c r="I4297" i="5" a="1"/>
  <c r="I4298" i="5" a="1"/>
  <c r="I4299" i="5" a="1"/>
  <c r="I4300" i="5" a="1"/>
  <c r="I4301" i="5" a="1"/>
  <c r="I4302" i="5" a="1"/>
  <c r="I4303" i="5" a="1"/>
  <c r="I4304" i="5" a="1"/>
  <c r="I4305" i="5" a="1"/>
  <c r="I4306" i="5" a="1"/>
  <c r="I4307" i="5" a="1"/>
  <c r="I4308" i="5" a="1"/>
  <c r="I4309" i="5" a="1"/>
  <c r="I4310" i="5" a="1"/>
  <c r="I4311" i="5" a="1"/>
  <c r="I4312" i="5" a="1"/>
  <c r="I4313" i="5" a="1"/>
  <c r="I4314" i="5" a="1"/>
  <c r="I4315" i="5" a="1"/>
  <c r="I4316" i="5" a="1"/>
  <c r="I4317" i="5" a="1"/>
  <c r="I4318" i="5" a="1"/>
  <c r="I4319" i="5" a="1"/>
  <c r="I4320" i="5" a="1"/>
  <c r="I4321" i="5" a="1"/>
  <c r="I4322" i="5" a="1"/>
  <c r="I4323" i="5" a="1"/>
  <c r="I4324" i="5" a="1"/>
  <c r="I4325" i="5" a="1"/>
  <c r="I4326" i="5" a="1"/>
  <c r="I4327" i="5" a="1"/>
  <c r="I4328" i="5" a="1"/>
  <c r="I4329" i="5" a="1"/>
  <c r="I4330" i="5" a="1"/>
  <c r="I4331" i="5" a="1"/>
  <c r="I4332" i="5" a="1"/>
  <c r="I4333" i="5" a="1"/>
  <c r="I4334" i="5" a="1"/>
  <c r="I4335" i="5" a="1"/>
  <c r="I4336" i="5" a="1"/>
  <c r="I4337" i="5" a="1"/>
  <c r="I4338" i="5" a="1"/>
  <c r="I4339" i="5" a="1"/>
  <c r="I4340" i="5" a="1"/>
  <c r="I4341" i="5" a="1"/>
  <c r="I4342" i="5" a="1"/>
  <c r="I4343" i="5" a="1"/>
  <c r="I4344" i="5" a="1"/>
  <c r="I4345" i="5" a="1"/>
  <c r="I4346" i="5" a="1"/>
  <c r="I4347" i="5" a="1"/>
  <c r="I4348" i="5" a="1"/>
  <c r="I4349" i="5" a="1"/>
  <c r="I4350" i="5" a="1"/>
  <c r="I4351" i="5" a="1"/>
  <c r="I4352" i="5" a="1"/>
  <c r="I4353" i="5" a="1"/>
  <c r="I4354" i="5" a="1"/>
  <c r="I4355" i="5" a="1"/>
  <c r="I4356" i="5" a="1"/>
  <c r="I4357" i="5" a="1"/>
  <c r="I4358" i="5" a="1"/>
  <c r="I4359" i="5" a="1"/>
  <c r="I4360" i="5" a="1"/>
  <c r="I4361" i="5" a="1"/>
  <c r="I4362" i="5" a="1"/>
  <c r="I4363" i="5" a="1"/>
  <c r="I4364" i="5" a="1"/>
  <c r="I4365" i="5" a="1"/>
  <c r="I4366" i="5" a="1"/>
  <c r="I4367" i="5" a="1"/>
  <c r="I4368" i="5" a="1"/>
  <c r="I4369" i="5" a="1"/>
  <c r="I4370" i="5" a="1"/>
  <c r="I4371" i="5" a="1"/>
  <c r="I4372" i="5" a="1"/>
  <c r="I4373" i="5" a="1"/>
  <c r="I4374" i="5" a="1"/>
  <c r="I4375" i="5" a="1"/>
  <c r="I4376" i="5" a="1"/>
  <c r="I4377" i="5" a="1"/>
  <c r="I4378" i="5" a="1"/>
  <c r="I4379" i="5" a="1"/>
  <c r="I4380" i="5" a="1"/>
  <c r="I4381" i="5" a="1"/>
  <c r="I4382" i="5" a="1"/>
  <c r="I4383" i="5" a="1"/>
  <c r="I4384" i="5" a="1"/>
  <c r="I4385" i="5" a="1"/>
  <c r="I4386" i="5" a="1"/>
  <c r="I4387" i="5" a="1"/>
  <c r="I4388" i="5" a="1"/>
  <c r="I4389" i="5" a="1"/>
  <c r="I4390" i="5" a="1"/>
  <c r="I4391" i="5" a="1"/>
  <c r="I4392" i="5" a="1"/>
  <c r="I4393" i="5" a="1"/>
  <c r="I4394" i="5" a="1"/>
  <c r="I4395" i="5" a="1"/>
  <c r="I4396" i="5" a="1"/>
  <c r="I4397" i="5" a="1"/>
  <c r="I4398" i="5" a="1"/>
  <c r="I4399" i="5" a="1"/>
  <c r="I4400" i="5" a="1"/>
  <c r="I4401" i="5" a="1"/>
  <c r="I4402" i="5" a="1"/>
  <c r="I4403" i="5" a="1"/>
  <c r="I4404" i="5" a="1"/>
  <c r="I4405" i="5" a="1"/>
  <c r="I4406" i="5" a="1"/>
  <c r="I4407" i="5" a="1"/>
  <c r="I4408" i="5" a="1"/>
  <c r="I4409" i="5" a="1"/>
  <c r="I4410" i="5" a="1"/>
  <c r="I4411" i="5" a="1"/>
  <c r="I4412" i="5" a="1"/>
  <c r="I4413" i="5" a="1"/>
  <c r="I4414" i="5" a="1"/>
  <c r="I4415" i="5" a="1"/>
  <c r="I4416" i="5" a="1"/>
  <c r="I4417" i="5" a="1"/>
  <c r="I4418" i="5" a="1"/>
  <c r="I4419" i="5" a="1"/>
  <c r="I4420" i="5" a="1"/>
  <c r="I4421" i="5" a="1"/>
  <c r="I4422" i="5" a="1"/>
  <c r="I4423" i="5" a="1"/>
  <c r="I4424" i="5" a="1"/>
  <c r="I4425" i="5" a="1"/>
  <c r="I4426" i="5" a="1"/>
  <c r="I4427" i="5" a="1"/>
  <c r="I4428" i="5" a="1"/>
  <c r="I4429" i="5" a="1"/>
  <c r="I4430" i="5" a="1"/>
  <c r="I4431" i="5" a="1"/>
  <c r="I4432" i="5" a="1"/>
  <c r="I4433" i="5" a="1"/>
  <c r="I4434" i="5" a="1"/>
  <c r="I4435" i="5" a="1"/>
  <c r="I4436" i="5" a="1"/>
  <c r="I4437" i="5" a="1"/>
  <c r="I4438" i="5" a="1"/>
  <c r="I4439" i="5" a="1"/>
  <c r="I4440" i="5" a="1"/>
  <c r="I4441" i="5" a="1"/>
  <c r="I4442" i="5" a="1"/>
  <c r="I4443" i="5" a="1"/>
  <c r="I4444" i="5" a="1"/>
  <c r="I4445" i="5" a="1"/>
  <c r="I4446" i="5" a="1"/>
  <c r="I4447" i="5" a="1"/>
  <c r="I4448" i="5" a="1"/>
  <c r="I4449" i="5" a="1"/>
  <c r="I4450" i="5" a="1"/>
  <c r="I4451" i="5" a="1"/>
  <c r="I4452" i="5" a="1"/>
  <c r="I4453" i="5" a="1"/>
  <c r="I4454" i="5" a="1"/>
  <c r="I4455" i="5" a="1"/>
  <c r="I4456" i="5" a="1"/>
  <c r="I4457" i="5" a="1"/>
  <c r="I4458" i="5" a="1"/>
  <c r="I4459" i="5" a="1"/>
  <c r="I4460" i="5" a="1"/>
  <c r="I4461" i="5" a="1"/>
  <c r="I4462" i="5" a="1"/>
  <c r="I4463" i="5" a="1"/>
  <c r="I4464" i="5" a="1"/>
  <c r="I4465" i="5" a="1"/>
  <c r="I4466" i="5" a="1"/>
  <c r="I4467" i="5" a="1"/>
  <c r="I4468" i="5" a="1"/>
  <c r="I4469" i="5" a="1"/>
  <c r="I4470" i="5" a="1"/>
  <c r="I4471" i="5" a="1"/>
  <c r="I4472" i="5" a="1"/>
  <c r="I4473" i="5" a="1"/>
  <c r="I4474" i="5" a="1"/>
  <c r="I4475" i="5" a="1"/>
  <c r="I4476" i="5" a="1"/>
  <c r="I4477" i="5" a="1"/>
  <c r="I4478" i="5" a="1"/>
  <c r="I4479" i="5" a="1"/>
  <c r="I4480" i="5" a="1"/>
  <c r="I4481" i="5" a="1"/>
  <c r="I4482" i="5" a="1"/>
  <c r="I4483" i="5" a="1"/>
  <c r="I4484" i="5" a="1"/>
  <c r="I4485" i="5" a="1"/>
  <c r="I4486" i="5" a="1"/>
  <c r="I4487" i="5" a="1"/>
  <c r="I4488" i="5" a="1"/>
  <c r="I4489" i="5" a="1"/>
  <c r="I4490" i="5" a="1"/>
  <c r="I4491" i="5" a="1"/>
  <c r="I4492" i="5" a="1"/>
  <c r="I4493" i="5" a="1"/>
  <c r="I4494" i="5" a="1"/>
  <c r="I4495" i="5" a="1"/>
  <c r="I4496" i="5" a="1"/>
  <c r="I4497" i="5" a="1"/>
  <c r="I4498" i="5" a="1"/>
  <c r="I4499" i="5" a="1"/>
  <c r="I4500" i="5" a="1"/>
  <c r="I4501" i="5" a="1"/>
  <c r="I4502" i="5" a="1"/>
  <c r="I4503" i="5" a="1"/>
  <c r="I4504" i="5" a="1"/>
  <c r="I4505" i="5" a="1"/>
  <c r="I4506" i="5" a="1"/>
  <c r="I4507" i="5" a="1"/>
  <c r="I4508" i="5" a="1"/>
  <c r="I4509" i="5" a="1"/>
  <c r="I4510" i="5" a="1"/>
  <c r="I4511" i="5" a="1"/>
  <c r="I4512" i="5" a="1"/>
  <c r="I4513" i="5" a="1"/>
  <c r="I4514" i="5" a="1"/>
  <c r="I4515" i="5" a="1"/>
  <c r="I4516" i="5" a="1"/>
  <c r="I4517" i="5" a="1"/>
  <c r="I4518" i="5" a="1"/>
  <c r="I4519" i="5" a="1"/>
  <c r="I4520" i="5" a="1"/>
  <c r="I4521" i="5" a="1"/>
  <c r="I4522" i="5" a="1"/>
  <c r="I4523" i="5" a="1"/>
  <c r="I4524" i="5" a="1"/>
  <c r="I4525" i="5" a="1"/>
  <c r="I4526" i="5" a="1"/>
  <c r="I4527" i="5" a="1"/>
  <c r="I4528" i="5" a="1"/>
  <c r="I4529" i="5" a="1"/>
  <c r="I4530" i="5" a="1"/>
  <c r="I4531" i="5" a="1"/>
  <c r="I4532" i="5" a="1"/>
  <c r="I4533" i="5" a="1"/>
  <c r="I4534" i="5" a="1"/>
  <c r="I4535" i="5" a="1"/>
  <c r="I4536" i="5" a="1"/>
  <c r="I4537" i="5" a="1"/>
  <c r="I4538" i="5" a="1"/>
  <c r="I4539" i="5" a="1"/>
  <c r="I4540" i="5" a="1"/>
  <c r="I4541" i="5" a="1"/>
  <c r="I4542" i="5" a="1"/>
  <c r="I4543" i="5" a="1"/>
  <c r="I4544" i="5" a="1"/>
  <c r="I4545" i="5" a="1"/>
  <c r="I4546" i="5" a="1"/>
  <c r="I4547" i="5" a="1"/>
  <c r="I4548" i="5" a="1"/>
  <c r="I4549" i="5" a="1"/>
  <c r="I4550" i="5" a="1"/>
  <c r="I4551" i="5" a="1"/>
  <c r="I4552" i="5" a="1"/>
  <c r="I4553" i="5" a="1"/>
  <c r="I4554" i="5" a="1"/>
  <c r="I4555" i="5" a="1"/>
  <c r="I4556" i="5" a="1"/>
  <c r="I4557" i="5" a="1"/>
  <c r="I4558" i="5" a="1"/>
  <c r="I4559" i="5" a="1"/>
  <c r="I4560" i="5" a="1"/>
  <c r="I4561" i="5" a="1"/>
  <c r="I4562" i="5" a="1"/>
  <c r="I4563" i="5" a="1"/>
  <c r="I4564" i="5" a="1"/>
  <c r="I4565" i="5" a="1"/>
  <c r="I4566" i="5" a="1"/>
  <c r="I4567" i="5" a="1"/>
  <c r="I4568" i="5" a="1"/>
  <c r="I4569" i="5" a="1"/>
  <c r="I4570" i="5" a="1"/>
  <c r="I4571" i="5" a="1"/>
  <c r="I4572" i="5" a="1"/>
  <c r="I4573" i="5" a="1"/>
  <c r="I4574" i="5" a="1"/>
  <c r="I4575" i="5" a="1"/>
  <c r="I4576" i="5" a="1"/>
  <c r="I4577" i="5" a="1"/>
  <c r="I4578" i="5" a="1"/>
  <c r="I4579" i="5" a="1"/>
  <c r="I4580" i="5" a="1"/>
  <c r="I4581" i="5" a="1"/>
  <c r="I4582" i="5" a="1"/>
  <c r="I4583" i="5" a="1"/>
  <c r="I4584" i="5" a="1"/>
  <c r="I4585" i="5" a="1"/>
  <c r="I4586" i="5" a="1"/>
  <c r="I4587" i="5" a="1"/>
  <c r="I4588" i="5" a="1"/>
  <c r="I4589" i="5" a="1"/>
  <c r="I4590" i="5" a="1"/>
  <c r="I4591" i="5" a="1"/>
  <c r="I4592" i="5" a="1"/>
  <c r="I4593" i="5" a="1"/>
  <c r="I4594" i="5" a="1"/>
  <c r="I4595" i="5" a="1"/>
  <c r="I4596" i="5" a="1"/>
  <c r="I4597" i="5" a="1"/>
  <c r="I4598" i="5" a="1"/>
  <c r="I4599" i="5" a="1"/>
  <c r="I4600" i="5" a="1"/>
  <c r="I4601" i="5" a="1"/>
  <c r="I4602" i="5" a="1"/>
  <c r="I4603" i="5" a="1"/>
  <c r="I4604" i="5" a="1"/>
  <c r="I4605" i="5" a="1"/>
  <c r="I4606" i="5" a="1"/>
  <c r="I4607" i="5" a="1"/>
  <c r="I4608" i="5" a="1"/>
  <c r="I4609" i="5" a="1"/>
  <c r="I4610" i="5" a="1"/>
  <c r="I4611" i="5" a="1"/>
  <c r="I4612" i="5" a="1"/>
  <c r="I4613" i="5" a="1"/>
  <c r="I4614" i="5" a="1"/>
  <c r="I4615" i="5" a="1"/>
  <c r="I4616" i="5" a="1"/>
  <c r="I4617" i="5" a="1"/>
  <c r="I4618" i="5" a="1"/>
  <c r="I4619" i="5" a="1"/>
  <c r="I4620" i="5" a="1"/>
  <c r="I4621" i="5" a="1"/>
  <c r="I4622" i="5" a="1"/>
  <c r="I4623" i="5" a="1"/>
  <c r="I4624" i="5" a="1"/>
  <c r="I4625" i="5" a="1"/>
  <c r="I4626" i="5" a="1"/>
  <c r="I4627" i="5" a="1"/>
  <c r="I4628" i="5" a="1"/>
  <c r="I4629" i="5" a="1"/>
  <c r="I4630" i="5" a="1"/>
  <c r="I4631" i="5" a="1"/>
  <c r="I4632" i="5" a="1"/>
  <c r="I4633" i="5" a="1"/>
  <c r="I4634" i="5" a="1"/>
  <c r="I4635" i="5" a="1"/>
  <c r="I4636" i="5" a="1"/>
  <c r="I4637" i="5" a="1"/>
  <c r="I4638" i="5" a="1"/>
  <c r="I4639" i="5" a="1"/>
  <c r="I4640" i="5" a="1"/>
  <c r="I4641" i="5" a="1"/>
  <c r="I4642" i="5" a="1"/>
  <c r="I4643" i="5" a="1"/>
  <c r="I4644" i="5" a="1"/>
  <c r="I4645" i="5" a="1"/>
  <c r="I4646" i="5" a="1"/>
  <c r="I4647" i="5" a="1"/>
  <c r="I4648" i="5" a="1"/>
  <c r="I4649" i="5" a="1"/>
  <c r="I4650" i="5" a="1"/>
  <c r="I4651" i="5" a="1"/>
  <c r="I4652" i="5" a="1"/>
  <c r="I4653" i="5" a="1"/>
  <c r="I4654" i="5" a="1"/>
  <c r="I4655" i="5" a="1"/>
  <c r="I4656" i="5" a="1"/>
  <c r="I4657" i="5" a="1"/>
  <c r="I4658" i="5" a="1"/>
  <c r="I4659" i="5" a="1"/>
  <c r="I4660" i="5" a="1"/>
  <c r="I4661" i="5" a="1"/>
  <c r="I4662" i="5" a="1"/>
  <c r="I4663" i="5" a="1"/>
  <c r="I4664" i="5" a="1"/>
  <c r="I4665" i="5" a="1"/>
  <c r="I4666" i="5" a="1"/>
  <c r="I4667" i="5" a="1"/>
  <c r="I4668" i="5" a="1"/>
  <c r="I4669" i="5" a="1"/>
  <c r="I4670" i="5" a="1"/>
  <c r="I4671" i="5" a="1"/>
  <c r="I4672" i="5" a="1"/>
  <c r="I4673" i="5" a="1"/>
  <c r="I4674" i="5" a="1"/>
  <c r="I4675" i="5" a="1"/>
  <c r="I4676" i="5" a="1"/>
  <c r="I4677" i="5" a="1"/>
  <c r="I4678" i="5" a="1"/>
  <c r="I4679" i="5" a="1"/>
  <c r="I4680" i="5" a="1"/>
  <c r="I4681" i="5" a="1"/>
  <c r="I4682" i="5" a="1"/>
  <c r="I4683" i="5" a="1"/>
  <c r="I4684" i="5" a="1"/>
  <c r="I4685" i="5" a="1"/>
  <c r="I4686" i="5" a="1"/>
  <c r="I4687" i="5" a="1"/>
  <c r="I4688" i="5" a="1"/>
  <c r="I4689" i="5" a="1"/>
  <c r="I4690" i="5" a="1"/>
  <c r="I4691" i="5" a="1"/>
  <c r="I4692" i="5" a="1"/>
  <c r="I4693" i="5" a="1"/>
  <c r="I4694" i="5" a="1"/>
  <c r="I4695" i="5" a="1"/>
  <c r="I4696" i="5" a="1"/>
  <c r="I4697" i="5" a="1"/>
  <c r="I4698" i="5" a="1"/>
  <c r="I4699" i="5" a="1"/>
  <c r="I4700" i="5" a="1"/>
  <c r="I4701" i="5" a="1"/>
  <c r="I4702" i="5" a="1"/>
  <c r="I4703" i="5" a="1"/>
  <c r="I4704" i="5" a="1"/>
  <c r="I4705" i="5" a="1"/>
  <c r="I4706" i="5" a="1"/>
  <c r="I4707" i="5" a="1"/>
  <c r="I4708" i="5" a="1"/>
  <c r="I4709" i="5" a="1"/>
  <c r="I4710" i="5" a="1"/>
  <c r="I4711" i="5" a="1"/>
  <c r="I4712" i="5" a="1"/>
  <c r="I4713" i="5" a="1"/>
  <c r="I4714" i="5" a="1"/>
  <c r="I4715" i="5" a="1"/>
  <c r="I4716" i="5" a="1"/>
  <c r="I4717" i="5" a="1"/>
  <c r="I4718" i="5" a="1"/>
  <c r="I4719" i="5" a="1"/>
  <c r="I4720" i="5" a="1"/>
  <c r="I4721" i="5" a="1"/>
  <c r="I4722" i="5" a="1"/>
  <c r="I4723" i="5" a="1"/>
  <c r="I4724" i="5" a="1"/>
  <c r="I4725" i="5" a="1"/>
  <c r="I4726" i="5" a="1"/>
  <c r="I4727" i="5" a="1"/>
  <c r="I4728" i="5" a="1"/>
  <c r="I4729" i="5" a="1"/>
  <c r="I4730" i="5" a="1"/>
  <c r="I4731" i="5" a="1"/>
  <c r="I4732" i="5" a="1"/>
  <c r="I4733" i="5" a="1"/>
  <c r="I4734" i="5" a="1"/>
  <c r="I4735" i="5" a="1"/>
  <c r="I4736" i="5" a="1"/>
  <c r="I4737" i="5" a="1"/>
  <c r="I4738" i="5" a="1"/>
  <c r="I4739" i="5" a="1"/>
  <c r="I4740" i="5" a="1"/>
  <c r="I4741" i="5" a="1"/>
  <c r="I4742" i="5" a="1"/>
  <c r="I4743" i="5" a="1"/>
  <c r="I4744" i="5" a="1"/>
  <c r="I4745" i="5" a="1"/>
  <c r="I4746" i="5" a="1"/>
  <c r="I4747" i="5" a="1"/>
  <c r="I4748" i="5" a="1"/>
  <c r="I4749" i="5" a="1"/>
  <c r="I4750" i="5" a="1"/>
  <c r="I4751" i="5" a="1"/>
  <c r="I4752" i="5" a="1"/>
  <c r="I4753" i="5" a="1"/>
  <c r="I4754" i="5" a="1"/>
  <c r="I4755" i="5" a="1"/>
  <c r="I4756" i="5" a="1"/>
  <c r="I4757" i="5" a="1"/>
  <c r="I4758" i="5" a="1"/>
  <c r="I4759" i="5" a="1"/>
  <c r="I4760" i="5" a="1"/>
  <c r="I4761" i="5" a="1"/>
  <c r="I4762" i="5" a="1"/>
  <c r="I4763" i="5" a="1"/>
  <c r="I4764" i="5" a="1"/>
  <c r="I4765" i="5" a="1"/>
  <c r="I4766" i="5" a="1"/>
  <c r="I4767" i="5" a="1"/>
  <c r="I4768" i="5" a="1"/>
  <c r="I4769" i="5" a="1"/>
  <c r="I4770" i="5" a="1"/>
  <c r="I4771" i="5" a="1"/>
  <c r="I4772" i="5" a="1"/>
  <c r="I4773" i="5" a="1"/>
  <c r="I4774" i="5" a="1"/>
  <c r="I4775" i="5" a="1"/>
  <c r="I4776" i="5" a="1"/>
  <c r="I4777" i="5" a="1"/>
  <c r="I4778" i="5" a="1"/>
  <c r="I4779" i="5" a="1"/>
  <c r="I4780" i="5" a="1"/>
  <c r="I4781" i="5" a="1"/>
  <c r="I4782" i="5" a="1"/>
  <c r="I4783" i="5" a="1"/>
  <c r="I4784" i="5" a="1"/>
  <c r="I4785" i="5" a="1"/>
  <c r="I4786" i="5" a="1"/>
  <c r="I4787" i="5" a="1"/>
  <c r="I4788" i="5" a="1"/>
  <c r="I4789" i="5" a="1"/>
  <c r="I4790" i="5" a="1"/>
  <c r="I4791" i="5" a="1"/>
  <c r="I4792" i="5" a="1"/>
  <c r="I4793" i="5" a="1"/>
  <c r="I4794" i="5" a="1"/>
  <c r="I4795" i="5" a="1"/>
  <c r="I4796" i="5" a="1"/>
  <c r="I4797" i="5" a="1"/>
  <c r="I4798" i="5" a="1"/>
  <c r="I4799" i="5" a="1"/>
  <c r="I4800" i="5" a="1"/>
  <c r="I4801" i="5" a="1"/>
  <c r="I4802" i="5" a="1"/>
  <c r="I4803" i="5" a="1"/>
  <c r="I4804" i="5" a="1"/>
  <c r="I4805" i="5" a="1"/>
  <c r="I4806" i="5" a="1"/>
  <c r="I4807" i="5" a="1"/>
  <c r="I4808" i="5" a="1"/>
  <c r="I4809" i="5" a="1"/>
  <c r="I4810" i="5" a="1"/>
  <c r="I4811" i="5" a="1"/>
  <c r="I4812" i="5" a="1"/>
  <c r="I4813" i="5" a="1"/>
  <c r="I4814" i="5" a="1"/>
  <c r="I4815" i="5" a="1"/>
  <c r="I4816" i="5" a="1"/>
  <c r="I4817" i="5" a="1"/>
  <c r="I4818" i="5" a="1"/>
  <c r="I4819" i="5" a="1"/>
  <c r="I4820" i="5" a="1"/>
  <c r="I4821" i="5" a="1"/>
  <c r="I4822" i="5" a="1"/>
  <c r="I4823" i="5" a="1"/>
  <c r="I4824" i="5" a="1"/>
  <c r="I4825" i="5" a="1"/>
  <c r="I4826" i="5" a="1"/>
  <c r="I4827" i="5" a="1"/>
  <c r="I4828" i="5" a="1"/>
  <c r="I4829" i="5" a="1"/>
  <c r="I4830" i="5" a="1"/>
  <c r="I4831" i="5" a="1"/>
  <c r="I4832" i="5" a="1"/>
  <c r="I4833" i="5" a="1"/>
  <c r="I4834" i="5" a="1"/>
  <c r="I4835" i="5" a="1"/>
  <c r="I4836" i="5" a="1"/>
  <c r="I4837" i="5" a="1"/>
  <c r="I4838" i="5" a="1"/>
  <c r="I4839" i="5" a="1"/>
  <c r="I4840" i="5" a="1"/>
  <c r="I4841" i="5" a="1"/>
  <c r="I4842" i="5" a="1"/>
  <c r="I4843" i="5" a="1"/>
  <c r="I4844" i="5" a="1"/>
  <c r="I4845" i="5" a="1"/>
  <c r="I4846" i="5" a="1"/>
  <c r="I4847" i="5" a="1"/>
  <c r="I4848" i="5" a="1"/>
  <c r="I4849" i="5" a="1"/>
  <c r="I4850" i="5" a="1"/>
  <c r="I4851" i="5" a="1"/>
  <c r="I4852" i="5" a="1"/>
  <c r="I4853" i="5" a="1"/>
  <c r="I4854" i="5" a="1"/>
  <c r="I4855" i="5" a="1"/>
  <c r="I4856" i="5" a="1"/>
  <c r="I4857" i="5" a="1"/>
  <c r="I4858" i="5" a="1"/>
  <c r="I4859" i="5" a="1"/>
  <c r="I4860" i="5" a="1"/>
  <c r="I4861" i="5" a="1"/>
  <c r="I4862" i="5" a="1"/>
  <c r="I4863" i="5" a="1"/>
  <c r="I4864" i="5" a="1"/>
  <c r="I4865" i="5" a="1"/>
  <c r="I4866" i="5" a="1"/>
  <c r="I4867" i="5" a="1"/>
  <c r="I4868" i="5" a="1"/>
  <c r="I4869" i="5" a="1"/>
  <c r="I4870" i="5" a="1"/>
  <c r="I4871" i="5" a="1"/>
  <c r="I4872" i="5" a="1"/>
  <c r="I4873" i="5" a="1"/>
  <c r="I4874" i="5" a="1"/>
  <c r="I4875" i="5" a="1"/>
  <c r="I4876" i="5" a="1"/>
  <c r="I4877" i="5" a="1"/>
  <c r="I4878" i="5" a="1"/>
  <c r="I4879" i="5" a="1"/>
  <c r="I4880" i="5" a="1"/>
  <c r="I4881" i="5" a="1"/>
  <c r="I4882" i="5" a="1"/>
  <c r="I4883" i="5" a="1"/>
  <c r="I4884" i="5" a="1"/>
  <c r="I4885" i="5" a="1"/>
  <c r="I4886" i="5" a="1"/>
  <c r="I4887" i="5" a="1"/>
  <c r="I4888" i="5" a="1"/>
  <c r="I4889" i="5" a="1"/>
  <c r="I4890" i="5" a="1"/>
  <c r="I4891" i="5" a="1"/>
  <c r="I4892" i="5" a="1"/>
  <c r="I4893" i="5" a="1"/>
  <c r="I4894" i="5" a="1"/>
  <c r="I4895" i="5" a="1"/>
  <c r="I4896" i="5" a="1"/>
  <c r="I4897" i="5" a="1"/>
  <c r="I4898" i="5" a="1"/>
  <c r="I4899" i="5" a="1"/>
  <c r="I4900" i="5" a="1"/>
  <c r="I4901" i="5" a="1"/>
  <c r="I4902" i="5" a="1"/>
  <c r="I4903" i="5" a="1"/>
  <c r="I4904" i="5" a="1"/>
  <c r="I4905" i="5" a="1"/>
  <c r="I4906" i="5" a="1"/>
  <c r="I4907" i="5" a="1"/>
  <c r="I4908" i="5" a="1"/>
  <c r="I4909" i="5" a="1"/>
  <c r="I4910" i="5" a="1"/>
  <c r="I4911" i="5" a="1"/>
  <c r="I4912" i="5" a="1"/>
  <c r="I4913" i="5" a="1"/>
  <c r="I4914" i="5" a="1"/>
  <c r="I4915" i="5" a="1"/>
  <c r="I4916" i="5" a="1"/>
  <c r="I4917" i="5" a="1"/>
  <c r="I4918" i="5" a="1"/>
  <c r="I4919" i="5" a="1"/>
  <c r="I4920" i="5" a="1"/>
  <c r="I4921" i="5" a="1"/>
  <c r="I4922" i="5" a="1"/>
  <c r="I4923" i="5" a="1"/>
  <c r="I4924" i="5" a="1"/>
  <c r="I4925" i="5" a="1"/>
  <c r="I4926" i="5" a="1"/>
  <c r="I4927" i="5" a="1"/>
  <c r="I4928" i="5" a="1"/>
  <c r="I4929" i="5" a="1"/>
  <c r="I4930" i="5" a="1"/>
  <c r="I4931" i="5" a="1"/>
  <c r="I4932" i="5" a="1"/>
  <c r="I4933" i="5" a="1"/>
  <c r="I4934" i="5" a="1"/>
  <c r="I4935" i="5" a="1"/>
  <c r="I4936" i="5" a="1"/>
  <c r="I4937" i="5" a="1"/>
  <c r="I4938" i="5" a="1"/>
  <c r="I4939" i="5" a="1"/>
  <c r="I4940" i="5" a="1"/>
  <c r="I4941" i="5" a="1"/>
  <c r="I4942" i="5" a="1"/>
  <c r="I4943" i="5" a="1"/>
  <c r="I4944" i="5" a="1"/>
  <c r="I4945" i="5" a="1"/>
  <c r="I4946" i="5" a="1"/>
  <c r="I4947" i="5" a="1"/>
  <c r="I4948" i="5" a="1"/>
  <c r="I4949" i="5" a="1"/>
  <c r="I4950" i="5" a="1"/>
  <c r="I4951" i="5" a="1"/>
  <c r="I4952" i="5" a="1"/>
  <c r="I4953" i="5" a="1"/>
  <c r="I4954" i="5" a="1"/>
  <c r="I4955" i="5" a="1"/>
  <c r="I4956" i="5" a="1"/>
  <c r="I4957" i="5" a="1"/>
  <c r="I4958" i="5" a="1"/>
  <c r="I4959" i="5" a="1"/>
  <c r="I4960" i="5" a="1"/>
  <c r="I4961" i="5" a="1"/>
  <c r="I4962" i="5" a="1"/>
  <c r="I4963" i="5" a="1"/>
  <c r="I4964" i="5" a="1"/>
  <c r="I4965" i="5" a="1"/>
  <c r="I4966" i="5" a="1"/>
  <c r="I4967" i="5" a="1"/>
  <c r="I4968" i="5" a="1"/>
  <c r="I4969" i="5" a="1"/>
  <c r="I4970" i="5" a="1"/>
  <c r="I4971" i="5" a="1"/>
  <c r="I4972" i="5" a="1"/>
  <c r="I4973" i="5" a="1"/>
  <c r="I4974" i="5" a="1"/>
  <c r="I4975" i="5" a="1"/>
  <c r="I4976" i="5" a="1"/>
  <c r="I4977" i="5" a="1"/>
  <c r="I4978" i="5" a="1"/>
  <c r="I4979" i="5" a="1"/>
  <c r="I4980" i="5" a="1"/>
  <c r="I4981" i="5" a="1"/>
  <c r="I4982" i="5" a="1"/>
  <c r="I4983" i="5" a="1"/>
  <c r="I4984" i="5" a="1"/>
  <c r="I4985" i="5" a="1"/>
  <c r="I4986" i="5" a="1"/>
  <c r="I4987" i="5" a="1"/>
  <c r="I4988" i="5" a="1"/>
  <c r="I4989" i="5" a="1"/>
  <c r="I4990" i="5" a="1"/>
  <c r="I4991" i="5" a="1"/>
  <c r="E14" i="16"/>
  <c r="E13" i="16"/>
  <c r="E12" i="16"/>
  <c r="E11"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3FC2E8-FD00-4090-BD62-2047C79D7DDA}" keepAlive="1" name="Query - Compensation_Cleaned" description="Connection to the 'Compensation_Cleaned' query in the workbook." type="5" refreshedVersion="8" background="1" saveData="1">
    <dbPr connection="Provider=Microsoft.Mashup.OleDb.1;Data Source=$Workbook$;Location=Compensation_Cleaned;Extended Properties=&quot;&quot;" command="SELECT * FROM [Compensation_Cleaned]"/>
  </connection>
  <connection id="2" xr16:uid="{2E9FB38C-19A2-44D0-BF9D-57F9965D9B8C}" keepAlive="1" name="Query - Compensation_Source" description="Connection to the 'Compensation_Source' query in the workbook." type="5" refreshedVersion="8" background="1" saveData="1">
    <dbPr connection="Provider=Microsoft.Mashup.OleDb.1;Data Source=$Workbook$;Location=Compensation_Source;Extended Properties=&quot;&quot;" command="SELECT * FROM [Compensation_Source]"/>
  </connection>
  <connection id="3" xr16:uid="{75A5B413-37EE-4323-B9A5-DB60D67C0D0F}" keepAlive="1" name="Query - JobRole_Department_Map" description="Connection to the 'JobRole_Department_Map' query in the workbook." type="5" refreshedVersion="8" background="1" saveData="1">
    <dbPr connection="Provider=Microsoft.Mashup.OleDb.1;Data Source=$Workbook$;Location=JobRole_Department_Map;Extended Properties=&quot;&quot;" command="SELECT * FROM [JobRole_Department_Map]"/>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<sst xmlns="http://schemas.openxmlformats.org/spreadsheetml/2006/main" count="45059" uniqueCount="5106">
  <si>
    <t>Employee_ID</t>
  </si>
  <si>
    <t>Gender</t>
  </si>
  <si>
    <t>Age</t>
  </si>
  <si>
    <t>Department</t>
  </si>
  <si>
    <t>Job_Role</t>
  </si>
  <si>
    <t>Education_Level</t>
  </si>
  <si>
    <t>Years_at_Company</t>
  </si>
  <si>
    <t>Years_in_Role</t>
  </si>
  <si>
    <t>Performance_Rating</t>
  </si>
  <si>
    <t>Employment_Type</t>
  </si>
  <si>
    <t>Base_Salary</t>
  </si>
  <si>
    <t>Bonus</t>
  </si>
  <si>
    <t>Total_Compensation</t>
  </si>
  <si>
    <t>Salary_Band</t>
  </si>
  <si>
    <t>Hire_Date</t>
  </si>
  <si>
    <t>EMP00001</t>
  </si>
  <si>
    <t>Male</t>
  </si>
  <si>
    <t>Marketing</t>
  </si>
  <si>
    <t>Marketing Manager</t>
  </si>
  <si>
    <t>High School</t>
  </si>
  <si>
    <t>Full-Time</t>
  </si>
  <si>
    <t>C</t>
  </si>
  <si>
    <t>EMP00002</t>
  </si>
  <si>
    <t>Female</t>
  </si>
  <si>
    <t>Part-Time</t>
  </si>
  <si>
    <t>B</t>
  </si>
  <si>
    <t>EMP00003</t>
  </si>
  <si>
    <t>Marketing Analyst</t>
  </si>
  <si>
    <t>Bachelor's</t>
  </si>
  <si>
    <t>EMP00004</t>
  </si>
  <si>
    <t>D</t>
  </si>
  <si>
    <t>EMP00005</t>
  </si>
  <si>
    <t>Marketing Specialist</t>
  </si>
  <si>
    <t>EMP00006</t>
  </si>
  <si>
    <t>Finance</t>
  </si>
  <si>
    <t>Accountant</t>
  </si>
  <si>
    <t>Master's</t>
  </si>
  <si>
    <t>EMP00007</t>
  </si>
  <si>
    <t>Operations</t>
  </si>
  <si>
    <t>Operations Analyst</t>
  </si>
  <si>
    <t>EMP00008</t>
  </si>
  <si>
    <t>HR</t>
  </si>
  <si>
    <t>HR Analyst</t>
  </si>
  <si>
    <t>EMP00009</t>
  </si>
  <si>
    <t>IT</t>
  </si>
  <si>
    <t>IT Specialist</t>
  </si>
  <si>
    <t>EMP00010</t>
  </si>
  <si>
    <t>Financial Analyst</t>
  </si>
  <si>
    <t>EMP00011</t>
  </si>
  <si>
    <t>EMP00012</t>
  </si>
  <si>
    <t>EMP00013</t>
  </si>
  <si>
    <t>Data Analyst</t>
  </si>
  <si>
    <t>EMP00014</t>
  </si>
  <si>
    <t>EMP00015</t>
  </si>
  <si>
    <t>EMP00016</t>
  </si>
  <si>
    <t>Sales</t>
  </si>
  <si>
    <t>Sales Manager</t>
  </si>
  <si>
    <t>E</t>
  </si>
  <si>
    <t>EMP00017</t>
  </si>
  <si>
    <t>Finance Manager</t>
  </si>
  <si>
    <t>EMP00018</t>
  </si>
  <si>
    <t>Operations Manager</t>
  </si>
  <si>
    <t>PhD</t>
  </si>
  <si>
    <t>EMP00019</t>
  </si>
  <si>
    <t>EMP00020</t>
  </si>
  <si>
    <t>A</t>
  </si>
  <si>
    <t>EMP00021</t>
  </si>
  <si>
    <t>HR Specialist</t>
  </si>
  <si>
    <t>EMP00022</t>
  </si>
  <si>
    <t>Contract</t>
  </si>
  <si>
    <t>EMP00023</t>
  </si>
  <si>
    <t>EMP00024</t>
  </si>
  <si>
    <t>EMP00025</t>
  </si>
  <si>
    <t>HR Manager</t>
  </si>
  <si>
    <t>EMP00026</t>
  </si>
  <si>
    <t>EMP00027</t>
  </si>
  <si>
    <t>IT Manager</t>
  </si>
  <si>
    <t>EMP00028</t>
  </si>
  <si>
    <t>EMP00029</t>
  </si>
  <si>
    <t>Sales Representative</t>
  </si>
  <si>
    <t>EMP00030</t>
  </si>
  <si>
    <t>Software Developer</t>
  </si>
  <si>
    <t>EMP00031</t>
  </si>
  <si>
    <t>EMP00032</t>
  </si>
  <si>
    <t>EMP00033</t>
  </si>
  <si>
    <t>EMP00034</t>
  </si>
  <si>
    <t>EMP00035</t>
  </si>
  <si>
    <t>EMP00036</t>
  </si>
  <si>
    <t>EMP00037</t>
  </si>
  <si>
    <t>EMP00038</t>
  </si>
  <si>
    <t>EMP00039</t>
  </si>
  <si>
    <t>EMP00040</t>
  </si>
  <si>
    <t>Account Manager</t>
  </si>
  <si>
    <t>EMP00041</t>
  </si>
  <si>
    <t>EMP00042</t>
  </si>
  <si>
    <t>EMP00043</t>
  </si>
  <si>
    <t>EMP00044</t>
  </si>
  <si>
    <t>EMP00045</t>
  </si>
  <si>
    <t>EMP00046</t>
  </si>
  <si>
    <t>EMP00047</t>
  </si>
  <si>
    <t>EMP00048</t>
  </si>
  <si>
    <t>EMP00049</t>
  </si>
  <si>
    <t>EMP00050</t>
  </si>
  <si>
    <t>EMP00051</t>
  </si>
  <si>
    <t>EMP00052</t>
  </si>
  <si>
    <t>EMP00053</t>
  </si>
  <si>
    <t>EMP00054</t>
  </si>
  <si>
    <t>EMP00055</t>
  </si>
  <si>
    <t>EMP00056</t>
  </si>
  <si>
    <t>EMP00057</t>
  </si>
  <si>
    <t>EMP00058</t>
  </si>
  <si>
    <t>EMP00059</t>
  </si>
  <si>
    <t>Operations Specialist</t>
  </si>
  <si>
    <t>EMP00060</t>
  </si>
  <si>
    <t>EMP00061</t>
  </si>
  <si>
    <t>EMP00062</t>
  </si>
  <si>
    <t>EMP00063</t>
  </si>
  <si>
    <t>EMP00064</t>
  </si>
  <si>
    <t>EMP00065</t>
  </si>
  <si>
    <t>EMP00066</t>
  </si>
  <si>
    <t>EMP00067</t>
  </si>
  <si>
    <t>EMP00068</t>
  </si>
  <si>
    <t>EMP00069</t>
  </si>
  <si>
    <t>EMP00070</t>
  </si>
  <si>
    <t>EMP00071</t>
  </si>
  <si>
    <t>EMP00072</t>
  </si>
  <si>
    <t>EMP00073</t>
  </si>
  <si>
    <t>EMP00074</t>
  </si>
  <si>
    <t>EMP00075</t>
  </si>
  <si>
    <t>EMP00076</t>
  </si>
  <si>
    <t>EMP00077</t>
  </si>
  <si>
    <t>EMP00078</t>
  </si>
  <si>
    <t>EMP00079</t>
  </si>
  <si>
    <t>EMP00080</t>
  </si>
  <si>
    <t>EMP00081</t>
  </si>
  <si>
    <t>EMP00082</t>
  </si>
  <si>
    <t>EMP00083</t>
  </si>
  <si>
    <t>EMP00084</t>
  </si>
  <si>
    <t>EMP00085</t>
  </si>
  <si>
    <t>EMP00086</t>
  </si>
  <si>
    <t>EMP00087</t>
  </si>
  <si>
    <t>EMP00088</t>
  </si>
  <si>
    <t>EMP00089</t>
  </si>
  <si>
    <t>EMP00090</t>
  </si>
  <si>
    <t>EMP00091</t>
  </si>
  <si>
    <t>EMP00092</t>
  </si>
  <si>
    <t>EMP00093</t>
  </si>
  <si>
    <t>EMP00094</t>
  </si>
  <si>
    <t>EMP00095</t>
  </si>
  <si>
    <t>EMP00096</t>
  </si>
  <si>
    <t>EMP00097</t>
  </si>
  <si>
    <t>EMP00098</t>
  </si>
  <si>
    <t>EMP00099</t>
  </si>
  <si>
    <t>EMP00100</t>
  </si>
  <si>
    <t>EMP00101</t>
  </si>
  <si>
    <t>EMP00102</t>
  </si>
  <si>
    <t>EMP00103</t>
  </si>
  <si>
    <t>EMP00104</t>
  </si>
  <si>
    <t>EMP00105</t>
  </si>
  <si>
    <t>EMP00106</t>
  </si>
  <si>
    <t>EMP00107</t>
  </si>
  <si>
    <t>EMP00108</t>
  </si>
  <si>
    <t>EMP00109</t>
  </si>
  <si>
    <t>EMP00110</t>
  </si>
  <si>
    <t>EMP00111</t>
  </si>
  <si>
    <t>EMP00112</t>
  </si>
  <si>
    <t>EMP00113</t>
  </si>
  <si>
    <t>EMP00114</t>
  </si>
  <si>
    <t>EMP00115</t>
  </si>
  <si>
    <t>EMP00116</t>
  </si>
  <si>
    <t>EMP00117</t>
  </si>
  <si>
    <t>EMP00118</t>
  </si>
  <si>
    <t>EMP00119</t>
  </si>
  <si>
    <t>EMP00120</t>
  </si>
  <si>
    <t>EMP00121</t>
  </si>
  <si>
    <t>EMP00122</t>
  </si>
  <si>
    <t>EMP00123</t>
  </si>
  <si>
    <t>EMP00124</t>
  </si>
  <si>
    <t>EMP00125</t>
  </si>
  <si>
    <t>EMP00126</t>
  </si>
  <si>
    <t>EMP00127</t>
  </si>
  <si>
    <t>EMP00128</t>
  </si>
  <si>
    <t>EMP00129</t>
  </si>
  <si>
    <t>EMP00130</t>
  </si>
  <si>
    <t>EMP00131</t>
  </si>
  <si>
    <t>EMP00132</t>
  </si>
  <si>
    <t>EMP00133</t>
  </si>
  <si>
    <t>EMP00134</t>
  </si>
  <si>
    <t>EMP00135</t>
  </si>
  <si>
    <t>EMP00136</t>
  </si>
  <si>
    <t>EMP00137</t>
  </si>
  <si>
    <t>EMP00138</t>
  </si>
  <si>
    <t>EMP00139</t>
  </si>
  <si>
    <t>EMP00140</t>
  </si>
  <si>
    <t>EMP00141</t>
  </si>
  <si>
    <t>EMP00142</t>
  </si>
  <si>
    <t>EMP00143</t>
  </si>
  <si>
    <t>EMP00144</t>
  </si>
  <si>
    <t>EMP00145</t>
  </si>
  <si>
    <t>EMP00146</t>
  </si>
  <si>
    <t>EMP00147</t>
  </si>
  <si>
    <t>EMP00148</t>
  </si>
  <si>
    <t>EMP00149</t>
  </si>
  <si>
    <t>EMP00150</t>
  </si>
  <si>
    <t>EMP00151</t>
  </si>
  <si>
    <t>EMP00152</t>
  </si>
  <si>
    <t>EMP00153</t>
  </si>
  <si>
    <t>EMP00154</t>
  </si>
  <si>
    <t>EMP00155</t>
  </si>
  <si>
    <t>EMP00156</t>
  </si>
  <si>
    <t>EMP00157</t>
  </si>
  <si>
    <t>EMP00158</t>
  </si>
  <si>
    <t>EMP00159</t>
  </si>
  <si>
    <t>EMP00160</t>
  </si>
  <si>
    <t>EMP00161</t>
  </si>
  <si>
    <t>EMP00162</t>
  </si>
  <si>
    <t>EMP00163</t>
  </si>
  <si>
    <t>EMP00164</t>
  </si>
  <si>
    <t>EMP00165</t>
  </si>
  <si>
    <t>EMP00166</t>
  </si>
  <si>
    <t>EMP00167</t>
  </si>
  <si>
    <t>EMP00168</t>
  </si>
  <si>
    <t>EMP00169</t>
  </si>
  <si>
    <t>EMP00170</t>
  </si>
  <si>
    <t>EMP00171</t>
  </si>
  <si>
    <t>EMP00172</t>
  </si>
  <si>
    <t>EMP00173</t>
  </si>
  <si>
    <t>EMP00174</t>
  </si>
  <si>
    <t>EMP00175</t>
  </si>
  <si>
    <t>EMP00176</t>
  </si>
  <si>
    <t>EMP00177</t>
  </si>
  <si>
    <t>EMP00178</t>
  </si>
  <si>
    <t>EMP00179</t>
  </si>
  <si>
    <t>EMP00180</t>
  </si>
  <si>
    <t>EMP00181</t>
  </si>
  <si>
    <t>EMP00182</t>
  </si>
  <si>
    <t>EMP00183</t>
  </si>
  <si>
    <t>EMP00184</t>
  </si>
  <si>
    <t>EMP00185</t>
  </si>
  <si>
    <t>EMP00186</t>
  </si>
  <si>
    <t>EMP00187</t>
  </si>
  <si>
    <t>EMP00188</t>
  </si>
  <si>
    <t>EMP00189</t>
  </si>
  <si>
    <t>EMP00190</t>
  </si>
  <si>
    <t>EMP00191</t>
  </si>
  <si>
    <t>EMP00192</t>
  </si>
  <si>
    <t>EMP00193</t>
  </si>
  <si>
    <t>EMP00194</t>
  </si>
  <si>
    <t>EMP00195</t>
  </si>
  <si>
    <t>EMP00196</t>
  </si>
  <si>
    <t>EMP00197</t>
  </si>
  <si>
    <t>EMP00198</t>
  </si>
  <si>
    <t>EMP00199</t>
  </si>
  <si>
    <t>EMP00200</t>
  </si>
  <si>
    <t>EMP00201</t>
  </si>
  <si>
    <t>EMP00202</t>
  </si>
  <si>
    <t>EMP00203</t>
  </si>
  <si>
    <t>EMP00204</t>
  </si>
  <si>
    <t>EMP00205</t>
  </si>
  <si>
    <t>EMP00206</t>
  </si>
  <si>
    <t>EMP00207</t>
  </si>
  <si>
    <t>EMP00208</t>
  </si>
  <si>
    <t>EMP00209</t>
  </si>
  <si>
    <t>EMP00210</t>
  </si>
  <si>
    <t>EMP00211</t>
  </si>
  <si>
    <t>EMP00212</t>
  </si>
  <si>
    <t>EMP00213</t>
  </si>
  <si>
    <t>EMP00214</t>
  </si>
  <si>
    <t>EMP00215</t>
  </si>
  <si>
    <t>EMP00216</t>
  </si>
  <si>
    <t>EMP00217</t>
  </si>
  <si>
    <t>EMP00218</t>
  </si>
  <si>
    <t>EMP00219</t>
  </si>
  <si>
    <t>EMP00220</t>
  </si>
  <si>
    <t>EMP00221</t>
  </si>
  <si>
    <t>EMP00222</t>
  </si>
  <si>
    <t>EMP00223</t>
  </si>
  <si>
    <t>EMP00224</t>
  </si>
  <si>
    <t>EMP00225</t>
  </si>
  <si>
    <t>EMP00226</t>
  </si>
  <si>
    <t>EMP00227</t>
  </si>
  <si>
    <t>EMP00228</t>
  </si>
  <si>
    <t>EMP00229</t>
  </si>
  <si>
    <t>EMP00230</t>
  </si>
  <si>
    <t>EMP00231</t>
  </si>
  <si>
    <t>EMP00232</t>
  </si>
  <si>
    <t>EMP00233</t>
  </si>
  <si>
    <t>EMP00234</t>
  </si>
  <si>
    <t>EMP00235</t>
  </si>
  <si>
    <t>EMP00236</t>
  </si>
  <si>
    <t>EMP00237</t>
  </si>
  <si>
    <t>EMP00238</t>
  </si>
  <si>
    <t>EMP00239</t>
  </si>
  <si>
    <t>EMP00240</t>
  </si>
  <si>
    <t>EMP00241</t>
  </si>
  <si>
    <t>EMP00242</t>
  </si>
  <si>
    <t>EMP00243</t>
  </si>
  <si>
    <t>EMP00244</t>
  </si>
  <si>
    <t>EMP00245</t>
  </si>
  <si>
    <t>EMP00246</t>
  </si>
  <si>
    <t>EMP00247</t>
  </si>
  <si>
    <t>EMP00248</t>
  </si>
  <si>
    <t>EMP00249</t>
  </si>
  <si>
    <t>EMP00250</t>
  </si>
  <si>
    <t>EMP00251</t>
  </si>
  <si>
    <t>EMP00252</t>
  </si>
  <si>
    <t>EMP00253</t>
  </si>
  <si>
    <t>EMP00254</t>
  </si>
  <si>
    <t>EMP00255</t>
  </si>
  <si>
    <t>EMP00256</t>
  </si>
  <si>
    <t>EMP00257</t>
  </si>
  <si>
    <t>EMP00258</t>
  </si>
  <si>
    <t>EMP00259</t>
  </si>
  <si>
    <t>EMP00260</t>
  </si>
  <si>
    <t>EMP00261</t>
  </si>
  <si>
    <t>EMP00262</t>
  </si>
  <si>
    <t>EMP00263</t>
  </si>
  <si>
    <t>EMP00264</t>
  </si>
  <si>
    <t>EMP00265</t>
  </si>
  <si>
    <t>EMP00266</t>
  </si>
  <si>
    <t>EMP00267</t>
  </si>
  <si>
    <t>EMP00268</t>
  </si>
  <si>
    <t>EMP00269</t>
  </si>
  <si>
    <t>EMP00270</t>
  </si>
  <si>
    <t>EMP00271</t>
  </si>
  <si>
    <t>EMP00272</t>
  </si>
  <si>
    <t>EMP00273</t>
  </si>
  <si>
    <t>EMP00274</t>
  </si>
  <si>
    <t>EMP00275</t>
  </si>
  <si>
    <t>EMP00276</t>
  </si>
  <si>
    <t>EMP00277</t>
  </si>
  <si>
    <t>EMP00278</t>
  </si>
  <si>
    <t>EMP00279</t>
  </si>
  <si>
    <t>EMP00280</t>
  </si>
  <si>
    <t>EMP00281</t>
  </si>
  <si>
    <t>EMP00282</t>
  </si>
  <si>
    <t>EMP00283</t>
  </si>
  <si>
    <t>EMP00284</t>
  </si>
  <si>
    <t>EMP00285</t>
  </si>
  <si>
    <t>EMP00286</t>
  </si>
  <si>
    <t>EMP00287</t>
  </si>
  <si>
    <t>EMP00288</t>
  </si>
  <si>
    <t>EMP00289</t>
  </si>
  <si>
    <t>EMP00290</t>
  </si>
  <si>
    <t>EMP00291</t>
  </si>
  <si>
    <t>EMP00292</t>
  </si>
  <si>
    <t>EMP00293</t>
  </si>
  <si>
    <t>EMP00294</t>
  </si>
  <si>
    <t>EMP00295</t>
  </si>
  <si>
    <t>EMP00296</t>
  </si>
  <si>
    <t>EMP00297</t>
  </si>
  <si>
    <t>EMP00298</t>
  </si>
  <si>
    <t>EMP00299</t>
  </si>
  <si>
    <t>EMP00300</t>
  </si>
  <si>
    <t>EMP00301</t>
  </si>
  <si>
    <t>EMP00302</t>
  </si>
  <si>
    <t>EMP00303</t>
  </si>
  <si>
    <t>EMP00304</t>
  </si>
  <si>
    <t>EMP00305</t>
  </si>
  <si>
    <t>EMP00306</t>
  </si>
  <si>
    <t>EMP00307</t>
  </si>
  <si>
    <t>EMP00308</t>
  </si>
  <si>
    <t>EMP00309</t>
  </si>
  <si>
    <t>EMP00310</t>
  </si>
  <si>
    <t>EMP00311</t>
  </si>
  <si>
    <t>EMP00312</t>
  </si>
  <si>
    <t>EMP00313</t>
  </si>
  <si>
    <t>EMP00314</t>
  </si>
  <si>
    <t>EMP00315</t>
  </si>
  <si>
    <t>EMP00316</t>
  </si>
  <si>
    <t>EMP00317</t>
  </si>
  <si>
    <t>EMP00318</t>
  </si>
  <si>
    <t>EMP00319</t>
  </si>
  <si>
    <t>EMP00320</t>
  </si>
  <si>
    <t>EMP00321</t>
  </si>
  <si>
    <t>EMP00322</t>
  </si>
  <si>
    <t>EMP00323</t>
  </si>
  <si>
    <t>EMP00324</t>
  </si>
  <si>
    <t>EMP00325</t>
  </si>
  <si>
    <t>EMP00326</t>
  </si>
  <si>
    <t>EMP00327</t>
  </si>
  <si>
    <t>EMP00328</t>
  </si>
  <si>
    <t>EMP00329</t>
  </si>
  <si>
    <t>EMP00330</t>
  </si>
  <si>
    <t>EMP00331</t>
  </si>
  <si>
    <t>EMP00332</t>
  </si>
  <si>
    <t>EMP00333</t>
  </si>
  <si>
    <t>EMP00334</t>
  </si>
  <si>
    <t>EMP00335</t>
  </si>
  <si>
    <t>EMP00336</t>
  </si>
  <si>
    <t>EMP00337</t>
  </si>
  <si>
    <t>EMP00338</t>
  </si>
  <si>
    <t>EMP00339</t>
  </si>
  <si>
    <t>EMP00340</t>
  </si>
  <si>
    <t>EMP00341</t>
  </si>
  <si>
    <t>EMP00342</t>
  </si>
  <si>
    <t>EMP00343</t>
  </si>
  <si>
    <t>EMP00344</t>
  </si>
  <si>
    <t>EMP00345</t>
  </si>
  <si>
    <t>EMP00346</t>
  </si>
  <si>
    <t>EMP00347</t>
  </si>
  <si>
    <t>EMP00348</t>
  </si>
  <si>
    <t>EMP00349</t>
  </si>
  <si>
    <t>EMP00350</t>
  </si>
  <si>
    <t>EMP00351</t>
  </si>
  <si>
    <t>EMP00352</t>
  </si>
  <si>
    <t>EMP00353</t>
  </si>
  <si>
    <t>EMP00354</t>
  </si>
  <si>
    <t>EMP00355</t>
  </si>
  <si>
    <t>EMP00356</t>
  </si>
  <si>
    <t>EMP00357</t>
  </si>
  <si>
    <t>EMP00358</t>
  </si>
  <si>
    <t>EMP00359</t>
  </si>
  <si>
    <t>EMP00360</t>
  </si>
  <si>
    <t>EMP00361</t>
  </si>
  <si>
    <t>EMP00362</t>
  </si>
  <si>
    <t>EMP00363</t>
  </si>
  <si>
    <t>EMP00364</t>
  </si>
  <si>
    <t>EMP00365</t>
  </si>
  <si>
    <t>EMP00366</t>
  </si>
  <si>
    <t>EMP00367</t>
  </si>
  <si>
    <t>EMP00368</t>
  </si>
  <si>
    <t>EMP00369</t>
  </si>
  <si>
    <t>EMP00370</t>
  </si>
  <si>
    <t>EMP00371</t>
  </si>
  <si>
    <t>EMP00372</t>
  </si>
  <si>
    <t>EMP00373</t>
  </si>
  <si>
    <t>EMP00374</t>
  </si>
  <si>
    <t>EMP00375</t>
  </si>
  <si>
    <t>EMP00376</t>
  </si>
  <si>
    <t>EMP00377</t>
  </si>
  <si>
    <t>EMP00378</t>
  </si>
  <si>
    <t>EMP00379</t>
  </si>
  <si>
    <t>EMP00380</t>
  </si>
  <si>
    <t>EMP00381</t>
  </si>
  <si>
    <t>EMP00382</t>
  </si>
  <si>
    <t>EMP00383</t>
  </si>
  <si>
    <t>EMP00384</t>
  </si>
  <si>
    <t>EMP00385</t>
  </si>
  <si>
    <t>EMP00386</t>
  </si>
  <si>
    <t>EMP00387</t>
  </si>
  <si>
    <t>EMP00388</t>
  </si>
  <si>
    <t>EMP00389</t>
  </si>
  <si>
    <t>EMP00390</t>
  </si>
  <si>
    <t>EMP00391</t>
  </si>
  <si>
    <t>EMP00392</t>
  </si>
  <si>
    <t>EMP00393</t>
  </si>
  <si>
    <t>EMP00394</t>
  </si>
  <si>
    <t>EMP00395</t>
  </si>
  <si>
    <t>EMP00396</t>
  </si>
  <si>
    <t>EMP00397</t>
  </si>
  <si>
    <t>EMP00398</t>
  </si>
  <si>
    <t>EMP00399</t>
  </si>
  <si>
    <t>EMP00400</t>
  </si>
  <si>
    <t>EMP00401</t>
  </si>
  <si>
    <t>EMP00402</t>
  </si>
  <si>
    <t>EMP00403</t>
  </si>
  <si>
    <t>EMP00404</t>
  </si>
  <si>
    <t>EMP00405</t>
  </si>
  <si>
    <t>EMP00406</t>
  </si>
  <si>
    <t>EMP00407</t>
  </si>
  <si>
    <t>EMP00408</t>
  </si>
  <si>
    <t>EMP00409</t>
  </si>
  <si>
    <t>EMP00410</t>
  </si>
  <si>
    <t>EMP00411</t>
  </si>
  <si>
    <t>EMP00412</t>
  </si>
  <si>
    <t>EMP00413</t>
  </si>
  <si>
    <t>EMP00414</t>
  </si>
  <si>
    <t>EMP00415</t>
  </si>
  <si>
    <t>EMP00416</t>
  </si>
  <si>
    <t>EMP00417</t>
  </si>
  <si>
    <t>EMP00418</t>
  </si>
  <si>
    <t>EMP00419</t>
  </si>
  <si>
    <t>EMP00420</t>
  </si>
  <si>
    <t>EMP00421</t>
  </si>
  <si>
    <t>EMP00422</t>
  </si>
  <si>
    <t>EMP00423</t>
  </si>
  <si>
    <t>EMP00424</t>
  </si>
  <si>
    <t>EMP00425</t>
  </si>
  <si>
    <t>EMP00426</t>
  </si>
  <si>
    <t>EMP00427</t>
  </si>
  <si>
    <t>EMP00428</t>
  </si>
  <si>
    <t>EMP00429</t>
  </si>
  <si>
    <t>EMP00430</t>
  </si>
  <si>
    <t>EMP00431</t>
  </si>
  <si>
    <t>EMP00432</t>
  </si>
  <si>
    <t>EMP00433</t>
  </si>
  <si>
    <t>EMP00434</t>
  </si>
  <si>
    <t>EMP00435</t>
  </si>
  <si>
    <t>EMP00436</t>
  </si>
  <si>
    <t>EMP00437</t>
  </si>
  <si>
    <t>EMP00438</t>
  </si>
  <si>
    <t>EMP00439</t>
  </si>
  <si>
    <t>EMP00440</t>
  </si>
  <si>
    <t>EMP00441</t>
  </si>
  <si>
    <t>EMP00442</t>
  </si>
  <si>
    <t>EMP00443</t>
  </si>
  <si>
    <t>EMP00444</t>
  </si>
  <si>
    <t>EMP00445</t>
  </si>
  <si>
    <t>EMP00446</t>
  </si>
  <si>
    <t>EMP00447</t>
  </si>
  <si>
    <t>EMP00448</t>
  </si>
  <si>
    <t>EMP00449</t>
  </si>
  <si>
    <t>EMP00450</t>
  </si>
  <si>
    <t>EMP00451</t>
  </si>
  <si>
    <t>EMP00452</t>
  </si>
  <si>
    <t>EMP00453</t>
  </si>
  <si>
    <t>EMP00454</t>
  </si>
  <si>
    <t>EMP00455</t>
  </si>
  <si>
    <t>EMP00456</t>
  </si>
  <si>
    <t>EMP00457</t>
  </si>
  <si>
    <t>EMP00458</t>
  </si>
  <si>
    <t>EMP00459</t>
  </si>
  <si>
    <t>EMP00460</t>
  </si>
  <si>
    <t>EMP00461</t>
  </si>
  <si>
    <t>EMP00462</t>
  </si>
  <si>
    <t>EMP00463</t>
  </si>
  <si>
    <t>EMP00464</t>
  </si>
  <si>
    <t>EMP00465</t>
  </si>
  <si>
    <t>EMP00466</t>
  </si>
  <si>
    <t>EMP00467</t>
  </si>
  <si>
    <t>EMP00468</t>
  </si>
  <si>
    <t>EMP00469</t>
  </si>
  <si>
    <t>EMP00470</t>
  </si>
  <si>
    <t>EMP00471</t>
  </si>
  <si>
    <t>EMP00472</t>
  </si>
  <si>
    <t>EMP00473</t>
  </si>
  <si>
    <t>EMP00474</t>
  </si>
  <si>
    <t>EMP00475</t>
  </si>
  <si>
    <t>EMP00476</t>
  </si>
  <si>
    <t>EMP00477</t>
  </si>
  <si>
    <t>EMP00478</t>
  </si>
  <si>
    <t>EMP00479</t>
  </si>
  <si>
    <t>EMP00480</t>
  </si>
  <si>
    <t>EMP00481</t>
  </si>
  <si>
    <t>EMP00482</t>
  </si>
  <si>
    <t>EMP00483</t>
  </si>
  <si>
    <t>EMP00484</t>
  </si>
  <si>
    <t>EMP00485</t>
  </si>
  <si>
    <t>EMP00486</t>
  </si>
  <si>
    <t>EMP00487</t>
  </si>
  <si>
    <t>EMP00488</t>
  </si>
  <si>
    <t>EMP00489</t>
  </si>
  <si>
    <t>EMP00490</t>
  </si>
  <si>
    <t>EMP00491</t>
  </si>
  <si>
    <t>EMP00492</t>
  </si>
  <si>
    <t>EMP00493</t>
  </si>
  <si>
    <t>EMP00494</t>
  </si>
  <si>
    <t>EMP00495</t>
  </si>
  <si>
    <t>EMP00496</t>
  </si>
  <si>
    <t>EMP00497</t>
  </si>
  <si>
    <t>EMP00498</t>
  </si>
  <si>
    <t>EMP00499</t>
  </si>
  <si>
    <t>EMP00500</t>
  </si>
  <si>
    <t>EMP00501</t>
  </si>
  <si>
    <t>EMP00502</t>
  </si>
  <si>
    <t>EMP00503</t>
  </si>
  <si>
    <t>EMP00504</t>
  </si>
  <si>
    <t>EMP00505</t>
  </si>
  <si>
    <t>EMP00506</t>
  </si>
  <si>
    <t>EMP00507</t>
  </si>
  <si>
    <t>EMP00508</t>
  </si>
  <si>
    <t>EMP00509</t>
  </si>
  <si>
    <t>EMP00510</t>
  </si>
  <si>
    <t>EMP00511</t>
  </si>
  <si>
    <t>EMP00512</t>
  </si>
  <si>
    <t>EMP00513</t>
  </si>
  <si>
    <t>EMP00514</t>
  </si>
  <si>
    <t>EMP00515</t>
  </si>
  <si>
    <t>EMP00516</t>
  </si>
  <si>
    <t>EMP00517</t>
  </si>
  <si>
    <t>EMP00518</t>
  </si>
  <si>
    <t>EMP00519</t>
  </si>
  <si>
    <t>EMP00520</t>
  </si>
  <si>
    <t>EMP00521</t>
  </si>
  <si>
    <t>EMP00522</t>
  </si>
  <si>
    <t>EMP00523</t>
  </si>
  <si>
    <t>EMP00524</t>
  </si>
  <si>
    <t>EMP00525</t>
  </si>
  <si>
    <t>EMP00526</t>
  </si>
  <si>
    <t>EMP00527</t>
  </si>
  <si>
    <t>EMP00528</t>
  </si>
  <si>
    <t>EMP00529</t>
  </si>
  <si>
    <t>EMP00530</t>
  </si>
  <si>
    <t>EMP00531</t>
  </si>
  <si>
    <t>EMP00532</t>
  </si>
  <si>
    <t>EMP00533</t>
  </si>
  <si>
    <t>EMP00534</t>
  </si>
  <si>
    <t>EMP00535</t>
  </si>
  <si>
    <t>EMP00536</t>
  </si>
  <si>
    <t>EMP00537</t>
  </si>
  <si>
    <t>EMP00538</t>
  </si>
  <si>
    <t>EMP00539</t>
  </si>
  <si>
    <t>EMP00540</t>
  </si>
  <si>
    <t>EMP00541</t>
  </si>
  <si>
    <t>EMP00542</t>
  </si>
  <si>
    <t>EMP00543</t>
  </si>
  <si>
    <t>EMP00544</t>
  </si>
  <si>
    <t>EMP00545</t>
  </si>
  <si>
    <t>EMP00546</t>
  </si>
  <si>
    <t>EMP00547</t>
  </si>
  <si>
    <t>EMP00548</t>
  </si>
  <si>
    <t>EMP00549</t>
  </si>
  <si>
    <t>EMP00550</t>
  </si>
  <si>
    <t>EMP00551</t>
  </si>
  <si>
    <t>EMP00552</t>
  </si>
  <si>
    <t>EMP00553</t>
  </si>
  <si>
    <t>EMP00554</t>
  </si>
  <si>
    <t>EMP00555</t>
  </si>
  <si>
    <t>EMP00556</t>
  </si>
  <si>
    <t>EMP00557</t>
  </si>
  <si>
    <t>EMP00558</t>
  </si>
  <si>
    <t>EMP00559</t>
  </si>
  <si>
    <t>EMP00560</t>
  </si>
  <si>
    <t>EMP00561</t>
  </si>
  <si>
    <t>EMP00562</t>
  </si>
  <si>
    <t>EMP00563</t>
  </si>
  <si>
    <t>EMP00564</t>
  </si>
  <si>
    <t>EMP00565</t>
  </si>
  <si>
    <t>EMP00566</t>
  </si>
  <si>
    <t>EMP00567</t>
  </si>
  <si>
    <t>EMP00568</t>
  </si>
  <si>
    <t>EMP00569</t>
  </si>
  <si>
    <t>EMP00570</t>
  </si>
  <si>
    <t>EMP00571</t>
  </si>
  <si>
    <t>EMP00572</t>
  </si>
  <si>
    <t>EMP00573</t>
  </si>
  <si>
    <t>EMP00574</t>
  </si>
  <si>
    <t>EMP00575</t>
  </si>
  <si>
    <t>EMP00576</t>
  </si>
  <si>
    <t>EMP00577</t>
  </si>
  <si>
    <t>EMP00578</t>
  </si>
  <si>
    <t>EMP00579</t>
  </si>
  <si>
    <t>EMP00580</t>
  </si>
  <si>
    <t>EMP00581</t>
  </si>
  <si>
    <t>EMP00582</t>
  </si>
  <si>
    <t>EMP00583</t>
  </si>
  <si>
    <t>EMP00584</t>
  </si>
  <si>
    <t>EMP00585</t>
  </si>
  <si>
    <t>EMP00586</t>
  </si>
  <si>
    <t>EMP00587</t>
  </si>
  <si>
    <t>EMP00588</t>
  </si>
  <si>
    <t>EMP00589</t>
  </si>
  <si>
    <t>EMP00590</t>
  </si>
  <si>
    <t>EMP00591</t>
  </si>
  <si>
    <t>EMP00592</t>
  </si>
  <si>
    <t>EMP00593</t>
  </si>
  <si>
    <t>EMP00594</t>
  </si>
  <si>
    <t>EMP00595</t>
  </si>
  <si>
    <t>EMP00596</t>
  </si>
  <si>
    <t>EMP00597</t>
  </si>
  <si>
    <t>EMP00598</t>
  </si>
  <si>
    <t>EMP00599</t>
  </si>
  <si>
    <t>EMP00600</t>
  </si>
  <si>
    <t>EMP00601</t>
  </si>
  <si>
    <t>EMP00602</t>
  </si>
  <si>
    <t>EMP00603</t>
  </si>
  <si>
    <t>EMP00604</t>
  </si>
  <si>
    <t>EMP00605</t>
  </si>
  <si>
    <t>EMP00606</t>
  </si>
  <si>
    <t>EMP00607</t>
  </si>
  <si>
    <t>EMP00608</t>
  </si>
  <si>
    <t>EMP00609</t>
  </si>
  <si>
    <t>EMP00610</t>
  </si>
  <si>
    <t>EMP00611</t>
  </si>
  <si>
    <t>EMP00612</t>
  </si>
  <si>
    <t>EMP00613</t>
  </si>
  <si>
    <t>EMP00614</t>
  </si>
  <si>
    <t>EMP00615</t>
  </si>
  <si>
    <t>EMP00616</t>
  </si>
  <si>
    <t>EMP00617</t>
  </si>
  <si>
    <t>EMP00618</t>
  </si>
  <si>
    <t>EMP00619</t>
  </si>
  <si>
    <t>EMP00620</t>
  </si>
  <si>
    <t>EMP00621</t>
  </si>
  <si>
    <t>EMP00622</t>
  </si>
  <si>
    <t>EMP00623</t>
  </si>
  <si>
    <t>EMP00624</t>
  </si>
  <si>
    <t>EMP00625</t>
  </si>
  <si>
    <t>EMP00626</t>
  </si>
  <si>
    <t>EMP00627</t>
  </si>
  <si>
    <t>EMP00628</t>
  </si>
  <si>
    <t>EMP00629</t>
  </si>
  <si>
    <t>EMP00630</t>
  </si>
  <si>
    <t>EMP00631</t>
  </si>
  <si>
    <t>EMP00632</t>
  </si>
  <si>
    <t>EMP00633</t>
  </si>
  <si>
    <t>EMP00634</t>
  </si>
  <si>
    <t>EMP00635</t>
  </si>
  <si>
    <t>EMP00636</t>
  </si>
  <si>
    <t>EMP00637</t>
  </si>
  <si>
    <t>EMP00638</t>
  </si>
  <si>
    <t>EMP00639</t>
  </si>
  <si>
    <t>EMP00640</t>
  </si>
  <si>
    <t>EMP00641</t>
  </si>
  <si>
    <t>EMP00642</t>
  </si>
  <si>
    <t>EMP00643</t>
  </si>
  <si>
    <t>EMP00644</t>
  </si>
  <si>
    <t>EMP00645</t>
  </si>
  <si>
    <t>EMP00646</t>
  </si>
  <si>
    <t>EMP00647</t>
  </si>
  <si>
    <t>EMP00648</t>
  </si>
  <si>
    <t>EMP00649</t>
  </si>
  <si>
    <t>EMP00650</t>
  </si>
  <si>
    <t>EMP00651</t>
  </si>
  <si>
    <t>EMP00652</t>
  </si>
  <si>
    <t>EMP00653</t>
  </si>
  <si>
    <t>EMP00654</t>
  </si>
  <si>
    <t>EMP00655</t>
  </si>
  <si>
    <t>EMP00656</t>
  </si>
  <si>
    <t>EMP00657</t>
  </si>
  <si>
    <t>EMP00658</t>
  </si>
  <si>
    <t>EMP00659</t>
  </si>
  <si>
    <t>EMP00660</t>
  </si>
  <si>
    <t>EMP00661</t>
  </si>
  <si>
    <t>EMP00662</t>
  </si>
  <si>
    <t>EMP00663</t>
  </si>
  <si>
    <t>EMP00664</t>
  </si>
  <si>
    <t>EMP00665</t>
  </si>
  <si>
    <t>EMP00666</t>
  </si>
  <si>
    <t>EMP00667</t>
  </si>
  <si>
    <t>EMP00668</t>
  </si>
  <si>
    <t>EMP00669</t>
  </si>
  <si>
    <t>EMP00670</t>
  </si>
  <si>
    <t>EMP00671</t>
  </si>
  <si>
    <t>EMP00672</t>
  </si>
  <si>
    <t>EMP00673</t>
  </si>
  <si>
    <t>EMP00674</t>
  </si>
  <si>
    <t>EMP00675</t>
  </si>
  <si>
    <t>EMP00676</t>
  </si>
  <si>
    <t>EMP00677</t>
  </si>
  <si>
    <t>EMP00678</t>
  </si>
  <si>
    <t>EMP00679</t>
  </si>
  <si>
    <t>EMP00680</t>
  </si>
  <si>
    <t>EMP00681</t>
  </si>
  <si>
    <t>EMP00682</t>
  </si>
  <si>
    <t>EMP00683</t>
  </si>
  <si>
    <t>EMP00684</t>
  </si>
  <si>
    <t>EMP00685</t>
  </si>
  <si>
    <t>EMP00686</t>
  </si>
  <si>
    <t>EMP00687</t>
  </si>
  <si>
    <t>EMP00688</t>
  </si>
  <si>
    <t>EMP00689</t>
  </si>
  <si>
    <t>EMP00690</t>
  </si>
  <si>
    <t>EMP00691</t>
  </si>
  <si>
    <t>EMP00692</t>
  </si>
  <si>
    <t>EMP00693</t>
  </si>
  <si>
    <t>EMP00694</t>
  </si>
  <si>
    <t>EMP00695</t>
  </si>
  <si>
    <t>EMP00696</t>
  </si>
  <si>
    <t>EMP00697</t>
  </si>
  <si>
    <t>EMP00698</t>
  </si>
  <si>
    <t>EMP00699</t>
  </si>
  <si>
    <t>EMP00700</t>
  </si>
  <si>
    <t>EMP00701</t>
  </si>
  <si>
    <t>EMP00702</t>
  </si>
  <si>
    <t>EMP00703</t>
  </si>
  <si>
    <t>EMP00704</t>
  </si>
  <si>
    <t>EMP00705</t>
  </si>
  <si>
    <t>EMP00706</t>
  </si>
  <si>
    <t>EMP00707</t>
  </si>
  <si>
    <t>EMP00708</t>
  </si>
  <si>
    <t>EMP00709</t>
  </si>
  <si>
    <t>EMP00710</t>
  </si>
  <si>
    <t>EMP00711</t>
  </si>
  <si>
    <t>EMP00712</t>
  </si>
  <si>
    <t>EMP00713</t>
  </si>
  <si>
    <t>EMP00714</t>
  </si>
  <si>
    <t>EMP00715</t>
  </si>
  <si>
    <t>EMP00716</t>
  </si>
  <si>
    <t>EMP00717</t>
  </si>
  <si>
    <t>EMP00718</t>
  </si>
  <si>
    <t>EMP00719</t>
  </si>
  <si>
    <t>EMP00720</t>
  </si>
  <si>
    <t>EMP00721</t>
  </si>
  <si>
    <t>EMP00722</t>
  </si>
  <si>
    <t>EMP00723</t>
  </si>
  <si>
    <t>EMP00724</t>
  </si>
  <si>
    <t>EMP00725</t>
  </si>
  <si>
    <t>EMP00726</t>
  </si>
  <si>
    <t>EMP00727</t>
  </si>
  <si>
    <t>EMP00728</t>
  </si>
  <si>
    <t>EMP00729</t>
  </si>
  <si>
    <t>EMP00730</t>
  </si>
  <si>
    <t>EMP00731</t>
  </si>
  <si>
    <t>EMP00732</t>
  </si>
  <si>
    <t>EMP00733</t>
  </si>
  <si>
    <t>EMP00734</t>
  </si>
  <si>
    <t>EMP00735</t>
  </si>
  <si>
    <t>EMP00736</t>
  </si>
  <si>
    <t>EMP00737</t>
  </si>
  <si>
    <t>EMP00738</t>
  </si>
  <si>
    <t>EMP00739</t>
  </si>
  <si>
    <t>EMP00740</t>
  </si>
  <si>
    <t>EMP00741</t>
  </si>
  <si>
    <t>EMP00742</t>
  </si>
  <si>
    <t>EMP00743</t>
  </si>
  <si>
    <t>EMP00744</t>
  </si>
  <si>
    <t>EMP00745</t>
  </si>
  <si>
    <t>EMP00746</t>
  </si>
  <si>
    <t>EMP00747</t>
  </si>
  <si>
    <t>EMP00748</t>
  </si>
  <si>
    <t>EMP00749</t>
  </si>
  <si>
    <t>EMP00750</t>
  </si>
  <si>
    <t>EMP00751</t>
  </si>
  <si>
    <t>EMP00752</t>
  </si>
  <si>
    <t>EMP00753</t>
  </si>
  <si>
    <t>EMP00754</t>
  </si>
  <si>
    <t>EMP00755</t>
  </si>
  <si>
    <t>EMP00756</t>
  </si>
  <si>
    <t>EMP00757</t>
  </si>
  <si>
    <t>EMP00758</t>
  </si>
  <si>
    <t>EMP00759</t>
  </si>
  <si>
    <t>EMP00760</t>
  </si>
  <si>
    <t>EMP00761</t>
  </si>
  <si>
    <t>EMP00762</t>
  </si>
  <si>
    <t>EMP00763</t>
  </si>
  <si>
    <t>EMP00764</t>
  </si>
  <si>
    <t>EMP00765</t>
  </si>
  <si>
    <t>EMP00766</t>
  </si>
  <si>
    <t>EMP00767</t>
  </si>
  <si>
    <t>EMP00768</t>
  </si>
  <si>
    <t>EMP00769</t>
  </si>
  <si>
    <t>EMP00770</t>
  </si>
  <si>
    <t>EMP00771</t>
  </si>
  <si>
    <t>EMP00772</t>
  </si>
  <si>
    <t>EMP00773</t>
  </si>
  <si>
    <t>EMP00774</t>
  </si>
  <si>
    <t>EMP00775</t>
  </si>
  <si>
    <t>EMP00776</t>
  </si>
  <si>
    <t>EMP00777</t>
  </si>
  <si>
    <t>EMP00778</t>
  </si>
  <si>
    <t>EMP00779</t>
  </si>
  <si>
    <t>EMP00780</t>
  </si>
  <si>
    <t>EMP00781</t>
  </si>
  <si>
    <t>EMP00782</t>
  </si>
  <si>
    <t>EMP00783</t>
  </si>
  <si>
    <t>EMP00784</t>
  </si>
  <si>
    <t>EMP00785</t>
  </si>
  <si>
    <t>EMP00786</t>
  </si>
  <si>
    <t>EMP00787</t>
  </si>
  <si>
    <t>EMP00788</t>
  </si>
  <si>
    <t>EMP00789</t>
  </si>
  <si>
    <t>EMP00790</t>
  </si>
  <si>
    <t>EMP00791</t>
  </si>
  <si>
    <t>EMP00792</t>
  </si>
  <si>
    <t>EMP00793</t>
  </si>
  <si>
    <t>EMP00794</t>
  </si>
  <si>
    <t>EMP00795</t>
  </si>
  <si>
    <t>EMP00796</t>
  </si>
  <si>
    <t>EMP00797</t>
  </si>
  <si>
    <t>EMP00798</t>
  </si>
  <si>
    <t>EMP00799</t>
  </si>
  <si>
    <t>EMP00800</t>
  </si>
  <si>
    <t>EMP00801</t>
  </si>
  <si>
    <t>EMP00802</t>
  </si>
  <si>
    <t>EMP00803</t>
  </si>
  <si>
    <t>EMP00804</t>
  </si>
  <si>
    <t>EMP00805</t>
  </si>
  <si>
    <t>EMP00806</t>
  </si>
  <si>
    <t>EMP00807</t>
  </si>
  <si>
    <t>EMP00808</t>
  </si>
  <si>
    <t>EMP00809</t>
  </si>
  <si>
    <t>EMP00810</t>
  </si>
  <si>
    <t>EMP00811</t>
  </si>
  <si>
    <t>EMP00812</t>
  </si>
  <si>
    <t>EMP00813</t>
  </si>
  <si>
    <t>EMP00814</t>
  </si>
  <si>
    <t>EMP00815</t>
  </si>
  <si>
    <t>EMP00816</t>
  </si>
  <si>
    <t>EMP00817</t>
  </si>
  <si>
    <t>EMP00818</t>
  </si>
  <si>
    <t>EMP00819</t>
  </si>
  <si>
    <t>EMP00820</t>
  </si>
  <si>
    <t>EMP00821</t>
  </si>
  <si>
    <t>EMP00822</t>
  </si>
  <si>
    <t>EMP00823</t>
  </si>
  <si>
    <t>EMP00824</t>
  </si>
  <si>
    <t>EMP00825</t>
  </si>
  <si>
    <t>EMP00826</t>
  </si>
  <si>
    <t>EMP00827</t>
  </si>
  <si>
    <t>EMP00828</t>
  </si>
  <si>
    <t>EMP00829</t>
  </si>
  <si>
    <t>EMP00830</t>
  </si>
  <si>
    <t>EMP00831</t>
  </si>
  <si>
    <t>EMP00832</t>
  </si>
  <si>
    <t>EMP00833</t>
  </si>
  <si>
    <t>EMP00834</t>
  </si>
  <si>
    <t>EMP00835</t>
  </si>
  <si>
    <t>EMP00836</t>
  </si>
  <si>
    <t>EMP00837</t>
  </si>
  <si>
    <t>EMP00838</t>
  </si>
  <si>
    <t>EMP00839</t>
  </si>
  <si>
    <t>EMP00840</t>
  </si>
  <si>
    <t>EMP00841</t>
  </si>
  <si>
    <t>EMP00842</t>
  </si>
  <si>
    <t>EMP00843</t>
  </si>
  <si>
    <t>EMP00844</t>
  </si>
  <si>
    <t>EMP00845</t>
  </si>
  <si>
    <t>EMP00846</t>
  </si>
  <si>
    <t>EMP00847</t>
  </si>
  <si>
    <t>EMP00848</t>
  </si>
  <si>
    <t>EMP00849</t>
  </si>
  <si>
    <t>EMP00850</t>
  </si>
  <si>
    <t>EMP00851</t>
  </si>
  <si>
    <t>EMP00852</t>
  </si>
  <si>
    <t>EMP00853</t>
  </si>
  <si>
    <t>EMP00854</t>
  </si>
  <si>
    <t>EMP00855</t>
  </si>
  <si>
    <t>EMP00856</t>
  </si>
  <si>
    <t>EMP00857</t>
  </si>
  <si>
    <t>EMP00858</t>
  </si>
  <si>
    <t>EMP00859</t>
  </si>
  <si>
    <t>EMP00860</t>
  </si>
  <si>
    <t>EMP00861</t>
  </si>
  <si>
    <t>EMP00862</t>
  </si>
  <si>
    <t>EMP00863</t>
  </si>
  <si>
    <t>EMP00864</t>
  </si>
  <si>
    <t>EMP00865</t>
  </si>
  <si>
    <t>EMP00866</t>
  </si>
  <si>
    <t>EMP00867</t>
  </si>
  <si>
    <t>EMP00868</t>
  </si>
  <si>
    <t>EMP00869</t>
  </si>
  <si>
    <t>EMP00870</t>
  </si>
  <si>
    <t>EMP00871</t>
  </si>
  <si>
    <t>EMP00872</t>
  </si>
  <si>
    <t>EMP00873</t>
  </si>
  <si>
    <t>EMP00874</t>
  </si>
  <si>
    <t>EMP00875</t>
  </si>
  <si>
    <t>EMP00876</t>
  </si>
  <si>
    <t>EMP00877</t>
  </si>
  <si>
    <t>EMP00878</t>
  </si>
  <si>
    <t>EMP00879</t>
  </si>
  <si>
    <t>EMP00880</t>
  </si>
  <si>
    <t>EMP00881</t>
  </si>
  <si>
    <t>EMP00882</t>
  </si>
  <si>
    <t>EMP00883</t>
  </si>
  <si>
    <t>EMP00884</t>
  </si>
  <si>
    <t>EMP00885</t>
  </si>
  <si>
    <t>EMP00886</t>
  </si>
  <si>
    <t>EMP00887</t>
  </si>
  <si>
    <t>EMP00888</t>
  </si>
  <si>
    <t>EMP00889</t>
  </si>
  <si>
    <t>EMP00890</t>
  </si>
  <si>
    <t>EMP00891</t>
  </si>
  <si>
    <t>EMP00892</t>
  </si>
  <si>
    <t>EMP00893</t>
  </si>
  <si>
    <t>EMP00894</t>
  </si>
  <si>
    <t>EMP00895</t>
  </si>
  <si>
    <t>EMP00896</t>
  </si>
  <si>
    <t>EMP00897</t>
  </si>
  <si>
    <t>EMP00898</t>
  </si>
  <si>
    <t>EMP00899</t>
  </si>
  <si>
    <t>EMP00900</t>
  </si>
  <si>
    <t>EMP00901</t>
  </si>
  <si>
    <t>EMP00902</t>
  </si>
  <si>
    <t>EMP00903</t>
  </si>
  <si>
    <t>EMP00904</t>
  </si>
  <si>
    <t>EMP00905</t>
  </si>
  <si>
    <t>EMP00906</t>
  </si>
  <si>
    <t>EMP00907</t>
  </si>
  <si>
    <t>EMP00908</t>
  </si>
  <si>
    <t>EMP00909</t>
  </si>
  <si>
    <t>EMP00910</t>
  </si>
  <si>
    <t>EMP00911</t>
  </si>
  <si>
    <t>EMP00912</t>
  </si>
  <si>
    <t>EMP00913</t>
  </si>
  <si>
    <t>EMP00914</t>
  </si>
  <si>
    <t>EMP00915</t>
  </si>
  <si>
    <t>EMP00916</t>
  </si>
  <si>
    <t>EMP00917</t>
  </si>
  <si>
    <t>EMP00918</t>
  </si>
  <si>
    <t>EMP00919</t>
  </si>
  <si>
    <t>EMP00920</t>
  </si>
  <si>
    <t>EMP00921</t>
  </si>
  <si>
    <t>EMP00922</t>
  </si>
  <si>
    <t>EMP00923</t>
  </si>
  <si>
    <t>EMP00924</t>
  </si>
  <si>
    <t>EMP00925</t>
  </si>
  <si>
    <t>EMP00926</t>
  </si>
  <si>
    <t>EMP00927</t>
  </si>
  <si>
    <t>EMP00928</t>
  </si>
  <si>
    <t>EMP00929</t>
  </si>
  <si>
    <t>EMP00930</t>
  </si>
  <si>
    <t>EMP00931</t>
  </si>
  <si>
    <t>EMP00932</t>
  </si>
  <si>
    <t>EMP00933</t>
  </si>
  <si>
    <t>EMP00934</t>
  </si>
  <si>
    <t>EMP00935</t>
  </si>
  <si>
    <t>EMP00936</t>
  </si>
  <si>
    <t>EMP00937</t>
  </si>
  <si>
    <t>EMP00938</t>
  </si>
  <si>
    <t>EMP00939</t>
  </si>
  <si>
    <t>EMP00940</t>
  </si>
  <si>
    <t>EMP00941</t>
  </si>
  <si>
    <t>EMP00942</t>
  </si>
  <si>
    <t>EMP00943</t>
  </si>
  <si>
    <t>EMP00944</t>
  </si>
  <si>
    <t>EMP00945</t>
  </si>
  <si>
    <t>EMP00946</t>
  </si>
  <si>
    <t>EMP00947</t>
  </si>
  <si>
    <t>EMP00948</t>
  </si>
  <si>
    <t>EMP00949</t>
  </si>
  <si>
    <t>EMP00950</t>
  </si>
  <si>
    <t>EMP00951</t>
  </si>
  <si>
    <t>EMP00952</t>
  </si>
  <si>
    <t>EMP00953</t>
  </si>
  <si>
    <t>EMP00954</t>
  </si>
  <si>
    <t>EMP00955</t>
  </si>
  <si>
    <t>EMP00956</t>
  </si>
  <si>
    <t>EMP00957</t>
  </si>
  <si>
    <t>EMP00958</t>
  </si>
  <si>
    <t>EMP00959</t>
  </si>
  <si>
    <t>EMP00960</t>
  </si>
  <si>
    <t>EMP00961</t>
  </si>
  <si>
    <t>EMP00962</t>
  </si>
  <si>
    <t>EMP00963</t>
  </si>
  <si>
    <t>EMP00964</t>
  </si>
  <si>
    <t>EMP00965</t>
  </si>
  <si>
    <t>EMP00966</t>
  </si>
  <si>
    <t>EMP00967</t>
  </si>
  <si>
    <t>EMP00968</t>
  </si>
  <si>
    <t>EMP00969</t>
  </si>
  <si>
    <t>EMP00970</t>
  </si>
  <si>
    <t>EMP00971</t>
  </si>
  <si>
    <t>EMP00972</t>
  </si>
  <si>
    <t>EMP00973</t>
  </si>
  <si>
    <t>EMP00974</t>
  </si>
  <si>
    <t>EMP00975</t>
  </si>
  <si>
    <t>EMP00976</t>
  </si>
  <si>
    <t>EMP00977</t>
  </si>
  <si>
    <t>EMP00978</t>
  </si>
  <si>
    <t>EMP00979</t>
  </si>
  <si>
    <t>EMP00980</t>
  </si>
  <si>
    <t>EMP00981</t>
  </si>
  <si>
    <t>EMP00982</t>
  </si>
  <si>
    <t>EMP00983</t>
  </si>
  <si>
    <t>EMP00984</t>
  </si>
  <si>
    <t>EMP00985</t>
  </si>
  <si>
    <t>EMP00986</t>
  </si>
  <si>
    <t>EMP00987</t>
  </si>
  <si>
    <t>EMP00988</t>
  </si>
  <si>
    <t>EMP00989</t>
  </si>
  <si>
    <t>EMP00990</t>
  </si>
  <si>
    <t>EMP00991</t>
  </si>
  <si>
    <t>EMP00992</t>
  </si>
  <si>
    <t>EMP00993</t>
  </si>
  <si>
    <t>EMP00994</t>
  </si>
  <si>
    <t>EMP00995</t>
  </si>
  <si>
    <t>EMP00996</t>
  </si>
  <si>
    <t>EMP00997</t>
  </si>
  <si>
    <t>EMP00998</t>
  </si>
  <si>
    <t>EMP00999</t>
  </si>
  <si>
    <t>EMP01000</t>
  </si>
  <si>
    <t>EMP01001</t>
  </si>
  <si>
    <t>EMP01002</t>
  </si>
  <si>
    <t>EMP01003</t>
  </si>
  <si>
    <t>EMP01004</t>
  </si>
  <si>
    <t>EMP01005</t>
  </si>
  <si>
    <t>EMP01006</t>
  </si>
  <si>
    <t>EMP01007</t>
  </si>
  <si>
    <t>EMP01008</t>
  </si>
  <si>
    <t>EMP01009</t>
  </si>
  <si>
    <t>EMP01010</t>
  </si>
  <si>
    <t>EMP01011</t>
  </si>
  <si>
    <t>EMP01012</t>
  </si>
  <si>
    <t>EMP01013</t>
  </si>
  <si>
    <t>EMP01014</t>
  </si>
  <si>
    <t>EMP01015</t>
  </si>
  <si>
    <t>EMP01016</t>
  </si>
  <si>
    <t>EMP01017</t>
  </si>
  <si>
    <t>EMP01018</t>
  </si>
  <si>
    <t>EMP01019</t>
  </si>
  <si>
    <t>EMP01020</t>
  </si>
  <si>
    <t>EMP01021</t>
  </si>
  <si>
    <t>EMP01022</t>
  </si>
  <si>
    <t>EMP01023</t>
  </si>
  <si>
    <t>EMP01024</t>
  </si>
  <si>
    <t>EMP01025</t>
  </si>
  <si>
    <t>EMP01026</t>
  </si>
  <si>
    <t>EMP01027</t>
  </si>
  <si>
    <t>EMP01028</t>
  </si>
  <si>
    <t>EMP01029</t>
  </si>
  <si>
    <t>EMP01030</t>
  </si>
  <si>
    <t>EMP01031</t>
  </si>
  <si>
    <t>EMP01032</t>
  </si>
  <si>
    <t>EMP01033</t>
  </si>
  <si>
    <t>EMP01034</t>
  </si>
  <si>
    <t>EMP01035</t>
  </si>
  <si>
    <t>EMP01036</t>
  </si>
  <si>
    <t>EMP01037</t>
  </si>
  <si>
    <t>EMP01038</t>
  </si>
  <si>
    <t>EMP01039</t>
  </si>
  <si>
    <t>EMP01040</t>
  </si>
  <si>
    <t>EMP01041</t>
  </si>
  <si>
    <t>EMP01042</t>
  </si>
  <si>
    <t>EMP01043</t>
  </si>
  <si>
    <t>EMP01044</t>
  </si>
  <si>
    <t>EMP01045</t>
  </si>
  <si>
    <t>EMP01046</t>
  </si>
  <si>
    <t>EMP01047</t>
  </si>
  <si>
    <t>EMP01048</t>
  </si>
  <si>
    <t>EMP01049</t>
  </si>
  <si>
    <t>EMP01050</t>
  </si>
  <si>
    <t>EMP01051</t>
  </si>
  <si>
    <t>EMP01052</t>
  </si>
  <si>
    <t>EMP01053</t>
  </si>
  <si>
    <t>EMP01054</t>
  </si>
  <si>
    <t>EMP01055</t>
  </si>
  <si>
    <t>EMP01056</t>
  </si>
  <si>
    <t>EMP01057</t>
  </si>
  <si>
    <t>EMP01058</t>
  </si>
  <si>
    <t>EMP01059</t>
  </si>
  <si>
    <t>EMP01060</t>
  </si>
  <si>
    <t>EMP01061</t>
  </si>
  <si>
    <t>EMP01062</t>
  </si>
  <si>
    <t>EMP01063</t>
  </si>
  <si>
    <t>EMP01064</t>
  </si>
  <si>
    <t>EMP01065</t>
  </si>
  <si>
    <t>EMP01066</t>
  </si>
  <si>
    <t>EMP01067</t>
  </si>
  <si>
    <t>EMP01068</t>
  </si>
  <si>
    <t>EMP01069</t>
  </si>
  <si>
    <t>EMP01070</t>
  </si>
  <si>
    <t>EMP01071</t>
  </si>
  <si>
    <t>EMP01072</t>
  </si>
  <si>
    <t>EMP01073</t>
  </si>
  <si>
    <t>EMP01074</t>
  </si>
  <si>
    <t>EMP01075</t>
  </si>
  <si>
    <t>EMP01076</t>
  </si>
  <si>
    <t>EMP01077</t>
  </si>
  <si>
    <t>EMP01078</t>
  </si>
  <si>
    <t>EMP01079</t>
  </si>
  <si>
    <t>EMP01080</t>
  </si>
  <si>
    <t>EMP01081</t>
  </si>
  <si>
    <t>EMP01082</t>
  </si>
  <si>
    <t>EMP01083</t>
  </si>
  <si>
    <t>EMP01084</t>
  </si>
  <si>
    <t>EMP01085</t>
  </si>
  <si>
    <t>EMP01086</t>
  </si>
  <si>
    <t>EMP01087</t>
  </si>
  <si>
    <t>EMP01088</t>
  </si>
  <si>
    <t>EMP01089</t>
  </si>
  <si>
    <t>EMP01090</t>
  </si>
  <si>
    <t>EMP01091</t>
  </si>
  <si>
    <t>EMP01092</t>
  </si>
  <si>
    <t>EMP01093</t>
  </si>
  <si>
    <t>EMP01094</t>
  </si>
  <si>
    <t>EMP01095</t>
  </si>
  <si>
    <t>EMP01096</t>
  </si>
  <si>
    <t>EMP01097</t>
  </si>
  <si>
    <t>EMP01098</t>
  </si>
  <si>
    <t>EMP01099</t>
  </si>
  <si>
    <t>EMP01100</t>
  </si>
  <si>
    <t>EMP01101</t>
  </si>
  <si>
    <t>EMP01102</t>
  </si>
  <si>
    <t>EMP01103</t>
  </si>
  <si>
    <t>EMP01104</t>
  </si>
  <si>
    <t>EMP01105</t>
  </si>
  <si>
    <t>EMP01106</t>
  </si>
  <si>
    <t>EMP01107</t>
  </si>
  <si>
    <t>EMP01108</t>
  </si>
  <si>
    <t>EMP01109</t>
  </si>
  <si>
    <t>EMP01110</t>
  </si>
  <si>
    <t>EMP01111</t>
  </si>
  <si>
    <t>EMP01112</t>
  </si>
  <si>
    <t>EMP01113</t>
  </si>
  <si>
    <t>EMP01114</t>
  </si>
  <si>
    <t>EMP01115</t>
  </si>
  <si>
    <t>EMP01116</t>
  </si>
  <si>
    <t>EMP01117</t>
  </si>
  <si>
    <t>EMP01118</t>
  </si>
  <si>
    <t>EMP01119</t>
  </si>
  <si>
    <t>EMP01120</t>
  </si>
  <si>
    <t>EMP01121</t>
  </si>
  <si>
    <t>EMP01122</t>
  </si>
  <si>
    <t>EMP01123</t>
  </si>
  <si>
    <t>EMP01124</t>
  </si>
  <si>
    <t>EMP01125</t>
  </si>
  <si>
    <t>EMP01126</t>
  </si>
  <si>
    <t>EMP01127</t>
  </si>
  <si>
    <t>EMP01128</t>
  </si>
  <si>
    <t>EMP01129</t>
  </si>
  <si>
    <t>EMP01130</t>
  </si>
  <si>
    <t>EMP01131</t>
  </si>
  <si>
    <t>EMP01132</t>
  </si>
  <si>
    <t>EMP01133</t>
  </si>
  <si>
    <t>EMP01134</t>
  </si>
  <si>
    <t>EMP01135</t>
  </si>
  <si>
    <t>EMP01136</t>
  </si>
  <si>
    <t>EMP01137</t>
  </si>
  <si>
    <t>EMP01138</t>
  </si>
  <si>
    <t>EMP01139</t>
  </si>
  <si>
    <t>EMP01140</t>
  </si>
  <si>
    <t>EMP01141</t>
  </si>
  <si>
    <t>EMP01142</t>
  </si>
  <si>
    <t>EMP01143</t>
  </si>
  <si>
    <t>EMP01144</t>
  </si>
  <si>
    <t>EMP01145</t>
  </si>
  <si>
    <t>EMP01146</t>
  </si>
  <si>
    <t>EMP01147</t>
  </si>
  <si>
    <t>EMP01148</t>
  </si>
  <si>
    <t>EMP01149</t>
  </si>
  <si>
    <t>EMP01150</t>
  </si>
  <si>
    <t>EMP01151</t>
  </si>
  <si>
    <t>EMP01152</t>
  </si>
  <si>
    <t>EMP01153</t>
  </si>
  <si>
    <t>EMP01154</t>
  </si>
  <si>
    <t>EMP01155</t>
  </si>
  <si>
    <t>EMP01156</t>
  </si>
  <si>
    <t>EMP01157</t>
  </si>
  <si>
    <t>EMP01158</t>
  </si>
  <si>
    <t>EMP01159</t>
  </si>
  <si>
    <t>EMP01160</t>
  </si>
  <si>
    <t>EMP01161</t>
  </si>
  <si>
    <t>EMP01162</t>
  </si>
  <si>
    <t>EMP01163</t>
  </si>
  <si>
    <t>EMP01164</t>
  </si>
  <si>
    <t>EMP01165</t>
  </si>
  <si>
    <t>EMP01166</t>
  </si>
  <si>
    <t>EMP01167</t>
  </si>
  <si>
    <t>EMP01168</t>
  </si>
  <si>
    <t>EMP01169</t>
  </si>
  <si>
    <t>EMP01170</t>
  </si>
  <si>
    <t>EMP01171</t>
  </si>
  <si>
    <t>EMP01172</t>
  </si>
  <si>
    <t>EMP01173</t>
  </si>
  <si>
    <t>EMP01174</t>
  </si>
  <si>
    <t>EMP01175</t>
  </si>
  <si>
    <t>EMP01176</t>
  </si>
  <si>
    <t>EMP01177</t>
  </si>
  <si>
    <t>EMP01178</t>
  </si>
  <si>
    <t>EMP01179</t>
  </si>
  <si>
    <t>EMP01180</t>
  </si>
  <si>
    <t>EMP01181</t>
  </si>
  <si>
    <t>EMP01182</t>
  </si>
  <si>
    <t>EMP01183</t>
  </si>
  <si>
    <t>EMP01184</t>
  </si>
  <si>
    <t>EMP01185</t>
  </si>
  <si>
    <t>EMP01186</t>
  </si>
  <si>
    <t>EMP01187</t>
  </si>
  <si>
    <t>EMP01188</t>
  </si>
  <si>
    <t>EMP01189</t>
  </si>
  <si>
    <t>EMP01190</t>
  </si>
  <si>
    <t>EMP01191</t>
  </si>
  <si>
    <t>EMP01192</t>
  </si>
  <si>
    <t>EMP01193</t>
  </si>
  <si>
    <t>EMP01194</t>
  </si>
  <si>
    <t>EMP01195</t>
  </si>
  <si>
    <t>EMP01196</t>
  </si>
  <si>
    <t>EMP01197</t>
  </si>
  <si>
    <t>EMP01198</t>
  </si>
  <si>
    <t>EMP01199</t>
  </si>
  <si>
    <t>EMP01200</t>
  </si>
  <si>
    <t>EMP01201</t>
  </si>
  <si>
    <t>EMP01202</t>
  </si>
  <si>
    <t>EMP01203</t>
  </si>
  <si>
    <t>EMP01204</t>
  </si>
  <si>
    <t>EMP01205</t>
  </si>
  <si>
    <t>EMP01206</t>
  </si>
  <si>
    <t>EMP01207</t>
  </si>
  <si>
    <t>EMP01208</t>
  </si>
  <si>
    <t>EMP01209</t>
  </si>
  <si>
    <t>EMP01210</t>
  </si>
  <si>
    <t>EMP01211</t>
  </si>
  <si>
    <t>EMP01212</t>
  </si>
  <si>
    <t>EMP01213</t>
  </si>
  <si>
    <t>EMP01214</t>
  </si>
  <si>
    <t>EMP01215</t>
  </si>
  <si>
    <t>EMP01216</t>
  </si>
  <si>
    <t>EMP01217</t>
  </si>
  <si>
    <t>EMP01218</t>
  </si>
  <si>
    <t>EMP01219</t>
  </si>
  <si>
    <t>EMP01220</t>
  </si>
  <si>
    <t>EMP01221</t>
  </si>
  <si>
    <t>EMP01222</t>
  </si>
  <si>
    <t>EMP01223</t>
  </si>
  <si>
    <t>EMP01224</t>
  </si>
  <si>
    <t>EMP01225</t>
  </si>
  <si>
    <t>EMP01226</t>
  </si>
  <si>
    <t>EMP01227</t>
  </si>
  <si>
    <t>EMP01228</t>
  </si>
  <si>
    <t>EMP01229</t>
  </si>
  <si>
    <t>EMP01230</t>
  </si>
  <si>
    <t>EMP01231</t>
  </si>
  <si>
    <t>EMP01232</t>
  </si>
  <si>
    <t>EMP01233</t>
  </si>
  <si>
    <t>EMP01234</t>
  </si>
  <si>
    <t>EMP01235</t>
  </si>
  <si>
    <t>EMP01236</t>
  </si>
  <si>
    <t>EMP01237</t>
  </si>
  <si>
    <t>EMP01238</t>
  </si>
  <si>
    <t>EMP01239</t>
  </si>
  <si>
    <t>EMP01240</t>
  </si>
  <si>
    <t>EMP01241</t>
  </si>
  <si>
    <t>EMP01242</t>
  </si>
  <si>
    <t>EMP01243</t>
  </si>
  <si>
    <t>EMP01244</t>
  </si>
  <si>
    <t>EMP01245</t>
  </si>
  <si>
    <t>EMP01246</t>
  </si>
  <si>
    <t>EMP01247</t>
  </si>
  <si>
    <t>EMP01248</t>
  </si>
  <si>
    <t>EMP01249</t>
  </si>
  <si>
    <t>EMP01250</t>
  </si>
  <si>
    <t>EMP01251</t>
  </si>
  <si>
    <t>EMP01252</t>
  </si>
  <si>
    <t>EMP01253</t>
  </si>
  <si>
    <t>EMP01254</t>
  </si>
  <si>
    <t>EMP01255</t>
  </si>
  <si>
    <t>EMP01256</t>
  </si>
  <si>
    <t>EMP01257</t>
  </si>
  <si>
    <t>EMP01258</t>
  </si>
  <si>
    <t>EMP01259</t>
  </si>
  <si>
    <t>EMP01260</t>
  </si>
  <si>
    <t>EMP01261</t>
  </si>
  <si>
    <t>EMP01262</t>
  </si>
  <si>
    <t>EMP01263</t>
  </si>
  <si>
    <t>EMP01264</t>
  </si>
  <si>
    <t>EMP01265</t>
  </si>
  <si>
    <t>EMP01266</t>
  </si>
  <si>
    <t>EMP01267</t>
  </si>
  <si>
    <t>EMP01268</t>
  </si>
  <si>
    <t>EMP01269</t>
  </si>
  <si>
    <t>EMP01270</t>
  </si>
  <si>
    <t>EMP01271</t>
  </si>
  <si>
    <t>EMP01272</t>
  </si>
  <si>
    <t>EMP01273</t>
  </si>
  <si>
    <t>EMP01274</t>
  </si>
  <si>
    <t>EMP01275</t>
  </si>
  <si>
    <t>EMP01276</t>
  </si>
  <si>
    <t>EMP01277</t>
  </si>
  <si>
    <t>EMP01278</t>
  </si>
  <si>
    <t>EMP01279</t>
  </si>
  <si>
    <t>EMP01280</t>
  </si>
  <si>
    <t>EMP01281</t>
  </si>
  <si>
    <t>EMP01282</t>
  </si>
  <si>
    <t>EMP01283</t>
  </si>
  <si>
    <t>EMP01284</t>
  </si>
  <si>
    <t>EMP01285</t>
  </si>
  <si>
    <t>EMP01286</t>
  </si>
  <si>
    <t>EMP01287</t>
  </si>
  <si>
    <t>EMP01288</t>
  </si>
  <si>
    <t>EMP01289</t>
  </si>
  <si>
    <t>EMP01290</t>
  </si>
  <si>
    <t>EMP01291</t>
  </si>
  <si>
    <t>EMP01292</t>
  </si>
  <si>
    <t>EMP01293</t>
  </si>
  <si>
    <t>EMP01294</t>
  </si>
  <si>
    <t>EMP01295</t>
  </si>
  <si>
    <t>EMP01296</t>
  </si>
  <si>
    <t>EMP01297</t>
  </si>
  <si>
    <t>EMP01298</t>
  </si>
  <si>
    <t>EMP01299</t>
  </si>
  <si>
    <t>EMP01300</t>
  </si>
  <si>
    <t>EMP01301</t>
  </si>
  <si>
    <t>EMP01302</t>
  </si>
  <si>
    <t>EMP01303</t>
  </si>
  <si>
    <t>EMP01304</t>
  </si>
  <si>
    <t>EMP01305</t>
  </si>
  <si>
    <t>EMP01306</t>
  </si>
  <si>
    <t>EMP01307</t>
  </si>
  <si>
    <t>EMP01308</t>
  </si>
  <si>
    <t>EMP01309</t>
  </si>
  <si>
    <t>EMP01310</t>
  </si>
  <si>
    <t>EMP01311</t>
  </si>
  <si>
    <t>EMP01312</t>
  </si>
  <si>
    <t>EMP01313</t>
  </si>
  <si>
    <t>EMP01314</t>
  </si>
  <si>
    <t>EMP01315</t>
  </si>
  <si>
    <t>EMP01316</t>
  </si>
  <si>
    <t>EMP01317</t>
  </si>
  <si>
    <t>EMP01318</t>
  </si>
  <si>
    <t>EMP01319</t>
  </si>
  <si>
    <t>EMP01320</t>
  </si>
  <si>
    <t>EMP01321</t>
  </si>
  <si>
    <t>EMP01322</t>
  </si>
  <si>
    <t>EMP01323</t>
  </si>
  <si>
    <t>EMP01324</t>
  </si>
  <si>
    <t>EMP01325</t>
  </si>
  <si>
    <t>EMP01326</t>
  </si>
  <si>
    <t>EMP01327</t>
  </si>
  <si>
    <t>EMP01328</t>
  </si>
  <si>
    <t>EMP01329</t>
  </si>
  <si>
    <t>EMP01330</t>
  </si>
  <si>
    <t>EMP01331</t>
  </si>
  <si>
    <t>EMP01332</t>
  </si>
  <si>
    <t>EMP01333</t>
  </si>
  <si>
    <t>EMP01334</t>
  </si>
  <si>
    <t>EMP01335</t>
  </si>
  <si>
    <t>EMP01336</t>
  </si>
  <si>
    <t>EMP01337</t>
  </si>
  <si>
    <t>EMP01338</t>
  </si>
  <si>
    <t>EMP01339</t>
  </si>
  <si>
    <t>EMP01340</t>
  </si>
  <si>
    <t>EMP01341</t>
  </si>
  <si>
    <t>EMP01342</t>
  </si>
  <si>
    <t>EMP01343</t>
  </si>
  <si>
    <t>EMP01344</t>
  </si>
  <si>
    <t>EMP01345</t>
  </si>
  <si>
    <t>EMP01346</t>
  </si>
  <si>
    <t>EMP01347</t>
  </si>
  <si>
    <t>EMP01348</t>
  </si>
  <si>
    <t>EMP01349</t>
  </si>
  <si>
    <t>EMP01350</t>
  </si>
  <si>
    <t>EMP01351</t>
  </si>
  <si>
    <t>EMP01352</t>
  </si>
  <si>
    <t>EMP01353</t>
  </si>
  <si>
    <t>EMP01354</t>
  </si>
  <si>
    <t>EMP01355</t>
  </si>
  <si>
    <t>EMP01356</t>
  </si>
  <si>
    <t>EMP01357</t>
  </si>
  <si>
    <t>EMP01358</t>
  </si>
  <si>
    <t>EMP01359</t>
  </si>
  <si>
    <t>EMP01360</t>
  </si>
  <si>
    <t>EMP01361</t>
  </si>
  <si>
    <t>EMP01362</t>
  </si>
  <si>
    <t>EMP01363</t>
  </si>
  <si>
    <t>EMP01364</t>
  </si>
  <si>
    <t>EMP01365</t>
  </si>
  <si>
    <t>EMP01366</t>
  </si>
  <si>
    <t>EMP01367</t>
  </si>
  <si>
    <t>EMP01368</t>
  </si>
  <si>
    <t>EMP01369</t>
  </si>
  <si>
    <t>EMP01370</t>
  </si>
  <si>
    <t>EMP01371</t>
  </si>
  <si>
    <t>EMP01372</t>
  </si>
  <si>
    <t>EMP01373</t>
  </si>
  <si>
    <t>EMP01374</t>
  </si>
  <si>
    <t>EMP01375</t>
  </si>
  <si>
    <t>EMP01376</t>
  </si>
  <si>
    <t>EMP01377</t>
  </si>
  <si>
    <t>EMP01378</t>
  </si>
  <si>
    <t>EMP01379</t>
  </si>
  <si>
    <t>EMP01380</t>
  </si>
  <si>
    <t>EMP01381</t>
  </si>
  <si>
    <t>EMP01382</t>
  </si>
  <si>
    <t>EMP01383</t>
  </si>
  <si>
    <t>EMP01384</t>
  </si>
  <si>
    <t>EMP01385</t>
  </si>
  <si>
    <t>EMP01386</t>
  </si>
  <si>
    <t>EMP01387</t>
  </si>
  <si>
    <t>EMP01388</t>
  </si>
  <si>
    <t>EMP01389</t>
  </si>
  <si>
    <t>EMP01390</t>
  </si>
  <si>
    <t>EMP01391</t>
  </si>
  <si>
    <t>EMP01392</t>
  </si>
  <si>
    <t>EMP01393</t>
  </si>
  <si>
    <t>EMP01394</t>
  </si>
  <si>
    <t>EMP01395</t>
  </si>
  <si>
    <t>EMP01396</t>
  </si>
  <si>
    <t>EMP01397</t>
  </si>
  <si>
    <t>EMP01398</t>
  </si>
  <si>
    <t>EMP01399</t>
  </si>
  <si>
    <t>EMP01400</t>
  </si>
  <si>
    <t>EMP01401</t>
  </si>
  <si>
    <t>EMP01402</t>
  </si>
  <si>
    <t>EMP01403</t>
  </si>
  <si>
    <t>EMP01404</t>
  </si>
  <si>
    <t>EMP01405</t>
  </si>
  <si>
    <t>EMP01406</t>
  </si>
  <si>
    <t>EMP01407</t>
  </si>
  <si>
    <t>EMP01408</t>
  </si>
  <si>
    <t>EMP01409</t>
  </si>
  <si>
    <t>EMP01410</t>
  </si>
  <si>
    <t>EMP01411</t>
  </si>
  <si>
    <t>EMP01412</t>
  </si>
  <si>
    <t>EMP01413</t>
  </si>
  <si>
    <t>EMP01414</t>
  </si>
  <si>
    <t>EMP01415</t>
  </si>
  <si>
    <t>EMP01416</t>
  </si>
  <si>
    <t>EMP01417</t>
  </si>
  <si>
    <t>EMP01418</t>
  </si>
  <si>
    <t>EMP01419</t>
  </si>
  <si>
    <t>EMP01420</t>
  </si>
  <si>
    <t>EMP01421</t>
  </si>
  <si>
    <t>EMP01422</t>
  </si>
  <si>
    <t>EMP01423</t>
  </si>
  <si>
    <t>EMP01424</t>
  </si>
  <si>
    <t>EMP01425</t>
  </si>
  <si>
    <t>EMP01426</t>
  </si>
  <si>
    <t>EMP01427</t>
  </si>
  <si>
    <t>EMP01428</t>
  </si>
  <si>
    <t>EMP01429</t>
  </si>
  <si>
    <t>EMP01430</t>
  </si>
  <si>
    <t>EMP01431</t>
  </si>
  <si>
    <t>EMP01432</t>
  </si>
  <si>
    <t>EMP01433</t>
  </si>
  <si>
    <t>EMP01434</t>
  </si>
  <si>
    <t>EMP01435</t>
  </si>
  <si>
    <t>EMP01436</t>
  </si>
  <si>
    <t>EMP01437</t>
  </si>
  <si>
    <t>EMP01438</t>
  </si>
  <si>
    <t>EMP01439</t>
  </si>
  <si>
    <t>EMP01440</t>
  </si>
  <si>
    <t>EMP01441</t>
  </si>
  <si>
    <t>EMP01442</t>
  </si>
  <si>
    <t>EMP01443</t>
  </si>
  <si>
    <t>EMP01444</t>
  </si>
  <si>
    <t>EMP01445</t>
  </si>
  <si>
    <t>EMP01446</t>
  </si>
  <si>
    <t>EMP01447</t>
  </si>
  <si>
    <t>EMP01448</t>
  </si>
  <si>
    <t>EMP01449</t>
  </si>
  <si>
    <t>EMP01450</t>
  </si>
  <si>
    <t>EMP01451</t>
  </si>
  <si>
    <t>EMP01452</t>
  </si>
  <si>
    <t>EMP01453</t>
  </si>
  <si>
    <t>EMP01454</t>
  </si>
  <si>
    <t>EMP01455</t>
  </si>
  <si>
    <t>EMP01456</t>
  </si>
  <si>
    <t>EMP01457</t>
  </si>
  <si>
    <t>EMP01458</t>
  </si>
  <si>
    <t>EMP01459</t>
  </si>
  <si>
    <t>EMP01460</t>
  </si>
  <si>
    <t>EMP01461</t>
  </si>
  <si>
    <t>EMP01462</t>
  </si>
  <si>
    <t>EMP01463</t>
  </si>
  <si>
    <t>EMP01464</t>
  </si>
  <si>
    <t>EMP01465</t>
  </si>
  <si>
    <t>EMP01466</t>
  </si>
  <si>
    <t>EMP01467</t>
  </si>
  <si>
    <t>EMP01468</t>
  </si>
  <si>
    <t>EMP01469</t>
  </si>
  <si>
    <t>EMP01470</t>
  </si>
  <si>
    <t>EMP01471</t>
  </si>
  <si>
    <t>EMP01472</t>
  </si>
  <si>
    <t>EMP01473</t>
  </si>
  <si>
    <t>EMP01474</t>
  </si>
  <si>
    <t>EMP01475</t>
  </si>
  <si>
    <t>EMP01476</t>
  </si>
  <si>
    <t>EMP01477</t>
  </si>
  <si>
    <t>EMP01478</t>
  </si>
  <si>
    <t>EMP01479</t>
  </si>
  <si>
    <t>EMP01480</t>
  </si>
  <si>
    <t>EMP01481</t>
  </si>
  <si>
    <t>EMP01482</t>
  </si>
  <si>
    <t>EMP01483</t>
  </si>
  <si>
    <t>EMP01484</t>
  </si>
  <si>
    <t>EMP01485</t>
  </si>
  <si>
    <t>EMP01486</t>
  </si>
  <si>
    <t>EMP01487</t>
  </si>
  <si>
    <t>EMP01488</t>
  </si>
  <si>
    <t>EMP01489</t>
  </si>
  <si>
    <t>EMP01490</t>
  </si>
  <si>
    <t>EMP01491</t>
  </si>
  <si>
    <t>EMP01492</t>
  </si>
  <si>
    <t>EMP01493</t>
  </si>
  <si>
    <t>EMP01494</t>
  </si>
  <si>
    <t>EMP01495</t>
  </si>
  <si>
    <t>EMP01496</t>
  </si>
  <si>
    <t>EMP01497</t>
  </si>
  <si>
    <t>EMP01498</t>
  </si>
  <si>
    <t>EMP01499</t>
  </si>
  <si>
    <t>EMP01500</t>
  </si>
  <si>
    <t>EMP01501</t>
  </si>
  <si>
    <t>EMP01502</t>
  </si>
  <si>
    <t>EMP01503</t>
  </si>
  <si>
    <t>EMP01504</t>
  </si>
  <si>
    <t>EMP01505</t>
  </si>
  <si>
    <t>EMP01506</t>
  </si>
  <si>
    <t>EMP01507</t>
  </si>
  <si>
    <t>EMP01508</t>
  </si>
  <si>
    <t>EMP01509</t>
  </si>
  <si>
    <t>EMP01510</t>
  </si>
  <si>
    <t>EMP01511</t>
  </si>
  <si>
    <t>EMP01512</t>
  </si>
  <si>
    <t>EMP01513</t>
  </si>
  <si>
    <t>EMP01514</t>
  </si>
  <si>
    <t>EMP01515</t>
  </si>
  <si>
    <t>EMP01516</t>
  </si>
  <si>
    <t>EMP01517</t>
  </si>
  <si>
    <t>EMP01518</t>
  </si>
  <si>
    <t>EMP01519</t>
  </si>
  <si>
    <t>EMP01520</t>
  </si>
  <si>
    <t>EMP01521</t>
  </si>
  <si>
    <t>EMP01522</t>
  </si>
  <si>
    <t>EMP01523</t>
  </si>
  <si>
    <t>EMP01524</t>
  </si>
  <si>
    <t>EMP01525</t>
  </si>
  <si>
    <t>EMP01526</t>
  </si>
  <si>
    <t>EMP01527</t>
  </si>
  <si>
    <t>EMP01528</t>
  </si>
  <si>
    <t>EMP01529</t>
  </si>
  <si>
    <t>EMP01530</t>
  </si>
  <si>
    <t>EMP01531</t>
  </si>
  <si>
    <t>EMP01532</t>
  </si>
  <si>
    <t>EMP01533</t>
  </si>
  <si>
    <t>EMP01534</t>
  </si>
  <si>
    <t>EMP01535</t>
  </si>
  <si>
    <t>EMP01536</t>
  </si>
  <si>
    <t>EMP01537</t>
  </si>
  <si>
    <t>EMP01538</t>
  </si>
  <si>
    <t>EMP01539</t>
  </si>
  <si>
    <t>EMP01540</t>
  </si>
  <si>
    <t>EMP01541</t>
  </si>
  <si>
    <t>EMP01542</t>
  </si>
  <si>
    <t>EMP01543</t>
  </si>
  <si>
    <t>EMP01544</t>
  </si>
  <si>
    <t>EMP01545</t>
  </si>
  <si>
    <t>EMP01546</t>
  </si>
  <si>
    <t>EMP01547</t>
  </si>
  <si>
    <t>EMP01548</t>
  </si>
  <si>
    <t>EMP01549</t>
  </si>
  <si>
    <t>EMP01550</t>
  </si>
  <si>
    <t>EMP01551</t>
  </si>
  <si>
    <t>EMP01552</t>
  </si>
  <si>
    <t>EMP01553</t>
  </si>
  <si>
    <t>EMP01554</t>
  </si>
  <si>
    <t>EMP01555</t>
  </si>
  <si>
    <t>EMP01556</t>
  </si>
  <si>
    <t>EMP01557</t>
  </si>
  <si>
    <t>EMP01558</t>
  </si>
  <si>
    <t>EMP01559</t>
  </si>
  <si>
    <t>EMP01560</t>
  </si>
  <si>
    <t>EMP01561</t>
  </si>
  <si>
    <t>EMP01562</t>
  </si>
  <si>
    <t>EMP01563</t>
  </si>
  <si>
    <t>EMP01564</t>
  </si>
  <si>
    <t>EMP01565</t>
  </si>
  <si>
    <t>EMP01566</t>
  </si>
  <si>
    <t>EMP01567</t>
  </si>
  <si>
    <t>EMP01568</t>
  </si>
  <si>
    <t>EMP01569</t>
  </si>
  <si>
    <t>EMP01570</t>
  </si>
  <si>
    <t>EMP01571</t>
  </si>
  <si>
    <t>EMP01572</t>
  </si>
  <si>
    <t>EMP01573</t>
  </si>
  <si>
    <t>EMP01574</t>
  </si>
  <si>
    <t>EMP01575</t>
  </si>
  <si>
    <t>EMP01576</t>
  </si>
  <si>
    <t>EMP01577</t>
  </si>
  <si>
    <t>EMP01578</t>
  </si>
  <si>
    <t>EMP01579</t>
  </si>
  <si>
    <t>EMP01580</t>
  </si>
  <si>
    <t>EMP01581</t>
  </si>
  <si>
    <t>EMP01582</t>
  </si>
  <si>
    <t>EMP01583</t>
  </si>
  <si>
    <t>EMP01584</t>
  </si>
  <si>
    <t>EMP01585</t>
  </si>
  <si>
    <t>EMP01586</t>
  </si>
  <si>
    <t>EMP01587</t>
  </si>
  <si>
    <t>EMP01588</t>
  </si>
  <si>
    <t>EMP01589</t>
  </si>
  <si>
    <t>EMP01590</t>
  </si>
  <si>
    <t>EMP01591</t>
  </si>
  <si>
    <t>EMP01592</t>
  </si>
  <si>
    <t>EMP01593</t>
  </si>
  <si>
    <t>EMP01594</t>
  </si>
  <si>
    <t>EMP01595</t>
  </si>
  <si>
    <t>EMP01596</t>
  </si>
  <si>
    <t>EMP01597</t>
  </si>
  <si>
    <t>EMP01598</t>
  </si>
  <si>
    <t>EMP01599</t>
  </si>
  <si>
    <t>EMP01600</t>
  </si>
  <si>
    <t>EMP01601</t>
  </si>
  <si>
    <t>EMP01602</t>
  </si>
  <si>
    <t>EMP01603</t>
  </si>
  <si>
    <t>EMP01604</t>
  </si>
  <si>
    <t>EMP01605</t>
  </si>
  <si>
    <t>EMP01606</t>
  </si>
  <si>
    <t>EMP01607</t>
  </si>
  <si>
    <t>EMP01608</t>
  </si>
  <si>
    <t>EMP01609</t>
  </si>
  <si>
    <t>EMP01610</t>
  </si>
  <si>
    <t>EMP01611</t>
  </si>
  <si>
    <t>EMP01612</t>
  </si>
  <si>
    <t>EMP01613</t>
  </si>
  <si>
    <t>EMP01614</t>
  </si>
  <si>
    <t>EMP01615</t>
  </si>
  <si>
    <t>EMP01616</t>
  </si>
  <si>
    <t>EMP01617</t>
  </si>
  <si>
    <t>EMP01618</t>
  </si>
  <si>
    <t>EMP01619</t>
  </si>
  <si>
    <t>EMP01620</t>
  </si>
  <si>
    <t>EMP01621</t>
  </si>
  <si>
    <t>EMP01622</t>
  </si>
  <si>
    <t>EMP01623</t>
  </si>
  <si>
    <t>EMP01624</t>
  </si>
  <si>
    <t>EMP01625</t>
  </si>
  <si>
    <t>EMP01626</t>
  </si>
  <si>
    <t>EMP01627</t>
  </si>
  <si>
    <t>EMP01628</t>
  </si>
  <si>
    <t>EMP01629</t>
  </si>
  <si>
    <t>EMP01630</t>
  </si>
  <si>
    <t>EMP01631</t>
  </si>
  <si>
    <t>EMP01632</t>
  </si>
  <si>
    <t>EMP01633</t>
  </si>
  <si>
    <t>EMP01634</t>
  </si>
  <si>
    <t>EMP01635</t>
  </si>
  <si>
    <t>EMP01636</t>
  </si>
  <si>
    <t>EMP01637</t>
  </si>
  <si>
    <t>EMP01638</t>
  </si>
  <si>
    <t>EMP01639</t>
  </si>
  <si>
    <t>EMP01640</t>
  </si>
  <si>
    <t>EMP01641</t>
  </si>
  <si>
    <t>EMP01642</t>
  </si>
  <si>
    <t>EMP01643</t>
  </si>
  <si>
    <t>EMP01644</t>
  </si>
  <si>
    <t>EMP01645</t>
  </si>
  <si>
    <t>EMP01646</t>
  </si>
  <si>
    <t>EMP01647</t>
  </si>
  <si>
    <t>EMP01648</t>
  </si>
  <si>
    <t>EMP01649</t>
  </si>
  <si>
    <t>EMP01650</t>
  </si>
  <si>
    <t>EMP01651</t>
  </si>
  <si>
    <t>EMP01652</t>
  </si>
  <si>
    <t>EMP01653</t>
  </si>
  <si>
    <t>EMP01654</t>
  </si>
  <si>
    <t>EMP01655</t>
  </si>
  <si>
    <t>EMP01656</t>
  </si>
  <si>
    <t>EMP01657</t>
  </si>
  <si>
    <t>EMP01658</t>
  </si>
  <si>
    <t>EMP01659</t>
  </si>
  <si>
    <t>EMP01660</t>
  </si>
  <si>
    <t>EMP01661</t>
  </si>
  <si>
    <t>EMP01662</t>
  </si>
  <si>
    <t>EMP01663</t>
  </si>
  <si>
    <t>EMP01664</t>
  </si>
  <si>
    <t>EMP01665</t>
  </si>
  <si>
    <t>EMP01666</t>
  </si>
  <si>
    <t>EMP01667</t>
  </si>
  <si>
    <t>EMP01668</t>
  </si>
  <si>
    <t>EMP01669</t>
  </si>
  <si>
    <t>EMP01670</t>
  </si>
  <si>
    <t>EMP01671</t>
  </si>
  <si>
    <t>EMP01672</t>
  </si>
  <si>
    <t>EMP01673</t>
  </si>
  <si>
    <t>EMP01674</t>
  </si>
  <si>
    <t>EMP01675</t>
  </si>
  <si>
    <t>EMP01676</t>
  </si>
  <si>
    <t>EMP01677</t>
  </si>
  <si>
    <t>EMP01678</t>
  </si>
  <si>
    <t>EMP01679</t>
  </si>
  <si>
    <t>EMP01680</t>
  </si>
  <si>
    <t>EMP01681</t>
  </si>
  <si>
    <t>EMP01682</t>
  </si>
  <si>
    <t>EMP01683</t>
  </si>
  <si>
    <t>EMP01684</t>
  </si>
  <si>
    <t>EMP01685</t>
  </si>
  <si>
    <t>EMP01686</t>
  </si>
  <si>
    <t>EMP01687</t>
  </si>
  <si>
    <t>EMP01688</t>
  </si>
  <si>
    <t>EMP01689</t>
  </si>
  <si>
    <t>EMP01690</t>
  </si>
  <si>
    <t>EMP01691</t>
  </si>
  <si>
    <t>EMP01692</t>
  </si>
  <si>
    <t>EMP01693</t>
  </si>
  <si>
    <t>EMP01694</t>
  </si>
  <si>
    <t>EMP01695</t>
  </si>
  <si>
    <t>EMP01696</t>
  </si>
  <si>
    <t>EMP01697</t>
  </si>
  <si>
    <t>EMP01698</t>
  </si>
  <si>
    <t>EMP01699</t>
  </si>
  <si>
    <t>EMP01700</t>
  </si>
  <si>
    <t>EMP01701</t>
  </si>
  <si>
    <t>EMP01702</t>
  </si>
  <si>
    <t>EMP01703</t>
  </si>
  <si>
    <t>EMP01704</t>
  </si>
  <si>
    <t>EMP01705</t>
  </si>
  <si>
    <t>EMP01706</t>
  </si>
  <si>
    <t>EMP01707</t>
  </si>
  <si>
    <t>EMP01708</t>
  </si>
  <si>
    <t>EMP01709</t>
  </si>
  <si>
    <t>EMP01710</t>
  </si>
  <si>
    <t>EMP01711</t>
  </si>
  <si>
    <t>EMP01712</t>
  </si>
  <si>
    <t>EMP01713</t>
  </si>
  <si>
    <t>EMP01714</t>
  </si>
  <si>
    <t>EMP01715</t>
  </si>
  <si>
    <t>EMP01716</t>
  </si>
  <si>
    <t>EMP01717</t>
  </si>
  <si>
    <t>EMP01718</t>
  </si>
  <si>
    <t>EMP01719</t>
  </si>
  <si>
    <t>EMP01720</t>
  </si>
  <si>
    <t>EMP01721</t>
  </si>
  <si>
    <t>EMP01722</t>
  </si>
  <si>
    <t>EMP01723</t>
  </si>
  <si>
    <t>EMP01724</t>
  </si>
  <si>
    <t>EMP01725</t>
  </si>
  <si>
    <t>EMP01726</t>
  </si>
  <si>
    <t>EMP01727</t>
  </si>
  <si>
    <t>EMP01728</t>
  </si>
  <si>
    <t>EMP01729</t>
  </si>
  <si>
    <t>EMP01730</t>
  </si>
  <si>
    <t>EMP01731</t>
  </si>
  <si>
    <t>EMP01732</t>
  </si>
  <si>
    <t>EMP01733</t>
  </si>
  <si>
    <t>EMP01734</t>
  </si>
  <si>
    <t>EMP01735</t>
  </si>
  <si>
    <t>EMP01736</t>
  </si>
  <si>
    <t>EMP01737</t>
  </si>
  <si>
    <t>EMP01738</t>
  </si>
  <si>
    <t>EMP01739</t>
  </si>
  <si>
    <t>EMP01740</t>
  </si>
  <si>
    <t>EMP01741</t>
  </si>
  <si>
    <t>EMP01742</t>
  </si>
  <si>
    <t>EMP01743</t>
  </si>
  <si>
    <t>EMP01744</t>
  </si>
  <si>
    <t>EMP01745</t>
  </si>
  <si>
    <t>EMP01746</t>
  </si>
  <si>
    <t>EMP01747</t>
  </si>
  <si>
    <t>EMP01748</t>
  </si>
  <si>
    <t>EMP01749</t>
  </si>
  <si>
    <t>EMP01750</t>
  </si>
  <si>
    <t>EMP01751</t>
  </si>
  <si>
    <t>EMP01752</t>
  </si>
  <si>
    <t>EMP01753</t>
  </si>
  <si>
    <t>EMP01754</t>
  </si>
  <si>
    <t>EMP01755</t>
  </si>
  <si>
    <t>EMP01756</t>
  </si>
  <si>
    <t>EMP01757</t>
  </si>
  <si>
    <t>EMP01758</t>
  </si>
  <si>
    <t>EMP01759</t>
  </si>
  <si>
    <t>EMP01760</t>
  </si>
  <si>
    <t>EMP01761</t>
  </si>
  <si>
    <t>EMP01762</t>
  </si>
  <si>
    <t>EMP01763</t>
  </si>
  <si>
    <t>EMP01764</t>
  </si>
  <si>
    <t>EMP01765</t>
  </si>
  <si>
    <t>EMP01766</t>
  </si>
  <si>
    <t>EMP01767</t>
  </si>
  <si>
    <t>EMP01768</t>
  </si>
  <si>
    <t>EMP01769</t>
  </si>
  <si>
    <t>EMP01770</t>
  </si>
  <si>
    <t>EMP01771</t>
  </si>
  <si>
    <t>EMP01772</t>
  </si>
  <si>
    <t>EMP01773</t>
  </si>
  <si>
    <t>EMP01774</t>
  </si>
  <si>
    <t>EMP01775</t>
  </si>
  <si>
    <t>EMP01776</t>
  </si>
  <si>
    <t>EMP01777</t>
  </si>
  <si>
    <t>EMP01778</t>
  </si>
  <si>
    <t>EMP01779</t>
  </si>
  <si>
    <t>EMP01780</t>
  </si>
  <si>
    <t>EMP01781</t>
  </si>
  <si>
    <t>EMP01782</t>
  </si>
  <si>
    <t>EMP01783</t>
  </si>
  <si>
    <t>EMP01784</t>
  </si>
  <si>
    <t>EMP01785</t>
  </si>
  <si>
    <t>EMP01786</t>
  </si>
  <si>
    <t>EMP01787</t>
  </si>
  <si>
    <t>EMP01788</t>
  </si>
  <si>
    <t>EMP01789</t>
  </si>
  <si>
    <t>EMP01790</t>
  </si>
  <si>
    <t>EMP01791</t>
  </si>
  <si>
    <t>EMP01792</t>
  </si>
  <si>
    <t>EMP01793</t>
  </si>
  <si>
    <t>EMP01794</t>
  </si>
  <si>
    <t>EMP01795</t>
  </si>
  <si>
    <t>EMP01796</t>
  </si>
  <si>
    <t>EMP01797</t>
  </si>
  <si>
    <t>EMP01798</t>
  </si>
  <si>
    <t>EMP01799</t>
  </si>
  <si>
    <t>EMP01800</t>
  </si>
  <si>
    <t>EMP01801</t>
  </si>
  <si>
    <t>EMP01802</t>
  </si>
  <si>
    <t>EMP01803</t>
  </si>
  <si>
    <t>EMP01804</t>
  </si>
  <si>
    <t>EMP01805</t>
  </si>
  <si>
    <t>EMP01806</t>
  </si>
  <si>
    <t>EMP01807</t>
  </si>
  <si>
    <t>EMP01808</t>
  </si>
  <si>
    <t>EMP01809</t>
  </si>
  <si>
    <t>EMP01810</t>
  </si>
  <si>
    <t>EMP01811</t>
  </si>
  <si>
    <t>EMP01812</t>
  </si>
  <si>
    <t>EMP01813</t>
  </si>
  <si>
    <t>EMP01814</t>
  </si>
  <si>
    <t>EMP01815</t>
  </si>
  <si>
    <t>EMP01816</t>
  </si>
  <si>
    <t>EMP01817</t>
  </si>
  <si>
    <t>EMP01818</t>
  </si>
  <si>
    <t>EMP01819</t>
  </si>
  <si>
    <t>EMP01820</t>
  </si>
  <si>
    <t>EMP01821</t>
  </si>
  <si>
    <t>EMP01822</t>
  </si>
  <si>
    <t>EMP01823</t>
  </si>
  <si>
    <t>EMP01824</t>
  </si>
  <si>
    <t>EMP01825</t>
  </si>
  <si>
    <t>EMP01826</t>
  </si>
  <si>
    <t>EMP01827</t>
  </si>
  <si>
    <t>EMP01828</t>
  </si>
  <si>
    <t>EMP01829</t>
  </si>
  <si>
    <t>EMP01830</t>
  </si>
  <si>
    <t>EMP01831</t>
  </si>
  <si>
    <t>EMP01832</t>
  </si>
  <si>
    <t>EMP01833</t>
  </si>
  <si>
    <t>EMP01834</t>
  </si>
  <si>
    <t>EMP01835</t>
  </si>
  <si>
    <t>EMP01836</t>
  </si>
  <si>
    <t>EMP01837</t>
  </si>
  <si>
    <t>EMP01838</t>
  </si>
  <si>
    <t>EMP01839</t>
  </si>
  <si>
    <t>EMP01840</t>
  </si>
  <si>
    <t>EMP01841</t>
  </si>
  <si>
    <t>EMP01842</t>
  </si>
  <si>
    <t>EMP01843</t>
  </si>
  <si>
    <t>EMP01844</t>
  </si>
  <si>
    <t>EMP01845</t>
  </si>
  <si>
    <t>EMP01846</t>
  </si>
  <si>
    <t>EMP01847</t>
  </si>
  <si>
    <t>EMP01848</t>
  </si>
  <si>
    <t>EMP01849</t>
  </si>
  <si>
    <t>EMP01850</t>
  </si>
  <si>
    <t>EMP01851</t>
  </si>
  <si>
    <t>EMP01852</t>
  </si>
  <si>
    <t>EMP01853</t>
  </si>
  <si>
    <t>EMP01854</t>
  </si>
  <si>
    <t>EMP01855</t>
  </si>
  <si>
    <t>EMP01856</t>
  </si>
  <si>
    <t>EMP01857</t>
  </si>
  <si>
    <t>EMP01858</t>
  </si>
  <si>
    <t>EMP01859</t>
  </si>
  <si>
    <t>EMP01860</t>
  </si>
  <si>
    <t>EMP01861</t>
  </si>
  <si>
    <t>EMP01862</t>
  </si>
  <si>
    <t>EMP01863</t>
  </si>
  <si>
    <t>EMP01864</t>
  </si>
  <si>
    <t>EMP01865</t>
  </si>
  <si>
    <t>EMP01866</t>
  </si>
  <si>
    <t>EMP01867</t>
  </si>
  <si>
    <t>EMP01868</t>
  </si>
  <si>
    <t>EMP01869</t>
  </si>
  <si>
    <t>EMP01870</t>
  </si>
  <si>
    <t>EMP01871</t>
  </si>
  <si>
    <t>EMP01872</t>
  </si>
  <si>
    <t>EMP01873</t>
  </si>
  <si>
    <t>EMP01874</t>
  </si>
  <si>
    <t>EMP01875</t>
  </si>
  <si>
    <t>EMP01876</t>
  </si>
  <si>
    <t>EMP01877</t>
  </si>
  <si>
    <t>EMP01878</t>
  </si>
  <si>
    <t>EMP01879</t>
  </si>
  <si>
    <t>EMP01880</t>
  </si>
  <si>
    <t>EMP01881</t>
  </si>
  <si>
    <t>EMP01882</t>
  </si>
  <si>
    <t>EMP01883</t>
  </si>
  <si>
    <t>EMP01884</t>
  </si>
  <si>
    <t>EMP01885</t>
  </si>
  <si>
    <t>EMP01886</t>
  </si>
  <si>
    <t>EMP01887</t>
  </si>
  <si>
    <t>EMP01888</t>
  </si>
  <si>
    <t>EMP01889</t>
  </si>
  <si>
    <t>EMP01890</t>
  </si>
  <si>
    <t>EMP01891</t>
  </si>
  <si>
    <t>EMP01892</t>
  </si>
  <si>
    <t>EMP01893</t>
  </si>
  <si>
    <t>EMP01894</t>
  </si>
  <si>
    <t>EMP01895</t>
  </si>
  <si>
    <t>EMP01896</t>
  </si>
  <si>
    <t>EMP01897</t>
  </si>
  <si>
    <t>EMP01898</t>
  </si>
  <si>
    <t>EMP01899</t>
  </si>
  <si>
    <t>EMP01900</t>
  </si>
  <si>
    <t>EMP01901</t>
  </si>
  <si>
    <t>EMP01902</t>
  </si>
  <si>
    <t>EMP01903</t>
  </si>
  <si>
    <t>EMP01904</t>
  </si>
  <si>
    <t>EMP01905</t>
  </si>
  <si>
    <t>EMP01906</t>
  </si>
  <si>
    <t>EMP01907</t>
  </si>
  <si>
    <t>EMP01908</t>
  </si>
  <si>
    <t>EMP01909</t>
  </si>
  <si>
    <t>EMP01910</t>
  </si>
  <si>
    <t>EMP01911</t>
  </si>
  <si>
    <t>EMP01912</t>
  </si>
  <si>
    <t>EMP01913</t>
  </si>
  <si>
    <t>EMP01914</t>
  </si>
  <si>
    <t>EMP01915</t>
  </si>
  <si>
    <t>EMP01916</t>
  </si>
  <si>
    <t>EMP01917</t>
  </si>
  <si>
    <t>EMP01918</t>
  </si>
  <si>
    <t>EMP01919</t>
  </si>
  <si>
    <t>EMP01920</t>
  </si>
  <si>
    <t>EMP01921</t>
  </si>
  <si>
    <t>EMP01922</t>
  </si>
  <si>
    <t>EMP01923</t>
  </si>
  <si>
    <t>EMP01924</t>
  </si>
  <si>
    <t>EMP01925</t>
  </si>
  <si>
    <t>EMP01926</t>
  </si>
  <si>
    <t>EMP01927</t>
  </si>
  <si>
    <t>EMP01928</t>
  </si>
  <si>
    <t>EMP01929</t>
  </si>
  <si>
    <t>EMP01930</t>
  </si>
  <si>
    <t>EMP01931</t>
  </si>
  <si>
    <t>EMP01932</t>
  </si>
  <si>
    <t>EMP01933</t>
  </si>
  <si>
    <t>EMP01934</t>
  </si>
  <si>
    <t>EMP01935</t>
  </si>
  <si>
    <t>EMP01936</t>
  </si>
  <si>
    <t>EMP01937</t>
  </si>
  <si>
    <t>EMP01938</t>
  </si>
  <si>
    <t>EMP01939</t>
  </si>
  <si>
    <t>EMP01940</t>
  </si>
  <si>
    <t>EMP01941</t>
  </si>
  <si>
    <t>EMP01942</t>
  </si>
  <si>
    <t>EMP01943</t>
  </si>
  <si>
    <t>EMP01944</t>
  </si>
  <si>
    <t>EMP01945</t>
  </si>
  <si>
    <t>EMP01946</t>
  </si>
  <si>
    <t>EMP01947</t>
  </si>
  <si>
    <t>EMP01948</t>
  </si>
  <si>
    <t>EMP01949</t>
  </si>
  <si>
    <t>EMP01950</t>
  </si>
  <si>
    <t>EMP01951</t>
  </si>
  <si>
    <t>EMP01952</t>
  </si>
  <si>
    <t>EMP01953</t>
  </si>
  <si>
    <t>EMP01954</t>
  </si>
  <si>
    <t>EMP01955</t>
  </si>
  <si>
    <t>EMP01956</t>
  </si>
  <si>
    <t>EMP01957</t>
  </si>
  <si>
    <t>EMP01958</t>
  </si>
  <si>
    <t>EMP01959</t>
  </si>
  <si>
    <t>EMP01960</t>
  </si>
  <si>
    <t>EMP01961</t>
  </si>
  <si>
    <t>EMP01962</t>
  </si>
  <si>
    <t>EMP01963</t>
  </si>
  <si>
    <t>EMP01964</t>
  </si>
  <si>
    <t>EMP01965</t>
  </si>
  <si>
    <t>EMP01966</t>
  </si>
  <si>
    <t>EMP01967</t>
  </si>
  <si>
    <t>EMP01968</t>
  </si>
  <si>
    <t>EMP01969</t>
  </si>
  <si>
    <t>EMP01970</t>
  </si>
  <si>
    <t>EMP01971</t>
  </si>
  <si>
    <t>EMP01972</t>
  </si>
  <si>
    <t>EMP01973</t>
  </si>
  <si>
    <t>EMP01974</t>
  </si>
  <si>
    <t>EMP01975</t>
  </si>
  <si>
    <t>EMP01976</t>
  </si>
  <si>
    <t>EMP01977</t>
  </si>
  <si>
    <t>EMP01978</t>
  </si>
  <si>
    <t>EMP01979</t>
  </si>
  <si>
    <t>EMP01980</t>
  </si>
  <si>
    <t>EMP01981</t>
  </si>
  <si>
    <t>EMP01982</t>
  </si>
  <si>
    <t>EMP01983</t>
  </si>
  <si>
    <t>EMP01984</t>
  </si>
  <si>
    <t>EMP01985</t>
  </si>
  <si>
    <t>EMP01986</t>
  </si>
  <si>
    <t>EMP01987</t>
  </si>
  <si>
    <t>EMP01988</t>
  </si>
  <si>
    <t>EMP01989</t>
  </si>
  <si>
    <t>EMP01990</t>
  </si>
  <si>
    <t>EMP01991</t>
  </si>
  <si>
    <t>EMP01992</t>
  </si>
  <si>
    <t>EMP01993</t>
  </si>
  <si>
    <t>EMP01994</t>
  </si>
  <si>
    <t>EMP01995</t>
  </si>
  <si>
    <t>EMP01996</t>
  </si>
  <si>
    <t>EMP01997</t>
  </si>
  <si>
    <t>EMP01998</t>
  </si>
  <si>
    <t>EMP01999</t>
  </si>
  <si>
    <t>EMP02000</t>
  </si>
  <si>
    <t>EMP02001</t>
  </si>
  <si>
    <t>EMP02002</t>
  </si>
  <si>
    <t>EMP02003</t>
  </si>
  <si>
    <t>EMP02004</t>
  </si>
  <si>
    <t>EMP02005</t>
  </si>
  <si>
    <t>EMP02006</t>
  </si>
  <si>
    <t>EMP02007</t>
  </si>
  <si>
    <t>EMP02008</t>
  </si>
  <si>
    <t>EMP02009</t>
  </si>
  <si>
    <t>EMP02010</t>
  </si>
  <si>
    <t>EMP02011</t>
  </si>
  <si>
    <t>EMP02012</t>
  </si>
  <si>
    <t>EMP02013</t>
  </si>
  <si>
    <t>EMP02014</t>
  </si>
  <si>
    <t>EMP02015</t>
  </si>
  <si>
    <t>EMP02016</t>
  </si>
  <si>
    <t>EMP02017</t>
  </si>
  <si>
    <t>EMP02018</t>
  </si>
  <si>
    <t>EMP02019</t>
  </si>
  <si>
    <t>EMP02020</t>
  </si>
  <si>
    <t>EMP02021</t>
  </si>
  <si>
    <t>EMP02022</t>
  </si>
  <si>
    <t>EMP02023</t>
  </si>
  <si>
    <t>EMP02024</t>
  </si>
  <si>
    <t>EMP02025</t>
  </si>
  <si>
    <t>EMP02026</t>
  </si>
  <si>
    <t>EMP02027</t>
  </si>
  <si>
    <t>EMP02028</t>
  </si>
  <si>
    <t>EMP02029</t>
  </si>
  <si>
    <t>EMP02030</t>
  </si>
  <si>
    <t>EMP02031</t>
  </si>
  <si>
    <t>EMP02032</t>
  </si>
  <si>
    <t>EMP02033</t>
  </si>
  <si>
    <t>EMP02034</t>
  </si>
  <si>
    <t>EMP02035</t>
  </si>
  <si>
    <t>EMP02036</t>
  </si>
  <si>
    <t>EMP02037</t>
  </si>
  <si>
    <t>EMP02038</t>
  </si>
  <si>
    <t>EMP02039</t>
  </si>
  <si>
    <t>EMP02040</t>
  </si>
  <si>
    <t>EMP02041</t>
  </si>
  <si>
    <t>EMP02042</t>
  </si>
  <si>
    <t>EMP02043</t>
  </si>
  <si>
    <t>EMP02044</t>
  </si>
  <si>
    <t>EMP02045</t>
  </si>
  <si>
    <t>EMP02046</t>
  </si>
  <si>
    <t>EMP02047</t>
  </si>
  <si>
    <t>EMP02048</t>
  </si>
  <si>
    <t>EMP02049</t>
  </si>
  <si>
    <t>EMP02050</t>
  </si>
  <si>
    <t>EMP02051</t>
  </si>
  <si>
    <t>EMP02052</t>
  </si>
  <si>
    <t>EMP02053</t>
  </si>
  <si>
    <t>EMP02054</t>
  </si>
  <si>
    <t>EMP02055</t>
  </si>
  <si>
    <t>EMP02056</t>
  </si>
  <si>
    <t>EMP02057</t>
  </si>
  <si>
    <t>EMP02058</t>
  </si>
  <si>
    <t>EMP02059</t>
  </si>
  <si>
    <t>EMP02060</t>
  </si>
  <si>
    <t>EMP02061</t>
  </si>
  <si>
    <t>EMP02062</t>
  </si>
  <si>
    <t>EMP02063</t>
  </si>
  <si>
    <t>EMP02064</t>
  </si>
  <si>
    <t>EMP02065</t>
  </si>
  <si>
    <t>EMP02066</t>
  </si>
  <si>
    <t>EMP02067</t>
  </si>
  <si>
    <t>EMP02068</t>
  </si>
  <si>
    <t>EMP02069</t>
  </si>
  <si>
    <t>EMP02070</t>
  </si>
  <si>
    <t>EMP02071</t>
  </si>
  <si>
    <t>EMP02072</t>
  </si>
  <si>
    <t>EMP02073</t>
  </si>
  <si>
    <t>EMP02074</t>
  </si>
  <si>
    <t>EMP02075</t>
  </si>
  <si>
    <t>EMP02076</t>
  </si>
  <si>
    <t>EMP02077</t>
  </si>
  <si>
    <t>EMP02078</t>
  </si>
  <si>
    <t>EMP02079</t>
  </si>
  <si>
    <t>EMP02080</t>
  </si>
  <si>
    <t>EMP02081</t>
  </si>
  <si>
    <t>EMP02082</t>
  </si>
  <si>
    <t>EMP02083</t>
  </si>
  <si>
    <t>EMP02084</t>
  </si>
  <si>
    <t>EMP02085</t>
  </si>
  <si>
    <t>EMP02086</t>
  </si>
  <si>
    <t>EMP02087</t>
  </si>
  <si>
    <t>EMP02088</t>
  </si>
  <si>
    <t>EMP02089</t>
  </si>
  <si>
    <t>EMP02090</t>
  </si>
  <si>
    <t>EMP02091</t>
  </si>
  <si>
    <t>EMP02092</t>
  </si>
  <si>
    <t>EMP02093</t>
  </si>
  <si>
    <t>EMP02094</t>
  </si>
  <si>
    <t>EMP02095</t>
  </si>
  <si>
    <t>EMP02096</t>
  </si>
  <si>
    <t>EMP02097</t>
  </si>
  <si>
    <t>EMP02098</t>
  </si>
  <si>
    <t>EMP02099</t>
  </si>
  <si>
    <t>EMP02100</t>
  </si>
  <si>
    <t>EMP02101</t>
  </si>
  <si>
    <t>EMP02102</t>
  </si>
  <si>
    <t>EMP02103</t>
  </si>
  <si>
    <t>EMP02104</t>
  </si>
  <si>
    <t>EMP02105</t>
  </si>
  <si>
    <t>EMP02106</t>
  </si>
  <si>
    <t>EMP02107</t>
  </si>
  <si>
    <t>EMP02108</t>
  </si>
  <si>
    <t>EMP02109</t>
  </si>
  <si>
    <t>EMP02110</t>
  </si>
  <si>
    <t>EMP02111</t>
  </si>
  <si>
    <t>EMP02112</t>
  </si>
  <si>
    <t>EMP02113</t>
  </si>
  <si>
    <t>EMP02114</t>
  </si>
  <si>
    <t>EMP02115</t>
  </si>
  <si>
    <t>EMP02116</t>
  </si>
  <si>
    <t>EMP02117</t>
  </si>
  <si>
    <t>EMP02118</t>
  </si>
  <si>
    <t>EMP02119</t>
  </si>
  <si>
    <t>EMP02120</t>
  </si>
  <si>
    <t>EMP02121</t>
  </si>
  <si>
    <t>EMP02122</t>
  </si>
  <si>
    <t>EMP02123</t>
  </si>
  <si>
    <t>EMP02124</t>
  </si>
  <si>
    <t>EMP02125</t>
  </si>
  <si>
    <t>EMP02126</t>
  </si>
  <si>
    <t>EMP02127</t>
  </si>
  <si>
    <t>EMP02128</t>
  </si>
  <si>
    <t>EMP02129</t>
  </si>
  <si>
    <t>EMP02130</t>
  </si>
  <si>
    <t>EMP02131</t>
  </si>
  <si>
    <t>EMP02132</t>
  </si>
  <si>
    <t>EMP02133</t>
  </si>
  <si>
    <t>EMP02134</t>
  </si>
  <si>
    <t>EMP02135</t>
  </si>
  <si>
    <t>EMP02136</t>
  </si>
  <si>
    <t>EMP02137</t>
  </si>
  <si>
    <t>EMP02138</t>
  </si>
  <si>
    <t>EMP02139</t>
  </si>
  <si>
    <t>EMP02140</t>
  </si>
  <si>
    <t>EMP02141</t>
  </si>
  <si>
    <t>EMP02142</t>
  </si>
  <si>
    <t>EMP02143</t>
  </si>
  <si>
    <t>EMP02144</t>
  </si>
  <si>
    <t>EMP02145</t>
  </si>
  <si>
    <t>EMP02146</t>
  </si>
  <si>
    <t>EMP02147</t>
  </si>
  <si>
    <t>EMP02148</t>
  </si>
  <si>
    <t>EMP02149</t>
  </si>
  <si>
    <t>EMP02150</t>
  </si>
  <si>
    <t>EMP02151</t>
  </si>
  <si>
    <t>EMP02152</t>
  </si>
  <si>
    <t>EMP02153</t>
  </si>
  <si>
    <t>EMP02154</t>
  </si>
  <si>
    <t>EMP02155</t>
  </si>
  <si>
    <t>EMP02156</t>
  </si>
  <si>
    <t>EMP02157</t>
  </si>
  <si>
    <t>EMP02158</t>
  </si>
  <si>
    <t>EMP02159</t>
  </si>
  <si>
    <t>EMP02160</t>
  </si>
  <si>
    <t>EMP02161</t>
  </si>
  <si>
    <t>EMP02162</t>
  </si>
  <si>
    <t>EMP02163</t>
  </si>
  <si>
    <t>EMP02164</t>
  </si>
  <si>
    <t>EMP02165</t>
  </si>
  <si>
    <t>EMP02166</t>
  </si>
  <si>
    <t>EMP02167</t>
  </si>
  <si>
    <t>EMP02168</t>
  </si>
  <si>
    <t>EMP02169</t>
  </si>
  <si>
    <t>EMP02170</t>
  </si>
  <si>
    <t>EMP02171</t>
  </si>
  <si>
    <t>EMP02172</t>
  </si>
  <si>
    <t>EMP02173</t>
  </si>
  <si>
    <t>EMP02174</t>
  </si>
  <si>
    <t>EMP02175</t>
  </si>
  <si>
    <t>EMP02176</t>
  </si>
  <si>
    <t>EMP02177</t>
  </si>
  <si>
    <t>EMP02178</t>
  </si>
  <si>
    <t>EMP02179</t>
  </si>
  <si>
    <t>EMP02180</t>
  </si>
  <si>
    <t>EMP02181</t>
  </si>
  <si>
    <t>EMP02182</t>
  </si>
  <si>
    <t>EMP02183</t>
  </si>
  <si>
    <t>EMP02184</t>
  </si>
  <si>
    <t>EMP02185</t>
  </si>
  <si>
    <t>EMP02186</t>
  </si>
  <si>
    <t>EMP02187</t>
  </si>
  <si>
    <t>EMP02188</t>
  </si>
  <si>
    <t>EMP02189</t>
  </si>
  <si>
    <t>EMP02190</t>
  </si>
  <si>
    <t>EMP02191</t>
  </si>
  <si>
    <t>EMP02192</t>
  </si>
  <si>
    <t>EMP02193</t>
  </si>
  <si>
    <t>EMP02194</t>
  </si>
  <si>
    <t>EMP02195</t>
  </si>
  <si>
    <t>EMP02196</t>
  </si>
  <si>
    <t>EMP02197</t>
  </si>
  <si>
    <t>EMP02198</t>
  </si>
  <si>
    <t>EMP02199</t>
  </si>
  <si>
    <t>EMP02200</t>
  </si>
  <si>
    <t>EMP02201</t>
  </si>
  <si>
    <t>EMP02202</t>
  </si>
  <si>
    <t>EMP02203</t>
  </si>
  <si>
    <t>EMP02204</t>
  </si>
  <si>
    <t>EMP02205</t>
  </si>
  <si>
    <t>EMP02206</t>
  </si>
  <si>
    <t>EMP02207</t>
  </si>
  <si>
    <t>EMP02208</t>
  </si>
  <si>
    <t>EMP02209</t>
  </si>
  <si>
    <t>EMP02210</t>
  </si>
  <si>
    <t>EMP02211</t>
  </si>
  <si>
    <t>EMP02212</t>
  </si>
  <si>
    <t>EMP02213</t>
  </si>
  <si>
    <t>EMP02214</t>
  </si>
  <si>
    <t>EMP02215</t>
  </si>
  <si>
    <t>EMP02216</t>
  </si>
  <si>
    <t>EMP02217</t>
  </si>
  <si>
    <t>EMP02218</t>
  </si>
  <si>
    <t>EMP02219</t>
  </si>
  <si>
    <t>EMP02220</t>
  </si>
  <si>
    <t>EMP02221</t>
  </si>
  <si>
    <t>EMP02222</t>
  </si>
  <si>
    <t>EMP02223</t>
  </si>
  <si>
    <t>EMP02224</t>
  </si>
  <si>
    <t>EMP02225</t>
  </si>
  <si>
    <t>EMP02226</t>
  </si>
  <si>
    <t>EMP02227</t>
  </si>
  <si>
    <t>EMP02228</t>
  </si>
  <si>
    <t>EMP02229</t>
  </si>
  <si>
    <t>EMP02230</t>
  </si>
  <si>
    <t>EMP02231</t>
  </si>
  <si>
    <t>EMP02232</t>
  </si>
  <si>
    <t>EMP02233</t>
  </si>
  <si>
    <t>EMP02234</t>
  </si>
  <si>
    <t>EMP02235</t>
  </si>
  <si>
    <t>EMP02236</t>
  </si>
  <si>
    <t>EMP02237</t>
  </si>
  <si>
    <t>EMP02238</t>
  </si>
  <si>
    <t>EMP02239</t>
  </si>
  <si>
    <t>EMP02240</t>
  </si>
  <si>
    <t>EMP02241</t>
  </si>
  <si>
    <t>EMP02242</t>
  </si>
  <si>
    <t>EMP02243</t>
  </si>
  <si>
    <t>EMP02244</t>
  </si>
  <si>
    <t>EMP02245</t>
  </si>
  <si>
    <t>EMP02246</t>
  </si>
  <si>
    <t>EMP02247</t>
  </si>
  <si>
    <t>EMP02248</t>
  </si>
  <si>
    <t>EMP02249</t>
  </si>
  <si>
    <t>EMP02250</t>
  </si>
  <si>
    <t>EMP02251</t>
  </si>
  <si>
    <t>EMP02252</t>
  </si>
  <si>
    <t>EMP02253</t>
  </si>
  <si>
    <t>EMP02254</t>
  </si>
  <si>
    <t>EMP02255</t>
  </si>
  <si>
    <t>EMP02256</t>
  </si>
  <si>
    <t>EMP02257</t>
  </si>
  <si>
    <t>EMP02258</t>
  </si>
  <si>
    <t>EMP02259</t>
  </si>
  <si>
    <t>EMP02260</t>
  </si>
  <si>
    <t>EMP02261</t>
  </si>
  <si>
    <t>EMP02262</t>
  </si>
  <si>
    <t>EMP02263</t>
  </si>
  <si>
    <t>EMP02264</t>
  </si>
  <si>
    <t>EMP02265</t>
  </si>
  <si>
    <t>EMP02266</t>
  </si>
  <si>
    <t>EMP02267</t>
  </si>
  <si>
    <t>EMP02268</t>
  </si>
  <si>
    <t>EMP02269</t>
  </si>
  <si>
    <t>EMP02270</t>
  </si>
  <si>
    <t>EMP02271</t>
  </si>
  <si>
    <t>EMP02272</t>
  </si>
  <si>
    <t>EMP02273</t>
  </si>
  <si>
    <t>EMP02274</t>
  </si>
  <si>
    <t>EMP02275</t>
  </si>
  <si>
    <t>EMP02276</t>
  </si>
  <si>
    <t>EMP02277</t>
  </si>
  <si>
    <t>EMP02278</t>
  </si>
  <si>
    <t>EMP02279</t>
  </si>
  <si>
    <t>EMP02280</t>
  </si>
  <si>
    <t>EMP02281</t>
  </si>
  <si>
    <t>EMP02282</t>
  </si>
  <si>
    <t>EMP02283</t>
  </si>
  <si>
    <t>EMP02284</t>
  </si>
  <si>
    <t>EMP02285</t>
  </si>
  <si>
    <t>EMP02286</t>
  </si>
  <si>
    <t>EMP02287</t>
  </si>
  <si>
    <t>EMP02288</t>
  </si>
  <si>
    <t>EMP02289</t>
  </si>
  <si>
    <t>EMP02290</t>
  </si>
  <si>
    <t>EMP02291</t>
  </si>
  <si>
    <t>EMP02292</t>
  </si>
  <si>
    <t>EMP02293</t>
  </si>
  <si>
    <t>EMP02294</t>
  </si>
  <si>
    <t>EMP02295</t>
  </si>
  <si>
    <t>EMP02296</t>
  </si>
  <si>
    <t>EMP02297</t>
  </si>
  <si>
    <t>EMP02298</t>
  </si>
  <si>
    <t>EMP02299</t>
  </si>
  <si>
    <t>EMP02300</t>
  </si>
  <si>
    <t>EMP02301</t>
  </si>
  <si>
    <t>EMP02302</t>
  </si>
  <si>
    <t>EMP02303</t>
  </si>
  <si>
    <t>EMP02304</t>
  </si>
  <si>
    <t>EMP02305</t>
  </si>
  <si>
    <t>EMP02306</t>
  </si>
  <si>
    <t>EMP02307</t>
  </si>
  <si>
    <t>EMP02308</t>
  </si>
  <si>
    <t>EMP02309</t>
  </si>
  <si>
    <t>EMP02310</t>
  </si>
  <si>
    <t>EMP02311</t>
  </si>
  <si>
    <t>EMP02312</t>
  </si>
  <si>
    <t>EMP02313</t>
  </si>
  <si>
    <t>EMP02314</t>
  </si>
  <si>
    <t>EMP02315</t>
  </si>
  <si>
    <t>EMP02316</t>
  </si>
  <si>
    <t>EMP02317</t>
  </si>
  <si>
    <t>EMP02318</t>
  </si>
  <si>
    <t>EMP02319</t>
  </si>
  <si>
    <t>EMP02320</t>
  </si>
  <si>
    <t>EMP02321</t>
  </si>
  <si>
    <t>EMP02322</t>
  </si>
  <si>
    <t>EMP02323</t>
  </si>
  <si>
    <t>EMP02324</t>
  </si>
  <si>
    <t>EMP02325</t>
  </si>
  <si>
    <t>EMP02326</t>
  </si>
  <si>
    <t>EMP02327</t>
  </si>
  <si>
    <t>EMP02328</t>
  </si>
  <si>
    <t>EMP02329</t>
  </si>
  <si>
    <t>EMP02330</t>
  </si>
  <si>
    <t>EMP02331</t>
  </si>
  <si>
    <t>EMP02332</t>
  </si>
  <si>
    <t>EMP02333</t>
  </si>
  <si>
    <t>EMP02334</t>
  </si>
  <si>
    <t>EMP02335</t>
  </si>
  <si>
    <t>EMP02336</t>
  </si>
  <si>
    <t>EMP02337</t>
  </si>
  <si>
    <t>EMP02338</t>
  </si>
  <si>
    <t>EMP02339</t>
  </si>
  <si>
    <t>EMP02340</t>
  </si>
  <si>
    <t>EMP02341</t>
  </si>
  <si>
    <t>EMP02342</t>
  </si>
  <si>
    <t>EMP02343</t>
  </si>
  <si>
    <t>EMP02344</t>
  </si>
  <si>
    <t>EMP02345</t>
  </si>
  <si>
    <t>EMP02346</t>
  </si>
  <si>
    <t>EMP02347</t>
  </si>
  <si>
    <t>EMP02348</t>
  </si>
  <si>
    <t>EMP02349</t>
  </si>
  <si>
    <t>EMP02350</t>
  </si>
  <si>
    <t>EMP02351</t>
  </si>
  <si>
    <t>EMP02352</t>
  </si>
  <si>
    <t>EMP02353</t>
  </si>
  <si>
    <t>EMP02354</t>
  </si>
  <si>
    <t>EMP02355</t>
  </si>
  <si>
    <t>EMP02356</t>
  </si>
  <si>
    <t>EMP02357</t>
  </si>
  <si>
    <t>EMP02358</t>
  </si>
  <si>
    <t>EMP02359</t>
  </si>
  <si>
    <t>EMP02360</t>
  </si>
  <si>
    <t>EMP02361</t>
  </si>
  <si>
    <t>EMP02362</t>
  </si>
  <si>
    <t>EMP02363</t>
  </si>
  <si>
    <t>EMP02364</t>
  </si>
  <si>
    <t>EMP02365</t>
  </si>
  <si>
    <t>EMP02366</t>
  </si>
  <si>
    <t>EMP02367</t>
  </si>
  <si>
    <t>EMP02368</t>
  </si>
  <si>
    <t>EMP02369</t>
  </si>
  <si>
    <t>EMP02370</t>
  </si>
  <si>
    <t>EMP02371</t>
  </si>
  <si>
    <t>EMP02372</t>
  </si>
  <si>
    <t>EMP02373</t>
  </si>
  <si>
    <t>EMP02374</t>
  </si>
  <si>
    <t>EMP02375</t>
  </si>
  <si>
    <t>EMP02376</t>
  </si>
  <si>
    <t>EMP02377</t>
  </si>
  <si>
    <t>EMP02378</t>
  </si>
  <si>
    <t>EMP02379</t>
  </si>
  <si>
    <t>EMP02380</t>
  </si>
  <si>
    <t>EMP02381</t>
  </si>
  <si>
    <t>EMP02382</t>
  </si>
  <si>
    <t>EMP02383</t>
  </si>
  <si>
    <t>EMP02384</t>
  </si>
  <si>
    <t>EMP02385</t>
  </si>
  <si>
    <t>EMP02386</t>
  </si>
  <si>
    <t>EMP02387</t>
  </si>
  <si>
    <t>EMP02388</t>
  </si>
  <si>
    <t>EMP02389</t>
  </si>
  <si>
    <t>EMP02390</t>
  </si>
  <si>
    <t>EMP02391</t>
  </si>
  <si>
    <t>EMP02392</t>
  </si>
  <si>
    <t>EMP02393</t>
  </si>
  <si>
    <t>EMP02394</t>
  </si>
  <si>
    <t>EMP02395</t>
  </si>
  <si>
    <t>EMP02396</t>
  </si>
  <si>
    <t>EMP02397</t>
  </si>
  <si>
    <t>EMP02398</t>
  </si>
  <si>
    <t>EMP02399</t>
  </si>
  <si>
    <t>EMP02400</t>
  </si>
  <si>
    <t>EMP02401</t>
  </si>
  <si>
    <t>EMP02402</t>
  </si>
  <si>
    <t>EMP02403</t>
  </si>
  <si>
    <t>EMP02404</t>
  </si>
  <si>
    <t>EMP02405</t>
  </si>
  <si>
    <t>EMP02406</t>
  </si>
  <si>
    <t>EMP02407</t>
  </si>
  <si>
    <t>EMP02408</t>
  </si>
  <si>
    <t>EMP02409</t>
  </si>
  <si>
    <t>EMP02410</t>
  </si>
  <si>
    <t>EMP02411</t>
  </si>
  <si>
    <t>EMP02412</t>
  </si>
  <si>
    <t>EMP02413</t>
  </si>
  <si>
    <t>EMP02414</t>
  </si>
  <si>
    <t>EMP02415</t>
  </si>
  <si>
    <t>EMP02416</t>
  </si>
  <si>
    <t>EMP02417</t>
  </si>
  <si>
    <t>EMP02418</t>
  </si>
  <si>
    <t>EMP02419</t>
  </si>
  <si>
    <t>EMP02420</t>
  </si>
  <si>
    <t>EMP02421</t>
  </si>
  <si>
    <t>EMP02422</t>
  </si>
  <si>
    <t>EMP02423</t>
  </si>
  <si>
    <t>EMP02424</t>
  </si>
  <si>
    <t>EMP02425</t>
  </si>
  <si>
    <t>EMP02426</t>
  </si>
  <si>
    <t>EMP02427</t>
  </si>
  <si>
    <t>EMP02428</t>
  </si>
  <si>
    <t>EMP02429</t>
  </si>
  <si>
    <t>EMP02430</t>
  </si>
  <si>
    <t>EMP02431</t>
  </si>
  <si>
    <t>EMP02432</t>
  </si>
  <si>
    <t>EMP02433</t>
  </si>
  <si>
    <t>EMP02434</t>
  </si>
  <si>
    <t>EMP02435</t>
  </si>
  <si>
    <t>EMP02436</t>
  </si>
  <si>
    <t>EMP02437</t>
  </si>
  <si>
    <t>EMP02438</t>
  </si>
  <si>
    <t>EMP02439</t>
  </si>
  <si>
    <t>EMP02440</t>
  </si>
  <si>
    <t>EMP02441</t>
  </si>
  <si>
    <t>EMP02442</t>
  </si>
  <si>
    <t>EMP02443</t>
  </si>
  <si>
    <t>EMP02444</t>
  </si>
  <si>
    <t>EMP02445</t>
  </si>
  <si>
    <t>EMP02446</t>
  </si>
  <si>
    <t>EMP02447</t>
  </si>
  <si>
    <t>EMP02448</t>
  </si>
  <si>
    <t>EMP02449</t>
  </si>
  <si>
    <t>EMP02450</t>
  </si>
  <si>
    <t>EMP02451</t>
  </si>
  <si>
    <t>EMP02452</t>
  </si>
  <si>
    <t>EMP02453</t>
  </si>
  <si>
    <t>EMP02454</t>
  </si>
  <si>
    <t>EMP02455</t>
  </si>
  <si>
    <t>EMP02456</t>
  </si>
  <si>
    <t>EMP02457</t>
  </si>
  <si>
    <t>EMP02458</t>
  </si>
  <si>
    <t>EMP02459</t>
  </si>
  <si>
    <t>EMP02460</t>
  </si>
  <si>
    <t>EMP02461</t>
  </si>
  <si>
    <t>EMP02462</t>
  </si>
  <si>
    <t>EMP02463</t>
  </si>
  <si>
    <t>EMP02464</t>
  </si>
  <si>
    <t>EMP02465</t>
  </si>
  <si>
    <t>EMP02466</t>
  </si>
  <si>
    <t>EMP02467</t>
  </si>
  <si>
    <t>EMP02468</t>
  </si>
  <si>
    <t>EMP02469</t>
  </si>
  <si>
    <t>EMP02470</t>
  </si>
  <si>
    <t>EMP02471</t>
  </si>
  <si>
    <t>EMP02472</t>
  </si>
  <si>
    <t>EMP02473</t>
  </si>
  <si>
    <t>EMP02474</t>
  </si>
  <si>
    <t>EMP02475</t>
  </si>
  <si>
    <t>EMP02476</t>
  </si>
  <si>
    <t>EMP02477</t>
  </si>
  <si>
    <t>EMP02478</t>
  </si>
  <si>
    <t>EMP02479</t>
  </si>
  <si>
    <t>EMP02480</t>
  </si>
  <si>
    <t>EMP02481</t>
  </si>
  <si>
    <t>EMP02482</t>
  </si>
  <si>
    <t>EMP02483</t>
  </si>
  <si>
    <t>EMP02484</t>
  </si>
  <si>
    <t>EMP02485</t>
  </si>
  <si>
    <t>EMP02486</t>
  </si>
  <si>
    <t>EMP02487</t>
  </si>
  <si>
    <t>EMP02488</t>
  </si>
  <si>
    <t>EMP02489</t>
  </si>
  <si>
    <t>EMP02490</t>
  </si>
  <si>
    <t>EMP02491</t>
  </si>
  <si>
    <t>EMP02492</t>
  </si>
  <si>
    <t>EMP02493</t>
  </si>
  <si>
    <t>EMP02494</t>
  </si>
  <si>
    <t>EMP02495</t>
  </si>
  <si>
    <t>EMP02496</t>
  </si>
  <si>
    <t>EMP02497</t>
  </si>
  <si>
    <t>EMP02498</t>
  </si>
  <si>
    <t>EMP02499</t>
  </si>
  <si>
    <t>EMP02500</t>
  </si>
  <si>
    <t>EMP02501</t>
  </si>
  <si>
    <t>EMP02502</t>
  </si>
  <si>
    <t>EMP02503</t>
  </si>
  <si>
    <t>EMP02504</t>
  </si>
  <si>
    <t>EMP02505</t>
  </si>
  <si>
    <t>EMP02506</t>
  </si>
  <si>
    <t>EMP02507</t>
  </si>
  <si>
    <t>EMP02508</t>
  </si>
  <si>
    <t>EMP02509</t>
  </si>
  <si>
    <t>EMP02510</t>
  </si>
  <si>
    <t>EMP02511</t>
  </si>
  <si>
    <t>EMP02512</t>
  </si>
  <si>
    <t>EMP02513</t>
  </si>
  <si>
    <t>EMP02514</t>
  </si>
  <si>
    <t>EMP02515</t>
  </si>
  <si>
    <t>EMP02516</t>
  </si>
  <si>
    <t>EMP02517</t>
  </si>
  <si>
    <t>EMP02518</t>
  </si>
  <si>
    <t>EMP02519</t>
  </si>
  <si>
    <t>EMP02520</t>
  </si>
  <si>
    <t>EMP02521</t>
  </si>
  <si>
    <t>EMP02522</t>
  </si>
  <si>
    <t>EMP02523</t>
  </si>
  <si>
    <t>EMP02524</t>
  </si>
  <si>
    <t>EMP02525</t>
  </si>
  <si>
    <t>EMP02526</t>
  </si>
  <si>
    <t>EMP02527</t>
  </si>
  <si>
    <t>EMP02528</t>
  </si>
  <si>
    <t>EMP02529</t>
  </si>
  <si>
    <t>EMP02530</t>
  </si>
  <si>
    <t>EMP02531</t>
  </si>
  <si>
    <t>EMP02532</t>
  </si>
  <si>
    <t>EMP02533</t>
  </si>
  <si>
    <t>EMP02534</t>
  </si>
  <si>
    <t>EMP02535</t>
  </si>
  <si>
    <t>EMP02536</t>
  </si>
  <si>
    <t>EMP02537</t>
  </si>
  <si>
    <t>EMP02538</t>
  </si>
  <si>
    <t>EMP02539</t>
  </si>
  <si>
    <t>EMP02540</t>
  </si>
  <si>
    <t>EMP02541</t>
  </si>
  <si>
    <t>EMP02542</t>
  </si>
  <si>
    <t>EMP02543</t>
  </si>
  <si>
    <t>EMP02544</t>
  </si>
  <si>
    <t>EMP02545</t>
  </si>
  <si>
    <t>EMP02546</t>
  </si>
  <si>
    <t>EMP02547</t>
  </si>
  <si>
    <t>EMP02548</t>
  </si>
  <si>
    <t>EMP02549</t>
  </si>
  <si>
    <t>EMP02550</t>
  </si>
  <si>
    <t>EMP02551</t>
  </si>
  <si>
    <t>EMP02552</t>
  </si>
  <si>
    <t>EMP02553</t>
  </si>
  <si>
    <t>EMP02554</t>
  </si>
  <si>
    <t>EMP02555</t>
  </si>
  <si>
    <t>EMP02556</t>
  </si>
  <si>
    <t>EMP02557</t>
  </si>
  <si>
    <t>EMP02558</t>
  </si>
  <si>
    <t>EMP02559</t>
  </si>
  <si>
    <t>EMP02560</t>
  </si>
  <si>
    <t>EMP02561</t>
  </si>
  <si>
    <t>EMP02562</t>
  </si>
  <si>
    <t>EMP02563</t>
  </si>
  <si>
    <t>EMP02564</t>
  </si>
  <si>
    <t>EMP02565</t>
  </si>
  <si>
    <t>EMP02566</t>
  </si>
  <si>
    <t>EMP02567</t>
  </si>
  <si>
    <t>EMP02568</t>
  </si>
  <si>
    <t>EMP02569</t>
  </si>
  <si>
    <t>EMP02570</t>
  </si>
  <si>
    <t>EMP02571</t>
  </si>
  <si>
    <t>EMP02572</t>
  </si>
  <si>
    <t>EMP02573</t>
  </si>
  <si>
    <t>EMP02574</t>
  </si>
  <si>
    <t>EMP02575</t>
  </si>
  <si>
    <t>EMP02576</t>
  </si>
  <si>
    <t>EMP02577</t>
  </si>
  <si>
    <t>EMP02578</t>
  </si>
  <si>
    <t>EMP02579</t>
  </si>
  <si>
    <t>EMP02580</t>
  </si>
  <si>
    <t>EMP02581</t>
  </si>
  <si>
    <t>EMP02582</t>
  </si>
  <si>
    <t>EMP02583</t>
  </si>
  <si>
    <t>EMP02584</t>
  </si>
  <si>
    <t>EMP02585</t>
  </si>
  <si>
    <t>EMP02586</t>
  </si>
  <si>
    <t>EMP02587</t>
  </si>
  <si>
    <t>EMP02588</t>
  </si>
  <si>
    <t>EMP02589</t>
  </si>
  <si>
    <t>EMP02590</t>
  </si>
  <si>
    <t>EMP02591</t>
  </si>
  <si>
    <t>EMP02592</t>
  </si>
  <si>
    <t>EMP02593</t>
  </si>
  <si>
    <t>EMP02594</t>
  </si>
  <si>
    <t>EMP02595</t>
  </si>
  <si>
    <t>EMP02596</t>
  </si>
  <si>
    <t>EMP02597</t>
  </si>
  <si>
    <t>EMP02598</t>
  </si>
  <si>
    <t>EMP02599</t>
  </si>
  <si>
    <t>EMP02600</t>
  </si>
  <si>
    <t>EMP02601</t>
  </si>
  <si>
    <t>EMP02602</t>
  </si>
  <si>
    <t>EMP02603</t>
  </si>
  <si>
    <t>EMP02604</t>
  </si>
  <si>
    <t>EMP02605</t>
  </si>
  <si>
    <t>EMP02606</t>
  </si>
  <si>
    <t>EMP02607</t>
  </si>
  <si>
    <t>EMP02608</t>
  </si>
  <si>
    <t>EMP02609</t>
  </si>
  <si>
    <t>EMP02610</t>
  </si>
  <si>
    <t>EMP02611</t>
  </si>
  <si>
    <t>EMP02612</t>
  </si>
  <si>
    <t>EMP02613</t>
  </si>
  <si>
    <t>EMP02614</t>
  </si>
  <si>
    <t>EMP02615</t>
  </si>
  <si>
    <t>EMP02616</t>
  </si>
  <si>
    <t>EMP02617</t>
  </si>
  <si>
    <t>EMP02618</t>
  </si>
  <si>
    <t>EMP02619</t>
  </si>
  <si>
    <t>EMP02620</t>
  </si>
  <si>
    <t>EMP02621</t>
  </si>
  <si>
    <t>EMP02622</t>
  </si>
  <si>
    <t>EMP02623</t>
  </si>
  <si>
    <t>EMP02624</t>
  </si>
  <si>
    <t>EMP02625</t>
  </si>
  <si>
    <t>EMP02626</t>
  </si>
  <si>
    <t>EMP02627</t>
  </si>
  <si>
    <t>EMP02628</t>
  </si>
  <si>
    <t>EMP02629</t>
  </si>
  <si>
    <t>EMP02630</t>
  </si>
  <si>
    <t>EMP02631</t>
  </si>
  <si>
    <t>EMP02632</t>
  </si>
  <si>
    <t>EMP02633</t>
  </si>
  <si>
    <t>EMP02634</t>
  </si>
  <si>
    <t>EMP02635</t>
  </si>
  <si>
    <t>EMP02636</t>
  </si>
  <si>
    <t>EMP02637</t>
  </si>
  <si>
    <t>EMP02638</t>
  </si>
  <si>
    <t>EMP02639</t>
  </si>
  <si>
    <t>EMP02640</t>
  </si>
  <si>
    <t>EMP02641</t>
  </si>
  <si>
    <t>EMP02642</t>
  </si>
  <si>
    <t>EMP02643</t>
  </si>
  <si>
    <t>EMP02644</t>
  </si>
  <si>
    <t>EMP02645</t>
  </si>
  <si>
    <t>EMP02646</t>
  </si>
  <si>
    <t>EMP02647</t>
  </si>
  <si>
    <t>EMP02648</t>
  </si>
  <si>
    <t>EMP02649</t>
  </si>
  <si>
    <t>EMP02650</t>
  </si>
  <si>
    <t>EMP02651</t>
  </si>
  <si>
    <t>EMP02652</t>
  </si>
  <si>
    <t>EMP02653</t>
  </si>
  <si>
    <t>EMP02654</t>
  </si>
  <si>
    <t>EMP02655</t>
  </si>
  <si>
    <t>EMP02656</t>
  </si>
  <si>
    <t>EMP02657</t>
  </si>
  <si>
    <t>EMP02658</t>
  </si>
  <si>
    <t>EMP02659</t>
  </si>
  <si>
    <t>EMP02660</t>
  </si>
  <si>
    <t>EMP02661</t>
  </si>
  <si>
    <t>EMP02662</t>
  </si>
  <si>
    <t>EMP02663</t>
  </si>
  <si>
    <t>EMP02664</t>
  </si>
  <si>
    <t>EMP02665</t>
  </si>
  <si>
    <t>EMP02666</t>
  </si>
  <si>
    <t>EMP02667</t>
  </si>
  <si>
    <t>EMP02668</t>
  </si>
  <si>
    <t>EMP02669</t>
  </si>
  <si>
    <t>EMP02670</t>
  </si>
  <si>
    <t>EMP02671</t>
  </si>
  <si>
    <t>EMP02672</t>
  </si>
  <si>
    <t>EMP02673</t>
  </si>
  <si>
    <t>EMP02674</t>
  </si>
  <si>
    <t>EMP02675</t>
  </si>
  <si>
    <t>EMP02676</t>
  </si>
  <si>
    <t>EMP02677</t>
  </si>
  <si>
    <t>EMP02678</t>
  </si>
  <si>
    <t>EMP02679</t>
  </si>
  <si>
    <t>EMP02680</t>
  </si>
  <si>
    <t>EMP02681</t>
  </si>
  <si>
    <t>EMP02682</t>
  </si>
  <si>
    <t>EMP02683</t>
  </si>
  <si>
    <t>EMP02684</t>
  </si>
  <si>
    <t>EMP02685</t>
  </si>
  <si>
    <t>EMP02686</t>
  </si>
  <si>
    <t>EMP02687</t>
  </si>
  <si>
    <t>EMP02688</t>
  </si>
  <si>
    <t>EMP02689</t>
  </si>
  <si>
    <t>EMP02690</t>
  </si>
  <si>
    <t>EMP02691</t>
  </si>
  <si>
    <t>EMP02692</t>
  </si>
  <si>
    <t>EMP02693</t>
  </si>
  <si>
    <t>EMP02694</t>
  </si>
  <si>
    <t>EMP02695</t>
  </si>
  <si>
    <t>EMP02696</t>
  </si>
  <si>
    <t>EMP02697</t>
  </si>
  <si>
    <t>EMP02698</t>
  </si>
  <si>
    <t>EMP02699</t>
  </si>
  <si>
    <t>EMP02700</t>
  </si>
  <si>
    <t>EMP02701</t>
  </si>
  <si>
    <t>EMP02702</t>
  </si>
  <si>
    <t>EMP02703</t>
  </si>
  <si>
    <t>EMP02704</t>
  </si>
  <si>
    <t>EMP02705</t>
  </si>
  <si>
    <t>EMP02706</t>
  </si>
  <si>
    <t>EMP02707</t>
  </si>
  <si>
    <t>EMP02708</t>
  </si>
  <si>
    <t>EMP02709</t>
  </si>
  <si>
    <t>EMP02710</t>
  </si>
  <si>
    <t>EMP02711</t>
  </si>
  <si>
    <t>EMP02712</t>
  </si>
  <si>
    <t>EMP02713</t>
  </si>
  <si>
    <t>EMP02714</t>
  </si>
  <si>
    <t>EMP02715</t>
  </si>
  <si>
    <t>EMP02716</t>
  </si>
  <si>
    <t>EMP02717</t>
  </si>
  <si>
    <t>EMP02718</t>
  </si>
  <si>
    <t>EMP02719</t>
  </si>
  <si>
    <t>EMP02720</t>
  </si>
  <si>
    <t>EMP02721</t>
  </si>
  <si>
    <t>EMP02722</t>
  </si>
  <si>
    <t>EMP02723</t>
  </si>
  <si>
    <t>EMP02724</t>
  </si>
  <si>
    <t>EMP02725</t>
  </si>
  <si>
    <t>EMP02726</t>
  </si>
  <si>
    <t>EMP02727</t>
  </si>
  <si>
    <t>EMP02728</t>
  </si>
  <si>
    <t>EMP02729</t>
  </si>
  <si>
    <t>EMP02730</t>
  </si>
  <si>
    <t>EMP02731</t>
  </si>
  <si>
    <t>EMP02732</t>
  </si>
  <si>
    <t>EMP02733</t>
  </si>
  <si>
    <t>EMP02734</t>
  </si>
  <si>
    <t>EMP02735</t>
  </si>
  <si>
    <t>EMP02736</t>
  </si>
  <si>
    <t>EMP02737</t>
  </si>
  <si>
    <t>EMP02738</t>
  </si>
  <si>
    <t>EMP02739</t>
  </si>
  <si>
    <t>EMP02740</t>
  </si>
  <si>
    <t>EMP02741</t>
  </si>
  <si>
    <t>EMP02742</t>
  </si>
  <si>
    <t>EMP02743</t>
  </si>
  <si>
    <t>EMP02744</t>
  </si>
  <si>
    <t>EMP02745</t>
  </si>
  <si>
    <t>EMP02746</t>
  </si>
  <si>
    <t>EMP02747</t>
  </si>
  <si>
    <t>EMP02748</t>
  </si>
  <si>
    <t>EMP02749</t>
  </si>
  <si>
    <t>EMP02750</t>
  </si>
  <si>
    <t>EMP02751</t>
  </si>
  <si>
    <t>EMP02752</t>
  </si>
  <si>
    <t>EMP02753</t>
  </si>
  <si>
    <t>EMP02754</t>
  </si>
  <si>
    <t>EMP02755</t>
  </si>
  <si>
    <t>EMP02756</t>
  </si>
  <si>
    <t>EMP02757</t>
  </si>
  <si>
    <t>EMP02758</t>
  </si>
  <si>
    <t>EMP02759</t>
  </si>
  <si>
    <t>EMP02760</t>
  </si>
  <si>
    <t>EMP02761</t>
  </si>
  <si>
    <t>EMP02762</t>
  </si>
  <si>
    <t>EMP02763</t>
  </si>
  <si>
    <t>EMP02764</t>
  </si>
  <si>
    <t>EMP02765</t>
  </si>
  <si>
    <t>EMP02766</t>
  </si>
  <si>
    <t>EMP02767</t>
  </si>
  <si>
    <t>EMP02768</t>
  </si>
  <si>
    <t>EMP02769</t>
  </si>
  <si>
    <t>EMP02770</t>
  </si>
  <si>
    <t>EMP02771</t>
  </si>
  <si>
    <t>EMP02772</t>
  </si>
  <si>
    <t>EMP02773</t>
  </si>
  <si>
    <t>EMP02774</t>
  </si>
  <si>
    <t>EMP02775</t>
  </si>
  <si>
    <t>EMP02776</t>
  </si>
  <si>
    <t>EMP02777</t>
  </si>
  <si>
    <t>EMP02778</t>
  </si>
  <si>
    <t>EMP02779</t>
  </si>
  <si>
    <t>EMP02780</t>
  </si>
  <si>
    <t>EMP02781</t>
  </si>
  <si>
    <t>EMP02782</t>
  </si>
  <si>
    <t>EMP02783</t>
  </si>
  <si>
    <t>EMP02784</t>
  </si>
  <si>
    <t>EMP02785</t>
  </si>
  <si>
    <t>EMP02786</t>
  </si>
  <si>
    <t>EMP02787</t>
  </si>
  <si>
    <t>EMP02788</t>
  </si>
  <si>
    <t>EMP02789</t>
  </si>
  <si>
    <t>EMP02790</t>
  </si>
  <si>
    <t>EMP02791</t>
  </si>
  <si>
    <t>EMP02792</t>
  </si>
  <si>
    <t>EMP02793</t>
  </si>
  <si>
    <t>EMP02794</t>
  </si>
  <si>
    <t>EMP02795</t>
  </si>
  <si>
    <t>EMP02796</t>
  </si>
  <si>
    <t>EMP02797</t>
  </si>
  <si>
    <t>EMP02798</t>
  </si>
  <si>
    <t>EMP02799</t>
  </si>
  <si>
    <t>EMP02800</t>
  </si>
  <si>
    <t>EMP02801</t>
  </si>
  <si>
    <t>EMP02802</t>
  </si>
  <si>
    <t>EMP02803</t>
  </si>
  <si>
    <t>EMP02804</t>
  </si>
  <si>
    <t>EMP02805</t>
  </si>
  <si>
    <t>EMP02806</t>
  </si>
  <si>
    <t>EMP02807</t>
  </si>
  <si>
    <t>EMP02808</t>
  </si>
  <si>
    <t>EMP02809</t>
  </si>
  <si>
    <t>EMP02810</t>
  </si>
  <si>
    <t>EMP02811</t>
  </si>
  <si>
    <t>EMP02812</t>
  </si>
  <si>
    <t>EMP02813</t>
  </si>
  <si>
    <t>EMP02814</t>
  </si>
  <si>
    <t>EMP02815</t>
  </si>
  <si>
    <t>EMP02816</t>
  </si>
  <si>
    <t>EMP02817</t>
  </si>
  <si>
    <t>EMP02818</t>
  </si>
  <si>
    <t>EMP02819</t>
  </si>
  <si>
    <t>EMP02820</t>
  </si>
  <si>
    <t>EMP02821</t>
  </si>
  <si>
    <t>EMP02822</t>
  </si>
  <si>
    <t>EMP02823</t>
  </si>
  <si>
    <t>EMP02824</t>
  </si>
  <si>
    <t>EMP02825</t>
  </si>
  <si>
    <t>EMP02826</t>
  </si>
  <si>
    <t>EMP02827</t>
  </si>
  <si>
    <t>EMP02828</t>
  </si>
  <si>
    <t>EMP02829</t>
  </si>
  <si>
    <t>EMP02830</t>
  </si>
  <si>
    <t>EMP02831</t>
  </si>
  <si>
    <t>EMP02832</t>
  </si>
  <si>
    <t>EMP02833</t>
  </si>
  <si>
    <t>EMP02834</t>
  </si>
  <si>
    <t>EMP02835</t>
  </si>
  <si>
    <t>EMP02836</t>
  </si>
  <si>
    <t>EMP02837</t>
  </si>
  <si>
    <t>EMP02838</t>
  </si>
  <si>
    <t>EMP02839</t>
  </si>
  <si>
    <t>EMP02840</t>
  </si>
  <si>
    <t>EMP02841</t>
  </si>
  <si>
    <t>EMP02842</t>
  </si>
  <si>
    <t>EMP02843</t>
  </si>
  <si>
    <t>EMP02844</t>
  </si>
  <si>
    <t>EMP02845</t>
  </si>
  <si>
    <t>EMP02846</t>
  </si>
  <si>
    <t>EMP02847</t>
  </si>
  <si>
    <t>EMP02848</t>
  </si>
  <si>
    <t>EMP02849</t>
  </si>
  <si>
    <t>EMP02850</t>
  </si>
  <si>
    <t>EMP02851</t>
  </si>
  <si>
    <t>EMP02852</t>
  </si>
  <si>
    <t>EMP02853</t>
  </si>
  <si>
    <t>EMP02854</t>
  </si>
  <si>
    <t>EMP02855</t>
  </si>
  <si>
    <t>EMP02856</t>
  </si>
  <si>
    <t>EMP02857</t>
  </si>
  <si>
    <t>EMP02858</t>
  </si>
  <si>
    <t>EMP02859</t>
  </si>
  <si>
    <t>EMP02860</t>
  </si>
  <si>
    <t>EMP02861</t>
  </si>
  <si>
    <t>EMP02862</t>
  </si>
  <si>
    <t>EMP02863</t>
  </si>
  <si>
    <t>EMP02864</t>
  </si>
  <si>
    <t>EMP02865</t>
  </si>
  <si>
    <t>EMP02866</t>
  </si>
  <si>
    <t>EMP02867</t>
  </si>
  <si>
    <t>EMP02868</t>
  </si>
  <si>
    <t>EMP02869</t>
  </si>
  <si>
    <t>EMP02870</t>
  </si>
  <si>
    <t>EMP02871</t>
  </si>
  <si>
    <t>EMP02872</t>
  </si>
  <si>
    <t>EMP02873</t>
  </si>
  <si>
    <t>EMP02874</t>
  </si>
  <si>
    <t>EMP02875</t>
  </si>
  <si>
    <t>EMP02876</t>
  </si>
  <si>
    <t>EMP02877</t>
  </si>
  <si>
    <t>EMP02878</t>
  </si>
  <si>
    <t>EMP02879</t>
  </si>
  <si>
    <t>EMP02880</t>
  </si>
  <si>
    <t>EMP02881</t>
  </si>
  <si>
    <t>EMP02882</t>
  </si>
  <si>
    <t>EMP02883</t>
  </si>
  <si>
    <t>EMP02884</t>
  </si>
  <si>
    <t>EMP02885</t>
  </si>
  <si>
    <t>EMP02886</t>
  </si>
  <si>
    <t>EMP02887</t>
  </si>
  <si>
    <t>EMP02888</t>
  </si>
  <si>
    <t>EMP02889</t>
  </si>
  <si>
    <t>EMP02890</t>
  </si>
  <si>
    <t>EMP02891</t>
  </si>
  <si>
    <t>EMP02892</t>
  </si>
  <si>
    <t>EMP02893</t>
  </si>
  <si>
    <t>EMP02894</t>
  </si>
  <si>
    <t>EMP02895</t>
  </si>
  <si>
    <t>EMP02896</t>
  </si>
  <si>
    <t>EMP02897</t>
  </si>
  <si>
    <t>EMP02898</t>
  </si>
  <si>
    <t>EMP02899</t>
  </si>
  <si>
    <t>EMP02900</t>
  </si>
  <si>
    <t>EMP02901</t>
  </si>
  <si>
    <t>EMP02902</t>
  </si>
  <si>
    <t>EMP02903</t>
  </si>
  <si>
    <t>EMP02904</t>
  </si>
  <si>
    <t>EMP02905</t>
  </si>
  <si>
    <t>EMP02906</t>
  </si>
  <si>
    <t>EMP02907</t>
  </si>
  <si>
    <t>EMP02908</t>
  </si>
  <si>
    <t>EMP02909</t>
  </si>
  <si>
    <t>EMP02910</t>
  </si>
  <si>
    <t>EMP02911</t>
  </si>
  <si>
    <t>EMP02912</t>
  </si>
  <si>
    <t>EMP02913</t>
  </si>
  <si>
    <t>EMP02914</t>
  </si>
  <si>
    <t>EMP02915</t>
  </si>
  <si>
    <t>EMP02916</t>
  </si>
  <si>
    <t>EMP02917</t>
  </si>
  <si>
    <t>EMP02918</t>
  </si>
  <si>
    <t>EMP02919</t>
  </si>
  <si>
    <t>EMP02920</t>
  </si>
  <si>
    <t>EMP02921</t>
  </si>
  <si>
    <t>EMP02922</t>
  </si>
  <si>
    <t>EMP02923</t>
  </si>
  <si>
    <t>EMP02924</t>
  </si>
  <si>
    <t>EMP02925</t>
  </si>
  <si>
    <t>EMP02926</t>
  </si>
  <si>
    <t>EMP02927</t>
  </si>
  <si>
    <t>EMP02928</t>
  </si>
  <si>
    <t>EMP02929</t>
  </si>
  <si>
    <t>EMP02930</t>
  </si>
  <si>
    <t>EMP02931</t>
  </si>
  <si>
    <t>EMP02932</t>
  </si>
  <si>
    <t>EMP02933</t>
  </si>
  <si>
    <t>EMP02934</t>
  </si>
  <si>
    <t>EMP02935</t>
  </si>
  <si>
    <t>EMP02936</t>
  </si>
  <si>
    <t>EMP02937</t>
  </si>
  <si>
    <t>EMP02938</t>
  </si>
  <si>
    <t>EMP02939</t>
  </si>
  <si>
    <t>EMP02940</t>
  </si>
  <si>
    <t>EMP02941</t>
  </si>
  <si>
    <t>EMP02942</t>
  </si>
  <si>
    <t>EMP02943</t>
  </si>
  <si>
    <t>EMP02944</t>
  </si>
  <si>
    <t>EMP02945</t>
  </si>
  <si>
    <t>EMP02946</t>
  </si>
  <si>
    <t>EMP02947</t>
  </si>
  <si>
    <t>EMP02948</t>
  </si>
  <si>
    <t>EMP02949</t>
  </si>
  <si>
    <t>EMP02950</t>
  </si>
  <si>
    <t>EMP02951</t>
  </si>
  <si>
    <t>EMP02952</t>
  </si>
  <si>
    <t>EMP02953</t>
  </si>
  <si>
    <t>EMP02954</t>
  </si>
  <si>
    <t>EMP02955</t>
  </si>
  <si>
    <t>EMP02956</t>
  </si>
  <si>
    <t>EMP02957</t>
  </si>
  <si>
    <t>EMP02958</t>
  </si>
  <si>
    <t>EMP02959</t>
  </si>
  <si>
    <t>EMP02960</t>
  </si>
  <si>
    <t>EMP02961</t>
  </si>
  <si>
    <t>EMP02962</t>
  </si>
  <si>
    <t>EMP02963</t>
  </si>
  <si>
    <t>EMP02964</t>
  </si>
  <si>
    <t>EMP02965</t>
  </si>
  <si>
    <t>EMP02966</t>
  </si>
  <si>
    <t>EMP02967</t>
  </si>
  <si>
    <t>EMP02968</t>
  </si>
  <si>
    <t>EMP02969</t>
  </si>
  <si>
    <t>EMP02970</t>
  </si>
  <si>
    <t>EMP02971</t>
  </si>
  <si>
    <t>EMP02972</t>
  </si>
  <si>
    <t>EMP02973</t>
  </si>
  <si>
    <t>EMP02974</t>
  </si>
  <si>
    <t>EMP02975</t>
  </si>
  <si>
    <t>EMP02976</t>
  </si>
  <si>
    <t>EMP02977</t>
  </si>
  <si>
    <t>EMP02978</t>
  </si>
  <si>
    <t>EMP02979</t>
  </si>
  <si>
    <t>EMP02980</t>
  </si>
  <si>
    <t>EMP02981</t>
  </si>
  <si>
    <t>EMP02982</t>
  </si>
  <si>
    <t>EMP02983</t>
  </si>
  <si>
    <t>EMP02984</t>
  </si>
  <si>
    <t>EMP02985</t>
  </si>
  <si>
    <t>EMP02986</t>
  </si>
  <si>
    <t>EMP02987</t>
  </si>
  <si>
    <t>EMP02988</t>
  </si>
  <si>
    <t>EMP02989</t>
  </si>
  <si>
    <t>EMP02990</t>
  </si>
  <si>
    <t>EMP02991</t>
  </si>
  <si>
    <t>EMP02992</t>
  </si>
  <si>
    <t>EMP02993</t>
  </si>
  <si>
    <t>EMP02994</t>
  </si>
  <si>
    <t>EMP02995</t>
  </si>
  <si>
    <t>EMP02996</t>
  </si>
  <si>
    <t>EMP02997</t>
  </si>
  <si>
    <t>EMP02998</t>
  </si>
  <si>
    <t>EMP02999</t>
  </si>
  <si>
    <t>EMP03000</t>
  </si>
  <si>
    <t>EMP03001</t>
  </si>
  <si>
    <t>EMP03002</t>
  </si>
  <si>
    <t>EMP03003</t>
  </si>
  <si>
    <t>EMP03004</t>
  </si>
  <si>
    <t>EMP03005</t>
  </si>
  <si>
    <t>EMP03006</t>
  </si>
  <si>
    <t>EMP03007</t>
  </si>
  <si>
    <t>EMP03008</t>
  </si>
  <si>
    <t>EMP03009</t>
  </si>
  <si>
    <t>EMP03010</t>
  </si>
  <si>
    <t>EMP03011</t>
  </si>
  <si>
    <t>EMP03012</t>
  </si>
  <si>
    <t>EMP03013</t>
  </si>
  <si>
    <t>EMP03014</t>
  </si>
  <si>
    <t>EMP03015</t>
  </si>
  <si>
    <t>EMP03016</t>
  </si>
  <si>
    <t>EMP03017</t>
  </si>
  <si>
    <t>EMP03018</t>
  </si>
  <si>
    <t>EMP03019</t>
  </si>
  <si>
    <t>EMP03020</t>
  </si>
  <si>
    <t>EMP03021</t>
  </si>
  <si>
    <t>EMP03022</t>
  </si>
  <si>
    <t>EMP03023</t>
  </si>
  <si>
    <t>EMP03024</t>
  </si>
  <si>
    <t>EMP03025</t>
  </si>
  <si>
    <t>EMP03026</t>
  </si>
  <si>
    <t>EMP03027</t>
  </si>
  <si>
    <t>EMP03028</t>
  </si>
  <si>
    <t>EMP03029</t>
  </si>
  <si>
    <t>EMP03030</t>
  </si>
  <si>
    <t>EMP03031</t>
  </si>
  <si>
    <t>EMP03032</t>
  </si>
  <si>
    <t>EMP03033</t>
  </si>
  <si>
    <t>EMP03034</t>
  </si>
  <si>
    <t>EMP03035</t>
  </si>
  <si>
    <t>EMP03036</t>
  </si>
  <si>
    <t>EMP03037</t>
  </si>
  <si>
    <t>EMP03038</t>
  </si>
  <si>
    <t>EMP03039</t>
  </si>
  <si>
    <t>EMP03040</t>
  </si>
  <si>
    <t>EMP03041</t>
  </si>
  <si>
    <t>EMP03042</t>
  </si>
  <si>
    <t>EMP03043</t>
  </si>
  <si>
    <t>EMP03044</t>
  </si>
  <si>
    <t>EMP03045</t>
  </si>
  <si>
    <t>EMP03046</t>
  </si>
  <si>
    <t>EMP03047</t>
  </si>
  <si>
    <t>EMP03048</t>
  </si>
  <si>
    <t>EMP03049</t>
  </si>
  <si>
    <t>EMP03050</t>
  </si>
  <si>
    <t>EMP03051</t>
  </si>
  <si>
    <t>EMP03052</t>
  </si>
  <si>
    <t>EMP03053</t>
  </si>
  <si>
    <t>EMP03054</t>
  </si>
  <si>
    <t>EMP03055</t>
  </si>
  <si>
    <t>EMP03056</t>
  </si>
  <si>
    <t>EMP03057</t>
  </si>
  <si>
    <t>EMP03058</t>
  </si>
  <si>
    <t>EMP03059</t>
  </si>
  <si>
    <t>EMP03060</t>
  </si>
  <si>
    <t>EMP03061</t>
  </si>
  <si>
    <t>EMP03062</t>
  </si>
  <si>
    <t>EMP03063</t>
  </si>
  <si>
    <t>EMP03064</t>
  </si>
  <si>
    <t>EMP03065</t>
  </si>
  <si>
    <t>EMP03066</t>
  </si>
  <si>
    <t>EMP03067</t>
  </si>
  <si>
    <t>EMP03068</t>
  </si>
  <si>
    <t>EMP03069</t>
  </si>
  <si>
    <t>EMP03070</t>
  </si>
  <si>
    <t>EMP03071</t>
  </si>
  <si>
    <t>EMP03072</t>
  </si>
  <si>
    <t>EMP03073</t>
  </si>
  <si>
    <t>EMP03074</t>
  </si>
  <si>
    <t>EMP03075</t>
  </si>
  <si>
    <t>EMP03076</t>
  </si>
  <si>
    <t>EMP03077</t>
  </si>
  <si>
    <t>EMP03078</t>
  </si>
  <si>
    <t>EMP03079</t>
  </si>
  <si>
    <t>EMP03080</t>
  </si>
  <si>
    <t>EMP03081</t>
  </si>
  <si>
    <t>EMP03082</t>
  </si>
  <si>
    <t>EMP03083</t>
  </si>
  <si>
    <t>EMP03084</t>
  </si>
  <si>
    <t>EMP03085</t>
  </si>
  <si>
    <t>EMP03086</t>
  </si>
  <si>
    <t>EMP03087</t>
  </si>
  <si>
    <t>EMP03088</t>
  </si>
  <si>
    <t>EMP03089</t>
  </si>
  <si>
    <t>EMP03090</t>
  </si>
  <si>
    <t>EMP03091</t>
  </si>
  <si>
    <t>EMP03092</t>
  </si>
  <si>
    <t>EMP03093</t>
  </si>
  <si>
    <t>EMP03094</t>
  </si>
  <si>
    <t>EMP03095</t>
  </si>
  <si>
    <t>EMP03096</t>
  </si>
  <si>
    <t>EMP03097</t>
  </si>
  <si>
    <t>EMP03098</t>
  </si>
  <si>
    <t>EMP03099</t>
  </si>
  <si>
    <t>EMP03100</t>
  </si>
  <si>
    <t>EMP03101</t>
  </si>
  <si>
    <t>EMP03102</t>
  </si>
  <si>
    <t>EMP03103</t>
  </si>
  <si>
    <t>EMP03104</t>
  </si>
  <si>
    <t>EMP03105</t>
  </si>
  <si>
    <t>EMP03106</t>
  </si>
  <si>
    <t>EMP03107</t>
  </si>
  <si>
    <t>EMP03108</t>
  </si>
  <si>
    <t>EMP03109</t>
  </si>
  <si>
    <t>EMP03110</t>
  </si>
  <si>
    <t>EMP03111</t>
  </si>
  <si>
    <t>EMP03112</t>
  </si>
  <si>
    <t>EMP03113</t>
  </si>
  <si>
    <t>EMP03114</t>
  </si>
  <si>
    <t>EMP03115</t>
  </si>
  <si>
    <t>EMP03116</t>
  </si>
  <si>
    <t>EMP03117</t>
  </si>
  <si>
    <t>EMP03118</t>
  </si>
  <si>
    <t>EMP03119</t>
  </si>
  <si>
    <t>EMP03120</t>
  </si>
  <si>
    <t>EMP03121</t>
  </si>
  <si>
    <t>EMP03122</t>
  </si>
  <si>
    <t>EMP03123</t>
  </si>
  <si>
    <t>EMP03124</t>
  </si>
  <si>
    <t>EMP03125</t>
  </si>
  <si>
    <t>EMP03126</t>
  </si>
  <si>
    <t>EMP03127</t>
  </si>
  <si>
    <t>EMP03128</t>
  </si>
  <si>
    <t>EMP03129</t>
  </si>
  <si>
    <t>EMP03130</t>
  </si>
  <si>
    <t>EMP03131</t>
  </si>
  <si>
    <t>EMP03132</t>
  </si>
  <si>
    <t>EMP03133</t>
  </si>
  <si>
    <t>EMP03134</t>
  </si>
  <si>
    <t>EMP03135</t>
  </si>
  <si>
    <t>EMP03136</t>
  </si>
  <si>
    <t>EMP03137</t>
  </si>
  <si>
    <t>EMP03138</t>
  </si>
  <si>
    <t>EMP03139</t>
  </si>
  <si>
    <t>EMP03140</t>
  </si>
  <si>
    <t>EMP03141</t>
  </si>
  <si>
    <t>EMP03142</t>
  </si>
  <si>
    <t>EMP03143</t>
  </si>
  <si>
    <t>EMP03144</t>
  </si>
  <si>
    <t>EMP03145</t>
  </si>
  <si>
    <t>EMP03146</t>
  </si>
  <si>
    <t>EMP03147</t>
  </si>
  <si>
    <t>EMP03148</t>
  </si>
  <si>
    <t>EMP03149</t>
  </si>
  <si>
    <t>EMP03150</t>
  </si>
  <si>
    <t>EMP03151</t>
  </si>
  <si>
    <t>EMP03152</t>
  </si>
  <si>
    <t>EMP03153</t>
  </si>
  <si>
    <t>EMP03154</t>
  </si>
  <si>
    <t>EMP03155</t>
  </si>
  <si>
    <t>EMP03156</t>
  </si>
  <si>
    <t>EMP03157</t>
  </si>
  <si>
    <t>EMP03158</t>
  </si>
  <si>
    <t>EMP03159</t>
  </si>
  <si>
    <t>EMP03160</t>
  </si>
  <si>
    <t>EMP03161</t>
  </si>
  <si>
    <t>EMP03162</t>
  </si>
  <si>
    <t>EMP03163</t>
  </si>
  <si>
    <t>EMP03164</t>
  </si>
  <si>
    <t>EMP03165</t>
  </si>
  <si>
    <t>EMP03166</t>
  </si>
  <si>
    <t>EMP03167</t>
  </si>
  <si>
    <t>EMP03168</t>
  </si>
  <si>
    <t>EMP03169</t>
  </si>
  <si>
    <t>EMP03170</t>
  </si>
  <si>
    <t>EMP03171</t>
  </si>
  <si>
    <t>EMP03172</t>
  </si>
  <si>
    <t>EMP03173</t>
  </si>
  <si>
    <t>EMP03174</t>
  </si>
  <si>
    <t>EMP03175</t>
  </si>
  <si>
    <t>EMP03176</t>
  </si>
  <si>
    <t>EMP03177</t>
  </si>
  <si>
    <t>EMP03178</t>
  </si>
  <si>
    <t>EMP03179</t>
  </si>
  <si>
    <t>EMP03180</t>
  </si>
  <si>
    <t>EMP03181</t>
  </si>
  <si>
    <t>EMP03182</t>
  </si>
  <si>
    <t>EMP03183</t>
  </si>
  <si>
    <t>EMP03184</t>
  </si>
  <si>
    <t>EMP03185</t>
  </si>
  <si>
    <t>EMP03186</t>
  </si>
  <si>
    <t>EMP03187</t>
  </si>
  <si>
    <t>EMP03188</t>
  </si>
  <si>
    <t>EMP03189</t>
  </si>
  <si>
    <t>EMP03190</t>
  </si>
  <si>
    <t>EMP03191</t>
  </si>
  <si>
    <t>EMP03192</t>
  </si>
  <si>
    <t>EMP03193</t>
  </si>
  <si>
    <t>EMP03194</t>
  </si>
  <si>
    <t>EMP03195</t>
  </si>
  <si>
    <t>EMP03196</t>
  </si>
  <si>
    <t>EMP03197</t>
  </si>
  <si>
    <t>EMP03198</t>
  </si>
  <si>
    <t>EMP03199</t>
  </si>
  <si>
    <t>EMP03200</t>
  </si>
  <si>
    <t>EMP03201</t>
  </si>
  <si>
    <t>EMP03202</t>
  </si>
  <si>
    <t>EMP03203</t>
  </si>
  <si>
    <t>EMP03204</t>
  </si>
  <si>
    <t>EMP03205</t>
  </si>
  <si>
    <t>EMP03206</t>
  </si>
  <si>
    <t>EMP03207</t>
  </si>
  <si>
    <t>EMP03208</t>
  </si>
  <si>
    <t>EMP03209</t>
  </si>
  <si>
    <t>EMP03210</t>
  </si>
  <si>
    <t>EMP03211</t>
  </si>
  <si>
    <t>EMP03212</t>
  </si>
  <si>
    <t>EMP03213</t>
  </si>
  <si>
    <t>EMP03214</t>
  </si>
  <si>
    <t>EMP03215</t>
  </si>
  <si>
    <t>EMP03216</t>
  </si>
  <si>
    <t>EMP03217</t>
  </si>
  <si>
    <t>EMP03218</t>
  </si>
  <si>
    <t>EMP03219</t>
  </si>
  <si>
    <t>EMP03220</t>
  </si>
  <si>
    <t>EMP03221</t>
  </si>
  <si>
    <t>EMP03222</t>
  </si>
  <si>
    <t>EMP03223</t>
  </si>
  <si>
    <t>EMP03224</t>
  </si>
  <si>
    <t>EMP03225</t>
  </si>
  <si>
    <t>EMP03226</t>
  </si>
  <si>
    <t>EMP03227</t>
  </si>
  <si>
    <t>EMP03228</t>
  </si>
  <si>
    <t>EMP03229</t>
  </si>
  <si>
    <t>EMP03230</t>
  </si>
  <si>
    <t>EMP03231</t>
  </si>
  <si>
    <t>EMP03232</t>
  </si>
  <si>
    <t>EMP03233</t>
  </si>
  <si>
    <t>EMP03234</t>
  </si>
  <si>
    <t>EMP03235</t>
  </si>
  <si>
    <t>EMP03236</t>
  </si>
  <si>
    <t>EMP03237</t>
  </si>
  <si>
    <t>EMP03238</t>
  </si>
  <si>
    <t>EMP03239</t>
  </si>
  <si>
    <t>EMP03240</t>
  </si>
  <si>
    <t>EMP03241</t>
  </si>
  <si>
    <t>EMP03242</t>
  </si>
  <si>
    <t>EMP03243</t>
  </si>
  <si>
    <t>EMP03244</t>
  </si>
  <si>
    <t>EMP03245</t>
  </si>
  <si>
    <t>EMP03246</t>
  </si>
  <si>
    <t>EMP03247</t>
  </si>
  <si>
    <t>EMP03248</t>
  </si>
  <si>
    <t>EMP03249</t>
  </si>
  <si>
    <t>EMP03250</t>
  </si>
  <si>
    <t>EMP03251</t>
  </si>
  <si>
    <t>EMP03252</t>
  </si>
  <si>
    <t>EMP03253</t>
  </si>
  <si>
    <t>EMP03254</t>
  </si>
  <si>
    <t>EMP03255</t>
  </si>
  <si>
    <t>EMP03256</t>
  </si>
  <si>
    <t>EMP03257</t>
  </si>
  <si>
    <t>EMP03258</t>
  </si>
  <si>
    <t>EMP03259</t>
  </si>
  <si>
    <t>EMP03260</t>
  </si>
  <si>
    <t>EMP03261</t>
  </si>
  <si>
    <t>EMP03262</t>
  </si>
  <si>
    <t>EMP03263</t>
  </si>
  <si>
    <t>EMP03264</t>
  </si>
  <si>
    <t>EMP03265</t>
  </si>
  <si>
    <t>EMP03266</t>
  </si>
  <si>
    <t>EMP03267</t>
  </si>
  <si>
    <t>EMP03268</t>
  </si>
  <si>
    <t>EMP03269</t>
  </si>
  <si>
    <t>EMP03270</t>
  </si>
  <si>
    <t>EMP03271</t>
  </si>
  <si>
    <t>EMP03272</t>
  </si>
  <si>
    <t>EMP03273</t>
  </si>
  <si>
    <t>EMP03274</t>
  </si>
  <si>
    <t>EMP03275</t>
  </si>
  <si>
    <t>EMP03276</t>
  </si>
  <si>
    <t>EMP03277</t>
  </si>
  <si>
    <t>EMP03278</t>
  </si>
  <si>
    <t>EMP03279</t>
  </si>
  <si>
    <t>EMP03280</t>
  </si>
  <si>
    <t>EMP03281</t>
  </si>
  <si>
    <t>EMP03282</t>
  </si>
  <si>
    <t>EMP03283</t>
  </si>
  <si>
    <t>EMP03284</t>
  </si>
  <si>
    <t>EMP03285</t>
  </si>
  <si>
    <t>EMP03286</t>
  </si>
  <si>
    <t>EMP03287</t>
  </si>
  <si>
    <t>EMP03288</t>
  </si>
  <si>
    <t>EMP03289</t>
  </si>
  <si>
    <t>EMP03290</t>
  </si>
  <si>
    <t>EMP03291</t>
  </si>
  <si>
    <t>EMP03292</t>
  </si>
  <si>
    <t>EMP03293</t>
  </si>
  <si>
    <t>EMP03294</t>
  </si>
  <si>
    <t>EMP03295</t>
  </si>
  <si>
    <t>EMP03296</t>
  </si>
  <si>
    <t>EMP03297</t>
  </si>
  <si>
    <t>EMP03298</t>
  </si>
  <si>
    <t>EMP03299</t>
  </si>
  <si>
    <t>EMP03300</t>
  </si>
  <si>
    <t>EMP03301</t>
  </si>
  <si>
    <t>EMP03302</t>
  </si>
  <si>
    <t>EMP03303</t>
  </si>
  <si>
    <t>EMP03304</t>
  </si>
  <si>
    <t>EMP03305</t>
  </si>
  <si>
    <t>EMP03306</t>
  </si>
  <si>
    <t>EMP03307</t>
  </si>
  <si>
    <t>EMP03308</t>
  </si>
  <si>
    <t>EMP03309</t>
  </si>
  <si>
    <t>EMP03310</t>
  </si>
  <si>
    <t>EMP03311</t>
  </si>
  <si>
    <t>EMP03312</t>
  </si>
  <si>
    <t>EMP03313</t>
  </si>
  <si>
    <t>EMP03314</t>
  </si>
  <si>
    <t>EMP03315</t>
  </si>
  <si>
    <t>EMP03316</t>
  </si>
  <si>
    <t>EMP03317</t>
  </si>
  <si>
    <t>EMP03318</t>
  </si>
  <si>
    <t>EMP03319</t>
  </si>
  <si>
    <t>EMP03320</t>
  </si>
  <si>
    <t>EMP03321</t>
  </si>
  <si>
    <t>EMP03322</t>
  </si>
  <si>
    <t>EMP03323</t>
  </si>
  <si>
    <t>EMP03324</t>
  </si>
  <si>
    <t>EMP03325</t>
  </si>
  <si>
    <t>EMP03326</t>
  </si>
  <si>
    <t>EMP03327</t>
  </si>
  <si>
    <t>EMP03328</t>
  </si>
  <si>
    <t>EMP03329</t>
  </si>
  <si>
    <t>EMP03330</t>
  </si>
  <si>
    <t>EMP03331</t>
  </si>
  <si>
    <t>EMP03332</t>
  </si>
  <si>
    <t>EMP03333</t>
  </si>
  <si>
    <t>EMP03334</t>
  </si>
  <si>
    <t>EMP03335</t>
  </si>
  <si>
    <t>EMP03336</t>
  </si>
  <si>
    <t>EMP03337</t>
  </si>
  <si>
    <t>EMP03338</t>
  </si>
  <si>
    <t>EMP03339</t>
  </si>
  <si>
    <t>EMP03340</t>
  </si>
  <si>
    <t>EMP03341</t>
  </si>
  <si>
    <t>EMP03342</t>
  </si>
  <si>
    <t>EMP03343</t>
  </si>
  <si>
    <t>EMP03344</t>
  </si>
  <si>
    <t>EMP03345</t>
  </si>
  <si>
    <t>EMP03346</t>
  </si>
  <si>
    <t>EMP03347</t>
  </si>
  <si>
    <t>EMP03348</t>
  </si>
  <si>
    <t>EMP03349</t>
  </si>
  <si>
    <t>EMP03350</t>
  </si>
  <si>
    <t>EMP03351</t>
  </si>
  <si>
    <t>EMP03352</t>
  </si>
  <si>
    <t>EMP03353</t>
  </si>
  <si>
    <t>EMP03354</t>
  </si>
  <si>
    <t>EMP03355</t>
  </si>
  <si>
    <t>EMP03356</t>
  </si>
  <si>
    <t>EMP03357</t>
  </si>
  <si>
    <t>EMP03358</t>
  </si>
  <si>
    <t>EMP03359</t>
  </si>
  <si>
    <t>EMP03360</t>
  </si>
  <si>
    <t>EMP03361</t>
  </si>
  <si>
    <t>EMP03362</t>
  </si>
  <si>
    <t>EMP03363</t>
  </si>
  <si>
    <t>EMP03364</t>
  </si>
  <si>
    <t>EMP03365</t>
  </si>
  <si>
    <t>EMP03366</t>
  </si>
  <si>
    <t>EMP03367</t>
  </si>
  <si>
    <t>EMP03368</t>
  </si>
  <si>
    <t>EMP03369</t>
  </si>
  <si>
    <t>EMP03370</t>
  </si>
  <si>
    <t>EMP03371</t>
  </si>
  <si>
    <t>EMP03372</t>
  </si>
  <si>
    <t>EMP03373</t>
  </si>
  <si>
    <t>EMP03374</t>
  </si>
  <si>
    <t>EMP03375</t>
  </si>
  <si>
    <t>EMP03376</t>
  </si>
  <si>
    <t>EMP03377</t>
  </si>
  <si>
    <t>EMP03378</t>
  </si>
  <si>
    <t>EMP03379</t>
  </si>
  <si>
    <t>EMP03380</t>
  </si>
  <si>
    <t>EMP03381</t>
  </si>
  <si>
    <t>EMP03382</t>
  </si>
  <si>
    <t>EMP03383</t>
  </si>
  <si>
    <t>EMP03384</t>
  </si>
  <si>
    <t>EMP03385</t>
  </si>
  <si>
    <t>EMP03386</t>
  </si>
  <si>
    <t>EMP03387</t>
  </si>
  <si>
    <t>EMP03388</t>
  </si>
  <si>
    <t>EMP03389</t>
  </si>
  <si>
    <t>EMP03390</t>
  </si>
  <si>
    <t>EMP03391</t>
  </si>
  <si>
    <t>EMP03392</t>
  </si>
  <si>
    <t>EMP03393</t>
  </si>
  <si>
    <t>EMP03394</t>
  </si>
  <si>
    <t>EMP03395</t>
  </si>
  <si>
    <t>EMP03396</t>
  </si>
  <si>
    <t>EMP03397</t>
  </si>
  <si>
    <t>EMP03398</t>
  </si>
  <si>
    <t>EMP03399</t>
  </si>
  <si>
    <t>EMP03400</t>
  </si>
  <si>
    <t>EMP03401</t>
  </si>
  <si>
    <t>EMP03402</t>
  </si>
  <si>
    <t>EMP03403</t>
  </si>
  <si>
    <t>EMP03404</t>
  </si>
  <si>
    <t>EMP03405</t>
  </si>
  <si>
    <t>EMP03406</t>
  </si>
  <si>
    <t>EMP03407</t>
  </si>
  <si>
    <t>EMP03408</t>
  </si>
  <si>
    <t>EMP03409</t>
  </si>
  <si>
    <t>EMP03410</t>
  </si>
  <si>
    <t>EMP03411</t>
  </si>
  <si>
    <t>EMP03412</t>
  </si>
  <si>
    <t>EMP03413</t>
  </si>
  <si>
    <t>EMP03414</t>
  </si>
  <si>
    <t>EMP03415</t>
  </si>
  <si>
    <t>EMP03416</t>
  </si>
  <si>
    <t>EMP03417</t>
  </si>
  <si>
    <t>EMP03418</t>
  </si>
  <si>
    <t>EMP03419</t>
  </si>
  <si>
    <t>EMP03420</t>
  </si>
  <si>
    <t>EMP03421</t>
  </si>
  <si>
    <t>EMP03422</t>
  </si>
  <si>
    <t>EMP03423</t>
  </si>
  <si>
    <t>EMP03424</t>
  </si>
  <si>
    <t>EMP03425</t>
  </si>
  <si>
    <t>EMP03426</t>
  </si>
  <si>
    <t>EMP03427</t>
  </si>
  <si>
    <t>EMP03428</t>
  </si>
  <si>
    <t>EMP03429</t>
  </si>
  <si>
    <t>EMP03430</t>
  </si>
  <si>
    <t>EMP03431</t>
  </si>
  <si>
    <t>EMP03432</t>
  </si>
  <si>
    <t>EMP03433</t>
  </si>
  <si>
    <t>EMP03434</t>
  </si>
  <si>
    <t>EMP03435</t>
  </si>
  <si>
    <t>EMP03436</t>
  </si>
  <si>
    <t>EMP03437</t>
  </si>
  <si>
    <t>EMP03438</t>
  </si>
  <si>
    <t>EMP03439</t>
  </si>
  <si>
    <t>EMP03440</t>
  </si>
  <si>
    <t>EMP03441</t>
  </si>
  <si>
    <t>EMP03442</t>
  </si>
  <si>
    <t>EMP03443</t>
  </si>
  <si>
    <t>EMP03444</t>
  </si>
  <si>
    <t>EMP03445</t>
  </si>
  <si>
    <t>EMP03446</t>
  </si>
  <si>
    <t>EMP03447</t>
  </si>
  <si>
    <t>EMP03448</t>
  </si>
  <si>
    <t>EMP03449</t>
  </si>
  <si>
    <t>EMP03450</t>
  </si>
  <si>
    <t>EMP03451</t>
  </si>
  <si>
    <t>EMP03452</t>
  </si>
  <si>
    <t>EMP03453</t>
  </si>
  <si>
    <t>EMP03454</t>
  </si>
  <si>
    <t>EMP03455</t>
  </si>
  <si>
    <t>EMP03456</t>
  </si>
  <si>
    <t>EMP03457</t>
  </si>
  <si>
    <t>EMP03458</t>
  </si>
  <si>
    <t>EMP03459</t>
  </si>
  <si>
    <t>EMP03460</t>
  </si>
  <si>
    <t>EMP03461</t>
  </si>
  <si>
    <t>EMP03462</t>
  </si>
  <si>
    <t>EMP03463</t>
  </si>
  <si>
    <t>EMP03464</t>
  </si>
  <si>
    <t>EMP03465</t>
  </si>
  <si>
    <t>EMP03466</t>
  </si>
  <si>
    <t>EMP03467</t>
  </si>
  <si>
    <t>EMP03468</t>
  </si>
  <si>
    <t>EMP03469</t>
  </si>
  <si>
    <t>EMP03470</t>
  </si>
  <si>
    <t>EMP03471</t>
  </si>
  <si>
    <t>EMP03472</t>
  </si>
  <si>
    <t>EMP03473</t>
  </si>
  <si>
    <t>EMP03474</t>
  </si>
  <si>
    <t>EMP03475</t>
  </si>
  <si>
    <t>EMP03476</t>
  </si>
  <si>
    <t>EMP03477</t>
  </si>
  <si>
    <t>EMP03478</t>
  </si>
  <si>
    <t>EMP03479</t>
  </si>
  <si>
    <t>EMP03480</t>
  </si>
  <si>
    <t>EMP03481</t>
  </si>
  <si>
    <t>EMP03482</t>
  </si>
  <si>
    <t>EMP03483</t>
  </si>
  <si>
    <t>EMP03484</t>
  </si>
  <si>
    <t>EMP03485</t>
  </si>
  <si>
    <t>EMP03486</t>
  </si>
  <si>
    <t>EMP03487</t>
  </si>
  <si>
    <t>EMP03488</t>
  </si>
  <si>
    <t>EMP03489</t>
  </si>
  <si>
    <t>EMP03490</t>
  </si>
  <si>
    <t>EMP03491</t>
  </si>
  <si>
    <t>EMP03492</t>
  </si>
  <si>
    <t>EMP03493</t>
  </si>
  <si>
    <t>EMP03494</t>
  </si>
  <si>
    <t>EMP03495</t>
  </si>
  <si>
    <t>EMP03496</t>
  </si>
  <si>
    <t>EMP03497</t>
  </si>
  <si>
    <t>EMP03498</t>
  </si>
  <si>
    <t>EMP03499</t>
  </si>
  <si>
    <t>EMP03500</t>
  </si>
  <si>
    <t>EMP03501</t>
  </si>
  <si>
    <t>EMP03502</t>
  </si>
  <si>
    <t>EMP03503</t>
  </si>
  <si>
    <t>EMP03504</t>
  </si>
  <si>
    <t>EMP03505</t>
  </si>
  <si>
    <t>EMP03506</t>
  </si>
  <si>
    <t>EMP03507</t>
  </si>
  <si>
    <t>EMP03508</t>
  </si>
  <si>
    <t>EMP03509</t>
  </si>
  <si>
    <t>EMP03510</t>
  </si>
  <si>
    <t>EMP03511</t>
  </si>
  <si>
    <t>EMP03512</t>
  </si>
  <si>
    <t>EMP03513</t>
  </si>
  <si>
    <t>EMP03514</t>
  </si>
  <si>
    <t>EMP03515</t>
  </si>
  <si>
    <t>EMP03516</t>
  </si>
  <si>
    <t>EMP03517</t>
  </si>
  <si>
    <t>EMP03518</t>
  </si>
  <si>
    <t>EMP03519</t>
  </si>
  <si>
    <t>EMP03520</t>
  </si>
  <si>
    <t>EMP03521</t>
  </si>
  <si>
    <t>EMP03522</t>
  </si>
  <si>
    <t>EMP03523</t>
  </si>
  <si>
    <t>EMP03524</t>
  </si>
  <si>
    <t>EMP03525</t>
  </si>
  <si>
    <t>EMP03526</t>
  </si>
  <si>
    <t>EMP03527</t>
  </si>
  <si>
    <t>EMP03528</t>
  </si>
  <si>
    <t>EMP03529</t>
  </si>
  <si>
    <t>EMP03530</t>
  </si>
  <si>
    <t>EMP03531</t>
  </si>
  <si>
    <t>EMP03532</t>
  </si>
  <si>
    <t>EMP03533</t>
  </si>
  <si>
    <t>EMP03534</t>
  </si>
  <si>
    <t>EMP03535</t>
  </si>
  <si>
    <t>EMP03536</t>
  </si>
  <si>
    <t>EMP03537</t>
  </si>
  <si>
    <t>EMP03538</t>
  </si>
  <si>
    <t>EMP03539</t>
  </si>
  <si>
    <t>EMP03540</t>
  </si>
  <si>
    <t>EMP03541</t>
  </si>
  <si>
    <t>EMP03542</t>
  </si>
  <si>
    <t>EMP03543</t>
  </si>
  <si>
    <t>EMP03544</t>
  </si>
  <si>
    <t>EMP03545</t>
  </si>
  <si>
    <t>EMP03546</t>
  </si>
  <si>
    <t>EMP03547</t>
  </si>
  <si>
    <t>EMP03548</t>
  </si>
  <si>
    <t>EMP03549</t>
  </si>
  <si>
    <t>EMP03550</t>
  </si>
  <si>
    <t>EMP03551</t>
  </si>
  <si>
    <t>EMP03552</t>
  </si>
  <si>
    <t>EMP03553</t>
  </si>
  <si>
    <t>EMP03554</t>
  </si>
  <si>
    <t>EMP03555</t>
  </si>
  <si>
    <t>EMP03556</t>
  </si>
  <si>
    <t>EMP03557</t>
  </si>
  <si>
    <t>EMP03558</t>
  </si>
  <si>
    <t>EMP03559</t>
  </si>
  <si>
    <t>EMP03560</t>
  </si>
  <si>
    <t>EMP03561</t>
  </si>
  <si>
    <t>EMP03562</t>
  </si>
  <si>
    <t>EMP03563</t>
  </si>
  <si>
    <t>EMP03564</t>
  </si>
  <si>
    <t>EMP03565</t>
  </si>
  <si>
    <t>EMP03566</t>
  </si>
  <si>
    <t>EMP03567</t>
  </si>
  <si>
    <t>EMP03568</t>
  </si>
  <si>
    <t>EMP03569</t>
  </si>
  <si>
    <t>EMP03570</t>
  </si>
  <si>
    <t>EMP03571</t>
  </si>
  <si>
    <t>EMP03572</t>
  </si>
  <si>
    <t>EMP03573</t>
  </si>
  <si>
    <t>EMP03574</t>
  </si>
  <si>
    <t>EMP03575</t>
  </si>
  <si>
    <t>EMP03576</t>
  </si>
  <si>
    <t>EMP03577</t>
  </si>
  <si>
    <t>EMP03578</t>
  </si>
  <si>
    <t>EMP03579</t>
  </si>
  <si>
    <t>EMP03580</t>
  </si>
  <si>
    <t>EMP03581</t>
  </si>
  <si>
    <t>EMP03582</t>
  </si>
  <si>
    <t>EMP03583</t>
  </si>
  <si>
    <t>EMP03584</t>
  </si>
  <si>
    <t>EMP03585</t>
  </si>
  <si>
    <t>EMP03586</t>
  </si>
  <si>
    <t>EMP03587</t>
  </si>
  <si>
    <t>EMP03588</t>
  </si>
  <si>
    <t>EMP03589</t>
  </si>
  <si>
    <t>EMP03590</t>
  </si>
  <si>
    <t>EMP03591</t>
  </si>
  <si>
    <t>EMP03592</t>
  </si>
  <si>
    <t>EMP03593</t>
  </si>
  <si>
    <t>EMP03594</t>
  </si>
  <si>
    <t>EMP03595</t>
  </si>
  <si>
    <t>EMP03596</t>
  </si>
  <si>
    <t>EMP03597</t>
  </si>
  <si>
    <t>EMP03598</t>
  </si>
  <si>
    <t>EMP03599</t>
  </si>
  <si>
    <t>EMP03600</t>
  </si>
  <si>
    <t>EMP03601</t>
  </si>
  <si>
    <t>EMP03602</t>
  </si>
  <si>
    <t>EMP03603</t>
  </si>
  <si>
    <t>EMP03604</t>
  </si>
  <si>
    <t>EMP03605</t>
  </si>
  <si>
    <t>EMP03606</t>
  </si>
  <si>
    <t>EMP03607</t>
  </si>
  <si>
    <t>EMP03608</t>
  </si>
  <si>
    <t>EMP03609</t>
  </si>
  <si>
    <t>EMP03610</t>
  </si>
  <si>
    <t>EMP03611</t>
  </si>
  <si>
    <t>EMP03612</t>
  </si>
  <si>
    <t>EMP03613</t>
  </si>
  <si>
    <t>EMP03614</t>
  </si>
  <si>
    <t>EMP03615</t>
  </si>
  <si>
    <t>EMP03616</t>
  </si>
  <si>
    <t>EMP03617</t>
  </si>
  <si>
    <t>EMP03618</t>
  </si>
  <si>
    <t>EMP03619</t>
  </si>
  <si>
    <t>EMP03620</t>
  </si>
  <si>
    <t>EMP03621</t>
  </si>
  <si>
    <t>EMP03622</t>
  </si>
  <si>
    <t>EMP03623</t>
  </si>
  <si>
    <t>EMP03624</t>
  </si>
  <si>
    <t>EMP03625</t>
  </si>
  <si>
    <t>EMP03626</t>
  </si>
  <si>
    <t>EMP03627</t>
  </si>
  <si>
    <t>EMP03628</t>
  </si>
  <si>
    <t>EMP03629</t>
  </si>
  <si>
    <t>EMP03630</t>
  </si>
  <si>
    <t>EMP03631</t>
  </si>
  <si>
    <t>EMP03632</t>
  </si>
  <si>
    <t>EMP03633</t>
  </si>
  <si>
    <t>EMP03634</t>
  </si>
  <si>
    <t>EMP03635</t>
  </si>
  <si>
    <t>EMP03636</t>
  </si>
  <si>
    <t>EMP03637</t>
  </si>
  <si>
    <t>EMP03638</t>
  </si>
  <si>
    <t>EMP03639</t>
  </si>
  <si>
    <t>EMP03640</t>
  </si>
  <si>
    <t>EMP03641</t>
  </si>
  <si>
    <t>EMP03642</t>
  </si>
  <si>
    <t>EMP03643</t>
  </si>
  <si>
    <t>EMP03644</t>
  </si>
  <si>
    <t>EMP03645</t>
  </si>
  <si>
    <t>EMP03646</t>
  </si>
  <si>
    <t>EMP03647</t>
  </si>
  <si>
    <t>EMP03648</t>
  </si>
  <si>
    <t>EMP03649</t>
  </si>
  <si>
    <t>EMP03650</t>
  </si>
  <si>
    <t>EMP03651</t>
  </si>
  <si>
    <t>EMP03652</t>
  </si>
  <si>
    <t>EMP03653</t>
  </si>
  <si>
    <t>EMP03654</t>
  </si>
  <si>
    <t>EMP03655</t>
  </si>
  <si>
    <t>EMP03656</t>
  </si>
  <si>
    <t>EMP03657</t>
  </si>
  <si>
    <t>EMP03658</t>
  </si>
  <si>
    <t>EMP03659</t>
  </si>
  <si>
    <t>EMP03660</t>
  </si>
  <si>
    <t>EMP03661</t>
  </si>
  <si>
    <t>EMP03662</t>
  </si>
  <si>
    <t>EMP03663</t>
  </si>
  <si>
    <t>EMP03664</t>
  </si>
  <si>
    <t>EMP03665</t>
  </si>
  <si>
    <t>EMP03666</t>
  </si>
  <si>
    <t>EMP03667</t>
  </si>
  <si>
    <t>EMP03668</t>
  </si>
  <si>
    <t>EMP03669</t>
  </si>
  <si>
    <t>EMP03670</t>
  </si>
  <si>
    <t>EMP03671</t>
  </si>
  <si>
    <t>EMP03672</t>
  </si>
  <si>
    <t>EMP03673</t>
  </si>
  <si>
    <t>EMP03674</t>
  </si>
  <si>
    <t>EMP03675</t>
  </si>
  <si>
    <t>EMP03676</t>
  </si>
  <si>
    <t>EMP03677</t>
  </si>
  <si>
    <t>EMP03678</t>
  </si>
  <si>
    <t>EMP03679</t>
  </si>
  <si>
    <t>EMP03680</t>
  </si>
  <si>
    <t>EMP03681</t>
  </si>
  <si>
    <t>EMP03682</t>
  </si>
  <si>
    <t>EMP03683</t>
  </si>
  <si>
    <t>EMP03684</t>
  </si>
  <si>
    <t>EMP03685</t>
  </si>
  <si>
    <t>EMP03686</t>
  </si>
  <si>
    <t>EMP03687</t>
  </si>
  <si>
    <t>EMP03688</t>
  </si>
  <si>
    <t>EMP03689</t>
  </si>
  <si>
    <t>EMP03690</t>
  </si>
  <si>
    <t>EMP03691</t>
  </si>
  <si>
    <t>EMP03692</t>
  </si>
  <si>
    <t>EMP03693</t>
  </si>
  <si>
    <t>EMP03694</t>
  </si>
  <si>
    <t>EMP03695</t>
  </si>
  <si>
    <t>EMP03696</t>
  </si>
  <si>
    <t>EMP03697</t>
  </si>
  <si>
    <t>EMP03698</t>
  </si>
  <si>
    <t>EMP03699</t>
  </si>
  <si>
    <t>EMP03700</t>
  </si>
  <si>
    <t>EMP03701</t>
  </si>
  <si>
    <t>EMP03702</t>
  </si>
  <si>
    <t>EMP03703</t>
  </si>
  <si>
    <t>EMP03704</t>
  </si>
  <si>
    <t>EMP03705</t>
  </si>
  <si>
    <t>EMP03706</t>
  </si>
  <si>
    <t>EMP03707</t>
  </si>
  <si>
    <t>EMP03708</t>
  </si>
  <si>
    <t>EMP03709</t>
  </si>
  <si>
    <t>EMP03710</t>
  </si>
  <si>
    <t>EMP03711</t>
  </si>
  <si>
    <t>EMP03712</t>
  </si>
  <si>
    <t>EMP03713</t>
  </si>
  <si>
    <t>EMP03714</t>
  </si>
  <si>
    <t>EMP03715</t>
  </si>
  <si>
    <t>EMP03716</t>
  </si>
  <si>
    <t>EMP03717</t>
  </si>
  <si>
    <t>EMP03718</t>
  </si>
  <si>
    <t>EMP03719</t>
  </si>
  <si>
    <t>EMP03720</t>
  </si>
  <si>
    <t>EMP03721</t>
  </si>
  <si>
    <t>EMP03722</t>
  </si>
  <si>
    <t>EMP03723</t>
  </si>
  <si>
    <t>EMP03724</t>
  </si>
  <si>
    <t>EMP03725</t>
  </si>
  <si>
    <t>EMP03726</t>
  </si>
  <si>
    <t>EMP03727</t>
  </si>
  <si>
    <t>EMP03728</t>
  </si>
  <si>
    <t>EMP03729</t>
  </si>
  <si>
    <t>EMP03730</t>
  </si>
  <si>
    <t>EMP03731</t>
  </si>
  <si>
    <t>EMP03732</t>
  </si>
  <si>
    <t>EMP03733</t>
  </si>
  <si>
    <t>EMP03734</t>
  </si>
  <si>
    <t>EMP03735</t>
  </si>
  <si>
    <t>EMP03736</t>
  </si>
  <si>
    <t>EMP03737</t>
  </si>
  <si>
    <t>EMP03738</t>
  </si>
  <si>
    <t>EMP03739</t>
  </si>
  <si>
    <t>EMP03740</t>
  </si>
  <si>
    <t>EMP03741</t>
  </si>
  <si>
    <t>EMP03742</t>
  </si>
  <si>
    <t>EMP03743</t>
  </si>
  <si>
    <t>EMP03744</t>
  </si>
  <si>
    <t>EMP03745</t>
  </si>
  <si>
    <t>EMP03746</t>
  </si>
  <si>
    <t>EMP03747</t>
  </si>
  <si>
    <t>EMP03748</t>
  </si>
  <si>
    <t>EMP03749</t>
  </si>
  <si>
    <t>EMP03750</t>
  </si>
  <si>
    <t>EMP03751</t>
  </si>
  <si>
    <t>EMP03752</t>
  </si>
  <si>
    <t>EMP03753</t>
  </si>
  <si>
    <t>EMP03754</t>
  </si>
  <si>
    <t>EMP03755</t>
  </si>
  <si>
    <t>EMP03756</t>
  </si>
  <si>
    <t>EMP03757</t>
  </si>
  <si>
    <t>EMP03758</t>
  </si>
  <si>
    <t>EMP03759</t>
  </si>
  <si>
    <t>EMP03760</t>
  </si>
  <si>
    <t>EMP03761</t>
  </si>
  <si>
    <t>EMP03762</t>
  </si>
  <si>
    <t>EMP03763</t>
  </si>
  <si>
    <t>EMP03764</t>
  </si>
  <si>
    <t>EMP03765</t>
  </si>
  <si>
    <t>EMP03766</t>
  </si>
  <si>
    <t>EMP03767</t>
  </si>
  <si>
    <t>EMP03768</t>
  </si>
  <si>
    <t>EMP03769</t>
  </si>
  <si>
    <t>EMP03770</t>
  </si>
  <si>
    <t>EMP03771</t>
  </si>
  <si>
    <t>EMP03772</t>
  </si>
  <si>
    <t>EMP03773</t>
  </si>
  <si>
    <t>EMP03774</t>
  </si>
  <si>
    <t>EMP03775</t>
  </si>
  <si>
    <t>EMP03776</t>
  </si>
  <si>
    <t>EMP03777</t>
  </si>
  <si>
    <t>EMP03778</t>
  </si>
  <si>
    <t>EMP03779</t>
  </si>
  <si>
    <t>EMP03780</t>
  </si>
  <si>
    <t>EMP03781</t>
  </si>
  <si>
    <t>EMP03782</t>
  </si>
  <si>
    <t>EMP03783</t>
  </si>
  <si>
    <t>EMP03784</t>
  </si>
  <si>
    <t>EMP03785</t>
  </si>
  <si>
    <t>EMP03786</t>
  </si>
  <si>
    <t>EMP03787</t>
  </si>
  <si>
    <t>EMP03788</t>
  </si>
  <si>
    <t>EMP03789</t>
  </si>
  <si>
    <t>EMP03790</t>
  </si>
  <si>
    <t>EMP03791</t>
  </si>
  <si>
    <t>EMP03792</t>
  </si>
  <si>
    <t>EMP03793</t>
  </si>
  <si>
    <t>EMP03794</t>
  </si>
  <si>
    <t>EMP03795</t>
  </si>
  <si>
    <t>EMP03796</t>
  </si>
  <si>
    <t>EMP03797</t>
  </si>
  <si>
    <t>EMP03798</t>
  </si>
  <si>
    <t>EMP03799</t>
  </si>
  <si>
    <t>EMP03800</t>
  </si>
  <si>
    <t>EMP03801</t>
  </si>
  <si>
    <t>EMP03802</t>
  </si>
  <si>
    <t>EMP03803</t>
  </si>
  <si>
    <t>EMP03804</t>
  </si>
  <si>
    <t>EMP03805</t>
  </si>
  <si>
    <t>EMP03806</t>
  </si>
  <si>
    <t>EMP03807</t>
  </si>
  <si>
    <t>EMP03808</t>
  </si>
  <si>
    <t>EMP03809</t>
  </si>
  <si>
    <t>EMP03810</t>
  </si>
  <si>
    <t>EMP03811</t>
  </si>
  <si>
    <t>EMP03812</t>
  </si>
  <si>
    <t>EMP03813</t>
  </si>
  <si>
    <t>EMP03814</t>
  </si>
  <si>
    <t>EMP03815</t>
  </si>
  <si>
    <t>EMP03816</t>
  </si>
  <si>
    <t>EMP03817</t>
  </si>
  <si>
    <t>EMP03818</t>
  </si>
  <si>
    <t>EMP03819</t>
  </si>
  <si>
    <t>EMP03820</t>
  </si>
  <si>
    <t>EMP03821</t>
  </si>
  <si>
    <t>EMP03822</t>
  </si>
  <si>
    <t>EMP03823</t>
  </si>
  <si>
    <t>EMP03824</t>
  </si>
  <si>
    <t>EMP03825</t>
  </si>
  <si>
    <t>EMP03826</t>
  </si>
  <si>
    <t>EMP03827</t>
  </si>
  <si>
    <t>EMP03828</t>
  </si>
  <si>
    <t>EMP03829</t>
  </si>
  <si>
    <t>EMP03830</t>
  </si>
  <si>
    <t>EMP03831</t>
  </si>
  <si>
    <t>EMP03832</t>
  </si>
  <si>
    <t>EMP03833</t>
  </si>
  <si>
    <t>EMP03834</t>
  </si>
  <si>
    <t>EMP03835</t>
  </si>
  <si>
    <t>EMP03836</t>
  </si>
  <si>
    <t>EMP03837</t>
  </si>
  <si>
    <t>EMP03838</t>
  </si>
  <si>
    <t>EMP03839</t>
  </si>
  <si>
    <t>EMP03840</t>
  </si>
  <si>
    <t>EMP03841</t>
  </si>
  <si>
    <t>EMP03842</t>
  </si>
  <si>
    <t>EMP03843</t>
  </si>
  <si>
    <t>EMP03844</t>
  </si>
  <si>
    <t>EMP03845</t>
  </si>
  <si>
    <t>EMP03846</t>
  </si>
  <si>
    <t>EMP03847</t>
  </si>
  <si>
    <t>EMP03848</t>
  </si>
  <si>
    <t>EMP03849</t>
  </si>
  <si>
    <t>EMP03850</t>
  </si>
  <si>
    <t>EMP03851</t>
  </si>
  <si>
    <t>EMP03852</t>
  </si>
  <si>
    <t>EMP03853</t>
  </si>
  <si>
    <t>EMP03854</t>
  </si>
  <si>
    <t>EMP03855</t>
  </si>
  <si>
    <t>EMP03856</t>
  </si>
  <si>
    <t>EMP03857</t>
  </si>
  <si>
    <t>EMP03858</t>
  </si>
  <si>
    <t>EMP03859</t>
  </si>
  <si>
    <t>EMP03860</t>
  </si>
  <si>
    <t>EMP03861</t>
  </si>
  <si>
    <t>EMP03862</t>
  </si>
  <si>
    <t>EMP03863</t>
  </si>
  <si>
    <t>EMP03864</t>
  </si>
  <si>
    <t>EMP03865</t>
  </si>
  <si>
    <t>EMP03866</t>
  </si>
  <si>
    <t>EMP03867</t>
  </si>
  <si>
    <t>EMP03868</t>
  </si>
  <si>
    <t>EMP03869</t>
  </si>
  <si>
    <t>EMP03870</t>
  </si>
  <si>
    <t>EMP03871</t>
  </si>
  <si>
    <t>EMP03872</t>
  </si>
  <si>
    <t>EMP03873</t>
  </si>
  <si>
    <t>EMP03874</t>
  </si>
  <si>
    <t>EMP03875</t>
  </si>
  <si>
    <t>EMP03876</t>
  </si>
  <si>
    <t>EMP03877</t>
  </si>
  <si>
    <t>EMP03878</t>
  </si>
  <si>
    <t>EMP03879</t>
  </si>
  <si>
    <t>EMP03880</t>
  </si>
  <si>
    <t>EMP03881</t>
  </si>
  <si>
    <t>EMP03882</t>
  </si>
  <si>
    <t>EMP03883</t>
  </si>
  <si>
    <t>EMP03884</t>
  </si>
  <si>
    <t>EMP03885</t>
  </si>
  <si>
    <t>EMP03886</t>
  </si>
  <si>
    <t>EMP03887</t>
  </si>
  <si>
    <t>EMP03888</t>
  </si>
  <si>
    <t>EMP03889</t>
  </si>
  <si>
    <t>EMP03890</t>
  </si>
  <si>
    <t>EMP03891</t>
  </si>
  <si>
    <t>EMP03892</t>
  </si>
  <si>
    <t>EMP03893</t>
  </si>
  <si>
    <t>EMP03894</t>
  </si>
  <si>
    <t>EMP03895</t>
  </si>
  <si>
    <t>EMP03896</t>
  </si>
  <si>
    <t>EMP03897</t>
  </si>
  <si>
    <t>EMP03898</t>
  </si>
  <si>
    <t>EMP03899</t>
  </si>
  <si>
    <t>EMP03900</t>
  </si>
  <si>
    <t>EMP03901</t>
  </si>
  <si>
    <t>EMP03902</t>
  </si>
  <si>
    <t>EMP03903</t>
  </si>
  <si>
    <t>EMP03904</t>
  </si>
  <si>
    <t>EMP03905</t>
  </si>
  <si>
    <t>EMP03906</t>
  </si>
  <si>
    <t>EMP03907</t>
  </si>
  <si>
    <t>EMP03908</t>
  </si>
  <si>
    <t>EMP03909</t>
  </si>
  <si>
    <t>EMP03910</t>
  </si>
  <si>
    <t>EMP03911</t>
  </si>
  <si>
    <t>EMP03912</t>
  </si>
  <si>
    <t>EMP03913</t>
  </si>
  <si>
    <t>EMP03914</t>
  </si>
  <si>
    <t>EMP03915</t>
  </si>
  <si>
    <t>EMP03916</t>
  </si>
  <si>
    <t>EMP03917</t>
  </si>
  <si>
    <t>EMP03918</t>
  </si>
  <si>
    <t>EMP03919</t>
  </si>
  <si>
    <t>EMP03920</t>
  </si>
  <si>
    <t>EMP03921</t>
  </si>
  <si>
    <t>EMP03922</t>
  </si>
  <si>
    <t>EMP03923</t>
  </si>
  <si>
    <t>EMP03924</t>
  </si>
  <si>
    <t>EMP03925</t>
  </si>
  <si>
    <t>EMP03926</t>
  </si>
  <si>
    <t>EMP03927</t>
  </si>
  <si>
    <t>EMP03928</t>
  </si>
  <si>
    <t>EMP03929</t>
  </si>
  <si>
    <t>EMP03930</t>
  </si>
  <si>
    <t>EMP03931</t>
  </si>
  <si>
    <t>EMP03932</t>
  </si>
  <si>
    <t>EMP03933</t>
  </si>
  <si>
    <t>EMP03934</t>
  </si>
  <si>
    <t>EMP03935</t>
  </si>
  <si>
    <t>EMP03936</t>
  </si>
  <si>
    <t>EMP03937</t>
  </si>
  <si>
    <t>EMP03938</t>
  </si>
  <si>
    <t>EMP03939</t>
  </si>
  <si>
    <t>EMP03940</t>
  </si>
  <si>
    <t>EMP03941</t>
  </si>
  <si>
    <t>EMP03942</t>
  </si>
  <si>
    <t>EMP03943</t>
  </si>
  <si>
    <t>EMP03944</t>
  </si>
  <si>
    <t>EMP03945</t>
  </si>
  <si>
    <t>EMP03946</t>
  </si>
  <si>
    <t>EMP03947</t>
  </si>
  <si>
    <t>EMP03948</t>
  </si>
  <si>
    <t>EMP03949</t>
  </si>
  <si>
    <t>EMP03950</t>
  </si>
  <si>
    <t>EMP03951</t>
  </si>
  <si>
    <t>EMP03952</t>
  </si>
  <si>
    <t>EMP03953</t>
  </si>
  <si>
    <t>EMP03954</t>
  </si>
  <si>
    <t>EMP03955</t>
  </si>
  <si>
    <t>EMP03956</t>
  </si>
  <si>
    <t>EMP03957</t>
  </si>
  <si>
    <t>EMP03958</t>
  </si>
  <si>
    <t>EMP03959</t>
  </si>
  <si>
    <t>EMP03960</t>
  </si>
  <si>
    <t>EMP03961</t>
  </si>
  <si>
    <t>EMP03962</t>
  </si>
  <si>
    <t>EMP03963</t>
  </si>
  <si>
    <t>EMP03964</t>
  </si>
  <si>
    <t>EMP03965</t>
  </si>
  <si>
    <t>EMP03966</t>
  </si>
  <si>
    <t>EMP03967</t>
  </si>
  <si>
    <t>EMP03968</t>
  </si>
  <si>
    <t>EMP03969</t>
  </si>
  <si>
    <t>EMP03970</t>
  </si>
  <si>
    <t>EMP03971</t>
  </si>
  <si>
    <t>EMP03972</t>
  </si>
  <si>
    <t>EMP03973</t>
  </si>
  <si>
    <t>EMP03974</t>
  </si>
  <si>
    <t>EMP03975</t>
  </si>
  <si>
    <t>EMP03976</t>
  </si>
  <si>
    <t>EMP03977</t>
  </si>
  <si>
    <t>EMP03978</t>
  </si>
  <si>
    <t>EMP03979</t>
  </si>
  <si>
    <t>EMP03980</t>
  </si>
  <si>
    <t>EMP03981</t>
  </si>
  <si>
    <t>EMP03982</t>
  </si>
  <si>
    <t>EMP03983</t>
  </si>
  <si>
    <t>EMP03984</t>
  </si>
  <si>
    <t>EMP03985</t>
  </si>
  <si>
    <t>EMP03986</t>
  </si>
  <si>
    <t>EMP03987</t>
  </si>
  <si>
    <t>EMP03988</t>
  </si>
  <si>
    <t>EMP03989</t>
  </si>
  <si>
    <t>EMP03990</t>
  </si>
  <si>
    <t>EMP03991</t>
  </si>
  <si>
    <t>EMP03992</t>
  </si>
  <si>
    <t>EMP03993</t>
  </si>
  <si>
    <t>EMP03994</t>
  </si>
  <si>
    <t>EMP03995</t>
  </si>
  <si>
    <t>EMP03996</t>
  </si>
  <si>
    <t>EMP03997</t>
  </si>
  <si>
    <t>EMP03998</t>
  </si>
  <si>
    <t>EMP03999</t>
  </si>
  <si>
    <t>EMP04000</t>
  </si>
  <si>
    <t>EMP04001</t>
  </si>
  <si>
    <t>EMP04002</t>
  </si>
  <si>
    <t>EMP04003</t>
  </si>
  <si>
    <t>EMP04004</t>
  </si>
  <si>
    <t>EMP04005</t>
  </si>
  <si>
    <t>EMP04006</t>
  </si>
  <si>
    <t>EMP04007</t>
  </si>
  <si>
    <t>EMP04008</t>
  </si>
  <si>
    <t>EMP04009</t>
  </si>
  <si>
    <t>EMP04010</t>
  </si>
  <si>
    <t>EMP04011</t>
  </si>
  <si>
    <t>EMP04012</t>
  </si>
  <si>
    <t>EMP04013</t>
  </si>
  <si>
    <t>EMP04014</t>
  </si>
  <si>
    <t>EMP04015</t>
  </si>
  <si>
    <t>EMP04016</t>
  </si>
  <si>
    <t>EMP04017</t>
  </si>
  <si>
    <t>EMP04018</t>
  </si>
  <si>
    <t>EMP04019</t>
  </si>
  <si>
    <t>EMP04020</t>
  </si>
  <si>
    <t>EMP04021</t>
  </si>
  <si>
    <t>EMP04022</t>
  </si>
  <si>
    <t>EMP04023</t>
  </si>
  <si>
    <t>EMP04024</t>
  </si>
  <si>
    <t>EMP04025</t>
  </si>
  <si>
    <t>EMP04026</t>
  </si>
  <si>
    <t>EMP04027</t>
  </si>
  <si>
    <t>EMP04028</t>
  </si>
  <si>
    <t>EMP04029</t>
  </si>
  <si>
    <t>EMP04030</t>
  </si>
  <si>
    <t>EMP04031</t>
  </si>
  <si>
    <t>EMP04032</t>
  </si>
  <si>
    <t>EMP04033</t>
  </si>
  <si>
    <t>EMP04034</t>
  </si>
  <si>
    <t>EMP04035</t>
  </si>
  <si>
    <t>EMP04036</t>
  </si>
  <si>
    <t>EMP04037</t>
  </si>
  <si>
    <t>EMP04038</t>
  </si>
  <si>
    <t>EMP04039</t>
  </si>
  <si>
    <t>EMP04040</t>
  </si>
  <si>
    <t>EMP04041</t>
  </si>
  <si>
    <t>EMP04042</t>
  </si>
  <si>
    <t>EMP04043</t>
  </si>
  <si>
    <t>EMP04044</t>
  </si>
  <si>
    <t>EMP04045</t>
  </si>
  <si>
    <t>EMP04046</t>
  </si>
  <si>
    <t>EMP04047</t>
  </si>
  <si>
    <t>EMP04048</t>
  </si>
  <si>
    <t>EMP04049</t>
  </si>
  <si>
    <t>EMP04050</t>
  </si>
  <si>
    <t>EMP04051</t>
  </si>
  <si>
    <t>EMP04052</t>
  </si>
  <si>
    <t>EMP04053</t>
  </si>
  <si>
    <t>EMP04054</t>
  </si>
  <si>
    <t>EMP04055</t>
  </si>
  <si>
    <t>EMP04056</t>
  </si>
  <si>
    <t>EMP04057</t>
  </si>
  <si>
    <t>EMP04058</t>
  </si>
  <si>
    <t>EMP04059</t>
  </si>
  <si>
    <t>EMP04060</t>
  </si>
  <si>
    <t>EMP04061</t>
  </si>
  <si>
    <t>EMP04062</t>
  </si>
  <si>
    <t>EMP04063</t>
  </si>
  <si>
    <t>EMP04064</t>
  </si>
  <si>
    <t>EMP04065</t>
  </si>
  <si>
    <t>EMP04066</t>
  </si>
  <si>
    <t>EMP04067</t>
  </si>
  <si>
    <t>EMP04068</t>
  </si>
  <si>
    <t>EMP04069</t>
  </si>
  <si>
    <t>EMP04070</t>
  </si>
  <si>
    <t>EMP04071</t>
  </si>
  <si>
    <t>EMP04072</t>
  </si>
  <si>
    <t>EMP04073</t>
  </si>
  <si>
    <t>EMP04074</t>
  </si>
  <si>
    <t>EMP04075</t>
  </si>
  <si>
    <t>EMP04076</t>
  </si>
  <si>
    <t>EMP04077</t>
  </si>
  <si>
    <t>EMP04078</t>
  </si>
  <si>
    <t>EMP04079</t>
  </si>
  <si>
    <t>EMP04080</t>
  </si>
  <si>
    <t>EMP04081</t>
  </si>
  <si>
    <t>EMP04082</t>
  </si>
  <si>
    <t>EMP04083</t>
  </si>
  <si>
    <t>EMP04084</t>
  </si>
  <si>
    <t>EMP04085</t>
  </si>
  <si>
    <t>EMP04086</t>
  </si>
  <si>
    <t>EMP04087</t>
  </si>
  <si>
    <t>EMP04088</t>
  </si>
  <si>
    <t>EMP04089</t>
  </si>
  <si>
    <t>EMP04090</t>
  </si>
  <si>
    <t>EMP04091</t>
  </si>
  <si>
    <t>EMP04092</t>
  </si>
  <si>
    <t>EMP04093</t>
  </si>
  <si>
    <t>EMP04094</t>
  </si>
  <si>
    <t>EMP04095</t>
  </si>
  <si>
    <t>EMP04096</t>
  </si>
  <si>
    <t>EMP04097</t>
  </si>
  <si>
    <t>EMP04098</t>
  </si>
  <si>
    <t>EMP04099</t>
  </si>
  <si>
    <t>EMP04100</t>
  </si>
  <si>
    <t>EMP04101</t>
  </si>
  <si>
    <t>EMP04102</t>
  </si>
  <si>
    <t>EMP04103</t>
  </si>
  <si>
    <t>EMP04104</t>
  </si>
  <si>
    <t>EMP04105</t>
  </si>
  <si>
    <t>EMP04106</t>
  </si>
  <si>
    <t>EMP04107</t>
  </si>
  <si>
    <t>EMP04108</t>
  </si>
  <si>
    <t>EMP04109</t>
  </si>
  <si>
    <t>EMP04110</t>
  </si>
  <si>
    <t>EMP04111</t>
  </si>
  <si>
    <t>EMP04112</t>
  </si>
  <si>
    <t>EMP04113</t>
  </si>
  <si>
    <t>EMP04114</t>
  </si>
  <si>
    <t>EMP04115</t>
  </si>
  <si>
    <t>EMP04116</t>
  </si>
  <si>
    <t>EMP04117</t>
  </si>
  <si>
    <t>EMP04118</t>
  </si>
  <si>
    <t>EMP04119</t>
  </si>
  <si>
    <t>EMP04120</t>
  </si>
  <si>
    <t>EMP04121</t>
  </si>
  <si>
    <t>EMP04122</t>
  </si>
  <si>
    <t>EMP04123</t>
  </si>
  <si>
    <t>EMP04124</t>
  </si>
  <si>
    <t>EMP04125</t>
  </si>
  <si>
    <t>EMP04126</t>
  </si>
  <si>
    <t>EMP04127</t>
  </si>
  <si>
    <t>EMP04128</t>
  </si>
  <si>
    <t>EMP04129</t>
  </si>
  <si>
    <t>EMP04130</t>
  </si>
  <si>
    <t>EMP04131</t>
  </si>
  <si>
    <t>EMP04132</t>
  </si>
  <si>
    <t>EMP04133</t>
  </si>
  <si>
    <t>EMP04134</t>
  </si>
  <si>
    <t>EMP04135</t>
  </si>
  <si>
    <t>EMP04136</t>
  </si>
  <si>
    <t>EMP04137</t>
  </si>
  <si>
    <t>EMP04138</t>
  </si>
  <si>
    <t>EMP04139</t>
  </si>
  <si>
    <t>EMP04140</t>
  </si>
  <si>
    <t>EMP04141</t>
  </si>
  <si>
    <t>EMP04142</t>
  </si>
  <si>
    <t>EMP04143</t>
  </si>
  <si>
    <t>EMP04144</t>
  </si>
  <si>
    <t>EMP04145</t>
  </si>
  <si>
    <t>EMP04146</t>
  </si>
  <si>
    <t>EMP04147</t>
  </si>
  <si>
    <t>EMP04148</t>
  </si>
  <si>
    <t>EMP04149</t>
  </si>
  <si>
    <t>EMP04150</t>
  </si>
  <si>
    <t>EMP04151</t>
  </si>
  <si>
    <t>EMP04152</t>
  </si>
  <si>
    <t>EMP04153</t>
  </si>
  <si>
    <t>EMP04154</t>
  </si>
  <si>
    <t>EMP04155</t>
  </si>
  <si>
    <t>EMP04156</t>
  </si>
  <si>
    <t>EMP04157</t>
  </si>
  <si>
    <t>EMP04158</t>
  </si>
  <si>
    <t>EMP04159</t>
  </si>
  <si>
    <t>EMP04160</t>
  </si>
  <si>
    <t>EMP04161</t>
  </si>
  <si>
    <t>EMP04162</t>
  </si>
  <si>
    <t>EMP04163</t>
  </si>
  <si>
    <t>EMP04164</t>
  </si>
  <si>
    <t>EMP04165</t>
  </si>
  <si>
    <t>EMP04166</t>
  </si>
  <si>
    <t>EMP04167</t>
  </si>
  <si>
    <t>EMP04168</t>
  </si>
  <si>
    <t>EMP04169</t>
  </si>
  <si>
    <t>EMP04170</t>
  </si>
  <si>
    <t>EMP04171</t>
  </si>
  <si>
    <t>EMP04172</t>
  </si>
  <si>
    <t>EMP04173</t>
  </si>
  <si>
    <t>EMP04174</t>
  </si>
  <si>
    <t>EMP04175</t>
  </si>
  <si>
    <t>EMP04176</t>
  </si>
  <si>
    <t>EMP04177</t>
  </si>
  <si>
    <t>EMP04178</t>
  </si>
  <si>
    <t>EMP04179</t>
  </si>
  <si>
    <t>EMP04180</t>
  </si>
  <si>
    <t>EMP04181</t>
  </si>
  <si>
    <t>EMP04182</t>
  </si>
  <si>
    <t>EMP04183</t>
  </si>
  <si>
    <t>EMP04184</t>
  </si>
  <si>
    <t>EMP04185</t>
  </si>
  <si>
    <t>EMP04186</t>
  </si>
  <si>
    <t>EMP04187</t>
  </si>
  <si>
    <t>EMP04188</t>
  </si>
  <si>
    <t>EMP04189</t>
  </si>
  <si>
    <t>EMP04190</t>
  </si>
  <si>
    <t>EMP04191</t>
  </si>
  <si>
    <t>EMP04192</t>
  </si>
  <si>
    <t>EMP04193</t>
  </si>
  <si>
    <t>EMP04194</t>
  </si>
  <si>
    <t>EMP04195</t>
  </si>
  <si>
    <t>EMP04196</t>
  </si>
  <si>
    <t>EMP04197</t>
  </si>
  <si>
    <t>EMP04198</t>
  </si>
  <si>
    <t>EMP04199</t>
  </si>
  <si>
    <t>EMP04200</t>
  </si>
  <si>
    <t>EMP04201</t>
  </si>
  <si>
    <t>EMP04202</t>
  </si>
  <si>
    <t>EMP04203</t>
  </si>
  <si>
    <t>EMP04204</t>
  </si>
  <si>
    <t>EMP04205</t>
  </si>
  <si>
    <t>EMP04206</t>
  </si>
  <si>
    <t>EMP04207</t>
  </si>
  <si>
    <t>EMP04208</t>
  </si>
  <si>
    <t>EMP04209</t>
  </si>
  <si>
    <t>EMP04210</t>
  </si>
  <si>
    <t>EMP04211</t>
  </si>
  <si>
    <t>EMP04212</t>
  </si>
  <si>
    <t>EMP04213</t>
  </si>
  <si>
    <t>EMP04214</t>
  </si>
  <si>
    <t>EMP04215</t>
  </si>
  <si>
    <t>EMP04216</t>
  </si>
  <si>
    <t>EMP04217</t>
  </si>
  <si>
    <t>EMP04218</t>
  </si>
  <si>
    <t>EMP04219</t>
  </si>
  <si>
    <t>EMP04220</t>
  </si>
  <si>
    <t>EMP04221</t>
  </si>
  <si>
    <t>EMP04222</t>
  </si>
  <si>
    <t>EMP04223</t>
  </si>
  <si>
    <t>EMP04224</t>
  </si>
  <si>
    <t>EMP04225</t>
  </si>
  <si>
    <t>EMP04226</t>
  </si>
  <si>
    <t>EMP04227</t>
  </si>
  <si>
    <t>EMP04228</t>
  </si>
  <si>
    <t>EMP04229</t>
  </si>
  <si>
    <t>EMP04230</t>
  </si>
  <si>
    <t>EMP04231</t>
  </si>
  <si>
    <t>EMP04232</t>
  </si>
  <si>
    <t>EMP04233</t>
  </si>
  <si>
    <t>EMP04234</t>
  </si>
  <si>
    <t>EMP04235</t>
  </si>
  <si>
    <t>EMP04236</t>
  </si>
  <si>
    <t>EMP04237</t>
  </si>
  <si>
    <t>EMP04238</t>
  </si>
  <si>
    <t>EMP04239</t>
  </si>
  <si>
    <t>EMP04240</t>
  </si>
  <si>
    <t>EMP04241</t>
  </si>
  <si>
    <t>EMP04242</t>
  </si>
  <si>
    <t>EMP04243</t>
  </si>
  <si>
    <t>EMP04244</t>
  </si>
  <si>
    <t>EMP04245</t>
  </si>
  <si>
    <t>EMP04246</t>
  </si>
  <si>
    <t>EMP04247</t>
  </si>
  <si>
    <t>EMP04248</t>
  </si>
  <si>
    <t>EMP04249</t>
  </si>
  <si>
    <t>EMP04250</t>
  </si>
  <si>
    <t>EMP04251</t>
  </si>
  <si>
    <t>EMP04252</t>
  </si>
  <si>
    <t>EMP04253</t>
  </si>
  <si>
    <t>EMP04254</t>
  </si>
  <si>
    <t>EMP04255</t>
  </si>
  <si>
    <t>EMP04256</t>
  </si>
  <si>
    <t>EMP04257</t>
  </si>
  <si>
    <t>EMP04258</t>
  </si>
  <si>
    <t>EMP04259</t>
  </si>
  <si>
    <t>EMP04260</t>
  </si>
  <si>
    <t>EMP04261</t>
  </si>
  <si>
    <t>EMP04262</t>
  </si>
  <si>
    <t>EMP04263</t>
  </si>
  <si>
    <t>EMP04264</t>
  </si>
  <si>
    <t>EMP04265</t>
  </si>
  <si>
    <t>EMP04266</t>
  </si>
  <si>
    <t>EMP04267</t>
  </si>
  <si>
    <t>EMP04268</t>
  </si>
  <si>
    <t>EMP04269</t>
  </si>
  <si>
    <t>EMP04270</t>
  </si>
  <si>
    <t>EMP04271</t>
  </si>
  <si>
    <t>EMP04272</t>
  </si>
  <si>
    <t>EMP04273</t>
  </si>
  <si>
    <t>EMP04274</t>
  </si>
  <si>
    <t>EMP04275</t>
  </si>
  <si>
    <t>EMP04276</t>
  </si>
  <si>
    <t>EMP04277</t>
  </si>
  <si>
    <t>EMP04278</t>
  </si>
  <si>
    <t>EMP04279</t>
  </si>
  <si>
    <t>EMP04280</t>
  </si>
  <si>
    <t>EMP04281</t>
  </si>
  <si>
    <t>EMP04282</t>
  </si>
  <si>
    <t>EMP04283</t>
  </si>
  <si>
    <t>EMP04284</t>
  </si>
  <si>
    <t>EMP04285</t>
  </si>
  <si>
    <t>EMP04286</t>
  </si>
  <si>
    <t>EMP04287</t>
  </si>
  <si>
    <t>EMP04288</t>
  </si>
  <si>
    <t>EMP04289</t>
  </si>
  <si>
    <t>EMP04290</t>
  </si>
  <si>
    <t>EMP04291</t>
  </si>
  <si>
    <t>EMP04292</t>
  </si>
  <si>
    <t>EMP04293</t>
  </si>
  <si>
    <t>EMP04294</t>
  </si>
  <si>
    <t>EMP04295</t>
  </si>
  <si>
    <t>EMP04296</t>
  </si>
  <si>
    <t>EMP04297</t>
  </si>
  <si>
    <t>EMP04298</t>
  </si>
  <si>
    <t>EMP04299</t>
  </si>
  <si>
    <t>EMP04300</t>
  </si>
  <si>
    <t>EMP04301</t>
  </si>
  <si>
    <t>EMP04302</t>
  </si>
  <si>
    <t>EMP04303</t>
  </si>
  <si>
    <t>EMP04304</t>
  </si>
  <si>
    <t>EMP04305</t>
  </si>
  <si>
    <t>EMP04306</t>
  </si>
  <si>
    <t>EMP04307</t>
  </si>
  <si>
    <t>EMP04308</t>
  </si>
  <si>
    <t>EMP04309</t>
  </si>
  <si>
    <t>EMP04310</t>
  </si>
  <si>
    <t>EMP04311</t>
  </si>
  <si>
    <t>EMP04312</t>
  </si>
  <si>
    <t>EMP04313</t>
  </si>
  <si>
    <t>EMP04314</t>
  </si>
  <si>
    <t>EMP04315</t>
  </si>
  <si>
    <t>EMP04316</t>
  </si>
  <si>
    <t>EMP04317</t>
  </si>
  <si>
    <t>EMP04318</t>
  </si>
  <si>
    <t>EMP04319</t>
  </si>
  <si>
    <t>EMP04320</t>
  </si>
  <si>
    <t>EMP04321</t>
  </si>
  <si>
    <t>EMP04322</t>
  </si>
  <si>
    <t>EMP04323</t>
  </si>
  <si>
    <t>EMP04324</t>
  </si>
  <si>
    <t>EMP04325</t>
  </si>
  <si>
    <t>EMP04326</t>
  </si>
  <si>
    <t>EMP04327</t>
  </si>
  <si>
    <t>EMP04328</t>
  </si>
  <si>
    <t>EMP04329</t>
  </si>
  <si>
    <t>EMP04330</t>
  </si>
  <si>
    <t>EMP04331</t>
  </si>
  <si>
    <t>EMP04332</t>
  </si>
  <si>
    <t>EMP04333</t>
  </si>
  <si>
    <t>EMP04334</t>
  </si>
  <si>
    <t>EMP04335</t>
  </si>
  <si>
    <t>EMP04336</t>
  </si>
  <si>
    <t>EMP04337</t>
  </si>
  <si>
    <t>EMP04338</t>
  </si>
  <si>
    <t>EMP04339</t>
  </si>
  <si>
    <t>EMP04340</t>
  </si>
  <si>
    <t>EMP04341</t>
  </si>
  <si>
    <t>EMP04342</t>
  </si>
  <si>
    <t>EMP04343</t>
  </si>
  <si>
    <t>EMP04344</t>
  </si>
  <si>
    <t>EMP04345</t>
  </si>
  <si>
    <t>EMP04346</t>
  </si>
  <si>
    <t>EMP04347</t>
  </si>
  <si>
    <t>EMP04348</t>
  </si>
  <si>
    <t>EMP04349</t>
  </si>
  <si>
    <t>EMP04350</t>
  </si>
  <si>
    <t>EMP04351</t>
  </si>
  <si>
    <t>EMP04352</t>
  </si>
  <si>
    <t>EMP04353</t>
  </si>
  <si>
    <t>EMP04354</t>
  </si>
  <si>
    <t>EMP04355</t>
  </si>
  <si>
    <t>EMP04356</t>
  </si>
  <si>
    <t>EMP04357</t>
  </si>
  <si>
    <t>EMP04358</t>
  </si>
  <si>
    <t>EMP04359</t>
  </si>
  <si>
    <t>EMP04360</t>
  </si>
  <si>
    <t>EMP04361</t>
  </si>
  <si>
    <t>EMP04362</t>
  </si>
  <si>
    <t>EMP04363</t>
  </si>
  <si>
    <t>EMP04364</t>
  </si>
  <si>
    <t>EMP04365</t>
  </si>
  <si>
    <t>EMP04366</t>
  </si>
  <si>
    <t>EMP04367</t>
  </si>
  <si>
    <t>EMP04368</t>
  </si>
  <si>
    <t>EMP04369</t>
  </si>
  <si>
    <t>EMP04370</t>
  </si>
  <si>
    <t>EMP04371</t>
  </si>
  <si>
    <t>EMP04372</t>
  </si>
  <si>
    <t>EMP04373</t>
  </si>
  <si>
    <t>EMP04374</t>
  </si>
  <si>
    <t>EMP04375</t>
  </si>
  <si>
    <t>EMP04376</t>
  </si>
  <si>
    <t>EMP04377</t>
  </si>
  <si>
    <t>EMP04378</t>
  </si>
  <si>
    <t>EMP04379</t>
  </si>
  <si>
    <t>EMP04380</t>
  </si>
  <si>
    <t>EMP04381</t>
  </si>
  <si>
    <t>EMP04382</t>
  </si>
  <si>
    <t>EMP04383</t>
  </si>
  <si>
    <t>EMP04384</t>
  </si>
  <si>
    <t>EMP04385</t>
  </si>
  <si>
    <t>EMP04386</t>
  </si>
  <si>
    <t>EMP04387</t>
  </si>
  <si>
    <t>EMP04388</t>
  </si>
  <si>
    <t>EMP04389</t>
  </si>
  <si>
    <t>EMP04390</t>
  </si>
  <si>
    <t>EMP04391</t>
  </si>
  <si>
    <t>EMP04392</t>
  </si>
  <si>
    <t>EMP04393</t>
  </si>
  <si>
    <t>EMP04394</t>
  </si>
  <si>
    <t>EMP04395</t>
  </si>
  <si>
    <t>EMP04396</t>
  </si>
  <si>
    <t>EMP04397</t>
  </si>
  <si>
    <t>EMP04398</t>
  </si>
  <si>
    <t>EMP04399</t>
  </si>
  <si>
    <t>EMP04400</t>
  </si>
  <si>
    <t>EMP04401</t>
  </si>
  <si>
    <t>EMP04402</t>
  </si>
  <si>
    <t>EMP04403</t>
  </si>
  <si>
    <t>EMP04404</t>
  </si>
  <si>
    <t>EMP04405</t>
  </si>
  <si>
    <t>EMP04406</t>
  </si>
  <si>
    <t>EMP04407</t>
  </si>
  <si>
    <t>EMP04408</t>
  </si>
  <si>
    <t>EMP04409</t>
  </si>
  <si>
    <t>EMP04410</t>
  </si>
  <si>
    <t>EMP04411</t>
  </si>
  <si>
    <t>EMP04412</t>
  </si>
  <si>
    <t>EMP04413</t>
  </si>
  <si>
    <t>EMP04414</t>
  </si>
  <si>
    <t>EMP04415</t>
  </si>
  <si>
    <t>EMP04416</t>
  </si>
  <si>
    <t>EMP04417</t>
  </si>
  <si>
    <t>EMP04418</t>
  </si>
  <si>
    <t>EMP04419</t>
  </si>
  <si>
    <t>EMP04420</t>
  </si>
  <si>
    <t>EMP04421</t>
  </si>
  <si>
    <t>EMP04422</t>
  </si>
  <si>
    <t>EMP04423</t>
  </si>
  <si>
    <t>EMP04424</t>
  </si>
  <si>
    <t>EMP04425</t>
  </si>
  <si>
    <t>EMP04426</t>
  </si>
  <si>
    <t>EMP04427</t>
  </si>
  <si>
    <t>EMP04428</t>
  </si>
  <si>
    <t>EMP04429</t>
  </si>
  <si>
    <t>EMP04430</t>
  </si>
  <si>
    <t>EMP04431</t>
  </si>
  <si>
    <t>EMP04432</t>
  </si>
  <si>
    <t>EMP04433</t>
  </si>
  <si>
    <t>EMP04434</t>
  </si>
  <si>
    <t>EMP04435</t>
  </si>
  <si>
    <t>EMP04436</t>
  </si>
  <si>
    <t>EMP04437</t>
  </si>
  <si>
    <t>EMP04438</t>
  </si>
  <si>
    <t>EMP04439</t>
  </si>
  <si>
    <t>EMP04440</t>
  </si>
  <si>
    <t>EMP04441</t>
  </si>
  <si>
    <t>EMP04442</t>
  </si>
  <si>
    <t>EMP04443</t>
  </si>
  <si>
    <t>EMP04444</t>
  </si>
  <si>
    <t>EMP04445</t>
  </si>
  <si>
    <t>EMP04446</t>
  </si>
  <si>
    <t>EMP04447</t>
  </si>
  <si>
    <t>EMP04448</t>
  </si>
  <si>
    <t>EMP04449</t>
  </si>
  <si>
    <t>EMP04450</t>
  </si>
  <si>
    <t>EMP04451</t>
  </si>
  <si>
    <t>EMP04452</t>
  </si>
  <si>
    <t>EMP04453</t>
  </si>
  <si>
    <t>EMP04454</t>
  </si>
  <si>
    <t>EMP04455</t>
  </si>
  <si>
    <t>EMP04456</t>
  </si>
  <si>
    <t>EMP04457</t>
  </si>
  <si>
    <t>EMP04458</t>
  </si>
  <si>
    <t>EMP04459</t>
  </si>
  <si>
    <t>EMP04460</t>
  </si>
  <si>
    <t>EMP04461</t>
  </si>
  <si>
    <t>EMP04462</t>
  </si>
  <si>
    <t>EMP04463</t>
  </si>
  <si>
    <t>EMP04464</t>
  </si>
  <si>
    <t>EMP04465</t>
  </si>
  <si>
    <t>EMP04466</t>
  </si>
  <si>
    <t>EMP04467</t>
  </si>
  <si>
    <t>EMP04468</t>
  </si>
  <si>
    <t>EMP04469</t>
  </si>
  <si>
    <t>EMP04470</t>
  </si>
  <si>
    <t>EMP04471</t>
  </si>
  <si>
    <t>EMP04472</t>
  </si>
  <si>
    <t>EMP04473</t>
  </si>
  <si>
    <t>EMP04474</t>
  </si>
  <si>
    <t>EMP04475</t>
  </si>
  <si>
    <t>EMP04476</t>
  </si>
  <si>
    <t>EMP04477</t>
  </si>
  <si>
    <t>EMP04478</t>
  </si>
  <si>
    <t>EMP04479</t>
  </si>
  <si>
    <t>EMP04480</t>
  </si>
  <si>
    <t>EMP04481</t>
  </si>
  <si>
    <t>EMP04482</t>
  </si>
  <si>
    <t>EMP04483</t>
  </si>
  <si>
    <t>EMP04484</t>
  </si>
  <si>
    <t>EMP04485</t>
  </si>
  <si>
    <t>EMP04486</t>
  </si>
  <si>
    <t>EMP04487</t>
  </si>
  <si>
    <t>EMP04488</t>
  </si>
  <si>
    <t>EMP04489</t>
  </si>
  <si>
    <t>EMP04490</t>
  </si>
  <si>
    <t>EMP04491</t>
  </si>
  <si>
    <t>EMP04492</t>
  </si>
  <si>
    <t>EMP04493</t>
  </si>
  <si>
    <t>EMP04494</t>
  </si>
  <si>
    <t>EMP04495</t>
  </si>
  <si>
    <t>EMP04496</t>
  </si>
  <si>
    <t>EMP04497</t>
  </si>
  <si>
    <t>EMP04498</t>
  </si>
  <si>
    <t>EMP04499</t>
  </si>
  <si>
    <t>EMP04500</t>
  </si>
  <si>
    <t>EMP04501</t>
  </si>
  <si>
    <t>EMP04502</t>
  </si>
  <si>
    <t>EMP04503</t>
  </si>
  <si>
    <t>EMP04504</t>
  </si>
  <si>
    <t>EMP04505</t>
  </si>
  <si>
    <t>EMP04506</t>
  </si>
  <si>
    <t>EMP04507</t>
  </si>
  <si>
    <t>EMP04508</t>
  </si>
  <si>
    <t>EMP04509</t>
  </si>
  <si>
    <t>EMP04510</t>
  </si>
  <si>
    <t>EMP04511</t>
  </si>
  <si>
    <t>EMP04512</t>
  </si>
  <si>
    <t>EMP04513</t>
  </si>
  <si>
    <t>EMP04514</t>
  </si>
  <si>
    <t>EMP04515</t>
  </si>
  <si>
    <t>EMP04516</t>
  </si>
  <si>
    <t>EMP04517</t>
  </si>
  <si>
    <t>EMP04518</t>
  </si>
  <si>
    <t>EMP04519</t>
  </si>
  <si>
    <t>EMP04520</t>
  </si>
  <si>
    <t>EMP04521</t>
  </si>
  <si>
    <t>EMP04522</t>
  </si>
  <si>
    <t>EMP04523</t>
  </si>
  <si>
    <t>EMP04524</t>
  </si>
  <si>
    <t>EMP04525</t>
  </si>
  <si>
    <t>EMP04526</t>
  </si>
  <si>
    <t>EMP04527</t>
  </si>
  <si>
    <t>EMP04528</t>
  </si>
  <si>
    <t>EMP04529</t>
  </si>
  <si>
    <t>EMP04530</t>
  </si>
  <si>
    <t>EMP04531</t>
  </si>
  <si>
    <t>EMP04532</t>
  </si>
  <si>
    <t>EMP04533</t>
  </si>
  <si>
    <t>EMP04534</t>
  </si>
  <si>
    <t>EMP04535</t>
  </si>
  <si>
    <t>EMP04536</t>
  </si>
  <si>
    <t>EMP04537</t>
  </si>
  <si>
    <t>EMP04538</t>
  </si>
  <si>
    <t>EMP04539</t>
  </si>
  <si>
    <t>EMP04540</t>
  </si>
  <si>
    <t>EMP04541</t>
  </si>
  <si>
    <t>EMP04542</t>
  </si>
  <si>
    <t>EMP04543</t>
  </si>
  <si>
    <t>EMP04544</t>
  </si>
  <si>
    <t>EMP04545</t>
  </si>
  <si>
    <t>EMP04546</t>
  </si>
  <si>
    <t>EMP04547</t>
  </si>
  <si>
    <t>EMP04548</t>
  </si>
  <si>
    <t>EMP04549</t>
  </si>
  <si>
    <t>EMP04550</t>
  </si>
  <si>
    <t>EMP04551</t>
  </si>
  <si>
    <t>EMP04552</t>
  </si>
  <si>
    <t>EMP04553</t>
  </si>
  <si>
    <t>EMP04554</t>
  </si>
  <si>
    <t>EMP04555</t>
  </si>
  <si>
    <t>EMP04556</t>
  </si>
  <si>
    <t>EMP04557</t>
  </si>
  <si>
    <t>EMP04558</t>
  </si>
  <si>
    <t>EMP04559</t>
  </si>
  <si>
    <t>EMP04560</t>
  </si>
  <si>
    <t>EMP04561</t>
  </si>
  <si>
    <t>EMP04562</t>
  </si>
  <si>
    <t>EMP04563</t>
  </si>
  <si>
    <t>EMP04564</t>
  </si>
  <si>
    <t>EMP04565</t>
  </si>
  <si>
    <t>EMP04566</t>
  </si>
  <si>
    <t>EMP04567</t>
  </si>
  <si>
    <t>EMP04568</t>
  </si>
  <si>
    <t>EMP04569</t>
  </si>
  <si>
    <t>EMP04570</t>
  </si>
  <si>
    <t>EMP04571</t>
  </si>
  <si>
    <t>EMP04572</t>
  </si>
  <si>
    <t>EMP04573</t>
  </si>
  <si>
    <t>EMP04574</t>
  </si>
  <si>
    <t>EMP04575</t>
  </si>
  <si>
    <t>EMP04576</t>
  </si>
  <si>
    <t>EMP04577</t>
  </si>
  <si>
    <t>EMP04578</t>
  </si>
  <si>
    <t>EMP04579</t>
  </si>
  <si>
    <t>EMP04580</t>
  </si>
  <si>
    <t>EMP04581</t>
  </si>
  <si>
    <t>EMP04582</t>
  </si>
  <si>
    <t>EMP04583</t>
  </si>
  <si>
    <t>EMP04584</t>
  </si>
  <si>
    <t>EMP04585</t>
  </si>
  <si>
    <t>EMP04586</t>
  </si>
  <si>
    <t>EMP04587</t>
  </si>
  <si>
    <t>EMP04588</t>
  </si>
  <si>
    <t>EMP04589</t>
  </si>
  <si>
    <t>EMP04590</t>
  </si>
  <si>
    <t>EMP04591</t>
  </si>
  <si>
    <t>EMP04592</t>
  </si>
  <si>
    <t>EMP04593</t>
  </si>
  <si>
    <t>EMP04594</t>
  </si>
  <si>
    <t>EMP04595</t>
  </si>
  <si>
    <t>EMP04596</t>
  </si>
  <si>
    <t>EMP04597</t>
  </si>
  <si>
    <t>EMP04598</t>
  </si>
  <si>
    <t>EMP04599</t>
  </si>
  <si>
    <t>EMP04600</t>
  </si>
  <si>
    <t>EMP04601</t>
  </si>
  <si>
    <t>EMP04602</t>
  </si>
  <si>
    <t>EMP04603</t>
  </si>
  <si>
    <t>EMP04604</t>
  </si>
  <si>
    <t>EMP04605</t>
  </si>
  <si>
    <t>EMP04606</t>
  </si>
  <si>
    <t>EMP04607</t>
  </si>
  <si>
    <t>EMP04608</t>
  </si>
  <si>
    <t>EMP04609</t>
  </si>
  <si>
    <t>EMP04610</t>
  </si>
  <si>
    <t>EMP04611</t>
  </si>
  <si>
    <t>EMP04612</t>
  </si>
  <si>
    <t>EMP04613</t>
  </si>
  <si>
    <t>EMP04614</t>
  </si>
  <si>
    <t>EMP04615</t>
  </si>
  <si>
    <t>EMP04616</t>
  </si>
  <si>
    <t>EMP04617</t>
  </si>
  <si>
    <t>EMP04618</t>
  </si>
  <si>
    <t>EMP04619</t>
  </si>
  <si>
    <t>EMP04620</t>
  </si>
  <si>
    <t>EMP04621</t>
  </si>
  <si>
    <t>EMP04622</t>
  </si>
  <si>
    <t>EMP04623</t>
  </si>
  <si>
    <t>EMP04624</t>
  </si>
  <si>
    <t>EMP04625</t>
  </si>
  <si>
    <t>EMP04626</t>
  </si>
  <si>
    <t>EMP04627</t>
  </si>
  <si>
    <t>EMP04628</t>
  </si>
  <si>
    <t>EMP04629</t>
  </si>
  <si>
    <t>EMP04630</t>
  </si>
  <si>
    <t>EMP04631</t>
  </si>
  <si>
    <t>EMP04632</t>
  </si>
  <si>
    <t>EMP04633</t>
  </si>
  <si>
    <t>EMP04634</t>
  </si>
  <si>
    <t>EMP04635</t>
  </si>
  <si>
    <t>EMP04636</t>
  </si>
  <si>
    <t>EMP04637</t>
  </si>
  <si>
    <t>EMP04638</t>
  </si>
  <si>
    <t>EMP04639</t>
  </si>
  <si>
    <t>EMP04640</t>
  </si>
  <si>
    <t>EMP04641</t>
  </si>
  <si>
    <t>EMP04642</t>
  </si>
  <si>
    <t>EMP04643</t>
  </si>
  <si>
    <t>EMP04644</t>
  </si>
  <si>
    <t>EMP04645</t>
  </si>
  <si>
    <t>EMP04646</t>
  </si>
  <si>
    <t>EMP04647</t>
  </si>
  <si>
    <t>EMP04648</t>
  </si>
  <si>
    <t>EMP04649</t>
  </si>
  <si>
    <t>EMP04650</t>
  </si>
  <si>
    <t>EMP04651</t>
  </si>
  <si>
    <t>EMP04652</t>
  </si>
  <si>
    <t>EMP04653</t>
  </si>
  <si>
    <t>EMP04654</t>
  </si>
  <si>
    <t>EMP04655</t>
  </si>
  <si>
    <t>EMP04656</t>
  </si>
  <si>
    <t>EMP04657</t>
  </si>
  <si>
    <t>EMP04658</t>
  </si>
  <si>
    <t>EMP04659</t>
  </si>
  <si>
    <t>EMP04660</t>
  </si>
  <si>
    <t>EMP04661</t>
  </si>
  <si>
    <t>EMP04662</t>
  </si>
  <si>
    <t>EMP04663</t>
  </si>
  <si>
    <t>EMP04664</t>
  </si>
  <si>
    <t>EMP04665</t>
  </si>
  <si>
    <t>EMP04666</t>
  </si>
  <si>
    <t>EMP04667</t>
  </si>
  <si>
    <t>EMP04668</t>
  </si>
  <si>
    <t>EMP04669</t>
  </si>
  <si>
    <t>EMP04670</t>
  </si>
  <si>
    <t>EMP04671</t>
  </si>
  <si>
    <t>EMP04672</t>
  </si>
  <si>
    <t>EMP04673</t>
  </si>
  <si>
    <t>EMP04674</t>
  </si>
  <si>
    <t>EMP04675</t>
  </si>
  <si>
    <t>EMP04676</t>
  </si>
  <si>
    <t>EMP04677</t>
  </si>
  <si>
    <t>EMP04678</t>
  </si>
  <si>
    <t>EMP04679</t>
  </si>
  <si>
    <t>EMP04680</t>
  </si>
  <si>
    <t>EMP04681</t>
  </si>
  <si>
    <t>EMP04682</t>
  </si>
  <si>
    <t>EMP04683</t>
  </si>
  <si>
    <t>EMP04684</t>
  </si>
  <si>
    <t>EMP04685</t>
  </si>
  <si>
    <t>EMP04686</t>
  </si>
  <si>
    <t>EMP04687</t>
  </si>
  <si>
    <t>EMP04688</t>
  </si>
  <si>
    <t>EMP04689</t>
  </si>
  <si>
    <t>EMP04690</t>
  </si>
  <si>
    <t>EMP04691</t>
  </si>
  <si>
    <t>EMP04692</t>
  </si>
  <si>
    <t>EMP04693</t>
  </si>
  <si>
    <t>EMP04694</t>
  </si>
  <si>
    <t>EMP04695</t>
  </si>
  <si>
    <t>EMP04696</t>
  </si>
  <si>
    <t>EMP04697</t>
  </si>
  <si>
    <t>EMP04698</t>
  </si>
  <si>
    <t>EMP04699</t>
  </si>
  <si>
    <t>EMP04700</t>
  </si>
  <si>
    <t>EMP04701</t>
  </si>
  <si>
    <t>EMP04702</t>
  </si>
  <si>
    <t>EMP04703</t>
  </si>
  <si>
    <t>EMP04704</t>
  </si>
  <si>
    <t>EMP04705</t>
  </si>
  <si>
    <t>EMP04706</t>
  </si>
  <si>
    <t>EMP04707</t>
  </si>
  <si>
    <t>EMP04708</t>
  </si>
  <si>
    <t>EMP04709</t>
  </si>
  <si>
    <t>EMP04710</t>
  </si>
  <si>
    <t>EMP04711</t>
  </si>
  <si>
    <t>EMP04712</t>
  </si>
  <si>
    <t>EMP04713</t>
  </si>
  <si>
    <t>EMP04714</t>
  </si>
  <si>
    <t>EMP04715</t>
  </si>
  <si>
    <t>EMP04716</t>
  </si>
  <si>
    <t>EMP04717</t>
  </si>
  <si>
    <t>EMP04718</t>
  </si>
  <si>
    <t>EMP04719</t>
  </si>
  <si>
    <t>EMP04720</t>
  </si>
  <si>
    <t>EMP04721</t>
  </si>
  <si>
    <t>EMP04722</t>
  </si>
  <si>
    <t>EMP04723</t>
  </si>
  <si>
    <t>EMP04724</t>
  </si>
  <si>
    <t>EMP04725</t>
  </si>
  <si>
    <t>EMP04726</t>
  </si>
  <si>
    <t>EMP04727</t>
  </si>
  <si>
    <t>EMP04728</t>
  </si>
  <si>
    <t>EMP04729</t>
  </si>
  <si>
    <t>EMP04730</t>
  </si>
  <si>
    <t>EMP04731</t>
  </si>
  <si>
    <t>EMP04732</t>
  </si>
  <si>
    <t>EMP04733</t>
  </si>
  <si>
    <t>EMP04734</t>
  </si>
  <si>
    <t>EMP04735</t>
  </si>
  <si>
    <t>EMP04736</t>
  </si>
  <si>
    <t>EMP04737</t>
  </si>
  <si>
    <t>EMP04738</t>
  </si>
  <si>
    <t>EMP04739</t>
  </si>
  <si>
    <t>EMP04740</t>
  </si>
  <si>
    <t>EMP04741</t>
  </si>
  <si>
    <t>EMP04742</t>
  </si>
  <si>
    <t>EMP04743</t>
  </si>
  <si>
    <t>EMP04744</t>
  </si>
  <si>
    <t>EMP04745</t>
  </si>
  <si>
    <t>EMP04746</t>
  </si>
  <si>
    <t>EMP04747</t>
  </si>
  <si>
    <t>EMP04748</t>
  </si>
  <si>
    <t>EMP04749</t>
  </si>
  <si>
    <t>EMP04750</t>
  </si>
  <si>
    <t>EMP04751</t>
  </si>
  <si>
    <t>EMP04752</t>
  </si>
  <si>
    <t>EMP04753</t>
  </si>
  <si>
    <t>EMP04754</t>
  </si>
  <si>
    <t>EMP04755</t>
  </si>
  <si>
    <t>EMP04756</t>
  </si>
  <si>
    <t>EMP04757</t>
  </si>
  <si>
    <t>EMP04758</t>
  </si>
  <si>
    <t>EMP04759</t>
  </si>
  <si>
    <t>EMP04760</t>
  </si>
  <si>
    <t>EMP04761</t>
  </si>
  <si>
    <t>EMP04762</t>
  </si>
  <si>
    <t>EMP04763</t>
  </si>
  <si>
    <t>EMP04764</t>
  </si>
  <si>
    <t>EMP04765</t>
  </si>
  <si>
    <t>EMP04766</t>
  </si>
  <si>
    <t>EMP04767</t>
  </si>
  <si>
    <t>EMP04768</t>
  </si>
  <si>
    <t>EMP04769</t>
  </si>
  <si>
    <t>EMP04770</t>
  </si>
  <si>
    <t>EMP04771</t>
  </si>
  <si>
    <t>EMP04772</t>
  </si>
  <si>
    <t>EMP04773</t>
  </si>
  <si>
    <t>EMP04774</t>
  </si>
  <si>
    <t>EMP04775</t>
  </si>
  <si>
    <t>EMP04776</t>
  </si>
  <si>
    <t>EMP04777</t>
  </si>
  <si>
    <t>EMP04778</t>
  </si>
  <si>
    <t>EMP04779</t>
  </si>
  <si>
    <t>EMP04780</t>
  </si>
  <si>
    <t>EMP04781</t>
  </si>
  <si>
    <t>EMP04782</t>
  </si>
  <si>
    <t>EMP04783</t>
  </si>
  <si>
    <t>EMP04784</t>
  </si>
  <si>
    <t>EMP04785</t>
  </si>
  <si>
    <t>EMP04786</t>
  </si>
  <si>
    <t>EMP04787</t>
  </si>
  <si>
    <t>EMP04788</t>
  </si>
  <si>
    <t>EMP04789</t>
  </si>
  <si>
    <t>EMP04790</t>
  </si>
  <si>
    <t>EMP04791</t>
  </si>
  <si>
    <t>EMP04792</t>
  </si>
  <si>
    <t>EMP04793</t>
  </si>
  <si>
    <t>EMP04794</t>
  </si>
  <si>
    <t>EMP04795</t>
  </si>
  <si>
    <t>EMP04796</t>
  </si>
  <si>
    <t>EMP04797</t>
  </si>
  <si>
    <t>EMP04798</t>
  </si>
  <si>
    <t>EMP04799</t>
  </si>
  <si>
    <t>EMP04800</t>
  </si>
  <si>
    <t>EMP04801</t>
  </si>
  <si>
    <t>EMP04802</t>
  </si>
  <si>
    <t>EMP04803</t>
  </si>
  <si>
    <t>EMP04804</t>
  </si>
  <si>
    <t>EMP04805</t>
  </si>
  <si>
    <t>EMP04806</t>
  </si>
  <si>
    <t>EMP04807</t>
  </si>
  <si>
    <t>EMP04808</t>
  </si>
  <si>
    <t>EMP04809</t>
  </si>
  <si>
    <t>EMP04810</t>
  </si>
  <si>
    <t>EMP04811</t>
  </si>
  <si>
    <t>EMP04812</t>
  </si>
  <si>
    <t>EMP04813</t>
  </si>
  <si>
    <t>EMP04814</t>
  </si>
  <si>
    <t>EMP04815</t>
  </si>
  <si>
    <t>EMP04816</t>
  </si>
  <si>
    <t>EMP04817</t>
  </si>
  <si>
    <t>EMP04818</t>
  </si>
  <si>
    <t>EMP04819</t>
  </si>
  <si>
    <t>EMP04820</t>
  </si>
  <si>
    <t>EMP04821</t>
  </si>
  <si>
    <t>EMP04822</t>
  </si>
  <si>
    <t>EMP04823</t>
  </si>
  <si>
    <t>EMP04824</t>
  </si>
  <si>
    <t>EMP04825</t>
  </si>
  <si>
    <t>EMP04826</t>
  </si>
  <si>
    <t>EMP04827</t>
  </si>
  <si>
    <t>EMP04828</t>
  </si>
  <si>
    <t>EMP04829</t>
  </si>
  <si>
    <t>EMP04830</t>
  </si>
  <si>
    <t>EMP04831</t>
  </si>
  <si>
    <t>EMP04832</t>
  </si>
  <si>
    <t>EMP04833</t>
  </si>
  <si>
    <t>EMP04834</t>
  </si>
  <si>
    <t>EMP04835</t>
  </si>
  <si>
    <t>EMP04836</t>
  </si>
  <si>
    <t>EMP04837</t>
  </si>
  <si>
    <t>EMP04838</t>
  </si>
  <si>
    <t>EMP04839</t>
  </si>
  <si>
    <t>EMP04840</t>
  </si>
  <si>
    <t>EMP04841</t>
  </si>
  <si>
    <t>EMP04842</t>
  </si>
  <si>
    <t>EMP04843</t>
  </si>
  <si>
    <t>EMP04844</t>
  </si>
  <si>
    <t>EMP04845</t>
  </si>
  <si>
    <t>EMP04846</t>
  </si>
  <si>
    <t>EMP04847</t>
  </si>
  <si>
    <t>EMP04848</t>
  </si>
  <si>
    <t>EMP04849</t>
  </si>
  <si>
    <t>EMP04850</t>
  </si>
  <si>
    <t>EMP04851</t>
  </si>
  <si>
    <t>EMP04852</t>
  </si>
  <si>
    <t>EMP04853</t>
  </si>
  <si>
    <t>EMP04854</t>
  </si>
  <si>
    <t>EMP04855</t>
  </si>
  <si>
    <t>EMP04856</t>
  </si>
  <si>
    <t>EMP04857</t>
  </si>
  <si>
    <t>EMP04858</t>
  </si>
  <si>
    <t>EMP04859</t>
  </si>
  <si>
    <t>EMP04860</t>
  </si>
  <si>
    <t>EMP04861</t>
  </si>
  <si>
    <t>EMP04862</t>
  </si>
  <si>
    <t>EMP04863</t>
  </si>
  <si>
    <t>EMP04864</t>
  </si>
  <si>
    <t>EMP04865</t>
  </si>
  <si>
    <t>EMP04866</t>
  </si>
  <si>
    <t>EMP04867</t>
  </si>
  <si>
    <t>EMP04868</t>
  </si>
  <si>
    <t>EMP04869</t>
  </si>
  <si>
    <t>EMP04870</t>
  </si>
  <si>
    <t>EMP04871</t>
  </si>
  <si>
    <t>EMP04872</t>
  </si>
  <si>
    <t>EMP04873</t>
  </si>
  <si>
    <t>EMP04874</t>
  </si>
  <si>
    <t>EMP04875</t>
  </si>
  <si>
    <t>EMP04876</t>
  </si>
  <si>
    <t>EMP04877</t>
  </si>
  <si>
    <t>EMP04878</t>
  </si>
  <si>
    <t>EMP04879</t>
  </si>
  <si>
    <t>EMP04880</t>
  </si>
  <si>
    <t>EMP04881</t>
  </si>
  <si>
    <t>EMP04882</t>
  </si>
  <si>
    <t>EMP04883</t>
  </si>
  <si>
    <t>EMP04884</t>
  </si>
  <si>
    <t>EMP04885</t>
  </si>
  <si>
    <t>EMP04886</t>
  </si>
  <si>
    <t>EMP04887</t>
  </si>
  <si>
    <t>EMP04888</t>
  </si>
  <si>
    <t>EMP04889</t>
  </si>
  <si>
    <t>EMP04890</t>
  </si>
  <si>
    <t>EMP04891</t>
  </si>
  <si>
    <t>EMP04892</t>
  </si>
  <si>
    <t>EMP04893</t>
  </si>
  <si>
    <t>EMP04894</t>
  </si>
  <si>
    <t>EMP04895</t>
  </si>
  <si>
    <t>EMP04896</t>
  </si>
  <si>
    <t>EMP04897</t>
  </si>
  <si>
    <t>EMP04898</t>
  </si>
  <si>
    <t>EMP04899</t>
  </si>
  <si>
    <t>EMP04900</t>
  </si>
  <si>
    <t>EMP04901</t>
  </si>
  <si>
    <t>EMP04902</t>
  </si>
  <si>
    <t>EMP04903</t>
  </si>
  <si>
    <t>EMP04904</t>
  </si>
  <si>
    <t>EMP04905</t>
  </si>
  <si>
    <t>EMP04906</t>
  </si>
  <si>
    <t>EMP04907</t>
  </si>
  <si>
    <t>EMP04908</t>
  </si>
  <si>
    <t>EMP04909</t>
  </si>
  <si>
    <t>EMP04910</t>
  </si>
  <si>
    <t>EMP04911</t>
  </si>
  <si>
    <t>EMP04912</t>
  </si>
  <si>
    <t>EMP04913</t>
  </si>
  <si>
    <t>EMP04914</t>
  </si>
  <si>
    <t>EMP04915</t>
  </si>
  <si>
    <t>EMP04916</t>
  </si>
  <si>
    <t>EMP04917</t>
  </si>
  <si>
    <t>EMP04918</t>
  </si>
  <si>
    <t>EMP04919</t>
  </si>
  <si>
    <t>EMP04920</t>
  </si>
  <si>
    <t>EMP04921</t>
  </si>
  <si>
    <t>EMP04922</t>
  </si>
  <si>
    <t>EMP04923</t>
  </si>
  <si>
    <t>EMP04924</t>
  </si>
  <si>
    <t>EMP04925</t>
  </si>
  <si>
    <t>EMP04926</t>
  </si>
  <si>
    <t>EMP04927</t>
  </si>
  <si>
    <t>EMP04928</t>
  </si>
  <si>
    <t>EMP04929</t>
  </si>
  <si>
    <t>EMP04930</t>
  </si>
  <si>
    <t>EMP04931</t>
  </si>
  <si>
    <t>EMP04932</t>
  </si>
  <si>
    <t>EMP04933</t>
  </si>
  <si>
    <t>EMP04934</t>
  </si>
  <si>
    <t>EMP04935</t>
  </si>
  <si>
    <t>EMP04936</t>
  </si>
  <si>
    <t>EMP04937</t>
  </si>
  <si>
    <t>EMP04938</t>
  </si>
  <si>
    <t>EMP04939</t>
  </si>
  <si>
    <t>EMP04940</t>
  </si>
  <si>
    <t>EMP04941</t>
  </si>
  <si>
    <t>EMP04942</t>
  </si>
  <si>
    <t>EMP04943</t>
  </si>
  <si>
    <t>EMP04944</t>
  </si>
  <si>
    <t>EMP04945</t>
  </si>
  <si>
    <t>EMP04946</t>
  </si>
  <si>
    <t>EMP04947</t>
  </si>
  <si>
    <t>EMP04948</t>
  </si>
  <si>
    <t>EMP04949</t>
  </si>
  <si>
    <t>EMP04950</t>
  </si>
  <si>
    <t>EMP04951</t>
  </si>
  <si>
    <t>EMP04952</t>
  </si>
  <si>
    <t>EMP04953</t>
  </si>
  <si>
    <t>EMP04954</t>
  </si>
  <si>
    <t>EMP04955</t>
  </si>
  <si>
    <t>EMP04956</t>
  </si>
  <si>
    <t>EMP04957</t>
  </si>
  <si>
    <t>EMP04958</t>
  </si>
  <si>
    <t>EMP04959</t>
  </si>
  <si>
    <t>EMP04960</t>
  </si>
  <si>
    <t>EMP04961</t>
  </si>
  <si>
    <t>EMP04962</t>
  </si>
  <si>
    <t>EMP04963</t>
  </si>
  <si>
    <t>EMP04964</t>
  </si>
  <si>
    <t>EMP04965</t>
  </si>
  <si>
    <t>EMP04966</t>
  </si>
  <si>
    <t>EMP04967</t>
  </si>
  <si>
    <t>EMP04968</t>
  </si>
  <si>
    <t>EMP04969</t>
  </si>
  <si>
    <t>EMP04970</t>
  </si>
  <si>
    <t>EMP04971</t>
  </si>
  <si>
    <t>EMP04972</t>
  </si>
  <si>
    <t>EMP04973</t>
  </si>
  <si>
    <t>EMP04974</t>
  </si>
  <si>
    <t>EMP04975</t>
  </si>
  <si>
    <t>EMP04976</t>
  </si>
  <si>
    <t>EMP04977</t>
  </si>
  <si>
    <t>EMP04978</t>
  </si>
  <si>
    <t>EMP04979</t>
  </si>
  <si>
    <t>EMP04980</t>
  </si>
  <si>
    <t>EMP04981</t>
  </si>
  <si>
    <t>EMP04982</t>
  </si>
  <si>
    <t>EMP04983</t>
  </si>
  <si>
    <t>EMP04984</t>
  </si>
  <si>
    <t>EMP04985</t>
  </si>
  <si>
    <t>EMP04986</t>
  </si>
  <si>
    <t>EMP04987</t>
  </si>
  <si>
    <t>EMP04988</t>
  </si>
  <si>
    <t>EMP04989</t>
  </si>
  <si>
    <t>EMP04990</t>
  </si>
  <si>
    <t>Average Base Salary</t>
  </si>
  <si>
    <t>Median Base Salary</t>
  </si>
  <si>
    <t>Education Level</t>
  </si>
  <si>
    <t>Key Insights</t>
  </si>
  <si>
    <t>Row Labels</t>
  </si>
  <si>
    <t>Grand Total</t>
  </si>
  <si>
    <t>Count of Employee_ID</t>
  </si>
  <si>
    <t>Average of Base_Salary</t>
  </si>
  <si>
    <t>(blank)</t>
  </si>
  <si>
    <t>Tenure_Group</t>
  </si>
  <si>
    <t>0–2 Years</t>
  </si>
  <si>
    <t>12-14 Years</t>
  </si>
  <si>
    <t>3–5 Years</t>
  </si>
  <si>
    <t>6–8 Years</t>
  </si>
  <si>
    <t>9-11 Years</t>
  </si>
  <si>
    <t>🎯 Business Questions to Dashboard and Columns</t>
  </si>
  <si>
    <t>Dashboard Requirement</t>
  </si>
  <si>
    <t>Dashboard Element</t>
  </si>
  <si>
    <t>Column Used</t>
  </si>
  <si>
    <t>How many employees are in the dataset?</t>
  </si>
  <si>
    <t>KPI</t>
  </si>
  <si>
    <t>What is the average base salary?</t>
  </si>
  <si>
    <t>What is the median base salary?</t>
  </si>
  <si>
    <t>What is average total compensation?</t>
  </si>
  <si>
    <t>How does salary differ by gender?</t>
  </si>
  <si>
    <t>Which departments have the highest salary?</t>
  </si>
  <si>
    <t>Which job roles have the highest salary?</t>
  </si>
  <si>
    <t>How does salary change with tenure?</t>
  </si>
  <si>
    <t>How does salary vary by education?</t>
  </si>
  <si>
    <t>What does the gender comparison look like within job roles?</t>
  </si>
  <si>
    <t>Where should HR investigate further?</t>
  </si>
  <si>
    <t>Gender + Base_Salary</t>
  </si>
  <si>
    <t>Bar chart</t>
  </si>
  <si>
    <t>Column chart</t>
  </si>
  <si>
    <t>Department + Base_Salary</t>
  </si>
  <si>
    <t>Horizontal bar</t>
  </si>
  <si>
    <t>Job_role + Base_Salary</t>
  </si>
  <si>
    <t>Line/column chart</t>
  </si>
  <si>
    <t>Tenure_Group + Base_Salary</t>
  </si>
  <si>
    <t>Education_level + Base_Salary</t>
  </si>
  <si>
    <t>Clustered bar</t>
  </si>
  <si>
    <t>Job_role + Gender + Base_Salary</t>
  </si>
  <si>
    <t>Analysis results</t>
  </si>
  <si>
    <t>KPI PivotTables</t>
  </si>
  <si>
    <t>PT01 - Total Employees</t>
  </si>
  <si>
    <t>PT02 - Average Base Salary</t>
  </si>
  <si>
    <t>PT03 - Median Base Salary</t>
  </si>
  <si>
    <t>PT04 - Average Total Compensation</t>
  </si>
  <si>
    <t>Average of Total_Compensation</t>
  </si>
  <si>
    <t>PT05 - Compensation by Gender</t>
  </si>
  <si>
    <t>PT06 - Compensation by Department</t>
  </si>
  <si>
    <t>PT07 - Compensation by Job Role</t>
  </si>
  <si>
    <t>PT08 - Compensation by Tenure</t>
  </si>
  <si>
    <t>PT09 - Compensation by Education</t>
  </si>
  <si>
    <t>PT10 - Gender by Job Role</t>
  </si>
  <si>
    <t>Column Labels</t>
  </si>
  <si>
    <t xml:space="preserve">EMPLOYEE COMPENSATION AND SALARY EQUITY </t>
  </si>
  <si>
    <t>Compensation Patterns | Workforce Insights  Equity Analysis</t>
  </si>
  <si>
    <t>=</t>
  </si>
  <si>
    <t>Educational_Level Slicer</t>
  </si>
  <si>
    <t>Unknown</t>
  </si>
  <si>
    <t>Sum of Base_Salary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</si>
</sst>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2]\ * #,##0.00_-;\-[$€-2]\ * #,##0.00_-;_-[$€-2]\ * &quot;-&quot;??_-;_-@_-"/>
    <numFmt numFmtId="165" formatCode="_-[$€-2]\ * #,##0_-;\-[$€-2]\ * #,##0_-;_-[$€-2]\ * &quot;-&quot;??_-;_-@_-"/>
    <numFmt numFmtId="166" formatCode="_-* #,##0_-;\-* #,##0_-;_-* &quot;-&quot;??_-;_-@_-"/>
    <numFmt numFmtId="167" formatCode="[$€-2]\ #,##0"/>
    <numFmt numFmtId="168" formatCode="0.0"/>
    <numFmt numFmtId="169" formatCode="[$€-2]\ #,##0;[Red][$€-2]\ #,##0"/>
  </numFmts>
  <fonts count="10" x14ac:knownFonts="1">
    <font>
      <sz val="11"/>
      <color theme="1"/>
      <name val="Calibri"/>
      <family val="2"/>
      <scheme val="minor"/>
    </font>
    <font>
      <b/>
      <sz val="11"/>
      <color theme="1"/>
      <name val="Calibri"/>
      <family val="2"/>
      <scheme val="minor"/>
    </font>
    <font>
      <b/>
      <sz val="20"/>
      <color theme="3" tint="-0.499984740745262"/>
      <name val="Calibri"/>
      <family val="2"/>
      <scheme val="minor"/>
    </font>
    <font>
      <b/>
      <sz val="16"/>
      <color theme="0"/>
      <name val="Calibri"/>
      <family val="2"/>
      <scheme val="minor"/>
    </font>
    <font>
      <sz val="16"/>
      <color theme="1"/>
      <name val="Calibri"/>
      <family val="2"/>
      <scheme val="minor"/>
    </font>
    <font>
      <b/>
      <u/>
      <sz val="16"/>
      <color theme="0"/>
      <name val="Calibri"/>
      <family val="2"/>
      <scheme val="minor"/>
    </font>
    <font>
      <b/>
      <sz val="11"/>
      <color theme="1"/>
      <name val="Segoe UI"/>
      <family val="2"/>
    </font>
    <font>
      <b/>
      <sz val="18"/>
      <color theme="0"/>
      <name val="Calibri"/>
      <family val="2"/>
      <scheme val="minor"/>
    </font>
    <font>
      <b/>
      <sz val="14"/>
      <color theme="0"/>
      <name val="Calibri"/>
      <family val="2"/>
      <scheme val="minor"/>
    </font>
    <font>
      <b/>
      <sz val="12"/>
      <color rgb="FF1F4E79"/>
      <name val="Calibri"/>
      <family val="2"/>
      <scheme val="minor"/>
    </font>
  </fonts>
  <fills count="7">
    <fill>
      <patternFill patternType="none"/>
    </fill>
    <fill>
      <patternFill patternType="gray125"/>
    </fill>
    <fill>
      <patternFill patternType="solid">
        <fgColor theme="3" tint="0.79998168889431442"/>
        <bgColor indexed="64"/>
      </patternFill>
    </fill>
    <fill>
      <patternFill patternType="solid">
        <fgColor theme="3" tint="-0.499984740745262"/>
        <bgColor indexed="64"/>
      </patternFill>
    </fill>
    <fill>
      <patternFill patternType="solid">
        <fgColor theme="3"/>
        <bgColor indexed="64"/>
      </patternFill>
    </fill>
    <fill>
      <patternFill patternType="solid">
        <fgColor rgb="FF1F4E79"/>
        <bgColor indexed="64"/>
      </patternFill>
    </fill>
    <fill>
      <patternFill patternType="solid">
        <fgColor rgb="FFFFFF00"/>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24">
    <xf numFmtId="0" fontId="0" fillId="0" borderId="0" xfId="0"/>
    <xf numFmtId="0" fontId="1" fillId="0" borderId="0" xfId="0" applyFont="1"/>
    <xf numFmtId="0" fontId="0" fillId="0" borderId="0" xfId="0" applyAlignment="1">
      <alignment horizontal="left"/>
    </xf>
    <xf numFmtId="14" fontId="0" fillId="0" borderId="0" xfId="0" applyNumberFormat="1"/>
    <xf numFmtId="164" fontId="0" fillId="0" borderId="0" xfId="0" applyNumberFormat="1"/>
    <xf numFmtId="165" fontId="0" fillId="0" borderId="0" xfId="0" applyNumberFormat="1"/>
    <xf numFmtId="0" fontId="0" fillId="0" borderId="0" xfId="0" pivotButton="1"/>
    <xf numFmtId="1" fontId="0" fillId="0" borderId="0" xfId="0" applyNumberFormat="1"/>
    <xf numFmtId="166" fontId="0" fillId="0" borderId="0" xfId="0" applyNumberFormat="1"/>
    <xf numFmtId="168" fontId="0" fillId="0" borderId="0" xfId="0" applyNumberFormat="1"/>
    <xf numFmtId="0" fontId="2" fillId="0" borderId="0" xfId="0" applyFont="1"/>
    <xf numFmtId="0" fontId="3" fillId="3" borderId="1" xfId="0" applyFont="1" applyFill="1" applyBorder="1" applyAlignment="1">
      <alignment horizontal="center" vertical="center" wrapText="1"/>
    </xf>
    <xf numFmtId="0" fontId="4" fillId="2" borderId="1" xfId="0" applyFont="1" applyFill="1" applyBorder="1" applyAlignment="1">
      <alignment vertical="center" wrapText="1"/>
    </xf>
    <xf numFmtId="0" fontId="6" fillId="0" borderId="0" xfId="0" applyFont="1"/>
    <xf numFmtId="167" fontId="0" fillId="0" borderId="0" xfId="0" applyNumberFormat="1"/>
    <xf numFmtId="169" fontId="0" fillId="0" borderId="0" xfId="0" applyNumberFormat="1"/>
    <xf numFmtId="0" fontId="0" fillId="5" borderId="0" xfId="0" applyFill="1"/>
    <xf numFmtId="0" fontId="0" fillId="6" borderId="0" xfId="0" applyFill="1"/>
    <xf numFmtId="167" fontId="9" fillId="0" borderId="0" xfId="0" applyNumberFormat="1" applyFont="1"/>
    <xf numFmtId="0" fontId="0" fillId="0" borderId="0" xfId="0"/>
    <xf numFmtId="0" fontId="5" fillId="4" borderId="0" xfId="0" applyFont="1" applyFill="1"/>
    <xf numFmtId="0" fontId="7" fillId="5" borderId="0" xfId="0" applyFont="1" applyFill="1" applyAlignment="1">
      <alignment horizontal="center"/>
    </xf>
    <xf numFmtId="0" fontId="8" fillId="5" borderId="0" xfId="0" applyFont="1" applyFill="1" applyAlignment="1">
      <alignment horizontal="center"/>
    </xf>
    <xf numFmtId="0" fontId="0" fillId="0" borderId="0" xfId="0" applyNumberFormat="1"/>
  </cellXfs>
  <cellStyles count="1">
    <cellStyle name="Normal" xfId="0" builtinId="0"/>
  </cellStyles>
  <dxfs count="93">
    <dxf>
      <numFmt numFmtId="169" formatCode="[$€-2]\ #,##0;[Red][$€-2]\ #,##0"/>
    </dxf>
    <dxf>
      <numFmt numFmtId="165" formatCode="_-[$€-2]\ * #,##0_-;\-[$€-2]\ * #,##0_-;_-[$€-2]\ * &quot;-&quot;??_-;_-@_-"/>
    </dxf>
    <dxf>
      <numFmt numFmtId="165" formatCode="_-[$€-2]\ * #,##0_-;\-[$€-2]\ * #,##0_-;_-[$€-2]\ * &quot;-&quot;??_-;_-@_-"/>
    </dxf>
    <dxf>
      <numFmt numFmtId="169" formatCode="[$€-2]\ #,##0;[Red][$€-2]\ #,##0"/>
    </dxf>
    <dxf>
      <numFmt numFmtId="165" formatCode="_-[$€-2]\ * #,##0_-;\-[$€-2]\ * #,##0_-;_-[$€-2]\ * &quot;-&quot;??_-;_-@_-"/>
    </dxf>
    <dxf>
      <numFmt numFmtId="165" formatCode="_-[$€-2]\ * #,##0_-;\-[$€-2]\ * #,##0_-;_-[$€-2]\ * &quot;-&quot;??_-;_-@_-"/>
    </dxf>
    <dxf>
      <numFmt numFmtId="169" formatCode="[$€-2]\ #,##0;[Red][$€-2]\ #,##0"/>
    </dxf>
    <dxf>
      <numFmt numFmtId="165" formatCode="_-[$€-2]\ * #,##0_-;\-[$€-2]\ * #,##0_-;_-[$€-2]\ * &quot;-&quot;??_-;_-@_-"/>
    </dxf>
    <dxf>
      <numFmt numFmtId="165" formatCode="_-[$€-2]\ * #,##0_-;\-[$€-2]\ * #,##0_-;_-[$€-2]\ * &quot;-&quot;??_-;_-@_-"/>
    </dxf>
    <dxf>
      <numFmt numFmtId="165" formatCode="_-[$€-2]\ * #,##0_-;\-[$€-2]\ * #,##0_-;_-[$€-2]\ * &quot;-&quot;??_-;_-@_-"/>
    </dxf>
    <dxf>
      <numFmt numFmtId="169" formatCode="[$€-2]\ #,##0;[Red][$€-2]\ #,##0"/>
    </dxf>
    <dxf>
      <numFmt numFmtId="169" formatCode="[$€-2]\ #,##0;[Red][$€-2]\ #,##0"/>
    </dxf>
    <dxf>
      <numFmt numFmtId="169" formatCode="[$€-2]\ #,##0;[Red][$€-2]\ #,##0"/>
    </dxf>
    <dxf>
      <numFmt numFmtId="165" formatCode="_-[$€-2]\ * #,##0_-;\-[$€-2]\ * #,##0_-;_-[$€-2]\ * &quot;-&quot;??_-;_-@_-"/>
    </dxf>
    <dxf>
      <numFmt numFmtId="165" formatCode="_-[$€-2]\ * #,##0_-;\-[$€-2]\ * #,##0_-;_-[$€-2]\ * &quot;-&quot;??_-;_-@_-"/>
    </dxf>
    <dxf>
      <numFmt numFmtId="167" formatCode="[$€-2]\ #,##0"/>
    </dxf>
    <dxf>
      <numFmt numFmtId="166" formatCode="_-* #,##0_-;\-* #,##0_-;_-* &quot;-&quot;??_-;_-@_-"/>
    </dxf>
    <dxf>
      <numFmt numFmtId="169" formatCode="[$€-2]\ #,##0;[Red][$€-2]\ #,##0"/>
    </dxf>
    <dxf>
      <numFmt numFmtId="165" formatCode="_-[$€-2]\ * #,##0_-;\-[$€-2]\ * #,##0_-;_-[$€-2]\ * &quot;-&quot;??_-;_-@_-"/>
    </dxf>
    <dxf>
      <numFmt numFmtId="165" formatCode="_-[$€-2]\ * #,##0_-;\-[$€-2]\ * #,##0_-;_-[$€-2]\ * &quot;-&quot;??_-;_-@_-"/>
    </dxf>
    <dxf>
      <numFmt numFmtId="169" formatCode="[$€-2]\ #,##0;[Red][$€-2]\ #,##0"/>
    </dxf>
    <dxf>
      <numFmt numFmtId="165" formatCode="_-[$€-2]\ * #,##0_-;\-[$€-2]\ * #,##0_-;_-[$€-2]\ * &quot;-&quot;??_-;_-@_-"/>
    </dxf>
    <dxf>
      <numFmt numFmtId="165" formatCode="_-[$€-2]\ * #,##0_-;\-[$€-2]\ * #,##0_-;_-[$€-2]\ * &quot;-&quot;??_-;_-@_-"/>
    </dxf>
    <dxf>
      <numFmt numFmtId="169" formatCode="[$€-2]\ #,##0;[Red][$€-2]\ #,##0"/>
    </dxf>
    <dxf>
      <numFmt numFmtId="165" formatCode="_-[$€-2]\ * #,##0_-;\-[$€-2]\ * #,##0_-;_-[$€-2]\ * &quot;-&quot;??_-;_-@_-"/>
    </dxf>
    <dxf>
      <numFmt numFmtId="165" formatCode="_-[$€-2]\ * #,##0_-;\-[$€-2]\ * #,##0_-;_-[$€-2]\ * &quot;-&quot;??_-;_-@_-"/>
    </dxf>
    <dxf>
      <numFmt numFmtId="165" formatCode="_-[$€-2]\ * #,##0_-;\-[$€-2]\ * #,##0_-;_-[$€-2]\ * &quot;-&quot;??_-;_-@_-"/>
    </dxf>
    <dxf>
      <numFmt numFmtId="169" formatCode="[$€-2]\ #,##0;[Red][$€-2]\ #,##0"/>
    </dxf>
    <dxf>
      <numFmt numFmtId="169" formatCode="[$€-2]\ #,##0;[Red][$€-2]\ #,##0"/>
    </dxf>
    <dxf>
      <numFmt numFmtId="169" formatCode="[$€-2]\ #,##0;[Red][$€-2]\ #,##0"/>
    </dxf>
    <dxf>
      <numFmt numFmtId="165" formatCode="_-[$€-2]\ * #,##0_-;\-[$€-2]\ * #,##0_-;_-[$€-2]\ * &quot;-&quot;??_-;_-@_-"/>
    </dxf>
    <dxf>
      <numFmt numFmtId="165" formatCode="_-[$€-2]\ * #,##0_-;\-[$€-2]\ * #,##0_-;_-[$€-2]\ * &quot;-&quot;??_-;_-@_-"/>
    </dxf>
    <dxf>
      <numFmt numFmtId="167" formatCode="[$€-2]\ #,##0"/>
    </dxf>
    <dxf>
      <numFmt numFmtId="166" formatCode="_-* #,##0_-;\-* #,##0_-;_-* &quot;-&quot;??_-;_-@_-"/>
    </dxf>
    <dxf>
      <numFmt numFmtId="169" formatCode="[$€-2]\ #,##0;[Red][$€-2]\ #,##0"/>
    </dxf>
    <dxf>
      <numFmt numFmtId="165" formatCode="_-[$€-2]\ * #,##0_-;\-[$€-2]\ * #,##0_-;_-[$€-2]\ * &quot;-&quot;??_-;_-@_-"/>
    </dxf>
    <dxf>
      <numFmt numFmtId="165" formatCode="_-[$€-2]\ * #,##0_-;\-[$€-2]\ * #,##0_-;_-[$€-2]\ * &quot;-&quot;??_-;_-@_-"/>
    </dxf>
    <dxf>
      <numFmt numFmtId="169" formatCode="[$€-2]\ #,##0;[Red][$€-2]\ #,##0"/>
    </dxf>
    <dxf>
      <numFmt numFmtId="165" formatCode="_-[$€-2]\ * #,##0_-;\-[$€-2]\ * #,##0_-;_-[$€-2]\ * &quot;-&quot;??_-;_-@_-"/>
    </dxf>
    <dxf>
      <numFmt numFmtId="165" formatCode="_-[$€-2]\ * #,##0_-;\-[$€-2]\ * #,##0_-;_-[$€-2]\ * &quot;-&quot;??_-;_-@_-"/>
    </dxf>
    <dxf>
      <numFmt numFmtId="169" formatCode="[$€-2]\ #,##0;[Red][$€-2]\ #,##0"/>
    </dxf>
    <dxf>
      <numFmt numFmtId="165" formatCode="_-[$€-2]\ * #,##0_-;\-[$€-2]\ * #,##0_-;_-[$€-2]\ * &quot;-&quot;??_-;_-@_-"/>
    </dxf>
    <dxf>
      <numFmt numFmtId="165" formatCode="_-[$€-2]\ * #,##0_-;\-[$€-2]\ * #,##0_-;_-[$€-2]\ * &quot;-&quot;??_-;_-@_-"/>
    </dxf>
    <dxf>
      <numFmt numFmtId="165" formatCode="_-[$€-2]\ * #,##0_-;\-[$€-2]\ * #,##0_-;_-[$€-2]\ * &quot;-&quot;??_-;_-@_-"/>
    </dxf>
    <dxf>
      <numFmt numFmtId="169" formatCode="[$€-2]\ #,##0;[Red][$€-2]\ #,##0"/>
    </dxf>
    <dxf>
      <numFmt numFmtId="169" formatCode="[$€-2]\ #,##0;[Red][$€-2]\ #,##0"/>
    </dxf>
    <dxf>
      <numFmt numFmtId="169" formatCode="[$€-2]\ #,##0;[Red][$€-2]\ #,##0"/>
    </dxf>
    <dxf>
      <numFmt numFmtId="165" formatCode="_-[$€-2]\ * #,##0_-;\-[$€-2]\ * #,##0_-;_-[$€-2]\ * &quot;-&quot;??_-;_-@_-"/>
    </dxf>
    <dxf>
      <numFmt numFmtId="165" formatCode="_-[$€-2]\ * #,##0_-;\-[$€-2]\ * #,##0_-;_-[$€-2]\ * &quot;-&quot;??_-;_-@_-"/>
    </dxf>
    <dxf>
      <numFmt numFmtId="167" formatCode="[$€-2]\ #,##0"/>
    </dxf>
    <dxf>
      <numFmt numFmtId="166" formatCode="_-* #,##0_-;\-* #,##0_-;_-* &quot;-&quot;??_-;_-@_-"/>
    </dxf>
    <dxf>
      <numFmt numFmtId="169" formatCode="[$€-2]\ #,##0;[Red][$€-2]\ #,##0"/>
    </dxf>
    <dxf>
      <numFmt numFmtId="165" formatCode="_-[$€-2]\ * #,##0_-;\-[$€-2]\ * #,##0_-;_-[$€-2]\ * &quot;-&quot;??_-;_-@_-"/>
    </dxf>
    <dxf>
      <numFmt numFmtId="165" formatCode="_-[$€-2]\ * #,##0_-;\-[$€-2]\ * #,##0_-;_-[$€-2]\ * &quot;-&quot;??_-;_-@_-"/>
    </dxf>
    <dxf>
      <numFmt numFmtId="169" formatCode="[$€-2]\ #,##0;[Red][$€-2]\ #,##0"/>
    </dxf>
    <dxf>
      <numFmt numFmtId="165" formatCode="_-[$€-2]\ * #,##0_-;\-[$€-2]\ * #,##0_-;_-[$€-2]\ * &quot;-&quot;??_-;_-@_-"/>
    </dxf>
    <dxf>
      <numFmt numFmtId="165" formatCode="_-[$€-2]\ * #,##0_-;\-[$€-2]\ * #,##0_-;_-[$€-2]\ * &quot;-&quot;??_-;_-@_-"/>
    </dxf>
    <dxf>
      <numFmt numFmtId="169" formatCode="[$€-2]\ #,##0;[Red][$€-2]\ #,##0"/>
    </dxf>
    <dxf>
      <numFmt numFmtId="165" formatCode="_-[$€-2]\ * #,##0_-;\-[$€-2]\ * #,##0_-;_-[$€-2]\ * &quot;-&quot;??_-;_-@_-"/>
    </dxf>
    <dxf>
      <numFmt numFmtId="165" formatCode="_-[$€-2]\ * #,##0_-;\-[$€-2]\ * #,##0_-;_-[$€-2]\ * &quot;-&quot;??_-;_-@_-"/>
    </dxf>
    <dxf>
      <numFmt numFmtId="165" formatCode="_-[$€-2]\ * #,##0_-;\-[$€-2]\ * #,##0_-;_-[$€-2]\ * &quot;-&quot;??_-;_-@_-"/>
    </dxf>
    <dxf>
      <numFmt numFmtId="169" formatCode="[$€-2]\ #,##0;[Red][$€-2]\ #,##0"/>
    </dxf>
    <dxf>
      <numFmt numFmtId="169" formatCode="[$€-2]\ #,##0;[Red][$€-2]\ #,##0"/>
    </dxf>
    <dxf>
      <numFmt numFmtId="169" formatCode="[$€-2]\ #,##0;[Red][$€-2]\ #,##0"/>
    </dxf>
    <dxf>
      <numFmt numFmtId="165" formatCode="_-[$€-2]\ * #,##0_-;\-[$€-2]\ * #,##0_-;_-[$€-2]\ * &quot;-&quot;??_-;_-@_-"/>
    </dxf>
    <dxf>
      <numFmt numFmtId="165" formatCode="_-[$€-2]\ * #,##0_-;\-[$€-2]\ * #,##0_-;_-[$€-2]\ * &quot;-&quot;??_-;_-@_-"/>
    </dxf>
    <dxf>
      <numFmt numFmtId="167" formatCode="[$€-2]\ #,##0"/>
    </dxf>
    <dxf>
      <numFmt numFmtId="166" formatCode="_-* #,##0_-;\-* #,##0_-;_-* &quot;-&quot;??_-;_-@_-"/>
    </dxf>
    <dxf>
      <numFmt numFmtId="167" formatCode="[$€-2]\ #,##0"/>
    </dxf>
    <dxf>
      <numFmt numFmtId="169" formatCode="[$€-2]\ #,##0;[Red][$€-2]\ #,##0"/>
    </dxf>
    <dxf>
      <numFmt numFmtId="165" formatCode="_-[$€-2]\ * #,##0_-;\-[$€-2]\ * #,##0_-;_-[$€-2]\ * &quot;-&quot;??_-;_-@_-"/>
    </dxf>
    <dxf>
      <numFmt numFmtId="169" formatCode="[$€-2]\ #,##0;[Red][$€-2]\ #,##0"/>
    </dxf>
    <dxf>
      <numFmt numFmtId="165" formatCode="_-[$€-2]\ * #,##0_-;\-[$€-2]\ * #,##0_-;_-[$€-2]\ * &quot;-&quot;??_-;_-@_-"/>
    </dxf>
    <dxf>
      <numFmt numFmtId="165" formatCode="_-[$€-2]\ * #,##0_-;\-[$€-2]\ * #,##0_-;_-[$€-2]\ * &quot;-&quot;??_-;_-@_-"/>
    </dxf>
    <dxf>
      <numFmt numFmtId="169" formatCode="[$€-2]\ #,##0;[Red][$€-2]\ #,##0"/>
    </dxf>
    <dxf>
      <numFmt numFmtId="167" formatCode="[$€-2]\ #,##0"/>
    </dxf>
    <dxf>
      <numFmt numFmtId="165" formatCode="_-[$€-2]\ * #,##0_-;\-[$€-2]\ * #,##0_-;_-[$€-2]\ * &quot;-&quot;??_-;_-@_-"/>
    </dxf>
    <dxf>
      <numFmt numFmtId="165" formatCode="_-[$€-2]\ * #,##0_-;\-[$€-2]\ * #,##0_-;_-[$€-2]\ * &quot;-&quot;??_-;_-@_-"/>
    </dxf>
    <dxf>
      <numFmt numFmtId="169" formatCode="[$€-2]\ #,##0;[Red][$€-2]\ #,##0"/>
    </dxf>
    <dxf>
      <numFmt numFmtId="169" formatCode="[$€-2]\ #,##0;[Red][$€-2]\ #,##0"/>
    </dxf>
    <dxf>
      <numFmt numFmtId="166" formatCode="_-* #,##0_-;\-* #,##0_-;_-* &quot;-&quot;??_-;_-@_-"/>
    </dxf>
    <dxf>
      <numFmt numFmtId="169" formatCode="[$€-2]\ #,##0;[Red][$€-2]\ #,##0"/>
    </dxf>
    <dxf>
      <numFmt numFmtId="165" formatCode="_-[$€-2]\ * #,##0_-;\-[$€-2]\ * #,##0_-;_-[$€-2]\ * &quot;-&quot;??_-;_-@_-"/>
    </dxf>
    <dxf>
      <numFmt numFmtId="165" formatCode="_-[$€-2]\ * #,##0_-;\-[$€-2]\ * #,##0_-;_-[$€-2]\ * &quot;-&quot;??_-;_-@_-"/>
    </dxf>
    <dxf>
      <numFmt numFmtId="165" formatCode="_-[$€-2]\ * #,##0_-;\-[$€-2]\ * #,##0_-;_-[$€-2]\ * &quot;-&quot;??_-;_-@_-"/>
    </dxf>
    <dxf>
      <numFmt numFmtId="165" formatCode="_-[$€-2]\ * #,##0_-;\-[$€-2]\ * #,##0_-;_-[$€-2]\ * &quot;-&quot;??_-;_-@_-"/>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1F4E79"/>
      <color rgb="FF1F3449"/>
      <color rgb="FF2F7D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[employee_compensation_salary_dashboard.xlsx]Supporting_Pivots!PT07 - Compensation by Job Role</c:name>
    <c:fmtId val="21"/>
  </c:pivotSource>
  <c:chart>
    <c:title>
      <c:tx>
        <c:rich>
          <a:bodyPr rot="0" spcFirstLastPara="1" vertOverflow="ellipsis" vert="horz" wrap="square" anchor="ctr" anchorCtr="1"/>
          <a:lstStyle/>
          <a:p>
            <a:pPr>
              <a:defRPr sz="1100" b="0" i="0" u="none" strike="noStrike" kern="1200" spc="0" baseline="0">
                <a:solidFill>
                  <a:srgbClr val="1F3449"/>
                </a:solidFill>
                <a:latin typeface="+mn-lt"/>
                <a:ea typeface="+mn-ea"/>
                <a:cs typeface="+mn-cs"/>
              </a:defRPr>
            </a:pPr>
            <a:r>
              <a:rPr lang="en-US" sz="1100" b="1">
                <a:solidFill>
                  <a:srgbClr val="1F3449"/>
                </a:solidFill>
              </a:rPr>
              <a:t>Average Base Salary by Job Role</a:t>
            </a:r>
          </a:p>
        </c:rich>
      </c:tx>
      <c:layout>
        <c:manualLayout>
          <c:xMode val="edge"/>
          <c:yMode val="edge"/>
          <c:x val="8.2634440874262902E-2"/>
          <c:y val="1.7094017094017096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rgbClr val="1F3449"/>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F4E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F4E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F4E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1F4E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1F4E79"/>
          </a:solidFill>
          <a:ln>
            <a:noFill/>
          </a:ln>
          <a:effectLst/>
        </c:spPr>
        <c:marker>
          <c:symbol val="none"/>
        </c:marker>
        <c:dLbl>
          <c:idx val="0"/>
          <c:numFmt formatCode="[$€-2]\ #,##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F3449"/>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F4E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08573928258968"/>
          <c:y val="0.11498023715415022"/>
          <c:w val="0.84947603771750757"/>
          <c:h val="0.76170645171329865"/>
        </c:manualLayout>
      </c:layout>
      <c:barChart>
        <c:barDir val="bar"/>
        <c:grouping val="clustered"/>
        <c:varyColors val="0"/>
        <c:ser>
          <c:idx val="0"/>
          <c:order val="0"/>
          <c:tx>
            <c:strRef>
              <c:f>Supporting_Pivots!$B$19</c:f>
              <c:strCache>
                <c:ptCount val="1"/>
                <c:pt idx="0">
                  <c:v>Total</c:v>
                </c:pt>
              </c:strCache>
            </c:strRef>
          </c:tx>
          <c:spPr>
            <a:solidFill>
              <a:srgbClr val="1F4E79"/>
            </a:solidFill>
            <a:ln>
              <a:noFill/>
            </a:ln>
            <a:effectLst/>
          </c:spPr>
          <c:invertIfNegative val="0"/>
          <c:cat>
            <c:strRef>
              <c:f>Supporting_Pivots!$A$20:$A$39</c:f>
              <c:strCache>
                <c:ptCount val="19"/>
                <c:pt idx="0">
                  <c:v>Sales Representative</c:v>
                </c:pt>
                <c:pt idx="1">
                  <c:v>Marketing Specialist</c:v>
                </c:pt>
                <c:pt idx="2">
                  <c:v>HR Specialist</c:v>
                </c:pt>
                <c:pt idx="3">
                  <c:v>Operations Specialist</c:v>
                </c:pt>
                <c:pt idx="4">
                  <c:v>IT Specialist</c:v>
                </c:pt>
                <c:pt idx="5">
                  <c:v>HR Analyst</c:v>
                </c:pt>
                <c:pt idx="6">
                  <c:v>Operations Analyst</c:v>
                </c:pt>
                <c:pt idx="7">
                  <c:v>Accountant</c:v>
                </c:pt>
                <c:pt idx="8">
                  <c:v>Marketing Analyst</c:v>
                </c:pt>
                <c:pt idx="9">
                  <c:v>Financial Analyst</c:v>
                </c:pt>
                <c:pt idx="10">
                  <c:v>Data Analyst</c:v>
                </c:pt>
                <c:pt idx="11">
                  <c:v>Software Developer</c:v>
                </c:pt>
                <c:pt idx="12">
                  <c:v>Account Manager</c:v>
                </c:pt>
                <c:pt idx="13">
                  <c:v>Marketing Manager</c:v>
                </c:pt>
                <c:pt idx="14">
                  <c:v>Sales Manager</c:v>
                </c:pt>
                <c:pt idx="15">
                  <c:v>HR Manager</c:v>
                </c:pt>
                <c:pt idx="16">
                  <c:v>Operations Manager</c:v>
                </c:pt>
                <c:pt idx="17">
                  <c:v>Finance Manager</c:v>
                </c:pt>
                <c:pt idx="18">
                  <c:v>IT Manager</c:v>
                </c:pt>
              </c:strCache>
            </c:strRef>
          </c:cat>
          <c:val>
            <c:numRef>
              <c:f>Supporting_Pivots!$B$20:$B$39</c:f>
              <c:numCache>
                <c:formatCode>_-[$€-2]\ * #,##0_-;\-[$€-2]\ * #,##0_-;_-[$€-2]\ * "-"??_-;_-@_-</c:formatCode>
                <c:ptCount val="19"/>
                <c:pt idx="0">
                  <c:v>63694.833948339481</c:v>
                </c:pt>
                <c:pt idx="1">
                  <c:v>65350.877192982458</c:v>
                </c:pt>
                <c:pt idx="2">
                  <c:v>69098.076923076922</c:v>
                </c:pt>
                <c:pt idx="3">
                  <c:v>69356.976744186046</c:v>
                </c:pt>
                <c:pt idx="4">
                  <c:v>73473.68421052632</c:v>
                </c:pt>
                <c:pt idx="5">
                  <c:v>74370.609318996416</c:v>
                </c:pt>
                <c:pt idx="6">
                  <c:v>75707.092198581566</c:v>
                </c:pt>
                <c:pt idx="7">
                  <c:v>75797.96610169491</c:v>
                </c:pt>
                <c:pt idx="8">
                  <c:v>76119.784172661864</c:v>
                </c:pt>
                <c:pt idx="9">
                  <c:v>76121.978021978022</c:v>
                </c:pt>
                <c:pt idx="10">
                  <c:v>80141.509009009009</c:v>
                </c:pt>
                <c:pt idx="11">
                  <c:v>92889.159663865546</c:v>
                </c:pt>
                <c:pt idx="12">
                  <c:v>95633.910034602071</c:v>
                </c:pt>
                <c:pt idx="13">
                  <c:v>97243.071161048691</c:v>
                </c:pt>
                <c:pt idx="14">
                  <c:v>97733.576642335771</c:v>
                </c:pt>
                <c:pt idx="15">
                  <c:v>98379.436619718312</c:v>
                </c:pt>
                <c:pt idx="16">
                  <c:v>99870.817120622567</c:v>
                </c:pt>
                <c:pt idx="17">
                  <c:v>100555.91836734694</c:v>
                </c:pt>
                <c:pt idx="18">
                  <c:v>103333.92857142857</c:v>
                </c:pt>
              </c:numCache>
            </c:numRef>
          </c:val>
          <c:extLst>
            <c:ext xmlns:c16="http://schemas.microsoft.com/office/drawing/2014/chart" uri="{C3380CC4-5D6E-409C-BE32-E72D297353CC}">
              <c16:uniqueId val="{00000001-5B95-4619-B1F4-9CA2137F7945}"/>
            </c:ext>
          </c:extLst>
        </c:ser>
        <c:dLbls>
          <c:showLegendKey val="0"/>
          <c:showVal val="0"/>
          <c:showCatName val="0"/>
          <c:showSerName val="0"/>
          <c:showPercent val="0"/>
          <c:showBubbleSize val="0"/>
        </c:dLbls>
        <c:gapWidth val="182"/>
        <c:axId val="2128310400"/>
        <c:axId val="1992027088"/>
      </c:barChart>
      <c:catAx>
        <c:axId val="21283104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992027088"/>
        <c:crosses val="autoZero"/>
        <c:auto val="1"/>
        <c:lblAlgn val="ctr"/>
        <c:lblOffset val="100"/>
        <c:noMultiLvlLbl val="0"/>
      </c:catAx>
      <c:valAx>
        <c:axId val="1992027088"/>
        <c:scaling>
          <c:orientation val="minMax"/>
        </c:scaling>
        <c:delete val="0"/>
        <c:axPos val="b"/>
        <c:numFmt formatCode="_-[$€-2]\ * #,##0_-;\-[$€-2]\ * #,##0_-;_-[$€-2]\ *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2128310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[employee_compensation_salary_dashboard.xlsx]Supporting_Pivots!PT05 - Compensation by Gender</c:name>
    <c:fmtId val="17"/>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solidFill>
                  <a:srgbClr val="002060"/>
                </a:solidFill>
              </a:rPr>
              <a:t>Average</a:t>
            </a:r>
            <a:r>
              <a:rPr lang="en-US" sz="1100" b="1" baseline="0">
                <a:solidFill>
                  <a:srgbClr val="002060"/>
                </a:solidFill>
              </a:rPr>
              <a:t> Base Salary by Gender</a:t>
            </a:r>
            <a:endParaRPr lang="en-US" sz="1100" b="1">
              <a:solidFill>
                <a:srgbClr val="002060"/>
              </a:solidFill>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solidFill>
          <a:ln>
            <a:noFill/>
          </a:ln>
          <a:effectLst/>
        </c:spPr>
      </c:pivotFmt>
      <c:pivotFmt>
        <c:idx val="2"/>
        <c:spPr>
          <a:solidFill>
            <a:srgbClr val="2F7D7A"/>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2F7D7A"/>
          </a:solidFill>
          <a:ln>
            <a:noFill/>
          </a:ln>
          <a:effectLst/>
        </c:spPr>
      </c:pivotFmt>
      <c:pivotFmt>
        <c:idx val="5"/>
        <c:spPr>
          <a:solidFill>
            <a:schemeClr val="tx2"/>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F3449"/>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F7D7A"/>
          </a:solidFill>
          <a:ln>
            <a:noFill/>
          </a:ln>
          <a:effectLst/>
        </c:spPr>
      </c:pivotFmt>
      <c:pivotFmt>
        <c:idx val="8"/>
        <c:spPr>
          <a:solidFill>
            <a:schemeClr val="tx2"/>
          </a:solidFill>
          <a:ln>
            <a:noFill/>
          </a:ln>
          <a:effectLst/>
        </c:spPr>
      </c:pivotFmt>
    </c:pivotFmts>
    <c:plotArea>
      <c:layout/>
      <c:barChart>
        <c:barDir val="col"/>
        <c:grouping val="clustered"/>
        <c:varyColors val="0"/>
        <c:ser>
          <c:idx val="0"/>
          <c:order val="0"/>
          <c:tx>
            <c:strRef>
              <c:f>Supporting_Pivots!$B$8</c:f>
              <c:strCache>
                <c:ptCount val="1"/>
                <c:pt idx="0">
                  <c:v>Total</c:v>
                </c:pt>
              </c:strCache>
            </c:strRef>
          </c:tx>
          <c:spPr>
            <a:solidFill>
              <a:schemeClr val="accent1"/>
            </a:solidFill>
            <a:ln>
              <a:noFill/>
            </a:ln>
            <a:effectLst/>
          </c:spPr>
          <c:invertIfNegative val="0"/>
          <c:dPt>
            <c:idx val="0"/>
            <c:invertIfNegative val="0"/>
            <c:bubble3D val="0"/>
            <c:spPr>
              <a:solidFill>
                <a:srgbClr val="2F7D7A"/>
              </a:solidFill>
              <a:ln>
                <a:noFill/>
              </a:ln>
              <a:effectLst/>
            </c:spPr>
            <c:extLst>
              <c:ext xmlns:c16="http://schemas.microsoft.com/office/drawing/2014/chart" uri="{C3380CC4-5D6E-409C-BE32-E72D297353CC}">
                <c16:uniqueId val="{00000001-0823-4F98-86AE-3213AEFC3EF2}"/>
              </c:ext>
            </c:extLst>
          </c:dPt>
          <c:dPt>
            <c:idx val="1"/>
            <c:invertIfNegative val="0"/>
            <c:bubble3D val="0"/>
            <c:spPr>
              <a:solidFill>
                <a:schemeClr val="tx2"/>
              </a:solidFill>
              <a:ln>
                <a:noFill/>
              </a:ln>
              <a:effectLst/>
            </c:spPr>
            <c:extLst>
              <c:ext xmlns:c16="http://schemas.microsoft.com/office/drawing/2014/chart" uri="{C3380CC4-5D6E-409C-BE32-E72D297353CC}">
                <c16:uniqueId val="{00000003-0823-4F98-86AE-3213AEFC3EF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F3449"/>
                    </a:solidFill>
                    <a:latin typeface="+mn-lt"/>
                    <a:ea typeface="+mn-ea"/>
                    <a:cs typeface="+mn-cs"/>
                  </a:defRPr>
                </a:pPr>
                <a:endParaRPr lang="en-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Supporting_Pivots!$A$9:$A$11</c:f>
              <c:strCache>
                <c:ptCount val="2"/>
                <c:pt idx="0">
                  <c:v>Female</c:v>
                </c:pt>
                <c:pt idx="1">
                  <c:v>Male</c:v>
                </c:pt>
              </c:strCache>
            </c:strRef>
          </c:cat>
          <c:val>
            <c:numRef>
              <c:f>Supporting_Pivots!$B$9:$B$11</c:f>
              <c:numCache>
                <c:formatCode>[$€-2]\ #,##0</c:formatCode>
                <c:ptCount val="2"/>
                <c:pt idx="0">
                  <c:v>83111.54538184726</c:v>
                </c:pt>
                <c:pt idx="1">
                  <c:v>83291.048613901163</c:v>
                </c:pt>
              </c:numCache>
            </c:numRef>
          </c:val>
          <c:extLst>
            <c:ext xmlns:c16="http://schemas.microsoft.com/office/drawing/2014/chart" uri="{C3380CC4-5D6E-409C-BE32-E72D297353CC}">
              <c16:uniqueId val="{00000004-0823-4F98-86AE-3213AEFC3EF2}"/>
            </c:ext>
          </c:extLst>
        </c:ser>
        <c:dLbls>
          <c:dLblPos val="outEnd"/>
          <c:showLegendKey val="0"/>
          <c:showVal val="1"/>
          <c:showCatName val="0"/>
          <c:showSerName val="0"/>
          <c:showPercent val="0"/>
          <c:showBubbleSize val="0"/>
        </c:dLbls>
        <c:gapWidth val="219"/>
        <c:overlap val="-27"/>
        <c:axId val="1916013007"/>
        <c:axId val="937355055"/>
      </c:barChart>
      <c:catAx>
        <c:axId val="191601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937355055"/>
        <c:crosses val="autoZero"/>
        <c:auto val="1"/>
        <c:lblAlgn val="ctr"/>
        <c:lblOffset val="100"/>
        <c:noMultiLvlLbl val="0"/>
      </c:catAx>
      <c:valAx>
        <c:axId val="937355055"/>
        <c:scaling>
          <c:orientation val="minMax"/>
          <c:min val="0"/>
        </c:scaling>
        <c:delete val="0"/>
        <c:axPos val="l"/>
        <c:numFmt formatCode="[$€-2]\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916013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[employee_compensation_salary_dashboard.xlsx]Supporting_Pivots!PT08 - Compensation by Tenure</c:name>
    <c:fmtId val="17"/>
  </c:pivotSource>
  <c:chart>
    <c:title>
      <c:tx>
        <c:rich>
          <a:bodyPr rot="0" spcFirstLastPara="1" vertOverflow="ellipsis" vert="horz" wrap="square" anchor="ctr" anchorCtr="1"/>
          <a:lstStyle/>
          <a:p>
            <a:pPr>
              <a:defRPr sz="1100" b="0" i="0" u="none" strike="noStrike" kern="1200" spc="0" baseline="0">
                <a:solidFill>
                  <a:srgbClr val="1F3449"/>
                </a:solidFill>
                <a:latin typeface="+mn-lt"/>
                <a:ea typeface="+mn-ea"/>
                <a:cs typeface="+mn-cs"/>
              </a:defRPr>
            </a:pPr>
            <a:r>
              <a:rPr lang="en-US" sz="1100" b="1" i="0" u="none" strike="noStrike" kern="1200" spc="0" baseline="0">
                <a:solidFill>
                  <a:srgbClr val="1F3449"/>
                </a:solidFill>
              </a:rPr>
              <a:t>Average Base Salary by Tenure</a:t>
            </a:r>
          </a:p>
        </c:rich>
      </c:tx>
      <c:overlay val="0"/>
      <c:spPr>
        <a:noFill/>
        <a:ln>
          <a:noFill/>
        </a:ln>
        <a:effectLst/>
      </c:spPr>
      <c:txPr>
        <a:bodyPr rot="0" spcFirstLastPara="1" vertOverflow="ellipsis" vert="horz" wrap="square" anchor="ctr" anchorCtr="1"/>
        <a:lstStyle/>
        <a:p>
          <a:pPr>
            <a:defRPr sz="1100" b="0" i="0" u="none" strike="noStrike" kern="1200" spc="0" baseline="0">
              <a:solidFill>
                <a:srgbClr val="1F3449"/>
              </a:solidFill>
              <a:latin typeface="+mn-lt"/>
              <a:ea typeface="+mn-ea"/>
              <a:cs typeface="+mn-cs"/>
            </a:defRPr>
          </a:pPr>
          <a:endParaRPr lang="en-D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F3449"/>
                  </a:solidFill>
                  <a:latin typeface="+mn-lt"/>
                  <a:ea typeface="+mn-ea"/>
                  <a:cs typeface="+mn-cs"/>
                </a:defRPr>
              </a:pPr>
              <a:endParaRPr lang="en-DE"/>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Supporting_Pivots!$E$18</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F3449"/>
                    </a:solidFill>
                    <a:latin typeface="+mn-lt"/>
                    <a:ea typeface="+mn-ea"/>
                    <a:cs typeface="+mn-cs"/>
                  </a:defRPr>
                </a:pPr>
                <a:endParaRPr lang="en-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Supporting_Pivots!$D$19:$D$24</c:f>
              <c:strCache>
                <c:ptCount val="5"/>
                <c:pt idx="0">
                  <c:v>0–2 Years</c:v>
                </c:pt>
                <c:pt idx="1">
                  <c:v>3–5 Years</c:v>
                </c:pt>
                <c:pt idx="2">
                  <c:v>6–8 Years</c:v>
                </c:pt>
                <c:pt idx="3">
                  <c:v>9-11 Years</c:v>
                </c:pt>
                <c:pt idx="4">
                  <c:v>12-14 Years</c:v>
                </c:pt>
              </c:strCache>
            </c:strRef>
          </c:cat>
          <c:val>
            <c:numRef>
              <c:f>Supporting_Pivots!$E$19:$E$24</c:f>
              <c:numCache>
                <c:formatCode>[$€-2]\ #,##0;[Red][$€-2]\ #,##0</c:formatCode>
                <c:ptCount val="5"/>
                <c:pt idx="0">
                  <c:v>76758.23410013532</c:v>
                </c:pt>
                <c:pt idx="1">
                  <c:v>79274.746543778805</c:v>
                </c:pt>
                <c:pt idx="2">
                  <c:v>82926.079734219267</c:v>
                </c:pt>
                <c:pt idx="3">
                  <c:v>87350.761421319796</c:v>
                </c:pt>
                <c:pt idx="4">
                  <c:v>88903.025641025641</c:v>
                </c:pt>
              </c:numCache>
            </c:numRef>
          </c:val>
          <c:smooth val="0"/>
          <c:extLst>
            <c:ext xmlns:c16="http://schemas.microsoft.com/office/drawing/2014/chart" uri="{C3380CC4-5D6E-409C-BE32-E72D297353CC}">
              <c16:uniqueId val="{00000000-B643-49B3-B293-31A034C95126}"/>
            </c:ext>
          </c:extLst>
        </c:ser>
        <c:dLbls>
          <c:dLblPos val="t"/>
          <c:showLegendKey val="0"/>
          <c:showVal val="1"/>
          <c:showCatName val="0"/>
          <c:showSerName val="0"/>
          <c:showPercent val="0"/>
          <c:showBubbleSize val="0"/>
        </c:dLbls>
        <c:smooth val="0"/>
        <c:axId val="1788737439"/>
        <c:axId val="746793615"/>
      </c:lineChart>
      <c:catAx>
        <c:axId val="178873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746793615"/>
        <c:crosses val="autoZero"/>
        <c:auto val="1"/>
        <c:lblAlgn val="ctr"/>
        <c:lblOffset val="100"/>
        <c:noMultiLvlLbl val="0"/>
      </c:catAx>
      <c:valAx>
        <c:axId val="746793615"/>
        <c:scaling>
          <c:orientation val="minMax"/>
        </c:scaling>
        <c:delete val="0"/>
        <c:axPos val="l"/>
        <c:numFmt formatCode="[$€-2]\ #,##0;[Red][$€-2]\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788737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[employee_compensation_salary_dashboard.xlsx]Supporting_Pivots!PT06 - Compensation by Department</c:name>
    <c:fmtId val="15"/>
  </c:pivotSource>
  <c:chart>
    <c:title>
      <c:tx>
        <c:rich>
          <a:bodyPr rot="0" spcFirstLastPara="1" vertOverflow="ellipsis" vert="horz" wrap="square" anchor="ctr" anchorCtr="1"/>
          <a:lstStyle/>
          <a:p>
            <a:pPr>
              <a:defRPr sz="1200" b="0" i="0" u="none" strike="noStrike" kern="1200" spc="0" baseline="0">
                <a:solidFill>
                  <a:srgbClr val="1F3449"/>
                </a:solidFill>
                <a:latin typeface="+mn-lt"/>
                <a:ea typeface="+mn-ea"/>
                <a:cs typeface="+mn-cs"/>
              </a:defRPr>
            </a:pPr>
            <a:r>
              <a:rPr lang="en-US" sz="1200" b="1" i="0" u="none" strike="noStrike" kern="1200" spc="0" baseline="0">
                <a:solidFill>
                  <a:srgbClr val="1F3449"/>
                </a:solidFill>
              </a:rPr>
              <a:t>Average Base Salary by Department</a:t>
            </a:r>
          </a:p>
        </c:rich>
      </c:tx>
      <c:overlay val="0"/>
      <c:spPr>
        <a:noFill/>
        <a:ln>
          <a:noFill/>
        </a:ln>
        <a:effectLst/>
      </c:spPr>
      <c:txPr>
        <a:bodyPr rot="0" spcFirstLastPara="1" vertOverflow="ellipsis" vert="horz" wrap="square" anchor="ctr" anchorCtr="1"/>
        <a:lstStyle/>
        <a:p>
          <a:pPr>
            <a:defRPr sz="1200" b="0" i="0" u="none" strike="noStrike" kern="1200" spc="0" baseline="0">
              <a:solidFill>
                <a:srgbClr val="1F3449"/>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F7D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F3449"/>
                  </a:solidFill>
                  <a:latin typeface="+mn-lt"/>
                  <a:ea typeface="+mn-ea"/>
                  <a:cs typeface="+mn-cs"/>
                </a:defRPr>
              </a:pPr>
              <a:endParaRPr lang="en-D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Supporting_Pivots!$M$7</c:f>
              <c:strCache>
                <c:ptCount val="1"/>
                <c:pt idx="0">
                  <c:v>Total</c:v>
                </c:pt>
              </c:strCache>
            </c:strRef>
          </c:tx>
          <c:spPr>
            <a:solidFill>
              <a:srgbClr val="2F7D7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F3449"/>
                    </a:solidFill>
                    <a:latin typeface="+mn-lt"/>
                    <a:ea typeface="+mn-ea"/>
                    <a:cs typeface="+mn-cs"/>
                  </a:defRPr>
                </a:pPr>
                <a:endParaRPr lang="en-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Supporting_Pivots!$L$8:$L$14</c:f>
              <c:strCache>
                <c:ptCount val="6"/>
                <c:pt idx="0">
                  <c:v>IT</c:v>
                </c:pt>
                <c:pt idx="1">
                  <c:v>Sales</c:v>
                </c:pt>
                <c:pt idx="2">
                  <c:v>Finance</c:v>
                </c:pt>
                <c:pt idx="3">
                  <c:v>Operations</c:v>
                </c:pt>
                <c:pt idx="4">
                  <c:v>HR</c:v>
                </c:pt>
                <c:pt idx="5">
                  <c:v>Marketing</c:v>
                </c:pt>
              </c:strCache>
            </c:strRef>
          </c:cat>
          <c:val>
            <c:numRef>
              <c:f>Supporting_Pivots!$M$8:$M$14</c:f>
              <c:numCache>
                <c:formatCode>[$€-2]\ #,##0;[Red][$€-2]\ #,##0</c:formatCode>
                <c:ptCount val="6"/>
                <c:pt idx="0">
                  <c:v>87796.007838745805</c:v>
                </c:pt>
                <c:pt idx="1">
                  <c:v>85945.443645083928</c:v>
                </c:pt>
                <c:pt idx="2">
                  <c:v>83367.650676506761</c:v>
                </c:pt>
                <c:pt idx="3">
                  <c:v>81443.287327478043</c:v>
                </c:pt>
                <c:pt idx="4">
                  <c:v>80989.866342648849</c:v>
                </c:pt>
                <c:pt idx="5">
                  <c:v>79217.108433734946</c:v>
                </c:pt>
              </c:numCache>
            </c:numRef>
          </c:val>
          <c:extLst>
            <c:ext xmlns:c16="http://schemas.microsoft.com/office/drawing/2014/chart" uri="{C3380CC4-5D6E-409C-BE32-E72D297353CC}">
              <c16:uniqueId val="{00000000-098A-4B5F-9FED-2D04FCFEE9E6}"/>
            </c:ext>
          </c:extLst>
        </c:ser>
        <c:dLbls>
          <c:dLblPos val="outEnd"/>
          <c:showLegendKey val="0"/>
          <c:showVal val="1"/>
          <c:showCatName val="0"/>
          <c:showSerName val="0"/>
          <c:showPercent val="0"/>
          <c:showBubbleSize val="0"/>
        </c:dLbls>
        <c:gapWidth val="219"/>
        <c:axId val="1915784255"/>
        <c:axId val="746833455"/>
      </c:barChart>
      <c:catAx>
        <c:axId val="19157842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746833455"/>
        <c:crosses val="autoZero"/>
        <c:auto val="1"/>
        <c:lblAlgn val="ctr"/>
        <c:lblOffset val="100"/>
        <c:noMultiLvlLbl val="0"/>
      </c:catAx>
      <c:valAx>
        <c:axId val="746833455"/>
        <c:scaling>
          <c:orientation val="minMax"/>
        </c:scaling>
        <c:delete val="0"/>
        <c:axPos val="b"/>
        <c:numFmt formatCode="[$€-2]\ #,##0;[Red][$€-2]\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91578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rgbClr val="1F3449"/>
                </a:solidFill>
                <a:latin typeface="+mn-lt"/>
                <a:ea typeface="+mn-ea"/>
                <a:cs typeface="+mn-cs"/>
              </a:defRPr>
            </a:pPr>
            <a:r>
              <a:rPr lang="en-US" sz="1100" b="1" i="0" u="none" strike="noStrike" kern="1200" spc="0" baseline="0">
                <a:solidFill>
                  <a:srgbClr val="1F3449"/>
                </a:solidFill>
              </a:rPr>
              <a:t>Average Base Salary by Education</a:t>
            </a:r>
          </a:p>
        </c:rich>
      </c:tx>
      <c:overlay val="0"/>
      <c:spPr>
        <a:noFill/>
        <a:ln>
          <a:noFill/>
        </a:ln>
        <a:effectLst/>
      </c:spPr>
      <c:txPr>
        <a:bodyPr rot="0" spcFirstLastPara="1" vertOverflow="ellipsis" vert="horz" wrap="square" anchor="ctr" anchorCtr="1"/>
        <a:lstStyle/>
        <a:p>
          <a:pPr>
            <a:defRPr sz="1100" b="0" i="0" u="none" strike="noStrike" kern="1200" spc="0" baseline="0">
              <a:solidFill>
                <a:srgbClr val="1F3449"/>
              </a:solidFill>
              <a:latin typeface="+mn-lt"/>
              <a:ea typeface="+mn-ea"/>
              <a:cs typeface="+mn-cs"/>
            </a:defRPr>
          </a:pPr>
          <a:endParaRPr lang="en-DE"/>
        </a:p>
      </c:txPr>
    </c:title>
    <c:autoTitleDeleted val="0"/>
    <c:plotArea>
      <c:layout/>
      <c:barChart>
        <c:barDir val="col"/>
        <c:grouping val="clustered"/>
        <c:varyColors val="0"/>
        <c:ser>
          <c:idx val="0"/>
          <c:order val="0"/>
          <c:spPr>
            <a:solidFill>
              <a:srgbClr val="1F4E7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Supporting_Pivots!$D$11:$D$14</c:f>
              <c:strCache>
                <c:ptCount val="4"/>
                <c:pt idx="0">
                  <c:v>High School</c:v>
                </c:pt>
                <c:pt idx="1">
                  <c:v>Bachelor's</c:v>
                </c:pt>
                <c:pt idx="2">
                  <c:v>Master's</c:v>
                </c:pt>
                <c:pt idx="3">
                  <c:v>PhD</c:v>
                </c:pt>
              </c:strCache>
            </c:strRef>
          </c:cat>
          <c:val>
            <c:numRef>
              <c:f>Supporting_Pivots!$E$11:$E$14</c:f>
              <c:numCache>
                <c:formatCode>[$€-2]\ #,##0</c:formatCode>
                <c:ptCount val="4"/>
                <c:pt idx="0">
                  <c:v>78374.957983193279</c:v>
                </c:pt>
                <c:pt idx="1">
                  <c:v>81647.679245283012</c:v>
                </c:pt>
                <c:pt idx="2">
                  <c:v>86222.031063321381</c:v>
                </c:pt>
                <c:pt idx="3">
                  <c:v>88653.773584905663</c:v>
                </c:pt>
              </c:numCache>
            </c:numRef>
          </c:val>
          <c:extLst>
            <c:ext xmlns:c16="http://schemas.microsoft.com/office/drawing/2014/chart" uri="{C3380CC4-5D6E-409C-BE32-E72D297353CC}">
              <c16:uniqueId val="{00000000-C467-4EC3-8DC3-DAA8D89FA921}"/>
            </c:ext>
          </c:extLst>
        </c:ser>
        <c:dLbls>
          <c:dLblPos val="outEnd"/>
          <c:showLegendKey val="0"/>
          <c:showVal val="1"/>
          <c:showCatName val="0"/>
          <c:showSerName val="0"/>
          <c:showPercent val="0"/>
          <c:showBubbleSize val="0"/>
        </c:dLbls>
        <c:gapWidth val="219"/>
        <c:overlap val="-27"/>
        <c:axId val="1915966143"/>
        <c:axId val="2034882255"/>
      </c:barChart>
      <c:catAx>
        <c:axId val="191596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2034882255"/>
        <c:crosses val="autoZero"/>
        <c:auto val="1"/>
        <c:lblAlgn val="ctr"/>
        <c:lblOffset val="100"/>
        <c:noMultiLvlLbl val="0"/>
      </c:catAx>
      <c:valAx>
        <c:axId val="2034882255"/>
        <c:scaling>
          <c:orientation val="minMax"/>
        </c:scaling>
        <c:delete val="0"/>
        <c:axPos val="l"/>
        <c:numFmt formatCode="[$€-2]\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91596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[employee_compensation_salary_dashboard.xlsx]Supporting_Pivots!PT10 - Average BS by Job Role and Gender</c:name>
    <c:fmtId val="23"/>
  </c:pivotSource>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GB" sz="1050" b="1">
                <a:solidFill>
                  <a:srgbClr val="002060"/>
                </a:solidFill>
              </a:rPr>
              <a:t>Avg Base Salary by Job Role &amp; Gender</a:t>
            </a:r>
            <a:endParaRPr lang="en-DE" sz="1050" b="1">
              <a:solidFill>
                <a:srgbClr val="002060"/>
              </a:solidFill>
            </a:endParaRP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rgbClr val="2F7D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F4E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F4E79"/>
          </a:solidFill>
          <a:ln>
            <a:noFill/>
          </a:ln>
          <a:effectLst/>
        </c:spPr>
      </c:pivotFmt>
      <c:pivotFmt>
        <c:idx val="3"/>
        <c:spPr>
          <a:solidFill>
            <a:srgbClr val="2F7D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F4E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2F7D7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F4E7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Supporting_Pivots!$H$10:$H$11</c:f>
              <c:strCache>
                <c:ptCount val="1"/>
                <c:pt idx="0">
                  <c:v>Female</c:v>
                </c:pt>
              </c:strCache>
            </c:strRef>
          </c:tx>
          <c:spPr>
            <a:solidFill>
              <a:srgbClr val="2F7D7A"/>
            </a:solidFill>
            <a:ln>
              <a:noFill/>
            </a:ln>
            <a:effectLst/>
          </c:spPr>
          <c:invertIfNegative val="0"/>
          <c:cat>
            <c:strRef>
              <c:f>Supporting_Pivots!$G$12:$G$31</c:f>
              <c:strCache>
                <c:ptCount val="19"/>
                <c:pt idx="0">
                  <c:v>Account Manager</c:v>
                </c:pt>
                <c:pt idx="1">
                  <c:v>Accountant</c:v>
                </c:pt>
                <c:pt idx="2">
                  <c:v>Data Analyst</c:v>
                </c:pt>
                <c:pt idx="3">
                  <c:v>Finance Manager</c:v>
                </c:pt>
                <c:pt idx="4">
                  <c:v>Financial Analyst</c:v>
                </c:pt>
                <c:pt idx="5">
                  <c:v>HR Analyst</c:v>
                </c:pt>
                <c:pt idx="6">
                  <c:v>HR Manager</c:v>
                </c:pt>
                <c:pt idx="7">
                  <c:v>HR Specialist</c:v>
                </c:pt>
                <c:pt idx="8">
                  <c:v>IT Manager</c:v>
                </c:pt>
                <c:pt idx="9">
                  <c:v>IT Specialist</c:v>
                </c:pt>
                <c:pt idx="10">
                  <c:v>Marketing Analyst</c:v>
                </c:pt>
                <c:pt idx="11">
                  <c:v>Marketing Manager</c:v>
                </c:pt>
                <c:pt idx="12">
                  <c:v>Marketing Specialist</c:v>
                </c:pt>
                <c:pt idx="13">
                  <c:v>Operations Analyst</c:v>
                </c:pt>
                <c:pt idx="14">
                  <c:v>Operations Manager</c:v>
                </c:pt>
                <c:pt idx="15">
                  <c:v>Operations Specialist</c:v>
                </c:pt>
                <c:pt idx="16">
                  <c:v>Sales Manager</c:v>
                </c:pt>
                <c:pt idx="17">
                  <c:v>Sales Representative</c:v>
                </c:pt>
                <c:pt idx="18">
                  <c:v>Software Developer</c:v>
                </c:pt>
              </c:strCache>
            </c:strRef>
          </c:cat>
          <c:val>
            <c:numRef>
              <c:f>Supporting_Pivots!$H$12:$H$31</c:f>
              <c:numCache>
                <c:formatCode>[$€-2]\ #,##0;[Red][$€-2]\ #,##0</c:formatCode>
                <c:ptCount val="19"/>
                <c:pt idx="0">
                  <c:v>95180</c:v>
                </c:pt>
                <c:pt idx="1">
                  <c:v>74485.71428571429</c:v>
                </c:pt>
                <c:pt idx="2">
                  <c:v>79373.415841584152</c:v>
                </c:pt>
                <c:pt idx="3">
                  <c:v>101058.77192982456</c:v>
                </c:pt>
                <c:pt idx="4">
                  <c:v>76902.173913043473</c:v>
                </c:pt>
                <c:pt idx="5">
                  <c:v>75392.810457516345</c:v>
                </c:pt>
                <c:pt idx="6">
                  <c:v>98437.12230215827</c:v>
                </c:pt>
                <c:pt idx="7">
                  <c:v>69602.521008403361</c:v>
                </c:pt>
                <c:pt idx="8">
                  <c:v>103231.19266055046</c:v>
                </c:pt>
                <c:pt idx="9">
                  <c:v>73824.107142857145</c:v>
                </c:pt>
                <c:pt idx="10">
                  <c:v>75824.503311258275</c:v>
                </c:pt>
                <c:pt idx="11">
                  <c:v>98027.272727272721</c:v>
                </c:pt>
                <c:pt idx="12">
                  <c:v>65052.666666666664</c:v>
                </c:pt>
                <c:pt idx="13">
                  <c:v>75764.661654135343</c:v>
                </c:pt>
                <c:pt idx="14">
                  <c:v>98716.52892561983</c:v>
                </c:pt>
                <c:pt idx="15">
                  <c:v>69403.125</c:v>
                </c:pt>
                <c:pt idx="16">
                  <c:v>99005.161290322576</c:v>
                </c:pt>
                <c:pt idx="17">
                  <c:v>63650.666666666664</c:v>
                </c:pt>
                <c:pt idx="18">
                  <c:v>94743.24324324324</c:v>
                </c:pt>
              </c:numCache>
            </c:numRef>
          </c:val>
          <c:extLst>
            <c:ext xmlns:c16="http://schemas.microsoft.com/office/drawing/2014/chart" uri="{C3380CC4-5D6E-409C-BE32-E72D297353CC}">
              <c16:uniqueId val="{00000000-9301-4994-AD7C-896EE8480E1B}"/>
            </c:ext>
          </c:extLst>
        </c:ser>
        <c:ser>
          <c:idx val="1"/>
          <c:order val="1"/>
          <c:tx>
            <c:strRef>
              <c:f>Supporting_Pivots!$I$10:$I$11</c:f>
              <c:strCache>
                <c:ptCount val="1"/>
                <c:pt idx="0">
                  <c:v>Male</c:v>
                </c:pt>
              </c:strCache>
            </c:strRef>
          </c:tx>
          <c:spPr>
            <a:solidFill>
              <a:srgbClr val="1F4E79"/>
            </a:solidFill>
            <a:ln>
              <a:noFill/>
            </a:ln>
            <a:effectLst/>
          </c:spPr>
          <c:invertIfNegative val="0"/>
          <c:cat>
            <c:strRef>
              <c:f>Supporting_Pivots!$G$12:$G$31</c:f>
              <c:strCache>
                <c:ptCount val="19"/>
                <c:pt idx="0">
                  <c:v>Account Manager</c:v>
                </c:pt>
                <c:pt idx="1">
                  <c:v>Accountant</c:v>
                </c:pt>
                <c:pt idx="2">
                  <c:v>Data Analyst</c:v>
                </c:pt>
                <c:pt idx="3">
                  <c:v>Finance Manager</c:v>
                </c:pt>
                <c:pt idx="4">
                  <c:v>Financial Analyst</c:v>
                </c:pt>
                <c:pt idx="5">
                  <c:v>HR Analyst</c:v>
                </c:pt>
                <c:pt idx="6">
                  <c:v>HR Manager</c:v>
                </c:pt>
                <c:pt idx="7">
                  <c:v>HR Specialist</c:v>
                </c:pt>
                <c:pt idx="8">
                  <c:v>IT Manager</c:v>
                </c:pt>
                <c:pt idx="9">
                  <c:v>IT Specialist</c:v>
                </c:pt>
                <c:pt idx="10">
                  <c:v>Marketing Analyst</c:v>
                </c:pt>
                <c:pt idx="11">
                  <c:v>Marketing Manager</c:v>
                </c:pt>
                <c:pt idx="12">
                  <c:v>Marketing Specialist</c:v>
                </c:pt>
                <c:pt idx="13">
                  <c:v>Operations Analyst</c:v>
                </c:pt>
                <c:pt idx="14">
                  <c:v>Operations Manager</c:v>
                </c:pt>
                <c:pt idx="15">
                  <c:v>Operations Specialist</c:v>
                </c:pt>
                <c:pt idx="16">
                  <c:v>Sales Manager</c:v>
                </c:pt>
                <c:pt idx="17">
                  <c:v>Sales Representative</c:v>
                </c:pt>
                <c:pt idx="18">
                  <c:v>Software Developer</c:v>
                </c:pt>
              </c:strCache>
            </c:strRef>
          </c:cat>
          <c:val>
            <c:numRef>
              <c:f>Supporting_Pivots!$I$12:$I$31</c:f>
              <c:numCache>
                <c:formatCode>[$€-2]\ #,##0;[Red][$€-2]\ #,##0</c:formatCode>
                <c:ptCount val="19"/>
                <c:pt idx="0">
                  <c:v>96090.972222222219</c:v>
                </c:pt>
                <c:pt idx="1">
                  <c:v>76983.225806451606</c:v>
                </c:pt>
                <c:pt idx="2">
                  <c:v>80782.64462809918</c:v>
                </c:pt>
                <c:pt idx="3">
                  <c:v>100118.32061068702</c:v>
                </c:pt>
                <c:pt idx="4">
                  <c:v>75324.444444444438</c:v>
                </c:pt>
                <c:pt idx="5">
                  <c:v>73129.365079365074</c:v>
                </c:pt>
                <c:pt idx="6">
                  <c:v>98324.137931034478</c:v>
                </c:pt>
                <c:pt idx="7">
                  <c:v>68672.340425531918</c:v>
                </c:pt>
                <c:pt idx="8">
                  <c:v>103431.30434782608</c:v>
                </c:pt>
                <c:pt idx="9">
                  <c:v>73069.072164948448</c:v>
                </c:pt>
                <c:pt idx="10">
                  <c:v>76470.866141732287</c:v>
                </c:pt>
                <c:pt idx="11">
                  <c:v>96476.296296296292</c:v>
                </c:pt>
                <c:pt idx="12">
                  <c:v>65682.222222222219</c:v>
                </c:pt>
                <c:pt idx="13">
                  <c:v>75655.70469798657</c:v>
                </c:pt>
                <c:pt idx="14">
                  <c:v>100897.79411764706</c:v>
                </c:pt>
                <c:pt idx="15">
                  <c:v>69311.538461538468</c:v>
                </c:pt>
                <c:pt idx="16">
                  <c:v>96077.310924369755</c:v>
                </c:pt>
                <c:pt idx="17">
                  <c:v>63749.586776859505</c:v>
                </c:pt>
                <c:pt idx="18">
                  <c:v>91268.66141732283</c:v>
                </c:pt>
              </c:numCache>
            </c:numRef>
          </c:val>
          <c:extLst>
            <c:ext xmlns:c16="http://schemas.microsoft.com/office/drawing/2014/chart" uri="{C3380CC4-5D6E-409C-BE32-E72D297353CC}">
              <c16:uniqueId val="{00000002-B6EE-40BE-ACDB-4A1132EFF489}"/>
            </c:ext>
          </c:extLst>
        </c:ser>
        <c:dLbls>
          <c:showLegendKey val="0"/>
          <c:showVal val="0"/>
          <c:showCatName val="0"/>
          <c:showSerName val="0"/>
          <c:showPercent val="0"/>
          <c:showBubbleSize val="0"/>
        </c:dLbls>
        <c:gapWidth val="182"/>
        <c:axId val="1646961375"/>
        <c:axId val="937360815"/>
      </c:barChart>
      <c:catAx>
        <c:axId val="1646961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937360815"/>
        <c:crosses val="autoZero"/>
        <c:auto val="1"/>
        <c:lblAlgn val="ctr"/>
        <c:lblOffset val="100"/>
        <c:noMultiLvlLbl val="0"/>
      </c:catAx>
      <c:valAx>
        <c:axId val="937360815"/>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1646961375"/>
        <c:crosses val="autoZero"/>
        <c:crossBetween val="between"/>
        <c:majorUnit val="5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1.png"/><Relationship Id="rId7"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svg"/><Relationship Id="rId5" Type="http://schemas.openxmlformats.org/officeDocument/2006/relationships/image" Target="../media/image3.png"/><Relationship Id="rId10" Type="http://schemas.openxmlformats.org/officeDocument/2006/relationships/chart" Target="../charts/chart6.xml"/><Relationship Id="rId4" Type="http://schemas.openxmlformats.org/officeDocument/2006/relationships/image" Target="../media/image2.sv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25400</xdr:colOff>
      <xdr:row>1</xdr:row>
      <xdr:rowOff>222250</xdr:rowOff>
    </xdr:from>
    <xdr:to>
      <xdr:col>4</xdr:col>
      <xdr:colOff>120650</xdr:colOff>
      <xdr:row>7</xdr:row>
      <xdr:rowOff>12700</xdr:rowOff>
    </xdr:to>
    <mc:AlternateContent xmlns:mc="http://schemas.openxmlformats.org/markup-compatibility/2006" xmlns:a14="http://schemas.microsoft.com/office/drawing/2010/main">
      <mc:Choice Requires="a14">
        <xdr:graphicFrame macro="">
          <xdr:nvGraphicFramePr>
            <xdr:cNvPr id="2" name="Gender 2">
              <a:extLst>
                <a:ext uri="{FF2B5EF4-FFF2-40B4-BE49-F238E27FC236}">
                  <a16:creationId xmlns:a16="http://schemas.microsoft.com/office/drawing/2014/main" id="{7AD662DE-F3D5-445B-8A39-ACACEF60C5C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25400" y="520700"/>
              <a:ext cx="2533650" cy="946150"/>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9</xdr:col>
      <xdr:colOff>152400</xdr:colOff>
      <xdr:row>1</xdr:row>
      <xdr:rowOff>228600</xdr:rowOff>
    </xdr:from>
    <xdr:to>
      <xdr:col>14</xdr:col>
      <xdr:colOff>215900</xdr:colOff>
      <xdr:row>6</xdr:row>
      <xdr:rowOff>177800</xdr:rowOff>
    </xdr:to>
    <mc:AlternateContent xmlns:mc="http://schemas.openxmlformats.org/markup-compatibility/2006" xmlns:a14="http://schemas.microsoft.com/office/drawing/2010/main">
      <mc:Choice Requires="a14">
        <xdr:graphicFrame macro="">
          <xdr:nvGraphicFramePr>
            <xdr:cNvPr id="3" name="Department 2">
              <a:extLst>
                <a:ext uri="{FF2B5EF4-FFF2-40B4-BE49-F238E27FC236}">
                  <a16:creationId xmlns:a16="http://schemas.microsoft.com/office/drawing/2014/main" id="{01290E62-28A6-45A7-9B1E-AA7F4796EF8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5638800" y="527050"/>
              <a:ext cx="3111500" cy="920750"/>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4</xdr:col>
      <xdr:colOff>127000</xdr:colOff>
      <xdr:row>1</xdr:row>
      <xdr:rowOff>228600</xdr:rowOff>
    </xdr:from>
    <xdr:to>
      <xdr:col>9</xdr:col>
      <xdr:colOff>152400</xdr:colOff>
      <xdr:row>7</xdr:row>
      <xdr:rowOff>6350</xdr:rowOff>
    </xdr:to>
    <mc:AlternateContent xmlns:mc="http://schemas.openxmlformats.org/markup-compatibility/2006" xmlns:a14="http://schemas.microsoft.com/office/drawing/2010/main">
      <mc:Choice Requires="a14">
        <xdr:graphicFrame macro="">
          <xdr:nvGraphicFramePr>
            <xdr:cNvPr id="5" name="Employment_Type 2">
              <a:extLst>
                <a:ext uri="{FF2B5EF4-FFF2-40B4-BE49-F238E27FC236}">
                  <a16:creationId xmlns:a16="http://schemas.microsoft.com/office/drawing/2014/main" id="{FB5541D6-9845-4F72-B0F7-41FABC6BD09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mployment_Type 2"/>
            </a:graphicData>
          </a:graphic>
        </xdr:graphicFrame>
      </mc:Choice>
      <mc:Fallback xmlns="">
        <xdr:sp macro="" textlink="">
          <xdr:nvSpPr>
            <xdr:cNvPr id="0" name=""/>
            <xdr:cNvSpPr>
              <a:spLocks noTextEdit="1"/>
            </xdr:cNvSpPr>
          </xdr:nvSpPr>
          <xdr:spPr>
            <a:xfrm>
              <a:off x="2565400" y="527050"/>
              <a:ext cx="3073400" cy="933450"/>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6350</xdr:colOff>
      <xdr:row>10</xdr:row>
      <xdr:rowOff>127000</xdr:rowOff>
    </xdr:from>
    <xdr:to>
      <xdr:col>4</xdr:col>
      <xdr:colOff>311150</xdr:colOff>
      <xdr:row>30</xdr:row>
      <xdr:rowOff>158750</xdr:rowOff>
    </xdr:to>
    <xdr:graphicFrame macro="">
      <xdr:nvGraphicFramePr>
        <xdr:cNvPr id="7" name="PC03 - Average BS by Job Role">
          <a:extLst>
            <a:ext uri="{FF2B5EF4-FFF2-40B4-BE49-F238E27FC236}">
              <a16:creationId xmlns:a16="http://schemas.microsoft.com/office/drawing/2014/main" id="{C837F2F5-1FAB-42A5-AA0D-1B9047D77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57150</xdr:colOff>
      <xdr:row>10</xdr:row>
      <xdr:rowOff>139700</xdr:rowOff>
    </xdr:from>
    <xdr:to>
      <xdr:col>13</xdr:col>
      <xdr:colOff>425450</xdr:colOff>
      <xdr:row>19</xdr:row>
      <xdr:rowOff>146050</xdr:rowOff>
    </xdr:to>
    <xdr:graphicFrame macro="">
      <xdr:nvGraphicFramePr>
        <xdr:cNvPr id="10" name="PC01 - Average BS by Gender">
          <a:extLst>
            <a:ext uri="{FF2B5EF4-FFF2-40B4-BE49-F238E27FC236}">
              <a16:creationId xmlns:a16="http://schemas.microsoft.com/office/drawing/2014/main" id="{025206F6-BA29-43F0-9F2A-E1712CE5C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7</xdr:row>
      <xdr:rowOff>42862</xdr:rowOff>
    </xdr:from>
    <xdr:to>
      <xdr:col>4</xdr:col>
      <xdr:colOff>374650</xdr:colOff>
      <xdr:row>10</xdr:row>
      <xdr:rowOff>61912</xdr:rowOff>
    </xdr:to>
    <xdr:grpSp>
      <xdr:nvGrpSpPr>
        <xdr:cNvPr id="20" name="Group 19">
          <a:extLst>
            <a:ext uri="{FF2B5EF4-FFF2-40B4-BE49-F238E27FC236}">
              <a16:creationId xmlns:a16="http://schemas.microsoft.com/office/drawing/2014/main" id="{F9F4EF6B-9B6A-2CEC-B3EA-88E5A646728F}"/>
            </a:ext>
          </a:extLst>
        </xdr:cNvPr>
        <xdr:cNvGrpSpPr/>
      </xdr:nvGrpSpPr>
      <xdr:grpSpPr>
        <a:xfrm>
          <a:off x="19050" y="1497012"/>
          <a:ext cx="2794000" cy="571500"/>
          <a:chOff x="19050" y="1422400"/>
          <a:chExt cx="2794000" cy="571500"/>
        </a:xfrm>
      </xdr:grpSpPr>
      <xdr:sp macro="" textlink="">
        <xdr:nvSpPr>
          <xdr:cNvPr id="11" name="Rectangle: Rounded Corners 10">
            <a:extLst>
              <a:ext uri="{FF2B5EF4-FFF2-40B4-BE49-F238E27FC236}">
                <a16:creationId xmlns:a16="http://schemas.microsoft.com/office/drawing/2014/main" id="{F3F0EAEE-A991-8973-6976-44D416EB35BB}"/>
              </a:ext>
            </a:extLst>
          </xdr:cNvPr>
          <xdr:cNvSpPr/>
        </xdr:nvSpPr>
        <xdr:spPr>
          <a:xfrm>
            <a:off x="19050" y="1447800"/>
            <a:ext cx="2794000" cy="5461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DE" sz="1100"/>
          </a:p>
        </xdr:txBody>
      </xdr:sp>
      <xdr:grpSp>
        <xdr:nvGrpSpPr>
          <xdr:cNvPr id="17" name="Group 16">
            <a:extLst>
              <a:ext uri="{FF2B5EF4-FFF2-40B4-BE49-F238E27FC236}">
                <a16:creationId xmlns:a16="http://schemas.microsoft.com/office/drawing/2014/main" id="{7D22CC95-6F0F-FCF2-33D4-6BFA89DD9E20}"/>
              </a:ext>
            </a:extLst>
          </xdr:cNvPr>
          <xdr:cNvGrpSpPr/>
        </xdr:nvGrpSpPr>
        <xdr:grpSpPr>
          <a:xfrm>
            <a:off x="606425" y="1422400"/>
            <a:ext cx="1562100" cy="539750"/>
            <a:chOff x="606425" y="1422400"/>
            <a:chExt cx="1562100" cy="539750"/>
          </a:xfrm>
        </xdr:grpSpPr>
        <xdr:sp macro="" textlink="Supporting_Pivots!$A$5">
          <xdr:nvSpPr>
            <xdr:cNvPr id="12" name="TextBox 11">
              <a:extLst>
                <a:ext uri="{FF2B5EF4-FFF2-40B4-BE49-F238E27FC236}">
                  <a16:creationId xmlns:a16="http://schemas.microsoft.com/office/drawing/2014/main" id="{32E4B09D-D3E5-F6EA-AD54-A7EB926A170A}"/>
                </a:ext>
              </a:extLst>
            </xdr:cNvPr>
            <xdr:cNvSpPr txBox="1"/>
          </xdr:nvSpPr>
          <xdr:spPr>
            <a:xfrm>
              <a:off x="796925" y="1676400"/>
              <a:ext cx="12319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A86D02-D18E-487C-A3C2-F0A2C19A0122}" type="TxLink">
                <a:rPr lang="en-US" sz="2400" b="1" i="0" u="none" strike="noStrike">
                  <a:solidFill>
                    <a:srgbClr val="002060"/>
                  </a:solidFill>
                  <a:latin typeface="Calibri"/>
                  <a:ea typeface="Calibri"/>
                  <a:cs typeface="Calibri"/>
                </a:rPr>
                <a:pPr algn="ctr"/>
                <a:t> 4,990 </a:t>
              </a:fld>
              <a:endParaRPr lang="en-DE" sz="2400" b="1">
                <a:solidFill>
                  <a:srgbClr val="002060"/>
                </a:solidFill>
              </a:endParaRPr>
            </a:p>
          </xdr:txBody>
        </xdr:sp>
        <xdr:sp macro="" textlink="Supporting_Pivots!$A$5">
          <xdr:nvSpPr>
            <xdr:cNvPr id="13" name="TextBox 12">
              <a:extLst>
                <a:ext uri="{FF2B5EF4-FFF2-40B4-BE49-F238E27FC236}">
                  <a16:creationId xmlns:a16="http://schemas.microsoft.com/office/drawing/2014/main" id="{17928B6A-CCFB-4523-85CC-D4BD66935B28}"/>
                </a:ext>
              </a:extLst>
            </xdr:cNvPr>
            <xdr:cNvSpPr txBox="1"/>
          </xdr:nvSpPr>
          <xdr:spPr>
            <a:xfrm>
              <a:off x="606425" y="1422400"/>
              <a:ext cx="15621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solidFill>
                    <a:sysClr val="windowText" lastClr="000000"/>
                  </a:solidFill>
                </a:rPr>
                <a:t>Total Employees</a:t>
              </a:r>
              <a:endParaRPr lang="en-DE" sz="1400" b="1">
                <a:solidFill>
                  <a:sysClr val="windowText" lastClr="000000"/>
                </a:solidFill>
              </a:endParaRPr>
            </a:p>
          </xdr:txBody>
        </xdr:sp>
      </xdr:grpSp>
      <xdr:pic>
        <xdr:nvPicPr>
          <xdr:cNvPr id="15" name="Graphic 14" descr="Group of people with solid fill">
            <a:extLst>
              <a:ext uri="{FF2B5EF4-FFF2-40B4-BE49-F238E27FC236}">
                <a16:creationId xmlns:a16="http://schemas.microsoft.com/office/drawing/2014/main" id="{C56A6D02-4B4E-C71A-F92C-5A90B7B014C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9550" y="1555750"/>
            <a:ext cx="374650" cy="317500"/>
          </a:xfrm>
          <a:prstGeom prst="rect">
            <a:avLst/>
          </a:prstGeom>
        </xdr:spPr>
      </xdr:pic>
    </xdr:grpSp>
    <xdr:clientData/>
  </xdr:twoCellAnchor>
  <xdr:twoCellAnchor>
    <xdr:from>
      <xdr:col>4</xdr:col>
      <xdr:colOff>501650</xdr:colOff>
      <xdr:row>7</xdr:row>
      <xdr:rowOff>49212</xdr:rowOff>
    </xdr:from>
    <xdr:to>
      <xdr:col>9</xdr:col>
      <xdr:colOff>247650</xdr:colOff>
      <xdr:row>10</xdr:row>
      <xdr:rowOff>68262</xdr:rowOff>
    </xdr:to>
    <xdr:grpSp>
      <xdr:nvGrpSpPr>
        <xdr:cNvPr id="21" name="Group 20">
          <a:extLst>
            <a:ext uri="{FF2B5EF4-FFF2-40B4-BE49-F238E27FC236}">
              <a16:creationId xmlns:a16="http://schemas.microsoft.com/office/drawing/2014/main" id="{4730B473-148E-6351-0A8E-27D674DAC4D2}"/>
            </a:ext>
          </a:extLst>
        </xdr:cNvPr>
        <xdr:cNvGrpSpPr/>
      </xdr:nvGrpSpPr>
      <xdr:grpSpPr>
        <a:xfrm>
          <a:off x="2940050" y="1503362"/>
          <a:ext cx="2794000" cy="571500"/>
          <a:chOff x="38100" y="1358900"/>
          <a:chExt cx="2794000" cy="571500"/>
        </a:xfrm>
      </xdr:grpSpPr>
      <xdr:sp macro="" textlink="">
        <xdr:nvSpPr>
          <xdr:cNvPr id="22" name="Rectangle: Rounded Corners 21">
            <a:extLst>
              <a:ext uri="{FF2B5EF4-FFF2-40B4-BE49-F238E27FC236}">
                <a16:creationId xmlns:a16="http://schemas.microsoft.com/office/drawing/2014/main" id="{EBA961E1-E980-F87E-E13E-51EAF28D3D6E}"/>
              </a:ext>
            </a:extLst>
          </xdr:cNvPr>
          <xdr:cNvSpPr/>
        </xdr:nvSpPr>
        <xdr:spPr>
          <a:xfrm>
            <a:off x="38100" y="1384300"/>
            <a:ext cx="2794000" cy="5461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DE" sz="1100"/>
          </a:p>
        </xdr:txBody>
      </xdr:sp>
      <xdr:grpSp>
        <xdr:nvGrpSpPr>
          <xdr:cNvPr id="23" name="Group 22">
            <a:extLst>
              <a:ext uri="{FF2B5EF4-FFF2-40B4-BE49-F238E27FC236}">
                <a16:creationId xmlns:a16="http://schemas.microsoft.com/office/drawing/2014/main" id="{441FFF66-E4A0-760A-5317-8FBBDD4F0BC2}"/>
              </a:ext>
            </a:extLst>
          </xdr:cNvPr>
          <xdr:cNvGrpSpPr/>
        </xdr:nvGrpSpPr>
        <xdr:grpSpPr>
          <a:xfrm>
            <a:off x="631824" y="1358900"/>
            <a:ext cx="1844675" cy="552450"/>
            <a:chOff x="631824" y="1358900"/>
            <a:chExt cx="1844675" cy="552450"/>
          </a:xfrm>
        </xdr:grpSpPr>
        <xdr:sp macro="" textlink="Supporting_Pivots!$E$5">
          <xdr:nvSpPr>
            <xdr:cNvPr id="25" name="TextBox 24">
              <a:extLst>
                <a:ext uri="{FF2B5EF4-FFF2-40B4-BE49-F238E27FC236}">
                  <a16:creationId xmlns:a16="http://schemas.microsoft.com/office/drawing/2014/main" id="{C0261692-0801-D0E6-6F1A-5B019704101F}"/>
                </a:ext>
              </a:extLst>
            </xdr:cNvPr>
            <xdr:cNvSpPr txBox="1"/>
          </xdr:nvSpPr>
          <xdr:spPr>
            <a:xfrm>
              <a:off x="796924" y="1625600"/>
              <a:ext cx="13684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E38D26-0B1E-460D-99DC-C5D1C43105A6}" type="TxLink">
                <a:rPr lang="en-US" sz="2400" b="1" i="0" u="none" strike="noStrike">
                  <a:solidFill>
                    <a:srgbClr val="1F4E79"/>
                  </a:solidFill>
                  <a:latin typeface="Calibri"/>
                  <a:ea typeface="Calibri"/>
                  <a:cs typeface="Calibri"/>
                </a:rPr>
                <a:pPr algn="ctr"/>
                <a:t>€ 83,201</a:t>
              </a:fld>
              <a:endParaRPr lang="en-DE" sz="2400" b="1">
                <a:solidFill>
                  <a:srgbClr val="1F4E79"/>
                </a:solidFill>
              </a:endParaRPr>
            </a:p>
          </xdr:txBody>
        </xdr:sp>
        <xdr:sp macro="" textlink="Supporting_Pivots!$A$5">
          <xdr:nvSpPr>
            <xdr:cNvPr id="26" name="TextBox 25">
              <a:extLst>
                <a:ext uri="{FF2B5EF4-FFF2-40B4-BE49-F238E27FC236}">
                  <a16:creationId xmlns:a16="http://schemas.microsoft.com/office/drawing/2014/main" id="{35E1BFDA-1B4C-4241-26C6-3526520AC3AC}"/>
                </a:ext>
              </a:extLst>
            </xdr:cNvPr>
            <xdr:cNvSpPr txBox="1"/>
          </xdr:nvSpPr>
          <xdr:spPr>
            <a:xfrm>
              <a:off x="631824" y="1358900"/>
              <a:ext cx="18446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solidFill>
                    <a:sysClr val="windowText" lastClr="000000"/>
                  </a:solidFill>
                </a:rPr>
                <a:t>Average</a:t>
              </a:r>
              <a:r>
                <a:rPr lang="en-GB" sz="1400" b="1" baseline="0">
                  <a:solidFill>
                    <a:sysClr val="windowText" lastClr="000000"/>
                  </a:solidFill>
                </a:rPr>
                <a:t> Base Salary</a:t>
              </a:r>
              <a:endParaRPr lang="en-DE" sz="1400" b="1">
                <a:solidFill>
                  <a:sysClr val="windowText" lastClr="000000"/>
                </a:solidFill>
              </a:endParaRPr>
            </a:p>
          </xdr:txBody>
        </xdr:sp>
      </xdr:grpSp>
    </xdr:grpSp>
    <xdr:clientData/>
  </xdr:twoCellAnchor>
  <xdr:twoCellAnchor>
    <xdr:from>
      <xdr:col>4</xdr:col>
      <xdr:colOff>603250</xdr:colOff>
      <xdr:row>8</xdr:row>
      <xdr:rowOff>7936</xdr:rowOff>
    </xdr:from>
    <xdr:to>
      <xdr:col>5</xdr:col>
      <xdr:colOff>508000</xdr:colOff>
      <xdr:row>10</xdr:row>
      <xdr:rowOff>30161</xdr:rowOff>
    </xdr:to>
    <xdr:pic>
      <xdr:nvPicPr>
        <xdr:cNvPr id="40" name="Graphic 39" descr="Euro with solid fill">
          <a:extLst>
            <a:ext uri="{FF2B5EF4-FFF2-40B4-BE49-F238E27FC236}">
              <a16:creationId xmlns:a16="http://schemas.microsoft.com/office/drawing/2014/main" id="{873CD445-84FF-BC65-AB30-03AE089F426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041650" y="1646236"/>
          <a:ext cx="514350" cy="390525"/>
        </a:xfrm>
        <a:prstGeom prst="rect">
          <a:avLst/>
        </a:prstGeom>
      </xdr:spPr>
    </xdr:pic>
    <xdr:clientData/>
  </xdr:twoCellAnchor>
  <xdr:twoCellAnchor>
    <xdr:from>
      <xdr:col>9</xdr:col>
      <xdr:colOff>355600</xdr:colOff>
      <xdr:row>7</xdr:row>
      <xdr:rowOff>74612</xdr:rowOff>
    </xdr:from>
    <xdr:to>
      <xdr:col>14</xdr:col>
      <xdr:colOff>101600</xdr:colOff>
      <xdr:row>10</xdr:row>
      <xdr:rowOff>68262</xdr:rowOff>
    </xdr:to>
    <xdr:sp macro="" textlink="">
      <xdr:nvSpPr>
        <xdr:cNvPr id="50" name="Rectangle: Rounded Corners 49">
          <a:extLst>
            <a:ext uri="{FF2B5EF4-FFF2-40B4-BE49-F238E27FC236}">
              <a16:creationId xmlns:a16="http://schemas.microsoft.com/office/drawing/2014/main" id="{BBF73BF5-5FCC-B33F-78BE-A97DE3E32623}"/>
            </a:ext>
          </a:extLst>
        </xdr:cNvPr>
        <xdr:cNvSpPr/>
      </xdr:nvSpPr>
      <xdr:spPr>
        <a:xfrm>
          <a:off x="5842000" y="1528762"/>
          <a:ext cx="2794000" cy="5461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DE" sz="1600"/>
        </a:p>
      </xdr:txBody>
    </xdr:sp>
    <xdr:clientData/>
  </xdr:twoCellAnchor>
  <xdr:twoCellAnchor>
    <xdr:from>
      <xdr:col>10</xdr:col>
      <xdr:colOff>504824</xdr:colOff>
      <xdr:row>8</xdr:row>
      <xdr:rowOff>131762</xdr:rowOff>
    </xdr:from>
    <xdr:to>
      <xdr:col>13</xdr:col>
      <xdr:colOff>44449</xdr:colOff>
      <xdr:row>10</xdr:row>
      <xdr:rowOff>49212</xdr:rowOff>
    </xdr:to>
    <xdr:sp macro="" textlink="Supporting_Pivots!H5">
      <xdr:nvSpPr>
        <xdr:cNvPr id="52" name="TextBox 51">
          <a:extLst>
            <a:ext uri="{FF2B5EF4-FFF2-40B4-BE49-F238E27FC236}">
              <a16:creationId xmlns:a16="http://schemas.microsoft.com/office/drawing/2014/main" id="{5F070416-7498-5763-373D-9540D2340CC4}"/>
            </a:ext>
          </a:extLst>
        </xdr:cNvPr>
        <xdr:cNvSpPr txBox="1"/>
      </xdr:nvSpPr>
      <xdr:spPr>
        <a:xfrm>
          <a:off x="6600824" y="1770062"/>
          <a:ext cx="13684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D18F3C-3D16-4E94-9AA0-8D1C2FC34A9E}" type="TxLink">
            <a:rPr lang="en-US" sz="2400" b="1" i="0" u="none" strike="noStrike">
              <a:solidFill>
                <a:srgbClr val="1F4E79"/>
              </a:solidFill>
              <a:latin typeface="Calibri"/>
              <a:ea typeface="Calibri"/>
              <a:cs typeface="Calibri"/>
            </a:rPr>
            <a:pPr algn="ctr"/>
            <a:t>€ 81,900</a:t>
          </a:fld>
          <a:endParaRPr lang="en-US" sz="2400" b="1" i="0" u="none" strike="noStrike">
            <a:solidFill>
              <a:srgbClr val="1F4E79"/>
            </a:solidFill>
            <a:latin typeface="Calibri"/>
            <a:ea typeface="Calibri"/>
            <a:cs typeface="Calibri"/>
          </a:endParaRPr>
        </a:p>
      </xdr:txBody>
    </xdr:sp>
    <xdr:clientData/>
  </xdr:twoCellAnchor>
  <xdr:twoCellAnchor>
    <xdr:from>
      <xdr:col>10</xdr:col>
      <xdr:colOff>339724</xdr:colOff>
      <xdr:row>7</xdr:row>
      <xdr:rowOff>49212</xdr:rowOff>
    </xdr:from>
    <xdr:to>
      <xdr:col>13</xdr:col>
      <xdr:colOff>355599</xdr:colOff>
      <xdr:row>8</xdr:row>
      <xdr:rowOff>150812</xdr:rowOff>
    </xdr:to>
    <xdr:sp macro="" textlink="Supporting_Pivots!$A$5">
      <xdr:nvSpPr>
        <xdr:cNvPr id="53" name="TextBox 52">
          <a:extLst>
            <a:ext uri="{FF2B5EF4-FFF2-40B4-BE49-F238E27FC236}">
              <a16:creationId xmlns:a16="http://schemas.microsoft.com/office/drawing/2014/main" id="{D9B96149-DD7A-B2BD-98F0-18344AE58727}"/>
            </a:ext>
          </a:extLst>
        </xdr:cNvPr>
        <xdr:cNvSpPr txBox="1"/>
      </xdr:nvSpPr>
      <xdr:spPr>
        <a:xfrm>
          <a:off x="6435724" y="1503362"/>
          <a:ext cx="184467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baseline="0">
              <a:solidFill>
                <a:sysClr val="windowText" lastClr="000000"/>
              </a:solidFill>
            </a:rPr>
            <a:t>Median Base Salary</a:t>
          </a:r>
          <a:endParaRPr lang="en-DE" sz="1400" b="1">
            <a:solidFill>
              <a:sysClr val="windowText" lastClr="000000"/>
            </a:solidFill>
          </a:endParaRPr>
        </a:p>
      </xdr:txBody>
    </xdr:sp>
    <xdr:clientData/>
  </xdr:twoCellAnchor>
  <xdr:twoCellAnchor>
    <xdr:from>
      <xdr:col>9</xdr:col>
      <xdr:colOff>457200</xdr:colOff>
      <xdr:row>8</xdr:row>
      <xdr:rowOff>7936</xdr:rowOff>
    </xdr:from>
    <xdr:to>
      <xdr:col>10</xdr:col>
      <xdr:colOff>361950</xdr:colOff>
      <xdr:row>10</xdr:row>
      <xdr:rowOff>30161</xdr:rowOff>
    </xdr:to>
    <xdr:pic>
      <xdr:nvPicPr>
        <xdr:cNvPr id="49" name="Graphic 48" descr="Euro with solid fill">
          <a:extLst>
            <a:ext uri="{FF2B5EF4-FFF2-40B4-BE49-F238E27FC236}">
              <a16:creationId xmlns:a16="http://schemas.microsoft.com/office/drawing/2014/main" id="{BF52151A-D694-9F3E-003B-B3A827865B5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943600" y="1646236"/>
          <a:ext cx="514350" cy="390525"/>
        </a:xfrm>
        <a:prstGeom prst="rect">
          <a:avLst/>
        </a:prstGeom>
      </xdr:spPr>
    </xdr:pic>
    <xdr:clientData/>
  </xdr:twoCellAnchor>
  <xdr:twoCellAnchor>
    <xdr:from>
      <xdr:col>14</xdr:col>
      <xdr:colOff>215900</xdr:colOff>
      <xdr:row>7</xdr:row>
      <xdr:rowOff>39687</xdr:rowOff>
    </xdr:from>
    <xdr:to>
      <xdr:col>19</xdr:col>
      <xdr:colOff>0</xdr:colOff>
      <xdr:row>10</xdr:row>
      <xdr:rowOff>77787</xdr:rowOff>
    </xdr:to>
    <xdr:grpSp>
      <xdr:nvGrpSpPr>
        <xdr:cNvPr id="61" name="Group 60">
          <a:extLst>
            <a:ext uri="{FF2B5EF4-FFF2-40B4-BE49-F238E27FC236}">
              <a16:creationId xmlns:a16="http://schemas.microsoft.com/office/drawing/2014/main" id="{6E0E00D2-CDA2-034E-03A6-F30776CF59D8}"/>
            </a:ext>
          </a:extLst>
        </xdr:cNvPr>
        <xdr:cNvGrpSpPr/>
      </xdr:nvGrpSpPr>
      <xdr:grpSpPr>
        <a:xfrm>
          <a:off x="8750300" y="1493837"/>
          <a:ext cx="2832100" cy="590550"/>
          <a:chOff x="8763000" y="1435100"/>
          <a:chExt cx="2832100" cy="590550"/>
        </a:xfrm>
      </xdr:grpSpPr>
      <xdr:grpSp>
        <xdr:nvGrpSpPr>
          <xdr:cNvPr id="55" name="Group 54">
            <a:extLst>
              <a:ext uri="{FF2B5EF4-FFF2-40B4-BE49-F238E27FC236}">
                <a16:creationId xmlns:a16="http://schemas.microsoft.com/office/drawing/2014/main" id="{16344CEB-B350-6EA1-F022-B3203574AF37}"/>
              </a:ext>
            </a:extLst>
          </xdr:cNvPr>
          <xdr:cNvGrpSpPr/>
        </xdr:nvGrpSpPr>
        <xdr:grpSpPr>
          <a:xfrm>
            <a:off x="8763000" y="1435100"/>
            <a:ext cx="2832100" cy="590550"/>
            <a:chOff x="31750" y="1358900"/>
            <a:chExt cx="2832100" cy="590550"/>
          </a:xfrm>
        </xdr:grpSpPr>
        <xdr:sp macro="" textlink="">
          <xdr:nvSpPr>
            <xdr:cNvPr id="57" name="Rectangle: Rounded Corners 56">
              <a:extLst>
                <a:ext uri="{FF2B5EF4-FFF2-40B4-BE49-F238E27FC236}">
                  <a16:creationId xmlns:a16="http://schemas.microsoft.com/office/drawing/2014/main" id="{03BADB55-B228-0DA0-2E6B-D9D03E4EBE0D}"/>
                </a:ext>
              </a:extLst>
            </xdr:cNvPr>
            <xdr:cNvSpPr/>
          </xdr:nvSpPr>
          <xdr:spPr>
            <a:xfrm>
              <a:off x="31750" y="1403350"/>
              <a:ext cx="2832100" cy="5461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DE" sz="1100"/>
            </a:p>
          </xdr:txBody>
        </xdr:sp>
        <xdr:grpSp>
          <xdr:nvGrpSpPr>
            <xdr:cNvPr id="58" name="Group 57">
              <a:extLst>
                <a:ext uri="{FF2B5EF4-FFF2-40B4-BE49-F238E27FC236}">
                  <a16:creationId xmlns:a16="http://schemas.microsoft.com/office/drawing/2014/main" id="{1B137128-A7C5-6F29-C070-5BD09C4485DB}"/>
                </a:ext>
              </a:extLst>
            </xdr:cNvPr>
            <xdr:cNvGrpSpPr/>
          </xdr:nvGrpSpPr>
          <xdr:grpSpPr>
            <a:xfrm>
              <a:off x="457200" y="1358900"/>
              <a:ext cx="2330450" cy="552450"/>
              <a:chOff x="457200" y="1358900"/>
              <a:chExt cx="2330450" cy="552450"/>
            </a:xfrm>
          </xdr:grpSpPr>
          <xdr:sp macro="" textlink="Supporting_Pivots!$K$5">
            <xdr:nvSpPr>
              <xdr:cNvPr id="59" name="TextBox 58">
                <a:extLst>
                  <a:ext uri="{FF2B5EF4-FFF2-40B4-BE49-F238E27FC236}">
                    <a16:creationId xmlns:a16="http://schemas.microsoft.com/office/drawing/2014/main" id="{276DC068-F3FD-537D-A5BC-6F300B95C335}"/>
                  </a:ext>
                </a:extLst>
              </xdr:cNvPr>
              <xdr:cNvSpPr txBox="1"/>
            </xdr:nvSpPr>
            <xdr:spPr>
              <a:xfrm>
                <a:off x="796924" y="1625600"/>
                <a:ext cx="1368425"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52BB34-F47C-4E8E-83F0-EC6F059E4717}" type="TxLink">
                  <a:rPr lang="en-US" sz="2400" b="1" i="0" u="none" strike="noStrike">
                    <a:solidFill>
                      <a:srgbClr val="1F3449"/>
                    </a:solidFill>
                    <a:latin typeface="Calibri"/>
                    <a:ea typeface="Calibri"/>
                    <a:cs typeface="Calibri"/>
                  </a:rPr>
                  <a:pPr algn="ctr"/>
                  <a:t>€ 90,833</a:t>
                </a:fld>
                <a:endParaRPr lang="en-DE" sz="2400" b="1">
                  <a:solidFill>
                    <a:srgbClr val="1F3449"/>
                  </a:solidFill>
                </a:endParaRPr>
              </a:p>
            </xdr:txBody>
          </xdr:sp>
          <xdr:sp macro="" textlink="Supporting_Pivots!$A$5">
            <xdr:nvSpPr>
              <xdr:cNvPr id="60" name="TextBox 59">
                <a:extLst>
                  <a:ext uri="{FF2B5EF4-FFF2-40B4-BE49-F238E27FC236}">
                    <a16:creationId xmlns:a16="http://schemas.microsoft.com/office/drawing/2014/main" id="{FB00A6E9-2756-67DE-8438-96B1D1A9F215}"/>
                  </a:ext>
                </a:extLst>
              </xdr:cNvPr>
              <xdr:cNvSpPr txBox="1"/>
            </xdr:nvSpPr>
            <xdr:spPr>
              <a:xfrm>
                <a:off x="457200" y="1358900"/>
                <a:ext cx="23304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400" b="1">
                    <a:solidFill>
                      <a:sysClr val="windowText" lastClr="000000"/>
                    </a:solidFill>
                  </a:rPr>
                  <a:t>Average</a:t>
                </a:r>
                <a:r>
                  <a:rPr lang="en-GB" sz="1400" b="1" baseline="0">
                    <a:solidFill>
                      <a:sysClr val="windowText" lastClr="000000"/>
                    </a:solidFill>
                  </a:rPr>
                  <a:t> Total Compensation</a:t>
                </a:r>
                <a:endParaRPr lang="en-DE" sz="1400" b="1">
                  <a:solidFill>
                    <a:sysClr val="windowText" lastClr="000000"/>
                  </a:solidFill>
                </a:endParaRPr>
              </a:p>
            </xdr:txBody>
          </xdr:sp>
        </xdr:grpSp>
      </xdr:grpSp>
      <xdr:pic>
        <xdr:nvPicPr>
          <xdr:cNvPr id="56" name="Graphic 55" descr="Euro with solid fill">
            <a:extLst>
              <a:ext uri="{FF2B5EF4-FFF2-40B4-BE49-F238E27FC236}">
                <a16:creationId xmlns:a16="http://schemas.microsoft.com/office/drawing/2014/main" id="{99E6C4D5-C875-C292-922C-2ECE46FA5B1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870950" y="1577974"/>
            <a:ext cx="444500" cy="390525"/>
          </a:xfrm>
          <a:prstGeom prst="rect">
            <a:avLst/>
          </a:prstGeom>
        </xdr:spPr>
      </xdr:pic>
    </xdr:grpSp>
    <xdr:clientData/>
  </xdr:twoCellAnchor>
  <xdr:twoCellAnchor>
    <xdr:from>
      <xdr:col>9</xdr:col>
      <xdr:colOff>57150</xdr:colOff>
      <xdr:row>19</xdr:row>
      <xdr:rowOff>158750</xdr:rowOff>
    </xdr:from>
    <xdr:to>
      <xdr:col>13</xdr:col>
      <xdr:colOff>463550</xdr:colOff>
      <xdr:row>30</xdr:row>
      <xdr:rowOff>146050</xdr:rowOff>
    </xdr:to>
    <xdr:graphicFrame macro="">
      <xdr:nvGraphicFramePr>
        <xdr:cNvPr id="63" name="Chart 62">
          <a:extLst>
            <a:ext uri="{FF2B5EF4-FFF2-40B4-BE49-F238E27FC236}">
              <a16:creationId xmlns:a16="http://schemas.microsoft.com/office/drawing/2014/main" id="{6AD2ECDE-BF60-4CC2-9268-A8C2195EA8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438150</xdr:colOff>
      <xdr:row>10</xdr:row>
      <xdr:rowOff>146050</xdr:rowOff>
    </xdr:from>
    <xdr:to>
      <xdr:col>18</xdr:col>
      <xdr:colOff>596900</xdr:colOff>
      <xdr:row>19</xdr:row>
      <xdr:rowOff>165100</xdr:rowOff>
    </xdr:to>
    <xdr:graphicFrame macro="">
      <xdr:nvGraphicFramePr>
        <xdr:cNvPr id="64" name="Chart 63">
          <a:extLst>
            <a:ext uri="{FF2B5EF4-FFF2-40B4-BE49-F238E27FC236}">
              <a16:creationId xmlns:a16="http://schemas.microsoft.com/office/drawing/2014/main" id="{A1DA0E7C-2122-4C8E-9E5A-6C127634E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463550</xdr:colOff>
      <xdr:row>19</xdr:row>
      <xdr:rowOff>171450</xdr:rowOff>
    </xdr:from>
    <xdr:to>
      <xdr:col>19</xdr:col>
      <xdr:colOff>0</xdr:colOff>
      <xdr:row>30</xdr:row>
      <xdr:rowOff>133350</xdr:rowOff>
    </xdr:to>
    <xdr:graphicFrame macro="">
      <xdr:nvGraphicFramePr>
        <xdr:cNvPr id="65" name="Chart 64">
          <a:extLst>
            <a:ext uri="{FF2B5EF4-FFF2-40B4-BE49-F238E27FC236}">
              <a16:creationId xmlns:a16="http://schemas.microsoft.com/office/drawing/2014/main" id="{1A0A400B-306F-44A6-BD8B-E18E995A0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311151</xdr:colOff>
      <xdr:row>10</xdr:row>
      <xdr:rowOff>133350</xdr:rowOff>
    </xdr:from>
    <xdr:to>
      <xdr:col>9</xdr:col>
      <xdr:colOff>63500</xdr:colOff>
      <xdr:row>30</xdr:row>
      <xdr:rowOff>146050</xdr:rowOff>
    </xdr:to>
    <xdr:graphicFrame macro="">
      <xdr:nvGraphicFramePr>
        <xdr:cNvPr id="66" name="PC06 - Average BS by Job Role and Gender">
          <a:extLst>
            <a:ext uri="{FF2B5EF4-FFF2-40B4-BE49-F238E27FC236}">
              <a16:creationId xmlns:a16="http://schemas.microsoft.com/office/drawing/2014/main" id="{E6765BD7-970C-4820-AB7E-03D6114FC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14</xdr:col>
      <xdr:colOff>215900</xdr:colOff>
      <xdr:row>1</xdr:row>
      <xdr:rowOff>228600</xdr:rowOff>
    </xdr:from>
    <xdr:to>
      <xdr:col>19</xdr:col>
      <xdr:colOff>6350</xdr:colOff>
      <xdr:row>6</xdr:row>
      <xdr:rowOff>171450</xdr:rowOff>
    </xdr:to>
    <mc:AlternateContent xmlns:mc="http://schemas.openxmlformats.org/markup-compatibility/2006" xmlns:a14="http://schemas.microsoft.com/office/drawing/2010/main">
      <mc:Choice Requires="a14">
        <xdr:graphicFrame macro="">
          <xdr:nvGraphicFramePr>
            <xdr:cNvPr id="69" name="Educational_Level Slicer">
              <a:extLst>
                <a:ext uri="{FF2B5EF4-FFF2-40B4-BE49-F238E27FC236}">
                  <a16:creationId xmlns:a16="http://schemas.microsoft.com/office/drawing/2014/main" id="{DE8C98C5-54BC-48ED-92A9-EC3330E5296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ducational_Level Slicer"/>
            </a:graphicData>
          </a:graphic>
        </xdr:graphicFrame>
      </mc:Choice>
      <mc:Fallback xmlns="">
        <xdr:sp macro="" textlink="">
          <xdr:nvSpPr>
            <xdr:cNvPr id="0" name=""/>
            <xdr:cNvSpPr>
              <a:spLocks noTextEdit="1"/>
            </xdr:cNvSpPr>
          </xdr:nvSpPr>
          <xdr:spPr>
            <a:xfrm>
              <a:off x="8750300" y="527050"/>
              <a:ext cx="2838450" cy="914400"/>
            </a:xfrm>
            <a:prstGeom prst="rect">
              <a:avLst/>
            </a:prstGeom>
            <a:solidFill>
              <a:prstClr val="white"/>
            </a:solidFill>
            <a:ln w="1">
              <a:solidFill>
                <a:prstClr val="green"/>
              </a:solidFill>
            </a:ln>
          </xdr:spPr>
          <xdr:txBody>
            <a:bodyPr vertOverflow="clip" horzOverflow="clip"/>
            <a:lstStyle/>
            <a:p>
              <a:r>
                <a:rPr lang="en-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rbara Dixon" refreshedDate="46305.521018287036" createdVersion="8" refreshedVersion="8" minRefreshableVersion="3" recordCount="4990" xr:uid="{D38B08AB-469E-4176-8080-D46E4F27F371}">
  <cacheSource type="worksheet">
    <worksheetSource name="Compensation_Cleaned"/>
  </cacheSource>
  <cacheFields count="17">
    <cacheField name="Employee_ID" numFmtId="0">
      <sharedItems count="4990">
        <s v="EMP00001"/>
        <s v="EMP00002"/>
        <s v="EMP00003"/>
        <s v="EMP00004"/>
        <s v="EMP00005"/>
        <s v="EMP00006"/>
        <s v="EMP00007"/>
        <s v="EMP00011"/>
        <s v="EMP00012"/>
        <s v="EMP00008"/>
        <s v="EMP00015"/>
        <s v="EMP00009"/>
        <s v="EMP00014"/>
        <s v="EMP00019"/>
        <s v="EMP00010"/>
        <s v="EMP00020"/>
        <s v="EMP00013"/>
        <s v="EMP00016"/>
        <s v="EMP00017"/>
        <s v="EMP00018"/>
        <s v="EMP00021"/>
        <s v="EMP00022"/>
        <s v="EMP00023"/>
        <s v="EMP00024"/>
        <s v="EMP00025"/>
        <s v="EMP00026"/>
        <s v="EMP00027"/>
        <s v="EMP00028"/>
        <s v="EMP00029"/>
        <s v="EMP00030"/>
        <s v="EMP00031"/>
        <s v="EMP00032"/>
        <s v="EMP00033"/>
        <s v="EMP00034"/>
        <s v="EMP00035"/>
        <s v="EMP00036"/>
        <s v="EMP00037"/>
        <s v="EMP00038"/>
        <s v="EMP00039"/>
        <s v="EMP00040"/>
        <s v="EMP00041"/>
        <s v="EMP00042"/>
        <s v="EMP00043"/>
        <s v="EMP00044"/>
        <s v="EMP00045"/>
        <s v="EMP00046"/>
        <s v="EMP00047"/>
        <s v="EMP00048"/>
        <s v="EMP00049"/>
        <s v="EMP00050"/>
        <s v="EMP00051"/>
        <s v="EMP00052"/>
        <s v="EMP00053"/>
        <s v="EMP00054"/>
        <s v="EMP00055"/>
        <s v="EMP00056"/>
        <s v="EMP00057"/>
        <s v="EMP00058"/>
        <s v="EMP00059"/>
        <s v="EMP00060"/>
        <s v="EMP00061"/>
        <s v="EMP00062"/>
        <s v="EMP00063"/>
        <s v="EMP00064"/>
        <s v="EMP00065"/>
        <s v="EMP00066"/>
        <s v="EMP00067"/>
        <s v="EMP00068"/>
        <s v="EMP00069"/>
        <s v="EMP00070"/>
        <s v="EMP00071"/>
        <s v="EMP00072"/>
        <s v="EMP00073"/>
        <s v="EMP00074"/>
        <s v="EMP00075"/>
        <s v="EMP00076"/>
        <s v="EMP00077"/>
        <s v="EMP00078"/>
        <s v="EMP00079"/>
        <s v="EMP00080"/>
        <s v="EMP00081"/>
        <s v="EMP00082"/>
        <s v="EMP00083"/>
        <s v="EMP00084"/>
        <s v="EMP00085"/>
        <s v="EMP00086"/>
        <s v="EMP00087"/>
        <s v="EMP00088"/>
        <s v="EMP00089"/>
        <s v="EMP00090"/>
        <s v="EMP00091"/>
        <s v="EMP00092"/>
        <s v="EMP00093"/>
        <s v="EMP00094"/>
        <s v="EMP00095"/>
        <s v="EMP00096"/>
        <s v="EMP00097"/>
        <s v="EMP00098"/>
        <s v="EMP00099"/>
        <s v="EMP00100"/>
        <s v="EMP00101"/>
        <s v="EMP00102"/>
        <s v="EMP00103"/>
        <s v="EMP00104"/>
        <s v="EMP00105"/>
        <s v="EMP00106"/>
        <s v="EMP00107"/>
        <s v="EMP00108"/>
        <s v="EMP00109"/>
        <s v="EMP00110"/>
        <s v="EMP00111"/>
        <s v="EMP00112"/>
        <s v="EMP00113"/>
        <s v="EMP00114"/>
        <s v="EMP00115"/>
        <s v="EMP00116"/>
        <s v="EMP00117"/>
        <s v="EMP00118"/>
        <s v="EMP00119"/>
        <s v="EMP00120"/>
        <s v="EMP00121"/>
        <s v="EMP00122"/>
        <s v="EMP00123"/>
        <s v="EMP00124"/>
        <s v="EMP00125"/>
        <s v="EMP00126"/>
        <s v="EMP00127"/>
        <s v="EMP00128"/>
        <s v="EMP00129"/>
        <s v="EMP00130"/>
        <s v="EMP00131"/>
        <s v="EMP00132"/>
        <s v="EMP00133"/>
        <s v="EMP00134"/>
        <s v="EMP00135"/>
        <s v="EMP00136"/>
        <s v="EMP00137"/>
        <s v="EMP00138"/>
        <s v="EMP00139"/>
        <s v="EMP00140"/>
        <s v="EMP00141"/>
        <s v="EMP00142"/>
        <s v="EMP00143"/>
        <s v="EMP00144"/>
        <s v="EMP00145"/>
        <s v="EMP00146"/>
        <s v="EMP00147"/>
        <s v="EMP00148"/>
        <s v="EMP00149"/>
        <s v="EMP00150"/>
        <s v="EMP00151"/>
        <s v="EMP00152"/>
        <s v="EMP00153"/>
        <s v="EMP00154"/>
        <s v="EMP00155"/>
        <s v="EMP00156"/>
        <s v="EMP00157"/>
        <s v="EMP00158"/>
        <s v="EMP00159"/>
        <s v="EMP00160"/>
        <s v="EMP00161"/>
        <s v="EMP00162"/>
        <s v="EMP00163"/>
        <s v="EMP00164"/>
        <s v="EMP00165"/>
        <s v="EMP00166"/>
        <s v="EMP00167"/>
        <s v="EMP00168"/>
        <s v="EMP00169"/>
        <s v="EMP00170"/>
        <s v="EMP00171"/>
        <s v="EMP00172"/>
        <s v="EMP00173"/>
        <s v="EMP00174"/>
        <s v="EMP00175"/>
        <s v="EMP00176"/>
        <s v="EMP00177"/>
        <s v="EMP00178"/>
        <s v="EMP00179"/>
        <s v="EMP00180"/>
        <s v="EMP00181"/>
        <s v="EMP00182"/>
        <s v="EMP00183"/>
        <s v="EMP00184"/>
        <s v="EMP00185"/>
        <s v="EMP00186"/>
        <s v="EMP00187"/>
        <s v="EMP00188"/>
        <s v="EMP00189"/>
        <s v="EMP00190"/>
        <s v="EMP00191"/>
        <s v="EMP00192"/>
        <s v="EMP00193"/>
        <s v="EMP00194"/>
        <s v="EMP00195"/>
        <s v="EMP00196"/>
        <s v="EMP00197"/>
        <s v="EMP00198"/>
        <s v="EMP00199"/>
        <s v="EMP00200"/>
        <s v="EMP00201"/>
        <s v="EMP00202"/>
        <s v="EMP00203"/>
        <s v="EMP00204"/>
        <s v="EMP00205"/>
        <s v="EMP00206"/>
        <s v="EMP00207"/>
        <s v="EMP00208"/>
        <s v="EMP00209"/>
        <s v="EMP00210"/>
        <s v="EMP00211"/>
        <s v="EMP00212"/>
        <s v="EMP00213"/>
        <s v="EMP00214"/>
        <s v="EMP00215"/>
        <s v="EMP00216"/>
        <s v="EMP00217"/>
        <s v="EMP00218"/>
        <s v="EMP00219"/>
        <s v="EMP00220"/>
        <s v="EMP00221"/>
        <s v="EMP00222"/>
        <s v="EMP00223"/>
        <s v="EMP00224"/>
        <s v="EMP00225"/>
        <s v="EMP00226"/>
        <s v="EMP00227"/>
        <s v="EMP00228"/>
        <s v="EMP00229"/>
        <s v="EMP00230"/>
        <s v="EMP00231"/>
        <s v="EMP00232"/>
        <s v="EMP00233"/>
        <s v="EMP00234"/>
        <s v="EMP00235"/>
        <s v="EMP00236"/>
        <s v="EMP00237"/>
        <s v="EMP00238"/>
        <s v="EMP00239"/>
        <s v="EMP00240"/>
        <s v="EMP00241"/>
        <s v="EMP00242"/>
        <s v="EMP00243"/>
        <s v="EMP00244"/>
        <s v="EMP00245"/>
        <s v="EMP00246"/>
        <s v="EMP00247"/>
        <s v="EMP00248"/>
        <s v="EMP00249"/>
        <s v="EMP00250"/>
        <s v="EMP00251"/>
        <s v="EMP00252"/>
        <s v="EMP00253"/>
        <s v="EMP00254"/>
        <s v="EMP00255"/>
        <s v="EMP00256"/>
        <s v="EMP00257"/>
        <s v="EMP00258"/>
        <s v="EMP00259"/>
        <s v="EMP00260"/>
        <s v="EMP00261"/>
        <s v="EMP00262"/>
        <s v="EMP00263"/>
        <s v="EMP00264"/>
        <s v="EMP00265"/>
        <s v="EMP00266"/>
        <s v="EMP00267"/>
        <s v="EMP00268"/>
        <s v="EMP00269"/>
        <s v="EMP00270"/>
        <s v="EMP00271"/>
        <s v="EMP00272"/>
        <s v="EMP00273"/>
        <s v="EMP00274"/>
        <s v="EMP00275"/>
        <s v="EMP00276"/>
        <s v="EMP00277"/>
        <s v="EMP00278"/>
        <s v="EMP00279"/>
        <s v="EMP00280"/>
        <s v="EMP00281"/>
        <s v="EMP00282"/>
        <s v="EMP00283"/>
        <s v="EMP00284"/>
        <s v="EMP00285"/>
        <s v="EMP00286"/>
        <s v="EMP00287"/>
        <s v="EMP00288"/>
        <s v="EMP00289"/>
        <s v="EMP00290"/>
        <s v="EMP00291"/>
        <s v="EMP00292"/>
        <s v="EMP00293"/>
        <s v="EMP00294"/>
        <s v="EMP00295"/>
        <s v="EMP00296"/>
        <s v="EMP00297"/>
        <s v="EMP00298"/>
        <s v="EMP00299"/>
        <s v="EMP00300"/>
        <s v="EMP00301"/>
        <s v="EMP00302"/>
        <s v="EMP00303"/>
        <s v="EMP00304"/>
        <s v="EMP00305"/>
        <s v="EMP00306"/>
        <s v="EMP00307"/>
        <s v="EMP00308"/>
        <s v="EMP00309"/>
        <s v="EMP00310"/>
        <s v="EMP00311"/>
        <s v="EMP00312"/>
        <s v="EMP00313"/>
        <s v="EMP00314"/>
        <s v="EMP00315"/>
        <s v="EMP00316"/>
        <s v="EMP00317"/>
        <s v="EMP00318"/>
        <s v="EMP00319"/>
        <s v="EMP00320"/>
        <s v="EMP00321"/>
        <s v="EMP00322"/>
        <s v="EMP00323"/>
        <s v="EMP00324"/>
        <s v="EMP00325"/>
        <s v="EMP00326"/>
        <s v="EMP00327"/>
        <s v="EMP00328"/>
        <s v="EMP00329"/>
        <s v="EMP00330"/>
        <s v="EMP00331"/>
        <s v="EMP00332"/>
        <s v="EMP00333"/>
        <s v="EMP00334"/>
        <s v="EMP00335"/>
        <s v="EMP00336"/>
        <s v="EMP00337"/>
        <s v="EMP00338"/>
        <s v="EMP00339"/>
        <s v="EMP00340"/>
        <s v="EMP00341"/>
        <s v="EMP00342"/>
        <s v="EMP00343"/>
        <s v="EMP00344"/>
        <s v="EMP00345"/>
        <s v="EMP00346"/>
        <s v="EMP00347"/>
        <s v="EMP00348"/>
        <s v="EMP00349"/>
        <s v="EMP00350"/>
        <s v="EMP00351"/>
        <s v="EMP00352"/>
        <s v="EMP00353"/>
        <s v="EMP00354"/>
        <s v="EMP00355"/>
        <s v="EMP00356"/>
        <s v="EMP00357"/>
        <s v="EMP00358"/>
        <s v="EMP00359"/>
        <s v="EMP00360"/>
        <s v="EMP00361"/>
        <s v="EMP00362"/>
        <s v="EMP00363"/>
        <s v="EMP00364"/>
        <s v="EMP00365"/>
        <s v="EMP00366"/>
        <s v="EMP00367"/>
        <s v="EMP00368"/>
        <s v="EMP00369"/>
        <s v="EMP00370"/>
        <s v="EMP00371"/>
        <s v="EMP00372"/>
        <s v="EMP00373"/>
        <s v="EMP00374"/>
        <s v="EMP00375"/>
        <s v="EMP00376"/>
        <s v="EMP00377"/>
        <s v="EMP00378"/>
        <s v="EMP00379"/>
        <s v="EMP00380"/>
        <s v="EMP00381"/>
        <s v="EMP00382"/>
        <s v="EMP00383"/>
        <s v="EMP00384"/>
        <s v="EMP00385"/>
        <s v="EMP00386"/>
        <s v="EMP00387"/>
        <s v="EMP00388"/>
        <s v="EMP00389"/>
        <s v="EMP00390"/>
        <s v="EMP00391"/>
        <s v="EMP00392"/>
        <s v="EMP00393"/>
        <s v="EMP00394"/>
        <s v="EMP00395"/>
        <s v="EMP00396"/>
        <s v="EMP00397"/>
        <s v="EMP00398"/>
        <s v="EMP00399"/>
        <s v="EMP00400"/>
        <s v="EMP00401"/>
        <s v="EMP00402"/>
        <s v="EMP00403"/>
        <s v="EMP00404"/>
        <s v="EMP00405"/>
        <s v="EMP00406"/>
        <s v="EMP00407"/>
        <s v="EMP00408"/>
        <s v="EMP00409"/>
        <s v="EMP00410"/>
        <s v="EMP00411"/>
        <s v="EMP00412"/>
        <s v="EMP00413"/>
        <s v="EMP00414"/>
        <s v="EMP00415"/>
        <s v="EMP00416"/>
        <s v="EMP00417"/>
        <s v="EMP00418"/>
        <s v="EMP00419"/>
        <s v="EMP00420"/>
        <s v="EMP00421"/>
        <s v="EMP00422"/>
        <s v="EMP00423"/>
        <s v="EMP00424"/>
        <s v="EMP00425"/>
        <s v="EMP00426"/>
        <s v="EMP00427"/>
        <s v="EMP00428"/>
        <s v="EMP00429"/>
        <s v="EMP00430"/>
        <s v="EMP00431"/>
        <s v="EMP00432"/>
        <s v="EMP00433"/>
        <s v="EMP00434"/>
        <s v="EMP00435"/>
        <s v="EMP00436"/>
        <s v="EMP00437"/>
        <s v="EMP00438"/>
        <s v="EMP00439"/>
        <s v="EMP00440"/>
        <s v="EMP00441"/>
        <s v="EMP00442"/>
        <s v="EMP00443"/>
        <s v="EMP00444"/>
        <s v="EMP00445"/>
        <s v="EMP00446"/>
        <s v="EMP00447"/>
        <s v="EMP00448"/>
        <s v="EMP00449"/>
        <s v="EMP00450"/>
        <s v="EMP00451"/>
        <s v="EMP00452"/>
        <s v="EMP00453"/>
        <s v="EMP00454"/>
        <s v="EMP00455"/>
        <s v="EMP00456"/>
        <s v="EMP00457"/>
        <s v="EMP00458"/>
        <s v="EMP00459"/>
        <s v="EMP00460"/>
        <s v="EMP00461"/>
        <s v="EMP00462"/>
        <s v="EMP00463"/>
        <s v="EMP00464"/>
        <s v="EMP00465"/>
        <s v="EMP00466"/>
        <s v="EMP00467"/>
        <s v="EMP00468"/>
        <s v="EMP00469"/>
        <s v="EMP00470"/>
        <s v="EMP00471"/>
        <s v="EMP00472"/>
        <s v="EMP00473"/>
        <s v="EMP00474"/>
        <s v="EMP00475"/>
        <s v="EMP00476"/>
        <s v="EMP00477"/>
        <s v="EMP00478"/>
        <s v="EMP00479"/>
        <s v="EMP00480"/>
        <s v="EMP00481"/>
        <s v="EMP00482"/>
        <s v="EMP00483"/>
        <s v="EMP00484"/>
        <s v="EMP00485"/>
        <s v="EMP00486"/>
        <s v="EMP00487"/>
        <s v="EMP00488"/>
        <s v="EMP00489"/>
        <s v="EMP00490"/>
        <s v="EMP00491"/>
        <s v="EMP00492"/>
        <s v="EMP00493"/>
        <s v="EMP00494"/>
        <s v="EMP00495"/>
        <s v="EMP00496"/>
        <s v="EMP00497"/>
        <s v="EMP00498"/>
        <s v="EMP00499"/>
        <s v="EMP00500"/>
        <s v="EMP00501"/>
        <s v="EMP00502"/>
        <s v="EMP00503"/>
        <s v="EMP00504"/>
        <s v="EMP00505"/>
        <s v="EMP00506"/>
        <s v="EMP00507"/>
        <s v="EMP00508"/>
        <s v="EMP00509"/>
        <s v="EMP00510"/>
        <s v="EMP00511"/>
        <s v="EMP00512"/>
        <s v="EMP00513"/>
        <s v="EMP00514"/>
        <s v="EMP00515"/>
        <s v="EMP00516"/>
        <s v="EMP00517"/>
        <s v="EMP00518"/>
        <s v="EMP00519"/>
        <s v="EMP00520"/>
        <s v="EMP00521"/>
        <s v="EMP00522"/>
        <s v="EMP00523"/>
        <s v="EMP00524"/>
        <s v="EMP00525"/>
        <s v="EMP00526"/>
        <s v="EMP00527"/>
        <s v="EMP00528"/>
        <s v="EMP00529"/>
        <s v="EMP00530"/>
        <s v="EMP00531"/>
        <s v="EMP00532"/>
        <s v="EMP00533"/>
        <s v="EMP00534"/>
        <s v="EMP00535"/>
        <s v="EMP00536"/>
        <s v="EMP00537"/>
        <s v="EMP00538"/>
        <s v="EMP00539"/>
        <s v="EMP00540"/>
        <s v="EMP00541"/>
        <s v="EMP00542"/>
        <s v="EMP00543"/>
        <s v="EMP00544"/>
        <s v="EMP00545"/>
        <s v="EMP00546"/>
        <s v="EMP00547"/>
        <s v="EMP00548"/>
        <s v="EMP00549"/>
        <s v="EMP00550"/>
        <s v="EMP00551"/>
        <s v="EMP00552"/>
        <s v="EMP00553"/>
        <s v="EMP00554"/>
        <s v="EMP00555"/>
        <s v="EMP00556"/>
        <s v="EMP00557"/>
        <s v="EMP00558"/>
        <s v="EMP00559"/>
        <s v="EMP00560"/>
        <s v="EMP00561"/>
        <s v="EMP00562"/>
        <s v="EMP00563"/>
        <s v="EMP00564"/>
        <s v="EMP00565"/>
        <s v="EMP00566"/>
        <s v="EMP00567"/>
        <s v="EMP00568"/>
        <s v="EMP00569"/>
        <s v="EMP00570"/>
        <s v="EMP00571"/>
        <s v="EMP00572"/>
        <s v="EMP00573"/>
        <s v="EMP00574"/>
        <s v="EMP00575"/>
        <s v="EMP00576"/>
        <s v="EMP00577"/>
        <s v="EMP00578"/>
        <s v="EMP00579"/>
        <s v="EMP00580"/>
        <s v="EMP00581"/>
        <s v="EMP00582"/>
        <s v="EMP00583"/>
        <s v="EMP00584"/>
        <s v="EMP00585"/>
        <s v="EMP00586"/>
        <s v="EMP00587"/>
        <s v="EMP00588"/>
        <s v="EMP00589"/>
        <s v="EMP00590"/>
        <s v="EMP00591"/>
        <s v="EMP00592"/>
        <s v="EMP00593"/>
        <s v="EMP00594"/>
        <s v="EMP00595"/>
        <s v="EMP00596"/>
        <s v="EMP00597"/>
        <s v="EMP00598"/>
        <s v="EMP00599"/>
        <s v="EMP00600"/>
        <s v="EMP00601"/>
        <s v="EMP00602"/>
        <s v="EMP00603"/>
        <s v="EMP00604"/>
        <s v="EMP00605"/>
        <s v="EMP00606"/>
        <s v="EMP00607"/>
        <s v="EMP00608"/>
        <s v="EMP00609"/>
        <s v="EMP00610"/>
        <s v="EMP00611"/>
        <s v="EMP00612"/>
        <s v="EMP00613"/>
        <s v="EMP00614"/>
        <s v="EMP00615"/>
        <s v="EMP00616"/>
        <s v="EMP00617"/>
        <s v="EMP00618"/>
        <s v="EMP00619"/>
        <s v="EMP00620"/>
        <s v="EMP00621"/>
        <s v="EMP00622"/>
        <s v="EMP00623"/>
        <s v="EMP00624"/>
        <s v="EMP00625"/>
        <s v="EMP00626"/>
        <s v="EMP00627"/>
        <s v="EMP00628"/>
        <s v="EMP00629"/>
        <s v="EMP00630"/>
        <s v="EMP00631"/>
        <s v="EMP00632"/>
        <s v="EMP00633"/>
        <s v="EMP00634"/>
        <s v="EMP00635"/>
        <s v="EMP00636"/>
        <s v="EMP00637"/>
        <s v="EMP00638"/>
        <s v="EMP00639"/>
        <s v="EMP00640"/>
        <s v="EMP00641"/>
        <s v="EMP00642"/>
        <s v="EMP00643"/>
        <s v="EMP00644"/>
        <s v="EMP00645"/>
        <s v="EMP00646"/>
        <s v="EMP00647"/>
        <s v="EMP00648"/>
        <s v="EMP00649"/>
        <s v="EMP00650"/>
        <s v="EMP00651"/>
        <s v="EMP00652"/>
        <s v="EMP00653"/>
        <s v="EMP00654"/>
        <s v="EMP00655"/>
        <s v="EMP00656"/>
        <s v="EMP00657"/>
        <s v="EMP00658"/>
        <s v="EMP00659"/>
        <s v="EMP00660"/>
        <s v="EMP00661"/>
        <s v="EMP00662"/>
        <s v="EMP00663"/>
        <s v="EMP00664"/>
        <s v="EMP00665"/>
        <s v="EMP00666"/>
        <s v="EMP00667"/>
        <s v="EMP00668"/>
        <s v="EMP00669"/>
        <s v="EMP00670"/>
        <s v="EMP00671"/>
        <s v="EMP00672"/>
        <s v="EMP00673"/>
        <s v="EMP00674"/>
        <s v="EMP00675"/>
        <s v="EMP00676"/>
        <s v="EMP00677"/>
        <s v="EMP00678"/>
        <s v="EMP00679"/>
        <s v="EMP00680"/>
        <s v="EMP00681"/>
        <s v="EMP00682"/>
        <s v="EMP00683"/>
        <s v="EMP00684"/>
        <s v="EMP00685"/>
        <s v="EMP00686"/>
        <s v="EMP00687"/>
        <s v="EMP00688"/>
        <s v="EMP00689"/>
        <s v="EMP00690"/>
        <s v="EMP00691"/>
        <s v="EMP00692"/>
        <s v="EMP00693"/>
        <s v="EMP00694"/>
        <s v="EMP00695"/>
        <s v="EMP00696"/>
        <s v="EMP00697"/>
        <s v="EMP00698"/>
        <s v="EMP00699"/>
        <s v="EMP00700"/>
        <s v="EMP00701"/>
        <s v="EMP00702"/>
        <s v="EMP00703"/>
        <s v="EMP00704"/>
        <s v="EMP00705"/>
        <s v="EMP00706"/>
        <s v="EMP00707"/>
        <s v="EMP00708"/>
        <s v="EMP00709"/>
        <s v="EMP00710"/>
        <s v="EMP00711"/>
        <s v="EMP00712"/>
        <s v="EMP00713"/>
        <s v="EMP00714"/>
        <s v="EMP00715"/>
        <s v="EMP00716"/>
        <s v="EMP00717"/>
        <s v="EMP00718"/>
        <s v="EMP00719"/>
        <s v="EMP00720"/>
        <s v="EMP00721"/>
        <s v="EMP00722"/>
        <s v="EMP00723"/>
        <s v="EMP00724"/>
        <s v="EMP00725"/>
        <s v="EMP00726"/>
        <s v="EMP00727"/>
        <s v="EMP00728"/>
        <s v="EMP00729"/>
        <s v="EMP00730"/>
        <s v="EMP00731"/>
        <s v="EMP00732"/>
        <s v="EMP00733"/>
        <s v="EMP00734"/>
        <s v="EMP00735"/>
        <s v="EMP00736"/>
        <s v="EMP00737"/>
        <s v="EMP00738"/>
        <s v="EMP00739"/>
        <s v="EMP00740"/>
        <s v="EMP00741"/>
        <s v="EMP00742"/>
        <s v="EMP00743"/>
        <s v="EMP00744"/>
        <s v="EMP00745"/>
        <s v="EMP00746"/>
        <s v="EMP00747"/>
        <s v="EMP00748"/>
        <s v="EMP00749"/>
        <s v="EMP00750"/>
        <s v="EMP00751"/>
        <s v="EMP00752"/>
        <s v="EMP00753"/>
        <s v="EMP00754"/>
        <s v="EMP00755"/>
        <s v="EMP00756"/>
        <s v="EMP00757"/>
        <s v="EMP00758"/>
        <s v="EMP00759"/>
        <s v="EMP00760"/>
        <s v="EMP00761"/>
        <s v="EMP00762"/>
        <s v="EMP00763"/>
        <s v="EMP00764"/>
        <s v="EMP00765"/>
        <s v="EMP00766"/>
        <s v="EMP00767"/>
        <s v="EMP00768"/>
        <s v="EMP00769"/>
        <s v="EMP00770"/>
        <s v="EMP00771"/>
        <s v="EMP00772"/>
        <s v="EMP00773"/>
        <s v="EMP00774"/>
        <s v="EMP00775"/>
        <s v="EMP00776"/>
        <s v="EMP00777"/>
        <s v="EMP00778"/>
        <s v="EMP00779"/>
        <s v="EMP00780"/>
        <s v="EMP00781"/>
        <s v="EMP00782"/>
        <s v="EMP00783"/>
        <s v="EMP00784"/>
        <s v="EMP00785"/>
        <s v="EMP00786"/>
        <s v="EMP00787"/>
        <s v="EMP00788"/>
        <s v="EMP00789"/>
        <s v="EMP00790"/>
        <s v="EMP00791"/>
        <s v="EMP00792"/>
        <s v="EMP00793"/>
        <s v="EMP00794"/>
        <s v="EMP00795"/>
        <s v="EMP00796"/>
        <s v="EMP00797"/>
        <s v="EMP00798"/>
        <s v="EMP00799"/>
        <s v="EMP00800"/>
        <s v="EMP00801"/>
        <s v="EMP00802"/>
        <s v="EMP00803"/>
        <s v="EMP00804"/>
        <s v="EMP00805"/>
        <s v="EMP00806"/>
        <s v="EMP00807"/>
        <s v="EMP00808"/>
        <s v="EMP00809"/>
        <s v="EMP00810"/>
        <s v="EMP00811"/>
        <s v="EMP00812"/>
        <s v="EMP00813"/>
        <s v="EMP00814"/>
        <s v="EMP00815"/>
        <s v="EMP00816"/>
        <s v="EMP00817"/>
        <s v="EMP00818"/>
        <s v="EMP00819"/>
        <s v="EMP00820"/>
        <s v="EMP00821"/>
        <s v="EMP00822"/>
        <s v="EMP00823"/>
        <s v="EMP00824"/>
        <s v="EMP00825"/>
        <s v="EMP00826"/>
        <s v="EMP00827"/>
        <s v="EMP00828"/>
        <s v="EMP00829"/>
        <s v="EMP00830"/>
        <s v="EMP00831"/>
        <s v="EMP00832"/>
        <s v="EMP00833"/>
        <s v="EMP00834"/>
        <s v="EMP00835"/>
        <s v="EMP00836"/>
        <s v="EMP00837"/>
        <s v="EMP00838"/>
        <s v="EMP00839"/>
        <s v="EMP00840"/>
        <s v="EMP00841"/>
        <s v="EMP00842"/>
        <s v="EMP00843"/>
        <s v="EMP00844"/>
        <s v="EMP00845"/>
        <s v="EMP00846"/>
        <s v="EMP00847"/>
        <s v="EMP00848"/>
        <s v="EMP00849"/>
        <s v="EMP00850"/>
        <s v="EMP00851"/>
        <s v="EMP00852"/>
        <s v="EMP00853"/>
        <s v="EMP00854"/>
        <s v="EMP00855"/>
        <s v="EMP00856"/>
        <s v="EMP00857"/>
        <s v="EMP00858"/>
        <s v="EMP00859"/>
        <s v="EMP00860"/>
        <s v="EMP00861"/>
        <s v="EMP00862"/>
        <s v="EMP00863"/>
        <s v="EMP00864"/>
        <s v="EMP00865"/>
        <s v="EMP00866"/>
        <s v="EMP00867"/>
        <s v="EMP00868"/>
        <s v="EMP00869"/>
        <s v="EMP00870"/>
        <s v="EMP00871"/>
        <s v="EMP00872"/>
        <s v="EMP00873"/>
        <s v="EMP00874"/>
        <s v="EMP00875"/>
        <s v="EMP00876"/>
        <s v="EMP00877"/>
        <s v="EMP00878"/>
        <s v="EMP00879"/>
        <s v="EMP00880"/>
        <s v="EMP00881"/>
        <s v="EMP00882"/>
        <s v="EMP00883"/>
        <s v="EMP00884"/>
        <s v="EMP00885"/>
        <s v="EMP00886"/>
        <s v="EMP00887"/>
        <s v="EMP00888"/>
        <s v="EMP00889"/>
        <s v="EMP00890"/>
        <s v="EMP00891"/>
        <s v="EMP00892"/>
        <s v="EMP00893"/>
        <s v="EMP00894"/>
        <s v="EMP00895"/>
        <s v="EMP00896"/>
        <s v="EMP00897"/>
        <s v="EMP00898"/>
        <s v="EMP00899"/>
        <s v="EMP00900"/>
        <s v="EMP00901"/>
        <s v="EMP00902"/>
        <s v="EMP00903"/>
        <s v="EMP00904"/>
        <s v="EMP00905"/>
        <s v="EMP00906"/>
        <s v="EMP00907"/>
        <s v="EMP00908"/>
        <s v="EMP00909"/>
        <s v="EMP00910"/>
        <s v="EMP00911"/>
        <s v="EMP00912"/>
        <s v="EMP00913"/>
        <s v="EMP00914"/>
        <s v="EMP00915"/>
        <s v="EMP00916"/>
        <s v="EMP00917"/>
        <s v="EMP00918"/>
        <s v="EMP00919"/>
        <s v="EMP00920"/>
        <s v="EMP00921"/>
        <s v="EMP00922"/>
        <s v="EMP00923"/>
        <s v="EMP00924"/>
        <s v="EMP00925"/>
        <s v="EMP00926"/>
        <s v="EMP00927"/>
        <s v="EMP00928"/>
        <s v="EMP00929"/>
        <s v="EMP00930"/>
        <s v="EMP00931"/>
        <s v="EMP00932"/>
        <s v="EMP00933"/>
        <s v="EMP00934"/>
        <s v="EMP00935"/>
        <s v="EMP00936"/>
        <s v="EMP00937"/>
        <s v="EMP00938"/>
        <s v="EMP00939"/>
        <s v="EMP00940"/>
        <s v="EMP00941"/>
        <s v="EMP00942"/>
        <s v="EMP00943"/>
        <s v="EMP00944"/>
        <s v="EMP00945"/>
        <s v="EMP00946"/>
        <s v="EMP00947"/>
        <s v="EMP00948"/>
        <s v="EMP00949"/>
        <s v="EMP00950"/>
        <s v="EMP00951"/>
        <s v="EMP00952"/>
        <s v="EMP00953"/>
        <s v="EMP00954"/>
        <s v="EMP00955"/>
        <s v="EMP00956"/>
        <s v="EMP00957"/>
        <s v="EMP00958"/>
        <s v="EMP00959"/>
        <s v="EMP00960"/>
        <s v="EMP00961"/>
        <s v="EMP00962"/>
        <s v="EMP00963"/>
        <s v="EMP00964"/>
        <s v="EMP00965"/>
        <s v="EMP00966"/>
        <s v="EMP00967"/>
        <s v="EMP00968"/>
        <s v="EMP00969"/>
        <s v="EMP00970"/>
        <s v="EMP00971"/>
        <s v="EMP00972"/>
        <s v="EMP00973"/>
        <s v="EMP00974"/>
        <s v="EMP00975"/>
        <s v="EMP00976"/>
        <s v="EMP00977"/>
        <s v="EMP00978"/>
        <s v="EMP00979"/>
        <s v="EMP00980"/>
        <s v="EMP00981"/>
        <s v="EMP00982"/>
        <s v="EMP00983"/>
        <s v="EMP00984"/>
        <s v="EMP00985"/>
        <s v="EMP00986"/>
        <s v="EMP00987"/>
        <s v="EMP00988"/>
        <s v="EMP00989"/>
        <s v="EMP00990"/>
        <s v="EMP00991"/>
        <s v="EMP00992"/>
        <s v="EMP00993"/>
        <s v="EMP00994"/>
        <s v="EMP00995"/>
        <s v="EMP00996"/>
        <s v="EMP00997"/>
        <s v="EMP00998"/>
        <s v="EMP00999"/>
        <s v="EMP01000"/>
        <s v="EMP01001"/>
        <s v="EMP01002"/>
        <s v="EMP01003"/>
        <s v="EMP01004"/>
        <s v="EMP01005"/>
        <s v="EMP01006"/>
        <s v="EMP01007"/>
        <s v="EMP01008"/>
        <s v="EMP01009"/>
        <s v="EMP01010"/>
        <s v="EMP01011"/>
        <s v="EMP01012"/>
        <s v="EMP01013"/>
        <s v="EMP01014"/>
        <s v="EMP01015"/>
        <s v="EMP01016"/>
        <s v="EMP01017"/>
        <s v="EMP01018"/>
        <s v="EMP01019"/>
        <s v="EMP01020"/>
        <s v="EMP01021"/>
        <s v="EMP01022"/>
        <s v="EMP01023"/>
        <s v="EMP01024"/>
        <s v="EMP01025"/>
        <s v="EMP01026"/>
        <s v="EMP01027"/>
        <s v="EMP01028"/>
        <s v="EMP01029"/>
        <s v="EMP01030"/>
        <s v="EMP01031"/>
        <s v="EMP01032"/>
        <s v="EMP01033"/>
        <s v="EMP01034"/>
        <s v="EMP01035"/>
        <s v="EMP01036"/>
        <s v="EMP01037"/>
        <s v="EMP01038"/>
        <s v="EMP01039"/>
        <s v="EMP01040"/>
        <s v="EMP01041"/>
        <s v="EMP01042"/>
        <s v="EMP01043"/>
        <s v="EMP01044"/>
        <s v="EMP01045"/>
        <s v="EMP01046"/>
        <s v="EMP01047"/>
        <s v="EMP01048"/>
        <s v="EMP01049"/>
        <s v="EMP01050"/>
        <s v="EMP01051"/>
        <s v="EMP01052"/>
        <s v="EMP01053"/>
        <s v="EMP01054"/>
        <s v="EMP01055"/>
        <s v="EMP01056"/>
        <s v="EMP01057"/>
        <s v="EMP01058"/>
        <s v="EMP01059"/>
        <s v="EMP01060"/>
        <s v="EMP01061"/>
        <s v="EMP01062"/>
        <s v="EMP01063"/>
        <s v="EMP01064"/>
        <s v="EMP01065"/>
        <s v="EMP01066"/>
        <s v="EMP01067"/>
        <s v="EMP01068"/>
        <s v="EMP01069"/>
        <s v="EMP01070"/>
        <s v="EMP01071"/>
        <s v="EMP01072"/>
        <s v="EMP01073"/>
        <s v="EMP01074"/>
        <s v="EMP01075"/>
        <s v="EMP01076"/>
        <s v="EMP01077"/>
        <s v="EMP01078"/>
        <s v="EMP01079"/>
        <s v="EMP01080"/>
        <s v="EMP01081"/>
        <s v="EMP01082"/>
        <s v="EMP01083"/>
        <s v="EMP01084"/>
        <s v="EMP01085"/>
        <s v="EMP01086"/>
        <s v="EMP01087"/>
        <s v="EMP01088"/>
        <s v="EMP01089"/>
        <s v="EMP01090"/>
        <s v="EMP01091"/>
        <s v="EMP01092"/>
        <s v="EMP01093"/>
        <s v="EMP01094"/>
        <s v="EMP01095"/>
        <s v="EMP01096"/>
        <s v="EMP01097"/>
        <s v="EMP01098"/>
        <s v="EMP01099"/>
        <s v="EMP01100"/>
        <s v="EMP01101"/>
        <s v="EMP01102"/>
        <s v="EMP01103"/>
        <s v="EMP01104"/>
        <s v="EMP01105"/>
        <s v="EMP01106"/>
        <s v="EMP01107"/>
        <s v="EMP01108"/>
        <s v="EMP01109"/>
        <s v="EMP01110"/>
        <s v="EMP01111"/>
        <s v="EMP01112"/>
        <s v="EMP01113"/>
        <s v="EMP01114"/>
        <s v="EMP01115"/>
        <s v="EMP01116"/>
        <s v="EMP01117"/>
        <s v="EMP01118"/>
        <s v="EMP01119"/>
        <s v="EMP01120"/>
        <s v="EMP01121"/>
        <s v="EMP01122"/>
        <s v="EMP01123"/>
        <s v="EMP01124"/>
        <s v="EMP01125"/>
        <s v="EMP01126"/>
        <s v="EMP01127"/>
        <s v="EMP01128"/>
        <s v="EMP01129"/>
        <s v="EMP01130"/>
        <s v="EMP01131"/>
        <s v="EMP01132"/>
        <s v="EMP01133"/>
        <s v="EMP01134"/>
        <s v="EMP01135"/>
        <s v="EMP01136"/>
        <s v="EMP01137"/>
        <s v="EMP01138"/>
        <s v="EMP01139"/>
        <s v="EMP01140"/>
        <s v="EMP01141"/>
        <s v="EMP01142"/>
        <s v="EMP01143"/>
        <s v="EMP01144"/>
        <s v="EMP01145"/>
        <s v="EMP01146"/>
        <s v="EMP01147"/>
        <s v="EMP01148"/>
        <s v="EMP01149"/>
        <s v="EMP01150"/>
        <s v="EMP01151"/>
        <s v="EMP01152"/>
        <s v="EMP01153"/>
        <s v="EMP01154"/>
        <s v="EMP01155"/>
        <s v="EMP01156"/>
        <s v="EMP01157"/>
        <s v="EMP01158"/>
        <s v="EMP01159"/>
        <s v="EMP01160"/>
        <s v="EMP01161"/>
        <s v="EMP01162"/>
        <s v="EMP01163"/>
        <s v="EMP01164"/>
        <s v="EMP01165"/>
        <s v="EMP01166"/>
        <s v="EMP01167"/>
        <s v="EMP01168"/>
        <s v="EMP01169"/>
        <s v="EMP01170"/>
        <s v="EMP01171"/>
        <s v="EMP01172"/>
        <s v="EMP01173"/>
        <s v="EMP01174"/>
        <s v="EMP01175"/>
        <s v="EMP01176"/>
        <s v="EMP01177"/>
        <s v="EMP01178"/>
        <s v="EMP01179"/>
        <s v="EMP01180"/>
        <s v="EMP01181"/>
        <s v="EMP01182"/>
        <s v="EMP01183"/>
        <s v="EMP01184"/>
        <s v="EMP01185"/>
        <s v="EMP01186"/>
        <s v="EMP01187"/>
        <s v="EMP01188"/>
        <s v="EMP01189"/>
        <s v="EMP01190"/>
        <s v="EMP01191"/>
        <s v="EMP01192"/>
        <s v="EMP01193"/>
        <s v="EMP01194"/>
        <s v="EMP01195"/>
        <s v="EMP01196"/>
        <s v="EMP01197"/>
        <s v="EMP01198"/>
        <s v="EMP01199"/>
        <s v="EMP01200"/>
        <s v="EMP01201"/>
        <s v="EMP01202"/>
        <s v="EMP01203"/>
        <s v="EMP01204"/>
        <s v="EMP01205"/>
        <s v="EMP01206"/>
        <s v="EMP01207"/>
        <s v="EMP01208"/>
        <s v="EMP01209"/>
        <s v="EMP01210"/>
        <s v="EMP01211"/>
        <s v="EMP01212"/>
        <s v="EMP01213"/>
        <s v="EMP01214"/>
        <s v="EMP01215"/>
        <s v="EMP01216"/>
        <s v="EMP01217"/>
        <s v="EMP01218"/>
        <s v="EMP01219"/>
        <s v="EMP01220"/>
        <s v="EMP01221"/>
        <s v="EMP01222"/>
        <s v="EMP01223"/>
        <s v="EMP01224"/>
        <s v="EMP01225"/>
        <s v="EMP01226"/>
        <s v="EMP01227"/>
        <s v="EMP01228"/>
        <s v="EMP01229"/>
        <s v="EMP01230"/>
        <s v="EMP01231"/>
        <s v="EMP01232"/>
        <s v="EMP01233"/>
        <s v="EMP01234"/>
        <s v="EMP01235"/>
        <s v="EMP01236"/>
        <s v="EMP01237"/>
        <s v="EMP01238"/>
        <s v="EMP01239"/>
        <s v="EMP01240"/>
        <s v="EMP01241"/>
        <s v="EMP01242"/>
        <s v="EMP01243"/>
        <s v="EMP01244"/>
        <s v="EMP01245"/>
        <s v="EMP01246"/>
        <s v="EMP01247"/>
        <s v="EMP01248"/>
        <s v="EMP01249"/>
        <s v="EMP01250"/>
        <s v="EMP01251"/>
        <s v="EMP01252"/>
        <s v="EMP01253"/>
        <s v="EMP01254"/>
        <s v="EMP01255"/>
        <s v="EMP01256"/>
        <s v="EMP01257"/>
        <s v="EMP01258"/>
        <s v="EMP01259"/>
        <s v="EMP01260"/>
        <s v="EMP01261"/>
        <s v="EMP01262"/>
        <s v="EMP01263"/>
        <s v="EMP01264"/>
        <s v="EMP01265"/>
        <s v="EMP01266"/>
        <s v="EMP01267"/>
        <s v="EMP01268"/>
        <s v="EMP01269"/>
        <s v="EMP01270"/>
        <s v="EMP01271"/>
        <s v="EMP01272"/>
        <s v="EMP01273"/>
        <s v="EMP01274"/>
        <s v="EMP01275"/>
        <s v="EMP01276"/>
        <s v="EMP01277"/>
        <s v="EMP01278"/>
        <s v="EMP01279"/>
        <s v="EMP01280"/>
        <s v="EMP01281"/>
        <s v="EMP01282"/>
        <s v="EMP01283"/>
        <s v="EMP01284"/>
        <s v="EMP01285"/>
        <s v="EMP01286"/>
        <s v="EMP01287"/>
        <s v="EMP01288"/>
        <s v="EMP01289"/>
        <s v="EMP01290"/>
        <s v="EMP01291"/>
        <s v="EMP01292"/>
        <s v="EMP01293"/>
        <s v="EMP01294"/>
        <s v="EMP01295"/>
        <s v="EMP01296"/>
        <s v="EMP01297"/>
        <s v="EMP01298"/>
        <s v="EMP01299"/>
        <s v="EMP01300"/>
        <s v="EMP01301"/>
        <s v="EMP01302"/>
        <s v="EMP01303"/>
        <s v="EMP01304"/>
        <s v="EMP01305"/>
        <s v="EMP01306"/>
        <s v="EMP01307"/>
        <s v="EMP01308"/>
        <s v="EMP01309"/>
        <s v="EMP01310"/>
        <s v="EMP01311"/>
        <s v="EMP01312"/>
        <s v="EMP01313"/>
        <s v="EMP01314"/>
        <s v="EMP01315"/>
        <s v="EMP01316"/>
        <s v="EMP01317"/>
        <s v="EMP01318"/>
        <s v="EMP01319"/>
        <s v="EMP01320"/>
        <s v="EMP01321"/>
        <s v="EMP01322"/>
        <s v="EMP01323"/>
        <s v="EMP01324"/>
        <s v="EMP01325"/>
        <s v="EMP01326"/>
        <s v="EMP01327"/>
        <s v="EMP01328"/>
        <s v="EMP01329"/>
        <s v="EMP01330"/>
        <s v="EMP01331"/>
        <s v="EMP01332"/>
        <s v="EMP01333"/>
        <s v="EMP01334"/>
        <s v="EMP01335"/>
        <s v="EMP01336"/>
        <s v="EMP01337"/>
        <s v="EMP01338"/>
        <s v="EMP01339"/>
        <s v="EMP01340"/>
        <s v="EMP01341"/>
        <s v="EMP01342"/>
        <s v="EMP01343"/>
        <s v="EMP01344"/>
        <s v="EMP01345"/>
        <s v="EMP01346"/>
        <s v="EMP01347"/>
        <s v="EMP01348"/>
        <s v="EMP01349"/>
        <s v="EMP01350"/>
        <s v="EMP01351"/>
        <s v="EMP01352"/>
        <s v="EMP01353"/>
        <s v="EMP01354"/>
        <s v="EMP01355"/>
        <s v="EMP01356"/>
        <s v="EMP01357"/>
        <s v="EMP01358"/>
        <s v="EMP01359"/>
        <s v="EMP01360"/>
        <s v="EMP01361"/>
        <s v="EMP01362"/>
        <s v="EMP01363"/>
        <s v="EMP01364"/>
        <s v="EMP01365"/>
        <s v="EMP01366"/>
        <s v="EMP01367"/>
        <s v="EMP01368"/>
        <s v="EMP01369"/>
        <s v="EMP01370"/>
        <s v="EMP01371"/>
        <s v="EMP01372"/>
        <s v="EMP01373"/>
        <s v="EMP01374"/>
        <s v="EMP01375"/>
        <s v="EMP01376"/>
        <s v="EMP01377"/>
        <s v="EMP01378"/>
        <s v="EMP01379"/>
        <s v="EMP01380"/>
        <s v="EMP01381"/>
        <s v="EMP01382"/>
        <s v="EMP01383"/>
        <s v="EMP01384"/>
        <s v="EMP01385"/>
        <s v="EMP01386"/>
        <s v="EMP01387"/>
        <s v="EMP01388"/>
        <s v="EMP01389"/>
        <s v="EMP01390"/>
        <s v="EMP01391"/>
        <s v="EMP01392"/>
        <s v="EMP01393"/>
        <s v="EMP01394"/>
        <s v="EMP01395"/>
        <s v="EMP01396"/>
        <s v="EMP01397"/>
        <s v="EMP01398"/>
        <s v="EMP01399"/>
        <s v="EMP01400"/>
        <s v="EMP01401"/>
        <s v="EMP01402"/>
        <s v="EMP01403"/>
        <s v="EMP01404"/>
        <s v="EMP01405"/>
        <s v="EMP01406"/>
        <s v="EMP01407"/>
        <s v="EMP01408"/>
        <s v="EMP01409"/>
        <s v="EMP01410"/>
        <s v="EMP01411"/>
        <s v="EMP01412"/>
        <s v="EMP01413"/>
        <s v="EMP01414"/>
        <s v="EMP01415"/>
        <s v="EMP01416"/>
        <s v="EMP01417"/>
        <s v="EMP01418"/>
        <s v="EMP01419"/>
        <s v="EMP01420"/>
        <s v="EMP01421"/>
        <s v="EMP01422"/>
        <s v="EMP01423"/>
        <s v="EMP01424"/>
        <s v="EMP01425"/>
        <s v="EMP01426"/>
        <s v="EMP01427"/>
        <s v="EMP01428"/>
        <s v="EMP01429"/>
        <s v="EMP01430"/>
        <s v="EMP01431"/>
        <s v="EMP01432"/>
        <s v="EMP01433"/>
        <s v="EMP01434"/>
        <s v="EMP01435"/>
        <s v="EMP01436"/>
        <s v="EMP01437"/>
        <s v="EMP01438"/>
        <s v="EMP01439"/>
        <s v="EMP01440"/>
        <s v="EMP01441"/>
        <s v="EMP01442"/>
        <s v="EMP01443"/>
        <s v="EMP01444"/>
        <s v="EMP01445"/>
        <s v="EMP01446"/>
        <s v="EMP01447"/>
        <s v="EMP01448"/>
        <s v="EMP01449"/>
        <s v="EMP01450"/>
        <s v="EMP01451"/>
        <s v="EMP01452"/>
        <s v="EMP01453"/>
        <s v="EMP01454"/>
        <s v="EMP01455"/>
        <s v="EMP01456"/>
        <s v="EMP01457"/>
        <s v="EMP01458"/>
        <s v="EMP01459"/>
        <s v="EMP01460"/>
        <s v="EMP01461"/>
        <s v="EMP01462"/>
        <s v="EMP01463"/>
        <s v="EMP01464"/>
        <s v="EMP01465"/>
        <s v="EMP01466"/>
        <s v="EMP01467"/>
        <s v="EMP01468"/>
        <s v="EMP01469"/>
        <s v="EMP01470"/>
        <s v="EMP01471"/>
        <s v="EMP01472"/>
        <s v="EMP01473"/>
        <s v="EMP01474"/>
        <s v="EMP01475"/>
        <s v="EMP01476"/>
        <s v="EMP01477"/>
        <s v="EMP01478"/>
        <s v="EMP01479"/>
        <s v="EMP01480"/>
        <s v="EMP01481"/>
        <s v="EMP01482"/>
        <s v="EMP01483"/>
        <s v="EMP01484"/>
        <s v="EMP01485"/>
        <s v="EMP01486"/>
        <s v="EMP01487"/>
        <s v="EMP01488"/>
        <s v="EMP01489"/>
        <s v="EMP01490"/>
        <s v="EMP01491"/>
        <s v="EMP01492"/>
        <s v="EMP01493"/>
        <s v="EMP01494"/>
        <s v="EMP01495"/>
        <s v="EMP01496"/>
        <s v="EMP01497"/>
        <s v="EMP01498"/>
        <s v="EMP01499"/>
        <s v="EMP01500"/>
        <s v="EMP01501"/>
        <s v="EMP01502"/>
        <s v="EMP01503"/>
        <s v="EMP01504"/>
        <s v="EMP01505"/>
        <s v="EMP01506"/>
        <s v="EMP01507"/>
        <s v="EMP01508"/>
        <s v="EMP01509"/>
        <s v="EMP01510"/>
        <s v="EMP01511"/>
        <s v="EMP01512"/>
        <s v="EMP01513"/>
        <s v="EMP01514"/>
        <s v="EMP01515"/>
        <s v="EMP01516"/>
        <s v="EMP01517"/>
        <s v="EMP01518"/>
        <s v="EMP01519"/>
        <s v="EMP01520"/>
        <s v="EMP01521"/>
        <s v="EMP01522"/>
        <s v="EMP01523"/>
        <s v="EMP01524"/>
        <s v="EMP01525"/>
        <s v="EMP01526"/>
        <s v="EMP01527"/>
        <s v="EMP01528"/>
        <s v="EMP01529"/>
        <s v="EMP01530"/>
        <s v="EMP01531"/>
        <s v="EMP01532"/>
        <s v="EMP01533"/>
        <s v="EMP01534"/>
        <s v="EMP01535"/>
        <s v="EMP01536"/>
        <s v="EMP01537"/>
        <s v="EMP01538"/>
        <s v="EMP01539"/>
        <s v="EMP01540"/>
        <s v="EMP01541"/>
        <s v="EMP01542"/>
        <s v="EMP01543"/>
        <s v="EMP01544"/>
        <s v="EMP01545"/>
        <s v="EMP01546"/>
        <s v="EMP01547"/>
        <s v="EMP01548"/>
        <s v="EMP01549"/>
        <s v="EMP01550"/>
        <s v="EMP01551"/>
        <s v="EMP01552"/>
        <s v="EMP01553"/>
        <s v="EMP01554"/>
        <s v="EMP01555"/>
        <s v="EMP01556"/>
        <s v="EMP01557"/>
        <s v="EMP01558"/>
        <s v="EMP01559"/>
        <s v="EMP01560"/>
        <s v="EMP01561"/>
        <s v="EMP01562"/>
        <s v="EMP01563"/>
        <s v="EMP01564"/>
        <s v="EMP01565"/>
        <s v="EMP01566"/>
        <s v="EMP01567"/>
        <s v="EMP01568"/>
        <s v="EMP01569"/>
        <s v="EMP01570"/>
        <s v="EMP01571"/>
        <s v="EMP01572"/>
        <s v="EMP01573"/>
        <s v="EMP01574"/>
        <s v="EMP01575"/>
        <s v="EMP01576"/>
        <s v="EMP01577"/>
        <s v="EMP01578"/>
        <s v="EMP01579"/>
        <s v="EMP01580"/>
        <s v="EMP01581"/>
        <s v="EMP01582"/>
        <s v="EMP01583"/>
        <s v="EMP01584"/>
        <s v="EMP01585"/>
        <s v="EMP01586"/>
        <s v="EMP01587"/>
        <s v="EMP01588"/>
        <s v="EMP01589"/>
        <s v="EMP01590"/>
        <s v="EMP01591"/>
        <s v="EMP01592"/>
        <s v="EMP01593"/>
        <s v="EMP01594"/>
        <s v="EMP01595"/>
        <s v="EMP01596"/>
        <s v="EMP01597"/>
        <s v="EMP01598"/>
        <s v="EMP01599"/>
        <s v="EMP01600"/>
        <s v="EMP01601"/>
        <s v="EMP01602"/>
        <s v="EMP01603"/>
        <s v="EMP01604"/>
        <s v="EMP01605"/>
        <s v="EMP01606"/>
        <s v="EMP01607"/>
        <s v="EMP01608"/>
        <s v="EMP01609"/>
        <s v="EMP01610"/>
        <s v="EMP01611"/>
        <s v="EMP01612"/>
        <s v="EMP01613"/>
        <s v="EMP01614"/>
        <s v="EMP01615"/>
        <s v="EMP01616"/>
        <s v="EMP01617"/>
        <s v="EMP01618"/>
        <s v="EMP01619"/>
        <s v="EMP01620"/>
        <s v="EMP01621"/>
        <s v="EMP01622"/>
        <s v="EMP01623"/>
        <s v="EMP01624"/>
        <s v="EMP01625"/>
        <s v="EMP01626"/>
        <s v="EMP01627"/>
        <s v="EMP01628"/>
        <s v="EMP01629"/>
        <s v="EMP01630"/>
        <s v="EMP01631"/>
        <s v="EMP01632"/>
        <s v="EMP01633"/>
        <s v="EMP01634"/>
        <s v="EMP01635"/>
        <s v="EMP01636"/>
        <s v="EMP01637"/>
        <s v="EMP01638"/>
        <s v="EMP01639"/>
        <s v="EMP01640"/>
        <s v="EMP01641"/>
        <s v="EMP01642"/>
        <s v="EMP01643"/>
        <s v="EMP01644"/>
        <s v="EMP01645"/>
        <s v="EMP01646"/>
        <s v="EMP01647"/>
        <s v="EMP01648"/>
        <s v="EMP01649"/>
        <s v="EMP01650"/>
        <s v="EMP01651"/>
        <s v="EMP01652"/>
        <s v="EMP01653"/>
        <s v="EMP01654"/>
        <s v="EMP01655"/>
        <s v="EMP01656"/>
        <s v="EMP01657"/>
        <s v="EMP01658"/>
        <s v="EMP01659"/>
        <s v="EMP01660"/>
        <s v="EMP01661"/>
        <s v="EMP01662"/>
        <s v="EMP01663"/>
        <s v="EMP01664"/>
        <s v="EMP01665"/>
        <s v="EMP01666"/>
        <s v="EMP01667"/>
        <s v="EMP01668"/>
        <s v="EMP01669"/>
        <s v="EMP01670"/>
        <s v="EMP01671"/>
        <s v="EMP01672"/>
        <s v="EMP01673"/>
        <s v="EMP01674"/>
        <s v="EMP01675"/>
        <s v="EMP01676"/>
        <s v="EMP01677"/>
        <s v="EMP01678"/>
        <s v="EMP01679"/>
        <s v="EMP01680"/>
        <s v="EMP01681"/>
        <s v="EMP01682"/>
        <s v="EMP01683"/>
        <s v="EMP01684"/>
        <s v="EMP01685"/>
        <s v="EMP01686"/>
        <s v="EMP01687"/>
        <s v="EMP01688"/>
        <s v="EMP01689"/>
        <s v="EMP01690"/>
        <s v="EMP01691"/>
        <s v="EMP01692"/>
        <s v="EMP01693"/>
        <s v="EMP01694"/>
        <s v="EMP01695"/>
        <s v="EMP01696"/>
        <s v="EMP01697"/>
        <s v="EMP01698"/>
        <s v="EMP01699"/>
        <s v="EMP01700"/>
        <s v="EMP01701"/>
        <s v="EMP01702"/>
        <s v="EMP01703"/>
        <s v="EMP01704"/>
        <s v="EMP01705"/>
        <s v="EMP01706"/>
        <s v="EMP01707"/>
        <s v="EMP01708"/>
        <s v="EMP01709"/>
        <s v="EMP01710"/>
        <s v="EMP01711"/>
        <s v="EMP01712"/>
        <s v="EMP01713"/>
        <s v="EMP01714"/>
        <s v="EMP01715"/>
        <s v="EMP01716"/>
        <s v="EMP01717"/>
        <s v="EMP01718"/>
        <s v="EMP01719"/>
        <s v="EMP01720"/>
        <s v="EMP01721"/>
        <s v="EMP01722"/>
        <s v="EMP01723"/>
        <s v="EMP01724"/>
        <s v="EMP01725"/>
        <s v="EMP01726"/>
        <s v="EMP01727"/>
        <s v="EMP01728"/>
        <s v="EMP01729"/>
        <s v="EMP01730"/>
        <s v="EMP01731"/>
        <s v="EMP01732"/>
        <s v="EMP01733"/>
        <s v="EMP01734"/>
        <s v="EMP01735"/>
        <s v="EMP01736"/>
        <s v="EMP01737"/>
        <s v="EMP01738"/>
        <s v="EMP01739"/>
        <s v="EMP01740"/>
        <s v="EMP01741"/>
        <s v="EMP01742"/>
        <s v="EMP01743"/>
        <s v="EMP01744"/>
        <s v="EMP01745"/>
        <s v="EMP01746"/>
        <s v="EMP01747"/>
        <s v="EMP01748"/>
        <s v="EMP01749"/>
        <s v="EMP01750"/>
        <s v="EMP01751"/>
        <s v="EMP01752"/>
        <s v="EMP01753"/>
        <s v="EMP01754"/>
        <s v="EMP01755"/>
        <s v="EMP01756"/>
        <s v="EMP01757"/>
        <s v="EMP01758"/>
        <s v="EMP01759"/>
        <s v="EMP01760"/>
        <s v="EMP01761"/>
        <s v="EMP01762"/>
        <s v="EMP01763"/>
        <s v="EMP01764"/>
        <s v="EMP01765"/>
        <s v="EMP01766"/>
        <s v="EMP01767"/>
        <s v="EMP01768"/>
        <s v="EMP01769"/>
        <s v="EMP01770"/>
        <s v="EMP01771"/>
        <s v="EMP01772"/>
        <s v="EMP01773"/>
        <s v="EMP01774"/>
        <s v="EMP01775"/>
        <s v="EMP01776"/>
        <s v="EMP01777"/>
        <s v="EMP01778"/>
        <s v="EMP01779"/>
        <s v="EMP01780"/>
        <s v="EMP01781"/>
        <s v="EMP01782"/>
        <s v="EMP01783"/>
        <s v="EMP01784"/>
        <s v="EMP01785"/>
        <s v="EMP01786"/>
        <s v="EMP01787"/>
        <s v="EMP01788"/>
        <s v="EMP01789"/>
        <s v="EMP01790"/>
        <s v="EMP01791"/>
        <s v="EMP01792"/>
        <s v="EMP01793"/>
        <s v="EMP01794"/>
        <s v="EMP01795"/>
        <s v="EMP01796"/>
        <s v="EMP01797"/>
        <s v="EMP01798"/>
        <s v="EMP01799"/>
        <s v="EMP01800"/>
        <s v="EMP01801"/>
        <s v="EMP01802"/>
        <s v="EMP01803"/>
        <s v="EMP01804"/>
        <s v="EMP01805"/>
        <s v="EMP01806"/>
        <s v="EMP01807"/>
        <s v="EMP01808"/>
        <s v="EMP01809"/>
        <s v="EMP01810"/>
        <s v="EMP01811"/>
        <s v="EMP01812"/>
        <s v="EMP01813"/>
        <s v="EMP01814"/>
        <s v="EMP01815"/>
        <s v="EMP01816"/>
        <s v="EMP01817"/>
        <s v="EMP01818"/>
        <s v="EMP01819"/>
        <s v="EMP01820"/>
        <s v="EMP01821"/>
        <s v="EMP01822"/>
        <s v="EMP01823"/>
        <s v="EMP01824"/>
        <s v="EMP01825"/>
        <s v="EMP01826"/>
        <s v="EMP01827"/>
        <s v="EMP01828"/>
        <s v="EMP01829"/>
        <s v="EMP01830"/>
        <s v="EMP01831"/>
        <s v="EMP01832"/>
        <s v="EMP01833"/>
        <s v="EMP01834"/>
        <s v="EMP01835"/>
        <s v="EMP01836"/>
        <s v="EMP01837"/>
        <s v="EMP01838"/>
        <s v="EMP01839"/>
        <s v="EMP01840"/>
        <s v="EMP01841"/>
        <s v="EMP01842"/>
        <s v="EMP01843"/>
        <s v="EMP01844"/>
        <s v="EMP01845"/>
        <s v="EMP01846"/>
        <s v="EMP01847"/>
        <s v="EMP01848"/>
        <s v="EMP01849"/>
        <s v="EMP01850"/>
        <s v="EMP01851"/>
        <s v="EMP01852"/>
        <s v="EMP01853"/>
        <s v="EMP01854"/>
        <s v="EMP01855"/>
        <s v="EMP01856"/>
        <s v="EMP01857"/>
        <s v="EMP01858"/>
        <s v="EMP01859"/>
        <s v="EMP01860"/>
        <s v="EMP01861"/>
        <s v="EMP01862"/>
        <s v="EMP01863"/>
        <s v="EMP01864"/>
        <s v="EMP01865"/>
        <s v="EMP01866"/>
        <s v="EMP01867"/>
        <s v="EMP01868"/>
        <s v="EMP01869"/>
        <s v="EMP01870"/>
        <s v="EMP01871"/>
        <s v="EMP01872"/>
        <s v="EMP01873"/>
        <s v="EMP01874"/>
        <s v="EMP01875"/>
        <s v="EMP01876"/>
        <s v="EMP01877"/>
        <s v="EMP01878"/>
        <s v="EMP01879"/>
        <s v="EMP01880"/>
        <s v="EMP01881"/>
        <s v="EMP01882"/>
        <s v="EMP01883"/>
        <s v="EMP01884"/>
        <s v="EMP01885"/>
        <s v="EMP01886"/>
        <s v="EMP01887"/>
        <s v="EMP01888"/>
        <s v="EMP01889"/>
        <s v="EMP01890"/>
        <s v="EMP01891"/>
        <s v="EMP01892"/>
        <s v="EMP01893"/>
        <s v="EMP01894"/>
        <s v="EMP01895"/>
        <s v="EMP01896"/>
        <s v="EMP01897"/>
        <s v="EMP01898"/>
        <s v="EMP01899"/>
        <s v="EMP01900"/>
        <s v="EMP01901"/>
        <s v="EMP01902"/>
        <s v="EMP01903"/>
        <s v="EMP01904"/>
        <s v="EMP01905"/>
        <s v="EMP01906"/>
        <s v="EMP01907"/>
        <s v="EMP01908"/>
        <s v="EMP01909"/>
        <s v="EMP01910"/>
        <s v="EMP01911"/>
        <s v="EMP01912"/>
        <s v="EMP01913"/>
        <s v="EMP01914"/>
        <s v="EMP01915"/>
        <s v="EMP01916"/>
        <s v="EMP01917"/>
        <s v="EMP01918"/>
        <s v="EMP01919"/>
        <s v="EMP01920"/>
        <s v="EMP01921"/>
        <s v="EMP01922"/>
        <s v="EMP01923"/>
        <s v="EMP01924"/>
        <s v="EMP01925"/>
        <s v="EMP01926"/>
        <s v="EMP01927"/>
        <s v="EMP01928"/>
        <s v="EMP01929"/>
        <s v="EMP01930"/>
        <s v="EMP01931"/>
        <s v="EMP01932"/>
        <s v="EMP01933"/>
        <s v="EMP01934"/>
        <s v="EMP01935"/>
        <s v="EMP01936"/>
        <s v="EMP01937"/>
        <s v="EMP01938"/>
        <s v="EMP01939"/>
        <s v="EMP01940"/>
        <s v="EMP01941"/>
        <s v="EMP01942"/>
        <s v="EMP01943"/>
        <s v="EMP01944"/>
        <s v="EMP01945"/>
        <s v="EMP01946"/>
        <s v="EMP01947"/>
        <s v="EMP01948"/>
        <s v="EMP01949"/>
        <s v="EMP01950"/>
        <s v="EMP01951"/>
        <s v="EMP01952"/>
        <s v="EMP01953"/>
        <s v="EMP01954"/>
        <s v="EMP01955"/>
        <s v="EMP01956"/>
        <s v="EMP01957"/>
        <s v="EMP01958"/>
        <s v="EMP01959"/>
        <s v="EMP01960"/>
        <s v="EMP01961"/>
        <s v="EMP01962"/>
        <s v="EMP01963"/>
        <s v="EMP01964"/>
        <s v="EMP01965"/>
        <s v="EMP01966"/>
        <s v="EMP01967"/>
        <s v="EMP01968"/>
        <s v="EMP01969"/>
        <s v="EMP01970"/>
        <s v="EMP01971"/>
        <s v="EMP01972"/>
        <s v="EMP01973"/>
        <s v="EMP01974"/>
        <s v="EMP01975"/>
        <s v="EMP01976"/>
        <s v="EMP01977"/>
        <s v="EMP01978"/>
        <s v="EMP01979"/>
        <s v="EMP01980"/>
        <s v="EMP01981"/>
        <s v="EMP01982"/>
        <s v="EMP01983"/>
        <s v="EMP01984"/>
        <s v="EMP01985"/>
        <s v="EMP01986"/>
        <s v="EMP01987"/>
        <s v="EMP01988"/>
        <s v="EMP01989"/>
        <s v="EMP01990"/>
        <s v="EMP01991"/>
        <s v="EMP01992"/>
        <s v="EMP01993"/>
        <s v="EMP01994"/>
        <s v="EMP01995"/>
        <s v="EMP01996"/>
        <s v="EMP01997"/>
        <s v="EMP01998"/>
        <s v="EMP01999"/>
        <s v="EMP02000"/>
        <s v="EMP02001"/>
        <s v="EMP02002"/>
        <s v="EMP02003"/>
        <s v="EMP02004"/>
        <s v="EMP02005"/>
        <s v="EMP02006"/>
        <s v="EMP02007"/>
        <s v="EMP02008"/>
        <s v="EMP02009"/>
        <s v="EMP02010"/>
        <s v="EMP02011"/>
        <s v="EMP02012"/>
        <s v="EMP02013"/>
        <s v="EMP02014"/>
        <s v="EMP02015"/>
        <s v="EMP02016"/>
        <s v="EMP02017"/>
        <s v="EMP02018"/>
        <s v="EMP02019"/>
        <s v="EMP02020"/>
        <s v="EMP02021"/>
        <s v="EMP02022"/>
        <s v="EMP02023"/>
        <s v="EMP02024"/>
        <s v="EMP02025"/>
        <s v="EMP02026"/>
        <s v="EMP02027"/>
        <s v="EMP02028"/>
        <s v="EMP02029"/>
        <s v="EMP02030"/>
        <s v="EMP02031"/>
        <s v="EMP02032"/>
        <s v="EMP02033"/>
        <s v="EMP02034"/>
        <s v="EMP02035"/>
        <s v="EMP02036"/>
        <s v="EMP02037"/>
        <s v="EMP02038"/>
        <s v="EMP02039"/>
        <s v="EMP02040"/>
        <s v="EMP02041"/>
        <s v="EMP02042"/>
        <s v="EMP02043"/>
        <s v="EMP02044"/>
        <s v="EMP02045"/>
        <s v="EMP02046"/>
        <s v="EMP02047"/>
        <s v="EMP02048"/>
        <s v="EMP02049"/>
        <s v="EMP02050"/>
        <s v="EMP02051"/>
        <s v="EMP02052"/>
        <s v="EMP02053"/>
        <s v="EMP02054"/>
        <s v="EMP02055"/>
        <s v="EMP02056"/>
        <s v="EMP02057"/>
        <s v="EMP02058"/>
        <s v="EMP02059"/>
        <s v="EMP02060"/>
        <s v="EMP02061"/>
        <s v="EMP02062"/>
        <s v="EMP02063"/>
        <s v="EMP02064"/>
        <s v="EMP02065"/>
        <s v="EMP02066"/>
        <s v="EMP02067"/>
        <s v="EMP02068"/>
        <s v="EMP02069"/>
        <s v="EMP02070"/>
        <s v="EMP02071"/>
        <s v="EMP02072"/>
        <s v="EMP02073"/>
        <s v="EMP02074"/>
        <s v="EMP02075"/>
        <s v="EMP02076"/>
        <s v="EMP02077"/>
        <s v="EMP02078"/>
        <s v="EMP02079"/>
        <s v="EMP02080"/>
        <s v="EMP02081"/>
        <s v="EMP02082"/>
        <s v="EMP02083"/>
        <s v="EMP02084"/>
        <s v="EMP02085"/>
        <s v="EMP02086"/>
        <s v="EMP02087"/>
        <s v="EMP02088"/>
        <s v="EMP02089"/>
        <s v="EMP02090"/>
        <s v="EMP02091"/>
        <s v="EMP02092"/>
        <s v="EMP02093"/>
        <s v="EMP02094"/>
        <s v="EMP02095"/>
        <s v="EMP02096"/>
        <s v="EMP02097"/>
        <s v="EMP02098"/>
        <s v="EMP02099"/>
        <s v="EMP02100"/>
        <s v="EMP02101"/>
        <s v="EMP02102"/>
        <s v="EMP02103"/>
        <s v="EMP02104"/>
        <s v="EMP02105"/>
        <s v="EMP02106"/>
        <s v="EMP02107"/>
        <s v="EMP02108"/>
        <s v="EMP02109"/>
        <s v="EMP02110"/>
        <s v="EMP02111"/>
        <s v="EMP02112"/>
        <s v="EMP02113"/>
        <s v="EMP02114"/>
        <s v="EMP02115"/>
        <s v="EMP02116"/>
        <s v="EMP02117"/>
        <s v="EMP02118"/>
        <s v="EMP02119"/>
        <s v="EMP02120"/>
        <s v="EMP02121"/>
        <s v="EMP02122"/>
        <s v="EMP02123"/>
        <s v="EMP02124"/>
        <s v="EMP02125"/>
        <s v="EMP02126"/>
        <s v="EMP02127"/>
        <s v="EMP02128"/>
        <s v="EMP02129"/>
        <s v="EMP02130"/>
        <s v="EMP02131"/>
        <s v="EMP02132"/>
        <s v="EMP02133"/>
        <s v="EMP02134"/>
        <s v="EMP02135"/>
        <s v="EMP02136"/>
        <s v="EMP02137"/>
        <s v="EMP02138"/>
        <s v="EMP02139"/>
        <s v="EMP02140"/>
        <s v="EMP02141"/>
        <s v="EMP02142"/>
        <s v="EMP02143"/>
        <s v="EMP02144"/>
        <s v="EMP02145"/>
        <s v="EMP02146"/>
        <s v="EMP02147"/>
        <s v="EMP02148"/>
        <s v="EMP02149"/>
        <s v="EMP02150"/>
        <s v="EMP02151"/>
        <s v="EMP02152"/>
        <s v="EMP02153"/>
        <s v="EMP02154"/>
        <s v="EMP02155"/>
        <s v="EMP02156"/>
        <s v="EMP02157"/>
        <s v="EMP02158"/>
        <s v="EMP02159"/>
        <s v="EMP02160"/>
        <s v="EMP02161"/>
        <s v="EMP02162"/>
        <s v="EMP02163"/>
        <s v="EMP02164"/>
        <s v="EMP02165"/>
        <s v="EMP02166"/>
        <s v="EMP02167"/>
        <s v="EMP02168"/>
        <s v="EMP02169"/>
        <s v="EMP02170"/>
        <s v="EMP02171"/>
        <s v="EMP02172"/>
        <s v="EMP02173"/>
        <s v="EMP02174"/>
        <s v="EMP02175"/>
        <s v="EMP02176"/>
        <s v="EMP02177"/>
        <s v="EMP02178"/>
        <s v="EMP02179"/>
        <s v="EMP02180"/>
        <s v="EMP02181"/>
        <s v="EMP02182"/>
        <s v="EMP02183"/>
        <s v="EMP02184"/>
        <s v="EMP02185"/>
        <s v="EMP02186"/>
        <s v="EMP02187"/>
        <s v="EMP02188"/>
        <s v="EMP02189"/>
        <s v="EMP02190"/>
        <s v="EMP02191"/>
        <s v="EMP02192"/>
        <s v="EMP02193"/>
        <s v="EMP02194"/>
        <s v="EMP02195"/>
        <s v="EMP02196"/>
        <s v="EMP02197"/>
        <s v="EMP02198"/>
        <s v="EMP02199"/>
        <s v="EMP02200"/>
        <s v="EMP02201"/>
        <s v="EMP02202"/>
        <s v="EMP02203"/>
        <s v="EMP02204"/>
        <s v="EMP02205"/>
        <s v="EMP02206"/>
        <s v="EMP02207"/>
        <s v="EMP02208"/>
        <s v="EMP02209"/>
        <s v="EMP02210"/>
        <s v="EMP02211"/>
        <s v="EMP02212"/>
        <s v="EMP02213"/>
        <s v="EMP02214"/>
        <s v="EMP02215"/>
        <s v="EMP02216"/>
        <s v="EMP02217"/>
        <s v="EMP02218"/>
        <s v="EMP02219"/>
        <s v="EMP02220"/>
        <s v="EMP02221"/>
        <s v="EMP02222"/>
        <s v="EMP02223"/>
        <s v="EMP02224"/>
        <s v="EMP02225"/>
        <s v="EMP02226"/>
        <s v="EMP02227"/>
        <s v="EMP02228"/>
        <s v="EMP02229"/>
        <s v="EMP02230"/>
        <s v="EMP02231"/>
        <s v="EMP02232"/>
        <s v="EMP02233"/>
        <s v="EMP02234"/>
        <s v="EMP02235"/>
        <s v="EMP02236"/>
        <s v="EMP02237"/>
        <s v="EMP02238"/>
        <s v="EMP02239"/>
        <s v="EMP02240"/>
        <s v="EMP02241"/>
        <s v="EMP02242"/>
        <s v="EMP02243"/>
        <s v="EMP02244"/>
        <s v="EMP02245"/>
        <s v="EMP02246"/>
        <s v="EMP02247"/>
        <s v="EMP02248"/>
        <s v="EMP02249"/>
        <s v="EMP02250"/>
        <s v="EMP02251"/>
        <s v="EMP02252"/>
        <s v="EMP02253"/>
        <s v="EMP02254"/>
        <s v="EMP02255"/>
        <s v="EMP02256"/>
        <s v="EMP02257"/>
        <s v="EMP02258"/>
        <s v="EMP02259"/>
        <s v="EMP02260"/>
        <s v="EMP02261"/>
        <s v="EMP02262"/>
        <s v="EMP02263"/>
        <s v="EMP02264"/>
        <s v="EMP02265"/>
        <s v="EMP02266"/>
        <s v="EMP02267"/>
        <s v="EMP02268"/>
        <s v="EMP02269"/>
        <s v="EMP02270"/>
        <s v="EMP02271"/>
        <s v="EMP02272"/>
        <s v="EMP02273"/>
        <s v="EMP02274"/>
        <s v="EMP02275"/>
        <s v="EMP02276"/>
        <s v="EMP02277"/>
        <s v="EMP02278"/>
        <s v="EMP02279"/>
        <s v="EMP02280"/>
        <s v="EMP02281"/>
        <s v="EMP02282"/>
        <s v="EMP02283"/>
        <s v="EMP02284"/>
        <s v="EMP02285"/>
        <s v="EMP02286"/>
        <s v="EMP02287"/>
        <s v="EMP02288"/>
        <s v="EMP02289"/>
        <s v="EMP02290"/>
        <s v="EMP02291"/>
        <s v="EMP02292"/>
        <s v="EMP02293"/>
        <s v="EMP02294"/>
        <s v="EMP02295"/>
        <s v="EMP02296"/>
        <s v="EMP02297"/>
        <s v="EMP02298"/>
        <s v="EMP02299"/>
        <s v="EMP02300"/>
        <s v="EMP02301"/>
        <s v="EMP02302"/>
        <s v="EMP02303"/>
        <s v="EMP02304"/>
        <s v="EMP02305"/>
        <s v="EMP02306"/>
        <s v="EMP02307"/>
        <s v="EMP02308"/>
        <s v="EMP02309"/>
        <s v="EMP02310"/>
        <s v="EMP02311"/>
        <s v="EMP02312"/>
        <s v="EMP02313"/>
        <s v="EMP02314"/>
        <s v="EMP02315"/>
        <s v="EMP02316"/>
        <s v="EMP02317"/>
        <s v="EMP02318"/>
        <s v="EMP02319"/>
        <s v="EMP02320"/>
        <s v="EMP02321"/>
        <s v="EMP02322"/>
        <s v="EMP02323"/>
        <s v="EMP02324"/>
        <s v="EMP02325"/>
        <s v="EMP02326"/>
        <s v="EMP02327"/>
        <s v="EMP02328"/>
        <s v="EMP02329"/>
        <s v="EMP02330"/>
        <s v="EMP02331"/>
        <s v="EMP02332"/>
        <s v="EMP02333"/>
        <s v="EMP02334"/>
        <s v="EMP02335"/>
        <s v="EMP02336"/>
        <s v="EMP02337"/>
        <s v="EMP02338"/>
        <s v="EMP02339"/>
        <s v="EMP02340"/>
        <s v="EMP02341"/>
        <s v="EMP02342"/>
        <s v="EMP02343"/>
        <s v="EMP02344"/>
        <s v="EMP02345"/>
        <s v="EMP02346"/>
        <s v="EMP02347"/>
        <s v="EMP02348"/>
        <s v="EMP02349"/>
        <s v="EMP02350"/>
        <s v="EMP02351"/>
        <s v="EMP02352"/>
        <s v="EMP02353"/>
        <s v="EMP02354"/>
        <s v="EMP02355"/>
        <s v="EMP02356"/>
        <s v="EMP02357"/>
        <s v="EMP02358"/>
        <s v="EMP02359"/>
        <s v="EMP02360"/>
        <s v="EMP02361"/>
        <s v="EMP02362"/>
        <s v="EMP02363"/>
        <s v="EMP02364"/>
        <s v="EMP02365"/>
        <s v="EMP02366"/>
        <s v="EMP02367"/>
        <s v="EMP02368"/>
        <s v="EMP02369"/>
        <s v="EMP02370"/>
        <s v="EMP02371"/>
        <s v="EMP02372"/>
        <s v="EMP02373"/>
        <s v="EMP02374"/>
        <s v="EMP02375"/>
        <s v="EMP02376"/>
        <s v="EMP02377"/>
        <s v="EMP02378"/>
        <s v="EMP02379"/>
        <s v="EMP02380"/>
        <s v="EMP02381"/>
        <s v="EMP02382"/>
        <s v="EMP02383"/>
        <s v="EMP02384"/>
        <s v="EMP02385"/>
        <s v="EMP02386"/>
        <s v="EMP02387"/>
        <s v="EMP02388"/>
        <s v="EMP02389"/>
        <s v="EMP02390"/>
        <s v="EMP02391"/>
        <s v="EMP02392"/>
        <s v="EMP02393"/>
        <s v="EMP02394"/>
        <s v="EMP02395"/>
        <s v="EMP02396"/>
        <s v="EMP02397"/>
        <s v="EMP02398"/>
        <s v="EMP02399"/>
        <s v="EMP02400"/>
        <s v="EMP02401"/>
        <s v="EMP02402"/>
        <s v="EMP02403"/>
        <s v="EMP02404"/>
        <s v="EMP02405"/>
        <s v="EMP02406"/>
        <s v="EMP02407"/>
        <s v="EMP02408"/>
        <s v="EMP02409"/>
        <s v="EMP02410"/>
        <s v="EMP02411"/>
        <s v="EMP02412"/>
        <s v="EMP02413"/>
        <s v="EMP02414"/>
        <s v="EMP02415"/>
        <s v="EMP02416"/>
        <s v="EMP02417"/>
        <s v="EMP02418"/>
        <s v="EMP02419"/>
        <s v="EMP02420"/>
        <s v="EMP02421"/>
        <s v="EMP02422"/>
        <s v="EMP02423"/>
        <s v="EMP02424"/>
        <s v="EMP02425"/>
        <s v="EMP02426"/>
        <s v="EMP02427"/>
        <s v="EMP02428"/>
        <s v="EMP02429"/>
        <s v="EMP02430"/>
        <s v="EMP02431"/>
        <s v="EMP02432"/>
        <s v="EMP02433"/>
        <s v="EMP02434"/>
        <s v="EMP02435"/>
        <s v="EMP02436"/>
        <s v="EMP02437"/>
        <s v="EMP02438"/>
        <s v="EMP02439"/>
        <s v="EMP02440"/>
        <s v="EMP02441"/>
        <s v="EMP02442"/>
        <s v="EMP02443"/>
        <s v="EMP02444"/>
        <s v="EMP02445"/>
        <s v="EMP02446"/>
        <s v="EMP02447"/>
        <s v="EMP02448"/>
        <s v="EMP02449"/>
        <s v="EMP02450"/>
        <s v="EMP02451"/>
        <s v="EMP02452"/>
        <s v="EMP02453"/>
        <s v="EMP02454"/>
        <s v="EMP02455"/>
        <s v="EMP02456"/>
        <s v="EMP02457"/>
        <s v="EMP02458"/>
        <s v="EMP02459"/>
        <s v="EMP02460"/>
        <s v="EMP02461"/>
        <s v="EMP02462"/>
        <s v="EMP02463"/>
        <s v="EMP02464"/>
        <s v="EMP02465"/>
        <s v="EMP02466"/>
        <s v="EMP02467"/>
        <s v="EMP02468"/>
        <s v="EMP02469"/>
        <s v="EMP02470"/>
        <s v="EMP02471"/>
        <s v="EMP02472"/>
        <s v="EMP02473"/>
        <s v="EMP02474"/>
        <s v="EMP02475"/>
        <s v="EMP02476"/>
        <s v="EMP02477"/>
        <s v="EMP02478"/>
        <s v="EMP02479"/>
        <s v="EMP02480"/>
        <s v="EMP02481"/>
        <s v="EMP02482"/>
        <s v="EMP02483"/>
        <s v="EMP02484"/>
        <s v="EMP02485"/>
        <s v="EMP02486"/>
        <s v="EMP02487"/>
        <s v="EMP02488"/>
        <s v="EMP02489"/>
        <s v="EMP02490"/>
        <s v="EMP02491"/>
        <s v="EMP02492"/>
        <s v="EMP02493"/>
        <s v="EMP02494"/>
        <s v="EMP02495"/>
        <s v="EMP02496"/>
        <s v="EMP02497"/>
        <s v="EMP02498"/>
        <s v="EMP02499"/>
        <s v="EMP02500"/>
        <s v="EMP02501"/>
        <s v="EMP02502"/>
        <s v="EMP02503"/>
        <s v="EMP02504"/>
        <s v="EMP02505"/>
        <s v="EMP02506"/>
        <s v="EMP02507"/>
        <s v="EMP02508"/>
        <s v="EMP02509"/>
        <s v="EMP02510"/>
        <s v="EMP02511"/>
        <s v="EMP02512"/>
        <s v="EMP02513"/>
        <s v="EMP02514"/>
        <s v="EMP02515"/>
        <s v="EMP02516"/>
        <s v="EMP02517"/>
        <s v="EMP02518"/>
        <s v="EMP02519"/>
        <s v="EMP02520"/>
        <s v="EMP02521"/>
        <s v="EMP02522"/>
        <s v="EMP02523"/>
        <s v="EMP02524"/>
        <s v="EMP02525"/>
        <s v="EMP02526"/>
        <s v="EMP02527"/>
        <s v="EMP02528"/>
        <s v="EMP02529"/>
        <s v="EMP02530"/>
        <s v="EMP02531"/>
        <s v="EMP02532"/>
        <s v="EMP02533"/>
        <s v="EMP02534"/>
        <s v="EMP02535"/>
        <s v="EMP02536"/>
        <s v="EMP02537"/>
        <s v="EMP02538"/>
        <s v="EMP02539"/>
        <s v="EMP02540"/>
        <s v="EMP02541"/>
        <s v="EMP02542"/>
        <s v="EMP02543"/>
        <s v="EMP02544"/>
        <s v="EMP02545"/>
        <s v="EMP02546"/>
        <s v="EMP02547"/>
        <s v="EMP02548"/>
        <s v="EMP02549"/>
        <s v="EMP02550"/>
        <s v="EMP02551"/>
        <s v="EMP02552"/>
        <s v="EMP02553"/>
        <s v="EMP02554"/>
        <s v="EMP02555"/>
        <s v="EMP02556"/>
        <s v="EMP02557"/>
        <s v="EMP02558"/>
        <s v="EMP02559"/>
        <s v="EMP02560"/>
        <s v="EMP02561"/>
        <s v="EMP02562"/>
        <s v="EMP02563"/>
        <s v="EMP02564"/>
        <s v="EMP02565"/>
        <s v="EMP02566"/>
        <s v="EMP02567"/>
        <s v="EMP02568"/>
        <s v="EMP02569"/>
        <s v="EMP02570"/>
        <s v="EMP02571"/>
        <s v="EMP02572"/>
        <s v="EMP02573"/>
        <s v="EMP02574"/>
        <s v="EMP02575"/>
        <s v="EMP02576"/>
        <s v="EMP02577"/>
        <s v="EMP02578"/>
        <s v="EMP02579"/>
        <s v="EMP02580"/>
        <s v="EMP02581"/>
        <s v="EMP02582"/>
        <s v="EMP02583"/>
        <s v="EMP02584"/>
        <s v="EMP02585"/>
        <s v="EMP02586"/>
        <s v="EMP02587"/>
        <s v="EMP02588"/>
        <s v="EMP02589"/>
        <s v="EMP02590"/>
        <s v="EMP02591"/>
        <s v="EMP02592"/>
        <s v="EMP02593"/>
        <s v="EMP02594"/>
        <s v="EMP02595"/>
        <s v="EMP02596"/>
        <s v="EMP02597"/>
        <s v="EMP02598"/>
        <s v="EMP02599"/>
        <s v="EMP02600"/>
        <s v="EMP02601"/>
        <s v="EMP02602"/>
        <s v="EMP02603"/>
        <s v="EMP02604"/>
        <s v="EMP02605"/>
        <s v="EMP02606"/>
        <s v="EMP02607"/>
        <s v="EMP02608"/>
        <s v="EMP02609"/>
        <s v="EMP02610"/>
        <s v="EMP02611"/>
        <s v="EMP02612"/>
        <s v="EMP02613"/>
        <s v="EMP02614"/>
        <s v="EMP02615"/>
        <s v="EMP02616"/>
        <s v="EMP02617"/>
        <s v="EMP02618"/>
        <s v="EMP02619"/>
        <s v="EMP02620"/>
        <s v="EMP02621"/>
        <s v="EMP02622"/>
        <s v="EMP02623"/>
        <s v="EMP02624"/>
        <s v="EMP02625"/>
        <s v="EMP02626"/>
        <s v="EMP02627"/>
        <s v="EMP02628"/>
        <s v="EMP02629"/>
        <s v="EMP02630"/>
        <s v="EMP02631"/>
        <s v="EMP02632"/>
        <s v="EMP02633"/>
        <s v="EMP02634"/>
        <s v="EMP02635"/>
        <s v="EMP02636"/>
        <s v="EMP02637"/>
        <s v="EMP02638"/>
        <s v="EMP02639"/>
        <s v="EMP02640"/>
        <s v="EMP02641"/>
        <s v="EMP02642"/>
        <s v="EMP02643"/>
        <s v="EMP02644"/>
        <s v="EMP02645"/>
        <s v="EMP02646"/>
        <s v="EMP02647"/>
        <s v="EMP02648"/>
        <s v="EMP02649"/>
        <s v="EMP02650"/>
        <s v="EMP02651"/>
        <s v="EMP02652"/>
        <s v="EMP02653"/>
        <s v="EMP02654"/>
        <s v="EMP02655"/>
        <s v="EMP02656"/>
        <s v="EMP02657"/>
        <s v="EMP02658"/>
        <s v="EMP02659"/>
        <s v="EMP02660"/>
        <s v="EMP02661"/>
        <s v="EMP02662"/>
        <s v="EMP02663"/>
        <s v="EMP02664"/>
        <s v="EMP02665"/>
        <s v="EMP02666"/>
        <s v="EMP02667"/>
        <s v="EMP02668"/>
        <s v="EMP02669"/>
        <s v="EMP02670"/>
        <s v="EMP02671"/>
        <s v="EMP02672"/>
        <s v="EMP02673"/>
        <s v="EMP02674"/>
        <s v="EMP02675"/>
        <s v="EMP02676"/>
        <s v="EMP02677"/>
        <s v="EMP02678"/>
        <s v="EMP02679"/>
        <s v="EMP02680"/>
        <s v="EMP02681"/>
        <s v="EMP02682"/>
        <s v="EMP02683"/>
        <s v="EMP02684"/>
        <s v="EMP02685"/>
        <s v="EMP02686"/>
        <s v="EMP02687"/>
        <s v="EMP02688"/>
        <s v="EMP02689"/>
        <s v="EMP02690"/>
        <s v="EMP02691"/>
        <s v="EMP02692"/>
        <s v="EMP02693"/>
        <s v="EMP02694"/>
        <s v="EMP02695"/>
        <s v="EMP02696"/>
        <s v="EMP02697"/>
        <s v="EMP02698"/>
        <s v="EMP02699"/>
        <s v="EMP02700"/>
        <s v="EMP02701"/>
        <s v="EMP02702"/>
        <s v="EMP02703"/>
        <s v="EMP02704"/>
        <s v="EMP02705"/>
        <s v="EMP02706"/>
        <s v="EMP02707"/>
        <s v="EMP02708"/>
        <s v="EMP02709"/>
        <s v="EMP02710"/>
        <s v="EMP02711"/>
        <s v="EMP02712"/>
        <s v="EMP02713"/>
        <s v="EMP02714"/>
        <s v="EMP02715"/>
        <s v="EMP02716"/>
        <s v="EMP02717"/>
        <s v="EMP02718"/>
        <s v="EMP02719"/>
        <s v="EMP02720"/>
        <s v="EMP02721"/>
        <s v="EMP02722"/>
        <s v="EMP02723"/>
        <s v="EMP02724"/>
        <s v="EMP02725"/>
        <s v="EMP02726"/>
        <s v="EMP02727"/>
        <s v="EMP02728"/>
        <s v="EMP02729"/>
        <s v="EMP02730"/>
        <s v="EMP02731"/>
        <s v="EMP02732"/>
        <s v="EMP02733"/>
        <s v="EMP02734"/>
        <s v="EMP02735"/>
        <s v="EMP02736"/>
        <s v="EMP02737"/>
        <s v="EMP02738"/>
        <s v="EMP02739"/>
        <s v="EMP02740"/>
        <s v="EMP02741"/>
        <s v="EMP02742"/>
        <s v="EMP02743"/>
        <s v="EMP02744"/>
        <s v="EMP02745"/>
        <s v="EMP02746"/>
        <s v="EMP02747"/>
        <s v="EMP02748"/>
        <s v="EMP02749"/>
        <s v="EMP02750"/>
        <s v="EMP02751"/>
        <s v="EMP02752"/>
        <s v="EMP02753"/>
        <s v="EMP02754"/>
        <s v="EMP02755"/>
        <s v="EMP02756"/>
        <s v="EMP02757"/>
        <s v="EMP02758"/>
        <s v="EMP02759"/>
        <s v="EMP02760"/>
        <s v="EMP02761"/>
        <s v="EMP02762"/>
        <s v="EMP02763"/>
        <s v="EMP02764"/>
        <s v="EMP02765"/>
        <s v="EMP02766"/>
        <s v="EMP02767"/>
        <s v="EMP02768"/>
        <s v="EMP02769"/>
        <s v="EMP02770"/>
        <s v="EMP02771"/>
        <s v="EMP02772"/>
        <s v="EMP02773"/>
        <s v="EMP02774"/>
        <s v="EMP02775"/>
        <s v="EMP02776"/>
        <s v="EMP02777"/>
        <s v="EMP02778"/>
        <s v="EMP02779"/>
        <s v="EMP02780"/>
        <s v="EMP02781"/>
        <s v="EMP02782"/>
        <s v="EMP02783"/>
        <s v="EMP02784"/>
        <s v="EMP02785"/>
        <s v="EMP02786"/>
        <s v="EMP02787"/>
        <s v="EMP02788"/>
        <s v="EMP02789"/>
        <s v="EMP02790"/>
        <s v="EMP02791"/>
        <s v="EMP02792"/>
        <s v="EMP02793"/>
        <s v="EMP02794"/>
        <s v="EMP02795"/>
        <s v="EMP02796"/>
        <s v="EMP02797"/>
        <s v="EMP02798"/>
        <s v="EMP02799"/>
        <s v="EMP02800"/>
        <s v="EMP02801"/>
        <s v="EMP02802"/>
        <s v="EMP02803"/>
        <s v="EMP02804"/>
        <s v="EMP02805"/>
        <s v="EMP02806"/>
        <s v="EMP02807"/>
        <s v="EMP02808"/>
        <s v="EMP02809"/>
        <s v="EMP02810"/>
        <s v="EMP02811"/>
        <s v="EMP02812"/>
        <s v="EMP02813"/>
        <s v="EMP02814"/>
        <s v="EMP02815"/>
        <s v="EMP02816"/>
        <s v="EMP02817"/>
        <s v="EMP02818"/>
        <s v="EMP02819"/>
        <s v="EMP02820"/>
        <s v="EMP02821"/>
        <s v="EMP02822"/>
        <s v="EMP02823"/>
        <s v="EMP02824"/>
        <s v="EMP02825"/>
        <s v="EMP02826"/>
        <s v="EMP02827"/>
        <s v="EMP02828"/>
        <s v="EMP02829"/>
        <s v="EMP02830"/>
        <s v="EMP02831"/>
        <s v="EMP02832"/>
        <s v="EMP02833"/>
        <s v="EMP02834"/>
        <s v="EMP02835"/>
        <s v="EMP02836"/>
        <s v="EMP02837"/>
        <s v="EMP02838"/>
        <s v="EMP02839"/>
        <s v="EMP02840"/>
        <s v="EMP02841"/>
        <s v="EMP02842"/>
        <s v="EMP02843"/>
        <s v="EMP02844"/>
        <s v="EMP02845"/>
        <s v="EMP02846"/>
        <s v="EMP02847"/>
        <s v="EMP02848"/>
        <s v="EMP02849"/>
        <s v="EMP02850"/>
        <s v="EMP02851"/>
        <s v="EMP02852"/>
        <s v="EMP02853"/>
        <s v="EMP02854"/>
        <s v="EMP02855"/>
        <s v="EMP02856"/>
        <s v="EMP02857"/>
        <s v="EMP02858"/>
        <s v="EMP02859"/>
        <s v="EMP02860"/>
        <s v="EMP02861"/>
        <s v="EMP02862"/>
        <s v="EMP02863"/>
        <s v="EMP02864"/>
        <s v="EMP02865"/>
        <s v="EMP02866"/>
        <s v="EMP02867"/>
        <s v="EMP02868"/>
        <s v="EMP02869"/>
        <s v="EMP02870"/>
        <s v="EMP02871"/>
        <s v="EMP02872"/>
        <s v="EMP02873"/>
        <s v="EMP02874"/>
        <s v="EMP02875"/>
        <s v="EMP02876"/>
        <s v="EMP02877"/>
        <s v="EMP02878"/>
        <s v="EMP02879"/>
        <s v="EMP02880"/>
        <s v="EMP02881"/>
        <s v="EMP02882"/>
        <s v="EMP02883"/>
        <s v="EMP02884"/>
        <s v="EMP02885"/>
        <s v="EMP02886"/>
        <s v="EMP02887"/>
        <s v="EMP02888"/>
        <s v="EMP02889"/>
        <s v="EMP02890"/>
        <s v="EMP02891"/>
        <s v="EMP02892"/>
        <s v="EMP02893"/>
        <s v="EMP02894"/>
        <s v="EMP02895"/>
        <s v="EMP02896"/>
        <s v="EMP02897"/>
        <s v="EMP02898"/>
        <s v="EMP02899"/>
        <s v="EMP02900"/>
        <s v="EMP02901"/>
        <s v="EMP02902"/>
        <s v="EMP02903"/>
        <s v="EMP02904"/>
        <s v="EMP02905"/>
        <s v="EMP02906"/>
        <s v="EMP02907"/>
        <s v="EMP02908"/>
        <s v="EMP02909"/>
        <s v="EMP02910"/>
        <s v="EMP02911"/>
        <s v="EMP02912"/>
        <s v="EMP02913"/>
        <s v="EMP02914"/>
        <s v="EMP02915"/>
        <s v="EMP02916"/>
        <s v="EMP02917"/>
        <s v="EMP02918"/>
        <s v="EMP02919"/>
        <s v="EMP02920"/>
        <s v="EMP02921"/>
        <s v="EMP02922"/>
        <s v="EMP02923"/>
        <s v="EMP02924"/>
        <s v="EMP02925"/>
        <s v="EMP02926"/>
        <s v="EMP02927"/>
        <s v="EMP02928"/>
        <s v="EMP02929"/>
        <s v="EMP02930"/>
        <s v="EMP02931"/>
        <s v="EMP02932"/>
        <s v="EMP02933"/>
        <s v="EMP02934"/>
        <s v="EMP02935"/>
        <s v="EMP02936"/>
        <s v="EMP02937"/>
        <s v="EMP02938"/>
        <s v="EMP02939"/>
        <s v="EMP02940"/>
        <s v="EMP02941"/>
        <s v="EMP02942"/>
        <s v="EMP02943"/>
        <s v="EMP02944"/>
        <s v="EMP02945"/>
        <s v="EMP02946"/>
        <s v="EMP02947"/>
        <s v="EMP02948"/>
        <s v="EMP02949"/>
        <s v="EMP02950"/>
        <s v="EMP02951"/>
        <s v="EMP02952"/>
        <s v="EMP02953"/>
        <s v="EMP02954"/>
        <s v="EMP02955"/>
        <s v="EMP02956"/>
        <s v="EMP02957"/>
        <s v="EMP02958"/>
        <s v="EMP02959"/>
        <s v="EMP02960"/>
        <s v="EMP02961"/>
        <s v="EMP02962"/>
        <s v="EMP02963"/>
        <s v="EMP02964"/>
        <s v="EMP02965"/>
        <s v="EMP02966"/>
        <s v="EMP02967"/>
        <s v="EMP02968"/>
        <s v="EMP02969"/>
        <s v="EMP02970"/>
        <s v="EMP02971"/>
        <s v="EMP02972"/>
        <s v="EMP02973"/>
        <s v="EMP02974"/>
        <s v="EMP02975"/>
        <s v="EMP02976"/>
        <s v="EMP02977"/>
        <s v="EMP02978"/>
        <s v="EMP02979"/>
        <s v="EMP02980"/>
        <s v="EMP02981"/>
        <s v="EMP02982"/>
        <s v="EMP02983"/>
        <s v="EMP02984"/>
        <s v="EMP02985"/>
        <s v="EMP02986"/>
        <s v="EMP02987"/>
        <s v="EMP02988"/>
        <s v="EMP02989"/>
        <s v="EMP02990"/>
        <s v="EMP02991"/>
        <s v="EMP02992"/>
        <s v="EMP02993"/>
        <s v="EMP02994"/>
        <s v="EMP02995"/>
        <s v="EMP02996"/>
        <s v="EMP02997"/>
        <s v="EMP02998"/>
        <s v="EMP02999"/>
        <s v="EMP03000"/>
        <s v="EMP03001"/>
        <s v="EMP03002"/>
        <s v="EMP03003"/>
        <s v="EMP03004"/>
        <s v="EMP03005"/>
        <s v="EMP03006"/>
        <s v="EMP03007"/>
        <s v="EMP03008"/>
        <s v="EMP03009"/>
        <s v="EMP03010"/>
        <s v="EMP03011"/>
        <s v="EMP03012"/>
        <s v="EMP03013"/>
        <s v="EMP03014"/>
        <s v="EMP03015"/>
        <s v="EMP03016"/>
        <s v="EMP03017"/>
        <s v="EMP03018"/>
        <s v="EMP03019"/>
        <s v="EMP03020"/>
        <s v="EMP03021"/>
        <s v="EMP03022"/>
        <s v="EMP03023"/>
        <s v="EMP03024"/>
        <s v="EMP03025"/>
        <s v="EMP03026"/>
        <s v="EMP03027"/>
        <s v="EMP03028"/>
        <s v="EMP03029"/>
        <s v="EMP03030"/>
        <s v="EMP03031"/>
        <s v="EMP03032"/>
        <s v="EMP03033"/>
        <s v="EMP03034"/>
        <s v="EMP03035"/>
        <s v="EMP03036"/>
        <s v="EMP03037"/>
        <s v="EMP03038"/>
        <s v="EMP03039"/>
        <s v="EMP03040"/>
        <s v="EMP03041"/>
        <s v="EMP03042"/>
        <s v="EMP03043"/>
        <s v="EMP03044"/>
        <s v="EMP03045"/>
        <s v="EMP03046"/>
        <s v="EMP03047"/>
        <s v="EMP03048"/>
        <s v="EMP03049"/>
        <s v="EMP03050"/>
        <s v="EMP03051"/>
        <s v="EMP03052"/>
        <s v="EMP03053"/>
        <s v="EMP03054"/>
        <s v="EMP03055"/>
        <s v="EMP03056"/>
        <s v="EMP03057"/>
        <s v="EMP03058"/>
        <s v="EMP03059"/>
        <s v="EMP03060"/>
        <s v="EMP03061"/>
        <s v="EMP03062"/>
        <s v="EMP03063"/>
        <s v="EMP03064"/>
        <s v="EMP03065"/>
        <s v="EMP03066"/>
        <s v="EMP03067"/>
        <s v="EMP03068"/>
        <s v="EMP03069"/>
        <s v="EMP03070"/>
        <s v="EMP03071"/>
        <s v="EMP03072"/>
        <s v="EMP03073"/>
        <s v="EMP03074"/>
        <s v="EMP03075"/>
        <s v="EMP03076"/>
        <s v="EMP03077"/>
        <s v="EMP03078"/>
        <s v="EMP03079"/>
        <s v="EMP03080"/>
        <s v="EMP03081"/>
        <s v="EMP03082"/>
        <s v="EMP03083"/>
        <s v="EMP03084"/>
        <s v="EMP03085"/>
        <s v="EMP03086"/>
        <s v="EMP03087"/>
        <s v="EMP03088"/>
        <s v="EMP03089"/>
        <s v="EMP03090"/>
        <s v="EMP03091"/>
        <s v="EMP03092"/>
        <s v="EMP03093"/>
        <s v="EMP03094"/>
        <s v="EMP03095"/>
        <s v="EMP03096"/>
        <s v="EMP03097"/>
        <s v="EMP03098"/>
        <s v="EMP03099"/>
        <s v="EMP03100"/>
        <s v="EMP03101"/>
        <s v="EMP03102"/>
        <s v="EMP03103"/>
        <s v="EMP03104"/>
        <s v="EMP03105"/>
        <s v="EMP03106"/>
        <s v="EMP03107"/>
        <s v="EMP03108"/>
        <s v="EMP03109"/>
        <s v="EMP03110"/>
        <s v="EMP03111"/>
        <s v="EMP03112"/>
        <s v="EMP03113"/>
        <s v="EMP03114"/>
        <s v="EMP03115"/>
        <s v="EMP03116"/>
        <s v="EMP03117"/>
        <s v="EMP03118"/>
        <s v="EMP03119"/>
        <s v="EMP03120"/>
        <s v="EMP03121"/>
        <s v="EMP03122"/>
        <s v="EMP03123"/>
        <s v="EMP03124"/>
        <s v="EMP03125"/>
        <s v="EMP03126"/>
        <s v="EMP03127"/>
        <s v="EMP03128"/>
        <s v="EMP03129"/>
        <s v="EMP03130"/>
        <s v="EMP03131"/>
        <s v="EMP03132"/>
        <s v="EMP03133"/>
        <s v="EMP03134"/>
        <s v="EMP03135"/>
        <s v="EMP03136"/>
        <s v="EMP03137"/>
        <s v="EMP03138"/>
        <s v="EMP03139"/>
        <s v="EMP03140"/>
        <s v="EMP03141"/>
        <s v="EMP03142"/>
        <s v="EMP03143"/>
        <s v="EMP03144"/>
        <s v="EMP03145"/>
        <s v="EMP03146"/>
        <s v="EMP03147"/>
        <s v="EMP03148"/>
        <s v="EMP03149"/>
        <s v="EMP03150"/>
        <s v="EMP03151"/>
        <s v="EMP03152"/>
        <s v="EMP03153"/>
        <s v="EMP03154"/>
        <s v="EMP03155"/>
        <s v="EMP03156"/>
        <s v="EMP03157"/>
        <s v="EMP03158"/>
        <s v="EMP03159"/>
        <s v="EMP03160"/>
        <s v="EMP03161"/>
        <s v="EMP03162"/>
        <s v="EMP03163"/>
        <s v="EMP03164"/>
        <s v="EMP03165"/>
        <s v="EMP03166"/>
        <s v="EMP03167"/>
        <s v="EMP03168"/>
        <s v="EMP03169"/>
        <s v="EMP03170"/>
        <s v="EMP03171"/>
        <s v="EMP03172"/>
        <s v="EMP03173"/>
        <s v="EMP03174"/>
        <s v="EMP03175"/>
        <s v="EMP03176"/>
        <s v="EMP03177"/>
        <s v="EMP03178"/>
        <s v="EMP03179"/>
        <s v="EMP03180"/>
        <s v="EMP03181"/>
        <s v="EMP03182"/>
        <s v="EMP03183"/>
        <s v="EMP03184"/>
        <s v="EMP03185"/>
        <s v="EMP03186"/>
        <s v="EMP03187"/>
        <s v="EMP03188"/>
        <s v="EMP03189"/>
        <s v="EMP03190"/>
        <s v="EMP03191"/>
        <s v="EMP03192"/>
        <s v="EMP03193"/>
        <s v="EMP03194"/>
        <s v="EMP03195"/>
        <s v="EMP03196"/>
        <s v="EMP03197"/>
        <s v="EMP03198"/>
        <s v="EMP03199"/>
        <s v="EMP03200"/>
        <s v="EMP03201"/>
        <s v="EMP03202"/>
        <s v="EMP03203"/>
        <s v="EMP03204"/>
        <s v="EMP03205"/>
        <s v="EMP03206"/>
        <s v="EMP03207"/>
        <s v="EMP03208"/>
        <s v="EMP03209"/>
        <s v="EMP03210"/>
        <s v="EMP03211"/>
        <s v="EMP03212"/>
        <s v="EMP03213"/>
        <s v="EMP03214"/>
        <s v="EMP03215"/>
        <s v="EMP03216"/>
        <s v="EMP03217"/>
        <s v="EMP03218"/>
        <s v="EMP03219"/>
        <s v="EMP03220"/>
        <s v="EMP03221"/>
        <s v="EMP03222"/>
        <s v="EMP03223"/>
        <s v="EMP03224"/>
        <s v="EMP03225"/>
        <s v="EMP03226"/>
        <s v="EMP03227"/>
        <s v="EMP03228"/>
        <s v="EMP03229"/>
        <s v="EMP03230"/>
        <s v="EMP03231"/>
        <s v="EMP03232"/>
        <s v="EMP03233"/>
        <s v="EMP03234"/>
        <s v="EMP03235"/>
        <s v="EMP03236"/>
        <s v="EMP03237"/>
        <s v="EMP03238"/>
        <s v="EMP03239"/>
        <s v="EMP03240"/>
        <s v="EMP03241"/>
        <s v="EMP03242"/>
        <s v="EMP03243"/>
        <s v="EMP03244"/>
        <s v="EMP03245"/>
        <s v="EMP03246"/>
        <s v="EMP03247"/>
        <s v="EMP03248"/>
        <s v="EMP03249"/>
        <s v="EMP03250"/>
        <s v="EMP03251"/>
        <s v="EMP03252"/>
        <s v="EMP03253"/>
        <s v="EMP03254"/>
        <s v="EMP03255"/>
        <s v="EMP03256"/>
        <s v="EMP03257"/>
        <s v="EMP03258"/>
        <s v="EMP03259"/>
        <s v="EMP03260"/>
        <s v="EMP03261"/>
        <s v="EMP03262"/>
        <s v="EMP03263"/>
        <s v="EMP03264"/>
        <s v="EMP03265"/>
        <s v="EMP03266"/>
        <s v="EMP03267"/>
        <s v="EMP03268"/>
        <s v="EMP03269"/>
        <s v="EMP03270"/>
        <s v="EMP03271"/>
        <s v="EMP03272"/>
        <s v="EMP03273"/>
        <s v="EMP03274"/>
        <s v="EMP03275"/>
        <s v="EMP03276"/>
        <s v="EMP03277"/>
        <s v="EMP03278"/>
        <s v="EMP03279"/>
        <s v="EMP03280"/>
        <s v="EMP03281"/>
        <s v="EMP03282"/>
        <s v="EMP03283"/>
        <s v="EMP03284"/>
        <s v="EMP03285"/>
        <s v="EMP03286"/>
        <s v="EMP03287"/>
        <s v="EMP03288"/>
        <s v="EMP03289"/>
        <s v="EMP03290"/>
        <s v="EMP03291"/>
        <s v="EMP03292"/>
        <s v="EMP03293"/>
        <s v="EMP03294"/>
        <s v="EMP03295"/>
        <s v="EMP03296"/>
        <s v="EMP03297"/>
        <s v="EMP03298"/>
        <s v="EMP03299"/>
        <s v="EMP03300"/>
        <s v="EMP03301"/>
        <s v="EMP03302"/>
        <s v="EMP03303"/>
        <s v="EMP03304"/>
        <s v="EMP03305"/>
        <s v="EMP03306"/>
        <s v="EMP03307"/>
        <s v="EMP03308"/>
        <s v="EMP03309"/>
        <s v="EMP03310"/>
        <s v="EMP03311"/>
        <s v="EMP03312"/>
        <s v="EMP03313"/>
        <s v="EMP03314"/>
        <s v="EMP03315"/>
        <s v="EMP03316"/>
        <s v="EMP03317"/>
        <s v="EMP03318"/>
        <s v="EMP03319"/>
        <s v="EMP03320"/>
        <s v="EMP03321"/>
        <s v="EMP03322"/>
        <s v="EMP03323"/>
        <s v="EMP03324"/>
        <s v="EMP03325"/>
        <s v="EMP03326"/>
        <s v="EMP03327"/>
        <s v="EMP03328"/>
        <s v="EMP03329"/>
        <s v="EMP03330"/>
        <s v="EMP03331"/>
        <s v="EMP03332"/>
        <s v="EMP03333"/>
        <s v="EMP03334"/>
        <s v="EMP03335"/>
        <s v="EMP03336"/>
        <s v="EMP03337"/>
        <s v="EMP03338"/>
        <s v="EMP03339"/>
        <s v="EMP03340"/>
        <s v="EMP03341"/>
        <s v="EMP03342"/>
        <s v="EMP03343"/>
        <s v="EMP03344"/>
        <s v="EMP03345"/>
        <s v="EMP03346"/>
        <s v="EMP03347"/>
        <s v="EMP03348"/>
        <s v="EMP03349"/>
        <s v="EMP03350"/>
        <s v="EMP03351"/>
        <s v="EMP03352"/>
        <s v="EMP03353"/>
        <s v="EMP03354"/>
        <s v="EMP03355"/>
        <s v="EMP03356"/>
        <s v="EMP03357"/>
        <s v="EMP03358"/>
        <s v="EMP03359"/>
        <s v="EMP03360"/>
        <s v="EMP03361"/>
        <s v="EMP03362"/>
        <s v="EMP03363"/>
        <s v="EMP03364"/>
        <s v="EMP03365"/>
        <s v="EMP03366"/>
        <s v="EMP03367"/>
        <s v="EMP03368"/>
        <s v="EMP03369"/>
        <s v="EMP03370"/>
        <s v="EMP03371"/>
        <s v="EMP03372"/>
        <s v="EMP03373"/>
        <s v="EMP03374"/>
        <s v="EMP03375"/>
        <s v="EMP03376"/>
        <s v="EMP03377"/>
        <s v="EMP03378"/>
        <s v="EMP03379"/>
        <s v="EMP03380"/>
        <s v="EMP03381"/>
        <s v="EMP03382"/>
        <s v="EMP03383"/>
        <s v="EMP03384"/>
        <s v="EMP03385"/>
        <s v="EMP03386"/>
        <s v="EMP03387"/>
        <s v="EMP03388"/>
        <s v="EMP03389"/>
        <s v="EMP03390"/>
        <s v="EMP03391"/>
        <s v="EMP03392"/>
        <s v="EMP03393"/>
        <s v="EMP03394"/>
        <s v="EMP03395"/>
        <s v="EMP03396"/>
        <s v="EMP03397"/>
        <s v="EMP03398"/>
        <s v="EMP03399"/>
        <s v="EMP03400"/>
        <s v="EMP03401"/>
        <s v="EMP03402"/>
        <s v="EMP03403"/>
        <s v="EMP03404"/>
        <s v="EMP03405"/>
        <s v="EMP03406"/>
        <s v="EMP03407"/>
        <s v="EMP03408"/>
        <s v="EMP03409"/>
        <s v="EMP03410"/>
        <s v="EMP03411"/>
        <s v="EMP03412"/>
        <s v="EMP03413"/>
        <s v="EMP03414"/>
        <s v="EMP03415"/>
        <s v="EMP03416"/>
        <s v="EMP03417"/>
        <s v="EMP03418"/>
        <s v="EMP03419"/>
        <s v="EMP03420"/>
        <s v="EMP03421"/>
        <s v="EMP03422"/>
        <s v="EMP03423"/>
        <s v="EMP03424"/>
        <s v="EMP03425"/>
        <s v="EMP03426"/>
        <s v="EMP03427"/>
        <s v="EMP03428"/>
        <s v="EMP03429"/>
        <s v="EMP03430"/>
        <s v="EMP03431"/>
        <s v="EMP03432"/>
        <s v="EMP03433"/>
        <s v="EMP03434"/>
        <s v="EMP03435"/>
        <s v="EMP03436"/>
        <s v="EMP03437"/>
        <s v="EMP03438"/>
        <s v="EMP03439"/>
        <s v="EMP03440"/>
        <s v="EMP03441"/>
        <s v="EMP03442"/>
        <s v="EMP03443"/>
        <s v="EMP03444"/>
        <s v="EMP03445"/>
        <s v="EMP03446"/>
        <s v="EMP03447"/>
        <s v="EMP03448"/>
        <s v="EMP03449"/>
        <s v="EMP03450"/>
        <s v="EMP03451"/>
        <s v="EMP03452"/>
        <s v="EMP03453"/>
        <s v="EMP03454"/>
        <s v="EMP03455"/>
        <s v="EMP03456"/>
        <s v="EMP03457"/>
        <s v="EMP03458"/>
        <s v="EMP03459"/>
        <s v="EMP03460"/>
        <s v="EMP03461"/>
        <s v="EMP03462"/>
        <s v="EMP03463"/>
        <s v="EMP03464"/>
        <s v="EMP03465"/>
        <s v="EMP03466"/>
        <s v="EMP03467"/>
        <s v="EMP03468"/>
        <s v="EMP03469"/>
        <s v="EMP03470"/>
        <s v="EMP03471"/>
        <s v="EMP03472"/>
        <s v="EMP03473"/>
        <s v="EMP03474"/>
        <s v="EMP03475"/>
        <s v="EMP03476"/>
        <s v="EMP03477"/>
        <s v="EMP03478"/>
        <s v="EMP03479"/>
        <s v="EMP03480"/>
        <s v="EMP03481"/>
        <s v="EMP03482"/>
        <s v="EMP03483"/>
        <s v="EMP03484"/>
        <s v="EMP03485"/>
        <s v="EMP03486"/>
        <s v="EMP03487"/>
        <s v="EMP03488"/>
        <s v="EMP03489"/>
        <s v="EMP03490"/>
        <s v="EMP03491"/>
        <s v="EMP03492"/>
        <s v="EMP03493"/>
        <s v="EMP03494"/>
        <s v="EMP03495"/>
        <s v="EMP03496"/>
        <s v="EMP03497"/>
        <s v="EMP03498"/>
        <s v="EMP03499"/>
        <s v="EMP03500"/>
        <s v="EMP03501"/>
        <s v="EMP03502"/>
        <s v="EMP03503"/>
        <s v="EMP03504"/>
        <s v="EMP03505"/>
        <s v="EMP03506"/>
        <s v="EMP03507"/>
        <s v="EMP03508"/>
        <s v="EMP03509"/>
        <s v="EMP03510"/>
        <s v="EMP03511"/>
        <s v="EMP03512"/>
        <s v="EMP03513"/>
        <s v="EMP03514"/>
        <s v="EMP03515"/>
        <s v="EMP03516"/>
        <s v="EMP03517"/>
        <s v="EMP03518"/>
        <s v="EMP03519"/>
        <s v="EMP03520"/>
        <s v="EMP03521"/>
        <s v="EMP03522"/>
        <s v="EMP03523"/>
        <s v="EMP03524"/>
        <s v="EMP03525"/>
        <s v="EMP03526"/>
        <s v="EMP03527"/>
        <s v="EMP03528"/>
        <s v="EMP03529"/>
        <s v="EMP03530"/>
        <s v="EMP03531"/>
        <s v="EMP03532"/>
        <s v="EMP03533"/>
        <s v="EMP03534"/>
        <s v="EMP03535"/>
        <s v="EMP03536"/>
        <s v="EMP03537"/>
        <s v="EMP03538"/>
        <s v="EMP03539"/>
        <s v="EMP03540"/>
        <s v="EMP03541"/>
        <s v="EMP03542"/>
        <s v="EMP03543"/>
        <s v="EMP03544"/>
        <s v="EMP03545"/>
        <s v="EMP03546"/>
        <s v="EMP03547"/>
        <s v="EMP03548"/>
        <s v="EMP03549"/>
        <s v="EMP03550"/>
        <s v="EMP03551"/>
        <s v="EMP03552"/>
        <s v="EMP03553"/>
        <s v="EMP03554"/>
        <s v="EMP03555"/>
        <s v="EMP03556"/>
        <s v="EMP03557"/>
        <s v="EMP03558"/>
        <s v="EMP03559"/>
        <s v="EMP03560"/>
        <s v="EMP03561"/>
        <s v="EMP03562"/>
        <s v="EMP03563"/>
        <s v="EMP03564"/>
        <s v="EMP03565"/>
        <s v="EMP03566"/>
        <s v="EMP03567"/>
        <s v="EMP03568"/>
        <s v="EMP03569"/>
        <s v="EMP03570"/>
        <s v="EMP03571"/>
        <s v="EMP03572"/>
        <s v="EMP03573"/>
        <s v="EMP03574"/>
        <s v="EMP03575"/>
        <s v="EMP03576"/>
        <s v="EMP03577"/>
        <s v="EMP03578"/>
        <s v="EMP03579"/>
        <s v="EMP03580"/>
        <s v="EMP03581"/>
        <s v="EMP03582"/>
        <s v="EMP03583"/>
        <s v="EMP03584"/>
        <s v="EMP03585"/>
        <s v="EMP03586"/>
        <s v="EMP03587"/>
        <s v="EMP03588"/>
        <s v="EMP03589"/>
        <s v="EMP03590"/>
        <s v="EMP03591"/>
        <s v="EMP03592"/>
        <s v="EMP03593"/>
        <s v="EMP03594"/>
        <s v="EMP03595"/>
        <s v="EMP03596"/>
        <s v="EMP03597"/>
        <s v="EMP03598"/>
        <s v="EMP03599"/>
        <s v="EMP03600"/>
        <s v="EMP03601"/>
        <s v="EMP03602"/>
        <s v="EMP03603"/>
        <s v="EMP03604"/>
        <s v="EMP03605"/>
        <s v="EMP03606"/>
        <s v="EMP03607"/>
        <s v="EMP03608"/>
        <s v="EMP03609"/>
        <s v="EMP03610"/>
        <s v="EMP03611"/>
        <s v="EMP03612"/>
        <s v="EMP03613"/>
        <s v="EMP03614"/>
        <s v="EMP03615"/>
        <s v="EMP03616"/>
        <s v="EMP03617"/>
        <s v="EMP03618"/>
        <s v="EMP03619"/>
        <s v="EMP03620"/>
        <s v="EMP03621"/>
        <s v="EMP03622"/>
        <s v="EMP03623"/>
        <s v="EMP03624"/>
        <s v="EMP03625"/>
        <s v="EMP03626"/>
        <s v="EMP03627"/>
        <s v="EMP03628"/>
        <s v="EMP03629"/>
        <s v="EMP03630"/>
        <s v="EMP03631"/>
        <s v="EMP03632"/>
        <s v="EMP03633"/>
        <s v="EMP03634"/>
        <s v="EMP03635"/>
        <s v="EMP03636"/>
        <s v="EMP03637"/>
        <s v="EMP03638"/>
        <s v="EMP03639"/>
        <s v="EMP03640"/>
        <s v="EMP03641"/>
        <s v="EMP03642"/>
        <s v="EMP03643"/>
        <s v="EMP03644"/>
        <s v="EMP03645"/>
        <s v="EMP03646"/>
        <s v="EMP03647"/>
        <s v="EMP03648"/>
        <s v="EMP03649"/>
        <s v="EMP03650"/>
        <s v="EMP03651"/>
        <s v="EMP03652"/>
        <s v="EMP03653"/>
        <s v="EMP03654"/>
        <s v="EMP03655"/>
        <s v="EMP03656"/>
        <s v="EMP03657"/>
        <s v="EMP03658"/>
        <s v="EMP03659"/>
        <s v="EMP03660"/>
        <s v="EMP03661"/>
        <s v="EMP03662"/>
        <s v="EMP03663"/>
        <s v="EMP03664"/>
        <s v="EMP03665"/>
        <s v="EMP03666"/>
        <s v="EMP03667"/>
        <s v="EMP03668"/>
        <s v="EMP03669"/>
        <s v="EMP03670"/>
        <s v="EMP03671"/>
        <s v="EMP03672"/>
        <s v="EMP03673"/>
        <s v="EMP03674"/>
        <s v="EMP03675"/>
        <s v="EMP03676"/>
        <s v="EMP03677"/>
        <s v="EMP03678"/>
        <s v="EMP03679"/>
        <s v="EMP03680"/>
        <s v="EMP03681"/>
        <s v="EMP03682"/>
        <s v="EMP03683"/>
        <s v="EMP03684"/>
        <s v="EMP03685"/>
        <s v="EMP03686"/>
        <s v="EMP03687"/>
        <s v="EMP03688"/>
        <s v="EMP03689"/>
        <s v="EMP03690"/>
        <s v="EMP03691"/>
        <s v="EMP03692"/>
        <s v="EMP03693"/>
        <s v="EMP03694"/>
        <s v="EMP03695"/>
        <s v="EMP03696"/>
        <s v="EMP03697"/>
        <s v="EMP03698"/>
        <s v="EMP03699"/>
        <s v="EMP03700"/>
        <s v="EMP03701"/>
        <s v="EMP03702"/>
        <s v="EMP03703"/>
        <s v="EMP03704"/>
        <s v="EMP03705"/>
        <s v="EMP03706"/>
        <s v="EMP03707"/>
        <s v="EMP03708"/>
        <s v="EMP03709"/>
        <s v="EMP03710"/>
        <s v="EMP03711"/>
        <s v="EMP03712"/>
        <s v="EMP03713"/>
        <s v="EMP03714"/>
        <s v="EMP03715"/>
        <s v="EMP03716"/>
        <s v="EMP03717"/>
        <s v="EMP03718"/>
        <s v="EMP03719"/>
        <s v="EMP03720"/>
        <s v="EMP03721"/>
        <s v="EMP03722"/>
        <s v="EMP03723"/>
        <s v="EMP03724"/>
        <s v="EMP03725"/>
        <s v="EMP03726"/>
        <s v="EMP03727"/>
        <s v="EMP03728"/>
        <s v="EMP03729"/>
        <s v="EMP03730"/>
        <s v="EMP03731"/>
        <s v="EMP03732"/>
        <s v="EMP03733"/>
        <s v="EMP03734"/>
        <s v="EMP03735"/>
        <s v="EMP03736"/>
        <s v="EMP03737"/>
        <s v="EMP03738"/>
        <s v="EMP03739"/>
        <s v="EMP03740"/>
        <s v="EMP03741"/>
        <s v="EMP03742"/>
        <s v="EMP03743"/>
        <s v="EMP03744"/>
        <s v="EMP03745"/>
        <s v="EMP03746"/>
        <s v="EMP03747"/>
        <s v="EMP03748"/>
        <s v="EMP03749"/>
        <s v="EMP03750"/>
        <s v="EMP03751"/>
        <s v="EMP03752"/>
        <s v="EMP03753"/>
        <s v="EMP03754"/>
        <s v="EMP03755"/>
        <s v="EMP03756"/>
        <s v="EMP03757"/>
        <s v="EMP03758"/>
        <s v="EMP03759"/>
        <s v="EMP03760"/>
        <s v="EMP03761"/>
        <s v="EMP03762"/>
        <s v="EMP03763"/>
        <s v="EMP03764"/>
        <s v="EMP03765"/>
        <s v="EMP03766"/>
        <s v="EMP03767"/>
        <s v="EMP03768"/>
        <s v="EMP03769"/>
        <s v="EMP03770"/>
        <s v="EMP03771"/>
        <s v="EMP03772"/>
        <s v="EMP03773"/>
        <s v="EMP03774"/>
        <s v="EMP03775"/>
        <s v="EMP03776"/>
        <s v="EMP03777"/>
        <s v="EMP03778"/>
        <s v="EMP03779"/>
        <s v="EMP03780"/>
        <s v="EMP03781"/>
        <s v="EMP03782"/>
        <s v="EMP03783"/>
        <s v="EMP03784"/>
        <s v="EMP03785"/>
        <s v="EMP03786"/>
        <s v="EMP03787"/>
        <s v="EMP03788"/>
        <s v="EMP03789"/>
        <s v="EMP03790"/>
        <s v="EMP03791"/>
        <s v="EMP03792"/>
        <s v="EMP03793"/>
        <s v="EMP03794"/>
        <s v="EMP03795"/>
        <s v="EMP03796"/>
        <s v="EMP03797"/>
        <s v="EMP03798"/>
        <s v="EMP03799"/>
        <s v="EMP03800"/>
        <s v="EMP03801"/>
        <s v="EMP03802"/>
        <s v="EMP03803"/>
        <s v="EMP03804"/>
        <s v="EMP03805"/>
        <s v="EMP03806"/>
        <s v="EMP03807"/>
        <s v="EMP03808"/>
        <s v="EMP03809"/>
        <s v="EMP03810"/>
        <s v="EMP03811"/>
        <s v="EMP03812"/>
        <s v="EMP03813"/>
        <s v="EMP03814"/>
        <s v="EMP03815"/>
        <s v="EMP03816"/>
        <s v="EMP03817"/>
        <s v="EMP03818"/>
        <s v="EMP03819"/>
        <s v="EMP03820"/>
        <s v="EMP03821"/>
        <s v="EMP03822"/>
        <s v="EMP03823"/>
        <s v="EMP03824"/>
        <s v="EMP03825"/>
        <s v="EMP03826"/>
        <s v="EMP03827"/>
        <s v="EMP03828"/>
        <s v="EMP03829"/>
        <s v="EMP03830"/>
        <s v="EMP03831"/>
        <s v="EMP03832"/>
        <s v="EMP03833"/>
        <s v="EMP03834"/>
        <s v="EMP03835"/>
        <s v="EMP03836"/>
        <s v="EMP03837"/>
        <s v="EMP03838"/>
        <s v="EMP03839"/>
        <s v="EMP03840"/>
        <s v="EMP03841"/>
        <s v="EMP03842"/>
        <s v="EMP03843"/>
        <s v="EMP03844"/>
        <s v="EMP03845"/>
        <s v="EMP03846"/>
        <s v="EMP03847"/>
        <s v="EMP03848"/>
        <s v="EMP03849"/>
        <s v="EMP03850"/>
        <s v="EMP03851"/>
        <s v="EMP03852"/>
        <s v="EMP03853"/>
        <s v="EMP03854"/>
        <s v="EMP03855"/>
        <s v="EMP03856"/>
        <s v="EMP03857"/>
        <s v="EMP03858"/>
        <s v="EMP03859"/>
        <s v="EMP03860"/>
        <s v="EMP03861"/>
        <s v="EMP03862"/>
        <s v="EMP03863"/>
        <s v="EMP03864"/>
        <s v="EMP03865"/>
        <s v="EMP03866"/>
        <s v="EMP03867"/>
        <s v="EMP03868"/>
        <s v="EMP03869"/>
        <s v="EMP03870"/>
        <s v="EMP03871"/>
        <s v="EMP03872"/>
        <s v="EMP03873"/>
        <s v="EMP03874"/>
        <s v="EMP03875"/>
        <s v="EMP03876"/>
        <s v="EMP03877"/>
        <s v="EMP03878"/>
        <s v="EMP03879"/>
        <s v="EMP03880"/>
        <s v="EMP03881"/>
        <s v="EMP03882"/>
        <s v="EMP03883"/>
        <s v="EMP03884"/>
        <s v="EMP03885"/>
        <s v="EMP03886"/>
        <s v="EMP03887"/>
        <s v="EMP03888"/>
        <s v="EMP03889"/>
        <s v="EMP03890"/>
        <s v="EMP03891"/>
        <s v="EMP03892"/>
        <s v="EMP03893"/>
        <s v="EMP03894"/>
        <s v="EMP03895"/>
        <s v="EMP03896"/>
        <s v="EMP03897"/>
        <s v="EMP03898"/>
        <s v="EMP03899"/>
        <s v="EMP03900"/>
        <s v="EMP03901"/>
        <s v="EMP03902"/>
        <s v="EMP03903"/>
        <s v="EMP03904"/>
        <s v="EMP03905"/>
        <s v="EMP03906"/>
        <s v="EMP03907"/>
        <s v="EMP03908"/>
        <s v="EMP03909"/>
        <s v="EMP03910"/>
        <s v="EMP03911"/>
        <s v="EMP03912"/>
        <s v="EMP03913"/>
        <s v="EMP03914"/>
        <s v="EMP03915"/>
        <s v="EMP03916"/>
        <s v="EMP03917"/>
        <s v="EMP03918"/>
        <s v="EMP03919"/>
        <s v="EMP03920"/>
        <s v="EMP03921"/>
        <s v="EMP03922"/>
        <s v="EMP03923"/>
        <s v="EMP03924"/>
        <s v="EMP03925"/>
        <s v="EMP03926"/>
        <s v="EMP03927"/>
        <s v="EMP03928"/>
        <s v="EMP03929"/>
        <s v="EMP03930"/>
        <s v="EMP03931"/>
        <s v="EMP03932"/>
        <s v="EMP03933"/>
        <s v="EMP03934"/>
        <s v="EMP03935"/>
        <s v="EMP03936"/>
        <s v="EMP03937"/>
        <s v="EMP03938"/>
        <s v="EMP03939"/>
        <s v="EMP03940"/>
        <s v="EMP03941"/>
        <s v="EMP03942"/>
        <s v="EMP03943"/>
        <s v="EMP03944"/>
        <s v="EMP03945"/>
        <s v="EMP03946"/>
        <s v="EMP03947"/>
        <s v="EMP03948"/>
        <s v="EMP03949"/>
        <s v="EMP03950"/>
        <s v="EMP03951"/>
        <s v="EMP03952"/>
        <s v="EMP03953"/>
        <s v="EMP03954"/>
        <s v="EMP03955"/>
        <s v="EMP03956"/>
        <s v="EMP03957"/>
        <s v="EMP03958"/>
        <s v="EMP03959"/>
        <s v="EMP03960"/>
        <s v="EMP03961"/>
        <s v="EMP03962"/>
        <s v="EMP03963"/>
        <s v="EMP03964"/>
        <s v="EMP03965"/>
        <s v="EMP03966"/>
        <s v="EMP03967"/>
        <s v="EMP03968"/>
        <s v="EMP03969"/>
        <s v="EMP03970"/>
        <s v="EMP03971"/>
        <s v="EMP03972"/>
        <s v="EMP03973"/>
        <s v="EMP03974"/>
        <s v="EMP03975"/>
        <s v="EMP03976"/>
        <s v="EMP03977"/>
        <s v="EMP03978"/>
        <s v="EMP03979"/>
        <s v="EMP03980"/>
        <s v="EMP03981"/>
        <s v="EMP03982"/>
        <s v="EMP03983"/>
        <s v="EMP03984"/>
        <s v="EMP03985"/>
        <s v="EMP03986"/>
        <s v="EMP03987"/>
        <s v="EMP03988"/>
        <s v="EMP03989"/>
        <s v="EMP03990"/>
        <s v="EMP03991"/>
        <s v="EMP03992"/>
        <s v="EMP03993"/>
        <s v="EMP03994"/>
        <s v="EMP03995"/>
        <s v="EMP03996"/>
        <s v="EMP03997"/>
        <s v="EMP03998"/>
        <s v="EMP03999"/>
        <s v="EMP04000"/>
        <s v="EMP04001"/>
        <s v="EMP04002"/>
        <s v="EMP04003"/>
        <s v="EMP04004"/>
        <s v="EMP04005"/>
        <s v="EMP04006"/>
        <s v="EMP04007"/>
        <s v="EMP04008"/>
        <s v="EMP04009"/>
        <s v="EMP04010"/>
        <s v="EMP04011"/>
        <s v="EMP04012"/>
        <s v="EMP04013"/>
        <s v="EMP04014"/>
        <s v="EMP04015"/>
        <s v="EMP04016"/>
        <s v="EMP04017"/>
        <s v="EMP04018"/>
        <s v="EMP04019"/>
        <s v="EMP04020"/>
        <s v="EMP04021"/>
        <s v="EMP04022"/>
        <s v="EMP04023"/>
        <s v="EMP04024"/>
        <s v="EMP04025"/>
        <s v="EMP04026"/>
        <s v="EMP04027"/>
        <s v="EMP04028"/>
        <s v="EMP04029"/>
        <s v="EMP04030"/>
        <s v="EMP04031"/>
        <s v="EMP04032"/>
        <s v="EMP04033"/>
        <s v="EMP04034"/>
        <s v="EMP04035"/>
        <s v="EMP04036"/>
        <s v="EMP04037"/>
        <s v="EMP04038"/>
        <s v="EMP04039"/>
        <s v="EMP04040"/>
        <s v="EMP04041"/>
        <s v="EMP04042"/>
        <s v="EMP04043"/>
        <s v="EMP04044"/>
        <s v="EMP04045"/>
        <s v="EMP04046"/>
        <s v="EMP04047"/>
        <s v="EMP04048"/>
        <s v="EMP04049"/>
        <s v="EMP04050"/>
        <s v="EMP04051"/>
        <s v="EMP04052"/>
        <s v="EMP04053"/>
        <s v="EMP04054"/>
        <s v="EMP04055"/>
        <s v="EMP04056"/>
        <s v="EMP04057"/>
        <s v="EMP04058"/>
        <s v="EMP04059"/>
        <s v="EMP04060"/>
        <s v="EMP04061"/>
        <s v="EMP04062"/>
        <s v="EMP04063"/>
        <s v="EMP04064"/>
        <s v="EMP04065"/>
        <s v="EMP04066"/>
        <s v="EMP04067"/>
        <s v="EMP04068"/>
        <s v="EMP04069"/>
        <s v="EMP04070"/>
        <s v="EMP04071"/>
        <s v="EMP04072"/>
        <s v="EMP04073"/>
        <s v="EMP04074"/>
        <s v="EMP04075"/>
        <s v="EMP04076"/>
        <s v="EMP04077"/>
        <s v="EMP04078"/>
        <s v="EMP04079"/>
        <s v="EMP04080"/>
        <s v="EMP04081"/>
        <s v="EMP04082"/>
        <s v="EMP04083"/>
        <s v="EMP04084"/>
        <s v="EMP04085"/>
        <s v="EMP04086"/>
        <s v="EMP04087"/>
        <s v="EMP04088"/>
        <s v="EMP04089"/>
        <s v="EMP04090"/>
        <s v="EMP04091"/>
        <s v="EMP04092"/>
        <s v="EMP04093"/>
        <s v="EMP04094"/>
        <s v="EMP04095"/>
        <s v="EMP04096"/>
        <s v="EMP04097"/>
        <s v="EMP04098"/>
        <s v="EMP04099"/>
        <s v="EMP04100"/>
        <s v="EMP04101"/>
        <s v="EMP04102"/>
        <s v="EMP04103"/>
        <s v="EMP04104"/>
        <s v="EMP04105"/>
        <s v="EMP04106"/>
        <s v="EMP04107"/>
        <s v="EMP04108"/>
        <s v="EMP04109"/>
        <s v="EMP04110"/>
        <s v="EMP04111"/>
        <s v="EMP04112"/>
        <s v="EMP04113"/>
        <s v="EMP04114"/>
        <s v="EMP04115"/>
        <s v="EMP04116"/>
        <s v="EMP04117"/>
        <s v="EMP04118"/>
        <s v="EMP04119"/>
        <s v="EMP04120"/>
        <s v="EMP04121"/>
        <s v="EMP04122"/>
        <s v="EMP04123"/>
        <s v="EMP04124"/>
        <s v="EMP04125"/>
        <s v="EMP04126"/>
        <s v="EMP04127"/>
        <s v="EMP04128"/>
        <s v="EMP04129"/>
        <s v="EMP04130"/>
        <s v="EMP04131"/>
        <s v="EMP04132"/>
        <s v="EMP04133"/>
        <s v="EMP04134"/>
        <s v="EMP04135"/>
        <s v="EMP04136"/>
        <s v="EMP04137"/>
        <s v="EMP04138"/>
        <s v="EMP04139"/>
        <s v="EMP04140"/>
        <s v="EMP04141"/>
        <s v="EMP04142"/>
        <s v="EMP04143"/>
        <s v="EMP04144"/>
        <s v="EMP04145"/>
        <s v="EMP04146"/>
        <s v="EMP04147"/>
        <s v="EMP04148"/>
        <s v="EMP04149"/>
        <s v="EMP04150"/>
        <s v="EMP04151"/>
        <s v="EMP04152"/>
        <s v="EMP04153"/>
        <s v="EMP04154"/>
        <s v="EMP04155"/>
        <s v="EMP04156"/>
        <s v="EMP04157"/>
        <s v="EMP04158"/>
        <s v="EMP04159"/>
        <s v="EMP04160"/>
        <s v="EMP04161"/>
        <s v="EMP04162"/>
        <s v="EMP04163"/>
        <s v="EMP04164"/>
        <s v="EMP04165"/>
        <s v="EMP04166"/>
        <s v="EMP04167"/>
        <s v="EMP04168"/>
        <s v="EMP04169"/>
        <s v="EMP04170"/>
        <s v="EMP04171"/>
        <s v="EMP04172"/>
        <s v="EMP04173"/>
        <s v="EMP04174"/>
        <s v="EMP04175"/>
        <s v="EMP04176"/>
        <s v="EMP04177"/>
        <s v="EMP04178"/>
        <s v="EMP04179"/>
        <s v="EMP04180"/>
        <s v="EMP04181"/>
        <s v="EMP04182"/>
        <s v="EMP04183"/>
        <s v="EMP04184"/>
        <s v="EMP04185"/>
        <s v="EMP04186"/>
        <s v="EMP04187"/>
        <s v="EMP04188"/>
        <s v="EMP04189"/>
        <s v="EMP04190"/>
        <s v="EMP04191"/>
        <s v="EMP04192"/>
        <s v="EMP04193"/>
        <s v="EMP04194"/>
        <s v="EMP04195"/>
        <s v="EMP04196"/>
        <s v="EMP04197"/>
        <s v="EMP04198"/>
        <s v="EMP04199"/>
        <s v="EMP04200"/>
        <s v="EMP04201"/>
        <s v="EMP04202"/>
        <s v="EMP04203"/>
        <s v="EMP04204"/>
        <s v="EMP04205"/>
        <s v="EMP04206"/>
        <s v="EMP04207"/>
        <s v="EMP04208"/>
        <s v="EMP04209"/>
        <s v="EMP04210"/>
        <s v="EMP04211"/>
        <s v="EMP04212"/>
        <s v="EMP04213"/>
        <s v="EMP04214"/>
        <s v="EMP04215"/>
        <s v="EMP04216"/>
        <s v="EMP04217"/>
        <s v="EMP04218"/>
        <s v="EMP04219"/>
        <s v="EMP04220"/>
        <s v="EMP04221"/>
        <s v="EMP04222"/>
        <s v="EMP04223"/>
        <s v="EMP04224"/>
        <s v="EMP04225"/>
        <s v="EMP04226"/>
        <s v="EMP04227"/>
        <s v="EMP04228"/>
        <s v="EMP04229"/>
        <s v="EMP04230"/>
        <s v="EMP04231"/>
        <s v="EMP04232"/>
        <s v="EMP04233"/>
        <s v="EMP04234"/>
        <s v="EMP04235"/>
        <s v="EMP04236"/>
        <s v="EMP04237"/>
        <s v="EMP04238"/>
        <s v="EMP04239"/>
        <s v="EMP04240"/>
        <s v="EMP04241"/>
        <s v="EMP04242"/>
        <s v="EMP04243"/>
        <s v="EMP04244"/>
        <s v="EMP04245"/>
        <s v="EMP04246"/>
        <s v="EMP04247"/>
        <s v="EMP04248"/>
        <s v="EMP04249"/>
        <s v="EMP04250"/>
        <s v="EMP04251"/>
        <s v="EMP04252"/>
        <s v="EMP04253"/>
        <s v="EMP04254"/>
        <s v="EMP04255"/>
        <s v="EMP04256"/>
        <s v="EMP04257"/>
        <s v="EMP04258"/>
        <s v="EMP04259"/>
        <s v="EMP04260"/>
        <s v="EMP04261"/>
        <s v="EMP04262"/>
        <s v="EMP04263"/>
        <s v="EMP04264"/>
        <s v="EMP04265"/>
        <s v="EMP04266"/>
        <s v="EMP04267"/>
        <s v="EMP04268"/>
        <s v="EMP04269"/>
        <s v="EMP04270"/>
        <s v="EMP04271"/>
        <s v="EMP04272"/>
        <s v="EMP04273"/>
        <s v="EMP04274"/>
        <s v="EMP04275"/>
        <s v="EMP04276"/>
        <s v="EMP04277"/>
        <s v="EMP04278"/>
        <s v="EMP04279"/>
        <s v="EMP04280"/>
        <s v="EMP04281"/>
        <s v="EMP04282"/>
        <s v="EMP04283"/>
        <s v="EMP04284"/>
        <s v="EMP04285"/>
        <s v="EMP04286"/>
        <s v="EMP04287"/>
        <s v="EMP04288"/>
        <s v="EMP04289"/>
        <s v="EMP04290"/>
        <s v="EMP04291"/>
        <s v="EMP04292"/>
        <s v="EMP04293"/>
        <s v="EMP04294"/>
        <s v="EMP04295"/>
        <s v="EMP04296"/>
        <s v="EMP04297"/>
        <s v="EMP04298"/>
        <s v="EMP04299"/>
        <s v="EMP04300"/>
        <s v="EMP04301"/>
        <s v="EMP04302"/>
        <s v="EMP04303"/>
        <s v="EMP04304"/>
        <s v="EMP04305"/>
        <s v="EMP04306"/>
        <s v="EMP04307"/>
        <s v="EMP04308"/>
        <s v="EMP04309"/>
        <s v="EMP04310"/>
        <s v="EMP04311"/>
        <s v="EMP04312"/>
        <s v="EMP04313"/>
        <s v="EMP04314"/>
        <s v="EMP04315"/>
        <s v="EMP04316"/>
        <s v="EMP04317"/>
        <s v="EMP04318"/>
        <s v="EMP04319"/>
        <s v="EMP04320"/>
        <s v="EMP04321"/>
        <s v="EMP04322"/>
        <s v="EMP04323"/>
        <s v="EMP04324"/>
        <s v="EMP04325"/>
        <s v="EMP04326"/>
        <s v="EMP04327"/>
        <s v="EMP04328"/>
        <s v="EMP04329"/>
        <s v="EMP04330"/>
        <s v="EMP04331"/>
        <s v="EMP04332"/>
        <s v="EMP04333"/>
        <s v="EMP04334"/>
        <s v="EMP04335"/>
        <s v="EMP04336"/>
        <s v="EMP04337"/>
        <s v="EMP04338"/>
        <s v="EMP04339"/>
        <s v="EMP04340"/>
        <s v="EMP04341"/>
        <s v="EMP04342"/>
        <s v="EMP04343"/>
        <s v="EMP04344"/>
        <s v="EMP04345"/>
        <s v="EMP04346"/>
        <s v="EMP04347"/>
        <s v="EMP04348"/>
        <s v="EMP04349"/>
        <s v="EMP04350"/>
        <s v="EMP04351"/>
        <s v="EMP04352"/>
        <s v="EMP04353"/>
        <s v="EMP04354"/>
        <s v="EMP04355"/>
        <s v="EMP04356"/>
        <s v="EMP04357"/>
        <s v="EMP04358"/>
        <s v="EMP04359"/>
        <s v="EMP04360"/>
        <s v="EMP04361"/>
        <s v="EMP04362"/>
        <s v="EMP04363"/>
        <s v="EMP04364"/>
        <s v="EMP04365"/>
        <s v="EMP04366"/>
        <s v="EMP04367"/>
        <s v="EMP04368"/>
        <s v="EMP04369"/>
        <s v="EMP04370"/>
        <s v="EMP04371"/>
        <s v="EMP04372"/>
        <s v="EMP04373"/>
        <s v="EMP04374"/>
        <s v="EMP04375"/>
        <s v="EMP04376"/>
        <s v="EMP04377"/>
        <s v="EMP04378"/>
        <s v="EMP04379"/>
        <s v="EMP04380"/>
        <s v="EMP04381"/>
        <s v="EMP04382"/>
        <s v="EMP04383"/>
        <s v="EMP04384"/>
        <s v="EMP04385"/>
        <s v="EMP04386"/>
        <s v="EMP04387"/>
        <s v="EMP04388"/>
        <s v="EMP04389"/>
        <s v="EMP04390"/>
        <s v="EMP04391"/>
        <s v="EMP04392"/>
        <s v="EMP04393"/>
        <s v="EMP04394"/>
        <s v="EMP04395"/>
        <s v="EMP04396"/>
        <s v="EMP04397"/>
        <s v="EMP04398"/>
        <s v="EMP04399"/>
        <s v="EMP04400"/>
        <s v="EMP04401"/>
        <s v="EMP04402"/>
        <s v="EMP04403"/>
        <s v="EMP04404"/>
        <s v="EMP04405"/>
        <s v="EMP04406"/>
        <s v="EMP04407"/>
        <s v="EMP04408"/>
        <s v="EMP04409"/>
        <s v="EMP04410"/>
        <s v="EMP04411"/>
        <s v="EMP04412"/>
        <s v="EMP04413"/>
        <s v="EMP04414"/>
        <s v="EMP04415"/>
        <s v="EMP04416"/>
        <s v="EMP04417"/>
        <s v="EMP04418"/>
        <s v="EMP04419"/>
        <s v="EMP04420"/>
        <s v="EMP04421"/>
        <s v="EMP04422"/>
        <s v="EMP04423"/>
        <s v="EMP04424"/>
        <s v="EMP04425"/>
        <s v="EMP04426"/>
        <s v="EMP04427"/>
        <s v="EMP04428"/>
        <s v="EMP04429"/>
        <s v="EMP04430"/>
        <s v="EMP04431"/>
        <s v="EMP04432"/>
        <s v="EMP04433"/>
        <s v="EMP04434"/>
        <s v="EMP04435"/>
        <s v="EMP04436"/>
        <s v="EMP04437"/>
        <s v="EMP04438"/>
        <s v="EMP04439"/>
        <s v="EMP04440"/>
        <s v="EMP04441"/>
        <s v="EMP04442"/>
        <s v="EMP04443"/>
        <s v="EMP04444"/>
        <s v="EMP04445"/>
        <s v="EMP04446"/>
        <s v="EMP04447"/>
        <s v="EMP04448"/>
        <s v="EMP04449"/>
        <s v="EMP04450"/>
        <s v="EMP04451"/>
        <s v="EMP04452"/>
        <s v="EMP04453"/>
        <s v="EMP04454"/>
        <s v="EMP04455"/>
        <s v="EMP04456"/>
        <s v="EMP04457"/>
        <s v="EMP04458"/>
        <s v="EMP04459"/>
        <s v="EMP04460"/>
        <s v="EMP04461"/>
        <s v="EMP04462"/>
        <s v="EMP04463"/>
        <s v="EMP04464"/>
        <s v="EMP04465"/>
        <s v="EMP04466"/>
        <s v="EMP04467"/>
        <s v="EMP04468"/>
        <s v="EMP04469"/>
        <s v="EMP04470"/>
        <s v="EMP04471"/>
        <s v="EMP04472"/>
        <s v="EMP04473"/>
        <s v="EMP04474"/>
        <s v="EMP04475"/>
        <s v="EMP04476"/>
        <s v="EMP04477"/>
        <s v="EMP04478"/>
        <s v="EMP04479"/>
        <s v="EMP04480"/>
        <s v="EMP04481"/>
        <s v="EMP04482"/>
        <s v="EMP04483"/>
        <s v="EMP04484"/>
        <s v="EMP04485"/>
        <s v="EMP04486"/>
        <s v="EMP04487"/>
        <s v="EMP04488"/>
        <s v="EMP04489"/>
        <s v="EMP04490"/>
        <s v="EMP04491"/>
        <s v="EMP04492"/>
        <s v="EMP04493"/>
        <s v="EMP04494"/>
        <s v="EMP04495"/>
        <s v="EMP04496"/>
        <s v="EMP04497"/>
        <s v="EMP04498"/>
        <s v="EMP04499"/>
        <s v="EMP04500"/>
        <s v="EMP04501"/>
        <s v="EMP04502"/>
        <s v="EMP04503"/>
        <s v="EMP04504"/>
        <s v="EMP04505"/>
        <s v="EMP04506"/>
        <s v="EMP04507"/>
        <s v="EMP04508"/>
        <s v="EMP04509"/>
        <s v="EMP04510"/>
        <s v="EMP04511"/>
        <s v="EMP04512"/>
        <s v="EMP04513"/>
        <s v="EMP04514"/>
        <s v="EMP04515"/>
        <s v="EMP04516"/>
        <s v="EMP04517"/>
        <s v="EMP04518"/>
        <s v="EMP04519"/>
        <s v="EMP04520"/>
        <s v="EMP04521"/>
        <s v="EMP04522"/>
        <s v="EMP04523"/>
        <s v="EMP04524"/>
        <s v="EMP04525"/>
        <s v="EMP04526"/>
        <s v="EMP04527"/>
        <s v="EMP04528"/>
        <s v="EMP04529"/>
        <s v="EMP04530"/>
        <s v="EMP04531"/>
        <s v="EMP04532"/>
        <s v="EMP04533"/>
        <s v="EMP04534"/>
        <s v="EMP04535"/>
        <s v="EMP04536"/>
        <s v="EMP04537"/>
        <s v="EMP04538"/>
        <s v="EMP04539"/>
        <s v="EMP04540"/>
        <s v="EMP04541"/>
        <s v="EMP04542"/>
        <s v="EMP04543"/>
        <s v="EMP04544"/>
        <s v="EMP04545"/>
        <s v="EMP04546"/>
        <s v="EMP04547"/>
        <s v="EMP04548"/>
        <s v="EMP04549"/>
        <s v="EMP04550"/>
        <s v="EMP04551"/>
        <s v="EMP04552"/>
        <s v="EMP04553"/>
        <s v="EMP04554"/>
        <s v="EMP04555"/>
        <s v="EMP04556"/>
        <s v="EMP04557"/>
        <s v="EMP04558"/>
        <s v="EMP04559"/>
        <s v="EMP04560"/>
        <s v="EMP04561"/>
        <s v="EMP04562"/>
        <s v="EMP04563"/>
        <s v="EMP04564"/>
        <s v="EMP04565"/>
        <s v="EMP04566"/>
        <s v="EMP04567"/>
        <s v="EMP04568"/>
        <s v="EMP04569"/>
        <s v="EMP04570"/>
        <s v="EMP04571"/>
        <s v="EMP04572"/>
        <s v="EMP04573"/>
        <s v="EMP04574"/>
        <s v="EMP04575"/>
        <s v="EMP04576"/>
        <s v="EMP04577"/>
        <s v="EMP04578"/>
        <s v="EMP04579"/>
        <s v="EMP04580"/>
        <s v="EMP04581"/>
        <s v="EMP04582"/>
        <s v="EMP04583"/>
        <s v="EMP04584"/>
        <s v="EMP04585"/>
        <s v="EMP04586"/>
        <s v="EMP04587"/>
        <s v="EMP04588"/>
        <s v="EMP04589"/>
        <s v="EMP04590"/>
        <s v="EMP04591"/>
        <s v="EMP04592"/>
        <s v="EMP04593"/>
        <s v="EMP04594"/>
        <s v="EMP04595"/>
        <s v="EMP04596"/>
        <s v="EMP04597"/>
        <s v="EMP04598"/>
        <s v="EMP04599"/>
        <s v="EMP04600"/>
        <s v="EMP04601"/>
        <s v="EMP04602"/>
        <s v="EMP04603"/>
        <s v="EMP04604"/>
        <s v="EMP04605"/>
        <s v="EMP04606"/>
        <s v="EMP04607"/>
        <s v="EMP04608"/>
        <s v="EMP04609"/>
        <s v="EMP04610"/>
        <s v="EMP04611"/>
        <s v="EMP04612"/>
        <s v="EMP04613"/>
        <s v="EMP04614"/>
        <s v="EMP04615"/>
        <s v="EMP04616"/>
        <s v="EMP04617"/>
        <s v="EMP04618"/>
        <s v="EMP04619"/>
        <s v="EMP04620"/>
        <s v="EMP04621"/>
        <s v="EMP04622"/>
        <s v="EMP04623"/>
        <s v="EMP04624"/>
        <s v="EMP04625"/>
        <s v="EMP04626"/>
        <s v="EMP04627"/>
        <s v="EMP04628"/>
        <s v="EMP04629"/>
        <s v="EMP04630"/>
        <s v="EMP04631"/>
        <s v="EMP04632"/>
        <s v="EMP04633"/>
        <s v="EMP04634"/>
        <s v="EMP04635"/>
        <s v="EMP04636"/>
        <s v="EMP04637"/>
        <s v="EMP04638"/>
        <s v="EMP04639"/>
        <s v="EMP04640"/>
        <s v="EMP04641"/>
        <s v="EMP04642"/>
        <s v="EMP04643"/>
        <s v="EMP04644"/>
        <s v="EMP04645"/>
        <s v="EMP04646"/>
        <s v="EMP04647"/>
        <s v="EMP04648"/>
        <s v="EMP04649"/>
        <s v="EMP04650"/>
        <s v="EMP04651"/>
        <s v="EMP04652"/>
        <s v="EMP04653"/>
        <s v="EMP04654"/>
        <s v="EMP04655"/>
        <s v="EMP04656"/>
        <s v="EMP04657"/>
        <s v="EMP04658"/>
        <s v="EMP04659"/>
        <s v="EMP04660"/>
        <s v="EMP04661"/>
        <s v="EMP04662"/>
        <s v="EMP04663"/>
        <s v="EMP04664"/>
        <s v="EMP04665"/>
        <s v="EMP04666"/>
        <s v="EMP04667"/>
        <s v="EMP04668"/>
        <s v="EMP04669"/>
        <s v="EMP04670"/>
        <s v="EMP04671"/>
        <s v="EMP04672"/>
        <s v="EMP04673"/>
        <s v="EMP04674"/>
        <s v="EMP04675"/>
        <s v="EMP04676"/>
        <s v="EMP04677"/>
        <s v="EMP04678"/>
        <s v="EMP04679"/>
        <s v="EMP04680"/>
        <s v="EMP04681"/>
        <s v="EMP04682"/>
        <s v="EMP04683"/>
        <s v="EMP04684"/>
        <s v="EMP04685"/>
        <s v="EMP04686"/>
        <s v="EMP04687"/>
        <s v="EMP04688"/>
        <s v="EMP04689"/>
        <s v="EMP04690"/>
        <s v="EMP04691"/>
        <s v="EMP04692"/>
        <s v="EMP04693"/>
        <s v="EMP04694"/>
        <s v="EMP04695"/>
        <s v="EMP04696"/>
        <s v="EMP04697"/>
        <s v="EMP04698"/>
        <s v="EMP04699"/>
        <s v="EMP04700"/>
        <s v="EMP04701"/>
        <s v="EMP04702"/>
        <s v="EMP04703"/>
        <s v="EMP04704"/>
        <s v="EMP04705"/>
        <s v="EMP04706"/>
        <s v="EMP04707"/>
        <s v="EMP04708"/>
        <s v="EMP04709"/>
        <s v="EMP04710"/>
        <s v="EMP04711"/>
        <s v="EMP04712"/>
        <s v="EMP04713"/>
        <s v="EMP04714"/>
        <s v="EMP04715"/>
        <s v="EMP04716"/>
        <s v="EMP04717"/>
        <s v="EMP04718"/>
        <s v="EMP04719"/>
        <s v="EMP04720"/>
        <s v="EMP04721"/>
        <s v="EMP04722"/>
        <s v="EMP04723"/>
        <s v="EMP04724"/>
        <s v="EMP04725"/>
        <s v="EMP04726"/>
        <s v="EMP04727"/>
        <s v="EMP04728"/>
        <s v="EMP04729"/>
        <s v="EMP04730"/>
        <s v="EMP04731"/>
        <s v="EMP04732"/>
        <s v="EMP04733"/>
        <s v="EMP04734"/>
        <s v="EMP04735"/>
        <s v="EMP04736"/>
        <s v="EMP04737"/>
        <s v="EMP04738"/>
        <s v="EMP04739"/>
        <s v="EMP04740"/>
        <s v="EMP04741"/>
        <s v="EMP04742"/>
        <s v="EMP04743"/>
        <s v="EMP04744"/>
        <s v="EMP04745"/>
        <s v="EMP04746"/>
        <s v="EMP04747"/>
        <s v="EMP04748"/>
        <s v="EMP04749"/>
        <s v="EMP04750"/>
        <s v="EMP04751"/>
        <s v="EMP04752"/>
        <s v="EMP04753"/>
        <s v="EMP04754"/>
        <s v="EMP04755"/>
        <s v="EMP04756"/>
        <s v="EMP04757"/>
        <s v="EMP04758"/>
        <s v="EMP04759"/>
        <s v="EMP04760"/>
        <s v="EMP04761"/>
        <s v="EMP04762"/>
        <s v="EMP04763"/>
        <s v="EMP04764"/>
        <s v="EMP04765"/>
        <s v="EMP04766"/>
        <s v="EMP04767"/>
        <s v="EMP04768"/>
        <s v="EMP04769"/>
        <s v="EMP04770"/>
        <s v="EMP04771"/>
        <s v="EMP04772"/>
        <s v="EMP04773"/>
        <s v="EMP04774"/>
        <s v="EMP04775"/>
        <s v="EMP04776"/>
        <s v="EMP04777"/>
        <s v="EMP04778"/>
        <s v="EMP04779"/>
        <s v="EMP04780"/>
        <s v="EMP04781"/>
        <s v="EMP04782"/>
        <s v="EMP04783"/>
        <s v="EMP04784"/>
        <s v="EMP04785"/>
        <s v="EMP04786"/>
        <s v="EMP04787"/>
        <s v="EMP04788"/>
        <s v="EMP04789"/>
        <s v="EMP04790"/>
        <s v="EMP04791"/>
        <s v="EMP04792"/>
        <s v="EMP04793"/>
        <s v="EMP04794"/>
        <s v="EMP04795"/>
        <s v="EMP04796"/>
        <s v="EMP04797"/>
        <s v="EMP04798"/>
        <s v="EMP04799"/>
        <s v="EMP04800"/>
        <s v="EMP04801"/>
        <s v="EMP04802"/>
        <s v="EMP04803"/>
        <s v="EMP04804"/>
        <s v="EMP04805"/>
        <s v="EMP04806"/>
        <s v="EMP04807"/>
        <s v="EMP04808"/>
        <s v="EMP04809"/>
        <s v="EMP04810"/>
        <s v="EMP04811"/>
        <s v="EMP04812"/>
        <s v="EMP04813"/>
        <s v="EMP04814"/>
        <s v="EMP04815"/>
        <s v="EMP04816"/>
        <s v="EMP04817"/>
        <s v="EMP04818"/>
        <s v="EMP04819"/>
        <s v="EMP04820"/>
        <s v="EMP04821"/>
        <s v="EMP04822"/>
        <s v="EMP04823"/>
        <s v="EMP04824"/>
        <s v="EMP04825"/>
        <s v="EMP04826"/>
        <s v="EMP04827"/>
        <s v="EMP04828"/>
        <s v="EMP04829"/>
        <s v="EMP04830"/>
        <s v="EMP04831"/>
        <s v="EMP04832"/>
        <s v="EMP04833"/>
        <s v="EMP04834"/>
        <s v="EMP04835"/>
        <s v="EMP04836"/>
        <s v="EMP04837"/>
        <s v="EMP04838"/>
        <s v="EMP04839"/>
        <s v="EMP04840"/>
        <s v="EMP04841"/>
        <s v="EMP04842"/>
        <s v="EMP04843"/>
        <s v="EMP04844"/>
        <s v="EMP04845"/>
        <s v="EMP04846"/>
        <s v="EMP04847"/>
        <s v="EMP04848"/>
        <s v="EMP04849"/>
        <s v="EMP04850"/>
        <s v="EMP04851"/>
        <s v="EMP04852"/>
        <s v="EMP04853"/>
        <s v="EMP04854"/>
        <s v="EMP04855"/>
        <s v="EMP04856"/>
        <s v="EMP04857"/>
        <s v="EMP04858"/>
        <s v="EMP04859"/>
        <s v="EMP04860"/>
        <s v="EMP04861"/>
        <s v="EMP04862"/>
        <s v="EMP04863"/>
        <s v="EMP04864"/>
        <s v="EMP04865"/>
        <s v="EMP04866"/>
        <s v="EMP04867"/>
        <s v="EMP04868"/>
        <s v="EMP04869"/>
        <s v="EMP04870"/>
        <s v="EMP04871"/>
        <s v="EMP04872"/>
        <s v="EMP04873"/>
        <s v="EMP04874"/>
        <s v="EMP04875"/>
        <s v="EMP04876"/>
        <s v="EMP04877"/>
        <s v="EMP04878"/>
        <s v="EMP04879"/>
        <s v="EMP04880"/>
        <s v="EMP04881"/>
        <s v="EMP04882"/>
        <s v="EMP04883"/>
        <s v="EMP04884"/>
        <s v="EMP04885"/>
        <s v="EMP04886"/>
        <s v="EMP04887"/>
        <s v="EMP04888"/>
        <s v="EMP04889"/>
        <s v="EMP04890"/>
        <s v="EMP04891"/>
        <s v="EMP04892"/>
        <s v="EMP04893"/>
        <s v="EMP04894"/>
        <s v="EMP04895"/>
        <s v="EMP04896"/>
        <s v="EMP04897"/>
        <s v="EMP04898"/>
        <s v="EMP04899"/>
        <s v="EMP04900"/>
        <s v="EMP04901"/>
        <s v="EMP04902"/>
        <s v="EMP04903"/>
        <s v="EMP04904"/>
        <s v="EMP04905"/>
        <s v="EMP04906"/>
        <s v="EMP04907"/>
        <s v="EMP04908"/>
        <s v="EMP04909"/>
        <s v="EMP04910"/>
        <s v="EMP04911"/>
        <s v="EMP04912"/>
        <s v="EMP04913"/>
        <s v="EMP04914"/>
        <s v="EMP04915"/>
        <s v="EMP04916"/>
        <s v="EMP04917"/>
        <s v="EMP04918"/>
        <s v="EMP04919"/>
        <s v="EMP04920"/>
        <s v="EMP04921"/>
        <s v="EMP04922"/>
        <s v="EMP04923"/>
        <s v="EMP04924"/>
        <s v="EMP04925"/>
        <s v="EMP04926"/>
        <s v="EMP04927"/>
        <s v="EMP04928"/>
        <s v="EMP04929"/>
        <s v="EMP04930"/>
        <s v="EMP04931"/>
        <s v="EMP04932"/>
        <s v="EMP04933"/>
        <s v="EMP04934"/>
        <s v="EMP04935"/>
        <s v="EMP04936"/>
        <s v="EMP04937"/>
        <s v="EMP04938"/>
        <s v="EMP04939"/>
        <s v="EMP04940"/>
        <s v="EMP04941"/>
        <s v="EMP04942"/>
        <s v="EMP04943"/>
        <s v="EMP04944"/>
        <s v="EMP04945"/>
        <s v="EMP04946"/>
        <s v="EMP04947"/>
        <s v="EMP04948"/>
        <s v="EMP04949"/>
        <s v="EMP04950"/>
        <s v="EMP04951"/>
        <s v="EMP04952"/>
        <s v="EMP04953"/>
        <s v="EMP04954"/>
        <s v="EMP04955"/>
        <s v="EMP04956"/>
        <s v="EMP04957"/>
        <s v="EMP04958"/>
        <s v="EMP04959"/>
        <s v="EMP04960"/>
        <s v="EMP04961"/>
        <s v="EMP04962"/>
        <s v="EMP04963"/>
        <s v="EMP04964"/>
        <s v="EMP04965"/>
        <s v="EMP04966"/>
        <s v="EMP04967"/>
        <s v="EMP04968"/>
        <s v="EMP04969"/>
        <s v="EMP04970"/>
        <s v="EMP04971"/>
        <s v="EMP04972"/>
        <s v="EMP04973"/>
        <s v="EMP04974"/>
        <s v="EMP04975"/>
        <s v="EMP04976"/>
        <s v="EMP04977"/>
        <s v="EMP04978"/>
        <s v="EMP04979"/>
        <s v="EMP04980"/>
        <s v="EMP04981"/>
        <s v="EMP04982"/>
        <s v="EMP04983"/>
        <s v="EMP04984"/>
        <s v="EMP04985"/>
        <s v="EMP04986"/>
        <s v="EMP04987"/>
        <s v="EMP04988"/>
        <s v="EMP04989"/>
        <s v="EMP04990"/>
      </sharedItems>
    </cacheField>
    <cacheField name="Gender" numFmtId="0">
      <sharedItems count="2">
        <s v="Male"/>
        <s v="Female"/>
      </sharedItems>
    </cacheField>
    <cacheField name="Age" numFmtId="0">
      <sharedItems containsSemiMixedTypes="0" containsString="0" containsNumber="1" containsInteger="1" minValue="18" maxValue="72"/>
    </cacheField>
    <cacheField name="Department" numFmtId="0">
      <sharedItems count="12">
        <s v="Marketing"/>
        <s v="Finance"/>
        <s v="Operations"/>
        <s v="HR"/>
        <s v="IT"/>
        <s v="Sales"/>
        <s v="Sales " u="1"/>
        <s v="IT " u="1"/>
        <s v="Operations " u="1"/>
        <s v="Marketing " u="1"/>
        <s v="HR " u="1"/>
        <s v="Finance " u="1"/>
      </sharedItems>
    </cacheField>
    <cacheField name="Job_Role" numFmtId="0">
      <sharedItems count="19">
        <s v="Marketing Manager"/>
        <s v="Marketing Analyst"/>
        <s v="Marketing Specialist"/>
        <s v="Accountant"/>
        <s v="Operations Analyst"/>
        <s v="HR Analyst"/>
        <s v="IT Specialist"/>
        <s v="Financial Analyst"/>
        <s v="Data Analyst"/>
        <s v="Sales Manager"/>
        <s v="Finance Manager"/>
        <s v="Operations Manager"/>
        <s v="HR Specialist"/>
        <s v="HR Manager"/>
        <s v="IT Manager"/>
        <s v="Sales Representative"/>
        <s v="Software Developer"/>
        <s v="Account Manager"/>
        <s v="Operations Specialist"/>
      </sharedItems>
    </cacheField>
    <cacheField name="Education_Level" numFmtId="0">
      <sharedItems containsBlank="1" count="5">
        <s v="High School"/>
        <s v="Bachelor's"/>
        <s v="Master's"/>
        <s v="PhD"/>
        <m/>
      </sharedItems>
    </cacheField>
    <cacheField name="Years_at_Company" numFmtId="0">
      <sharedItems containsSemiMixedTypes="0" containsString="0" containsNumber="1" minValue="1" maxValue="14"/>
    </cacheField>
    <cacheField name="Years_in_Role" numFmtId="0">
      <sharedItems containsString="0" containsBlank="1" containsNumber="1" minValue="0" maxValue="12.6"/>
    </cacheField>
    <cacheField name="Tenure_Group" numFmtId="0">
      <sharedItems count="5">
        <s v="0–2 Years"/>
        <s v="3–5 Years"/>
        <s v="6–8 Years"/>
        <s v="12-14 Years"/>
        <s v="9-11 Years"/>
      </sharedItems>
    </cacheField>
    <cacheField name="Performance_Rating" numFmtId="0">
      <sharedItems containsString="0" containsBlank="1" containsNumber="1" containsInteger="1" minValue="1" maxValue="5"/>
    </cacheField>
    <cacheField name="Employment_Type" numFmtId="0">
      <sharedItems count="3">
        <s v="Full-Time"/>
        <s v="Part-Time"/>
        <s v="Contract"/>
      </sharedItems>
    </cacheField>
    <cacheField name="Base_Salary" numFmtId="0">
      <sharedItems containsSemiMixedTypes="0" containsString="0" containsNumber="1" containsInteger="1" minValue="10860" maxValue="183600"/>
    </cacheField>
    <cacheField name="Bonus" numFmtId="0">
      <sharedItems containsSemiMixedTypes="0" containsString="0" containsNumber="1" containsInteger="1" minValue="1300" maxValue="60800"/>
    </cacheField>
    <cacheField name="Total_Compensation" numFmtId="0">
      <sharedItems containsSemiMixedTypes="0" containsString="0" containsNumber="1" containsInteger="1" minValue="19960" maxValue="195000"/>
    </cacheField>
    <cacheField name="Salary_Band" numFmtId="0">
      <sharedItems/>
    </cacheField>
    <cacheField name="Hire_Date" numFmtId="14">
      <sharedItems containsNonDate="0" containsDate="1" containsString="0" containsBlank="1" minDate="2012-01-01T00:00:00" maxDate="2024-12-28T00:00:00"/>
    </cacheField>
    <cacheField name="Educational_Level Slicer" numFmtId="0">
      <sharedItems count="5">
        <s v="High School"/>
        <s v="Bachelor's"/>
        <s v="Master's"/>
        <s v="PhD"/>
        <s v="Unknown"/>
      </sharedItems>
    </cacheField>
  </cacheFields>
  <extLst>
    <ext xmlns:x14="http://schemas.microsoft.com/office/spreadsheetml/2009/9/main" uri="{725AE2AE-9491-48be-B2B4-4EB974FC3084}">
      <x14:pivotCacheDefinition pivotCacheId="3527415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0">
  <r>
    <x v="0"/>
    <x v="0"/>
    <n v="34"/>
    <x v="0"/>
    <x v="0"/>
    <x v="0"/>
    <n v="2.7"/>
    <n v="2.7"/>
    <x v="0"/>
    <n v="1"/>
    <x v="0"/>
    <n v="75900"/>
    <n v="4100"/>
    <n v="80000"/>
    <s v="C"/>
    <d v="2023-05-09T00:00:00"/>
    <x v="0"/>
  </r>
  <r>
    <x v="1"/>
    <x v="1"/>
    <n v="34"/>
    <x v="0"/>
    <x v="0"/>
    <x v="0"/>
    <n v="3.7"/>
    <n v="1.9"/>
    <x v="1"/>
    <n v="4"/>
    <x v="1"/>
    <n v="53100"/>
    <n v="5000"/>
    <n v="58100"/>
    <s v="B"/>
    <d v="2022-04-14T00:00:00"/>
    <x v="0"/>
  </r>
  <r>
    <x v="2"/>
    <x v="1"/>
    <n v="21"/>
    <x v="0"/>
    <x v="1"/>
    <x v="1"/>
    <n v="2"/>
    <n v="1.3"/>
    <x v="0"/>
    <n v="3"/>
    <x v="0"/>
    <n v="72800"/>
    <n v="6900"/>
    <n v="79700"/>
    <s v="C"/>
    <d v="2023-12-22T00:00:00"/>
    <x v="1"/>
  </r>
  <r>
    <x v="3"/>
    <x v="0"/>
    <n v="23"/>
    <x v="0"/>
    <x v="1"/>
    <x v="1"/>
    <n v="8.1999999999999993"/>
    <n v="4"/>
    <x v="2"/>
    <n v="5"/>
    <x v="0"/>
    <n v="83700"/>
    <n v="6100"/>
    <n v="89800"/>
    <s v="D"/>
    <d v="2017-10-02T00:00:00"/>
    <x v="1"/>
  </r>
  <r>
    <x v="4"/>
    <x v="1"/>
    <n v="44"/>
    <x v="0"/>
    <x v="2"/>
    <x v="0"/>
    <n v="4.8"/>
    <n v="2.8"/>
    <x v="1"/>
    <n v="3"/>
    <x v="0"/>
    <n v="58900"/>
    <n v="6100"/>
    <n v="65000"/>
    <s v="B"/>
    <d v="2021-03-23T00:00:00"/>
    <x v="0"/>
  </r>
  <r>
    <x v="5"/>
    <x v="0"/>
    <n v="38"/>
    <x v="1"/>
    <x v="3"/>
    <x v="2"/>
    <n v="13.6"/>
    <n v="8.9"/>
    <x v="3"/>
    <n v="3"/>
    <x v="0"/>
    <n v="92700"/>
    <n v="8800"/>
    <n v="101500"/>
    <s v="D"/>
    <d v="2012-05-24T00:00:00"/>
    <x v="2"/>
  </r>
  <r>
    <x v="6"/>
    <x v="1"/>
    <n v="49"/>
    <x v="2"/>
    <x v="4"/>
    <x v="2"/>
    <n v="11"/>
    <n v="8.4"/>
    <x v="4"/>
    <n v="2"/>
    <x v="0"/>
    <n v="85000"/>
    <n v="3800"/>
    <n v="88800"/>
    <s v="D"/>
    <d v="2015-01-17T00:00:00"/>
    <x v="2"/>
  </r>
  <r>
    <x v="7"/>
    <x v="1"/>
    <n v="37"/>
    <x v="2"/>
    <x v="4"/>
    <x v="1"/>
    <n v="2.1"/>
    <n v="2.1"/>
    <x v="0"/>
    <n v="3"/>
    <x v="0"/>
    <n v="78200"/>
    <n v="7500"/>
    <n v="85700"/>
    <s v="C"/>
    <d v="2023-11-30T00:00:00"/>
    <x v="1"/>
  </r>
  <r>
    <x v="8"/>
    <x v="1"/>
    <n v="26"/>
    <x v="2"/>
    <x v="4"/>
    <x v="2"/>
    <n v="3.4"/>
    <n v="0.3"/>
    <x v="1"/>
    <n v="3"/>
    <x v="0"/>
    <n v="71100"/>
    <n v="7000"/>
    <n v="78100"/>
    <s v="C"/>
    <d v="2022-08-04T00:00:00"/>
    <x v="2"/>
  </r>
  <r>
    <x v="9"/>
    <x v="1"/>
    <n v="22"/>
    <x v="3"/>
    <x v="5"/>
    <x v="2"/>
    <n v="8.1"/>
    <n v="4.9000000000000004"/>
    <x v="2"/>
    <n v="2"/>
    <x v="0"/>
    <n v="82300"/>
    <n v="4000"/>
    <n v="86300"/>
    <s v="D"/>
    <d v="2017-11-30T00:00:00"/>
    <x v="2"/>
  </r>
  <r>
    <x v="10"/>
    <x v="0"/>
    <n v="34"/>
    <x v="3"/>
    <x v="5"/>
    <x v="1"/>
    <n v="12.2"/>
    <n v="7.8"/>
    <x v="3"/>
    <n v="5"/>
    <x v="0"/>
    <n v="81100"/>
    <n v="7000"/>
    <n v="88100"/>
    <s v="D"/>
    <d v="2013-10-20T00:00:00"/>
    <x v="1"/>
  </r>
  <r>
    <x v="11"/>
    <x v="1"/>
    <n v="28"/>
    <x v="4"/>
    <x v="6"/>
    <x v="0"/>
    <n v="2.2000000000000002"/>
    <n v="1.3"/>
    <x v="0"/>
    <n v="3"/>
    <x v="0"/>
    <n v="78400"/>
    <n v="5900"/>
    <n v="84300"/>
    <s v="C"/>
    <d v="2023-10-20T00:00:00"/>
    <x v="0"/>
  </r>
  <r>
    <x v="12"/>
    <x v="1"/>
    <n v="35"/>
    <x v="4"/>
    <x v="6"/>
    <x v="2"/>
    <n v="1.9"/>
    <n v="1.3"/>
    <x v="0"/>
    <n v="4"/>
    <x v="0"/>
    <n v="81000"/>
    <n v="11100"/>
    <n v="92100"/>
    <s v="D"/>
    <d v="2024-02-22T00:00:00"/>
    <x v="2"/>
  </r>
  <r>
    <x v="13"/>
    <x v="1"/>
    <n v="21"/>
    <x v="4"/>
    <x v="6"/>
    <x v="1"/>
    <n v="3.9"/>
    <n v="2.7"/>
    <x v="1"/>
    <n v="4"/>
    <x v="1"/>
    <n v="51100"/>
    <n v="3100"/>
    <n v="54200"/>
    <s v="B"/>
    <d v="2022-01-29T00:00:00"/>
    <x v="1"/>
  </r>
  <r>
    <x v="14"/>
    <x v="0"/>
    <n v="39"/>
    <x v="1"/>
    <x v="7"/>
    <x v="0"/>
    <n v="11"/>
    <n v="7.5"/>
    <x v="4"/>
    <n v="3"/>
    <x v="0"/>
    <n v="85100"/>
    <n v="8900"/>
    <n v="94000"/>
    <s v="D"/>
    <d v="2014-12-27T00:00:00"/>
    <x v="0"/>
  </r>
  <r>
    <x v="15"/>
    <x v="1"/>
    <n v="35"/>
    <x v="1"/>
    <x v="7"/>
    <x v="1"/>
    <n v="1.9"/>
    <n v="1.9"/>
    <x v="0"/>
    <n v="4"/>
    <x v="1"/>
    <n v="48900"/>
    <n v="3800"/>
    <n v="52700"/>
    <s v="A"/>
    <d v="2024-02-04T00:00:00"/>
    <x v="1"/>
  </r>
  <r>
    <x v="16"/>
    <x v="1"/>
    <n v="38"/>
    <x v="4"/>
    <x v="8"/>
    <x v="2"/>
    <n v="1.8"/>
    <n v="1"/>
    <x v="0"/>
    <n v="2"/>
    <x v="0"/>
    <n v="83100"/>
    <n v="4500"/>
    <n v="87600"/>
    <s v="D"/>
    <d v="2024-03-20T00:00:00"/>
    <x v="2"/>
  </r>
  <r>
    <x v="17"/>
    <x v="0"/>
    <n v="43"/>
    <x v="5"/>
    <x v="9"/>
    <x v="1"/>
    <n v="11.5"/>
    <n v="8.1"/>
    <x v="4"/>
    <n v="4"/>
    <x v="0"/>
    <n v="118600"/>
    <n v="15000"/>
    <n v="133600"/>
    <s v="E"/>
    <d v="2014-06-23T00:00:00"/>
    <x v="1"/>
  </r>
  <r>
    <x v="18"/>
    <x v="0"/>
    <n v="33"/>
    <x v="1"/>
    <x v="10"/>
    <x v="2"/>
    <n v="1.4"/>
    <n v="1"/>
    <x v="0"/>
    <n v="4"/>
    <x v="0"/>
    <n v="89500"/>
    <n v="9900"/>
    <n v="99400"/>
    <s v="D"/>
    <d v="2024-08-02T00:00:00"/>
    <x v="2"/>
  </r>
  <r>
    <x v="19"/>
    <x v="0"/>
    <n v="21"/>
    <x v="2"/>
    <x v="11"/>
    <x v="3"/>
    <n v="4.3"/>
    <n v="1.9"/>
    <x v="1"/>
    <n v="3"/>
    <x v="0"/>
    <n v="99400"/>
    <n v="7300"/>
    <n v="106700"/>
    <s v="D"/>
    <d v="2021-09-16T00:00:00"/>
    <x v="3"/>
  </r>
  <r>
    <x v="20"/>
    <x v="1"/>
    <n v="39"/>
    <x v="3"/>
    <x v="12"/>
    <x v="1"/>
    <n v="13.6"/>
    <n v="7.7"/>
    <x v="3"/>
    <n v="3"/>
    <x v="0"/>
    <n v="76400"/>
    <n v="6000"/>
    <n v="82400"/>
    <s v="C"/>
    <d v="2012-06-03T00:00:00"/>
    <x v="1"/>
  </r>
  <r>
    <x v="21"/>
    <x v="0"/>
    <n v="30"/>
    <x v="1"/>
    <x v="3"/>
    <x v="2"/>
    <n v="10.8"/>
    <n v="5.5"/>
    <x v="4"/>
    <n v="2"/>
    <x v="2"/>
    <n v="64000"/>
    <n v="5100"/>
    <n v="69100"/>
    <s v="B"/>
    <d v="2015-03-22T00:00:00"/>
    <x v="2"/>
  </r>
  <r>
    <x v="22"/>
    <x v="0"/>
    <n v="21"/>
    <x v="4"/>
    <x v="6"/>
    <x v="2"/>
    <n v="4.0999999999999996"/>
    <n v="2.4"/>
    <x v="1"/>
    <n v="3"/>
    <x v="0"/>
    <n v="68900"/>
    <n v="10000"/>
    <n v="78900"/>
    <s v="C"/>
    <d v="2021-12-06T00:00:00"/>
    <x v="2"/>
  </r>
  <r>
    <x v="23"/>
    <x v="1"/>
    <n v="34"/>
    <x v="5"/>
    <x v="9"/>
    <x v="1"/>
    <n v="5.9"/>
    <n v="4.4000000000000004"/>
    <x v="1"/>
    <n v="3"/>
    <x v="1"/>
    <n v="61800"/>
    <n v="11900"/>
    <n v="73700"/>
    <s v="B"/>
    <d v="2020-02-05T00:00:00"/>
    <x v="1"/>
  </r>
  <r>
    <x v="24"/>
    <x v="1"/>
    <n v="29"/>
    <x v="3"/>
    <x v="13"/>
    <x v="3"/>
    <n v="2.8"/>
    <n v="2.7"/>
    <x v="0"/>
    <n v="3"/>
    <x v="0"/>
    <n v="101400"/>
    <n v="5800"/>
    <n v="107200"/>
    <s v="E"/>
    <d v="2023-04-01T00:00:00"/>
    <x v="3"/>
  </r>
  <r>
    <x v="25"/>
    <x v="0"/>
    <n v="43"/>
    <x v="0"/>
    <x v="2"/>
    <x v="2"/>
    <n v="2.5"/>
    <n v="2.5"/>
    <x v="0"/>
    <n v="3"/>
    <x v="0"/>
    <n v="64200"/>
    <n v="8500"/>
    <n v="72700"/>
    <s v="B"/>
    <d v="2023-07-21T00:00:00"/>
    <x v="2"/>
  </r>
  <r>
    <x v="26"/>
    <x v="0"/>
    <n v="42"/>
    <x v="4"/>
    <x v="14"/>
    <x v="2"/>
    <n v="8.1999999999999993"/>
    <n v="3.6"/>
    <x v="2"/>
    <n v="3"/>
    <x v="0"/>
    <n v="109800"/>
    <n v="11900"/>
    <n v="121700"/>
    <s v="E"/>
    <d v="2017-10-21T00:00:00"/>
    <x v="2"/>
  </r>
  <r>
    <x v="27"/>
    <x v="1"/>
    <n v="38"/>
    <x v="2"/>
    <x v="11"/>
    <x v="1"/>
    <n v="2.4"/>
    <n v="1.6"/>
    <x v="0"/>
    <n v="5"/>
    <x v="0"/>
    <n v="101900"/>
    <n v="9800"/>
    <n v="111700"/>
    <s v="E"/>
    <d v="2023-08-13T00:00:00"/>
    <x v="1"/>
  </r>
  <r>
    <x v="28"/>
    <x v="0"/>
    <n v="40"/>
    <x v="5"/>
    <x v="15"/>
    <x v="1"/>
    <n v="1.4"/>
    <n v="0.8"/>
    <x v="0"/>
    <n v="3"/>
    <x v="0"/>
    <n v="58400"/>
    <n v="9900"/>
    <n v="68300"/>
    <s v="B"/>
    <d v="2024-08-08T00:00:00"/>
    <x v="1"/>
  </r>
  <r>
    <x v="29"/>
    <x v="0"/>
    <n v="32"/>
    <x v="4"/>
    <x v="16"/>
    <x v="1"/>
    <n v="4.2"/>
    <n v="2"/>
    <x v="1"/>
    <n v="1"/>
    <x v="0"/>
    <n v="83800"/>
    <n v="6500"/>
    <n v="90300"/>
    <s v="D"/>
    <d v="2021-10-05T00:00:00"/>
    <x v="1"/>
  </r>
  <r>
    <x v="30"/>
    <x v="0"/>
    <n v="42"/>
    <x v="2"/>
    <x v="4"/>
    <x v="1"/>
    <n v="8.6999999999999993"/>
    <n v="7.3"/>
    <x v="2"/>
    <n v="3"/>
    <x v="0"/>
    <n v="84600"/>
    <n v="8100"/>
    <n v="92700"/>
    <s v="D"/>
    <d v="2017-05-06T00:00:00"/>
    <x v="1"/>
  </r>
  <r>
    <x v="31"/>
    <x v="1"/>
    <n v="45"/>
    <x v="0"/>
    <x v="0"/>
    <x v="1"/>
    <n v="5.8"/>
    <n v="1.7"/>
    <x v="1"/>
    <n v="4"/>
    <x v="0"/>
    <n v="119300"/>
    <n v="15200"/>
    <n v="134500"/>
    <s v="E"/>
    <d v="2020-03-18T00:00:00"/>
    <x v="1"/>
  </r>
  <r>
    <x v="32"/>
    <x v="1"/>
    <n v="44"/>
    <x v="1"/>
    <x v="10"/>
    <x v="1"/>
    <n v="7.6"/>
    <n v="4"/>
    <x v="2"/>
    <n v="3"/>
    <x v="0"/>
    <n v="110800"/>
    <n v="11600"/>
    <n v="122400"/>
    <s v="E"/>
    <d v="2018-06-13T00:00:00"/>
    <x v="1"/>
  </r>
  <r>
    <x v="33"/>
    <x v="1"/>
    <n v="39"/>
    <x v="3"/>
    <x v="12"/>
    <x v="3"/>
    <n v="3.6"/>
    <n v="2.4"/>
    <x v="1"/>
    <n v="3"/>
    <x v="0"/>
    <n v="69500"/>
    <n v="3300"/>
    <n v="72800"/>
    <s v="C"/>
    <d v="2022-06-12T00:00:00"/>
    <x v="3"/>
  </r>
  <r>
    <x v="34"/>
    <x v="1"/>
    <n v="21"/>
    <x v="0"/>
    <x v="2"/>
    <x v="1"/>
    <n v="3.9"/>
    <n v="2.2000000000000002"/>
    <x v="1"/>
    <n v="3"/>
    <x v="0"/>
    <n v="71000"/>
    <n v="5500"/>
    <n v="76500"/>
    <s v="C"/>
    <d v="2022-02-09T00:00:00"/>
    <x v="1"/>
  </r>
  <r>
    <x v="35"/>
    <x v="0"/>
    <n v="37"/>
    <x v="3"/>
    <x v="12"/>
    <x v="2"/>
    <n v="7.4"/>
    <n v="5.6"/>
    <x v="2"/>
    <n v="3"/>
    <x v="0"/>
    <n v="71400"/>
    <n v="5900"/>
    <n v="77300"/>
    <s v="C"/>
    <d v="2018-08-22T00:00:00"/>
    <x v="2"/>
  </r>
  <r>
    <x v="36"/>
    <x v="1"/>
    <n v="41"/>
    <x v="2"/>
    <x v="11"/>
    <x v="3"/>
    <n v="14"/>
    <n v="6.7"/>
    <x v="3"/>
    <n v="5"/>
    <x v="0"/>
    <n v="135700"/>
    <n v="7300"/>
    <n v="143000"/>
    <s v="E"/>
    <d v="2012-01-16T00:00:00"/>
    <x v="3"/>
  </r>
  <r>
    <x v="37"/>
    <x v="1"/>
    <n v="38"/>
    <x v="4"/>
    <x v="16"/>
    <x v="0"/>
    <n v="1.9"/>
    <n v="0.6"/>
    <x v="0"/>
    <n v="3"/>
    <x v="0"/>
    <n v="91300"/>
    <n v="12900"/>
    <n v="104200"/>
    <s v="D"/>
    <d v="2024-02-03T00:00:00"/>
    <x v="0"/>
  </r>
  <r>
    <x v="38"/>
    <x v="1"/>
    <n v="33"/>
    <x v="2"/>
    <x v="11"/>
    <x v="2"/>
    <n v="10.8"/>
    <n v="5.2"/>
    <x v="4"/>
    <n v="5"/>
    <x v="0"/>
    <n v="104300"/>
    <n v="9400"/>
    <n v="113700"/>
    <s v="E"/>
    <d v="2015-03-06T00:00:00"/>
    <x v="2"/>
  </r>
  <r>
    <x v="39"/>
    <x v="1"/>
    <n v="35"/>
    <x v="5"/>
    <x v="17"/>
    <x v="3"/>
    <n v="5.4"/>
    <n v="3.3"/>
    <x v="1"/>
    <n v="3"/>
    <x v="1"/>
    <n v="60700"/>
    <n v="4900"/>
    <n v="65600"/>
    <s v="B"/>
    <d v="2020-07-31T00:00:00"/>
    <x v="3"/>
  </r>
  <r>
    <x v="40"/>
    <x v="1"/>
    <n v="39"/>
    <x v="5"/>
    <x v="9"/>
    <x v="2"/>
    <n v="13.8"/>
    <n v="10.9"/>
    <x v="3"/>
    <n v="5"/>
    <x v="0"/>
    <n v="98100"/>
    <n v="16500"/>
    <n v="114600"/>
    <s v="D"/>
    <d v="2012-03-01T00:00:00"/>
    <x v="2"/>
  </r>
  <r>
    <x v="41"/>
    <x v="0"/>
    <n v="43"/>
    <x v="0"/>
    <x v="1"/>
    <x v="0"/>
    <n v="13.4"/>
    <n v="10.9"/>
    <x v="3"/>
    <n v="4"/>
    <x v="0"/>
    <n v="81400"/>
    <n v="7900"/>
    <n v="89300"/>
    <s v="D"/>
    <d v="2012-08-14T00:00:00"/>
    <x v="0"/>
  </r>
  <r>
    <x v="42"/>
    <x v="1"/>
    <n v="29"/>
    <x v="0"/>
    <x v="0"/>
    <x v="2"/>
    <n v="13.8"/>
    <n v="10.1"/>
    <x v="3"/>
    <n v="4"/>
    <x v="1"/>
    <n v="72800"/>
    <n v="4400"/>
    <n v="77200"/>
    <s v="C"/>
    <d v="2012-03-09T00:00:00"/>
    <x v="2"/>
  </r>
  <r>
    <x v="43"/>
    <x v="0"/>
    <n v="29"/>
    <x v="4"/>
    <x v="14"/>
    <x v="2"/>
    <n v="2.8"/>
    <n v="0"/>
    <x v="0"/>
    <n v="3"/>
    <x v="0"/>
    <n v="99300"/>
    <n v="14200"/>
    <n v="113500"/>
    <s v="D"/>
    <d v="2023-03-11T00:00:00"/>
    <x v="2"/>
  </r>
  <r>
    <x v="44"/>
    <x v="0"/>
    <n v="40"/>
    <x v="5"/>
    <x v="17"/>
    <x v="2"/>
    <n v="8.4"/>
    <n v="4.7"/>
    <x v="2"/>
    <n v="3"/>
    <x v="0"/>
    <n v="111400"/>
    <n v="15900"/>
    <n v="127300"/>
    <s v="E"/>
    <d v="2017-08-20T00:00:00"/>
    <x v="2"/>
  </r>
  <r>
    <x v="45"/>
    <x v="1"/>
    <n v="26"/>
    <x v="0"/>
    <x v="2"/>
    <x v="1"/>
    <n v="6.1"/>
    <n v="5.3"/>
    <x v="2"/>
    <n v="5"/>
    <x v="0"/>
    <n v="72600"/>
    <n v="7300"/>
    <n v="79900"/>
    <s v="C"/>
    <d v="2019-12-05T00:00:00"/>
    <x v="1"/>
  </r>
  <r>
    <x v="46"/>
    <x v="1"/>
    <n v="31"/>
    <x v="0"/>
    <x v="0"/>
    <x v="2"/>
    <n v="9.1999999999999993"/>
    <n v="6"/>
    <x v="4"/>
    <n v="3"/>
    <x v="0"/>
    <n v="109100"/>
    <n v="10700"/>
    <n v="119800"/>
    <s v="E"/>
    <d v="2016-10-02T00:00:00"/>
    <x v="2"/>
  </r>
  <r>
    <x v="47"/>
    <x v="1"/>
    <n v="47"/>
    <x v="5"/>
    <x v="15"/>
    <x v="2"/>
    <n v="4.4000000000000004"/>
    <n v="2.8"/>
    <x v="1"/>
    <n v="3"/>
    <x v="2"/>
    <n v="56400"/>
    <n v="9000"/>
    <n v="65400"/>
    <s v="B"/>
    <d v="2021-08-02T00:00:00"/>
    <x v="2"/>
  </r>
  <r>
    <x v="48"/>
    <x v="0"/>
    <n v="32"/>
    <x v="0"/>
    <x v="1"/>
    <x v="2"/>
    <n v="8.6999999999999993"/>
    <n v="4.3"/>
    <x v="2"/>
    <n v="3"/>
    <x v="0"/>
    <n v="68700"/>
    <n v="4800"/>
    <n v="73500"/>
    <s v="C"/>
    <d v="2017-04-30T00:00:00"/>
    <x v="2"/>
  </r>
  <r>
    <x v="49"/>
    <x v="0"/>
    <n v="33"/>
    <x v="4"/>
    <x v="8"/>
    <x v="1"/>
    <n v="5.8"/>
    <n v="3.1"/>
    <x v="1"/>
    <n v="4"/>
    <x v="0"/>
    <n v="87500"/>
    <n v="6700"/>
    <n v="94200"/>
    <s v="D"/>
    <d v="2020-03-08T00:00:00"/>
    <x v="1"/>
  </r>
  <r>
    <x v="50"/>
    <x v="1"/>
    <n v="30"/>
    <x v="4"/>
    <x v="14"/>
    <x v="0"/>
    <n v="3.1"/>
    <n v="0"/>
    <x v="1"/>
    <n v="3"/>
    <x v="0"/>
    <n v="112800"/>
    <n v="12400"/>
    <n v="125200"/>
    <s v="E"/>
    <d v="2022-11-11T00:00:00"/>
    <x v="0"/>
  </r>
  <r>
    <x v="51"/>
    <x v="1"/>
    <n v="40"/>
    <x v="3"/>
    <x v="12"/>
    <x v="2"/>
    <n v="9.9"/>
    <n v="6.9"/>
    <x v="4"/>
    <n v="3"/>
    <x v="0"/>
    <n v="76500"/>
    <n v="4900"/>
    <n v="81400"/>
    <s v="C"/>
    <d v="2016-02-10T00:00:00"/>
    <x v="2"/>
  </r>
  <r>
    <x v="52"/>
    <x v="1"/>
    <n v="29"/>
    <x v="4"/>
    <x v="6"/>
    <x v="1"/>
    <n v="12"/>
    <n v="8.6999999999999993"/>
    <x v="3"/>
    <n v="3"/>
    <x v="0"/>
    <n v="78700"/>
    <n v="5700"/>
    <n v="84400"/>
    <s v="C"/>
    <d v="2013-12-20T00:00:00"/>
    <x v="1"/>
  </r>
  <r>
    <x v="53"/>
    <x v="0"/>
    <n v="49"/>
    <x v="3"/>
    <x v="5"/>
    <x v="2"/>
    <n v="6.7"/>
    <n v="4.4000000000000004"/>
    <x v="2"/>
    <n v="2"/>
    <x v="1"/>
    <n v="44500"/>
    <n v="2300"/>
    <n v="46800"/>
    <s v="A"/>
    <d v="2019-04-22T00:00:00"/>
    <x v="2"/>
  </r>
  <r>
    <x v="54"/>
    <x v="1"/>
    <n v="21"/>
    <x v="5"/>
    <x v="9"/>
    <x v="2"/>
    <n v="7.5"/>
    <n v="2.6"/>
    <x v="2"/>
    <n v="2"/>
    <x v="0"/>
    <n v="99700"/>
    <n v="14800"/>
    <n v="114500"/>
    <s v="D"/>
    <d v="2018-06-26T00:00:00"/>
    <x v="2"/>
  </r>
  <r>
    <x v="55"/>
    <x v="1"/>
    <n v="33"/>
    <x v="3"/>
    <x v="13"/>
    <x v="2"/>
    <n v="9.9"/>
    <n v="7.5"/>
    <x v="4"/>
    <n v="3"/>
    <x v="0"/>
    <n v="123000"/>
    <n v="10500"/>
    <n v="133500"/>
    <s v="E"/>
    <d v="2016-02-19T00:00:00"/>
    <x v="2"/>
  </r>
  <r>
    <x v="56"/>
    <x v="1"/>
    <n v="32"/>
    <x v="1"/>
    <x v="3"/>
    <x v="0"/>
    <n v="13.2"/>
    <n v="8.6"/>
    <x v="3"/>
    <n v="2"/>
    <x v="0"/>
    <n v="86400"/>
    <n v="7000"/>
    <n v="93400"/>
    <s v="D"/>
    <d v="2012-10-10T00:00:00"/>
    <x v="0"/>
  </r>
  <r>
    <x v="57"/>
    <x v="0"/>
    <n v="42"/>
    <x v="0"/>
    <x v="2"/>
    <x v="2"/>
    <n v="1.2"/>
    <n v="0"/>
    <x v="0"/>
    <n v="3"/>
    <x v="0"/>
    <n v="63800"/>
    <n v="6700"/>
    <n v="70500"/>
    <s v="B"/>
    <d v="2024-11-06T00:00:00"/>
    <x v="2"/>
  </r>
  <r>
    <x v="58"/>
    <x v="1"/>
    <n v="29"/>
    <x v="2"/>
    <x v="18"/>
    <x v="3"/>
    <n v="9.5"/>
    <n v="4.7"/>
    <x v="4"/>
    <n v="3"/>
    <x v="1"/>
    <n v="56700"/>
    <n v="5200"/>
    <n v="61900"/>
    <s v="B"/>
    <d v="2016-07-14T00:00:00"/>
    <x v="3"/>
  </r>
  <r>
    <x v="59"/>
    <x v="1"/>
    <n v="36"/>
    <x v="5"/>
    <x v="17"/>
    <x v="1"/>
    <n v="5.7"/>
    <n v="2.9"/>
    <x v="1"/>
    <n v="3"/>
    <x v="0"/>
    <n v="76800"/>
    <n v="6900"/>
    <n v="83700"/>
    <s v="C"/>
    <d v="2020-05-06T00:00:00"/>
    <x v="1"/>
  </r>
  <r>
    <x v="60"/>
    <x v="1"/>
    <n v="34"/>
    <x v="4"/>
    <x v="6"/>
    <x v="1"/>
    <n v="6.1"/>
    <n v="4.3"/>
    <x v="2"/>
    <n v="3"/>
    <x v="0"/>
    <n v="67500"/>
    <n v="6800"/>
    <n v="74300"/>
    <s v="C"/>
    <d v="2019-12-05T00:00:00"/>
    <x v="1"/>
  </r>
  <r>
    <x v="61"/>
    <x v="1"/>
    <n v="27"/>
    <x v="4"/>
    <x v="6"/>
    <x v="1"/>
    <n v="4.5999999999999996"/>
    <n v="2.7"/>
    <x v="1"/>
    <n v="3"/>
    <x v="2"/>
    <n v="57400"/>
    <n v="7300"/>
    <n v="64700"/>
    <s v="B"/>
    <d v="2021-05-09T00:00:00"/>
    <x v="1"/>
  </r>
  <r>
    <x v="62"/>
    <x v="0"/>
    <n v="48"/>
    <x v="4"/>
    <x v="8"/>
    <x v="2"/>
    <n v="9.1"/>
    <n v="4.0999999999999996"/>
    <x v="4"/>
    <n v="3"/>
    <x v="0"/>
    <n v="99300"/>
    <n v="6900"/>
    <n v="106200"/>
    <s v="D"/>
    <d v="2016-11-29T00:00:00"/>
    <x v="2"/>
  </r>
  <r>
    <x v="63"/>
    <x v="0"/>
    <n v="50"/>
    <x v="2"/>
    <x v="11"/>
    <x v="1"/>
    <n v="10.1"/>
    <n v="5.6"/>
    <x v="4"/>
    <n v="3"/>
    <x v="0"/>
    <n v="109200"/>
    <n v="10300"/>
    <n v="119500"/>
    <s v="E"/>
    <d v="2015-11-10T00:00:00"/>
    <x v="1"/>
  </r>
  <r>
    <x v="64"/>
    <x v="1"/>
    <n v="42"/>
    <x v="0"/>
    <x v="2"/>
    <x v="1"/>
    <n v="4.2"/>
    <n v="4.2"/>
    <x v="1"/>
    <n v="2"/>
    <x v="0"/>
    <n v="65700"/>
    <n v="4500"/>
    <n v="70200"/>
    <s v="C"/>
    <d v="2021-10-04T00:00:00"/>
    <x v="1"/>
  </r>
  <r>
    <x v="65"/>
    <x v="0"/>
    <n v="31"/>
    <x v="0"/>
    <x v="1"/>
    <x v="1"/>
    <n v="12"/>
    <n v="8.4"/>
    <x v="3"/>
    <n v="4"/>
    <x v="0"/>
    <n v="79500"/>
    <n v="4800"/>
    <n v="84300"/>
    <s v="C"/>
    <d v="2014-01-15T00:00:00"/>
    <x v="1"/>
  </r>
  <r>
    <x v="66"/>
    <x v="0"/>
    <n v="29"/>
    <x v="3"/>
    <x v="5"/>
    <x v="2"/>
    <n v="3.4"/>
    <n v="0"/>
    <x v="1"/>
    <n v="2"/>
    <x v="0"/>
    <n v="72100"/>
    <n v="2200"/>
    <n v="74300"/>
    <s v="C"/>
    <d v="2022-08-02T00:00:00"/>
    <x v="2"/>
  </r>
  <r>
    <x v="67"/>
    <x v="0"/>
    <n v="31"/>
    <x v="1"/>
    <x v="7"/>
    <x v="1"/>
    <n v="12.7"/>
    <n v="9.1"/>
    <x v="3"/>
    <n v="3"/>
    <x v="1"/>
    <n v="50400"/>
    <n v="4800"/>
    <n v="55200"/>
    <s v="B"/>
    <d v="2013-04-20T00:00:00"/>
    <x v="1"/>
  </r>
  <r>
    <x v="68"/>
    <x v="0"/>
    <n v="28"/>
    <x v="4"/>
    <x v="8"/>
    <x v="1"/>
    <n v="9.4"/>
    <n v="5.2"/>
    <x v="4"/>
    <n v="4"/>
    <x v="0"/>
    <n v="91100"/>
    <n v="8800"/>
    <n v="99900"/>
    <s v="D"/>
    <d v="2016-07-29T00:00:00"/>
    <x v="1"/>
  </r>
  <r>
    <x v="69"/>
    <x v="1"/>
    <n v="37"/>
    <x v="5"/>
    <x v="15"/>
    <x v="1"/>
    <n v="6.1"/>
    <n v="4.7"/>
    <x v="2"/>
    <n v="3"/>
    <x v="1"/>
    <n v="30900"/>
    <n v="4600"/>
    <n v="35500"/>
    <s v="A"/>
    <d v="2019-11-19T00:00:00"/>
    <x v="1"/>
  </r>
  <r>
    <x v="70"/>
    <x v="0"/>
    <n v="34"/>
    <x v="2"/>
    <x v="18"/>
    <x v="1"/>
    <n v="3.4"/>
    <n v="1.4"/>
    <x v="1"/>
    <n v="3"/>
    <x v="0"/>
    <n v="60300"/>
    <n v="2800"/>
    <n v="63100"/>
    <s v="B"/>
    <d v="2022-08-11T00:00:00"/>
    <x v="1"/>
  </r>
  <r>
    <x v="71"/>
    <x v="1"/>
    <n v="34"/>
    <x v="1"/>
    <x v="10"/>
    <x v="2"/>
    <n v="13.5"/>
    <n v="7.3"/>
    <x v="3"/>
    <n v="2"/>
    <x v="0"/>
    <n v="111300"/>
    <n v="13100"/>
    <n v="124400"/>
    <s v="E"/>
    <d v="2012-07-06T00:00:00"/>
    <x v="2"/>
  </r>
  <r>
    <x v="72"/>
    <x v="0"/>
    <n v="37"/>
    <x v="4"/>
    <x v="16"/>
    <x v="0"/>
    <n v="1.3"/>
    <n v="0"/>
    <x v="0"/>
    <n v="3"/>
    <x v="0"/>
    <n v="91300"/>
    <n v="6200"/>
    <n v="97500"/>
    <s v="D"/>
    <d v="2024-09-09T00:00:00"/>
    <x v="0"/>
  </r>
  <r>
    <x v="73"/>
    <x v="0"/>
    <n v="39"/>
    <x v="5"/>
    <x v="15"/>
    <x v="1"/>
    <n v="12.8"/>
    <n v="6.6"/>
    <x v="3"/>
    <n v="3"/>
    <x v="0"/>
    <n v="75900"/>
    <n v="12000"/>
    <n v="87900"/>
    <s v="C"/>
    <d v="2013-03-12T00:00:00"/>
    <x v="1"/>
  </r>
  <r>
    <x v="74"/>
    <x v="0"/>
    <n v="31"/>
    <x v="1"/>
    <x v="10"/>
    <x v="1"/>
    <n v="11.3"/>
    <n v="7.8"/>
    <x v="4"/>
    <n v="3"/>
    <x v="0"/>
    <n v="106700"/>
    <n v="11900"/>
    <n v="118600"/>
    <s v="E"/>
    <d v="2014-08-31T00:00:00"/>
    <x v="1"/>
  </r>
  <r>
    <x v="75"/>
    <x v="1"/>
    <n v="42"/>
    <x v="0"/>
    <x v="2"/>
    <x v="1"/>
    <n v="12.4"/>
    <n v="9.6999999999999993"/>
    <x v="3"/>
    <n v="4"/>
    <x v="2"/>
    <n v="68600"/>
    <n v="7700"/>
    <n v="76300"/>
    <s v="C"/>
    <d v="2013-08-17T00:00:00"/>
    <x v="1"/>
  </r>
  <r>
    <x v="76"/>
    <x v="0"/>
    <n v="32"/>
    <x v="4"/>
    <x v="14"/>
    <x v="1"/>
    <n v="7.7"/>
    <n v="4.8"/>
    <x v="2"/>
    <n v="3"/>
    <x v="0"/>
    <n v="113500"/>
    <n v="9400"/>
    <n v="122900"/>
    <s v="E"/>
    <d v="2018-04-21T00:00:00"/>
    <x v="1"/>
  </r>
  <r>
    <x v="77"/>
    <x v="0"/>
    <n v="32"/>
    <x v="3"/>
    <x v="13"/>
    <x v="1"/>
    <n v="8.5"/>
    <n v="6.2"/>
    <x v="2"/>
    <n v="2"/>
    <x v="0"/>
    <n v="100800"/>
    <n v="4100"/>
    <n v="104900"/>
    <s v="E"/>
    <d v="2017-07-11T00:00:00"/>
    <x v="1"/>
  </r>
  <r>
    <x v="78"/>
    <x v="1"/>
    <n v="47"/>
    <x v="3"/>
    <x v="5"/>
    <x v="1"/>
    <n v="5.7"/>
    <n v="5.3"/>
    <x v="1"/>
    <n v="3"/>
    <x v="0"/>
    <n v="85300"/>
    <n v="2900"/>
    <n v="88200"/>
    <s v="D"/>
    <d v="2020-04-27T00:00:00"/>
    <x v="1"/>
  </r>
  <r>
    <x v="79"/>
    <x v="0"/>
    <n v="38"/>
    <x v="5"/>
    <x v="9"/>
    <x v="1"/>
    <n v="10.4"/>
    <n v="5.6"/>
    <x v="4"/>
    <n v="4"/>
    <x v="0"/>
    <n v="107600"/>
    <n v="18200"/>
    <n v="125800"/>
    <s v="E"/>
    <d v="2015-07-22T00:00:00"/>
    <x v="1"/>
  </r>
  <r>
    <x v="80"/>
    <x v="0"/>
    <n v="48"/>
    <x v="4"/>
    <x v="16"/>
    <x v="2"/>
    <n v="3.1"/>
    <n v="1.2"/>
    <x v="1"/>
    <n v="3"/>
    <x v="2"/>
    <n v="76700"/>
    <n v="7800"/>
    <n v="84500"/>
    <s v="C"/>
    <d v="2022-12-02T00:00:00"/>
    <x v="2"/>
  </r>
  <r>
    <x v="81"/>
    <x v="0"/>
    <n v="51"/>
    <x v="0"/>
    <x v="0"/>
    <x v="0"/>
    <n v="7"/>
    <n v="5.9"/>
    <x v="2"/>
    <n v="3"/>
    <x v="0"/>
    <n v="94500"/>
    <n v="9500"/>
    <n v="104000"/>
    <s v="D"/>
    <d v="2018-12-31T00:00:00"/>
    <x v="0"/>
  </r>
  <r>
    <x v="82"/>
    <x v="0"/>
    <n v="38"/>
    <x v="2"/>
    <x v="18"/>
    <x v="1"/>
    <n v="8.4"/>
    <n v="4.5"/>
    <x v="2"/>
    <n v="3"/>
    <x v="0"/>
    <n v="74400"/>
    <n v="3000"/>
    <n v="77400"/>
    <s v="C"/>
    <d v="2017-08-16T00:00:00"/>
    <x v="1"/>
  </r>
  <r>
    <x v="83"/>
    <x v="0"/>
    <n v="21"/>
    <x v="0"/>
    <x v="0"/>
    <x v="1"/>
    <n v="7.7"/>
    <n v="3.9"/>
    <x v="2"/>
    <n v="3"/>
    <x v="0"/>
    <n v="98300"/>
    <n v="7300"/>
    <n v="105600"/>
    <s v="D"/>
    <d v="2018-04-27T00:00:00"/>
    <x v="1"/>
  </r>
  <r>
    <x v="84"/>
    <x v="0"/>
    <n v="39"/>
    <x v="4"/>
    <x v="16"/>
    <x v="0"/>
    <n v="12.7"/>
    <n v="10.7"/>
    <x v="3"/>
    <n v="3"/>
    <x v="0"/>
    <n v="97600"/>
    <n v="9100"/>
    <n v="106700"/>
    <s v="D"/>
    <d v="2013-04-25T00:00:00"/>
    <x v="0"/>
  </r>
  <r>
    <x v="85"/>
    <x v="1"/>
    <n v="21"/>
    <x v="3"/>
    <x v="13"/>
    <x v="2"/>
    <n v="1.9"/>
    <n v="0.3"/>
    <x v="0"/>
    <n v="4"/>
    <x v="0"/>
    <n v="89800"/>
    <n v="6800"/>
    <n v="96600"/>
    <s v="D"/>
    <d v="2024-01-29T00:00:00"/>
    <x v="2"/>
  </r>
  <r>
    <x v="86"/>
    <x v="0"/>
    <n v="37"/>
    <x v="1"/>
    <x v="3"/>
    <x v="0"/>
    <n v="6.9"/>
    <n v="5.4"/>
    <x v="2"/>
    <n v="4"/>
    <x v="0"/>
    <n v="75300"/>
    <n v="5700"/>
    <n v="81000"/>
    <s v="C"/>
    <d v="2019-01-21T00:00:00"/>
    <x v="0"/>
  </r>
  <r>
    <x v="87"/>
    <x v="1"/>
    <n v="47"/>
    <x v="1"/>
    <x v="10"/>
    <x v="2"/>
    <n v="12.5"/>
    <n v="8.4"/>
    <x v="3"/>
    <n v="4"/>
    <x v="0"/>
    <n v="138500"/>
    <n v="7200"/>
    <n v="145700"/>
    <s v="E"/>
    <d v="2013-07-07T00:00:00"/>
    <x v="2"/>
  </r>
  <r>
    <x v="88"/>
    <x v="0"/>
    <n v="42"/>
    <x v="5"/>
    <x v="9"/>
    <x v="1"/>
    <n v="11.1"/>
    <n v="7"/>
    <x v="4"/>
    <n v="4"/>
    <x v="0"/>
    <n v="114500"/>
    <n v="13500"/>
    <n v="128000"/>
    <s v="E"/>
    <d v="2014-11-16T00:00:00"/>
    <x v="1"/>
  </r>
  <r>
    <x v="89"/>
    <x v="1"/>
    <n v="37"/>
    <x v="1"/>
    <x v="3"/>
    <x v="1"/>
    <n v="7.2"/>
    <n v="2.8"/>
    <x v="2"/>
    <n v="4"/>
    <x v="2"/>
    <n v="60500"/>
    <n v="2500"/>
    <n v="63000"/>
    <s v="B"/>
    <d v="2018-10-28T00:00:00"/>
    <x v="1"/>
  </r>
  <r>
    <x v="90"/>
    <x v="0"/>
    <n v="43"/>
    <x v="3"/>
    <x v="13"/>
    <x v="2"/>
    <n v="4.3"/>
    <n v="1.9"/>
    <x v="1"/>
    <n v="4"/>
    <x v="0"/>
    <n v="109900"/>
    <n v="6300"/>
    <n v="116200"/>
    <s v="E"/>
    <d v="2021-08-31T00:00:00"/>
    <x v="2"/>
  </r>
  <r>
    <x v="91"/>
    <x v="0"/>
    <n v="43"/>
    <x v="1"/>
    <x v="7"/>
    <x v="3"/>
    <n v="11.5"/>
    <n v="7.1"/>
    <x v="4"/>
    <n v="3"/>
    <x v="2"/>
    <n v="78900"/>
    <n v="7000"/>
    <n v="85900"/>
    <s v="C"/>
    <d v="2014-06-20T00:00:00"/>
    <x v="3"/>
  </r>
  <r>
    <x v="92"/>
    <x v="0"/>
    <n v="24"/>
    <x v="5"/>
    <x v="17"/>
    <x v="2"/>
    <n v="7.4"/>
    <n v="4.5999999999999996"/>
    <x v="2"/>
    <n v="3"/>
    <x v="0"/>
    <n v="115200"/>
    <n v="17500"/>
    <n v="132700"/>
    <s v="E"/>
    <d v="2018-07-24T00:00:00"/>
    <x v="2"/>
  </r>
  <r>
    <x v="93"/>
    <x v="0"/>
    <n v="34"/>
    <x v="3"/>
    <x v="12"/>
    <x v="4"/>
    <n v="8.1999999999999993"/>
    <n v="5.8"/>
    <x v="2"/>
    <n v="4"/>
    <x v="1"/>
    <n v="45200"/>
    <n v="2000"/>
    <n v="47200"/>
    <s v="A"/>
    <d v="2017-10-20T00:00:00"/>
    <x v="4"/>
  </r>
  <r>
    <x v="94"/>
    <x v="0"/>
    <n v="34"/>
    <x v="5"/>
    <x v="9"/>
    <x v="2"/>
    <n v="9.3000000000000007"/>
    <n v="5.6"/>
    <x v="4"/>
    <n v="3"/>
    <x v="1"/>
    <n v="64000"/>
    <n v="11300"/>
    <n v="75300"/>
    <s v="B"/>
    <d v="2016-09-08T00:00:00"/>
    <x v="2"/>
  </r>
  <r>
    <x v="95"/>
    <x v="0"/>
    <n v="56"/>
    <x v="1"/>
    <x v="10"/>
    <x v="1"/>
    <n v="10.8"/>
    <n v="6.7"/>
    <x v="4"/>
    <n v="3"/>
    <x v="0"/>
    <n v="101400"/>
    <n v="10700"/>
    <n v="112100"/>
    <s v="E"/>
    <d v="2015-03-22T00:00:00"/>
    <x v="1"/>
  </r>
  <r>
    <x v="96"/>
    <x v="1"/>
    <n v="38"/>
    <x v="3"/>
    <x v="13"/>
    <x v="2"/>
    <n v="6.6"/>
    <n v="2.8"/>
    <x v="2"/>
    <n v="3"/>
    <x v="0"/>
    <n v="99200"/>
    <n v="4100"/>
    <n v="103300"/>
    <s v="D"/>
    <d v="2019-05-12T00:00:00"/>
    <x v="2"/>
  </r>
  <r>
    <x v="97"/>
    <x v="0"/>
    <n v="51"/>
    <x v="1"/>
    <x v="10"/>
    <x v="3"/>
    <n v="7.3"/>
    <n v="3.8"/>
    <x v="2"/>
    <n v="4"/>
    <x v="0"/>
    <n v="112100"/>
    <n v="12900"/>
    <n v="125000"/>
    <s v="E"/>
    <d v="2018-09-15T00:00:00"/>
    <x v="3"/>
  </r>
  <r>
    <x v="98"/>
    <x v="0"/>
    <n v="44"/>
    <x v="2"/>
    <x v="11"/>
    <x v="0"/>
    <n v="13.4"/>
    <n v="9.6999999999999993"/>
    <x v="3"/>
    <n v="3"/>
    <x v="1"/>
    <n v="65800"/>
    <n v="5300"/>
    <n v="71100"/>
    <s v="C"/>
    <d v="2012-07-25T00:00:00"/>
    <x v="0"/>
  </r>
  <r>
    <x v="99"/>
    <x v="0"/>
    <n v="44"/>
    <x v="2"/>
    <x v="18"/>
    <x v="3"/>
    <n v="6.9"/>
    <n v="4.7"/>
    <x v="2"/>
    <n v="4"/>
    <x v="0"/>
    <n v="78400"/>
    <n v="4400"/>
    <n v="82800"/>
    <s v="C"/>
    <d v="2019-02-07T00:00:00"/>
    <x v="3"/>
  </r>
  <r>
    <x v="100"/>
    <x v="0"/>
    <n v="36"/>
    <x v="5"/>
    <x v="17"/>
    <x v="1"/>
    <n v="1.6"/>
    <n v="1.6"/>
    <x v="0"/>
    <n v="2"/>
    <x v="0"/>
    <n v="97600"/>
    <n v="14000"/>
    <n v="111600"/>
    <s v="D"/>
    <d v="2024-05-29T00:00:00"/>
    <x v="1"/>
  </r>
  <r>
    <x v="101"/>
    <x v="0"/>
    <n v="28"/>
    <x v="0"/>
    <x v="0"/>
    <x v="2"/>
    <n v="4.5999999999999996"/>
    <n v="4.5999999999999996"/>
    <x v="1"/>
    <n v="1"/>
    <x v="0"/>
    <n v="90600"/>
    <n v="6100"/>
    <n v="96700"/>
    <s v="D"/>
    <d v="2021-06-09T00:00:00"/>
    <x v="2"/>
  </r>
  <r>
    <x v="102"/>
    <x v="0"/>
    <n v="38"/>
    <x v="0"/>
    <x v="2"/>
    <x v="3"/>
    <n v="8.8000000000000007"/>
    <n v="4.5"/>
    <x v="2"/>
    <n v="3"/>
    <x v="0"/>
    <n v="80000"/>
    <n v="6400"/>
    <n v="86400"/>
    <s v="D"/>
    <d v="2017-03-28T00:00:00"/>
    <x v="3"/>
  </r>
  <r>
    <x v="103"/>
    <x v="1"/>
    <n v="41"/>
    <x v="2"/>
    <x v="11"/>
    <x v="2"/>
    <n v="4.5"/>
    <n v="3.9"/>
    <x v="1"/>
    <n v="1"/>
    <x v="1"/>
    <n v="50900"/>
    <n v="3400"/>
    <n v="54300"/>
    <s v="B"/>
    <d v="2021-06-17T00:00:00"/>
    <x v="2"/>
  </r>
  <r>
    <x v="104"/>
    <x v="1"/>
    <n v="46"/>
    <x v="5"/>
    <x v="9"/>
    <x v="2"/>
    <n v="5.7"/>
    <n v="3.5"/>
    <x v="1"/>
    <n v="3"/>
    <x v="1"/>
    <n v="70800"/>
    <n v="14600"/>
    <n v="85400"/>
    <s v="C"/>
    <d v="2020-04-15T00:00:00"/>
    <x v="2"/>
  </r>
  <r>
    <x v="105"/>
    <x v="1"/>
    <n v="40"/>
    <x v="1"/>
    <x v="7"/>
    <x v="0"/>
    <n v="10.4"/>
    <n v="9.1999999999999993"/>
    <x v="4"/>
    <n v="5"/>
    <x v="0"/>
    <n v="83100"/>
    <n v="4600"/>
    <n v="87700"/>
    <s v="D"/>
    <d v="2015-08-04T00:00:00"/>
    <x v="0"/>
  </r>
  <r>
    <x v="106"/>
    <x v="1"/>
    <n v="44"/>
    <x v="4"/>
    <x v="8"/>
    <x v="1"/>
    <n v="11.7"/>
    <n v="9"/>
    <x v="4"/>
    <n v="4"/>
    <x v="0"/>
    <n v="99100"/>
    <n v="13600"/>
    <n v="112700"/>
    <s v="D"/>
    <d v="2014-05-06T00:00:00"/>
    <x v="1"/>
  </r>
  <r>
    <x v="107"/>
    <x v="1"/>
    <n v="37"/>
    <x v="1"/>
    <x v="3"/>
    <x v="1"/>
    <n v="6.5"/>
    <n v="3.5"/>
    <x v="2"/>
    <n v="4"/>
    <x v="0"/>
    <n v="80700"/>
    <n v="6900"/>
    <n v="87600"/>
    <s v="D"/>
    <d v="2019-07-10T00:00:00"/>
    <x v="1"/>
  </r>
  <r>
    <x v="108"/>
    <x v="0"/>
    <n v="28"/>
    <x v="5"/>
    <x v="15"/>
    <x v="1"/>
    <n v="10.6"/>
    <n v="7.4"/>
    <x v="4"/>
    <n v="3"/>
    <x v="0"/>
    <n v="75200"/>
    <n v="11200"/>
    <n v="86400"/>
    <s v="C"/>
    <d v="2015-06-10T00:00:00"/>
    <x v="1"/>
  </r>
  <r>
    <x v="109"/>
    <x v="1"/>
    <n v="29"/>
    <x v="4"/>
    <x v="8"/>
    <x v="2"/>
    <n v="12.4"/>
    <n v="8.3000000000000007"/>
    <x v="3"/>
    <n v="3"/>
    <x v="0"/>
    <n v="82300"/>
    <n v="7800"/>
    <n v="90100"/>
    <s v="D"/>
    <d v="2013-08-15T00:00:00"/>
    <x v="2"/>
  </r>
  <r>
    <x v="110"/>
    <x v="0"/>
    <n v="36"/>
    <x v="4"/>
    <x v="14"/>
    <x v="1"/>
    <n v="8.8000000000000007"/>
    <n v="7.4"/>
    <x v="2"/>
    <n v="3"/>
    <x v="0"/>
    <n v="116100"/>
    <n v="7700"/>
    <n v="123800"/>
    <s v="E"/>
    <d v="2017-03-12T00:00:00"/>
    <x v="1"/>
  </r>
  <r>
    <x v="111"/>
    <x v="0"/>
    <n v="35"/>
    <x v="3"/>
    <x v="13"/>
    <x v="1"/>
    <n v="8.1999999999999993"/>
    <n v="5.8"/>
    <x v="2"/>
    <n v="3"/>
    <x v="1"/>
    <n v="58900"/>
    <n v="2900"/>
    <n v="61800"/>
    <s v="B"/>
    <d v="2017-10-10T00:00:00"/>
    <x v="1"/>
  </r>
  <r>
    <x v="112"/>
    <x v="1"/>
    <n v="37"/>
    <x v="3"/>
    <x v="13"/>
    <x v="1"/>
    <n v="12.8"/>
    <n v="9.1"/>
    <x v="3"/>
    <n v="3"/>
    <x v="0"/>
    <n v="120500"/>
    <n v="8600"/>
    <n v="129100"/>
    <s v="E"/>
    <d v="2013-03-18T00:00:00"/>
    <x v="1"/>
  </r>
  <r>
    <x v="113"/>
    <x v="1"/>
    <n v="42"/>
    <x v="0"/>
    <x v="2"/>
    <x v="2"/>
    <n v="1.3"/>
    <n v="1"/>
    <x v="0"/>
    <n v="1"/>
    <x v="0"/>
    <n v="65200"/>
    <n v="6400"/>
    <n v="71600"/>
    <s v="C"/>
    <d v="2024-09-17T00:00:00"/>
    <x v="2"/>
  </r>
  <r>
    <x v="114"/>
    <x v="0"/>
    <n v="30"/>
    <x v="4"/>
    <x v="6"/>
    <x v="2"/>
    <n v="1.5"/>
    <n v="1.5"/>
    <x v="0"/>
    <n v="3"/>
    <x v="0"/>
    <n v="69900"/>
    <n v="8000"/>
    <n v="77900"/>
    <s v="C"/>
    <d v="2024-06-22T00:00:00"/>
    <x v="2"/>
  </r>
  <r>
    <x v="115"/>
    <x v="1"/>
    <n v="26"/>
    <x v="5"/>
    <x v="17"/>
    <x v="2"/>
    <n v="13.3"/>
    <n v="8.9"/>
    <x v="3"/>
    <n v="1"/>
    <x v="0"/>
    <n v="104100"/>
    <n v="21000"/>
    <n v="125100"/>
    <s v="E"/>
    <d v="2012-08-28T00:00:00"/>
    <x v="2"/>
  </r>
  <r>
    <x v="116"/>
    <x v="0"/>
    <n v="32"/>
    <x v="1"/>
    <x v="10"/>
    <x v="2"/>
    <n v="11.1"/>
    <n v="8.6999999999999993"/>
    <x v="4"/>
    <n v="3"/>
    <x v="1"/>
    <n v="67300"/>
    <n v="8000"/>
    <n v="75300"/>
    <s v="C"/>
    <d v="2014-11-23T00:00:00"/>
    <x v="2"/>
  </r>
  <r>
    <x v="117"/>
    <x v="1"/>
    <n v="24"/>
    <x v="1"/>
    <x v="10"/>
    <x v="1"/>
    <n v="2.5"/>
    <n v="0"/>
    <x v="0"/>
    <n v="4"/>
    <x v="0"/>
    <n v="100000"/>
    <n v="11700"/>
    <n v="111700"/>
    <s v="E"/>
    <d v="2023-06-26T00:00:00"/>
    <x v="1"/>
  </r>
  <r>
    <x v="118"/>
    <x v="0"/>
    <n v="30"/>
    <x v="1"/>
    <x v="7"/>
    <x v="1"/>
    <n v="2"/>
    <n v="1.9"/>
    <x v="0"/>
    <n v="3"/>
    <x v="0"/>
    <n v="71400"/>
    <n v="6600"/>
    <n v="78000"/>
    <s v="C"/>
    <d v="2023-12-28T00:00:00"/>
    <x v="1"/>
  </r>
  <r>
    <x v="119"/>
    <x v="0"/>
    <n v="46"/>
    <x v="5"/>
    <x v="15"/>
    <x v="1"/>
    <n v="11.5"/>
    <n v="8.3000000000000007"/>
    <x v="4"/>
    <n v="2"/>
    <x v="1"/>
    <n v="44200"/>
    <n v="6700"/>
    <n v="50900"/>
    <s v="A"/>
    <d v="2014-07-02T00:00:00"/>
    <x v="1"/>
  </r>
  <r>
    <x v="120"/>
    <x v="1"/>
    <n v="38"/>
    <x v="2"/>
    <x v="18"/>
    <x v="1"/>
    <n v="10.199999999999999"/>
    <n v="7.7"/>
    <x v="4"/>
    <n v="4"/>
    <x v="2"/>
    <n v="61800"/>
    <n v="4900"/>
    <n v="66700"/>
    <s v="B"/>
    <d v="2015-10-18T00:00:00"/>
    <x v="1"/>
  </r>
  <r>
    <x v="121"/>
    <x v="0"/>
    <n v="42"/>
    <x v="2"/>
    <x v="11"/>
    <x v="0"/>
    <n v="9.1999999999999993"/>
    <n v="7.2"/>
    <x v="4"/>
    <n v="4"/>
    <x v="0"/>
    <n v="95700"/>
    <n v="4300"/>
    <n v="100000"/>
    <s v="D"/>
    <d v="2016-10-30T00:00:00"/>
    <x v="0"/>
  </r>
  <r>
    <x v="122"/>
    <x v="1"/>
    <n v="33"/>
    <x v="3"/>
    <x v="5"/>
    <x v="1"/>
    <n v="4.0999999999999996"/>
    <n v="1.1000000000000001"/>
    <x v="1"/>
    <n v="4"/>
    <x v="0"/>
    <n v="78600"/>
    <n v="4000"/>
    <n v="82600"/>
    <s v="C"/>
    <d v="2021-12-02T00:00:00"/>
    <x v="1"/>
  </r>
  <r>
    <x v="123"/>
    <x v="0"/>
    <n v="41"/>
    <x v="0"/>
    <x v="2"/>
    <x v="2"/>
    <n v="10.1"/>
    <n v="5.8"/>
    <x v="4"/>
    <n v="4"/>
    <x v="0"/>
    <n v="72400"/>
    <n v="6800"/>
    <n v="79200"/>
    <s v="C"/>
    <d v="2015-11-18T00:00:00"/>
    <x v="2"/>
  </r>
  <r>
    <x v="124"/>
    <x v="0"/>
    <n v="28"/>
    <x v="0"/>
    <x v="0"/>
    <x v="0"/>
    <n v="3.8"/>
    <n v="2.7"/>
    <x v="1"/>
    <n v="4"/>
    <x v="0"/>
    <n v="89800"/>
    <n v="6800"/>
    <n v="96600"/>
    <s v="D"/>
    <d v="2022-03-06T00:00:00"/>
    <x v="0"/>
  </r>
  <r>
    <x v="125"/>
    <x v="0"/>
    <n v="36"/>
    <x v="4"/>
    <x v="14"/>
    <x v="1"/>
    <n v="12.7"/>
    <n v="8.5"/>
    <x v="3"/>
    <n v="2"/>
    <x v="0"/>
    <n v="113500"/>
    <n v="7900"/>
    <n v="121400"/>
    <s v="E"/>
    <d v="2013-04-11T00:00:00"/>
    <x v="1"/>
  </r>
  <r>
    <x v="126"/>
    <x v="0"/>
    <n v="37"/>
    <x v="3"/>
    <x v="12"/>
    <x v="1"/>
    <n v="11.7"/>
    <n v="8.6"/>
    <x v="4"/>
    <n v="3"/>
    <x v="0"/>
    <n v="82900"/>
    <n v="2600"/>
    <n v="85500"/>
    <s v="D"/>
    <d v="2014-04-08T00:00:00"/>
    <x v="1"/>
  </r>
  <r>
    <x v="127"/>
    <x v="0"/>
    <n v="44"/>
    <x v="5"/>
    <x v="17"/>
    <x v="2"/>
    <n v="5.6"/>
    <n v="5.6"/>
    <x v="1"/>
    <n v="4"/>
    <x v="0"/>
    <n v="115200"/>
    <n v="11800"/>
    <n v="127000"/>
    <s v="E"/>
    <d v="2020-05-24T00:00:00"/>
    <x v="2"/>
  </r>
  <r>
    <x v="128"/>
    <x v="1"/>
    <n v="31"/>
    <x v="2"/>
    <x v="4"/>
    <x v="1"/>
    <n v="6.4"/>
    <n v="6.4"/>
    <x v="2"/>
    <n v="2"/>
    <x v="0"/>
    <n v="66200"/>
    <n v="5300"/>
    <n v="71500"/>
    <s v="C"/>
    <d v="2019-08-19T00:00:00"/>
    <x v="1"/>
  </r>
  <r>
    <x v="129"/>
    <x v="1"/>
    <n v="52"/>
    <x v="4"/>
    <x v="8"/>
    <x v="0"/>
    <n v="5.5"/>
    <n v="1.6"/>
    <x v="1"/>
    <n v="4"/>
    <x v="0"/>
    <n v="70600"/>
    <n v="6800"/>
    <n v="77400"/>
    <s v="C"/>
    <d v="2020-07-20T00:00:00"/>
    <x v="0"/>
  </r>
  <r>
    <x v="130"/>
    <x v="1"/>
    <n v="33"/>
    <x v="1"/>
    <x v="3"/>
    <x v="1"/>
    <n v="6"/>
    <n v="5.0999999999999996"/>
    <x v="2"/>
    <n v="2"/>
    <x v="0"/>
    <n v="64700"/>
    <n v="6100"/>
    <n v="70800"/>
    <s v="B"/>
    <d v="2019-12-19T00:00:00"/>
    <x v="1"/>
  </r>
  <r>
    <x v="131"/>
    <x v="1"/>
    <n v="25"/>
    <x v="0"/>
    <x v="0"/>
    <x v="2"/>
    <n v="12.1"/>
    <n v="5.4"/>
    <x v="3"/>
    <n v="3"/>
    <x v="0"/>
    <n v="124000"/>
    <n v="9900"/>
    <n v="133900"/>
    <s v="E"/>
    <d v="2013-12-08T00:00:00"/>
    <x v="2"/>
  </r>
  <r>
    <x v="132"/>
    <x v="1"/>
    <n v="43"/>
    <x v="0"/>
    <x v="1"/>
    <x v="2"/>
    <n v="6.6"/>
    <n v="2.2999999999999998"/>
    <x v="2"/>
    <n v="4"/>
    <x v="0"/>
    <n v="73300"/>
    <n v="9000"/>
    <n v="82300"/>
    <s v="C"/>
    <d v="2019-05-25T00:00:00"/>
    <x v="2"/>
  </r>
  <r>
    <x v="133"/>
    <x v="1"/>
    <n v="40"/>
    <x v="5"/>
    <x v="15"/>
    <x v="0"/>
    <n v="2.8"/>
    <n v="0.3"/>
    <x v="0"/>
    <n v="2"/>
    <x v="0"/>
    <n v="54100"/>
    <n v="8000"/>
    <n v="62100"/>
    <s v="B"/>
    <d v="2023-03-14T00:00:00"/>
    <x v="0"/>
  </r>
  <r>
    <x v="134"/>
    <x v="1"/>
    <n v="35"/>
    <x v="2"/>
    <x v="11"/>
    <x v="1"/>
    <n v="8.6"/>
    <n v="3.5"/>
    <x v="2"/>
    <n v="3"/>
    <x v="2"/>
    <n v="72600"/>
    <n v="3800"/>
    <n v="76400"/>
    <s v="C"/>
    <d v="2017-06-05T00:00:00"/>
    <x v="1"/>
  </r>
  <r>
    <x v="135"/>
    <x v="1"/>
    <n v="38"/>
    <x v="3"/>
    <x v="5"/>
    <x v="1"/>
    <n v="7"/>
    <n v="3.6"/>
    <x v="2"/>
    <n v="4"/>
    <x v="0"/>
    <n v="83000"/>
    <n v="2700"/>
    <n v="85700"/>
    <s v="D"/>
    <d v="2019-01-12T00:00:00"/>
    <x v="1"/>
  </r>
  <r>
    <x v="136"/>
    <x v="1"/>
    <n v="23"/>
    <x v="5"/>
    <x v="15"/>
    <x v="2"/>
    <n v="7.9"/>
    <n v="6.3"/>
    <x v="2"/>
    <n v="2"/>
    <x v="0"/>
    <n v="67200"/>
    <n v="5800"/>
    <n v="73000"/>
    <s v="C"/>
    <d v="2018-01-24T00:00:00"/>
    <x v="2"/>
  </r>
  <r>
    <x v="137"/>
    <x v="1"/>
    <n v="33"/>
    <x v="1"/>
    <x v="7"/>
    <x v="1"/>
    <n v="11.2"/>
    <n v="7.4"/>
    <x v="4"/>
    <n v="1"/>
    <x v="0"/>
    <n v="83300"/>
    <n v="7600"/>
    <n v="90900"/>
    <s v="D"/>
    <d v="2014-10-17T00:00:00"/>
    <x v="1"/>
  </r>
  <r>
    <x v="138"/>
    <x v="1"/>
    <n v="27"/>
    <x v="3"/>
    <x v="12"/>
    <x v="1"/>
    <n v="5.6"/>
    <n v="3.2"/>
    <x v="1"/>
    <n v="5"/>
    <x v="0"/>
    <n v="69400"/>
    <n v="3700"/>
    <n v="73100"/>
    <s v="C"/>
    <d v="2020-06-13T00:00:00"/>
    <x v="1"/>
  </r>
  <r>
    <x v="139"/>
    <x v="1"/>
    <n v="36"/>
    <x v="2"/>
    <x v="18"/>
    <x v="0"/>
    <n v="3.6"/>
    <n v="3.6"/>
    <x v="1"/>
    <n v="2"/>
    <x v="0"/>
    <n v="70300"/>
    <n v="3400"/>
    <n v="73700"/>
    <s v="C"/>
    <d v="2022-05-09T00:00:00"/>
    <x v="0"/>
  </r>
  <r>
    <x v="140"/>
    <x v="0"/>
    <n v="39"/>
    <x v="3"/>
    <x v="12"/>
    <x v="2"/>
    <n v="11"/>
    <n v="7.7"/>
    <x v="4"/>
    <n v="3"/>
    <x v="0"/>
    <n v="90800"/>
    <n v="7600"/>
    <n v="98400"/>
    <s v="D"/>
    <d v="2015-01-04T00:00:00"/>
    <x v="2"/>
  </r>
  <r>
    <x v="141"/>
    <x v="0"/>
    <n v="44"/>
    <x v="4"/>
    <x v="14"/>
    <x v="2"/>
    <n v="5.0999999999999996"/>
    <n v="3.9"/>
    <x v="1"/>
    <n v="3"/>
    <x v="0"/>
    <n v="99800"/>
    <n v="7400"/>
    <n v="107200"/>
    <s v="D"/>
    <d v="2020-12-09T00:00:00"/>
    <x v="2"/>
  </r>
  <r>
    <x v="142"/>
    <x v="0"/>
    <n v="23"/>
    <x v="1"/>
    <x v="10"/>
    <x v="1"/>
    <n v="3.7"/>
    <n v="0"/>
    <x v="1"/>
    <n v="3"/>
    <x v="0"/>
    <n v="97200"/>
    <n v="10400"/>
    <n v="107600"/>
    <s v="D"/>
    <d v="2022-04-11T00:00:00"/>
    <x v="1"/>
  </r>
  <r>
    <x v="143"/>
    <x v="1"/>
    <n v="41"/>
    <x v="0"/>
    <x v="0"/>
    <x v="0"/>
    <n v="8.9"/>
    <n v="4.9000000000000004"/>
    <x v="2"/>
    <n v="3"/>
    <x v="0"/>
    <n v="106700"/>
    <n v="7700"/>
    <n v="114400"/>
    <s v="E"/>
    <d v="2017-01-23T00:00:00"/>
    <x v="0"/>
  </r>
  <r>
    <x v="144"/>
    <x v="1"/>
    <n v="40"/>
    <x v="0"/>
    <x v="2"/>
    <x v="3"/>
    <n v="13.7"/>
    <n v="10.1"/>
    <x v="3"/>
    <n v="4"/>
    <x v="0"/>
    <n v="82200"/>
    <n v="3800"/>
    <n v="86000"/>
    <s v="D"/>
    <d v="2012-04-24T00:00:00"/>
    <x v="3"/>
  </r>
  <r>
    <x v="145"/>
    <x v="1"/>
    <n v="23"/>
    <x v="2"/>
    <x v="18"/>
    <x v="1"/>
    <n v="11.1"/>
    <n v="7"/>
    <x v="4"/>
    <n v="3"/>
    <x v="2"/>
    <n v="64300"/>
    <n v="3400"/>
    <n v="67700"/>
    <s v="B"/>
    <d v="2014-12-07T00:00:00"/>
    <x v="1"/>
  </r>
  <r>
    <x v="146"/>
    <x v="1"/>
    <n v="29"/>
    <x v="1"/>
    <x v="3"/>
    <x v="3"/>
    <n v="5"/>
    <n v="5"/>
    <x v="1"/>
    <n v="3"/>
    <x v="0"/>
    <n v="87700"/>
    <n v="8800"/>
    <n v="96500"/>
    <s v="D"/>
    <d v="2021-01-16T00:00:00"/>
    <x v="3"/>
  </r>
  <r>
    <x v="147"/>
    <x v="0"/>
    <n v="28"/>
    <x v="5"/>
    <x v="17"/>
    <x v="1"/>
    <n v="9.9"/>
    <n v="6.5"/>
    <x v="4"/>
    <n v="3"/>
    <x v="0"/>
    <n v="96800"/>
    <n v="9800"/>
    <n v="106600"/>
    <s v="D"/>
    <d v="2016-02-18T00:00:00"/>
    <x v="1"/>
  </r>
  <r>
    <x v="148"/>
    <x v="1"/>
    <n v="42"/>
    <x v="4"/>
    <x v="6"/>
    <x v="2"/>
    <n v="13.1"/>
    <n v="7.2"/>
    <x v="3"/>
    <n v="3"/>
    <x v="0"/>
    <n v="91900"/>
    <n v="7300"/>
    <n v="99200"/>
    <s v="D"/>
    <d v="2012-11-29T00:00:00"/>
    <x v="2"/>
  </r>
  <r>
    <x v="149"/>
    <x v="0"/>
    <n v="39"/>
    <x v="4"/>
    <x v="16"/>
    <x v="1"/>
    <n v="12.4"/>
    <n v="6.8"/>
    <x v="3"/>
    <n v="4"/>
    <x v="0"/>
    <n v="88800"/>
    <n v="7200"/>
    <n v="96000"/>
    <s v="D"/>
    <d v="2013-08-10T00:00:00"/>
    <x v="1"/>
  </r>
  <r>
    <x v="150"/>
    <x v="1"/>
    <n v="35"/>
    <x v="2"/>
    <x v="11"/>
    <x v="1"/>
    <n v="3.8"/>
    <n v="1.5"/>
    <x v="1"/>
    <n v="4"/>
    <x v="0"/>
    <n v="100600"/>
    <n v="8800"/>
    <n v="109400"/>
    <s v="E"/>
    <d v="2022-03-15T00:00:00"/>
    <x v="1"/>
  </r>
  <r>
    <x v="151"/>
    <x v="0"/>
    <n v="32"/>
    <x v="3"/>
    <x v="12"/>
    <x v="2"/>
    <n v="8.4"/>
    <n v="4.0999999999999996"/>
    <x v="2"/>
    <n v="1"/>
    <x v="1"/>
    <n v="43400"/>
    <n v="3700"/>
    <n v="47100"/>
    <s v="A"/>
    <d v="2017-08-03T00:00:00"/>
    <x v="2"/>
  </r>
  <r>
    <x v="152"/>
    <x v="1"/>
    <n v="30"/>
    <x v="5"/>
    <x v="15"/>
    <x v="2"/>
    <n v="11.5"/>
    <n v="7.8"/>
    <x v="4"/>
    <n v="3"/>
    <x v="0"/>
    <n v="63800"/>
    <n v="4600"/>
    <n v="68400"/>
    <s v="B"/>
    <d v="2014-06-23T00:00:00"/>
    <x v="2"/>
  </r>
  <r>
    <x v="153"/>
    <x v="0"/>
    <n v="35"/>
    <x v="3"/>
    <x v="5"/>
    <x v="2"/>
    <n v="7.4"/>
    <n v="7"/>
    <x v="2"/>
    <n v="4"/>
    <x v="0"/>
    <n v="73300"/>
    <n v="2900"/>
    <n v="76200"/>
    <s v="C"/>
    <d v="2018-08-07T00:00:00"/>
    <x v="2"/>
  </r>
  <r>
    <x v="154"/>
    <x v="0"/>
    <n v="40"/>
    <x v="0"/>
    <x v="0"/>
    <x v="3"/>
    <n v="2.7"/>
    <n v="1.6"/>
    <x v="0"/>
    <n v="4"/>
    <x v="0"/>
    <n v="102400"/>
    <n v="13700"/>
    <n v="116100"/>
    <s v="E"/>
    <d v="2023-04-25T00:00:00"/>
    <x v="3"/>
  </r>
  <r>
    <x v="155"/>
    <x v="1"/>
    <n v="29"/>
    <x v="3"/>
    <x v="5"/>
    <x v="2"/>
    <n v="9.3000000000000007"/>
    <n v="4.9000000000000004"/>
    <x v="4"/>
    <n v="4"/>
    <x v="0"/>
    <n v="80700"/>
    <n v="4100"/>
    <n v="84800"/>
    <s v="D"/>
    <d v="2016-09-30T00:00:00"/>
    <x v="2"/>
  </r>
  <r>
    <x v="156"/>
    <x v="0"/>
    <n v="51"/>
    <x v="4"/>
    <x v="8"/>
    <x v="1"/>
    <n v="1.4"/>
    <n v="0"/>
    <x v="0"/>
    <n v="5"/>
    <x v="0"/>
    <n v="73400"/>
    <n v="10000"/>
    <n v="83400"/>
    <s v="C"/>
    <d v="2024-07-21T00:00:00"/>
    <x v="1"/>
  </r>
  <r>
    <x v="157"/>
    <x v="1"/>
    <n v="67"/>
    <x v="2"/>
    <x v="4"/>
    <x v="1"/>
    <n v="13.1"/>
    <n v="8.3000000000000007"/>
    <x v="3"/>
    <n v="4"/>
    <x v="0"/>
    <n v="104200"/>
    <n v="9500"/>
    <n v="113700"/>
    <s v="E"/>
    <d v="2012-12-02T00:00:00"/>
    <x v="1"/>
  </r>
  <r>
    <x v="158"/>
    <x v="0"/>
    <n v="53"/>
    <x v="1"/>
    <x v="3"/>
    <x v="0"/>
    <n v="3.6"/>
    <n v="2.2999999999999998"/>
    <x v="1"/>
    <n v="2"/>
    <x v="0"/>
    <n v="71000"/>
    <n v="4800"/>
    <n v="75800"/>
    <s v="C"/>
    <d v="2022-06-03T00:00:00"/>
    <x v="0"/>
  </r>
  <r>
    <x v="159"/>
    <x v="0"/>
    <n v="28"/>
    <x v="3"/>
    <x v="13"/>
    <x v="1"/>
    <n v="3.8"/>
    <n v="0.4"/>
    <x v="1"/>
    <n v="5"/>
    <x v="0"/>
    <n v="99700"/>
    <n v="7500"/>
    <n v="107200"/>
    <s v="D"/>
    <d v="2022-03-27T00:00:00"/>
    <x v="1"/>
  </r>
  <r>
    <x v="160"/>
    <x v="1"/>
    <n v="32"/>
    <x v="3"/>
    <x v="5"/>
    <x v="2"/>
    <n v="10.9"/>
    <n v="5.6"/>
    <x v="4"/>
    <n v="3"/>
    <x v="2"/>
    <n v="68200"/>
    <n v="2900"/>
    <n v="71100"/>
    <s v="C"/>
    <d v="2015-02-10T00:00:00"/>
    <x v="2"/>
  </r>
  <r>
    <x v="161"/>
    <x v="1"/>
    <n v="41"/>
    <x v="5"/>
    <x v="17"/>
    <x v="1"/>
    <n v="13.1"/>
    <n v="6.8"/>
    <x v="3"/>
    <n v="4"/>
    <x v="0"/>
    <n v="111900"/>
    <n v="21800"/>
    <n v="133700"/>
    <s v="E"/>
    <d v="2012-12-12T00:00:00"/>
    <x v="1"/>
  </r>
  <r>
    <x v="162"/>
    <x v="1"/>
    <n v="37"/>
    <x v="0"/>
    <x v="2"/>
    <x v="1"/>
    <n v="6.6"/>
    <n v="5.2"/>
    <x v="2"/>
    <n v="2"/>
    <x v="0"/>
    <n v="61000"/>
    <n v="5700"/>
    <n v="66700"/>
    <s v="B"/>
    <d v="2019-05-25T00:00:00"/>
    <x v="1"/>
  </r>
  <r>
    <x v="163"/>
    <x v="1"/>
    <n v="27"/>
    <x v="2"/>
    <x v="18"/>
    <x v="1"/>
    <n v="3"/>
    <n v="2.8"/>
    <x v="1"/>
    <n v="4"/>
    <x v="0"/>
    <n v="69900"/>
    <n v="4800"/>
    <n v="74700"/>
    <s v="C"/>
    <d v="2022-12-27T00:00:00"/>
    <x v="1"/>
  </r>
  <r>
    <x v="164"/>
    <x v="1"/>
    <n v="34"/>
    <x v="5"/>
    <x v="15"/>
    <x v="0"/>
    <n v="5.3"/>
    <n v="2.4"/>
    <x v="1"/>
    <n v="3"/>
    <x v="0"/>
    <n v="58400"/>
    <n v="5700"/>
    <n v="64100"/>
    <s v="B"/>
    <d v="2020-09-27T00:00:00"/>
    <x v="0"/>
  </r>
  <r>
    <x v="165"/>
    <x v="1"/>
    <n v="37"/>
    <x v="3"/>
    <x v="5"/>
    <x v="1"/>
    <n v="5.7"/>
    <n v="1.9"/>
    <x v="1"/>
    <n v="2"/>
    <x v="1"/>
    <n v="48700"/>
    <n v="4000"/>
    <n v="52700"/>
    <s v="A"/>
    <d v="2020-04-07T00:00:00"/>
    <x v="1"/>
  </r>
  <r>
    <x v="166"/>
    <x v="1"/>
    <n v="40"/>
    <x v="1"/>
    <x v="10"/>
    <x v="1"/>
    <n v="8.1999999999999993"/>
    <n v="5.4"/>
    <x v="2"/>
    <n v="4"/>
    <x v="1"/>
    <n v="61800"/>
    <n v="7000"/>
    <n v="68800"/>
    <s v="B"/>
    <d v="2017-10-02T00:00:00"/>
    <x v="1"/>
  </r>
  <r>
    <x v="167"/>
    <x v="1"/>
    <n v="52"/>
    <x v="5"/>
    <x v="15"/>
    <x v="2"/>
    <n v="3"/>
    <n v="1.6"/>
    <x v="1"/>
    <n v="3"/>
    <x v="0"/>
    <n v="62300"/>
    <n v="6500"/>
    <n v="68800"/>
    <s v="B"/>
    <d v="2023-01-05T00:00:00"/>
    <x v="2"/>
  </r>
  <r>
    <x v="168"/>
    <x v="0"/>
    <n v="29"/>
    <x v="4"/>
    <x v="16"/>
    <x v="1"/>
    <n v="13.9"/>
    <n v="10.7"/>
    <x v="3"/>
    <n v="3"/>
    <x v="0"/>
    <n v="104400"/>
    <n v="12300"/>
    <n v="116700"/>
    <s v="E"/>
    <d v="2012-02-22T00:00:00"/>
    <x v="1"/>
  </r>
  <r>
    <x v="169"/>
    <x v="0"/>
    <n v="48"/>
    <x v="0"/>
    <x v="0"/>
    <x v="2"/>
    <n v="7.6"/>
    <n v="3"/>
    <x v="2"/>
    <n v="3"/>
    <x v="0"/>
    <n v="104300"/>
    <n v="13600"/>
    <n v="117900"/>
    <s v="E"/>
    <d v="2018-05-27T00:00:00"/>
    <x v="2"/>
  </r>
  <r>
    <x v="170"/>
    <x v="0"/>
    <n v="47"/>
    <x v="0"/>
    <x v="2"/>
    <x v="2"/>
    <n v="8.6999999999999993"/>
    <n v="4.5999999999999996"/>
    <x v="2"/>
    <n v="5"/>
    <x v="0"/>
    <n v="73500"/>
    <n v="6500"/>
    <n v="80000"/>
    <s v="C"/>
    <d v="2017-04-22T00:00:00"/>
    <x v="2"/>
  </r>
  <r>
    <x v="171"/>
    <x v="1"/>
    <n v="31"/>
    <x v="0"/>
    <x v="1"/>
    <x v="2"/>
    <n v="12.7"/>
    <n v="7.9"/>
    <x v="3"/>
    <n v="3"/>
    <x v="0"/>
    <n v="105000"/>
    <n v="6900"/>
    <n v="111900"/>
    <s v="E"/>
    <d v="2013-04-11T00:00:00"/>
    <x v="2"/>
  </r>
  <r>
    <x v="172"/>
    <x v="0"/>
    <n v="40"/>
    <x v="0"/>
    <x v="2"/>
    <x v="2"/>
    <n v="12.1"/>
    <n v="6.7"/>
    <x v="3"/>
    <n v="3"/>
    <x v="0"/>
    <n v="75900"/>
    <n v="6400"/>
    <n v="82300"/>
    <s v="C"/>
    <d v="2013-11-23T00:00:00"/>
    <x v="2"/>
  </r>
  <r>
    <x v="173"/>
    <x v="1"/>
    <n v="27"/>
    <x v="5"/>
    <x v="9"/>
    <x v="2"/>
    <n v="9.6999999999999993"/>
    <n v="3.9"/>
    <x v="4"/>
    <n v="4"/>
    <x v="0"/>
    <n v="105500"/>
    <n v="21200"/>
    <n v="126700"/>
    <s v="E"/>
    <d v="2016-05-05T00:00:00"/>
    <x v="2"/>
  </r>
  <r>
    <x v="174"/>
    <x v="0"/>
    <n v="34"/>
    <x v="2"/>
    <x v="11"/>
    <x v="1"/>
    <n v="8.9"/>
    <n v="5.6"/>
    <x v="2"/>
    <n v="3"/>
    <x v="0"/>
    <n v="107800"/>
    <n v="9100"/>
    <n v="116900"/>
    <s v="E"/>
    <d v="2017-02-17T00:00:00"/>
    <x v="1"/>
  </r>
  <r>
    <x v="175"/>
    <x v="0"/>
    <n v="40"/>
    <x v="1"/>
    <x v="3"/>
    <x v="2"/>
    <n v="1.1000000000000001"/>
    <n v="0"/>
    <x v="0"/>
    <n v="1"/>
    <x v="0"/>
    <n v="80400"/>
    <n v="8900"/>
    <n v="89300"/>
    <s v="D"/>
    <d v="2024-12-07T00:00:00"/>
    <x v="2"/>
  </r>
  <r>
    <x v="176"/>
    <x v="1"/>
    <n v="38"/>
    <x v="3"/>
    <x v="12"/>
    <x v="1"/>
    <n v="7.3"/>
    <n v="5.0999999999999996"/>
    <x v="2"/>
    <n v="3"/>
    <x v="0"/>
    <n v="66000"/>
    <n v="4700"/>
    <n v="70700"/>
    <s v="C"/>
    <d v="2018-09-13T00:00:00"/>
    <x v="1"/>
  </r>
  <r>
    <x v="177"/>
    <x v="1"/>
    <n v="39"/>
    <x v="5"/>
    <x v="17"/>
    <x v="1"/>
    <n v="5.7"/>
    <n v="2.4"/>
    <x v="1"/>
    <n v="3"/>
    <x v="0"/>
    <n v="100000"/>
    <n v="19100"/>
    <n v="119100"/>
    <s v="E"/>
    <d v="2020-04-29T00:00:00"/>
    <x v="1"/>
  </r>
  <r>
    <x v="178"/>
    <x v="1"/>
    <n v="37"/>
    <x v="0"/>
    <x v="2"/>
    <x v="1"/>
    <n v="9.1"/>
    <n v="4.8"/>
    <x v="4"/>
    <n v="3"/>
    <x v="1"/>
    <n v="43400"/>
    <n v="3000"/>
    <n v="46400"/>
    <s v="A"/>
    <d v="2016-11-28T00:00:00"/>
    <x v="1"/>
  </r>
  <r>
    <x v="179"/>
    <x v="1"/>
    <n v="33"/>
    <x v="2"/>
    <x v="11"/>
    <x v="1"/>
    <n v="7.7"/>
    <n v="6"/>
    <x v="2"/>
    <n v="2"/>
    <x v="0"/>
    <n v="98100"/>
    <n v="8400"/>
    <n v="106500"/>
    <s v="D"/>
    <d v="2018-04-15T00:00:00"/>
    <x v="1"/>
  </r>
  <r>
    <x v="180"/>
    <x v="1"/>
    <n v="33"/>
    <x v="2"/>
    <x v="11"/>
    <x v="1"/>
    <n v="1.3"/>
    <n v="0"/>
    <x v="0"/>
    <n v="3"/>
    <x v="2"/>
    <n v="75100"/>
    <n v="7900"/>
    <n v="83000"/>
    <s v="C"/>
    <d v="2024-09-06T00:00:00"/>
    <x v="1"/>
  </r>
  <r>
    <x v="181"/>
    <x v="0"/>
    <n v="45"/>
    <x v="0"/>
    <x v="1"/>
    <x v="2"/>
    <n v="1.5"/>
    <n v="1.5"/>
    <x v="0"/>
    <n v="1"/>
    <x v="0"/>
    <n v="86500"/>
    <n v="5000"/>
    <n v="91500"/>
    <s v="D"/>
    <d v="2024-06-15T00:00:00"/>
    <x v="2"/>
  </r>
  <r>
    <x v="182"/>
    <x v="0"/>
    <n v="31"/>
    <x v="2"/>
    <x v="4"/>
    <x v="0"/>
    <n v="2.4"/>
    <n v="0.9"/>
    <x v="0"/>
    <n v="3"/>
    <x v="0"/>
    <n v="68300"/>
    <n v="2800"/>
    <n v="71100"/>
    <s v="C"/>
    <d v="2023-08-26T00:00:00"/>
    <x v="0"/>
  </r>
  <r>
    <x v="183"/>
    <x v="1"/>
    <n v="29"/>
    <x v="0"/>
    <x v="0"/>
    <x v="3"/>
    <n v="7.8"/>
    <n v="5.3"/>
    <x v="2"/>
    <n v="3"/>
    <x v="0"/>
    <n v="96700"/>
    <n v="10700"/>
    <n v="107400"/>
    <s v="D"/>
    <d v="2018-02-27T00:00:00"/>
    <x v="3"/>
  </r>
  <r>
    <x v="184"/>
    <x v="0"/>
    <n v="26"/>
    <x v="2"/>
    <x v="4"/>
    <x v="2"/>
    <n v="5.2"/>
    <n v="4.3"/>
    <x v="1"/>
    <n v="4"/>
    <x v="0"/>
    <n v="77600"/>
    <n v="8100"/>
    <n v="85700"/>
    <s v="C"/>
    <d v="2020-10-19T00:00:00"/>
    <x v="2"/>
  </r>
  <r>
    <x v="185"/>
    <x v="1"/>
    <n v="42"/>
    <x v="5"/>
    <x v="9"/>
    <x v="2"/>
    <n v="1.8"/>
    <n v="0.4"/>
    <x v="0"/>
    <n v="3"/>
    <x v="0"/>
    <n v="91700"/>
    <n v="15900"/>
    <n v="107600"/>
    <s v="D"/>
    <d v="2024-03-07T00:00:00"/>
    <x v="2"/>
  </r>
  <r>
    <x v="186"/>
    <x v="1"/>
    <n v="41"/>
    <x v="1"/>
    <x v="7"/>
    <x v="2"/>
    <n v="11.6"/>
    <n v="6.4"/>
    <x v="4"/>
    <n v="4"/>
    <x v="0"/>
    <n v="91400"/>
    <n v="10000"/>
    <n v="101400"/>
    <s v="D"/>
    <d v="2014-05-22T00:00:00"/>
    <x v="2"/>
  </r>
  <r>
    <x v="187"/>
    <x v="0"/>
    <n v="31"/>
    <x v="3"/>
    <x v="5"/>
    <x v="1"/>
    <n v="9.3000000000000007"/>
    <n v="6.9"/>
    <x v="4"/>
    <n v="4"/>
    <x v="0"/>
    <n v="80100"/>
    <n v="4300"/>
    <n v="84400"/>
    <s v="D"/>
    <d v="2016-09-06T00:00:00"/>
    <x v="1"/>
  </r>
  <r>
    <x v="188"/>
    <x v="1"/>
    <n v="38"/>
    <x v="1"/>
    <x v="10"/>
    <x v="1"/>
    <n v="2.9"/>
    <n v="2.9"/>
    <x v="0"/>
    <n v="3"/>
    <x v="2"/>
    <n v="86800"/>
    <n v="5400"/>
    <n v="92200"/>
    <s v="D"/>
    <d v="2023-02-02T00:00:00"/>
    <x v="1"/>
  </r>
  <r>
    <x v="189"/>
    <x v="0"/>
    <n v="30"/>
    <x v="2"/>
    <x v="18"/>
    <x v="1"/>
    <n v="6.2"/>
    <n v="4.9000000000000004"/>
    <x v="2"/>
    <n v="3"/>
    <x v="0"/>
    <n v="78300"/>
    <n v="4900"/>
    <n v="83200"/>
    <s v="C"/>
    <d v="2019-10-29T00:00:00"/>
    <x v="1"/>
  </r>
  <r>
    <x v="190"/>
    <x v="1"/>
    <n v="33"/>
    <x v="4"/>
    <x v="16"/>
    <x v="1"/>
    <n v="6.9"/>
    <n v="2.9"/>
    <x v="2"/>
    <n v="3"/>
    <x v="0"/>
    <n v="93500"/>
    <n v="11300"/>
    <n v="104800"/>
    <s v="D"/>
    <d v="2019-01-22T00:00:00"/>
    <x v="1"/>
  </r>
  <r>
    <x v="191"/>
    <x v="0"/>
    <n v="29"/>
    <x v="1"/>
    <x v="7"/>
    <x v="2"/>
    <n v="5.0999999999999996"/>
    <n v="3.3"/>
    <x v="1"/>
    <n v="3"/>
    <x v="0"/>
    <n v="82400"/>
    <n v="9700"/>
    <n v="92100"/>
    <s v="D"/>
    <d v="2020-12-02T00:00:00"/>
    <x v="2"/>
  </r>
  <r>
    <x v="192"/>
    <x v="1"/>
    <n v="33"/>
    <x v="2"/>
    <x v="4"/>
    <x v="1"/>
    <n v="2.2999999999999998"/>
    <n v="1.8"/>
    <x v="0"/>
    <n v="4"/>
    <x v="2"/>
    <n v="61800"/>
    <n v="5700"/>
    <n v="67500"/>
    <s v="B"/>
    <d v="2023-09-22T00:00:00"/>
    <x v="1"/>
  </r>
  <r>
    <x v="193"/>
    <x v="0"/>
    <n v="27"/>
    <x v="4"/>
    <x v="8"/>
    <x v="1"/>
    <n v="9.8000000000000007"/>
    <n v="6.2"/>
    <x v="4"/>
    <n v="3"/>
    <x v="0"/>
    <n v="77100"/>
    <n v="7800"/>
    <n v="84900"/>
    <s v="C"/>
    <d v="2016-03-10T00:00:00"/>
    <x v="1"/>
  </r>
  <r>
    <x v="194"/>
    <x v="0"/>
    <n v="37"/>
    <x v="4"/>
    <x v="6"/>
    <x v="3"/>
    <n v="6.1"/>
    <n v="4.0999999999999996"/>
    <x v="2"/>
    <n v="3"/>
    <x v="0"/>
    <n v="79100"/>
    <n v="6100"/>
    <n v="85200"/>
    <s v="C"/>
    <d v="2019-11-11T00:00:00"/>
    <x v="3"/>
  </r>
  <r>
    <x v="195"/>
    <x v="0"/>
    <n v="40"/>
    <x v="1"/>
    <x v="10"/>
    <x v="1"/>
    <n v="10.6"/>
    <n v="6.2"/>
    <x v="4"/>
    <n v="5"/>
    <x v="0"/>
    <n v="109100"/>
    <n v="6700"/>
    <n v="115800"/>
    <s v="E"/>
    <d v="2015-05-24T00:00:00"/>
    <x v="1"/>
  </r>
  <r>
    <x v="196"/>
    <x v="1"/>
    <n v="21"/>
    <x v="3"/>
    <x v="13"/>
    <x v="1"/>
    <n v="11.3"/>
    <n v="8.3000000000000007"/>
    <x v="4"/>
    <n v="4"/>
    <x v="0"/>
    <n v="109900"/>
    <n v="8500"/>
    <n v="118400"/>
    <s v="E"/>
    <d v="2014-09-09T00:00:00"/>
    <x v="1"/>
  </r>
  <r>
    <x v="197"/>
    <x v="1"/>
    <n v="33"/>
    <x v="5"/>
    <x v="15"/>
    <x v="2"/>
    <n v="13.9"/>
    <n v="7.9"/>
    <x v="3"/>
    <n v="3"/>
    <x v="0"/>
    <n v="76600"/>
    <n v="8500"/>
    <n v="85100"/>
    <s v="C"/>
    <d v="2012-02-09T00:00:00"/>
    <x v="2"/>
  </r>
  <r>
    <x v="198"/>
    <x v="1"/>
    <n v="46"/>
    <x v="2"/>
    <x v="11"/>
    <x v="1"/>
    <n v="5"/>
    <n v="4.5999999999999996"/>
    <x v="1"/>
    <n v="3"/>
    <x v="0"/>
    <n v="100500"/>
    <n v="6600"/>
    <n v="107100"/>
    <s v="E"/>
    <d v="2021-01-09T00:00:00"/>
    <x v="1"/>
  </r>
  <r>
    <x v="199"/>
    <x v="1"/>
    <n v="38"/>
    <x v="5"/>
    <x v="17"/>
    <x v="1"/>
    <n v="2"/>
    <n v="1.3"/>
    <x v="0"/>
    <n v="4"/>
    <x v="0"/>
    <n v="97400"/>
    <n v="19700"/>
    <n v="117100"/>
    <s v="D"/>
    <d v="2023-12-17T00:00:00"/>
    <x v="1"/>
  </r>
  <r>
    <x v="200"/>
    <x v="0"/>
    <n v="51"/>
    <x v="3"/>
    <x v="13"/>
    <x v="2"/>
    <n v="13"/>
    <n v="10.5"/>
    <x v="3"/>
    <n v="4"/>
    <x v="0"/>
    <n v="107900"/>
    <n v="9000"/>
    <n v="116900"/>
    <s v="E"/>
    <d v="2012-12-15T00:00:00"/>
    <x v="2"/>
  </r>
  <r>
    <x v="201"/>
    <x v="0"/>
    <n v="39"/>
    <x v="4"/>
    <x v="16"/>
    <x v="2"/>
    <n v="2.9"/>
    <n v="2.9"/>
    <x v="0"/>
    <n v="3"/>
    <x v="0"/>
    <n v="92200"/>
    <n v="13800"/>
    <n v="106000"/>
    <s v="D"/>
    <d v="2023-02-02T00:00:00"/>
    <x v="2"/>
  </r>
  <r>
    <x v="202"/>
    <x v="0"/>
    <n v="47"/>
    <x v="1"/>
    <x v="10"/>
    <x v="1"/>
    <n v="6.8"/>
    <n v="2.8"/>
    <x v="2"/>
    <n v="3"/>
    <x v="2"/>
    <n v="89400"/>
    <n v="10200"/>
    <n v="99600"/>
    <s v="D"/>
    <d v="2019-03-24T00:00:00"/>
    <x v="1"/>
  </r>
  <r>
    <x v="203"/>
    <x v="0"/>
    <n v="36"/>
    <x v="1"/>
    <x v="7"/>
    <x v="1"/>
    <n v="8.1999999999999993"/>
    <n v="6.4"/>
    <x v="2"/>
    <n v="1"/>
    <x v="0"/>
    <n v="70600"/>
    <n v="8200"/>
    <n v="78800"/>
    <s v="C"/>
    <d v="2017-10-18T00:00:00"/>
    <x v="1"/>
  </r>
  <r>
    <x v="204"/>
    <x v="0"/>
    <n v="34"/>
    <x v="3"/>
    <x v="12"/>
    <x v="0"/>
    <n v="8.1999999999999993"/>
    <n v="7.7"/>
    <x v="2"/>
    <n v="4"/>
    <x v="0"/>
    <n v="67400"/>
    <n v="3500"/>
    <n v="70900"/>
    <s v="C"/>
    <d v="2017-10-24T00:00:00"/>
    <x v="0"/>
  </r>
  <r>
    <x v="205"/>
    <x v="1"/>
    <n v="30"/>
    <x v="2"/>
    <x v="11"/>
    <x v="2"/>
    <n v="13.6"/>
    <n v="9.9"/>
    <x v="3"/>
    <n v="4"/>
    <x v="0"/>
    <n v="119300"/>
    <n v="7000"/>
    <n v="126300"/>
    <s v="E"/>
    <d v="2012-05-09T00:00:00"/>
    <x v="2"/>
  </r>
  <r>
    <x v="206"/>
    <x v="1"/>
    <n v="21"/>
    <x v="2"/>
    <x v="11"/>
    <x v="0"/>
    <n v="11.4"/>
    <n v="8.1"/>
    <x v="4"/>
    <n v="3"/>
    <x v="0"/>
    <n v="116200"/>
    <n v="5200"/>
    <n v="121400"/>
    <s v="E"/>
    <d v="2014-08-10T00:00:00"/>
    <x v="0"/>
  </r>
  <r>
    <x v="207"/>
    <x v="0"/>
    <n v="41"/>
    <x v="3"/>
    <x v="13"/>
    <x v="1"/>
    <n v="9.3000000000000007"/>
    <n v="6.2"/>
    <x v="4"/>
    <n v="3"/>
    <x v="0"/>
    <n v="114600"/>
    <n v="7500"/>
    <n v="122100"/>
    <s v="E"/>
    <d v="2016-09-06T00:00:00"/>
    <x v="1"/>
  </r>
  <r>
    <x v="208"/>
    <x v="1"/>
    <n v="33"/>
    <x v="5"/>
    <x v="9"/>
    <x v="1"/>
    <n v="7.6"/>
    <n v="3.7"/>
    <x v="2"/>
    <n v="3"/>
    <x v="0"/>
    <n v="90100"/>
    <n v="11800"/>
    <n v="101900"/>
    <s v="D"/>
    <d v="2018-05-15T00:00:00"/>
    <x v="1"/>
  </r>
  <r>
    <x v="209"/>
    <x v="1"/>
    <n v="30"/>
    <x v="1"/>
    <x v="7"/>
    <x v="1"/>
    <n v="7"/>
    <n v="5.3"/>
    <x v="2"/>
    <n v="4"/>
    <x v="0"/>
    <n v="83200"/>
    <n v="5200"/>
    <n v="88400"/>
    <s v="D"/>
    <d v="2018-12-15T00:00:00"/>
    <x v="1"/>
  </r>
  <r>
    <x v="210"/>
    <x v="0"/>
    <n v="31"/>
    <x v="5"/>
    <x v="17"/>
    <x v="0"/>
    <n v="11.3"/>
    <n v="5.8"/>
    <x v="4"/>
    <n v="3"/>
    <x v="0"/>
    <n v="89500"/>
    <n v="6500"/>
    <n v="96000"/>
    <s v="D"/>
    <d v="2014-09-16T00:00:00"/>
    <x v="0"/>
  </r>
  <r>
    <x v="211"/>
    <x v="1"/>
    <n v="51"/>
    <x v="5"/>
    <x v="17"/>
    <x v="2"/>
    <n v="11.9"/>
    <n v="9.9"/>
    <x v="4"/>
    <n v="2"/>
    <x v="0"/>
    <n v="98600"/>
    <n v="14000"/>
    <n v="112600"/>
    <s v="D"/>
    <d v="2014-01-29T00:00:00"/>
    <x v="2"/>
  </r>
  <r>
    <x v="212"/>
    <x v="0"/>
    <n v="39"/>
    <x v="4"/>
    <x v="16"/>
    <x v="1"/>
    <n v="9.1"/>
    <n v="4.2"/>
    <x v="4"/>
    <n v="3"/>
    <x v="0"/>
    <n v="99500"/>
    <n v="14400"/>
    <n v="113900"/>
    <s v="D"/>
    <d v="2016-11-21T00:00:00"/>
    <x v="1"/>
  </r>
  <r>
    <x v="213"/>
    <x v="0"/>
    <n v="24"/>
    <x v="1"/>
    <x v="3"/>
    <x v="0"/>
    <n v="6.7"/>
    <n v="3.2"/>
    <x v="2"/>
    <n v="1"/>
    <x v="0"/>
    <n v="66400"/>
    <n v="4400"/>
    <n v="70800"/>
    <s v="C"/>
    <d v="2019-04-13T00:00:00"/>
    <x v="0"/>
  </r>
  <r>
    <x v="214"/>
    <x v="0"/>
    <n v="31"/>
    <x v="3"/>
    <x v="12"/>
    <x v="1"/>
    <n v="4"/>
    <n v="2.2999999999999998"/>
    <x v="1"/>
    <n v="4"/>
    <x v="0"/>
    <n v="68700"/>
    <n v="4800"/>
    <n v="73500"/>
    <s v="C"/>
    <d v="2022-01-09T00:00:00"/>
    <x v="1"/>
  </r>
  <r>
    <x v="215"/>
    <x v="0"/>
    <n v="41"/>
    <x v="2"/>
    <x v="4"/>
    <x v="1"/>
    <n v="13.9"/>
    <n v="7.4"/>
    <x v="3"/>
    <n v="2"/>
    <x v="0"/>
    <n v="89200"/>
    <n v="8700"/>
    <n v="97900"/>
    <s v="D"/>
    <d v="2012-01-28T00:00:00"/>
    <x v="1"/>
  </r>
  <r>
    <x v="216"/>
    <x v="0"/>
    <n v="40"/>
    <x v="3"/>
    <x v="13"/>
    <x v="1"/>
    <n v="6.6"/>
    <n v="4.0999999999999996"/>
    <x v="2"/>
    <n v="3"/>
    <x v="0"/>
    <n v="92500"/>
    <n v="4300"/>
    <n v="96800"/>
    <s v="D"/>
    <d v="2019-06-11T00:00:00"/>
    <x v="1"/>
  </r>
  <r>
    <x v="217"/>
    <x v="0"/>
    <n v="46"/>
    <x v="4"/>
    <x v="8"/>
    <x v="2"/>
    <n v="7.1"/>
    <n v="6.6"/>
    <x v="2"/>
    <n v="4"/>
    <x v="0"/>
    <n v="97100"/>
    <n v="10200"/>
    <n v="107300"/>
    <s v="D"/>
    <d v="2018-12-07T00:00:00"/>
    <x v="2"/>
  </r>
  <r>
    <x v="218"/>
    <x v="0"/>
    <n v="30"/>
    <x v="0"/>
    <x v="0"/>
    <x v="2"/>
    <n v="5.4"/>
    <n v="5.4"/>
    <x v="1"/>
    <n v="3"/>
    <x v="0"/>
    <n v="103700"/>
    <n v="5600"/>
    <n v="109300"/>
    <s v="E"/>
    <d v="2020-08-11T00:00:00"/>
    <x v="2"/>
  </r>
  <r>
    <x v="219"/>
    <x v="1"/>
    <n v="33"/>
    <x v="2"/>
    <x v="4"/>
    <x v="2"/>
    <n v="5.7"/>
    <n v="3.3"/>
    <x v="1"/>
    <n v="4"/>
    <x v="0"/>
    <n v="85300"/>
    <n v="4600"/>
    <n v="89900"/>
    <s v="D"/>
    <d v="2020-04-18T00:00:00"/>
    <x v="2"/>
  </r>
  <r>
    <x v="220"/>
    <x v="1"/>
    <n v="40"/>
    <x v="1"/>
    <x v="3"/>
    <x v="2"/>
    <n v="13.4"/>
    <n v="8.3000000000000007"/>
    <x v="3"/>
    <n v="3"/>
    <x v="0"/>
    <n v="83700"/>
    <n v="8300"/>
    <n v="92000"/>
    <s v="D"/>
    <d v="2012-08-15T00:00:00"/>
    <x v="2"/>
  </r>
  <r>
    <x v="221"/>
    <x v="1"/>
    <n v="22"/>
    <x v="5"/>
    <x v="15"/>
    <x v="2"/>
    <n v="2.2999999999999998"/>
    <n v="1.1000000000000001"/>
    <x v="0"/>
    <n v="4"/>
    <x v="0"/>
    <n v="65200"/>
    <n v="12900"/>
    <n v="78100"/>
    <s v="C"/>
    <d v="2023-08-29T00:00:00"/>
    <x v="2"/>
  </r>
  <r>
    <x v="222"/>
    <x v="1"/>
    <n v="29"/>
    <x v="5"/>
    <x v="15"/>
    <x v="1"/>
    <n v="13.9"/>
    <n v="9.4"/>
    <x v="3"/>
    <n v="4"/>
    <x v="0"/>
    <n v="65300"/>
    <n v="11300"/>
    <n v="76600"/>
    <s v="C"/>
    <d v="2012-02-07T00:00:00"/>
    <x v="1"/>
  </r>
  <r>
    <x v="223"/>
    <x v="0"/>
    <n v="40"/>
    <x v="5"/>
    <x v="15"/>
    <x v="1"/>
    <n v="8"/>
    <n v="4.9000000000000004"/>
    <x v="2"/>
    <n v="3"/>
    <x v="0"/>
    <n v="65900"/>
    <n v="7400"/>
    <n v="73300"/>
    <s v="C"/>
    <d v="2017-12-20T00:00:00"/>
    <x v="1"/>
  </r>
  <r>
    <x v="224"/>
    <x v="1"/>
    <n v="27"/>
    <x v="3"/>
    <x v="13"/>
    <x v="1"/>
    <n v="9"/>
    <n v="6.3"/>
    <x v="4"/>
    <n v="5"/>
    <x v="0"/>
    <n v="109400"/>
    <n v="6400"/>
    <n v="115800"/>
    <s v="E"/>
    <d v="2016-12-20T00:00:00"/>
    <x v="1"/>
  </r>
  <r>
    <x v="225"/>
    <x v="0"/>
    <n v="35"/>
    <x v="5"/>
    <x v="15"/>
    <x v="2"/>
    <n v="13.8"/>
    <n v="10"/>
    <x v="3"/>
    <n v="4"/>
    <x v="0"/>
    <n v="73600"/>
    <n v="6300"/>
    <n v="79900"/>
    <s v="C"/>
    <d v="2012-03-12T00:00:00"/>
    <x v="2"/>
  </r>
  <r>
    <x v="226"/>
    <x v="0"/>
    <n v="45"/>
    <x v="3"/>
    <x v="13"/>
    <x v="2"/>
    <n v="12.5"/>
    <n v="7.1"/>
    <x v="3"/>
    <n v="5"/>
    <x v="2"/>
    <n v="90200"/>
    <n v="6600"/>
    <n v="96800"/>
    <s v="D"/>
    <d v="2013-07-15T00:00:00"/>
    <x v="2"/>
  </r>
  <r>
    <x v="227"/>
    <x v="1"/>
    <n v="42"/>
    <x v="4"/>
    <x v="14"/>
    <x v="1"/>
    <n v="9"/>
    <n v="5.5"/>
    <x v="4"/>
    <n v="3"/>
    <x v="0"/>
    <n v="127400"/>
    <n v="14900"/>
    <n v="142300"/>
    <s v="E"/>
    <d v="2016-12-21T00:00:00"/>
    <x v="1"/>
  </r>
  <r>
    <x v="228"/>
    <x v="1"/>
    <n v="42"/>
    <x v="0"/>
    <x v="0"/>
    <x v="1"/>
    <n v="1.2"/>
    <n v="0"/>
    <x v="0"/>
    <n v="3"/>
    <x v="0"/>
    <n v="90100"/>
    <n v="12000"/>
    <n v="102100"/>
    <s v="D"/>
    <d v="2024-11-02T00:00:00"/>
    <x v="1"/>
  </r>
  <r>
    <x v="229"/>
    <x v="0"/>
    <n v="24"/>
    <x v="4"/>
    <x v="8"/>
    <x v="2"/>
    <n v="12.4"/>
    <n v="6.3"/>
    <x v="3"/>
    <n v="2"/>
    <x v="0"/>
    <n v="89200"/>
    <n v="6200"/>
    <n v="95400"/>
    <s v="D"/>
    <d v="2013-07-21T00:00:00"/>
    <x v="2"/>
  </r>
  <r>
    <x v="230"/>
    <x v="0"/>
    <n v="25"/>
    <x v="4"/>
    <x v="6"/>
    <x v="2"/>
    <n v="10.9"/>
    <n v="6.3"/>
    <x v="4"/>
    <n v="4"/>
    <x v="0"/>
    <n v="94200"/>
    <n v="11700"/>
    <n v="105900"/>
    <s v="D"/>
    <d v="2015-02-06T00:00:00"/>
    <x v="2"/>
  </r>
  <r>
    <x v="231"/>
    <x v="1"/>
    <n v="36"/>
    <x v="1"/>
    <x v="10"/>
    <x v="1"/>
    <n v="6.4"/>
    <n v="4.0999999999999996"/>
    <x v="2"/>
    <n v="4"/>
    <x v="0"/>
    <n v="110500"/>
    <n v="11200"/>
    <n v="121700"/>
    <s v="E"/>
    <d v="2019-08-21T00:00:00"/>
    <x v="1"/>
  </r>
  <r>
    <x v="232"/>
    <x v="0"/>
    <n v="25"/>
    <x v="4"/>
    <x v="8"/>
    <x v="1"/>
    <n v="1.9"/>
    <n v="1.1000000000000001"/>
    <x v="0"/>
    <n v="4"/>
    <x v="0"/>
    <n v="72400"/>
    <n v="8500"/>
    <n v="80900"/>
    <s v="C"/>
    <d v="2024-02-15T00:00:00"/>
    <x v="1"/>
  </r>
  <r>
    <x v="233"/>
    <x v="0"/>
    <n v="35"/>
    <x v="3"/>
    <x v="5"/>
    <x v="0"/>
    <n v="5.6"/>
    <n v="3.6"/>
    <x v="1"/>
    <n v="2"/>
    <x v="0"/>
    <n v="62100"/>
    <n v="5100"/>
    <n v="67200"/>
    <s v="B"/>
    <d v="2020-05-25T00:00:00"/>
    <x v="0"/>
  </r>
  <r>
    <x v="234"/>
    <x v="1"/>
    <n v="48"/>
    <x v="3"/>
    <x v="12"/>
    <x v="0"/>
    <n v="4.5999999999999996"/>
    <n v="0.7"/>
    <x v="1"/>
    <n v="4"/>
    <x v="0"/>
    <n v="69100"/>
    <n v="6100"/>
    <n v="75200"/>
    <s v="C"/>
    <d v="2021-05-20T00:00:00"/>
    <x v="0"/>
  </r>
  <r>
    <x v="235"/>
    <x v="1"/>
    <n v="36"/>
    <x v="3"/>
    <x v="12"/>
    <x v="2"/>
    <n v="10.5"/>
    <n v="7.5"/>
    <x v="4"/>
    <n v="3"/>
    <x v="0"/>
    <n v="83300"/>
    <n v="2900"/>
    <n v="86200"/>
    <s v="D"/>
    <d v="2015-07-19T00:00:00"/>
    <x v="2"/>
  </r>
  <r>
    <x v="236"/>
    <x v="0"/>
    <n v="33"/>
    <x v="3"/>
    <x v="13"/>
    <x v="0"/>
    <n v="5"/>
    <n v="3.9"/>
    <x v="1"/>
    <n v="2"/>
    <x v="0"/>
    <n v="96200"/>
    <n v="3600"/>
    <n v="99800"/>
    <s v="D"/>
    <d v="2021-01-06T00:00:00"/>
    <x v="0"/>
  </r>
  <r>
    <x v="237"/>
    <x v="1"/>
    <n v="27"/>
    <x v="2"/>
    <x v="18"/>
    <x v="1"/>
    <n v="12.8"/>
    <n v="9"/>
    <x v="3"/>
    <n v="4"/>
    <x v="1"/>
    <n v="52400"/>
    <n v="4800"/>
    <n v="57200"/>
    <s v="B"/>
    <d v="2013-03-16T00:00:00"/>
    <x v="1"/>
  </r>
  <r>
    <x v="238"/>
    <x v="1"/>
    <n v="38"/>
    <x v="4"/>
    <x v="6"/>
    <x v="2"/>
    <n v="10.5"/>
    <n v="5.7"/>
    <x v="4"/>
    <n v="3"/>
    <x v="0"/>
    <n v="92000"/>
    <n v="11400"/>
    <n v="103400"/>
    <s v="D"/>
    <d v="2015-06-20T00:00:00"/>
    <x v="2"/>
  </r>
  <r>
    <x v="239"/>
    <x v="0"/>
    <n v="39"/>
    <x v="2"/>
    <x v="18"/>
    <x v="2"/>
    <n v="3.1"/>
    <n v="3.1"/>
    <x v="1"/>
    <n v="3"/>
    <x v="0"/>
    <n v="67900"/>
    <n v="5100"/>
    <n v="73000"/>
    <s v="C"/>
    <d v="2022-11-24T00:00:00"/>
    <x v="2"/>
  </r>
  <r>
    <x v="240"/>
    <x v="1"/>
    <n v="34"/>
    <x v="4"/>
    <x v="14"/>
    <x v="1"/>
    <n v="5.7"/>
    <n v="1.5"/>
    <x v="1"/>
    <n v="5"/>
    <x v="0"/>
    <n v="98200"/>
    <n v="5100"/>
    <n v="103300"/>
    <s v="D"/>
    <d v="2020-04-10T00:00:00"/>
    <x v="1"/>
  </r>
  <r>
    <x v="241"/>
    <x v="1"/>
    <n v="39"/>
    <x v="3"/>
    <x v="5"/>
    <x v="0"/>
    <n v="3.6"/>
    <n v="0.6"/>
    <x v="1"/>
    <n v="4"/>
    <x v="0"/>
    <n v="61000"/>
    <n v="3000"/>
    <n v="64000"/>
    <s v="B"/>
    <d v="2022-05-13T00:00:00"/>
    <x v="0"/>
  </r>
  <r>
    <x v="242"/>
    <x v="0"/>
    <n v="42"/>
    <x v="5"/>
    <x v="9"/>
    <x v="2"/>
    <n v="6.8"/>
    <n v="5.2"/>
    <x v="2"/>
    <n v="5"/>
    <x v="0"/>
    <n v="101100"/>
    <n v="7200"/>
    <n v="108300"/>
    <s v="E"/>
    <d v="2019-03-11T00:00:00"/>
    <x v="2"/>
  </r>
  <r>
    <x v="243"/>
    <x v="0"/>
    <n v="37"/>
    <x v="1"/>
    <x v="10"/>
    <x v="1"/>
    <n v="4.9000000000000004"/>
    <n v="2.4"/>
    <x v="1"/>
    <n v="4"/>
    <x v="0"/>
    <n v="93300"/>
    <n v="7900"/>
    <n v="101200"/>
    <s v="D"/>
    <d v="2021-02-07T00:00:00"/>
    <x v="1"/>
  </r>
  <r>
    <x v="244"/>
    <x v="1"/>
    <n v="44"/>
    <x v="2"/>
    <x v="11"/>
    <x v="1"/>
    <n v="2.1"/>
    <n v="1.8"/>
    <x v="0"/>
    <n v="3"/>
    <x v="0"/>
    <n v="106800"/>
    <n v="4600"/>
    <n v="111400"/>
    <s v="E"/>
    <d v="2023-11-28T00:00:00"/>
    <x v="1"/>
  </r>
  <r>
    <x v="245"/>
    <x v="0"/>
    <n v="46"/>
    <x v="2"/>
    <x v="4"/>
    <x v="2"/>
    <n v="7.6"/>
    <n v="6.4"/>
    <x v="2"/>
    <n v="3"/>
    <x v="0"/>
    <n v="90300"/>
    <n v="4900"/>
    <n v="95200"/>
    <s v="D"/>
    <d v="2018-06-08T00:00:00"/>
    <x v="2"/>
  </r>
  <r>
    <x v="246"/>
    <x v="1"/>
    <n v="40"/>
    <x v="3"/>
    <x v="5"/>
    <x v="2"/>
    <n v="14"/>
    <n v="9.4"/>
    <x v="3"/>
    <n v="4"/>
    <x v="0"/>
    <n v="98300"/>
    <n v="5000"/>
    <n v="103300"/>
    <s v="D"/>
    <d v="2012-01-13T00:00:00"/>
    <x v="2"/>
  </r>
  <r>
    <x v="247"/>
    <x v="1"/>
    <n v="36"/>
    <x v="5"/>
    <x v="15"/>
    <x v="2"/>
    <n v="11.9"/>
    <n v="9.3000000000000007"/>
    <x v="4"/>
    <n v="3"/>
    <x v="0"/>
    <n v="79600"/>
    <n v="16500"/>
    <n v="96100"/>
    <s v="C"/>
    <d v="2014-01-26T00:00:00"/>
    <x v="2"/>
  </r>
  <r>
    <x v="248"/>
    <x v="1"/>
    <n v="42"/>
    <x v="1"/>
    <x v="10"/>
    <x v="3"/>
    <n v="3.1"/>
    <n v="0.9"/>
    <x v="1"/>
    <n v="4"/>
    <x v="2"/>
    <n v="88800"/>
    <n v="8200"/>
    <n v="97000"/>
    <s v="D"/>
    <d v="2022-12-01T00:00:00"/>
    <x v="3"/>
  </r>
  <r>
    <x v="249"/>
    <x v="0"/>
    <n v="34"/>
    <x v="1"/>
    <x v="10"/>
    <x v="1"/>
    <n v="4.3"/>
    <n v="2.5"/>
    <x v="1"/>
    <n v="3"/>
    <x v="0"/>
    <n v="97600"/>
    <n v="6600"/>
    <n v="104200"/>
    <s v="D"/>
    <d v="2021-09-28T00:00:00"/>
    <x v="1"/>
  </r>
  <r>
    <x v="250"/>
    <x v="1"/>
    <n v="23"/>
    <x v="0"/>
    <x v="2"/>
    <x v="1"/>
    <n v="11.2"/>
    <n v="5.5"/>
    <x v="4"/>
    <n v="5"/>
    <x v="2"/>
    <n v="64600"/>
    <n v="6000"/>
    <n v="70600"/>
    <s v="B"/>
    <d v="2014-10-05T00:00:00"/>
    <x v="1"/>
  </r>
  <r>
    <x v="251"/>
    <x v="1"/>
    <n v="48"/>
    <x v="0"/>
    <x v="1"/>
    <x v="3"/>
    <n v="10.6"/>
    <n v="7.3"/>
    <x v="4"/>
    <n v="3"/>
    <x v="0"/>
    <n v="99200"/>
    <n v="5000"/>
    <n v="104200"/>
    <s v="D"/>
    <d v="2015-06-12T00:00:00"/>
    <x v="3"/>
  </r>
  <r>
    <x v="252"/>
    <x v="0"/>
    <n v="31"/>
    <x v="2"/>
    <x v="4"/>
    <x v="0"/>
    <n v="2.8"/>
    <n v="2.8"/>
    <x v="0"/>
    <n v="3"/>
    <x v="0"/>
    <n v="75100"/>
    <n v="4900"/>
    <n v="80000"/>
    <s v="C"/>
    <d v="2023-03-20T00:00:00"/>
    <x v="0"/>
  </r>
  <r>
    <x v="253"/>
    <x v="1"/>
    <n v="47"/>
    <x v="3"/>
    <x v="5"/>
    <x v="2"/>
    <n v="10.3"/>
    <n v="5.4"/>
    <x v="4"/>
    <n v="2"/>
    <x v="1"/>
    <n v="50700"/>
    <n v="2200"/>
    <n v="52900"/>
    <s v="B"/>
    <d v="2015-09-04T00:00:00"/>
    <x v="2"/>
  </r>
  <r>
    <x v="254"/>
    <x v="1"/>
    <n v="40"/>
    <x v="4"/>
    <x v="8"/>
    <x v="1"/>
    <n v="10.1"/>
    <n v="4.4000000000000004"/>
    <x v="4"/>
    <n v="2"/>
    <x v="0"/>
    <n v="71000"/>
    <n v="7600"/>
    <n v="78600"/>
    <s v="C"/>
    <d v="2015-11-23T00:00:00"/>
    <x v="1"/>
  </r>
  <r>
    <x v="255"/>
    <x v="1"/>
    <n v="47"/>
    <x v="3"/>
    <x v="5"/>
    <x v="1"/>
    <n v="9.4"/>
    <n v="7.1"/>
    <x v="4"/>
    <n v="4"/>
    <x v="0"/>
    <n v="72300"/>
    <n v="2900"/>
    <n v="75200"/>
    <s v="C"/>
    <d v="2016-07-21T00:00:00"/>
    <x v="1"/>
  </r>
  <r>
    <x v="256"/>
    <x v="1"/>
    <n v="40"/>
    <x v="1"/>
    <x v="10"/>
    <x v="0"/>
    <n v="2.5"/>
    <n v="2.5"/>
    <x v="0"/>
    <n v="4"/>
    <x v="0"/>
    <n v="105700"/>
    <n v="5800"/>
    <n v="111500"/>
    <s v="E"/>
    <d v="2023-07-02T00:00:00"/>
    <x v="0"/>
  </r>
  <r>
    <x v="257"/>
    <x v="1"/>
    <n v="31"/>
    <x v="0"/>
    <x v="1"/>
    <x v="0"/>
    <n v="5.2"/>
    <n v="1.8"/>
    <x v="1"/>
    <n v="2"/>
    <x v="0"/>
    <n v="72500"/>
    <n v="4200"/>
    <n v="76700"/>
    <s v="C"/>
    <d v="2020-10-14T00:00:00"/>
    <x v="0"/>
  </r>
  <r>
    <x v="258"/>
    <x v="1"/>
    <n v="41"/>
    <x v="5"/>
    <x v="9"/>
    <x v="1"/>
    <n v="9.1"/>
    <n v="6.9"/>
    <x v="4"/>
    <n v="4"/>
    <x v="0"/>
    <n v="107000"/>
    <n v="9000"/>
    <n v="116000"/>
    <s v="E"/>
    <d v="2016-11-14T00:00:00"/>
    <x v="1"/>
  </r>
  <r>
    <x v="259"/>
    <x v="0"/>
    <n v="48"/>
    <x v="5"/>
    <x v="9"/>
    <x v="1"/>
    <n v="8"/>
    <n v="6.4"/>
    <x v="2"/>
    <n v="4"/>
    <x v="2"/>
    <n v="90400"/>
    <n v="12300"/>
    <n v="102700"/>
    <s v="D"/>
    <d v="2017-12-20T00:00:00"/>
    <x v="1"/>
  </r>
  <r>
    <x v="260"/>
    <x v="1"/>
    <n v="53"/>
    <x v="1"/>
    <x v="3"/>
    <x v="2"/>
    <n v="10.1"/>
    <n v="7.1"/>
    <x v="4"/>
    <n v="4"/>
    <x v="1"/>
    <n v="53500"/>
    <n v="4700"/>
    <n v="58200"/>
    <s v="B"/>
    <d v="2015-11-10T00:00:00"/>
    <x v="2"/>
  </r>
  <r>
    <x v="261"/>
    <x v="0"/>
    <n v="40"/>
    <x v="2"/>
    <x v="11"/>
    <x v="0"/>
    <n v="12.9"/>
    <n v="9.1999999999999993"/>
    <x v="3"/>
    <n v="2"/>
    <x v="0"/>
    <n v="116400"/>
    <n v="8200"/>
    <n v="124600"/>
    <s v="E"/>
    <d v="2013-02-16T00:00:00"/>
    <x v="0"/>
  </r>
  <r>
    <x v="262"/>
    <x v="1"/>
    <n v="34"/>
    <x v="0"/>
    <x v="2"/>
    <x v="1"/>
    <n v="6.6"/>
    <n v="4.4000000000000004"/>
    <x v="2"/>
    <n v="4"/>
    <x v="0"/>
    <n v="70800"/>
    <n v="8300"/>
    <n v="79100"/>
    <s v="C"/>
    <d v="2019-05-27T00:00:00"/>
    <x v="1"/>
  </r>
  <r>
    <x v="263"/>
    <x v="0"/>
    <n v="28"/>
    <x v="3"/>
    <x v="13"/>
    <x v="1"/>
    <n v="1.1000000000000001"/>
    <n v="0.9"/>
    <x v="0"/>
    <n v="4"/>
    <x v="2"/>
    <n v="77100"/>
    <n v="6100"/>
    <n v="83200"/>
    <s v="C"/>
    <d v="2024-12-06T00:00:00"/>
    <x v="1"/>
  </r>
  <r>
    <x v="264"/>
    <x v="1"/>
    <n v="36"/>
    <x v="2"/>
    <x v="4"/>
    <x v="2"/>
    <n v="3.8"/>
    <n v="0.6"/>
    <x v="1"/>
    <n v="3"/>
    <x v="0"/>
    <n v="86900"/>
    <n v="3700"/>
    <n v="90600"/>
    <s v="D"/>
    <d v="2022-03-16T00:00:00"/>
    <x v="2"/>
  </r>
  <r>
    <x v="265"/>
    <x v="1"/>
    <n v="36"/>
    <x v="3"/>
    <x v="13"/>
    <x v="1"/>
    <n v="7.2"/>
    <n v="3.4"/>
    <x v="2"/>
    <n v="4"/>
    <x v="0"/>
    <n v="100200"/>
    <n v="3400"/>
    <n v="103600"/>
    <s v="E"/>
    <d v="2018-10-31T00:00:00"/>
    <x v="1"/>
  </r>
  <r>
    <x v="266"/>
    <x v="0"/>
    <n v="32"/>
    <x v="2"/>
    <x v="4"/>
    <x v="1"/>
    <n v="9.1"/>
    <n v="7.7"/>
    <x v="4"/>
    <n v="3"/>
    <x v="0"/>
    <n v="93400"/>
    <n v="8000"/>
    <n v="101400"/>
    <s v="D"/>
    <d v="2016-11-19T00:00:00"/>
    <x v="1"/>
  </r>
  <r>
    <x v="267"/>
    <x v="0"/>
    <n v="38"/>
    <x v="0"/>
    <x v="1"/>
    <x v="1"/>
    <n v="4"/>
    <n v="2.1"/>
    <x v="1"/>
    <n v="4"/>
    <x v="0"/>
    <n v="79900"/>
    <n v="6900"/>
    <n v="86800"/>
    <s v="C"/>
    <d v="2022-01-08T00:00:00"/>
    <x v="1"/>
  </r>
  <r>
    <x v="268"/>
    <x v="1"/>
    <n v="32"/>
    <x v="2"/>
    <x v="4"/>
    <x v="1"/>
    <n v="8.5"/>
    <n v="7.2"/>
    <x v="2"/>
    <n v="2"/>
    <x v="0"/>
    <n v="64100"/>
    <n v="5300"/>
    <n v="69400"/>
    <s v="B"/>
    <d v="2017-07-13T00:00:00"/>
    <x v="1"/>
  </r>
  <r>
    <x v="269"/>
    <x v="0"/>
    <n v="29"/>
    <x v="1"/>
    <x v="10"/>
    <x v="0"/>
    <n v="8.3000000000000007"/>
    <n v="5.3"/>
    <x v="2"/>
    <n v="3"/>
    <x v="0"/>
    <n v="99300"/>
    <n v="11600"/>
    <n v="110900"/>
    <s v="D"/>
    <d v="2017-10-01T00:00:00"/>
    <x v="0"/>
  </r>
  <r>
    <x v="270"/>
    <x v="1"/>
    <n v="32"/>
    <x v="3"/>
    <x v="5"/>
    <x v="0"/>
    <n v="10.5"/>
    <n v="5.3"/>
    <x v="4"/>
    <n v="4"/>
    <x v="0"/>
    <n v="79200"/>
    <n v="5800"/>
    <n v="85000"/>
    <s v="C"/>
    <d v="2015-06-22T00:00:00"/>
    <x v="0"/>
  </r>
  <r>
    <x v="271"/>
    <x v="0"/>
    <n v="32"/>
    <x v="0"/>
    <x v="2"/>
    <x v="0"/>
    <n v="10.5"/>
    <n v="5.2"/>
    <x v="4"/>
    <n v="3"/>
    <x v="0"/>
    <n v="70000"/>
    <n v="8500"/>
    <n v="78500"/>
    <s v="C"/>
    <d v="2015-07-11T00:00:00"/>
    <x v="0"/>
  </r>
  <r>
    <x v="272"/>
    <x v="1"/>
    <n v="44"/>
    <x v="0"/>
    <x v="0"/>
    <x v="0"/>
    <n v="11.6"/>
    <n v="9.3000000000000007"/>
    <x v="4"/>
    <n v="4"/>
    <x v="0"/>
    <n v="110900"/>
    <n v="5600"/>
    <n v="116500"/>
    <s v="E"/>
    <d v="2014-05-11T00:00:00"/>
    <x v="0"/>
  </r>
  <r>
    <x v="273"/>
    <x v="0"/>
    <n v="33"/>
    <x v="5"/>
    <x v="9"/>
    <x v="1"/>
    <n v="2.8"/>
    <n v="2.6"/>
    <x v="0"/>
    <n v="4"/>
    <x v="0"/>
    <n v="109900"/>
    <n v="20500"/>
    <n v="130400"/>
    <s v="E"/>
    <d v="2023-03-28T00:00:00"/>
    <x v="1"/>
  </r>
  <r>
    <x v="274"/>
    <x v="1"/>
    <n v="47"/>
    <x v="2"/>
    <x v="4"/>
    <x v="2"/>
    <n v="7.5"/>
    <n v="3.8"/>
    <x v="2"/>
    <n v="4"/>
    <x v="0"/>
    <n v="90900"/>
    <n v="8100"/>
    <n v="99000"/>
    <s v="D"/>
    <d v="2018-07-14T00:00:00"/>
    <x v="2"/>
  </r>
  <r>
    <x v="275"/>
    <x v="0"/>
    <n v="33"/>
    <x v="1"/>
    <x v="3"/>
    <x v="1"/>
    <n v="5.3"/>
    <n v="1.8"/>
    <x v="1"/>
    <n v="2"/>
    <x v="0"/>
    <n v="84100"/>
    <n v="6900"/>
    <n v="91000"/>
    <s v="D"/>
    <d v="2020-09-01T00:00:00"/>
    <x v="1"/>
  </r>
  <r>
    <x v="276"/>
    <x v="0"/>
    <n v="45"/>
    <x v="3"/>
    <x v="12"/>
    <x v="1"/>
    <n v="3.3"/>
    <n v="2.1"/>
    <x v="1"/>
    <n v="3"/>
    <x v="0"/>
    <n v="70600"/>
    <n v="2400"/>
    <n v="73000"/>
    <s v="C"/>
    <d v="2022-09-22T00:00:00"/>
    <x v="1"/>
  </r>
  <r>
    <x v="277"/>
    <x v="0"/>
    <n v="47"/>
    <x v="4"/>
    <x v="6"/>
    <x v="0"/>
    <n v="9.6999999999999993"/>
    <n v="6.1"/>
    <x v="4"/>
    <n v="3"/>
    <x v="2"/>
    <n v="62200"/>
    <n v="8600"/>
    <n v="70800"/>
    <s v="B"/>
    <d v="2016-04-11T00:00:00"/>
    <x v="0"/>
  </r>
  <r>
    <x v="278"/>
    <x v="0"/>
    <n v="42"/>
    <x v="2"/>
    <x v="18"/>
    <x v="1"/>
    <n v="11"/>
    <n v="8.1999999999999993"/>
    <x v="4"/>
    <n v="1"/>
    <x v="0"/>
    <n v="68200"/>
    <n v="5300"/>
    <n v="73500"/>
    <s v="C"/>
    <d v="2015-01-10T00:00:00"/>
    <x v="1"/>
  </r>
  <r>
    <x v="279"/>
    <x v="0"/>
    <n v="23"/>
    <x v="3"/>
    <x v="13"/>
    <x v="2"/>
    <n v="2"/>
    <n v="0.3"/>
    <x v="0"/>
    <n v="3"/>
    <x v="2"/>
    <n v="85100"/>
    <n v="7500"/>
    <n v="92600"/>
    <s v="D"/>
    <d v="2024-01-18T00:00:00"/>
    <x v="2"/>
  </r>
  <r>
    <x v="280"/>
    <x v="0"/>
    <n v="33"/>
    <x v="3"/>
    <x v="5"/>
    <x v="0"/>
    <n v="4.2"/>
    <n v="2.6"/>
    <x v="1"/>
    <n v="4"/>
    <x v="0"/>
    <n v="72000"/>
    <n v="3900"/>
    <n v="75900"/>
    <s v="C"/>
    <d v="2021-10-14T00:00:00"/>
    <x v="0"/>
  </r>
  <r>
    <x v="281"/>
    <x v="1"/>
    <n v="27"/>
    <x v="0"/>
    <x v="2"/>
    <x v="3"/>
    <n v="6.7"/>
    <n v="4.5"/>
    <x v="2"/>
    <n v="3"/>
    <x v="0"/>
    <n v="78200"/>
    <n v="4800"/>
    <n v="83000"/>
    <s v="C"/>
    <d v="2019-05-05T00:00:00"/>
    <x v="3"/>
  </r>
  <r>
    <x v="282"/>
    <x v="1"/>
    <n v="35"/>
    <x v="5"/>
    <x v="17"/>
    <x v="0"/>
    <n v="9.4"/>
    <n v="5.3"/>
    <x v="4"/>
    <n v="3"/>
    <x v="1"/>
    <n v="52600"/>
    <n v="5700"/>
    <n v="58300"/>
    <s v="B"/>
    <d v="2016-07-23T00:00:00"/>
    <x v="0"/>
  </r>
  <r>
    <x v="283"/>
    <x v="1"/>
    <n v="35"/>
    <x v="2"/>
    <x v="11"/>
    <x v="3"/>
    <n v="5.4"/>
    <n v="4.8"/>
    <x v="1"/>
    <n v="2"/>
    <x v="1"/>
    <n v="72400"/>
    <n v="7300"/>
    <n v="79700"/>
    <s v="C"/>
    <d v="2020-08-09T00:00:00"/>
    <x v="3"/>
  </r>
  <r>
    <x v="284"/>
    <x v="1"/>
    <n v="28"/>
    <x v="3"/>
    <x v="5"/>
    <x v="1"/>
    <n v="2.6"/>
    <n v="2.6"/>
    <x v="0"/>
    <n v="4"/>
    <x v="0"/>
    <n v="71500"/>
    <n v="5700"/>
    <n v="77200"/>
    <s v="C"/>
    <d v="2023-06-02T00:00:00"/>
    <x v="1"/>
  </r>
  <r>
    <x v="285"/>
    <x v="0"/>
    <n v="26"/>
    <x v="1"/>
    <x v="3"/>
    <x v="1"/>
    <n v="5.2"/>
    <n v="2.4"/>
    <x v="1"/>
    <n v="4"/>
    <x v="0"/>
    <n v="75600"/>
    <n v="5500"/>
    <n v="81100"/>
    <s v="C"/>
    <d v="2020-10-21T00:00:00"/>
    <x v="1"/>
  </r>
  <r>
    <x v="286"/>
    <x v="1"/>
    <n v="21"/>
    <x v="0"/>
    <x v="0"/>
    <x v="1"/>
    <n v="11.8"/>
    <n v="6.9"/>
    <x v="4"/>
    <n v="3"/>
    <x v="0"/>
    <n v="109100"/>
    <n v="9800"/>
    <n v="118900"/>
    <s v="E"/>
    <d v="2014-03-12T00:00:00"/>
    <x v="1"/>
  </r>
  <r>
    <x v="287"/>
    <x v="0"/>
    <n v="24"/>
    <x v="5"/>
    <x v="17"/>
    <x v="1"/>
    <n v="5.4"/>
    <n v="1.5"/>
    <x v="1"/>
    <n v="3"/>
    <x v="0"/>
    <n v="117700"/>
    <n v="18500"/>
    <n v="136200"/>
    <s v="E"/>
    <d v="2020-08-06T00:00:00"/>
    <x v="1"/>
  </r>
  <r>
    <x v="288"/>
    <x v="1"/>
    <n v="29"/>
    <x v="5"/>
    <x v="9"/>
    <x v="1"/>
    <n v="7.9"/>
    <n v="4.2"/>
    <x v="2"/>
    <n v="4"/>
    <x v="0"/>
    <n v="98400"/>
    <n v="7900"/>
    <n v="106300"/>
    <s v="D"/>
    <d v="2018-02-14T00:00:00"/>
    <x v="1"/>
  </r>
  <r>
    <x v="289"/>
    <x v="1"/>
    <n v="29"/>
    <x v="3"/>
    <x v="12"/>
    <x v="2"/>
    <n v="9.5"/>
    <n v="5.4"/>
    <x v="4"/>
    <n v="2"/>
    <x v="0"/>
    <n v="77800"/>
    <n v="5000"/>
    <n v="82800"/>
    <s v="C"/>
    <d v="2016-06-26T00:00:00"/>
    <x v="2"/>
  </r>
  <r>
    <x v="290"/>
    <x v="1"/>
    <n v="34"/>
    <x v="3"/>
    <x v="5"/>
    <x v="2"/>
    <n v="11.2"/>
    <n v="7"/>
    <x v="4"/>
    <n v="3"/>
    <x v="0"/>
    <n v="78300"/>
    <n v="2600"/>
    <n v="80900"/>
    <s v="C"/>
    <d v="2014-10-24T00:00:00"/>
    <x v="2"/>
  </r>
  <r>
    <x v="291"/>
    <x v="1"/>
    <n v="40"/>
    <x v="3"/>
    <x v="12"/>
    <x v="0"/>
    <n v="9.1999999999999993"/>
    <n v="6.8"/>
    <x v="4"/>
    <n v="3"/>
    <x v="0"/>
    <n v="69600"/>
    <n v="4000"/>
    <n v="73600"/>
    <s v="C"/>
    <d v="2016-11-05T00:00:00"/>
    <x v="0"/>
  </r>
  <r>
    <x v="292"/>
    <x v="0"/>
    <n v="41"/>
    <x v="1"/>
    <x v="10"/>
    <x v="1"/>
    <n v="11.6"/>
    <n v="7.8"/>
    <x v="4"/>
    <n v="3"/>
    <x v="0"/>
    <n v="110300"/>
    <n v="10400"/>
    <n v="120700"/>
    <s v="E"/>
    <d v="2014-06-06T00:00:00"/>
    <x v="1"/>
  </r>
  <r>
    <x v="293"/>
    <x v="0"/>
    <n v="35"/>
    <x v="0"/>
    <x v="0"/>
    <x v="0"/>
    <n v="12.9"/>
    <n v="6.8"/>
    <x v="3"/>
    <n v="3"/>
    <x v="0"/>
    <n v="105000"/>
    <n v="4800"/>
    <n v="109800"/>
    <s v="E"/>
    <d v="2013-01-27T00:00:00"/>
    <x v="0"/>
  </r>
  <r>
    <x v="294"/>
    <x v="1"/>
    <n v="37"/>
    <x v="1"/>
    <x v="3"/>
    <x v="1"/>
    <n v="12.3"/>
    <n v="5.6"/>
    <x v="3"/>
    <n v="3"/>
    <x v="1"/>
    <n v="43300"/>
    <n v="3200"/>
    <n v="46500"/>
    <s v="A"/>
    <d v="2013-08-28T00:00:00"/>
    <x v="1"/>
  </r>
  <r>
    <x v="295"/>
    <x v="0"/>
    <n v="31"/>
    <x v="0"/>
    <x v="0"/>
    <x v="1"/>
    <n v="13.9"/>
    <n v="9.5"/>
    <x v="3"/>
    <n v="3"/>
    <x v="0"/>
    <n v="103000"/>
    <n v="9900"/>
    <n v="112900"/>
    <s v="E"/>
    <d v="2012-02-08T00:00:00"/>
    <x v="1"/>
  </r>
  <r>
    <x v="296"/>
    <x v="1"/>
    <n v="42"/>
    <x v="5"/>
    <x v="9"/>
    <x v="2"/>
    <n v="10.9"/>
    <n v="7.7"/>
    <x v="4"/>
    <n v="2"/>
    <x v="0"/>
    <n v="113300"/>
    <n v="11300"/>
    <n v="124600"/>
    <s v="E"/>
    <d v="2015-02-11T00:00:00"/>
    <x v="2"/>
  </r>
  <r>
    <x v="297"/>
    <x v="1"/>
    <n v="32"/>
    <x v="0"/>
    <x v="2"/>
    <x v="1"/>
    <n v="2.5"/>
    <n v="2.1"/>
    <x v="0"/>
    <n v="3"/>
    <x v="0"/>
    <n v="64800"/>
    <n v="3300"/>
    <n v="68100"/>
    <s v="B"/>
    <d v="2023-07-06T00:00:00"/>
    <x v="1"/>
  </r>
  <r>
    <x v="298"/>
    <x v="0"/>
    <n v="23"/>
    <x v="0"/>
    <x v="2"/>
    <x v="1"/>
    <n v="1.7"/>
    <n v="0"/>
    <x v="0"/>
    <n v="4"/>
    <x v="0"/>
    <n v="65400"/>
    <n v="3800"/>
    <n v="69200"/>
    <s v="C"/>
    <d v="2024-04-24T00:00:00"/>
    <x v="1"/>
  </r>
  <r>
    <x v="299"/>
    <x v="1"/>
    <n v="34"/>
    <x v="3"/>
    <x v="5"/>
    <x v="1"/>
    <n v="10.1"/>
    <n v="6.3"/>
    <x v="4"/>
    <n v="3"/>
    <x v="0"/>
    <n v="84700"/>
    <n v="6400"/>
    <n v="91100"/>
    <s v="D"/>
    <d v="2015-11-19T00:00:00"/>
    <x v="1"/>
  </r>
  <r>
    <x v="300"/>
    <x v="0"/>
    <n v="23"/>
    <x v="0"/>
    <x v="0"/>
    <x v="0"/>
    <n v="3.1"/>
    <n v="1.9"/>
    <x v="1"/>
    <n v="4"/>
    <x v="1"/>
    <n v="60700"/>
    <n v="5400"/>
    <n v="66100"/>
    <s v="B"/>
    <d v="2022-12-11T00:00:00"/>
    <x v="0"/>
  </r>
  <r>
    <x v="301"/>
    <x v="0"/>
    <n v="26"/>
    <x v="3"/>
    <x v="13"/>
    <x v="2"/>
    <n v="12.2"/>
    <n v="6.4"/>
    <x v="3"/>
    <n v="4"/>
    <x v="0"/>
    <n v="114300"/>
    <n v="6200"/>
    <n v="120500"/>
    <s v="E"/>
    <d v="2013-10-27T00:00:00"/>
    <x v="2"/>
  </r>
  <r>
    <x v="302"/>
    <x v="1"/>
    <n v="46"/>
    <x v="0"/>
    <x v="0"/>
    <x v="2"/>
    <n v="6.7"/>
    <n v="3.3"/>
    <x v="2"/>
    <n v="3"/>
    <x v="0"/>
    <n v="105400"/>
    <n v="6000"/>
    <n v="111400"/>
    <s v="E"/>
    <d v="2019-04-27T00:00:00"/>
    <x v="2"/>
  </r>
  <r>
    <x v="303"/>
    <x v="1"/>
    <n v="50"/>
    <x v="3"/>
    <x v="13"/>
    <x v="2"/>
    <n v="13.1"/>
    <n v="8.9"/>
    <x v="3"/>
    <n v="4"/>
    <x v="0"/>
    <n v="128200"/>
    <n v="10500"/>
    <n v="138700"/>
    <s v="E"/>
    <d v="2012-11-14T00:00:00"/>
    <x v="2"/>
  </r>
  <r>
    <x v="304"/>
    <x v="0"/>
    <n v="23"/>
    <x v="4"/>
    <x v="16"/>
    <x v="0"/>
    <n v="13.2"/>
    <n v="10.199999999999999"/>
    <x v="3"/>
    <n v="4"/>
    <x v="0"/>
    <n v="110100"/>
    <n v="7700"/>
    <n v="117800"/>
    <s v="E"/>
    <d v="2012-10-28T00:00:00"/>
    <x v="0"/>
  </r>
  <r>
    <x v="305"/>
    <x v="1"/>
    <n v="40"/>
    <x v="0"/>
    <x v="0"/>
    <x v="1"/>
    <n v="3.8"/>
    <n v="0.5"/>
    <x v="1"/>
    <n v="2"/>
    <x v="0"/>
    <n v="94800"/>
    <n v="8100"/>
    <n v="102900"/>
    <s v="D"/>
    <d v="2022-02-26T00:00:00"/>
    <x v="1"/>
  </r>
  <r>
    <x v="306"/>
    <x v="1"/>
    <n v="47"/>
    <x v="4"/>
    <x v="8"/>
    <x v="1"/>
    <n v="9.9"/>
    <n v="6.8"/>
    <x v="4"/>
    <n v="5"/>
    <x v="0"/>
    <n v="101900"/>
    <n v="10700"/>
    <n v="112600"/>
    <s v="E"/>
    <d v="2016-02-06T00:00:00"/>
    <x v="1"/>
  </r>
  <r>
    <x v="307"/>
    <x v="1"/>
    <n v="21"/>
    <x v="2"/>
    <x v="4"/>
    <x v="1"/>
    <n v="12.9"/>
    <n v="7.4"/>
    <x v="3"/>
    <n v="5"/>
    <x v="2"/>
    <n v="66500"/>
    <n v="4900"/>
    <n v="71400"/>
    <s v="C"/>
    <d v="2013-02-16T00:00:00"/>
    <x v="1"/>
  </r>
  <r>
    <x v="308"/>
    <x v="0"/>
    <n v="47"/>
    <x v="0"/>
    <x v="0"/>
    <x v="0"/>
    <n v="8.8000000000000007"/>
    <n v="7.4"/>
    <x v="2"/>
    <n v="3"/>
    <x v="0"/>
    <n v="100800"/>
    <n v="13300"/>
    <n v="114100"/>
    <s v="E"/>
    <d v="2017-03-11T00:00:00"/>
    <x v="0"/>
  </r>
  <r>
    <x v="309"/>
    <x v="0"/>
    <n v="29"/>
    <x v="1"/>
    <x v="7"/>
    <x v="0"/>
    <n v="1.1000000000000001"/>
    <n v="1.1000000000000001"/>
    <x v="0"/>
    <n v="5"/>
    <x v="0"/>
    <n v="76000"/>
    <n v="3900"/>
    <n v="79900"/>
    <s v="C"/>
    <d v="2024-12-04T00:00:00"/>
    <x v="0"/>
  </r>
  <r>
    <x v="310"/>
    <x v="1"/>
    <n v="36"/>
    <x v="5"/>
    <x v="9"/>
    <x v="2"/>
    <n v="11.7"/>
    <n v="8.5"/>
    <x v="4"/>
    <n v="1"/>
    <x v="0"/>
    <n v="108000"/>
    <n v="15500"/>
    <n v="123500"/>
    <s v="E"/>
    <d v="2014-04-22T00:00:00"/>
    <x v="2"/>
  </r>
  <r>
    <x v="311"/>
    <x v="1"/>
    <n v="28"/>
    <x v="3"/>
    <x v="13"/>
    <x v="1"/>
    <n v="11.5"/>
    <n v="7.7"/>
    <x v="4"/>
    <n v="3"/>
    <x v="0"/>
    <n v="108900"/>
    <n v="8900"/>
    <n v="117800"/>
    <s v="E"/>
    <d v="2014-07-13T00:00:00"/>
    <x v="1"/>
  </r>
  <r>
    <x v="312"/>
    <x v="1"/>
    <n v="41"/>
    <x v="5"/>
    <x v="17"/>
    <x v="1"/>
    <n v="10.6"/>
    <n v="6.4"/>
    <x v="4"/>
    <n v="1"/>
    <x v="0"/>
    <n v="92000"/>
    <n v="14200"/>
    <n v="106200"/>
    <s v="D"/>
    <d v="2015-05-20T00:00:00"/>
    <x v="1"/>
  </r>
  <r>
    <x v="313"/>
    <x v="1"/>
    <n v="32"/>
    <x v="0"/>
    <x v="2"/>
    <x v="0"/>
    <n v="6.8"/>
    <n v="6.4"/>
    <x v="2"/>
    <n v="3"/>
    <x v="0"/>
    <n v="65400"/>
    <n v="8000"/>
    <n v="73400"/>
    <s v="C"/>
    <d v="2019-03-23T00:00:00"/>
    <x v="0"/>
  </r>
  <r>
    <x v="314"/>
    <x v="1"/>
    <n v="30"/>
    <x v="4"/>
    <x v="8"/>
    <x v="3"/>
    <n v="8.5"/>
    <n v="4.3"/>
    <x v="2"/>
    <n v="3"/>
    <x v="0"/>
    <n v="89600"/>
    <n v="10000"/>
    <n v="99600"/>
    <s v="D"/>
    <d v="2017-07-12T00:00:00"/>
    <x v="3"/>
  </r>
  <r>
    <x v="315"/>
    <x v="0"/>
    <n v="28"/>
    <x v="1"/>
    <x v="7"/>
    <x v="1"/>
    <n v="1.9"/>
    <n v="1.9"/>
    <x v="0"/>
    <n v="3"/>
    <x v="0"/>
    <n v="72700"/>
    <n v="5100"/>
    <n v="77800"/>
    <s v="C"/>
    <d v="2024-01-26T00:00:00"/>
    <x v="1"/>
  </r>
  <r>
    <x v="316"/>
    <x v="0"/>
    <n v="31"/>
    <x v="4"/>
    <x v="16"/>
    <x v="1"/>
    <n v="5.4"/>
    <n v="4.5"/>
    <x v="1"/>
    <n v="3"/>
    <x v="1"/>
    <n v="64700"/>
    <n v="3800"/>
    <n v="68500"/>
    <s v="B"/>
    <d v="2020-08-07T00:00:00"/>
    <x v="1"/>
  </r>
  <r>
    <x v="317"/>
    <x v="1"/>
    <n v="43"/>
    <x v="5"/>
    <x v="9"/>
    <x v="3"/>
    <n v="11.8"/>
    <n v="6"/>
    <x v="4"/>
    <n v="4"/>
    <x v="0"/>
    <n v="131800"/>
    <n v="26900"/>
    <n v="158700"/>
    <s v="E"/>
    <d v="2014-03-20T00:00:00"/>
    <x v="3"/>
  </r>
  <r>
    <x v="318"/>
    <x v="1"/>
    <n v="52"/>
    <x v="3"/>
    <x v="5"/>
    <x v="1"/>
    <n v="4.3"/>
    <n v="1.8"/>
    <x v="1"/>
    <n v="4"/>
    <x v="2"/>
    <n v="63700"/>
    <n v="2600"/>
    <n v="66300"/>
    <s v="B"/>
    <d v="2021-09-25T00:00:00"/>
    <x v="1"/>
  </r>
  <r>
    <x v="319"/>
    <x v="0"/>
    <n v="35"/>
    <x v="0"/>
    <x v="2"/>
    <x v="3"/>
    <n v="2.4"/>
    <n v="1.5"/>
    <x v="0"/>
    <n v="2"/>
    <x v="0"/>
    <n v="61900"/>
    <n v="6900"/>
    <n v="68800"/>
    <s v="B"/>
    <d v="2023-08-24T00:00:00"/>
    <x v="3"/>
  </r>
  <r>
    <x v="320"/>
    <x v="1"/>
    <n v="31"/>
    <x v="4"/>
    <x v="16"/>
    <x v="1"/>
    <n v="7.8"/>
    <n v="5"/>
    <x v="2"/>
    <n v="3"/>
    <x v="0"/>
    <n v="90000"/>
    <n v="10900"/>
    <n v="100900"/>
    <s v="D"/>
    <d v="2018-03-27T00:00:00"/>
    <x v="1"/>
  </r>
  <r>
    <x v="321"/>
    <x v="1"/>
    <n v="32"/>
    <x v="2"/>
    <x v="11"/>
    <x v="2"/>
    <n v="10.4"/>
    <n v="8"/>
    <x v="4"/>
    <n v="3"/>
    <x v="0"/>
    <n v="110800"/>
    <n v="4300"/>
    <n v="115100"/>
    <s v="E"/>
    <d v="2015-08-13T00:00:00"/>
    <x v="2"/>
  </r>
  <r>
    <x v="322"/>
    <x v="0"/>
    <n v="37"/>
    <x v="4"/>
    <x v="6"/>
    <x v="2"/>
    <n v="10.6"/>
    <n v="5.5"/>
    <x v="4"/>
    <n v="4"/>
    <x v="2"/>
    <n v="74100"/>
    <n v="3700"/>
    <n v="77800"/>
    <s v="C"/>
    <d v="2015-05-29T00:00:00"/>
    <x v="2"/>
  </r>
  <r>
    <x v="323"/>
    <x v="0"/>
    <n v="18"/>
    <x v="2"/>
    <x v="4"/>
    <x v="2"/>
    <n v="6.2"/>
    <n v="4"/>
    <x v="2"/>
    <n v="3"/>
    <x v="0"/>
    <n v="74700"/>
    <n v="3200"/>
    <n v="77900"/>
    <s v="C"/>
    <d v="2019-10-24T00:00:00"/>
    <x v="2"/>
  </r>
  <r>
    <x v="324"/>
    <x v="0"/>
    <n v="42"/>
    <x v="3"/>
    <x v="5"/>
    <x v="2"/>
    <n v="4.5"/>
    <n v="3.5"/>
    <x v="1"/>
    <n v="2"/>
    <x v="0"/>
    <n v="60000"/>
    <n v="4500"/>
    <n v="64500"/>
    <s v="B"/>
    <d v="2021-06-20T00:00:00"/>
    <x v="2"/>
  </r>
  <r>
    <x v="325"/>
    <x v="0"/>
    <n v="38"/>
    <x v="0"/>
    <x v="0"/>
    <x v="2"/>
    <n v="13.6"/>
    <n v="8.6"/>
    <x v="3"/>
    <n v="3"/>
    <x v="0"/>
    <n v="95300"/>
    <n v="6900"/>
    <n v="102200"/>
    <s v="D"/>
    <d v="2012-05-19T00:00:00"/>
    <x v="2"/>
  </r>
  <r>
    <x v="326"/>
    <x v="0"/>
    <n v="49"/>
    <x v="4"/>
    <x v="14"/>
    <x v="1"/>
    <n v="2.6"/>
    <n v="1.4"/>
    <x v="0"/>
    <n v="4"/>
    <x v="0"/>
    <n v="95300"/>
    <n v="8000"/>
    <n v="103300"/>
    <s v="D"/>
    <d v="2023-06-14T00:00:00"/>
    <x v="1"/>
  </r>
  <r>
    <x v="327"/>
    <x v="1"/>
    <n v="37"/>
    <x v="4"/>
    <x v="14"/>
    <x v="1"/>
    <n v="9.6999999999999993"/>
    <n v="7.4"/>
    <x v="4"/>
    <n v="3"/>
    <x v="0"/>
    <n v="118300"/>
    <n v="7200"/>
    <n v="125500"/>
    <s v="E"/>
    <d v="2016-04-03T00:00:00"/>
    <x v="1"/>
  </r>
  <r>
    <x v="328"/>
    <x v="0"/>
    <n v="37"/>
    <x v="3"/>
    <x v="5"/>
    <x v="2"/>
    <n v="11.7"/>
    <n v="7.3"/>
    <x v="4"/>
    <n v="3"/>
    <x v="2"/>
    <n v="70700"/>
    <n v="2300"/>
    <n v="73000"/>
    <s v="C"/>
    <d v="2014-04-16T00:00:00"/>
    <x v="2"/>
  </r>
  <r>
    <x v="329"/>
    <x v="0"/>
    <n v="45"/>
    <x v="0"/>
    <x v="2"/>
    <x v="1"/>
    <n v="14"/>
    <n v="11.1"/>
    <x v="3"/>
    <n v="3"/>
    <x v="0"/>
    <n v="78500"/>
    <n v="9200"/>
    <n v="87700"/>
    <s v="C"/>
    <d v="2012-01-05T00:00:00"/>
    <x v="1"/>
  </r>
  <r>
    <x v="330"/>
    <x v="0"/>
    <n v="51"/>
    <x v="0"/>
    <x v="1"/>
    <x v="1"/>
    <n v="4.3"/>
    <n v="3.3"/>
    <x v="1"/>
    <n v="3"/>
    <x v="0"/>
    <n v="67400"/>
    <n v="7300"/>
    <n v="74700"/>
    <s v="C"/>
    <d v="2021-09-08T00:00:00"/>
    <x v="1"/>
  </r>
  <r>
    <x v="331"/>
    <x v="1"/>
    <n v="41"/>
    <x v="2"/>
    <x v="11"/>
    <x v="2"/>
    <n v="10"/>
    <n v="9.1999999999999993"/>
    <x v="4"/>
    <n v="3"/>
    <x v="0"/>
    <n v="109800"/>
    <n v="4800"/>
    <n v="114600"/>
    <s v="E"/>
    <d v="2016-01-05T00:00:00"/>
    <x v="2"/>
  </r>
  <r>
    <x v="332"/>
    <x v="0"/>
    <n v="42"/>
    <x v="0"/>
    <x v="0"/>
    <x v="1"/>
    <n v="6.4"/>
    <n v="4.5999999999999996"/>
    <x v="2"/>
    <n v="2"/>
    <x v="0"/>
    <n v="98600"/>
    <n v="8300"/>
    <n v="106900"/>
    <s v="D"/>
    <d v="2019-07-27T00:00:00"/>
    <x v="1"/>
  </r>
  <r>
    <x v="333"/>
    <x v="0"/>
    <n v="38"/>
    <x v="0"/>
    <x v="2"/>
    <x v="0"/>
    <n v="6.9"/>
    <n v="4"/>
    <x v="2"/>
    <n v="5"/>
    <x v="2"/>
    <n v="52900"/>
    <n v="2500"/>
    <n v="55400"/>
    <s v="B"/>
    <d v="2019-02-04T00:00:00"/>
    <x v="0"/>
  </r>
  <r>
    <x v="334"/>
    <x v="1"/>
    <n v="43"/>
    <x v="0"/>
    <x v="0"/>
    <x v="0"/>
    <n v="3.1"/>
    <n v="3.1"/>
    <x v="1"/>
    <n v="1"/>
    <x v="0"/>
    <n v="80600"/>
    <n v="9300"/>
    <n v="89900"/>
    <s v="D"/>
    <d v="2022-11-09T00:00:00"/>
    <x v="0"/>
  </r>
  <r>
    <x v="335"/>
    <x v="1"/>
    <n v="33"/>
    <x v="5"/>
    <x v="17"/>
    <x v="1"/>
    <n v="7"/>
    <n v="2.5"/>
    <x v="2"/>
    <n v="3"/>
    <x v="1"/>
    <n v="68600"/>
    <n v="14100"/>
    <n v="82700"/>
    <s v="C"/>
    <d v="2019-01-02T00:00:00"/>
    <x v="1"/>
  </r>
  <r>
    <x v="336"/>
    <x v="1"/>
    <n v="24"/>
    <x v="5"/>
    <x v="17"/>
    <x v="3"/>
    <n v="11.7"/>
    <n v="6.3"/>
    <x v="4"/>
    <n v="5"/>
    <x v="0"/>
    <n v="120900"/>
    <n v="25100"/>
    <n v="146000"/>
    <s v="E"/>
    <d v="2014-04-23T00:00:00"/>
    <x v="3"/>
  </r>
  <r>
    <x v="337"/>
    <x v="0"/>
    <n v="28"/>
    <x v="3"/>
    <x v="5"/>
    <x v="2"/>
    <n v="9.3000000000000007"/>
    <n v="6.4"/>
    <x v="4"/>
    <n v="4"/>
    <x v="0"/>
    <n v="81100"/>
    <n v="3600"/>
    <n v="84700"/>
    <s v="D"/>
    <d v="2016-08-30T00:00:00"/>
    <x v="2"/>
  </r>
  <r>
    <x v="338"/>
    <x v="1"/>
    <n v="41"/>
    <x v="0"/>
    <x v="1"/>
    <x v="1"/>
    <n v="10"/>
    <n v="7.6"/>
    <x v="4"/>
    <n v="3"/>
    <x v="0"/>
    <n v="79400"/>
    <n v="8300"/>
    <n v="87700"/>
    <s v="C"/>
    <d v="2015-12-23T00:00:00"/>
    <x v="1"/>
  </r>
  <r>
    <x v="339"/>
    <x v="1"/>
    <n v="41"/>
    <x v="5"/>
    <x v="15"/>
    <x v="3"/>
    <n v="11.6"/>
    <n v="8.1999999999999993"/>
    <x v="4"/>
    <n v="3"/>
    <x v="0"/>
    <n v="75500"/>
    <n v="13100"/>
    <n v="88600"/>
    <s v="C"/>
    <d v="2014-05-24T00:00:00"/>
    <x v="3"/>
  </r>
  <r>
    <x v="340"/>
    <x v="0"/>
    <n v="24"/>
    <x v="1"/>
    <x v="3"/>
    <x v="1"/>
    <n v="6.1"/>
    <n v="2.8"/>
    <x v="2"/>
    <n v="3"/>
    <x v="0"/>
    <n v="74000"/>
    <n v="8400"/>
    <n v="82400"/>
    <s v="C"/>
    <d v="2019-12-08T00:00:00"/>
    <x v="1"/>
  </r>
  <r>
    <x v="341"/>
    <x v="1"/>
    <n v="48"/>
    <x v="2"/>
    <x v="11"/>
    <x v="0"/>
    <n v="6"/>
    <n v="1.9"/>
    <x v="2"/>
    <n v="3"/>
    <x v="0"/>
    <n v="98900"/>
    <n v="9300"/>
    <n v="108200"/>
    <s v="D"/>
    <d v="2020-01-08T00:00:00"/>
    <x v="0"/>
  </r>
  <r>
    <x v="342"/>
    <x v="1"/>
    <n v="36"/>
    <x v="5"/>
    <x v="9"/>
    <x v="3"/>
    <n v="8.9"/>
    <n v="8.1"/>
    <x v="2"/>
    <n v="3"/>
    <x v="0"/>
    <n v="101100"/>
    <n v="17800"/>
    <n v="118900"/>
    <s v="E"/>
    <d v="2017-02-18T00:00:00"/>
    <x v="3"/>
  </r>
  <r>
    <x v="343"/>
    <x v="0"/>
    <n v="29"/>
    <x v="0"/>
    <x v="0"/>
    <x v="1"/>
    <n v="1.3"/>
    <n v="1.3"/>
    <x v="0"/>
    <n v="4"/>
    <x v="0"/>
    <n v="86000"/>
    <n v="6400"/>
    <n v="92400"/>
    <s v="D"/>
    <d v="2024-09-14T00:00:00"/>
    <x v="1"/>
  </r>
  <r>
    <x v="344"/>
    <x v="0"/>
    <n v="37"/>
    <x v="2"/>
    <x v="18"/>
    <x v="1"/>
    <n v="13.4"/>
    <n v="5"/>
    <x v="3"/>
    <n v="3"/>
    <x v="0"/>
    <n v="80000"/>
    <n v="7700"/>
    <n v="87700"/>
    <s v="D"/>
    <d v="2012-08-02T00:00:00"/>
    <x v="1"/>
  </r>
  <r>
    <x v="345"/>
    <x v="1"/>
    <n v="52"/>
    <x v="0"/>
    <x v="0"/>
    <x v="0"/>
    <n v="11.7"/>
    <n v="8.4"/>
    <x v="4"/>
    <n v="4"/>
    <x v="2"/>
    <n v="91500"/>
    <n v="6000"/>
    <n v="97500"/>
    <s v="D"/>
    <d v="2014-04-05T00:00:00"/>
    <x v="0"/>
  </r>
  <r>
    <x v="346"/>
    <x v="1"/>
    <n v="43"/>
    <x v="4"/>
    <x v="16"/>
    <x v="1"/>
    <n v="11.7"/>
    <n v="8.3000000000000007"/>
    <x v="4"/>
    <n v="3"/>
    <x v="0"/>
    <n v="111700"/>
    <n v="16200"/>
    <n v="127900"/>
    <s v="E"/>
    <d v="2014-05-06T00:00:00"/>
    <x v="1"/>
  </r>
  <r>
    <x v="347"/>
    <x v="0"/>
    <n v="39"/>
    <x v="1"/>
    <x v="10"/>
    <x v="2"/>
    <n v="6.5"/>
    <n v="4.5"/>
    <x v="2"/>
    <n v="3"/>
    <x v="0"/>
    <n v="91700"/>
    <n v="6000"/>
    <n v="97700"/>
    <s v="D"/>
    <d v="2019-06-16T00:00:00"/>
    <x v="2"/>
  </r>
  <r>
    <x v="348"/>
    <x v="1"/>
    <n v="21"/>
    <x v="1"/>
    <x v="3"/>
    <x v="3"/>
    <n v="1.2"/>
    <n v="0.7"/>
    <x v="0"/>
    <n v="3"/>
    <x v="0"/>
    <n v="75100"/>
    <n v="4600"/>
    <n v="79700"/>
    <s v="C"/>
    <d v="2024-10-04T00:00:00"/>
    <x v="3"/>
  </r>
  <r>
    <x v="349"/>
    <x v="0"/>
    <n v="29"/>
    <x v="2"/>
    <x v="18"/>
    <x v="1"/>
    <n v="5.4"/>
    <n v="4.5"/>
    <x v="1"/>
    <n v="3"/>
    <x v="0"/>
    <n v="59200"/>
    <n v="6000"/>
    <n v="65200"/>
    <s v="B"/>
    <d v="2020-08-06T00:00:00"/>
    <x v="1"/>
  </r>
  <r>
    <x v="350"/>
    <x v="1"/>
    <n v="34"/>
    <x v="4"/>
    <x v="6"/>
    <x v="1"/>
    <n v="7.2"/>
    <n v="5.3"/>
    <x v="2"/>
    <n v="5"/>
    <x v="0"/>
    <n v="84600"/>
    <n v="8300"/>
    <n v="92900"/>
    <s v="D"/>
    <d v="2018-10-19T00:00:00"/>
    <x v="1"/>
  </r>
  <r>
    <x v="351"/>
    <x v="0"/>
    <n v="40"/>
    <x v="5"/>
    <x v="15"/>
    <x v="3"/>
    <n v="1.8"/>
    <n v="0"/>
    <x v="0"/>
    <n v="3"/>
    <x v="0"/>
    <n v="65200"/>
    <n v="12900"/>
    <n v="78100"/>
    <s v="C"/>
    <d v="2024-03-31T00:00:00"/>
    <x v="3"/>
  </r>
  <r>
    <x v="352"/>
    <x v="0"/>
    <n v="30"/>
    <x v="3"/>
    <x v="12"/>
    <x v="1"/>
    <n v="1.9"/>
    <n v="1.3"/>
    <x v="0"/>
    <n v="4"/>
    <x v="0"/>
    <n v="65800"/>
    <n v="2500"/>
    <n v="68300"/>
    <s v="C"/>
    <d v="2024-01-29T00:00:00"/>
    <x v="1"/>
  </r>
  <r>
    <x v="353"/>
    <x v="0"/>
    <n v="41"/>
    <x v="0"/>
    <x v="2"/>
    <x v="0"/>
    <n v="8.5"/>
    <n v="2.9"/>
    <x v="2"/>
    <n v="1"/>
    <x v="1"/>
    <n v="35600"/>
    <n v="3200"/>
    <n v="38800"/>
    <s v="A"/>
    <d v="2017-07-14T00:00:00"/>
    <x v="0"/>
  </r>
  <r>
    <x v="354"/>
    <x v="1"/>
    <n v="40"/>
    <x v="3"/>
    <x v="5"/>
    <x v="2"/>
    <n v="6.7"/>
    <n v="3.7"/>
    <x v="2"/>
    <n v="5"/>
    <x v="0"/>
    <n v="86200"/>
    <n v="7000"/>
    <n v="93200"/>
    <s v="D"/>
    <d v="2019-04-14T00:00:00"/>
    <x v="2"/>
  </r>
  <r>
    <x v="355"/>
    <x v="0"/>
    <n v="47"/>
    <x v="1"/>
    <x v="10"/>
    <x v="1"/>
    <n v="5.6"/>
    <n v="1.7"/>
    <x v="1"/>
    <n v="3"/>
    <x v="0"/>
    <n v="110000"/>
    <n v="10400"/>
    <n v="120400"/>
    <s v="E"/>
    <d v="2020-05-14T00:00:00"/>
    <x v="1"/>
  </r>
  <r>
    <x v="356"/>
    <x v="1"/>
    <n v="42"/>
    <x v="0"/>
    <x v="2"/>
    <x v="1"/>
    <n v="2.1"/>
    <n v="2"/>
    <x v="0"/>
    <n v="5"/>
    <x v="1"/>
    <n v="43700"/>
    <n v="3100"/>
    <n v="46800"/>
    <s v="A"/>
    <d v="2023-11-12T00:00:00"/>
    <x v="1"/>
  </r>
  <r>
    <x v="357"/>
    <x v="1"/>
    <n v="29"/>
    <x v="3"/>
    <x v="13"/>
    <x v="0"/>
    <n v="12.1"/>
    <n v="8.1"/>
    <x v="3"/>
    <n v="3"/>
    <x v="2"/>
    <n v="77400"/>
    <n v="4200"/>
    <n v="81600"/>
    <s v="C"/>
    <d v="2013-11-14T00:00:00"/>
    <x v="0"/>
  </r>
  <r>
    <x v="358"/>
    <x v="1"/>
    <n v="27"/>
    <x v="4"/>
    <x v="16"/>
    <x v="3"/>
    <n v="7.6"/>
    <n v="5"/>
    <x v="2"/>
    <n v="3"/>
    <x v="1"/>
    <n v="70900"/>
    <n v="6500"/>
    <n v="77400"/>
    <s v="C"/>
    <d v="2018-05-11T00:00:00"/>
    <x v="3"/>
  </r>
  <r>
    <x v="359"/>
    <x v="1"/>
    <n v="37"/>
    <x v="1"/>
    <x v="7"/>
    <x v="1"/>
    <n v="9.9"/>
    <n v="4.8"/>
    <x v="4"/>
    <n v="2"/>
    <x v="0"/>
    <n v="78400"/>
    <n v="5700"/>
    <n v="84100"/>
    <s v="C"/>
    <d v="2016-02-02T00:00:00"/>
    <x v="1"/>
  </r>
  <r>
    <x v="360"/>
    <x v="1"/>
    <n v="30"/>
    <x v="5"/>
    <x v="15"/>
    <x v="0"/>
    <n v="13.3"/>
    <n v="9.4"/>
    <x v="3"/>
    <n v="4"/>
    <x v="0"/>
    <n v="81000"/>
    <n v="13600"/>
    <n v="94600"/>
    <s v="D"/>
    <d v="2012-09-29T00:00:00"/>
    <x v="0"/>
  </r>
  <r>
    <x v="361"/>
    <x v="1"/>
    <n v="44"/>
    <x v="2"/>
    <x v="4"/>
    <x v="2"/>
    <n v="12.5"/>
    <n v="9.6999999999999993"/>
    <x v="3"/>
    <n v="4"/>
    <x v="0"/>
    <n v="83000"/>
    <n v="7000"/>
    <n v="90000"/>
    <s v="D"/>
    <d v="2013-07-18T00:00:00"/>
    <x v="2"/>
  </r>
  <r>
    <x v="362"/>
    <x v="0"/>
    <n v="29"/>
    <x v="1"/>
    <x v="3"/>
    <x v="3"/>
    <n v="7.5"/>
    <n v="5.0999999999999996"/>
    <x v="2"/>
    <n v="1"/>
    <x v="0"/>
    <n v="85400"/>
    <n v="3700"/>
    <n v="89100"/>
    <s v="D"/>
    <d v="2018-07-05T00:00:00"/>
    <x v="3"/>
  </r>
  <r>
    <x v="363"/>
    <x v="0"/>
    <n v="30"/>
    <x v="0"/>
    <x v="1"/>
    <x v="2"/>
    <n v="11.9"/>
    <n v="9"/>
    <x v="4"/>
    <n v="5"/>
    <x v="0"/>
    <n v="93800"/>
    <n v="8200"/>
    <n v="102000"/>
    <s v="D"/>
    <d v="2014-02-11T00:00:00"/>
    <x v="2"/>
  </r>
  <r>
    <x v="364"/>
    <x v="1"/>
    <n v="21"/>
    <x v="4"/>
    <x v="16"/>
    <x v="2"/>
    <n v="2.4"/>
    <n v="1"/>
    <x v="0"/>
    <n v="3"/>
    <x v="0"/>
    <n v="94200"/>
    <n v="12200"/>
    <n v="106400"/>
    <s v="D"/>
    <d v="2023-07-26T00:00:00"/>
    <x v="2"/>
  </r>
  <r>
    <x v="365"/>
    <x v="0"/>
    <n v="40"/>
    <x v="0"/>
    <x v="1"/>
    <x v="1"/>
    <n v="13"/>
    <n v="10"/>
    <x v="3"/>
    <n v="4"/>
    <x v="0"/>
    <n v="80200"/>
    <n v="4300"/>
    <n v="84500"/>
    <s v="D"/>
    <d v="2013-01-14T00:00:00"/>
    <x v="1"/>
  </r>
  <r>
    <x v="366"/>
    <x v="0"/>
    <n v="39"/>
    <x v="3"/>
    <x v="13"/>
    <x v="1"/>
    <n v="4"/>
    <n v="4"/>
    <x v="1"/>
    <n v="4"/>
    <x v="1"/>
    <n v="71800"/>
    <n v="3600"/>
    <n v="75400"/>
    <s v="C"/>
    <d v="2021-12-23T00:00:00"/>
    <x v="1"/>
  </r>
  <r>
    <x v="367"/>
    <x v="1"/>
    <n v="33"/>
    <x v="2"/>
    <x v="18"/>
    <x v="1"/>
    <n v="2.5"/>
    <n v="0.8"/>
    <x v="0"/>
    <n v="3"/>
    <x v="0"/>
    <n v="57700"/>
    <n v="4500"/>
    <n v="62200"/>
    <s v="B"/>
    <d v="2023-06-18T00:00:00"/>
    <x v="1"/>
  </r>
  <r>
    <x v="368"/>
    <x v="1"/>
    <n v="42"/>
    <x v="0"/>
    <x v="2"/>
    <x v="2"/>
    <n v="3.3"/>
    <n v="1.6"/>
    <x v="1"/>
    <n v="3"/>
    <x v="0"/>
    <n v="64400"/>
    <n v="5700"/>
    <n v="70100"/>
    <s v="B"/>
    <d v="2022-09-18T00:00:00"/>
    <x v="2"/>
  </r>
  <r>
    <x v="369"/>
    <x v="0"/>
    <n v="30"/>
    <x v="3"/>
    <x v="12"/>
    <x v="0"/>
    <n v="13"/>
    <n v="8.6999999999999993"/>
    <x v="3"/>
    <n v="3"/>
    <x v="0"/>
    <n v="73000"/>
    <n v="3100"/>
    <n v="76100"/>
    <s v="C"/>
    <d v="2012-12-21T00:00:00"/>
    <x v="0"/>
  </r>
  <r>
    <x v="370"/>
    <x v="0"/>
    <n v="50"/>
    <x v="0"/>
    <x v="2"/>
    <x v="1"/>
    <n v="1.7"/>
    <n v="0.7"/>
    <x v="0"/>
    <n v="3"/>
    <x v="0"/>
    <n v="51800"/>
    <n v="4400"/>
    <n v="56200"/>
    <s v="B"/>
    <d v="2024-04-11T00:00:00"/>
    <x v="1"/>
  </r>
  <r>
    <x v="371"/>
    <x v="1"/>
    <n v="27"/>
    <x v="5"/>
    <x v="17"/>
    <x v="1"/>
    <n v="8.4"/>
    <n v="5.4"/>
    <x v="2"/>
    <n v="3"/>
    <x v="0"/>
    <n v="114500"/>
    <n v="8600"/>
    <n v="123100"/>
    <s v="E"/>
    <d v="2017-08-06T00:00:00"/>
    <x v="1"/>
  </r>
  <r>
    <x v="372"/>
    <x v="1"/>
    <n v="41"/>
    <x v="4"/>
    <x v="8"/>
    <x v="1"/>
    <n v="11.3"/>
    <n v="7.5"/>
    <x v="4"/>
    <n v="3"/>
    <x v="0"/>
    <n v="88600"/>
    <n v="7600"/>
    <n v="96200"/>
    <s v="D"/>
    <d v="2014-09-23T00:00:00"/>
    <x v="1"/>
  </r>
  <r>
    <x v="373"/>
    <x v="1"/>
    <n v="29"/>
    <x v="0"/>
    <x v="0"/>
    <x v="0"/>
    <n v="7.5"/>
    <n v="5.3"/>
    <x v="2"/>
    <n v="3"/>
    <x v="0"/>
    <n v="89800"/>
    <n v="6900"/>
    <n v="96700"/>
    <s v="D"/>
    <d v="2018-06-24T00:00:00"/>
    <x v="0"/>
  </r>
  <r>
    <x v="374"/>
    <x v="1"/>
    <n v="32"/>
    <x v="4"/>
    <x v="16"/>
    <x v="2"/>
    <n v="8.1"/>
    <n v="2.1"/>
    <x v="2"/>
    <n v="3"/>
    <x v="0"/>
    <n v="104700"/>
    <n v="15200"/>
    <n v="119900"/>
    <s v="E"/>
    <d v="2017-12-11T00:00:00"/>
    <x v="2"/>
  </r>
  <r>
    <x v="375"/>
    <x v="0"/>
    <n v="41"/>
    <x v="4"/>
    <x v="16"/>
    <x v="3"/>
    <n v="8.4"/>
    <n v="3.1"/>
    <x v="2"/>
    <n v="2"/>
    <x v="2"/>
    <n v="86700"/>
    <n v="6000"/>
    <n v="92700"/>
    <s v="D"/>
    <d v="2017-07-22T00:00:00"/>
    <x v="3"/>
  </r>
  <r>
    <x v="376"/>
    <x v="0"/>
    <n v="37"/>
    <x v="0"/>
    <x v="1"/>
    <x v="2"/>
    <n v="6.7"/>
    <n v="3.6"/>
    <x v="2"/>
    <n v="3"/>
    <x v="0"/>
    <n v="74100"/>
    <n v="3800"/>
    <n v="77900"/>
    <s v="C"/>
    <d v="2019-05-02T00:00:00"/>
    <x v="2"/>
  </r>
  <r>
    <x v="377"/>
    <x v="1"/>
    <n v="37"/>
    <x v="2"/>
    <x v="18"/>
    <x v="0"/>
    <n v="13.6"/>
    <n v="7.7"/>
    <x v="3"/>
    <n v="4"/>
    <x v="0"/>
    <n v="75800"/>
    <n v="7600"/>
    <n v="83400"/>
    <s v="C"/>
    <d v="2012-05-20T00:00:00"/>
    <x v="0"/>
  </r>
  <r>
    <x v="378"/>
    <x v="0"/>
    <n v="35"/>
    <x v="1"/>
    <x v="3"/>
    <x v="3"/>
    <n v="8.8000000000000007"/>
    <n v="4.4000000000000004"/>
    <x v="2"/>
    <n v="5"/>
    <x v="0"/>
    <n v="82700"/>
    <n v="5000"/>
    <n v="87700"/>
    <s v="D"/>
    <d v="2017-03-22T00:00:00"/>
    <x v="3"/>
  </r>
  <r>
    <x v="379"/>
    <x v="1"/>
    <n v="31"/>
    <x v="4"/>
    <x v="6"/>
    <x v="1"/>
    <n v="10.4"/>
    <n v="5.9"/>
    <x v="4"/>
    <n v="3"/>
    <x v="0"/>
    <n v="65500"/>
    <n v="6800"/>
    <n v="72300"/>
    <s v="C"/>
    <d v="2015-08-01T00:00:00"/>
    <x v="1"/>
  </r>
  <r>
    <x v="380"/>
    <x v="1"/>
    <n v="28"/>
    <x v="2"/>
    <x v="4"/>
    <x v="2"/>
    <n v="2.6"/>
    <n v="0"/>
    <x v="0"/>
    <n v="4"/>
    <x v="0"/>
    <n v="75100"/>
    <n v="4500"/>
    <n v="79600"/>
    <s v="C"/>
    <d v="2023-06-11T00:00:00"/>
    <x v="2"/>
  </r>
  <r>
    <x v="381"/>
    <x v="0"/>
    <n v="41"/>
    <x v="0"/>
    <x v="2"/>
    <x v="2"/>
    <n v="6.5"/>
    <n v="3.9"/>
    <x v="2"/>
    <n v="5"/>
    <x v="0"/>
    <n v="78500"/>
    <n v="8700"/>
    <n v="87200"/>
    <s v="C"/>
    <d v="2019-06-19T00:00:00"/>
    <x v="2"/>
  </r>
  <r>
    <x v="382"/>
    <x v="1"/>
    <n v="39"/>
    <x v="4"/>
    <x v="8"/>
    <x v="1"/>
    <n v="3.4"/>
    <n v="1.7"/>
    <x v="1"/>
    <n v="2"/>
    <x v="0"/>
    <n v="79800"/>
    <n v="8200"/>
    <n v="88000"/>
    <s v="C"/>
    <d v="2022-07-28T00:00:00"/>
    <x v="1"/>
  </r>
  <r>
    <x v="383"/>
    <x v="0"/>
    <n v="30"/>
    <x v="4"/>
    <x v="8"/>
    <x v="1"/>
    <n v="4.5"/>
    <n v="2.4"/>
    <x v="1"/>
    <n v="4"/>
    <x v="1"/>
    <n v="49800"/>
    <n v="6600"/>
    <n v="56400"/>
    <s v="A"/>
    <d v="2021-07-02T00:00:00"/>
    <x v="1"/>
  </r>
  <r>
    <x v="384"/>
    <x v="1"/>
    <n v="50"/>
    <x v="3"/>
    <x v="12"/>
    <x v="2"/>
    <n v="13.6"/>
    <n v="7.8"/>
    <x v="3"/>
    <n v="3"/>
    <x v="0"/>
    <n v="93500"/>
    <n v="8300"/>
    <n v="101800"/>
    <s v="D"/>
    <d v="2012-05-29T00:00:00"/>
    <x v="2"/>
  </r>
  <r>
    <x v="385"/>
    <x v="1"/>
    <n v="35"/>
    <x v="5"/>
    <x v="17"/>
    <x v="3"/>
    <n v="3.3"/>
    <n v="0.9"/>
    <x v="1"/>
    <n v="4"/>
    <x v="0"/>
    <n v="102000"/>
    <n v="11800"/>
    <n v="113800"/>
    <s v="E"/>
    <d v="2022-08-28T00:00:00"/>
    <x v="3"/>
  </r>
  <r>
    <x v="386"/>
    <x v="1"/>
    <n v="28"/>
    <x v="3"/>
    <x v="12"/>
    <x v="1"/>
    <n v="5.9"/>
    <n v="1.6"/>
    <x v="1"/>
    <n v="4"/>
    <x v="0"/>
    <n v="65700"/>
    <n v="2100"/>
    <n v="67800"/>
    <s v="C"/>
    <d v="2020-02-24T00:00:00"/>
    <x v="1"/>
  </r>
  <r>
    <x v="387"/>
    <x v="0"/>
    <n v="33"/>
    <x v="4"/>
    <x v="6"/>
    <x v="2"/>
    <n v="2.2000000000000002"/>
    <n v="2.2000000000000002"/>
    <x v="0"/>
    <n v="3"/>
    <x v="0"/>
    <n v="82700"/>
    <n v="7700"/>
    <n v="90400"/>
    <s v="D"/>
    <m/>
    <x v="2"/>
  </r>
  <r>
    <x v="388"/>
    <x v="0"/>
    <n v="36"/>
    <x v="2"/>
    <x v="18"/>
    <x v="2"/>
    <n v="5.5"/>
    <n v="3.2"/>
    <x v="1"/>
    <n v="3"/>
    <x v="2"/>
    <n v="55000"/>
    <n v="5300"/>
    <n v="60300"/>
    <s v="B"/>
    <d v="2020-07-03T00:00:00"/>
    <x v="2"/>
  </r>
  <r>
    <x v="389"/>
    <x v="1"/>
    <n v="46"/>
    <x v="4"/>
    <x v="8"/>
    <x v="1"/>
    <n v="1.7"/>
    <n v="0.6"/>
    <x v="0"/>
    <n v="2"/>
    <x v="0"/>
    <n v="69400"/>
    <n v="3800"/>
    <n v="73200"/>
    <s v="C"/>
    <d v="2024-04-08T00:00:00"/>
    <x v="1"/>
  </r>
  <r>
    <x v="390"/>
    <x v="0"/>
    <n v="32"/>
    <x v="2"/>
    <x v="18"/>
    <x v="1"/>
    <n v="4"/>
    <n v="2.8"/>
    <x v="1"/>
    <n v="2"/>
    <x v="0"/>
    <n v="67100"/>
    <n v="5800"/>
    <n v="72900"/>
    <s v="C"/>
    <d v="2021-12-24T00:00:00"/>
    <x v="1"/>
  </r>
  <r>
    <x v="391"/>
    <x v="1"/>
    <n v="34"/>
    <x v="2"/>
    <x v="18"/>
    <x v="1"/>
    <n v="12"/>
    <n v="8.6"/>
    <x v="3"/>
    <n v="4"/>
    <x v="0"/>
    <n v="87400"/>
    <n v="4700"/>
    <n v="92100"/>
    <s v="D"/>
    <d v="2014-01-01T00:00:00"/>
    <x v="1"/>
  </r>
  <r>
    <x v="392"/>
    <x v="1"/>
    <n v="36"/>
    <x v="5"/>
    <x v="9"/>
    <x v="2"/>
    <n v="2.6"/>
    <n v="2.6"/>
    <x v="0"/>
    <n v="3"/>
    <x v="2"/>
    <n v="83600"/>
    <n v="7400"/>
    <n v="91000"/>
    <s v="D"/>
    <d v="2023-05-30T00:00:00"/>
    <x v="2"/>
  </r>
  <r>
    <x v="393"/>
    <x v="0"/>
    <n v="43"/>
    <x v="5"/>
    <x v="15"/>
    <x v="3"/>
    <n v="6.3"/>
    <n v="4"/>
    <x v="2"/>
    <n v="4"/>
    <x v="1"/>
    <n v="46800"/>
    <n v="8600"/>
    <n v="55400"/>
    <s v="A"/>
    <d v="2019-08-30T00:00:00"/>
    <x v="3"/>
  </r>
  <r>
    <x v="394"/>
    <x v="1"/>
    <n v="46"/>
    <x v="3"/>
    <x v="13"/>
    <x v="1"/>
    <n v="11.4"/>
    <n v="6.6"/>
    <x v="4"/>
    <n v="3"/>
    <x v="2"/>
    <n v="75000"/>
    <n v="3000"/>
    <n v="78000"/>
    <s v="C"/>
    <d v="2014-08-14T00:00:00"/>
    <x v="1"/>
  </r>
  <r>
    <x v="395"/>
    <x v="0"/>
    <n v="34"/>
    <x v="0"/>
    <x v="0"/>
    <x v="2"/>
    <n v="3.2"/>
    <n v="3.2"/>
    <x v="1"/>
    <n v="3"/>
    <x v="0"/>
    <n v="106800"/>
    <n v="4900"/>
    <n v="111700"/>
    <s v="E"/>
    <d v="2022-10-14T00:00:00"/>
    <x v="2"/>
  </r>
  <r>
    <x v="396"/>
    <x v="1"/>
    <n v="40"/>
    <x v="0"/>
    <x v="1"/>
    <x v="1"/>
    <n v="1.2"/>
    <n v="1.2"/>
    <x v="0"/>
    <n v="2"/>
    <x v="0"/>
    <n v="56500"/>
    <n v="6100"/>
    <n v="62600"/>
    <s v="B"/>
    <d v="2024-10-29T00:00:00"/>
    <x v="1"/>
  </r>
  <r>
    <x v="397"/>
    <x v="1"/>
    <n v="37"/>
    <x v="5"/>
    <x v="17"/>
    <x v="3"/>
    <n v="10.4"/>
    <n v="8.3000000000000007"/>
    <x v="4"/>
    <n v="4"/>
    <x v="2"/>
    <n v="104300"/>
    <n v="21800"/>
    <n v="126100"/>
    <s v="E"/>
    <d v="2015-08-26T00:00:00"/>
    <x v="3"/>
  </r>
  <r>
    <x v="398"/>
    <x v="0"/>
    <n v="41"/>
    <x v="5"/>
    <x v="15"/>
    <x v="1"/>
    <n v="3.8"/>
    <n v="0.5"/>
    <x v="1"/>
    <n v="3"/>
    <x v="0"/>
    <n v="56600"/>
    <n v="10400"/>
    <n v="67000"/>
    <s v="B"/>
    <d v="2022-03-24T00:00:00"/>
    <x v="1"/>
  </r>
  <r>
    <x v="399"/>
    <x v="1"/>
    <n v="37"/>
    <x v="2"/>
    <x v="4"/>
    <x v="1"/>
    <n v="11.4"/>
    <n v="6.8"/>
    <x v="4"/>
    <n v="3"/>
    <x v="0"/>
    <n v="80100"/>
    <n v="5300"/>
    <n v="85400"/>
    <s v="D"/>
    <d v="2014-08-23T00:00:00"/>
    <x v="1"/>
  </r>
  <r>
    <x v="400"/>
    <x v="1"/>
    <n v="31"/>
    <x v="2"/>
    <x v="4"/>
    <x v="1"/>
    <n v="1.5"/>
    <n v="0.3"/>
    <x v="0"/>
    <n v="3"/>
    <x v="0"/>
    <n v="72800"/>
    <n v="4100"/>
    <n v="76900"/>
    <s v="C"/>
    <d v="2024-06-24T00:00:00"/>
    <x v="1"/>
  </r>
  <r>
    <x v="401"/>
    <x v="0"/>
    <n v="28"/>
    <x v="2"/>
    <x v="18"/>
    <x v="2"/>
    <n v="3.7"/>
    <n v="3.7"/>
    <x v="1"/>
    <n v="3"/>
    <x v="0"/>
    <n v="74200"/>
    <n v="5700"/>
    <n v="79900"/>
    <s v="C"/>
    <d v="2022-04-11T00:00:00"/>
    <x v="2"/>
  </r>
  <r>
    <x v="402"/>
    <x v="1"/>
    <n v="35"/>
    <x v="2"/>
    <x v="4"/>
    <x v="2"/>
    <n v="12.6"/>
    <n v="7.9"/>
    <x v="3"/>
    <n v="3"/>
    <x v="2"/>
    <n v="64400"/>
    <n v="5500"/>
    <n v="69900"/>
    <s v="B"/>
    <d v="2013-05-13T00:00:00"/>
    <x v="2"/>
  </r>
  <r>
    <x v="403"/>
    <x v="1"/>
    <n v="35"/>
    <x v="3"/>
    <x v="5"/>
    <x v="2"/>
    <n v="5.7"/>
    <n v="3.5"/>
    <x v="1"/>
    <n v="4"/>
    <x v="0"/>
    <n v="90700"/>
    <n v="3200"/>
    <n v="93900"/>
    <s v="D"/>
    <d v="2020-04-24T00:00:00"/>
    <x v="2"/>
  </r>
  <r>
    <x v="404"/>
    <x v="0"/>
    <n v="26"/>
    <x v="5"/>
    <x v="9"/>
    <x v="1"/>
    <n v="9.8000000000000007"/>
    <n v="7.1"/>
    <x v="4"/>
    <n v="3"/>
    <x v="0"/>
    <n v="92300"/>
    <n v="10600"/>
    <n v="102900"/>
    <s v="D"/>
    <d v="2016-03-11T00:00:00"/>
    <x v="1"/>
  </r>
  <r>
    <x v="405"/>
    <x v="1"/>
    <n v="41"/>
    <x v="1"/>
    <x v="3"/>
    <x v="1"/>
    <n v="12.8"/>
    <n v="9.4"/>
    <x v="3"/>
    <n v="2"/>
    <x v="0"/>
    <n v="86800"/>
    <n v="5700"/>
    <n v="92500"/>
    <s v="D"/>
    <d v="2013-03-03T00:00:00"/>
    <x v="1"/>
  </r>
  <r>
    <x v="406"/>
    <x v="0"/>
    <n v="22"/>
    <x v="4"/>
    <x v="16"/>
    <x v="2"/>
    <n v="10.3"/>
    <n v="6.6"/>
    <x v="4"/>
    <n v="5"/>
    <x v="0"/>
    <n v="94600"/>
    <n v="13900"/>
    <n v="108500"/>
    <s v="D"/>
    <d v="2015-10-02T00:00:00"/>
    <x v="2"/>
  </r>
  <r>
    <x v="407"/>
    <x v="1"/>
    <n v="28"/>
    <x v="2"/>
    <x v="18"/>
    <x v="1"/>
    <n v="10.5"/>
    <n v="5.9"/>
    <x v="4"/>
    <n v="3"/>
    <x v="0"/>
    <n v="73100"/>
    <n v="4400"/>
    <n v="77500"/>
    <s v="C"/>
    <d v="2015-07-13T00:00:00"/>
    <x v="1"/>
  </r>
  <r>
    <x v="408"/>
    <x v="1"/>
    <n v="23"/>
    <x v="5"/>
    <x v="15"/>
    <x v="3"/>
    <n v="8"/>
    <m/>
    <x v="2"/>
    <n v="3"/>
    <x v="0"/>
    <n v="69700"/>
    <n v="7800"/>
    <n v="77500"/>
    <s v="C"/>
    <d v="2018-01-16T00:00:00"/>
    <x v="3"/>
  </r>
  <r>
    <x v="409"/>
    <x v="1"/>
    <n v="39"/>
    <x v="1"/>
    <x v="10"/>
    <x v="0"/>
    <n v="8.1999999999999993"/>
    <n v="4.9000000000000004"/>
    <x v="2"/>
    <n v="3"/>
    <x v="2"/>
    <n v="90400"/>
    <n v="5200"/>
    <n v="95600"/>
    <s v="D"/>
    <d v="2017-10-22T00:00:00"/>
    <x v="0"/>
  </r>
  <r>
    <x v="410"/>
    <x v="0"/>
    <n v="24"/>
    <x v="0"/>
    <x v="0"/>
    <x v="2"/>
    <n v="3.5"/>
    <n v="0"/>
    <x v="1"/>
    <n v="4"/>
    <x v="0"/>
    <n v="111200"/>
    <n v="10200"/>
    <n v="121400"/>
    <s v="E"/>
    <d v="2022-06-15T00:00:00"/>
    <x v="2"/>
  </r>
  <r>
    <x v="411"/>
    <x v="1"/>
    <n v="41"/>
    <x v="2"/>
    <x v="4"/>
    <x v="1"/>
    <n v="12.1"/>
    <n v="7.2"/>
    <x v="3"/>
    <n v="3"/>
    <x v="0"/>
    <n v="86100"/>
    <n v="5400"/>
    <n v="91500"/>
    <s v="D"/>
    <d v="2013-11-10T00:00:00"/>
    <x v="1"/>
  </r>
  <r>
    <x v="412"/>
    <x v="0"/>
    <n v="45"/>
    <x v="3"/>
    <x v="12"/>
    <x v="1"/>
    <n v="11.8"/>
    <n v="8.1"/>
    <x v="4"/>
    <n v="4"/>
    <x v="0"/>
    <n v="77600"/>
    <n v="5400"/>
    <n v="83000"/>
    <s v="C"/>
    <d v="2014-03-21T00:00:00"/>
    <x v="1"/>
  </r>
  <r>
    <x v="413"/>
    <x v="0"/>
    <n v="25"/>
    <x v="2"/>
    <x v="4"/>
    <x v="2"/>
    <n v="12.2"/>
    <n v="6.9"/>
    <x v="3"/>
    <n v="3"/>
    <x v="0"/>
    <n v="88000"/>
    <n v="4600"/>
    <n v="92600"/>
    <s v="D"/>
    <d v="2013-10-06T00:00:00"/>
    <x v="2"/>
  </r>
  <r>
    <x v="414"/>
    <x v="1"/>
    <n v="38"/>
    <x v="4"/>
    <x v="6"/>
    <x v="1"/>
    <n v="5.7"/>
    <n v="4.3"/>
    <x v="1"/>
    <n v="4"/>
    <x v="0"/>
    <n v="72000"/>
    <n v="5000"/>
    <n v="77000"/>
    <s v="C"/>
    <d v="2020-05-05T00:00:00"/>
    <x v="1"/>
  </r>
  <r>
    <x v="415"/>
    <x v="0"/>
    <n v="33"/>
    <x v="5"/>
    <x v="9"/>
    <x v="1"/>
    <n v="11.9"/>
    <n v="7.8"/>
    <x v="4"/>
    <n v="3"/>
    <x v="0"/>
    <n v="99600"/>
    <n v="7600"/>
    <n v="107200"/>
    <s v="D"/>
    <d v="2014-01-28T00:00:00"/>
    <x v="1"/>
  </r>
  <r>
    <x v="416"/>
    <x v="0"/>
    <n v="46"/>
    <x v="5"/>
    <x v="9"/>
    <x v="1"/>
    <n v="1.4"/>
    <n v="1.4"/>
    <x v="0"/>
    <n v="5"/>
    <x v="0"/>
    <n v="103000"/>
    <n v="7800"/>
    <n v="110800"/>
    <s v="E"/>
    <d v="2024-08-10T00:00:00"/>
    <x v="1"/>
  </r>
  <r>
    <x v="417"/>
    <x v="1"/>
    <n v="31"/>
    <x v="3"/>
    <x v="13"/>
    <x v="1"/>
    <n v="10.9"/>
    <n v="9.3000000000000007"/>
    <x v="4"/>
    <n v="4"/>
    <x v="0"/>
    <n v="108800"/>
    <n v="8200"/>
    <n v="117000"/>
    <s v="E"/>
    <d v="2015-01-26T00:00:00"/>
    <x v="1"/>
  </r>
  <r>
    <x v="418"/>
    <x v="1"/>
    <n v="39"/>
    <x v="0"/>
    <x v="0"/>
    <x v="1"/>
    <n v="4.7"/>
    <n v="2.2999999999999998"/>
    <x v="1"/>
    <n v="4"/>
    <x v="0"/>
    <n v="108200"/>
    <n v="10600"/>
    <n v="118800"/>
    <s v="E"/>
    <d v="2021-04-09T00:00:00"/>
    <x v="1"/>
  </r>
  <r>
    <x v="419"/>
    <x v="1"/>
    <n v="54"/>
    <x v="1"/>
    <x v="7"/>
    <x v="2"/>
    <n v="10.4"/>
    <n v="7.5"/>
    <x v="4"/>
    <n v="3"/>
    <x v="0"/>
    <n v="89900"/>
    <n v="8900"/>
    <n v="98800"/>
    <s v="D"/>
    <d v="2015-08-12T00:00:00"/>
    <x v="2"/>
  </r>
  <r>
    <x v="420"/>
    <x v="1"/>
    <n v="42"/>
    <x v="1"/>
    <x v="10"/>
    <x v="1"/>
    <n v="1.9"/>
    <n v="0"/>
    <x v="0"/>
    <n v="3"/>
    <x v="2"/>
    <n v="79400"/>
    <n v="5700"/>
    <n v="85100"/>
    <s v="C"/>
    <d v="2024-02-02T00:00:00"/>
    <x v="1"/>
  </r>
  <r>
    <x v="421"/>
    <x v="1"/>
    <n v="43"/>
    <x v="3"/>
    <x v="12"/>
    <x v="2"/>
    <n v="6.4"/>
    <n v="6.4"/>
    <x v="2"/>
    <n v="3"/>
    <x v="0"/>
    <n v="68200"/>
    <n v="4300"/>
    <n v="72500"/>
    <s v="C"/>
    <d v="2019-08-06T00:00:00"/>
    <x v="2"/>
  </r>
  <r>
    <x v="422"/>
    <x v="1"/>
    <n v="35"/>
    <x v="4"/>
    <x v="16"/>
    <x v="0"/>
    <n v="8.1"/>
    <n v="3.7"/>
    <x v="2"/>
    <n v="3"/>
    <x v="0"/>
    <n v="97800"/>
    <n v="7500"/>
    <n v="105300"/>
    <s v="D"/>
    <d v="2017-12-07T00:00:00"/>
    <x v="0"/>
  </r>
  <r>
    <x v="423"/>
    <x v="1"/>
    <n v="45"/>
    <x v="4"/>
    <x v="14"/>
    <x v="2"/>
    <n v="3.6"/>
    <n v="1.8"/>
    <x v="1"/>
    <n v="4"/>
    <x v="0"/>
    <n v="109600"/>
    <n v="5700"/>
    <n v="115300"/>
    <s v="E"/>
    <d v="2022-05-25T00:00:00"/>
    <x v="2"/>
  </r>
  <r>
    <x v="424"/>
    <x v="0"/>
    <n v="43"/>
    <x v="5"/>
    <x v="15"/>
    <x v="2"/>
    <n v="9.4"/>
    <n v="5.2"/>
    <x v="4"/>
    <n v="4"/>
    <x v="0"/>
    <n v="79200"/>
    <n v="15000"/>
    <n v="94200"/>
    <s v="C"/>
    <d v="2016-08-02T00:00:00"/>
    <x v="2"/>
  </r>
  <r>
    <x v="425"/>
    <x v="0"/>
    <n v="35"/>
    <x v="2"/>
    <x v="4"/>
    <x v="2"/>
    <n v="8.4"/>
    <n v="6"/>
    <x v="2"/>
    <n v="4"/>
    <x v="0"/>
    <n v="72100"/>
    <n v="5700"/>
    <n v="77800"/>
    <s v="C"/>
    <d v="2017-08-14T00:00:00"/>
    <x v="2"/>
  </r>
  <r>
    <x v="426"/>
    <x v="1"/>
    <n v="29"/>
    <x v="4"/>
    <x v="8"/>
    <x v="2"/>
    <n v="1.4"/>
    <n v="0.4"/>
    <x v="0"/>
    <n v="4"/>
    <x v="0"/>
    <n v="79800"/>
    <n v="8000"/>
    <n v="87800"/>
    <s v="C"/>
    <d v="2024-08-11T00:00:00"/>
    <x v="2"/>
  </r>
  <r>
    <x v="427"/>
    <x v="0"/>
    <n v="38"/>
    <x v="5"/>
    <x v="17"/>
    <x v="1"/>
    <n v="9.6"/>
    <n v="6.9"/>
    <x v="4"/>
    <n v="4"/>
    <x v="0"/>
    <n v="110300"/>
    <n v="13800"/>
    <n v="124100"/>
    <s v="E"/>
    <d v="2016-06-12T00:00:00"/>
    <x v="1"/>
  </r>
  <r>
    <x v="428"/>
    <x v="0"/>
    <n v="29"/>
    <x v="3"/>
    <x v="12"/>
    <x v="2"/>
    <n v="5.3"/>
    <n v="3.5"/>
    <x v="1"/>
    <n v="3"/>
    <x v="0"/>
    <n v="67600"/>
    <n v="5200"/>
    <n v="72800"/>
    <s v="C"/>
    <d v="2020-09-09T00:00:00"/>
    <x v="2"/>
  </r>
  <r>
    <x v="429"/>
    <x v="1"/>
    <n v="35"/>
    <x v="0"/>
    <x v="1"/>
    <x v="2"/>
    <n v="8"/>
    <n v="5.0999999999999996"/>
    <x v="2"/>
    <n v="3"/>
    <x v="0"/>
    <n v="72100"/>
    <n v="8400"/>
    <n v="80500"/>
    <s v="C"/>
    <d v="2018-01-04T00:00:00"/>
    <x v="2"/>
  </r>
  <r>
    <x v="430"/>
    <x v="0"/>
    <n v="31"/>
    <x v="4"/>
    <x v="14"/>
    <x v="1"/>
    <n v="3.5"/>
    <n v="2.6"/>
    <x v="1"/>
    <n v="4"/>
    <x v="0"/>
    <n v="104600"/>
    <n v="10100"/>
    <n v="114700"/>
    <s v="E"/>
    <d v="2022-07-07T00:00:00"/>
    <x v="1"/>
  </r>
  <r>
    <x v="431"/>
    <x v="0"/>
    <n v="30"/>
    <x v="0"/>
    <x v="2"/>
    <x v="1"/>
    <n v="8.6999999999999993"/>
    <n v="6.2"/>
    <x v="2"/>
    <n v="3"/>
    <x v="0"/>
    <n v="71100"/>
    <n v="6600"/>
    <n v="77700"/>
    <s v="C"/>
    <d v="2017-04-18T00:00:00"/>
    <x v="1"/>
  </r>
  <r>
    <x v="432"/>
    <x v="0"/>
    <n v="47"/>
    <x v="3"/>
    <x v="12"/>
    <x v="0"/>
    <n v="10.7"/>
    <n v="5.7"/>
    <x v="4"/>
    <n v="4"/>
    <x v="0"/>
    <n v="66300"/>
    <n v="3800"/>
    <n v="70100"/>
    <s v="C"/>
    <d v="2015-04-10T00:00:00"/>
    <x v="0"/>
  </r>
  <r>
    <x v="433"/>
    <x v="0"/>
    <n v="39"/>
    <x v="1"/>
    <x v="3"/>
    <x v="1"/>
    <n v="5"/>
    <n v="3.4"/>
    <x v="1"/>
    <n v="5"/>
    <x v="0"/>
    <n v="77600"/>
    <n v="7100"/>
    <n v="84700"/>
    <s v="C"/>
    <d v="2021-01-01T00:00:00"/>
    <x v="1"/>
  </r>
  <r>
    <x v="434"/>
    <x v="1"/>
    <n v="37"/>
    <x v="0"/>
    <x v="1"/>
    <x v="2"/>
    <n v="3.4"/>
    <n v="2.9"/>
    <x v="1"/>
    <n v="3"/>
    <x v="0"/>
    <n v="76400"/>
    <n v="8300"/>
    <n v="84700"/>
    <s v="C"/>
    <d v="2022-07-23T00:00:00"/>
    <x v="2"/>
  </r>
  <r>
    <x v="435"/>
    <x v="1"/>
    <n v="26"/>
    <x v="5"/>
    <x v="9"/>
    <x v="2"/>
    <n v="6.4"/>
    <n v="3.9"/>
    <x v="2"/>
    <n v="3"/>
    <x v="0"/>
    <n v="91800"/>
    <n v="17800"/>
    <n v="109600"/>
    <s v="D"/>
    <d v="2019-07-22T00:00:00"/>
    <x v="2"/>
  </r>
  <r>
    <x v="436"/>
    <x v="1"/>
    <n v="23"/>
    <x v="1"/>
    <x v="3"/>
    <x v="1"/>
    <n v="9.5"/>
    <n v="5.2"/>
    <x v="4"/>
    <n v="3"/>
    <x v="0"/>
    <n v="82800"/>
    <n v="9100"/>
    <n v="91900"/>
    <s v="D"/>
    <d v="2016-07-04T00:00:00"/>
    <x v="1"/>
  </r>
  <r>
    <x v="437"/>
    <x v="1"/>
    <n v="30"/>
    <x v="4"/>
    <x v="6"/>
    <x v="1"/>
    <n v="7.5"/>
    <n v="5.5"/>
    <x v="2"/>
    <n v="3"/>
    <x v="0"/>
    <n v="81000"/>
    <n v="11300"/>
    <n v="92300"/>
    <s v="D"/>
    <d v="2018-06-26T00:00:00"/>
    <x v="1"/>
  </r>
  <r>
    <x v="438"/>
    <x v="1"/>
    <n v="26"/>
    <x v="1"/>
    <x v="10"/>
    <x v="1"/>
    <n v="13.1"/>
    <n v="8"/>
    <x v="3"/>
    <n v="3"/>
    <x v="2"/>
    <n v="95400"/>
    <n v="4800"/>
    <n v="100200"/>
    <s v="D"/>
    <d v="2012-12-05T00:00:00"/>
    <x v="1"/>
  </r>
  <r>
    <x v="439"/>
    <x v="1"/>
    <n v="37"/>
    <x v="3"/>
    <x v="5"/>
    <x v="2"/>
    <n v="9.1999999999999993"/>
    <n v="6"/>
    <x v="4"/>
    <n v="5"/>
    <x v="0"/>
    <n v="80000"/>
    <n v="3900"/>
    <n v="83900"/>
    <s v="D"/>
    <d v="2016-10-20T00:00:00"/>
    <x v="2"/>
  </r>
  <r>
    <x v="440"/>
    <x v="1"/>
    <n v="40"/>
    <x v="2"/>
    <x v="18"/>
    <x v="2"/>
    <n v="5.3"/>
    <n v="3.3"/>
    <x v="1"/>
    <n v="3"/>
    <x v="1"/>
    <n v="49200"/>
    <n v="3800"/>
    <n v="53000"/>
    <s v="A"/>
    <d v="2020-09-19T00:00:00"/>
    <x v="2"/>
  </r>
  <r>
    <x v="441"/>
    <x v="1"/>
    <n v="33"/>
    <x v="3"/>
    <x v="13"/>
    <x v="1"/>
    <n v="12.2"/>
    <n v="7.4"/>
    <x v="3"/>
    <n v="2"/>
    <x v="0"/>
    <n v="100700"/>
    <n v="6800"/>
    <n v="107500"/>
    <s v="E"/>
    <d v="2013-11-06T00:00:00"/>
    <x v="1"/>
  </r>
  <r>
    <x v="442"/>
    <x v="0"/>
    <n v="32"/>
    <x v="2"/>
    <x v="11"/>
    <x v="1"/>
    <n v="5.6"/>
    <n v="4"/>
    <x v="1"/>
    <n v="3"/>
    <x v="0"/>
    <n v="104600"/>
    <n v="7100"/>
    <n v="111700"/>
    <s v="E"/>
    <d v="2020-06-08T00:00:00"/>
    <x v="1"/>
  </r>
  <r>
    <x v="443"/>
    <x v="1"/>
    <n v="45"/>
    <x v="5"/>
    <x v="17"/>
    <x v="2"/>
    <n v="9.5"/>
    <n v="6.8"/>
    <x v="4"/>
    <n v="3"/>
    <x v="0"/>
    <n v="112200"/>
    <n v="11900"/>
    <n v="124100"/>
    <s v="E"/>
    <d v="2016-06-23T00:00:00"/>
    <x v="2"/>
  </r>
  <r>
    <x v="444"/>
    <x v="1"/>
    <n v="48"/>
    <x v="4"/>
    <x v="14"/>
    <x v="2"/>
    <n v="6.5"/>
    <n v="2.5"/>
    <x v="2"/>
    <n v="3"/>
    <x v="0"/>
    <n v="110000"/>
    <n v="7800"/>
    <n v="117800"/>
    <s v="E"/>
    <d v="2019-06-17T00:00:00"/>
    <x v="2"/>
  </r>
  <r>
    <x v="445"/>
    <x v="0"/>
    <n v="41"/>
    <x v="2"/>
    <x v="11"/>
    <x v="1"/>
    <n v="8.6999999999999993"/>
    <n v="7.6"/>
    <x v="2"/>
    <n v="3"/>
    <x v="0"/>
    <n v="103200"/>
    <n v="3800"/>
    <n v="107000"/>
    <s v="E"/>
    <d v="2017-05-05T00:00:00"/>
    <x v="1"/>
  </r>
  <r>
    <x v="446"/>
    <x v="1"/>
    <n v="41"/>
    <x v="0"/>
    <x v="0"/>
    <x v="2"/>
    <n v="6.3"/>
    <m/>
    <x v="2"/>
    <n v="4"/>
    <x v="0"/>
    <n v="98300"/>
    <n v="12700"/>
    <n v="111000"/>
    <s v="D"/>
    <d v="2019-09-29T00:00:00"/>
    <x v="2"/>
  </r>
  <r>
    <x v="447"/>
    <x v="1"/>
    <n v="21"/>
    <x v="0"/>
    <x v="0"/>
    <x v="2"/>
    <n v="11.4"/>
    <n v="7.5"/>
    <x v="4"/>
    <n v="3"/>
    <x v="0"/>
    <n v="106300"/>
    <n v="7600"/>
    <n v="113900"/>
    <s v="E"/>
    <d v="2014-08-11T00:00:00"/>
    <x v="2"/>
  </r>
  <r>
    <x v="448"/>
    <x v="1"/>
    <n v="40"/>
    <x v="0"/>
    <x v="2"/>
    <x v="2"/>
    <n v="13.5"/>
    <n v="7.2"/>
    <x v="3"/>
    <n v="3"/>
    <x v="0"/>
    <n v="75200"/>
    <n v="7200"/>
    <n v="82400"/>
    <s v="C"/>
    <d v="2012-06-19T00:00:00"/>
    <x v="2"/>
  </r>
  <r>
    <x v="449"/>
    <x v="0"/>
    <n v="38"/>
    <x v="5"/>
    <x v="15"/>
    <x v="3"/>
    <n v="10"/>
    <n v="5.8"/>
    <x v="4"/>
    <n v="3"/>
    <x v="0"/>
    <n v="71500"/>
    <n v="6800"/>
    <n v="78300"/>
    <s v="C"/>
    <d v="2015-12-15T00:00:00"/>
    <x v="3"/>
  </r>
  <r>
    <x v="450"/>
    <x v="1"/>
    <n v="26"/>
    <x v="3"/>
    <x v="5"/>
    <x v="1"/>
    <n v="10.4"/>
    <n v="8.4"/>
    <x v="4"/>
    <n v="3"/>
    <x v="0"/>
    <n v="71400"/>
    <n v="6300"/>
    <n v="77700"/>
    <s v="C"/>
    <d v="2015-08-18T00:00:00"/>
    <x v="1"/>
  </r>
  <r>
    <x v="451"/>
    <x v="1"/>
    <n v="35"/>
    <x v="4"/>
    <x v="14"/>
    <x v="1"/>
    <n v="2.4"/>
    <n v="2.4"/>
    <x v="0"/>
    <n v="4"/>
    <x v="2"/>
    <n v="85500"/>
    <n v="11300"/>
    <n v="96800"/>
    <s v="D"/>
    <d v="2023-08-19T00:00:00"/>
    <x v="1"/>
  </r>
  <r>
    <x v="452"/>
    <x v="0"/>
    <n v="43"/>
    <x v="5"/>
    <x v="9"/>
    <x v="2"/>
    <n v="9.8000000000000007"/>
    <n v="6.2"/>
    <x v="4"/>
    <n v="3"/>
    <x v="0"/>
    <n v="105800"/>
    <n v="21600"/>
    <n v="127400"/>
    <s v="E"/>
    <d v="2016-03-03T00:00:00"/>
    <x v="2"/>
  </r>
  <r>
    <x v="453"/>
    <x v="0"/>
    <n v="35"/>
    <x v="1"/>
    <x v="7"/>
    <x v="1"/>
    <n v="1.6"/>
    <n v="1.5"/>
    <x v="0"/>
    <n v="3"/>
    <x v="0"/>
    <n v="67400"/>
    <n v="6000"/>
    <n v="73400"/>
    <s v="C"/>
    <d v="2024-05-26T00:00:00"/>
    <x v="1"/>
  </r>
  <r>
    <x v="454"/>
    <x v="1"/>
    <n v="25"/>
    <x v="2"/>
    <x v="18"/>
    <x v="3"/>
    <n v="13.6"/>
    <n v="8.3000000000000007"/>
    <x v="3"/>
    <n v="4"/>
    <x v="0"/>
    <n v="95200"/>
    <n v="5100"/>
    <n v="100300"/>
    <s v="D"/>
    <d v="2012-06-12T00:00:00"/>
    <x v="3"/>
  </r>
  <r>
    <x v="455"/>
    <x v="0"/>
    <n v="35"/>
    <x v="1"/>
    <x v="3"/>
    <x v="1"/>
    <n v="13.7"/>
    <n v="9.6999999999999993"/>
    <x v="3"/>
    <n v="4"/>
    <x v="2"/>
    <n v="79900"/>
    <n v="9100"/>
    <n v="89000"/>
    <s v="C"/>
    <d v="2012-04-11T00:00:00"/>
    <x v="1"/>
  </r>
  <r>
    <x v="456"/>
    <x v="0"/>
    <n v="24"/>
    <x v="4"/>
    <x v="16"/>
    <x v="2"/>
    <n v="8.9"/>
    <n v="5.4"/>
    <x v="2"/>
    <n v="3"/>
    <x v="0"/>
    <n v="99600"/>
    <n v="9500"/>
    <n v="109100"/>
    <s v="D"/>
    <d v="2017-02-03T00:00:00"/>
    <x v="2"/>
  </r>
  <r>
    <x v="457"/>
    <x v="1"/>
    <n v="23"/>
    <x v="5"/>
    <x v="15"/>
    <x v="3"/>
    <n v="13.8"/>
    <n v="9"/>
    <x v="3"/>
    <n v="4"/>
    <x v="0"/>
    <n v="84900"/>
    <n v="11000"/>
    <n v="95900"/>
    <s v="D"/>
    <d v="2012-03-16T00:00:00"/>
    <x v="3"/>
  </r>
  <r>
    <x v="458"/>
    <x v="0"/>
    <n v="38"/>
    <x v="1"/>
    <x v="10"/>
    <x v="2"/>
    <n v="10.3"/>
    <n v="5.7"/>
    <x v="4"/>
    <n v="4"/>
    <x v="2"/>
    <n v="101000"/>
    <n v="11300"/>
    <n v="112300"/>
    <s v="E"/>
    <d v="2015-09-30T00:00:00"/>
    <x v="2"/>
  </r>
  <r>
    <x v="459"/>
    <x v="0"/>
    <n v="47"/>
    <x v="0"/>
    <x v="0"/>
    <x v="1"/>
    <n v="8"/>
    <n v="5.8"/>
    <x v="2"/>
    <n v="2"/>
    <x v="0"/>
    <n v="97500"/>
    <n v="11300"/>
    <n v="108800"/>
    <s v="D"/>
    <d v="2017-12-25T00:00:00"/>
    <x v="1"/>
  </r>
  <r>
    <x v="460"/>
    <x v="0"/>
    <n v="31"/>
    <x v="2"/>
    <x v="11"/>
    <x v="1"/>
    <n v="2.9"/>
    <n v="2.6"/>
    <x v="0"/>
    <n v="4"/>
    <x v="0"/>
    <n v="83100"/>
    <n v="7800"/>
    <n v="90900"/>
    <s v="D"/>
    <d v="2023-02-16T00:00:00"/>
    <x v="1"/>
  </r>
  <r>
    <x v="461"/>
    <x v="0"/>
    <n v="23"/>
    <x v="4"/>
    <x v="6"/>
    <x v="3"/>
    <n v="6.5"/>
    <n v="3.1"/>
    <x v="2"/>
    <n v="3"/>
    <x v="0"/>
    <n v="72600"/>
    <n v="8800"/>
    <n v="81400"/>
    <s v="C"/>
    <d v="2019-06-20T00:00:00"/>
    <x v="3"/>
  </r>
  <r>
    <x v="462"/>
    <x v="0"/>
    <n v="59"/>
    <x v="3"/>
    <x v="13"/>
    <x v="1"/>
    <n v="13.1"/>
    <n v="8.1"/>
    <x v="3"/>
    <n v="4"/>
    <x v="2"/>
    <n v="93800"/>
    <n v="6200"/>
    <n v="100000"/>
    <s v="D"/>
    <d v="2012-12-05T00:00:00"/>
    <x v="1"/>
  </r>
  <r>
    <x v="463"/>
    <x v="0"/>
    <n v="44"/>
    <x v="2"/>
    <x v="4"/>
    <x v="1"/>
    <n v="8.4"/>
    <n v="4.8"/>
    <x v="2"/>
    <n v="5"/>
    <x v="0"/>
    <n v="84400"/>
    <n v="5600"/>
    <n v="90000"/>
    <s v="D"/>
    <d v="2017-07-22T00:00:00"/>
    <x v="1"/>
  </r>
  <r>
    <x v="464"/>
    <x v="0"/>
    <n v="42"/>
    <x v="0"/>
    <x v="0"/>
    <x v="2"/>
    <n v="11.6"/>
    <n v="6.7"/>
    <x v="4"/>
    <n v="2"/>
    <x v="0"/>
    <n v="117000"/>
    <n v="13500"/>
    <n v="130500"/>
    <s v="E"/>
    <d v="2014-05-15T00:00:00"/>
    <x v="2"/>
  </r>
  <r>
    <x v="465"/>
    <x v="1"/>
    <n v="41"/>
    <x v="5"/>
    <x v="17"/>
    <x v="1"/>
    <n v="5.9"/>
    <n v="4.3"/>
    <x v="1"/>
    <n v="4"/>
    <x v="0"/>
    <n v="88900"/>
    <n v="16700"/>
    <n v="105600"/>
    <s v="D"/>
    <d v="2020-01-27T00:00:00"/>
    <x v="1"/>
  </r>
  <r>
    <x v="466"/>
    <x v="0"/>
    <n v="35"/>
    <x v="5"/>
    <x v="17"/>
    <x v="1"/>
    <n v="3.8"/>
    <n v="3.8"/>
    <x v="1"/>
    <n v="4"/>
    <x v="0"/>
    <n v="93200"/>
    <n v="13400"/>
    <n v="106600"/>
    <s v="D"/>
    <d v="2022-03-08T00:00:00"/>
    <x v="1"/>
  </r>
  <r>
    <x v="467"/>
    <x v="0"/>
    <n v="40"/>
    <x v="3"/>
    <x v="12"/>
    <x v="1"/>
    <n v="8.5"/>
    <n v="4.3"/>
    <x v="2"/>
    <n v="5"/>
    <x v="0"/>
    <n v="67500"/>
    <n v="4400"/>
    <n v="71900"/>
    <s v="C"/>
    <d v="2017-06-25T00:00:00"/>
    <x v="1"/>
  </r>
  <r>
    <x v="468"/>
    <x v="1"/>
    <n v="29"/>
    <x v="1"/>
    <x v="10"/>
    <x v="1"/>
    <n v="4.9000000000000004"/>
    <n v="1.1000000000000001"/>
    <x v="1"/>
    <n v="4"/>
    <x v="2"/>
    <n v="83600"/>
    <n v="4800"/>
    <n v="88400"/>
    <s v="D"/>
    <d v="2021-02-20T00:00:00"/>
    <x v="1"/>
  </r>
  <r>
    <x v="469"/>
    <x v="1"/>
    <n v="43"/>
    <x v="5"/>
    <x v="9"/>
    <x v="1"/>
    <n v="4.9000000000000004"/>
    <n v="4.5999999999999996"/>
    <x v="1"/>
    <n v="5"/>
    <x v="0"/>
    <n v="105700"/>
    <n v="12000"/>
    <n v="117700"/>
    <s v="E"/>
    <d v="2021-02-09T00:00:00"/>
    <x v="1"/>
  </r>
  <r>
    <x v="470"/>
    <x v="0"/>
    <n v="31"/>
    <x v="1"/>
    <x v="7"/>
    <x v="1"/>
    <n v="6.8"/>
    <n v="4.5999999999999996"/>
    <x v="2"/>
    <n v="3"/>
    <x v="2"/>
    <n v="58700"/>
    <n v="6300"/>
    <n v="65000"/>
    <s v="B"/>
    <d v="2019-03-29T00:00:00"/>
    <x v="1"/>
  </r>
  <r>
    <x v="471"/>
    <x v="0"/>
    <n v="35"/>
    <x v="4"/>
    <x v="8"/>
    <x v="2"/>
    <n v="9.1"/>
    <n v="5.0999999999999996"/>
    <x v="4"/>
    <n v="3"/>
    <x v="0"/>
    <n v="92200"/>
    <n v="8600"/>
    <n v="100800"/>
    <s v="D"/>
    <d v="2016-11-24T00:00:00"/>
    <x v="2"/>
  </r>
  <r>
    <x v="472"/>
    <x v="0"/>
    <n v="32"/>
    <x v="5"/>
    <x v="17"/>
    <x v="0"/>
    <n v="7.4"/>
    <n v="4.4000000000000004"/>
    <x v="2"/>
    <n v="3"/>
    <x v="0"/>
    <n v="90700"/>
    <n v="8200"/>
    <n v="98900"/>
    <s v="D"/>
    <d v="2018-07-29T00:00:00"/>
    <x v="0"/>
  </r>
  <r>
    <x v="473"/>
    <x v="1"/>
    <n v="31"/>
    <x v="4"/>
    <x v="8"/>
    <x v="1"/>
    <n v="6.5"/>
    <n v="3.5"/>
    <x v="2"/>
    <n v="4"/>
    <x v="0"/>
    <n v="82400"/>
    <n v="10200"/>
    <n v="92600"/>
    <s v="D"/>
    <d v="2019-07-03T00:00:00"/>
    <x v="1"/>
  </r>
  <r>
    <x v="474"/>
    <x v="1"/>
    <n v="33"/>
    <x v="3"/>
    <x v="12"/>
    <x v="1"/>
    <n v="8.4"/>
    <n v="5.0999999999999996"/>
    <x v="2"/>
    <n v="4"/>
    <x v="1"/>
    <n v="43200"/>
    <n v="3000"/>
    <n v="46200"/>
    <s v="A"/>
    <d v="2017-08-15T00:00:00"/>
    <x v="1"/>
  </r>
  <r>
    <x v="475"/>
    <x v="0"/>
    <n v="31"/>
    <x v="4"/>
    <x v="14"/>
    <x v="1"/>
    <n v="4.9000000000000004"/>
    <n v="4.9000000000000004"/>
    <x v="1"/>
    <n v="3"/>
    <x v="0"/>
    <n v="97800"/>
    <n v="6100"/>
    <n v="103900"/>
    <s v="D"/>
    <d v="2021-02-14T00:00:00"/>
    <x v="1"/>
  </r>
  <r>
    <x v="476"/>
    <x v="0"/>
    <n v="43"/>
    <x v="3"/>
    <x v="12"/>
    <x v="1"/>
    <n v="12.9"/>
    <n v="7.3"/>
    <x v="3"/>
    <n v="4"/>
    <x v="0"/>
    <n v="81900"/>
    <n v="3300"/>
    <n v="85200"/>
    <s v="D"/>
    <d v="2013-02-12T00:00:00"/>
    <x v="1"/>
  </r>
  <r>
    <x v="477"/>
    <x v="1"/>
    <n v="22"/>
    <x v="3"/>
    <x v="5"/>
    <x v="1"/>
    <n v="13.9"/>
    <n v="8.9"/>
    <x v="3"/>
    <n v="3"/>
    <x v="0"/>
    <n v="89500"/>
    <n v="6100"/>
    <n v="95600"/>
    <s v="D"/>
    <d v="2012-02-14T00:00:00"/>
    <x v="1"/>
  </r>
  <r>
    <x v="478"/>
    <x v="1"/>
    <n v="31"/>
    <x v="4"/>
    <x v="16"/>
    <x v="1"/>
    <n v="11.4"/>
    <n v="6.2"/>
    <x v="4"/>
    <n v="3"/>
    <x v="0"/>
    <n v="106000"/>
    <n v="10900"/>
    <n v="116900"/>
    <s v="E"/>
    <d v="2014-08-13T00:00:00"/>
    <x v="1"/>
  </r>
  <r>
    <x v="479"/>
    <x v="1"/>
    <n v="29"/>
    <x v="4"/>
    <x v="8"/>
    <x v="0"/>
    <n v="8.1"/>
    <n v="4.5999999999999996"/>
    <x v="2"/>
    <n v="3"/>
    <x v="2"/>
    <n v="62700"/>
    <n v="5000"/>
    <n v="67700"/>
    <s v="B"/>
    <d v="2017-11-27T00:00:00"/>
    <x v="0"/>
  </r>
  <r>
    <x v="480"/>
    <x v="1"/>
    <n v="49"/>
    <x v="2"/>
    <x v="4"/>
    <x v="1"/>
    <n v="8.6999999999999993"/>
    <n v="4.8"/>
    <x v="2"/>
    <n v="4"/>
    <x v="0"/>
    <n v="78500"/>
    <n v="3400"/>
    <n v="81900"/>
    <s v="C"/>
    <d v="2017-04-17T00:00:00"/>
    <x v="1"/>
  </r>
  <r>
    <x v="481"/>
    <x v="0"/>
    <n v="40"/>
    <x v="0"/>
    <x v="2"/>
    <x v="0"/>
    <n v="10.9"/>
    <n v="5.5"/>
    <x v="4"/>
    <n v="3"/>
    <x v="0"/>
    <n v="77900"/>
    <n v="4500"/>
    <n v="82400"/>
    <s v="C"/>
    <d v="2015-01-24T00:00:00"/>
    <x v="0"/>
  </r>
  <r>
    <x v="482"/>
    <x v="1"/>
    <n v="40"/>
    <x v="3"/>
    <x v="5"/>
    <x v="0"/>
    <n v="10.3"/>
    <n v="4.7"/>
    <x v="4"/>
    <n v="3"/>
    <x v="2"/>
    <n v="62400"/>
    <n v="2600"/>
    <n v="65000"/>
    <s v="B"/>
    <d v="2015-09-17T00:00:00"/>
    <x v="0"/>
  </r>
  <r>
    <x v="483"/>
    <x v="0"/>
    <n v="25"/>
    <x v="5"/>
    <x v="9"/>
    <x v="1"/>
    <n v="3.1"/>
    <n v="3.1"/>
    <x v="1"/>
    <n v="2"/>
    <x v="0"/>
    <n v="80100"/>
    <n v="7000"/>
    <n v="87100"/>
    <s v="D"/>
    <d v="2022-11-13T00:00:00"/>
    <x v="1"/>
  </r>
  <r>
    <x v="484"/>
    <x v="0"/>
    <n v="24"/>
    <x v="4"/>
    <x v="6"/>
    <x v="1"/>
    <n v="6.9"/>
    <n v="3.8"/>
    <x v="2"/>
    <n v="3"/>
    <x v="1"/>
    <n v="52700"/>
    <n v="6900"/>
    <n v="59600"/>
    <s v="B"/>
    <d v="2019-02-10T00:00:00"/>
    <x v="1"/>
  </r>
  <r>
    <x v="485"/>
    <x v="1"/>
    <n v="43"/>
    <x v="0"/>
    <x v="2"/>
    <x v="1"/>
    <n v="8"/>
    <n v="3"/>
    <x v="2"/>
    <n v="3"/>
    <x v="0"/>
    <n v="72300"/>
    <n v="4000"/>
    <n v="76300"/>
    <s v="C"/>
    <d v="2018-01-11T00:00:00"/>
    <x v="1"/>
  </r>
  <r>
    <x v="486"/>
    <x v="1"/>
    <n v="40"/>
    <x v="5"/>
    <x v="15"/>
    <x v="2"/>
    <n v="8.9"/>
    <n v="7"/>
    <x v="2"/>
    <n v="2"/>
    <x v="0"/>
    <n v="67900"/>
    <n v="11200"/>
    <n v="79100"/>
    <s v="C"/>
    <d v="2017-02-14T00:00:00"/>
    <x v="2"/>
  </r>
  <r>
    <x v="487"/>
    <x v="1"/>
    <n v="47"/>
    <x v="2"/>
    <x v="11"/>
    <x v="1"/>
    <n v="2.7"/>
    <n v="2.1"/>
    <x v="0"/>
    <n v="4"/>
    <x v="1"/>
    <n v="59400"/>
    <n v="4000"/>
    <n v="63400"/>
    <s v="B"/>
    <d v="2023-04-30T00:00:00"/>
    <x v="1"/>
  </r>
  <r>
    <x v="488"/>
    <x v="1"/>
    <n v="23"/>
    <x v="5"/>
    <x v="9"/>
    <x v="1"/>
    <n v="6.1"/>
    <n v="3.9"/>
    <x v="2"/>
    <n v="5"/>
    <x v="0"/>
    <n v="103100"/>
    <n v="9300"/>
    <n v="112400"/>
    <s v="E"/>
    <d v="2019-12-03T00:00:00"/>
    <x v="1"/>
  </r>
  <r>
    <x v="489"/>
    <x v="1"/>
    <n v="36"/>
    <x v="2"/>
    <x v="4"/>
    <x v="1"/>
    <n v="8"/>
    <n v="5"/>
    <x v="2"/>
    <n v="3"/>
    <x v="0"/>
    <n v="63600"/>
    <n v="4100"/>
    <n v="67700"/>
    <s v="B"/>
    <d v="2017-12-18T00:00:00"/>
    <x v="1"/>
  </r>
  <r>
    <x v="490"/>
    <x v="1"/>
    <n v="23"/>
    <x v="0"/>
    <x v="1"/>
    <x v="0"/>
    <n v="8.8000000000000007"/>
    <n v="5.4"/>
    <x v="2"/>
    <n v="3"/>
    <x v="0"/>
    <n v="81800"/>
    <n v="7400"/>
    <n v="89200"/>
    <s v="D"/>
    <d v="2017-03-23T00:00:00"/>
    <x v="0"/>
  </r>
  <r>
    <x v="491"/>
    <x v="0"/>
    <n v="39"/>
    <x v="3"/>
    <x v="12"/>
    <x v="1"/>
    <n v="9.1"/>
    <n v="5.0999999999999996"/>
    <x v="4"/>
    <n v="3"/>
    <x v="0"/>
    <n v="69000"/>
    <n v="3900"/>
    <n v="72900"/>
    <s v="C"/>
    <d v="2016-11-23T00:00:00"/>
    <x v="1"/>
  </r>
  <r>
    <x v="492"/>
    <x v="1"/>
    <n v="36"/>
    <x v="1"/>
    <x v="3"/>
    <x v="0"/>
    <n v="12.4"/>
    <n v="7.7"/>
    <x v="3"/>
    <n v="4"/>
    <x v="0"/>
    <n v="78800"/>
    <n v="7300"/>
    <n v="86100"/>
    <s v="C"/>
    <d v="2013-08-23T00:00:00"/>
    <x v="0"/>
  </r>
  <r>
    <x v="493"/>
    <x v="1"/>
    <n v="28"/>
    <x v="4"/>
    <x v="14"/>
    <x v="0"/>
    <n v="2.2000000000000002"/>
    <n v="1.1000000000000001"/>
    <x v="0"/>
    <n v="3"/>
    <x v="2"/>
    <n v="81400"/>
    <n v="5800"/>
    <n v="87200"/>
    <s v="D"/>
    <d v="2023-10-24T00:00:00"/>
    <x v="0"/>
  </r>
  <r>
    <x v="494"/>
    <x v="0"/>
    <n v="34"/>
    <x v="3"/>
    <x v="12"/>
    <x v="1"/>
    <n v="6.8"/>
    <n v="6.1"/>
    <x v="2"/>
    <n v="3"/>
    <x v="0"/>
    <n v="70800"/>
    <n v="3500"/>
    <n v="74300"/>
    <s v="C"/>
    <d v="2019-03-31T00:00:00"/>
    <x v="1"/>
  </r>
  <r>
    <x v="495"/>
    <x v="1"/>
    <n v="52"/>
    <x v="4"/>
    <x v="16"/>
    <x v="4"/>
    <n v="1.4"/>
    <n v="1.4"/>
    <x v="0"/>
    <n v="4"/>
    <x v="0"/>
    <n v="81100"/>
    <n v="7000"/>
    <n v="88100"/>
    <s v="D"/>
    <d v="2024-08-25T00:00:00"/>
    <x v="4"/>
  </r>
  <r>
    <x v="496"/>
    <x v="1"/>
    <n v="43"/>
    <x v="5"/>
    <x v="9"/>
    <x v="3"/>
    <n v="3.4"/>
    <n v="1.6"/>
    <x v="1"/>
    <n v="3"/>
    <x v="0"/>
    <n v="107000"/>
    <n v="9300"/>
    <n v="116300"/>
    <s v="E"/>
    <d v="2022-07-21T00:00:00"/>
    <x v="3"/>
  </r>
  <r>
    <x v="497"/>
    <x v="0"/>
    <n v="29"/>
    <x v="4"/>
    <x v="16"/>
    <x v="1"/>
    <n v="6"/>
    <n v="3"/>
    <x v="2"/>
    <n v="3"/>
    <x v="2"/>
    <n v="73000"/>
    <n v="6400"/>
    <n v="79400"/>
    <s v="C"/>
    <d v="2020-01-09T00:00:00"/>
    <x v="1"/>
  </r>
  <r>
    <x v="498"/>
    <x v="1"/>
    <n v="28"/>
    <x v="0"/>
    <x v="1"/>
    <x v="2"/>
    <n v="6.8"/>
    <n v="5.2"/>
    <x v="2"/>
    <n v="3"/>
    <x v="0"/>
    <n v="86100"/>
    <n v="5800"/>
    <n v="91900"/>
    <s v="D"/>
    <d v="2019-03-28T00:00:00"/>
    <x v="2"/>
  </r>
  <r>
    <x v="499"/>
    <x v="1"/>
    <n v="43"/>
    <x v="3"/>
    <x v="5"/>
    <x v="1"/>
    <n v="6"/>
    <n v="3.2"/>
    <x v="2"/>
    <n v="3"/>
    <x v="0"/>
    <n v="79000"/>
    <n v="5500"/>
    <n v="84500"/>
    <s v="C"/>
    <d v="2020-01-03T00:00:00"/>
    <x v="1"/>
  </r>
  <r>
    <x v="500"/>
    <x v="1"/>
    <n v="34"/>
    <x v="0"/>
    <x v="0"/>
    <x v="1"/>
    <n v="13.6"/>
    <n v="8.5"/>
    <x v="3"/>
    <n v="3"/>
    <x v="1"/>
    <n v="65300"/>
    <n v="4000"/>
    <n v="69300"/>
    <s v="C"/>
    <d v="2012-05-19T00:00:00"/>
    <x v="1"/>
  </r>
  <r>
    <x v="501"/>
    <x v="1"/>
    <n v="50"/>
    <x v="0"/>
    <x v="2"/>
    <x v="2"/>
    <n v="2.2000000000000002"/>
    <n v="0.1"/>
    <x v="0"/>
    <n v="3"/>
    <x v="0"/>
    <n v="64800"/>
    <n v="4500"/>
    <n v="69300"/>
    <s v="B"/>
    <d v="2023-11-01T00:00:00"/>
    <x v="2"/>
  </r>
  <r>
    <x v="502"/>
    <x v="1"/>
    <n v="41"/>
    <x v="5"/>
    <x v="17"/>
    <x v="2"/>
    <n v="3.6"/>
    <n v="2.2000000000000002"/>
    <x v="1"/>
    <n v="4"/>
    <x v="0"/>
    <n v="108300"/>
    <n v="19500"/>
    <n v="127800"/>
    <s v="E"/>
    <d v="2022-05-09T00:00:00"/>
    <x v="2"/>
  </r>
  <r>
    <x v="503"/>
    <x v="1"/>
    <n v="21"/>
    <x v="0"/>
    <x v="1"/>
    <x v="2"/>
    <n v="10.4"/>
    <n v="7.5"/>
    <x v="4"/>
    <n v="3"/>
    <x v="0"/>
    <n v="80100"/>
    <n v="10600"/>
    <n v="90700"/>
    <s v="D"/>
    <d v="2015-07-28T00:00:00"/>
    <x v="2"/>
  </r>
  <r>
    <x v="504"/>
    <x v="1"/>
    <n v="40"/>
    <x v="5"/>
    <x v="9"/>
    <x v="1"/>
    <n v="5.4"/>
    <n v="3.2"/>
    <x v="1"/>
    <n v="4"/>
    <x v="0"/>
    <n v="90500"/>
    <n v="7500"/>
    <n v="98000"/>
    <s v="D"/>
    <d v="2020-08-17T00:00:00"/>
    <x v="1"/>
  </r>
  <r>
    <x v="505"/>
    <x v="0"/>
    <n v="32"/>
    <x v="1"/>
    <x v="7"/>
    <x v="1"/>
    <n v="12.9"/>
    <n v="8.6"/>
    <x v="3"/>
    <n v="3"/>
    <x v="0"/>
    <n v="84800"/>
    <n v="9200"/>
    <n v="94000"/>
    <s v="D"/>
    <d v="2013-01-24T00:00:00"/>
    <x v="1"/>
  </r>
  <r>
    <x v="506"/>
    <x v="1"/>
    <n v="21"/>
    <x v="5"/>
    <x v="9"/>
    <x v="2"/>
    <n v="9.5"/>
    <n v="7.1"/>
    <x v="4"/>
    <n v="2"/>
    <x v="0"/>
    <n v="101300"/>
    <n v="11800"/>
    <n v="113100"/>
    <s v="E"/>
    <d v="2016-06-28T00:00:00"/>
    <x v="2"/>
  </r>
  <r>
    <x v="507"/>
    <x v="1"/>
    <n v="33"/>
    <x v="5"/>
    <x v="15"/>
    <x v="1"/>
    <n v="12.4"/>
    <n v="7.8"/>
    <x v="3"/>
    <n v="3"/>
    <x v="0"/>
    <n v="71000"/>
    <n v="10300"/>
    <n v="81300"/>
    <s v="C"/>
    <d v="2013-08-23T00:00:00"/>
    <x v="1"/>
  </r>
  <r>
    <x v="508"/>
    <x v="0"/>
    <n v="24"/>
    <x v="5"/>
    <x v="17"/>
    <x v="2"/>
    <n v="5.2"/>
    <n v="4.5"/>
    <x v="1"/>
    <n v="3"/>
    <x v="1"/>
    <n v="62800"/>
    <n v="10700"/>
    <n v="73500"/>
    <s v="B"/>
    <d v="2020-10-11T00:00:00"/>
    <x v="2"/>
  </r>
  <r>
    <x v="509"/>
    <x v="1"/>
    <n v="40"/>
    <x v="5"/>
    <x v="17"/>
    <x v="3"/>
    <n v="2"/>
    <n v="0"/>
    <x v="0"/>
    <n v="5"/>
    <x v="1"/>
    <n v="61800"/>
    <n v="11400"/>
    <n v="73200"/>
    <s v="B"/>
    <d v="2024-01-17T00:00:00"/>
    <x v="3"/>
  </r>
  <r>
    <x v="510"/>
    <x v="0"/>
    <n v="33"/>
    <x v="4"/>
    <x v="6"/>
    <x v="0"/>
    <n v="1.9"/>
    <n v="1"/>
    <x v="0"/>
    <n v="2"/>
    <x v="0"/>
    <n v="60500"/>
    <n v="8400"/>
    <n v="68900"/>
    <s v="B"/>
    <d v="2024-02-05T00:00:00"/>
    <x v="0"/>
  </r>
  <r>
    <x v="511"/>
    <x v="1"/>
    <n v="33"/>
    <x v="2"/>
    <x v="4"/>
    <x v="0"/>
    <n v="4.9000000000000004"/>
    <n v="2.1"/>
    <x v="1"/>
    <n v="4"/>
    <x v="0"/>
    <n v="74100"/>
    <n v="6000"/>
    <n v="80100"/>
    <s v="C"/>
    <d v="2021-02-21T00:00:00"/>
    <x v="0"/>
  </r>
  <r>
    <x v="512"/>
    <x v="1"/>
    <n v="21"/>
    <x v="4"/>
    <x v="16"/>
    <x v="0"/>
    <n v="9.6"/>
    <n v="6.9"/>
    <x v="4"/>
    <n v="3"/>
    <x v="0"/>
    <n v="104900"/>
    <n v="10600"/>
    <n v="115500"/>
    <s v="E"/>
    <d v="2016-05-14T00:00:00"/>
    <x v="0"/>
  </r>
  <r>
    <x v="513"/>
    <x v="0"/>
    <n v="48"/>
    <x v="5"/>
    <x v="9"/>
    <x v="1"/>
    <n v="8.1"/>
    <n v="1.9"/>
    <x v="2"/>
    <n v="3"/>
    <x v="0"/>
    <n v="83200"/>
    <n v="16600"/>
    <n v="99800"/>
    <s v="D"/>
    <d v="2017-12-03T00:00:00"/>
    <x v="1"/>
  </r>
  <r>
    <x v="514"/>
    <x v="0"/>
    <n v="47"/>
    <x v="4"/>
    <x v="16"/>
    <x v="2"/>
    <n v="1.2"/>
    <n v="1.2"/>
    <x v="0"/>
    <n v="4"/>
    <x v="0"/>
    <n v="96400"/>
    <n v="5700"/>
    <n v="102100"/>
    <s v="D"/>
    <d v="2024-10-10T00:00:00"/>
    <x v="2"/>
  </r>
  <r>
    <x v="515"/>
    <x v="0"/>
    <n v="35"/>
    <x v="0"/>
    <x v="1"/>
    <x v="2"/>
    <n v="8.8000000000000007"/>
    <n v="6.7"/>
    <x v="2"/>
    <n v="3"/>
    <x v="0"/>
    <n v="81700"/>
    <n v="10400"/>
    <n v="92100"/>
    <s v="D"/>
    <d v="2017-03-22T00:00:00"/>
    <x v="2"/>
  </r>
  <r>
    <x v="516"/>
    <x v="1"/>
    <n v="24"/>
    <x v="4"/>
    <x v="8"/>
    <x v="1"/>
    <n v="7"/>
    <n v="3.9"/>
    <x v="2"/>
    <n v="4"/>
    <x v="0"/>
    <n v="94200"/>
    <n v="12100"/>
    <n v="106300"/>
    <s v="D"/>
    <d v="2019-01-18T00:00:00"/>
    <x v="1"/>
  </r>
  <r>
    <x v="517"/>
    <x v="1"/>
    <n v="30"/>
    <x v="3"/>
    <x v="12"/>
    <x v="1"/>
    <n v="3.6"/>
    <n v="2.6"/>
    <x v="1"/>
    <n v="3"/>
    <x v="0"/>
    <n v="63900"/>
    <n v="4200"/>
    <n v="68100"/>
    <s v="B"/>
    <d v="2022-05-29T00:00:00"/>
    <x v="1"/>
  </r>
  <r>
    <x v="518"/>
    <x v="0"/>
    <n v="29"/>
    <x v="1"/>
    <x v="3"/>
    <x v="1"/>
    <n v="3.7"/>
    <n v="3.7"/>
    <x v="1"/>
    <n v="3"/>
    <x v="0"/>
    <n v="70700"/>
    <n v="4000"/>
    <n v="74700"/>
    <s v="C"/>
    <d v="2022-04-07T00:00:00"/>
    <x v="1"/>
  </r>
  <r>
    <x v="519"/>
    <x v="1"/>
    <n v="35"/>
    <x v="4"/>
    <x v="14"/>
    <x v="0"/>
    <n v="11.4"/>
    <n v="6.5"/>
    <x v="4"/>
    <n v="4"/>
    <x v="0"/>
    <n v="122700"/>
    <n v="15600"/>
    <n v="138300"/>
    <s v="E"/>
    <d v="2014-08-11T00:00:00"/>
    <x v="0"/>
  </r>
  <r>
    <x v="520"/>
    <x v="0"/>
    <n v="43"/>
    <x v="0"/>
    <x v="0"/>
    <x v="1"/>
    <n v="7.8"/>
    <n v="5.9"/>
    <x v="2"/>
    <n v="4"/>
    <x v="2"/>
    <n v="82100"/>
    <n v="4100"/>
    <n v="86200"/>
    <s v="D"/>
    <d v="2018-03-25T00:00:00"/>
    <x v="1"/>
  </r>
  <r>
    <x v="521"/>
    <x v="1"/>
    <n v="36"/>
    <x v="2"/>
    <x v="11"/>
    <x v="1"/>
    <n v="9.4"/>
    <n v="6.9"/>
    <x v="4"/>
    <n v="4"/>
    <x v="0"/>
    <n v="102200"/>
    <n v="4000"/>
    <n v="106200"/>
    <s v="E"/>
    <d v="2016-07-30T00:00:00"/>
    <x v="1"/>
  </r>
  <r>
    <x v="522"/>
    <x v="1"/>
    <n v="31"/>
    <x v="0"/>
    <x v="2"/>
    <x v="1"/>
    <n v="4.4000000000000004"/>
    <n v="4.4000000000000004"/>
    <x v="1"/>
    <n v="3"/>
    <x v="0"/>
    <n v="59900"/>
    <n v="4100"/>
    <n v="64000"/>
    <s v="B"/>
    <d v="2021-08-24T00:00:00"/>
    <x v="1"/>
  </r>
  <r>
    <x v="523"/>
    <x v="1"/>
    <n v="25"/>
    <x v="3"/>
    <x v="5"/>
    <x v="0"/>
    <n v="1.7"/>
    <n v="1.5"/>
    <x v="0"/>
    <n v="4"/>
    <x v="0"/>
    <n v="71800"/>
    <n v="6300"/>
    <n v="78100"/>
    <s v="C"/>
    <d v="2024-04-10T00:00:00"/>
    <x v="0"/>
  </r>
  <r>
    <x v="524"/>
    <x v="1"/>
    <n v="33"/>
    <x v="5"/>
    <x v="15"/>
    <x v="1"/>
    <n v="6.2"/>
    <n v="3.9"/>
    <x v="2"/>
    <n v="3"/>
    <x v="0"/>
    <n v="55900"/>
    <n v="10000"/>
    <n v="65900"/>
    <s v="B"/>
    <d v="2019-10-03T00:00:00"/>
    <x v="1"/>
  </r>
  <r>
    <x v="525"/>
    <x v="1"/>
    <n v="32"/>
    <x v="3"/>
    <x v="13"/>
    <x v="1"/>
    <n v="13.6"/>
    <n v="7.1"/>
    <x v="3"/>
    <n v="4"/>
    <x v="0"/>
    <n v="106400"/>
    <n v="8600"/>
    <n v="115000"/>
    <s v="E"/>
    <d v="2012-05-12T00:00:00"/>
    <x v="1"/>
  </r>
  <r>
    <x v="526"/>
    <x v="1"/>
    <n v="44"/>
    <x v="5"/>
    <x v="15"/>
    <x v="2"/>
    <n v="7.7"/>
    <n v="6.6"/>
    <x v="2"/>
    <n v="3"/>
    <x v="0"/>
    <n v="62600"/>
    <n v="12300"/>
    <n v="74900"/>
    <s v="B"/>
    <d v="2018-05-07T00:00:00"/>
    <x v="2"/>
  </r>
  <r>
    <x v="527"/>
    <x v="0"/>
    <n v="41"/>
    <x v="4"/>
    <x v="14"/>
    <x v="1"/>
    <n v="10.7"/>
    <n v="6"/>
    <x v="4"/>
    <n v="3"/>
    <x v="0"/>
    <n v="121700"/>
    <n v="9500"/>
    <n v="131200"/>
    <s v="E"/>
    <d v="2015-04-03T00:00:00"/>
    <x v="1"/>
  </r>
  <r>
    <x v="528"/>
    <x v="1"/>
    <n v="39"/>
    <x v="5"/>
    <x v="9"/>
    <x v="0"/>
    <n v="9.3000000000000007"/>
    <n v="6.2"/>
    <x v="4"/>
    <n v="3"/>
    <x v="0"/>
    <n v="86200"/>
    <n v="13200"/>
    <n v="99400"/>
    <s v="D"/>
    <d v="2016-08-31T00:00:00"/>
    <x v="0"/>
  </r>
  <r>
    <x v="529"/>
    <x v="1"/>
    <n v="41"/>
    <x v="4"/>
    <x v="14"/>
    <x v="1"/>
    <n v="5.6"/>
    <n v="4.4000000000000004"/>
    <x v="1"/>
    <n v="5"/>
    <x v="0"/>
    <n v="113200"/>
    <n v="6300"/>
    <n v="119500"/>
    <s v="E"/>
    <d v="2020-05-20T00:00:00"/>
    <x v="1"/>
  </r>
  <r>
    <x v="530"/>
    <x v="0"/>
    <n v="45"/>
    <x v="4"/>
    <x v="8"/>
    <x v="2"/>
    <n v="6.8"/>
    <n v="1.2"/>
    <x v="2"/>
    <n v="3"/>
    <x v="0"/>
    <n v="83900"/>
    <n v="7900"/>
    <n v="91800"/>
    <s v="D"/>
    <d v="2019-03-14T00:00:00"/>
    <x v="2"/>
  </r>
  <r>
    <x v="531"/>
    <x v="0"/>
    <n v="21"/>
    <x v="1"/>
    <x v="7"/>
    <x v="1"/>
    <n v="1.5"/>
    <n v="1.5"/>
    <x v="0"/>
    <n v="2"/>
    <x v="0"/>
    <n v="69900"/>
    <n v="7400"/>
    <n v="77300"/>
    <s v="C"/>
    <d v="2024-07-20T00:00:00"/>
    <x v="1"/>
  </r>
  <r>
    <x v="532"/>
    <x v="1"/>
    <n v="44"/>
    <x v="2"/>
    <x v="4"/>
    <x v="2"/>
    <n v="7.5"/>
    <n v="3.5"/>
    <x v="2"/>
    <n v="3"/>
    <x v="0"/>
    <n v="90900"/>
    <n v="4400"/>
    <n v="95300"/>
    <s v="D"/>
    <d v="2018-06-29T00:00:00"/>
    <x v="2"/>
  </r>
  <r>
    <x v="533"/>
    <x v="0"/>
    <n v="22"/>
    <x v="5"/>
    <x v="15"/>
    <x v="1"/>
    <n v="3"/>
    <n v="1.4"/>
    <x v="1"/>
    <n v="2"/>
    <x v="0"/>
    <n v="57200"/>
    <n v="9500"/>
    <n v="66700"/>
    <s v="B"/>
    <d v="2022-12-24T00:00:00"/>
    <x v="1"/>
  </r>
  <r>
    <x v="534"/>
    <x v="1"/>
    <n v="47"/>
    <x v="1"/>
    <x v="10"/>
    <x v="2"/>
    <n v="10"/>
    <n v="5.8"/>
    <x v="4"/>
    <n v="4"/>
    <x v="0"/>
    <n v="109500"/>
    <n v="4900"/>
    <n v="114400"/>
    <s v="E"/>
    <d v="2015-12-23T00:00:00"/>
    <x v="2"/>
  </r>
  <r>
    <x v="535"/>
    <x v="0"/>
    <n v="44"/>
    <x v="5"/>
    <x v="17"/>
    <x v="1"/>
    <n v="3.5"/>
    <n v="0"/>
    <x v="1"/>
    <n v="4"/>
    <x v="0"/>
    <n v="86100"/>
    <n v="16200"/>
    <n v="102300"/>
    <s v="D"/>
    <d v="2022-07-13T00:00:00"/>
    <x v="1"/>
  </r>
  <r>
    <x v="536"/>
    <x v="1"/>
    <n v="43"/>
    <x v="1"/>
    <x v="7"/>
    <x v="2"/>
    <n v="9.6"/>
    <n v="7"/>
    <x v="4"/>
    <n v="3"/>
    <x v="0"/>
    <n v="90100"/>
    <n v="6400"/>
    <n v="96500"/>
    <s v="D"/>
    <d v="2016-06-05T00:00:00"/>
    <x v="2"/>
  </r>
  <r>
    <x v="537"/>
    <x v="1"/>
    <n v="33"/>
    <x v="4"/>
    <x v="14"/>
    <x v="1"/>
    <n v="2.9"/>
    <n v="0"/>
    <x v="0"/>
    <n v="5"/>
    <x v="0"/>
    <n v="100900"/>
    <n v="11800"/>
    <n v="112700"/>
    <s v="E"/>
    <d v="2023-02-07T00:00:00"/>
    <x v="1"/>
  </r>
  <r>
    <x v="538"/>
    <x v="0"/>
    <n v="33"/>
    <x v="1"/>
    <x v="7"/>
    <x v="2"/>
    <n v="3"/>
    <n v="1.7"/>
    <x v="1"/>
    <n v="3"/>
    <x v="1"/>
    <n v="54100"/>
    <n v="4100"/>
    <n v="58200"/>
    <s v="B"/>
    <d v="2023-01-01T00:00:00"/>
    <x v="2"/>
  </r>
  <r>
    <x v="539"/>
    <x v="1"/>
    <n v="29"/>
    <x v="4"/>
    <x v="8"/>
    <x v="1"/>
    <n v="7.8"/>
    <n v="3.5"/>
    <x v="2"/>
    <n v="2"/>
    <x v="1"/>
    <n v="43200"/>
    <n v="2500"/>
    <n v="45700"/>
    <s v="A"/>
    <d v="2018-03-08T00:00:00"/>
    <x v="1"/>
  </r>
  <r>
    <x v="540"/>
    <x v="0"/>
    <n v="41"/>
    <x v="1"/>
    <x v="10"/>
    <x v="1"/>
    <n v="10.4"/>
    <n v="5.9"/>
    <x v="4"/>
    <n v="5"/>
    <x v="0"/>
    <n v="104300"/>
    <n v="6000"/>
    <n v="110300"/>
    <s v="E"/>
    <d v="2015-08-05T00:00:00"/>
    <x v="1"/>
  </r>
  <r>
    <x v="541"/>
    <x v="0"/>
    <n v="43"/>
    <x v="4"/>
    <x v="8"/>
    <x v="1"/>
    <n v="13.8"/>
    <n v="9.9"/>
    <x v="3"/>
    <n v="4"/>
    <x v="2"/>
    <n v="68900"/>
    <n v="10100"/>
    <n v="79000"/>
    <s v="C"/>
    <d v="2012-03-15T00:00:00"/>
    <x v="1"/>
  </r>
  <r>
    <x v="542"/>
    <x v="0"/>
    <n v="25"/>
    <x v="3"/>
    <x v="5"/>
    <x v="1"/>
    <n v="8.4"/>
    <n v="4.3"/>
    <x v="2"/>
    <n v="4"/>
    <x v="0"/>
    <n v="80400"/>
    <n v="6800"/>
    <n v="87200"/>
    <s v="D"/>
    <d v="2017-08-20T00:00:00"/>
    <x v="1"/>
  </r>
  <r>
    <x v="543"/>
    <x v="1"/>
    <n v="38"/>
    <x v="3"/>
    <x v="12"/>
    <x v="1"/>
    <n v="12.8"/>
    <n v="5.9"/>
    <x v="3"/>
    <n v="3"/>
    <x v="0"/>
    <n v="80100"/>
    <n v="4100"/>
    <n v="84200"/>
    <s v="D"/>
    <d v="2013-03-13T00:00:00"/>
    <x v="1"/>
  </r>
  <r>
    <x v="544"/>
    <x v="1"/>
    <n v="31"/>
    <x v="2"/>
    <x v="18"/>
    <x v="2"/>
    <n v="9.9"/>
    <n v="4.9000000000000004"/>
    <x v="4"/>
    <n v="3"/>
    <x v="0"/>
    <n v="89300"/>
    <n v="3600"/>
    <n v="92900"/>
    <s v="D"/>
    <d v="2016-01-25T00:00:00"/>
    <x v="2"/>
  </r>
  <r>
    <x v="545"/>
    <x v="0"/>
    <n v="33"/>
    <x v="4"/>
    <x v="14"/>
    <x v="2"/>
    <n v="3.4"/>
    <n v="1.2"/>
    <x v="1"/>
    <n v="3"/>
    <x v="0"/>
    <n v="109600"/>
    <n v="11900"/>
    <n v="121500"/>
    <s v="E"/>
    <d v="2022-07-24T00:00:00"/>
    <x v="2"/>
  </r>
  <r>
    <x v="546"/>
    <x v="1"/>
    <n v="29"/>
    <x v="1"/>
    <x v="3"/>
    <x v="2"/>
    <n v="13.9"/>
    <n v="9.5"/>
    <x v="3"/>
    <n v="3"/>
    <x v="0"/>
    <n v="82900"/>
    <n v="9700"/>
    <n v="92600"/>
    <s v="D"/>
    <d v="2012-02-11T00:00:00"/>
    <x v="2"/>
  </r>
  <r>
    <x v="547"/>
    <x v="0"/>
    <n v="41"/>
    <x v="2"/>
    <x v="11"/>
    <x v="1"/>
    <n v="5.8"/>
    <n v="3.9"/>
    <x v="1"/>
    <n v="4"/>
    <x v="0"/>
    <n v="108600"/>
    <n v="9000"/>
    <n v="117600"/>
    <s v="E"/>
    <d v="2020-02-28T00:00:00"/>
    <x v="1"/>
  </r>
  <r>
    <x v="548"/>
    <x v="0"/>
    <n v="36"/>
    <x v="2"/>
    <x v="18"/>
    <x v="1"/>
    <n v="12.4"/>
    <n v="8.4"/>
    <x v="3"/>
    <n v="3"/>
    <x v="0"/>
    <n v="81900"/>
    <n v="4800"/>
    <n v="86700"/>
    <s v="D"/>
    <d v="2013-07-25T00:00:00"/>
    <x v="1"/>
  </r>
  <r>
    <x v="549"/>
    <x v="1"/>
    <n v="43"/>
    <x v="3"/>
    <x v="12"/>
    <x v="0"/>
    <n v="10.5"/>
    <n v="5.3"/>
    <x v="4"/>
    <n v="3"/>
    <x v="0"/>
    <n v="69800"/>
    <n v="3500"/>
    <n v="73300"/>
    <s v="C"/>
    <d v="2015-07-06T00:00:00"/>
    <x v="0"/>
  </r>
  <r>
    <x v="550"/>
    <x v="1"/>
    <n v="32"/>
    <x v="2"/>
    <x v="18"/>
    <x v="1"/>
    <n v="8.9"/>
    <n v="4.5"/>
    <x v="2"/>
    <n v="3"/>
    <x v="0"/>
    <n v="74900"/>
    <n v="4400"/>
    <n v="79300"/>
    <s v="C"/>
    <d v="2017-02-13T00:00:00"/>
    <x v="1"/>
  </r>
  <r>
    <x v="551"/>
    <x v="0"/>
    <n v="49"/>
    <x v="2"/>
    <x v="11"/>
    <x v="1"/>
    <n v="9.4"/>
    <n v="6.7"/>
    <x v="4"/>
    <n v="4"/>
    <x v="1"/>
    <n v="71700"/>
    <n v="7500"/>
    <n v="79200"/>
    <s v="C"/>
    <d v="2016-07-23T00:00:00"/>
    <x v="1"/>
  </r>
  <r>
    <x v="552"/>
    <x v="0"/>
    <n v="38"/>
    <x v="3"/>
    <x v="12"/>
    <x v="1"/>
    <n v="8.4"/>
    <n v="2.4"/>
    <x v="2"/>
    <n v="2"/>
    <x v="0"/>
    <n v="72000"/>
    <n v="4600"/>
    <n v="76600"/>
    <s v="C"/>
    <d v="2017-08-23T00:00:00"/>
    <x v="1"/>
  </r>
  <r>
    <x v="553"/>
    <x v="0"/>
    <n v="25"/>
    <x v="0"/>
    <x v="2"/>
    <x v="2"/>
    <n v="9.1"/>
    <n v="4.3"/>
    <x v="4"/>
    <n v="4"/>
    <x v="0"/>
    <n v="78700"/>
    <n v="9400"/>
    <n v="88100"/>
    <s v="C"/>
    <d v="2016-11-13T00:00:00"/>
    <x v="2"/>
  </r>
  <r>
    <x v="554"/>
    <x v="1"/>
    <n v="44"/>
    <x v="1"/>
    <x v="3"/>
    <x v="1"/>
    <n v="13.5"/>
    <n v="9.6"/>
    <x v="3"/>
    <n v="2"/>
    <x v="0"/>
    <n v="86600"/>
    <n v="5700"/>
    <n v="92300"/>
    <s v="D"/>
    <d v="2012-06-20T00:00:00"/>
    <x v="1"/>
  </r>
  <r>
    <x v="555"/>
    <x v="0"/>
    <n v="40"/>
    <x v="2"/>
    <x v="18"/>
    <x v="1"/>
    <n v="2.9"/>
    <n v="0.8"/>
    <x v="0"/>
    <n v="3"/>
    <x v="0"/>
    <n v="57200"/>
    <n v="5700"/>
    <n v="62900"/>
    <s v="B"/>
    <d v="2023-01-29T00:00:00"/>
    <x v="1"/>
  </r>
  <r>
    <x v="556"/>
    <x v="0"/>
    <n v="48"/>
    <x v="4"/>
    <x v="8"/>
    <x v="1"/>
    <n v="4.7"/>
    <n v="0.2"/>
    <x v="1"/>
    <n v="1"/>
    <x v="0"/>
    <n v="71800"/>
    <n v="10200"/>
    <n v="82000"/>
    <s v="C"/>
    <d v="2021-04-13T00:00:00"/>
    <x v="1"/>
  </r>
  <r>
    <x v="557"/>
    <x v="0"/>
    <n v="31"/>
    <x v="0"/>
    <x v="0"/>
    <x v="1"/>
    <n v="5.6"/>
    <n v="4.0999999999999996"/>
    <x v="1"/>
    <n v="2"/>
    <x v="1"/>
    <n v="60000"/>
    <n v="3100"/>
    <n v="63100"/>
    <s v="B"/>
    <d v="2020-05-11T00:00:00"/>
    <x v="1"/>
  </r>
  <r>
    <x v="558"/>
    <x v="0"/>
    <n v="30"/>
    <x v="3"/>
    <x v="12"/>
    <x v="1"/>
    <n v="8.5"/>
    <n v="5.3"/>
    <x v="2"/>
    <n v="3"/>
    <x v="0"/>
    <n v="71700"/>
    <n v="3100"/>
    <n v="74800"/>
    <s v="C"/>
    <d v="2017-07-07T00:00:00"/>
    <x v="1"/>
  </r>
  <r>
    <x v="559"/>
    <x v="0"/>
    <n v="35"/>
    <x v="4"/>
    <x v="8"/>
    <x v="2"/>
    <n v="11.4"/>
    <n v="6.6"/>
    <x v="4"/>
    <n v="4"/>
    <x v="0"/>
    <n v="77900"/>
    <n v="10100"/>
    <n v="88000"/>
    <s v="C"/>
    <d v="2014-08-13T00:00:00"/>
    <x v="2"/>
  </r>
  <r>
    <x v="560"/>
    <x v="0"/>
    <n v="36"/>
    <x v="1"/>
    <x v="3"/>
    <x v="0"/>
    <n v="13.8"/>
    <n v="8.9"/>
    <x v="3"/>
    <n v="3"/>
    <x v="2"/>
    <n v="61800"/>
    <n v="7000"/>
    <n v="68800"/>
    <s v="B"/>
    <d v="2012-03-24T00:00:00"/>
    <x v="0"/>
  </r>
  <r>
    <x v="561"/>
    <x v="1"/>
    <n v="36"/>
    <x v="2"/>
    <x v="11"/>
    <x v="2"/>
    <n v="4.9000000000000004"/>
    <n v="2.8"/>
    <x v="1"/>
    <n v="3"/>
    <x v="2"/>
    <n v="88100"/>
    <n v="6300"/>
    <n v="94400"/>
    <s v="D"/>
    <d v="2021-02-09T00:00:00"/>
    <x v="2"/>
  </r>
  <r>
    <x v="562"/>
    <x v="1"/>
    <n v="52"/>
    <x v="5"/>
    <x v="15"/>
    <x v="2"/>
    <n v="10.3"/>
    <n v="6.1"/>
    <x v="4"/>
    <n v="1"/>
    <x v="0"/>
    <n v="71100"/>
    <n v="5200"/>
    <n v="76300"/>
    <s v="C"/>
    <d v="2015-09-16T00:00:00"/>
    <x v="2"/>
  </r>
  <r>
    <x v="563"/>
    <x v="0"/>
    <n v="37"/>
    <x v="5"/>
    <x v="17"/>
    <x v="1"/>
    <n v="6.9"/>
    <n v="5.0999999999999996"/>
    <x v="2"/>
    <n v="3"/>
    <x v="0"/>
    <n v="109500"/>
    <n v="21700"/>
    <n v="131200"/>
    <s v="E"/>
    <d v="2019-02-11T00:00:00"/>
    <x v="1"/>
  </r>
  <r>
    <x v="564"/>
    <x v="0"/>
    <n v="32"/>
    <x v="5"/>
    <x v="17"/>
    <x v="2"/>
    <n v="10.3"/>
    <n v="7.9"/>
    <x v="4"/>
    <n v="4"/>
    <x v="1"/>
    <n v="65500"/>
    <n v="9100"/>
    <n v="74600"/>
    <s v="C"/>
    <d v="2015-08-31T00:00:00"/>
    <x v="2"/>
  </r>
  <r>
    <x v="565"/>
    <x v="0"/>
    <n v="30"/>
    <x v="5"/>
    <x v="9"/>
    <x v="0"/>
    <n v="2.6"/>
    <n v="1.4"/>
    <x v="0"/>
    <n v="3"/>
    <x v="1"/>
    <n v="49700"/>
    <n v="5500"/>
    <n v="55200"/>
    <s v="A"/>
    <d v="2023-06-03T00:00:00"/>
    <x v="0"/>
  </r>
  <r>
    <x v="566"/>
    <x v="1"/>
    <n v="29"/>
    <x v="5"/>
    <x v="15"/>
    <x v="3"/>
    <n v="13.3"/>
    <n v="8.1"/>
    <x v="3"/>
    <n v="4"/>
    <x v="0"/>
    <n v="78100"/>
    <n v="8900"/>
    <n v="87000"/>
    <s v="C"/>
    <d v="2012-09-30T00:00:00"/>
    <x v="3"/>
  </r>
  <r>
    <x v="567"/>
    <x v="1"/>
    <n v="29"/>
    <x v="1"/>
    <x v="7"/>
    <x v="1"/>
    <n v="8.8000000000000007"/>
    <n v="5.7"/>
    <x v="2"/>
    <n v="4"/>
    <x v="0"/>
    <n v="96800"/>
    <n v="9400"/>
    <n v="106200"/>
    <s v="D"/>
    <d v="2017-02-27T00:00:00"/>
    <x v="1"/>
  </r>
  <r>
    <x v="568"/>
    <x v="0"/>
    <n v="37"/>
    <x v="0"/>
    <x v="2"/>
    <x v="2"/>
    <n v="4.7"/>
    <n v="2.8"/>
    <x v="1"/>
    <n v="2"/>
    <x v="1"/>
    <n v="40200"/>
    <n v="2900"/>
    <n v="43100"/>
    <s v="A"/>
    <d v="2021-04-29T00:00:00"/>
    <x v="2"/>
  </r>
  <r>
    <x v="569"/>
    <x v="1"/>
    <n v="32"/>
    <x v="0"/>
    <x v="1"/>
    <x v="1"/>
    <n v="3.7"/>
    <n v="2.5"/>
    <x v="1"/>
    <n v="4"/>
    <x v="0"/>
    <n v="76900"/>
    <n v="9500"/>
    <n v="86400"/>
    <s v="C"/>
    <d v="2022-04-10T00:00:00"/>
    <x v="1"/>
  </r>
  <r>
    <x v="570"/>
    <x v="0"/>
    <n v="38"/>
    <x v="1"/>
    <x v="10"/>
    <x v="2"/>
    <n v="9.5"/>
    <n v="6.7"/>
    <x v="4"/>
    <n v="3"/>
    <x v="0"/>
    <n v="102800"/>
    <n v="5800"/>
    <n v="108600"/>
    <s v="E"/>
    <d v="2016-07-13T00:00:00"/>
    <x v="2"/>
  </r>
  <r>
    <x v="571"/>
    <x v="0"/>
    <n v="40"/>
    <x v="1"/>
    <x v="10"/>
    <x v="0"/>
    <n v="9.6999999999999993"/>
    <n v="6.8"/>
    <x v="4"/>
    <n v="3"/>
    <x v="0"/>
    <n v="105000"/>
    <n v="10000"/>
    <n v="115000"/>
    <s v="E"/>
    <d v="2016-04-26T00:00:00"/>
    <x v="0"/>
  </r>
  <r>
    <x v="572"/>
    <x v="1"/>
    <n v="31"/>
    <x v="1"/>
    <x v="10"/>
    <x v="1"/>
    <n v="7.4"/>
    <n v="4.7"/>
    <x v="2"/>
    <n v="3"/>
    <x v="0"/>
    <n v="106700"/>
    <n v="4700"/>
    <n v="111400"/>
    <s v="E"/>
    <d v="2018-08-23T00:00:00"/>
    <x v="1"/>
  </r>
  <r>
    <x v="573"/>
    <x v="0"/>
    <n v="36"/>
    <x v="5"/>
    <x v="9"/>
    <x v="1"/>
    <n v="3.8"/>
    <n v="0"/>
    <x v="1"/>
    <n v="4"/>
    <x v="2"/>
    <n v="73900"/>
    <n v="7200"/>
    <n v="81100"/>
    <s v="C"/>
    <d v="2022-03-22T00:00:00"/>
    <x v="1"/>
  </r>
  <r>
    <x v="574"/>
    <x v="1"/>
    <n v="36"/>
    <x v="5"/>
    <x v="15"/>
    <x v="2"/>
    <n v="4.9000000000000004"/>
    <n v="2.7"/>
    <x v="1"/>
    <n v="2"/>
    <x v="0"/>
    <n v="68600"/>
    <n v="9500"/>
    <n v="78100"/>
    <s v="C"/>
    <d v="2021-02-08T00:00:00"/>
    <x v="2"/>
  </r>
  <r>
    <x v="575"/>
    <x v="1"/>
    <n v="42"/>
    <x v="1"/>
    <x v="7"/>
    <x v="1"/>
    <n v="7"/>
    <n v="4.4000000000000004"/>
    <x v="2"/>
    <n v="2"/>
    <x v="0"/>
    <n v="72800"/>
    <n v="3100"/>
    <n v="75900"/>
    <s v="C"/>
    <d v="2019-01-17T00:00:00"/>
    <x v="1"/>
  </r>
  <r>
    <x v="576"/>
    <x v="1"/>
    <n v="46"/>
    <x v="4"/>
    <x v="16"/>
    <x v="0"/>
    <n v="3.6"/>
    <n v="2.9"/>
    <x v="1"/>
    <n v="4"/>
    <x v="0"/>
    <n v="95100"/>
    <n v="14300"/>
    <n v="109400"/>
    <s v="D"/>
    <d v="2022-06-02T00:00:00"/>
    <x v="0"/>
  </r>
  <r>
    <x v="577"/>
    <x v="0"/>
    <n v="29"/>
    <x v="5"/>
    <x v="15"/>
    <x v="1"/>
    <n v="1.8"/>
    <n v="0"/>
    <x v="0"/>
    <n v="3"/>
    <x v="0"/>
    <n v="66900"/>
    <n v="7700"/>
    <n v="74600"/>
    <s v="C"/>
    <d v="2024-03-09T00:00:00"/>
    <x v="1"/>
  </r>
  <r>
    <x v="578"/>
    <x v="1"/>
    <n v="27"/>
    <x v="0"/>
    <x v="1"/>
    <x v="1"/>
    <n v="12.2"/>
    <n v="8.6999999999999993"/>
    <x v="3"/>
    <n v="3"/>
    <x v="2"/>
    <n v="65500"/>
    <n v="6300"/>
    <n v="71800"/>
    <s v="C"/>
    <d v="2013-11-06T00:00:00"/>
    <x v="1"/>
  </r>
  <r>
    <x v="579"/>
    <x v="0"/>
    <n v="23"/>
    <x v="5"/>
    <x v="17"/>
    <x v="2"/>
    <n v="9.1999999999999993"/>
    <n v="6.9"/>
    <x v="4"/>
    <n v="3"/>
    <x v="0"/>
    <n v="106000"/>
    <n v="13300"/>
    <n v="119300"/>
    <s v="E"/>
    <d v="2016-10-09T00:00:00"/>
    <x v="2"/>
  </r>
  <r>
    <x v="580"/>
    <x v="0"/>
    <n v="47"/>
    <x v="2"/>
    <x v="4"/>
    <x v="2"/>
    <n v="2.6"/>
    <n v="2.6"/>
    <x v="0"/>
    <n v="5"/>
    <x v="0"/>
    <n v="86000"/>
    <n v="4000"/>
    <n v="90000"/>
    <s v="D"/>
    <d v="2023-05-13T00:00:00"/>
    <x v="2"/>
  </r>
  <r>
    <x v="581"/>
    <x v="0"/>
    <n v="29"/>
    <x v="0"/>
    <x v="2"/>
    <x v="2"/>
    <n v="12.8"/>
    <n v="9.4"/>
    <x v="3"/>
    <n v="4"/>
    <x v="2"/>
    <n v="75200"/>
    <n v="8300"/>
    <n v="83500"/>
    <s v="C"/>
    <d v="2013-02-25T00:00:00"/>
    <x v="2"/>
  </r>
  <r>
    <x v="582"/>
    <x v="0"/>
    <n v="34"/>
    <x v="1"/>
    <x v="10"/>
    <x v="2"/>
    <n v="4"/>
    <n v="3.6"/>
    <x v="1"/>
    <n v="4"/>
    <x v="1"/>
    <n v="72400"/>
    <n v="6100"/>
    <n v="78500"/>
    <s v="C"/>
    <d v="2021-12-31T00:00:00"/>
    <x v="2"/>
  </r>
  <r>
    <x v="583"/>
    <x v="0"/>
    <n v="51"/>
    <x v="2"/>
    <x v="11"/>
    <x v="2"/>
    <n v="3"/>
    <n v="0.7"/>
    <x v="1"/>
    <n v="3"/>
    <x v="0"/>
    <n v="96100"/>
    <n v="7900"/>
    <n v="104000"/>
    <s v="D"/>
    <d v="2022-12-21T00:00:00"/>
    <x v="2"/>
  </r>
  <r>
    <x v="584"/>
    <x v="1"/>
    <n v="25"/>
    <x v="1"/>
    <x v="10"/>
    <x v="1"/>
    <n v="9.4"/>
    <n v="5.5"/>
    <x v="4"/>
    <n v="3"/>
    <x v="1"/>
    <n v="63600"/>
    <n v="4100"/>
    <n v="67700"/>
    <s v="B"/>
    <d v="2016-08-04T00:00:00"/>
    <x v="1"/>
  </r>
  <r>
    <x v="585"/>
    <x v="1"/>
    <n v="30"/>
    <x v="3"/>
    <x v="5"/>
    <x v="1"/>
    <n v="6.5"/>
    <n v="4.5999999999999996"/>
    <x v="2"/>
    <n v="2"/>
    <x v="0"/>
    <n v="74200"/>
    <n v="3600"/>
    <n v="77800"/>
    <s v="C"/>
    <d v="2019-06-25T00:00:00"/>
    <x v="1"/>
  </r>
  <r>
    <x v="586"/>
    <x v="0"/>
    <n v="38"/>
    <x v="5"/>
    <x v="9"/>
    <x v="1"/>
    <n v="3.4"/>
    <n v="2.9"/>
    <x v="1"/>
    <n v="2"/>
    <x v="0"/>
    <n v="100200"/>
    <n v="7500"/>
    <n v="107700"/>
    <s v="E"/>
    <d v="2022-08-21T00:00:00"/>
    <x v="1"/>
  </r>
  <r>
    <x v="587"/>
    <x v="1"/>
    <n v="31"/>
    <x v="2"/>
    <x v="4"/>
    <x v="0"/>
    <n v="8.6"/>
    <n v="5.4"/>
    <x v="2"/>
    <n v="5"/>
    <x v="0"/>
    <n v="79600"/>
    <n v="5700"/>
    <n v="85300"/>
    <s v="C"/>
    <d v="2017-05-31T00:00:00"/>
    <x v="0"/>
  </r>
  <r>
    <x v="588"/>
    <x v="0"/>
    <n v="45"/>
    <x v="1"/>
    <x v="3"/>
    <x v="1"/>
    <n v="1.7"/>
    <n v="0.3"/>
    <x v="0"/>
    <n v="3"/>
    <x v="0"/>
    <n v="69200"/>
    <n v="3900"/>
    <n v="73100"/>
    <s v="C"/>
    <d v="2024-04-14T00:00:00"/>
    <x v="1"/>
  </r>
  <r>
    <x v="589"/>
    <x v="1"/>
    <n v="25"/>
    <x v="3"/>
    <x v="13"/>
    <x v="2"/>
    <n v="10.8"/>
    <n v="7.8"/>
    <x v="4"/>
    <n v="4"/>
    <x v="0"/>
    <n v="112300"/>
    <n v="3900"/>
    <n v="116200"/>
    <s v="E"/>
    <d v="2015-03-28T00:00:00"/>
    <x v="2"/>
  </r>
  <r>
    <x v="590"/>
    <x v="0"/>
    <n v="47"/>
    <x v="4"/>
    <x v="8"/>
    <x v="2"/>
    <n v="3.2"/>
    <n v="3.1"/>
    <x v="1"/>
    <n v="4"/>
    <x v="2"/>
    <n v="73400"/>
    <n v="9900"/>
    <n v="83300"/>
    <s v="C"/>
    <d v="2022-10-03T00:00:00"/>
    <x v="2"/>
  </r>
  <r>
    <x v="591"/>
    <x v="1"/>
    <n v="41"/>
    <x v="5"/>
    <x v="15"/>
    <x v="0"/>
    <n v="7.3"/>
    <n v="4.8"/>
    <x v="2"/>
    <n v="4"/>
    <x v="2"/>
    <n v="48400"/>
    <n v="6100"/>
    <n v="54500"/>
    <s v="A"/>
    <d v="2018-09-12T00:00:00"/>
    <x v="0"/>
  </r>
  <r>
    <x v="592"/>
    <x v="0"/>
    <n v="49"/>
    <x v="3"/>
    <x v="5"/>
    <x v="1"/>
    <n v="11"/>
    <n v="7.5"/>
    <x v="4"/>
    <n v="3"/>
    <x v="0"/>
    <n v="89200"/>
    <n v="7600"/>
    <n v="96800"/>
    <s v="D"/>
    <d v="2015-01-17T00:00:00"/>
    <x v="1"/>
  </r>
  <r>
    <x v="593"/>
    <x v="1"/>
    <n v="40"/>
    <x v="0"/>
    <x v="0"/>
    <x v="3"/>
    <n v="10.8"/>
    <n v="6.1"/>
    <x v="4"/>
    <n v="4"/>
    <x v="0"/>
    <n v="124100"/>
    <n v="14600"/>
    <n v="138700"/>
    <s v="E"/>
    <d v="2015-02-27T00:00:00"/>
    <x v="3"/>
  </r>
  <r>
    <x v="594"/>
    <x v="1"/>
    <n v="46"/>
    <x v="4"/>
    <x v="8"/>
    <x v="1"/>
    <n v="7.6"/>
    <n v="4.2"/>
    <x v="2"/>
    <n v="3"/>
    <x v="0"/>
    <n v="87600"/>
    <n v="8100"/>
    <n v="95700"/>
    <s v="D"/>
    <d v="2018-05-28T00:00:00"/>
    <x v="1"/>
  </r>
  <r>
    <x v="595"/>
    <x v="1"/>
    <n v="54"/>
    <x v="5"/>
    <x v="17"/>
    <x v="3"/>
    <n v="4.0999999999999996"/>
    <n v="1.4"/>
    <x v="1"/>
    <n v="3"/>
    <x v="0"/>
    <n v="106700"/>
    <n v="13100"/>
    <n v="119800"/>
    <s v="E"/>
    <d v="2021-11-18T00:00:00"/>
    <x v="3"/>
  </r>
  <r>
    <x v="596"/>
    <x v="0"/>
    <n v="44"/>
    <x v="3"/>
    <x v="5"/>
    <x v="2"/>
    <n v="2.4"/>
    <n v="2.4"/>
    <x v="0"/>
    <n v="3"/>
    <x v="0"/>
    <n v="81100"/>
    <n v="5100"/>
    <n v="86200"/>
    <s v="D"/>
    <d v="2023-08-09T00:00:00"/>
    <x v="2"/>
  </r>
  <r>
    <x v="597"/>
    <x v="1"/>
    <n v="43"/>
    <x v="5"/>
    <x v="17"/>
    <x v="2"/>
    <n v="10.5"/>
    <n v="7.4"/>
    <x v="4"/>
    <n v="3"/>
    <x v="1"/>
    <n v="67900"/>
    <n v="13700"/>
    <n v="81600"/>
    <s v="C"/>
    <d v="2015-07-06T00:00:00"/>
    <x v="2"/>
  </r>
  <r>
    <x v="598"/>
    <x v="1"/>
    <n v="32"/>
    <x v="2"/>
    <x v="18"/>
    <x v="1"/>
    <n v="7.9"/>
    <n v="4.5999999999999996"/>
    <x v="2"/>
    <n v="1"/>
    <x v="1"/>
    <n v="44900"/>
    <n v="2500"/>
    <n v="47400"/>
    <s v="A"/>
    <d v="2018-01-25T00:00:00"/>
    <x v="1"/>
  </r>
  <r>
    <x v="599"/>
    <x v="0"/>
    <n v="48"/>
    <x v="5"/>
    <x v="15"/>
    <x v="1"/>
    <n v="7.8"/>
    <n v="5.0999999999999996"/>
    <x v="2"/>
    <n v="4"/>
    <x v="0"/>
    <n v="59700"/>
    <n v="5000"/>
    <n v="64700"/>
    <s v="B"/>
    <d v="2018-03-17T00:00:00"/>
    <x v="1"/>
  </r>
  <r>
    <x v="600"/>
    <x v="1"/>
    <n v="36"/>
    <x v="1"/>
    <x v="7"/>
    <x v="2"/>
    <n v="6"/>
    <n v="1.4"/>
    <x v="2"/>
    <n v="4"/>
    <x v="0"/>
    <n v="91200"/>
    <n v="9200"/>
    <n v="100400"/>
    <s v="D"/>
    <d v="2019-12-30T00:00:00"/>
    <x v="2"/>
  </r>
  <r>
    <x v="601"/>
    <x v="1"/>
    <n v="35"/>
    <x v="1"/>
    <x v="3"/>
    <x v="2"/>
    <n v="10.1"/>
    <n v="5.4"/>
    <x v="4"/>
    <n v="3"/>
    <x v="2"/>
    <n v="66100"/>
    <n v="3000"/>
    <n v="69100"/>
    <s v="C"/>
    <d v="2015-11-29T00:00:00"/>
    <x v="2"/>
  </r>
  <r>
    <x v="602"/>
    <x v="0"/>
    <n v="43"/>
    <x v="2"/>
    <x v="11"/>
    <x v="2"/>
    <n v="13.9"/>
    <n v="8.6999999999999993"/>
    <x v="3"/>
    <n v="4"/>
    <x v="0"/>
    <n v="125000"/>
    <n v="11800"/>
    <n v="136800"/>
    <s v="E"/>
    <d v="2012-02-13T00:00:00"/>
    <x v="2"/>
  </r>
  <r>
    <x v="603"/>
    <x v="0"/>
    <n v="26"/>
    <x v="0"/>
    <x v="1"/>
    <x v="2"/>
    <n v="10.3"/>
    <n v="4.5999999999999996"/>
    <x v="4"/>
    <n v="4"/>
    <x v="0"/>
    <n v="91300"/>
    <n v="8700"/>
    <n v="100000"/>
    <s v="D"/>
    <d v="2015-09-18T00:00:00"/>
    <x v="2"/>
  </r>
  <r>
    <x v="604"/>
    <x v="1"/>
    <n v="34"/>
    <x v="3"/>
    <x v="12"/>
    <x v="0"/>
    <n v="3.9"/>
    <n v="0.9"/>
    <x v="1"/>
    <n v="2"/>
    <x v="0"/>
    <n v="62900"/>
    <n v="2400"/>
    <n v="65300"/>
    <s v="B"/>
    <d v="2022-01-28T00:00:00"/>
    <x v="0"/>
  </r>
  <r>
    <x v="605"/>
    <x v="0"/>
    <n v="37"/>
    <x v="5"/>
    <x v="17"/>
    <x v="0"/>
    <n v="2.8"/>
    <n v="2.2999999999999998"/>
    <x v="0"/>
    <n v="4"/>
    <x v="0"/>
    <n v="96800"/>
    <n v="19700"/>
    <n v="116500"/>
    <s v="D"/>
    <d v="2023-03-05T00:00:00"/>
    <x v="0"/>
  </r>
  <r>
    <x v="606"/>
    <x v="1"/>
    <n v="42"/>
    <x v="4"/>
    <x v="16"/>
    <x v="1"/>
    <n v="4.8"/>
    <n v="2.1"/>
    <x v="1"/>
    <n v="4"/>
    <x v="0"/>
    <n v="86700"/>
    <n v="5100"/>
    <n v="91800"/>
    <s v="D"/>
    <d v="2021-03-29T00:00:00"/>
    <x v="1"/>
  </r>
  <r>
    <x v="607"/>
    <x v="0"/>
    <n v="33"/>
    <x v="5"/>
    <x v="17"/>
    <x v="1"/>
    <n v="11.2"/>
    <n v="8.4"/>
    <x v="4"/>
    <n v="4"/>
    <x v="0"/>
    <n v="93000"/>
    <n v="12400"/>
    <n v="105400"/>
    <s v="D"/>
    <d v="2014-10-02T00:00:00"/>
    <x v="1"/>
  </r>
  <r>
    <x v="608"/>
    <x v="0"/>
    <n v="33"/>
    <x v="1"/>
    <x v="3"/>
    <x v="1"/>
    <n v="3.5"/>
    <n v="2"/>
    <x v="1"/>
    <n v="4"/>
    <x v="0"/>
    <n v="77500"/>
    <n v="7700"/>
    <n v="85200"/>
    <s v="C"/>
    <d v="2022-07-09T00:00:00"/>
    <x v="1"/>
  </r>
  <r>
    <x v="609"/>
    <x v="1"/>
    <n v="33"/>
    <x v="3"/>
    <x v="12"/>
    <x v="0"/>
    <n v="8.8000000000000007"/>
    <n v="5.4"/>
    <x v="2"/>
    <n v="4"/>
    <x v="0"/>
    <n v="72100"/>
    <n v="2300"/>
    <n v="74400"/>
    <s v="C"/>
    <d v="2017-02-27T00:00:00"/>
    <x v="0"/>
  </r>
  <r>
    <x v="610"/>
    <x v="1"/>
    <n v="53"/>
    <x v="0"/>
    <x v="2"/>
    <x v="1"/>
    <n v="13.6"/>
    <n v="7.9"/>
    <x v="3"/>
    <n v="4"/>
    <x v="0"/>
    <n v="69200"/>
    <n v="7400"/>
    <n v="76600"/>
    <s v="C"/>
    <d v="2012-05-15T00:00:00"/>
    <x v="1"/>
  </r>
  <r>
    <x v="611"/>
    <x v="1"/>
    <n v="30"/>
    <x v="2"/>
    <x v="11"/>
    <x v="1"/>
    <n v="1.5"/>
    <n v="0"/>
    <x v="0"/>
    <n v="2"/>
    <x v="0"/>
    <n v="94200"/>
    <n v="4300"/>
    <n v="98500"/>
    <s v="D"/>
    <d v="2024-07-10T00:00:00"/>
    <x v="1"/>
  </r>
  <r>
    <x v="612"/>
    <x v="1"/>
    <n v="25"/>
    <x v="3"/>
    <x v="5"/>
    <x v="2"/>
    <n v="1.5"/>
    <n v="1.4"/>
    <x v="0"/>
    <n v="2"/>
    <x v="0"/>
    <n v="72800"/>
    <n v="3700"/>
    <n v="76500"/>
    <s v="C"/>
    <d v="2024-06-14T00:00:00"/>
    <x v="2"/>
  </r>
  <r>
    <x v="613"/>
    <x v="1"/>
    <n v="33"/>
    <x v="0"/>
    <x v="2"/>
    <x v="1"/>
    <n v="6.1"/>
    <n v="5.0999999999999996"/>
    <x v="2"/>
    <n v="3"/>
    <x v="0"/>
    <n v="63700"/>
    <n v="3000"/>
    <n v="66700"/>
    <s v="B"/>
    <d v="2019-11-28T00:00:00"/>
    <x v="1"/>
  </r>
  <r>
    <x v="614"/>
    <x v="1"/>
    <n v="32"/>
    <x v="4"/>
    <x v="14"/>
    <x v="2"/>
    <n v="7.5"/>
    <n v="5.8"/>
    <x v="2"/>
    <n v="3"/>
    <x v="0"/>
    <n v="112100"/>
    <n v="10600"/>
    <n v="122700"/>
    <s v="E"/>
    <d v="2018-06-23T00:00:00"/>
    <x v="2"/>
  </r>
  <r>
    <x v="615"/>
    <x v="1"/>
    <n v="35"/>
    <x v="0"/>
    <x v="0"/>
    <x v="1"/>
    <n v="2.6"/>
    <n v="2.6"/>
    <x v="0"/>
    <n v="3"/>
    <x v="0"/>
    <n v="89400"/>
    <n v="5900"/>
    <n v="95300"/>
    <s v="D"/>
    <d v="2023-06-11T00:00:00"/>
    <x v="1"/>
  </r>
  <r>
    <x v="616"/>
    <x v="1"/>
    <n v="42"/>
    <x v="3"/>
    <x v="12"/>
    <x v="2"/>
    <n v="10.5"/>
    <n v="5.9"/>
    <x v="4"/>
    <n v="1"/>
    <x v="0"/>
    <n v="80000"/>
    <n v="2700"/>
    <n v="82700"/>
    <s v="D"/>
    <d v="2015-07-06T00:00:00"/>
    <x v="2"/>
  </r>
  <r>
    <x v="617"/>
    <x v="0"/>
    <n v="43"/>
    <x v="2"/>
    <x v="11"/>
    <x v="1"/>
    <n v="3.9"/>
    <n v="3.9"/>
    <x v="1"/>
    <n v="4"/>
    <x v="1"/>
    <n v="59300"/>
    <n v="5600"/>
    <n v="64900"/>
    <s v="B"/>
    <d v="2022-02-02T00:00:00"/>
    <x v="1"/>
  </r>
  <r>
    <x v="618"/>
    <x v="0"/>
    <n v="27"/>
    <x v="3"/>
    <x v="13"/>
    <x v="1"/>
    <n v="13.7"/>
    <n v="8.1"/>
    <x v="3"/>
    <n v="3"/>
    <x v="0"/>
    <n v="108500"/>
    <n v="9700"/>
    <n v="118200"/>
    <s v="E"/>
    <d v="2012-04-14T00:00:00"/>
    <x v="1"/>
  </r>
  <r>
    <x v="619"/>
    <x v="0"/>
    <n v="38"/>
    <x v="1"/>
    <x v="10"/>
    <x v="1"/>
    <n v="12.2"/>
    <n v="9.5"/>
    <x v="3"/>
    <n v="3"/>
    <x v="0"/>
    <n v="97200"/>
    <n v="7700"/>
    <n v="104900"/>
    <s v="D"/>
    <d v="2013-11-06T00:00:00"/>
    <x v="1"/>
  </r>
  <r>
    <x v="620"/>
    <x v="1"/>
    <n v="35"/>
    <x v="2"/>
    <x v="11"/>
    <x v="3"/>
    <n v="12.3"/>
    <n v="9.3000000000000007"/>
    <x v="3"/>
    <n v="4"/>
    <x v="0"/>
    <n v="119300"/>
    <n v="8700"/>
    <n v="128000"/>
    <s v="E"/>
    <d v="2013-09-02T00:00:00"/>
    <x v="3"/>
  </r>
  <r>
    <x v="621"/>
    <x v="0"/>
    <n v="43"/>
    <x v="3"/>
    <x v="12"/>
    <x v="2"/>
    <n v="8.6999999999999993"/>
    <n v="5.7"/>
    <x v="2"/>
    <n v="2"/>
    <x v="0"/>
    <n v="74900"/>
    <n v="5500"/>
    <n v="80400"/>
    <s v="C"/>
    <d v="2017-04-24T00:00:00"/>
    <x v="2"/>
  </r>
  <r>
    <x v="622"/>
    <x v="1"/>
    <n v="25"/>
    <x v="5"/>
    <x v="17"/>
    <x v="3"/>
    <n v="9.4"/>
    <n v="7.2"/>
    <x v="4"/>
    <n v="3"/>
    <x v="1"/>
    <n v="62400"/>
    <n v="12200"/>
    <n v="74600"/>
    <s v="B"/>
    <d v="2016-07-29T00:00:00"/>
    <x v="3"/>
  </r>
  <r>
    <x v="623"/>
    <x v="0"/>
    <n v="45"/>
    <x v="1"/>
    <x v="10"/>
    <x v="0"/>
    <n v="7.7"/>
    <n v="3.6"/>
    <x v="2"/>
    <n v="2"/>
    <x v="0"/>
    <n v="87700"/>
    <n v="5000"/>
    <n v="92700"/>
    <s v="D"/>
    <d v="2018-04-18T00:00:00"/>
    <x v="0"/>
  </r>
  <r>
    <x v="624"/>
    <x v="1"/>
    <n v="40"/>
    <x v="5"/>
    <x v="17"/>
    <x v="2"/>
    <n v="12.2"/>
    <n v="9.1999999999999993"/>
    <x v="3"/>
    <n v="3"/>
    <x v="1"/>
    <n v="68200"/>
    <n v="12600"/>
    <n v="80800"/>
    <s v="C"/>
    <d v="2013-10-05T00:00:00"/>
    <x v="2"/>
  </r>
  <r>
    <x v="625"/>
    <x v="0"/>
    <n v="40"/>
    <x v="1"/>
    <x v="3"/>
    <x v="1"/>
    <n v="9.6"/>
    <n v="7.9"/>
    <x v="4"/>
    <n v="4"/>
    <x v="0"/>
    <n v="78200"/>
    <n v="7400"/>
    <n v="85600"/>
    <s v="C"/>
    <d v="2016-05-25T00:00:00"/>
    <x v="1"/>
  </r>
  <r>
    <x v="626"/>
    <x v="1"/>
    <n v="46"/>
    <x v="4"/>
    <x v="6"/>
    <x v="2"/>
    <n v="5.4"/>
    <n v="3.1"/>
    <x v="1"/>
    <n v="4"/>
    <x v="0"/>
    <n v="63500"/>
    <n v="8500"/>
    <n v="72000"/>
    <s v="B"/>
    <d v="2020-08-21T00:00:00"/>
    <x v="2"/>
  </r>
  <r>
    <x v="627"/>
    <x v="1"/>
    <n v="43"/>
    <x v="4"/>
    <x v="14"/>
    <x v="2"/>
    <n v="3.5"/>
    <n v="3"/>
    <x v="1"/>
    <n v="4"/>
    <x v="0"/>
    <n v="111100"/>
    <n v="12100"/>
    <n v="123200"/>
    <s v="E"/>
    <d v="2022-07-07T00:00:00"/>
    <x v="2"/>
  </r>
  <r>
    <x v="628"/>
    <x v="0"/>
    <n v="44"/>
    <x v="5"/>
    <x v="17"/>
    <x v="1"/>
    <n v="9"/>
    <n v="4.8"/>
    <x v="4"/>
    <n v="4"/>
    <x v="1"/>
    <n v="52100"/>
    <n v="4100"/>
    <n v="56200"/>
    <s v="B"/>
    <d v="2017-01-13T00:00:00"/>
    <x v="1"/>
  </r>
  <r>
    <x v="629"/>
    <x v="0"/>
    <n v="39"/>
    <x v="4"/>
    <x v="6"/>
    <x v="1"/>
    <n v="5.4"/>
    <n v="2.6"/>
    <x v="1"/>
    <n v="3"/>
    <x v="0"/>
    <n v="76200"/>
    <n v="10300"/>
    <n v="86500"/>
    <s v="C"/>
    <d v="2020-08-09T00:00:00"/>
    <x v="1"/>
  </r>
  <r>
    <x v="630"/>
    <x v="1"/>
    <n v="26"/>
    <x v="5"/>
    <x v="15"/>
    <x v="1"/>
    <n v="8.5"/>
    <n v="7.6"/>
    <x v="2"/>
    <n v="5"/>
    <x v="0"/>
    <n v="64500"/>
    <n v="8500"/>
    <n v="73000"/>
    <s v="B"/>
    <d v="2017-07-11T00:00:00"/>
    <x v="1"/>
  </r>
  <r>
    <x v="631"/>
    <x v="0"/>
    <n v="23"/>
    <x v="5"/>
    <x v="15"/>
    <x v="2"/>
    <n v="13.8"/>
    <n v="7.8"/>
    <x v="3"/>
    <n v="4"/>
    <x v="0"/>
    <n v="78100"/>
    <n v="12700"/>
    <n v="90800"/>
    <s v="C"/>
    <d v="2012-03-06T00:00:00"/>
    <x v="2"/>
  </r>
  <r>
    <x v="632"/>
    <x v="0"/>
    <n v="35"/>
    <x v="5"/>
    <x v="15"/>
    <x v="2"/>
    <n v="2.2999999999999998"/>
    <n v="0.5"/>
    <x v="0"/>
    <n v="2"/>
    <x v="0"/>
    <n v="56900"/>
    <n v="7500"/>
    <n v="64400"/>
    <s v="B"/>
    <d v="2023-09-02T00:00:00"/>
    <x v="2"/>
  </r>
  <r>
    <x v="633"/>
    <x v="1"/>
    <n v="29"/>
    <x v="0"/>
    <x v="1"/>
    <x v="2"/>
    <n v="6.7"/>
    <n v="3.2"/>
    <x v="2"/>
    <n v="2"/>
    <x v="1"/>
    <n v="48800"/>
    <n v="5500"/>
    <n v="54300"/>
    <s v="A"/>
    <d v="2019-04-17T00:00:00"/>
    <x v="2"/>
  </r>
  <r>
    <x v="634"/>
    <x v="1"/>
    <n v="44"/>
    <x v="1"/>
    <x v="7"/>
    <x v="1"/>
    <n v="11.4"/>
    <n v="8.8000000000000007"/>
    <x v="4"/>
    <n v="3"/>
    <x v="0"/>
    <n v="98800"/>
    <n v="7800"/>
    <n v="106600"/>
    <s v="D"/>
    <d v="2014-08-05T00:00:00"/>
    <x v="1"/>
  </r>
  <r>
    <x v="635"/>
    <x v="0"/>
    <n v="27"/>
    <x v="2"/>
    <x v="4"/>
    <x v="1"/>
    <n v="4.2"/>
    <n v="3.5"/>
    <x v="1"/>
    <n v="3"/>
    <x v="0"/>
    <n v="71700"/>
    <n v="4200"/>
    <n v="75900"/>
    <s v="C"/>
    <d v="2021-10-16T00:00:00"/>
    <x v="1"/>
  </r>
  <r>
    <x v="636"/>
    <x v="1"/>
    <n v="35"/>
    <x v="1"/>
    <x v="7"/>
    <x v="2"/>
    <n v="3.2"/>
    <n v="2.6"/>
    <x v="1"/>
    <n v="3"/>
    <x v="0"/>
    <n v="72900"/>
    <n v="3200"/>
    <n v="76100"/>
    <s v="C"/>
    <d v="2022-11-03T00:00:00"/>
    <x v="2"/>
  </r>
  <r>
    <x v="637"/>
    <x v="0"/>
    <n v="35"/>
    <x v="3"/>
    <x v="12"/>
    <x v="4"/>
    <n v="5.6"/>
    <n v="1.9"/>
    <x v="1"/>
    <n v="3"/>
    <x v="2"/>
    <n v="58700"/>
    <n v="5000"/>
    <n v="63700"/>
    <s v="B"/>
    <d v="2020-06-13T00:00:00"/>
    <x v="4"/>
  </r>
  <r>
    <x v="638"/>
    <x v="0"/>
    <n v="46"/>
    <x v="2"/>
    <x v="4"/>
    <x v="3"/>
    <n v="4.0999999999999996"/>
    <n v="1.6"/>
    <x v="1"/>
    <n v="4"/>
    <x v="0"/>
    <n v="84800"/>
    <n v="8300"/>
    <n v="93100"/>
    <s v="D"/>
    <d v="2021-11-14T00:00:00"/>
    <x v="3"/>
  </r>
  <r>
    <x v="639"/>
    <x v="0"/>
    <n v="36"/>
    <x v="2"/>
    <x v="11"/>
    <x v="2"/>
    <n v="9.4"/>
    <n v="7.5"/>
    <x v="4"/>
    <n v="3"/>
    <x v="0"/>
    <n v="111600"/>
    <n v="7100"/>
    <n v="118700"/>
    <s v="E"/>
    <d v="2016-08-04T00:00:00"/>
    <x v="2"/>
  </r>
  <r>
    <x v="640"/>
    <x v="1"/>
    <n v="45"/>
    <x v="3"/>
    <x v="12"/>
    <x v="3"/>
    <n v="7.3"/>
    <n v="4.3"/>
    <x v="2"/>
    <n v="2"/>
    <x v="0"/>
    <n v="90000"/>
    <n v="5000"/>
    <n v="95000"/>
    <s v="D"/>
    <d v="2018-09-26T00:00:00"/>
    <x v="3"/>
  </r>
  <r>
    <x v="641"/>
    <x v="0"/>
    <n v="50"/>
    <x v="2"/>
    <x v="11"/>
    <x v="1"/>
    <n v="2.9"/>
    <n v="2.9"/>
    <x v="0"/>
    <n v="3"/>
    <x v="0"/>
    <n v="91900"/>
    <n v="5200"/>
    <n v="97100"/>
    <s v="D"/>
    <d v="2023-01-27T00:00:00"/>
    <x v="1"/>
  </r>
  <r>
    <x v="642"/>
    <x v="1"/>
    <n v="33"/>
    <x v="2"/>
    <x v="18"/>
    <x v="1"/>
    <n v="13.7"/>
    <n v="9.9"/>
    <x v="3"/>
    <n v="4"/>
    <x v="2"/>
    <n v="54100"/>
    <n v="4200"/>
    <n v="58300"/>
    <s v="B"/>
    <d v="2012-05-01T00:00:00"/>
    <x v="1"/>
  </r>
  <r>
    <x v="643"/>
    <x v="0"/>
    <n v="22"/>
    <x v="1"/>
    <x v="3"/>
    <x v="1"/>
    <n v="4.5"/>
    <n v="3.4"/>
    <x v="1"/>
    <n v="3"/>
    <x v="2"/>
    <n v="58600"/>
    <n v="4100"/>
    <n v="62700"/>
    <s v="B"/>
    <d v="2021-07-06T00:00:00"/>
    <x v="1"/>
  </r>
  <r>
    <x v="644"/>
    <x v="1"/>
    <n v="35"/>
    <x v="0"/>
    <x v="1"/>
    <x v="1"/>
    <n v="9.5"/>
    <n v="6.3"/>
    <x v="4"/>
    <n v="3"/>
    <x v="0"/>
    <n v="83400"/>
    <n v="8900"/>
    <n v="92300"/>
    <s v="D"/>
    <d v="2016-07-13T00:00:00"/>
    <x v="1"/>
  </r>
  <r>
    <x v="645"/>
    <x v="1"/>
    <n v="29"/>
    <x v="1"/>
    <x v="7"/>
    <x v="0"/>
    <n v="13.4"/>
    <n v="9.6"/>
    <x v="3"/>
    <n v="2"/>
    <x v="0"/>
    <n v="81700"/>
    <n v="7000"/>
    <n v="88700"/>
    <s v="D"/>
    <d v="2012-08-17T00:00:00"/>
    <x v="0"/>
  </r>
  <r>
    <x v="646"/>
    <x v="1"/>
    <n v="29"/>
    <x v="1"/>
    <x v="7"/>
    <x v="1"/>
    <n v="5.5"/>
    <n v="3"/>
    <x v="1"/>
    <n v="3"/>
    <x v="2"/>
    <n v="66300"/>
    <n v="6600"/>
    <n v="72900"/>
    <s v="C"/>
    <d v="2020-07-18T00:00:00"/>
    <x v="1"/>
  </r>
  <r>
    <x v="647"/>
    <x v="1"/>
    <n v="33"/>
    <x v="3"/>
    <x v="5"/>
    <x v="1"/>
    <n v="13.6"/>
    <n v="10.3"/>
    <x v="3"/>
    <n v="4"/>
    <x v="0"/>
    <n v="84600"/>
    <n v="5200"/>
    <n v="89800"/>
    <s v="D"/>
    <d v="2012-05-10T00:00:00"/>
    <x v="1"/>
  </r>
  <r>
    <x v="648"/>
    <x v="1"/>
    <n v="27"/>
    <x v="4"/>
    <x v="16"/>
    <x v="1"/>
    <n v="5.9"/>
    <n v="2.9"/>
    <x v="1"/>
    <n v="3"/>
    <x v="2"/>
    <n v="77000"/>
    <n v="11500"/>
    <n v="88500"/>
    <s v="C"/>
    <d v="2020-02-22T00:00:00"/>
    <x v="1"/>
  </r>
  <r>
    <x v="649"/>
    <x v="0"/>
    <n v="40"/>
    <x v="0"/>
    <x v="2"/>
    <x v="2"/>
    <n v="6.6"/>
    <n v="3"/>
    <x v="2"/>
    <n v="2"/>
    <x v="0"/>
    <n v="68600"/>
    <n v="3400"/>
    <n v="72000"/>
    <s v="C"/>
    <d v="2019-05-30T00:00:00"/>
    <x v="2"/>
  </r>
  <r>
    <x v="650"/>
    <x v="0"/>
    <n v="56"/>
    <x v="0"/>
    <x v="1"/>
    <x v="0"/>
    <n v="9.9"/>
    <n v="4.5999999999999996"/>
    <x v="4"/>
    <n v="3"/>
    <x v="2"/>
    <n v="64100"/>
    <n v="5500"/>
    <n v="69600"/>
    <s v="B"/>
    <d v="2016-02-17T00:00:00"/>
    <x v="0"/>
  </r>
  <r>
    <x v="651"/>
    <x v="0"/>
    <n v="53"/>
    <x v="1"/>
    <x v="7"/>
    <x v="2"/>
    <n v="7.2"/>
    <n v="2.5"/>
    <x v="2"/>
    <n v="2"/>
    <x v="1"/>
    <n v="54000"/>
    <n v="4800"/>
    <n v="58800"/>
    <s v="B"/>
    <d v="2018-10-18T00:00:00"/>
    <x v="2"/>
  </r>
  <r>
    <x v="652"/>
    <x v="1"/>
    <n v="40"/>
    <x v="5"/>
    <x v="9"/>
    <x v="2"/>
    <n v="3.4"/>
    <n v="1.5"/>
    <x v="1"/>
    <n v="3"/>
    <x v="0"/>
    <n v="109200"/>
    <n v="20900"/>
    <n v="130100"/>
    <s v="E"/>
    <d v="2022-08-20T00:00:00"/>
    <x v="2"/>
  </r>
  <r>
    <x v="653"/>
    <x v="1"/>
    <n v="39"/>
    <x v="2"/>
    <x v="4"/>
    <x v="1"/>
    <n v="6"/>
    <n v="5.7"/>
    <x v="2"/>
    <n v="3"/>
    <x v="0"/>
    <n v="79200"/>
    <n v="5100"/>
    <n v="84300"/>
    <s v="C"/>
    <d v="2019-12-24T00:00:00"/>
    <x v="1"/>
  </r>
  <r>
    <x v="654"/>
    <x v="1"/>
    <n v="45"/>
    <x v="0"/>
    <x v="2"/>
    <x v="0"/>
    <n v="11.2"/>
    <n v="9"/>
    <x v="4"/>
    <n v="3"/>
    <x v="0"/>
    <n v="77900"/>
    <n v="8800"/>
    <n v="86700"/>
    <s v="C"/>
    <d v="2014-11-04T00:00:00"/>
    <x v="0"/>
  </r>
  <r>
    <x v="655"/>
    <x v="0"/>
    <n v="30"/>
    <x v="3"/>
    <x v="13"/>
    <x v="2"/>
    <n v="13.4"/>
    <n v="7.9"/>
    <x v="3"/>
    <n v="3"/>
    <x v="0"/>
    <n v="103100"/>
    <n v="8500"/>
    <n v="111600"/>
    <s v="E"/>
    <d v="2012-08-08T00:00:00"/>
    <x v="2"/>
  </r>
  <r>
    <x v="656"/>
    <x v="0"/>
    <n v="37"/>
    <x v="0"/>
    <x v="0"/>
    <x v="4"/>
    <n v="12.6"/>
    <n v="7.3"/>
    <x v="3"/>
    <n v="3"/>
    <x v="0"/>
    <n v="98900"/>
    <n v="10000"/>
    <n v="108900"/>
    <s v="D"/>
    <d v="2013-05-29T00:00:00"/>
    <x v="4"/>
  </r>
  <r>
    <x v="657"/>
    <x v="0"/>
    <n v="44"/>
    <x v="2"/>
    <x v="4"/>
    <x v="1"/>
    <n v="3"/>
    <n v="3"/>
    <x v="1"/>
    <n v="5"/>
    <x v="0"/>
    <n v="68500"/>
    <n v="3300"/>
    <n v="71800"/>
    <s v="C"/>
    <d v="2022-12-23T00:00:00"/>
    <x v="1"/>
  </r>
  <r>
    <x v="658"/>
    <x v="1"/>
    <n v="44"/>
    <x v="3"/>
    <x v="13"/>
    <x v="0"/>
    <n v="11.5"/>
    <n v="6.7"/>
    <x v="4"/>
    <n v="3"/>
    <x v="2"/>
    <n v="97000"/>
    <n v="5100"/>
    <n v="102100"/>
    <s v="D"/>
    <d v="2014-07-17T00:00:00"/>
    <x v="0"/>
  </r>
  <r>
    <x v="659"/>
    <x v="0"/>
    <n v="42"/>
    <x v="3"/>
    <x v="5"/>
    <x v="0"/>
    <n v="3.3"/>
    <n v="1.5"/>
    <x v="1"/>
    <n v="4"/>
    <x v="1"/>
    <n v="42600"/>
    <n v="1300"/>
    <n v="43900"/>
    <s v="A"/>
    <d v="2022-09-23T00:00:00"/>
    <x v="0"/>
  </r>
  <r>
    <x v="660"/>
    <x v="0"/>
    <n v="37"/>
    <x v="2"/>
    <x v="4"/>
    <x v="0"/>
    <n v="6.6"/>
    <n v="3.3"/>
    <x v="2"/>
    <n v="2"/>
    <x v="0"/>
    <n v="70500"/>
    <n v="6500"/>
    <n v="77000"/>
    <s v="C"/>
    <d v="2019-05-26T00:00:00"/>
    <x v="0"/>
  </r>
  <r>
    <x v="661"/>
    <x v="0"/>
    <n v="34"/>
    <x v="2"/>
    <x v="11"/>
    <x v="1"/>
    <n v="5.2"/>
    <n v="3.8"/>
    <x v="1"/>
    <n v="4"/>
    <x v="0"/>
    <n v="95300"/>
    <n v="8000"/>
    <n v="103300"/>
    <s v="D"/>
    <d v="2020-10-30T00:00:00"/>
    <x v="1"/>
  </r>
  <r>
    <x v="662"/>
    <x v="1"/>
    <n v="31"/>
    <x v="0"/>
    <x v="1"/>
    <x v="2"/>
    <n v="2.5"/>
    <n v="2.1"/>
    <x v="0"/>
    <n v="4"/>
    <x v="0"/>
    <n v="75700"/>
    <n v="9500"/>
    <n v="85200"/>
    <s v="C"/>
    <d v="2023-06-23T00:00:00"/>
    <x v="2"/>
  </r>
  <r>
    <x v="663"/>
    <x v="1"/>
    <n v="36"/>
    <x v="0"/>
    <x v="2"/>
    <x v="1"/>
    <n v="6.2"/>
    <n v="3.6"/>
    <x v="2"/>
    <n v="1"/>
    <x v="0"/>
    <n v="53500"/>
    <n v="6600"/>
    <n v="60100"/>
    <s v="B"/>
    <d v="2019-10-08T00:00:00"/>
    <x v="1"/>
  </r>
  <r>
    <x v="664"/>
    <x v="1"/>
    <n v="32"/>
    <x v="3"/>
    <x v="5"/>
    <x v="2"/>
    <n v="6"/>
    <n v="5"/>
    <x v="2"/>
    <n v="2"/>
    <x v="0"/>
    <n v="89600"/>
    <n v="7800"/>
    <n v="97400"/>
    <s v="D"/>
    <d v="2019-12-26T00:00:00"/>
    <x v="2"/>
  </r>
  <r>
    <x v="665"/>
    <x v="0"/>
    <n v="21"/>
    <x v="0"/>
    <x v="2"/>
    <x v="0"/>
    <n v="7.4"/>
    <n v="3.4"/>
    <x v="2"/>
    <n v="3"/>
    <x v="0"/>
    <n v="66600"/>
    <n v="3500"/>
    <n v="70100"/>
    <s v="C"/>
    <d v="2018-08-26T00:00:00"/>
    <x v="0"/>
  </r>
  <r>
    <x v="666"/>
    <x v="1"/>
    <n v="29"/>
    <x v="4"/>
    <x v="14"/>
    <x v="0"/>
    <n v="13"/>
    <n v="9"/>
    <x v="3"/>
    <n v="3"/>
    <x v="0"/>
    <n v="104500"/>
    <n v="11400"/>
    <n v="115900"/>
    <s v="E"/>
    <d v="2013-01-19T00:00:00"/>
    <x v="0"/>
  </r>
  <r>
    <x v="667"/>
    <x v="1"/>
    <n v="35"/>
    <x v="3"/>
    <x v="13"/>
    <x v="2"/>
    <n v="5.2"/>
    <n v="2.7"/>
    <x v="1"/>
    <n v="3"/>
    <x v="1"/>
    <n v="64800"/>
    <n v="5400"/>
    <n v="70200"/>
    <s v="B"/>
    <d v="2020-10-31T00:00:00"/>
    <x v="2"/>
  </r>
  <r>
    <x v="668"/>
    <x v="1"/>
    <n v="40"/>
    <x v="5"/>
    <x v="17"/>
    <x v="0"/>
    <n v="11"/>
    <n v="8.1999999999999993"/>
    <x v="4"/>
    <n v="3"/>
    <x v="0"/>
    <n v="100200"/>
    <n v="16300"/>
    <n v="116500"/>
    <s v="E"/>
    <d v="2014-12-17T00:00:00"/>
    <x v="0"/>
  </r>
  <r>
    <x v="669"/>
    <x v="0"/>
    <n v="52"/>
    <x v="0"/>
    <x v="1"/>
    <x v="1"/>
    <n v="13"/>
    <n v="9.3000000000000007"/>
    <x v="3"/>
    <n v="3"/>
    <x v="0"/>
    <n v="80300"/>
    <n v="4700"/>
    <n v="85000"/>
    <s v="D"/>
    <d v="2012-12-30T00:00:00"/>
    <x v="1"/>
  </r>
  <r>
    <x v="670"/>
    <x v="0"/>
    <n v="38"/>
    <x v="1"/>
    <x v="3"/>
    <x v="1"/>
    <n v="5.5"/>
    <n v="5.5"/>
    <x v="1"/>
    <n v="3"/>
    <x v="0"/>
    <n v="81900"/>
    <n v="5200"/>
    <n v="87100"/>
    <s v="D"/>
    <d v="2020-07-07T00:00:00"/>
    <x v="1"/>
  </r>
  <r>
    <x v="671"/>
    <x v="1"/>
    <n v="43"/>
    <x v="1"/>
    <x v="10"/>
    <x v="1"/>
    <n v="3.6"/>
    <n v="0.9"/>
    <x v="1"/>
    <n v="4"/>
    <x v="0"/>
    <n v="112200"/>
    <n v="5100"/>
    <n v="117300"/>
    <s v="E"/>
    <d v="2022-05-22T00:00:00"/>
    <x v="1"/>
  </r>
  <r>
    <x v="672"/>
    <x v="0"/>
    <n v="36"/>
    <x v="5"/>
    <x v="17"/>
    <x v="1"/>
    <n v="10.1"/>
    <m/>
    <x v="4"/>
    <n v="4"/>
    <x v="0"/>
    <n v="96200"/>
    <n v="19400"/>
    <n v="115600"/>
    <s v="D"/>
    <d v="2015-11-24T00:00:00"/>
    <x v="1"/>
  </r>
  <r>
    <x v="673"/>
    <x v="1"/>
    <n v="33"/>
    <x v="5"/>
    <x v="9"/>
    <x v="1"/>
    <n v="6.6"/>
    <n v="4.3"/>
    <x v="2"/>
    <n v="3"/>
    <x v="0"/>
    <n v="89700"/>
    <n v="11700"/>
    <n v="101400"/>
    <s v="D"/>
    <d v="2019-05-30T00:00:00"/>
    <x v="1"/>
  </r>
  <r>
    <x v="674"/>
    <x v="0"/>
    <n v="30"/>
    <x v="1"/>
    <x v="10"/>
    <x v="1"/>
    <n v="9.6999999999999993"/>
    <n v="8.3000000000000007"/>
    <x v="4"/>
    <n v="5"/>
    <x v="0"/>
    <n v="100600"/>
    <n v="8800"/>
    <n v="109400"/>
    <s v="E"/>
    <d v="2016-04-17T00:00:00"/>
    <x v="1"/>
  </r>
  <r>
    <x v="675"/>
    <x v="0"/>
    <n v="25"/>
    <x v="4"/>
    <x v="14"/>
    <x v="1"/>
    <n v="9.8000000000000007"/>
    <n v="6.4"/>
    <x v="4"/>
    <n v="4"/>
    <x v="0"/>
    <n v="105300"/>
    <n v="13800"/>
    <n v="119100"/>
    <s v="E"/>
    <d v="2016-03-15T00:00:00"/>
    <x v="1"/>
  </r>
  <r>
    <x v="676"/>
    <x v="0"/>
    <n v="29"/>
    <x v="4"/>
    <x v="16"/>
    <x v="1"/>
    <n v="10.7"/>
    <n v="8.6"/>
    <x v="4"/>
    <n v="2"/>
    <x v="0"/>
    <n v="97700"/>
    <n v="8600"/>
    <n v="106300"/>
    <s v="D"/>
    <d v="2015-05-01T00:00:00"/>
    <x v="1"/>
  </r>
  <r>
    <x v="677"/>
    <x v="1"/>
    <n v="29"/>
    <x v="5"/>
    <x v="15"/>
    <x v="2"/>
    <n v="3.1"/>
    <n v="1.4"/>
    <x v="1"/>
    <n v="3"/>
    <x v="1"/>
    <n v="36000"/>
    <n v="3500"/>
    <n v="39500"/>
    <s v="A"/>
    <d v="2022-11-25T00:00:00"/>
    <x v="2"/>
  </r>
  <r>
    <x v="678"/>
    <x v="0"/>
    <n v="19"/>
    <x v="4"/>
    <x v="6"/>
    <x v="2"/>
    <n v="9.9"/>
    <n v="7.6"/>
    <x v="4"/>
    <n v="4"/>
    <x v="0"/>
    <n v="76800"/>
    <n v="4400"/>
    <n v="81200"/>
    <s v="C"/>
    <d v="2016-01-25T00:00:00"/>
    <x v="2"/>
  </r>
  <r>
    <x v="679"/>
    <x v="0"/>
    <n v="27"/>
    <x v="4"/>
    <x v="14"/>
    <x v="1"/>
    <n v="10.5"/>
    <n v="8.1"/>
    <x v="4"/>
    <n v="3"/>
    <x v="0"/>
    <n v="118100"/>
    <n v="7300"/>
    <n v="125400"/>
    <s v="E"/>
    <d v="2015-06-29T00:00:00"/>
    <x v="1"/>
  </r>
  <r>
    <x v="680"/>
    <x v="0"/>
    <n v="25"/>
    <x v="5"/>
    <x v="17"/>
    <x v="1"/>
    <n v="12.3"/>
    <n v="8.1"/>
    <x v="3"/>
    <n v="3"/>
    <x v="1"/>
    <n v="62800"/>
    <n v="12800"/>
    <n v="75600"/>
    <s v="B"/>
    <d v="2013-09-20T00:00:00"/>
    <x v="1"/>
  </r>
  <r>
    <x v="681"/>
    <x v="0"/>
    <n v="45"/>
    <x v="4"/>
    <x v="6"/>
    <x v="1"/>
    <n v="5.0999999999999996"/>
    <n v="0.9"/>
    <x v="1"/>
    <n v="2"/>
    <x v="0"/>
    <n v="78100"/>
    <n v="8200"/>
    <n v="86300"/>
    <s v="C"/>
    <d v="2020-11-07T00:00:00"/>
    <x v="1"/>
  </r>
  <r>
    <x v="682"/>
    <x v="0"/>
    <n v="29"/>
    <x v="2"/>
    <x v="11"/>
    <x v="1"/>
    <n v="11.3"/>
    <n v="7.8"/>
    <x v="4"/>
    <n v="3"/>
    <x v="0"/>
    <n v="103700"/>
    <n v="9700"/>
    <n v="113400"/>
    <s v="E"/>
    <d v="2014-09-12T00:00:00"/>
    <x v="1"/>
  </r>
  <r>
    <x v="683"/>
    <x v="1"/>
    <n v="30"/>
    <x v="3"/>
    <x v="13"/>
    <x v="3"/>
    <n v="2.8"/>
    <n v="2.2000000000000002"/>
    <x v="0"/>
    <n v="2"/>
    <x v="0"/>
    <n v="110100"/>
    <n v="9100"/>
    <n v="119200"/>
    <s v="E"/>
    <d v="2023-03-19T00:00:00"/>
    <x v="3"/>
  </r>
  <r>
    <x v="684"/>
    <x v="1"/>
    <n v="36"/>
    <x v="1"/>
    <x v="3"/>
    <x v="1"/>
    <n v="3.2"/>
    <n v="1.2"/>
    <x v="1"/>
    <n v="3"/>
    <x v="0"/>
    <n v="72900"/>
    <n v="6500"/>
    <n v="79400"/>
    <s v="C"/>
    <d v="2022-10-21T00:00:00"/>
    <x v="1"/>
  </r>
  <r>
    <x v="685"/>
    <x v="1"/>
    <n v="41"/>
    <x v="2"/>
    <x v="4"/>
    <x v="1"/>
    <n v="11.5"/>
    <n v="7.4"/>
    <x v="4"/>
    <n v="4"/>
    <x v="2"/>
    <n v="77500"/>
    <n v="5900"/>
    <n v="83400"/>
    <s v="C"/>
    <d v="2014-07-19T00:00:00"/>
    <x v="1"/>
  </r>
  <r>
    <x v="686"/>
    <x v="0"/>
    <n v="37"/>
    <x v="4"/>
    <x v="6"/>
    <x v="0"/>
    <n v="3.2"/>
    <n v="0.4"/>
    <x v="1"/>
    <n v="3"/>
    <x v="0"/>
    <n v="56300"/>
    <n v="8400"/>
    <n v="64700"/>
    <s v="B"/>
    <d v="2022-10-07T00:00:00"/>
    <x v="0"/>
  </r>
  <r>
    <x v="687"/>
    <x v="1"/>
    <n v="36"/>
    <x v="1"/>
    <x v="7"/>
    <x v="1"/>
    <n v="12.5"/>
    <n v="9.1"/>
    <x v="3"/>
    <n v="1"/>
    <x v="1"/>
    <n v="52300"/>
    <n v="4800"/>
    <n v="57100"/>
    <s v="B"/>
    <d v="2013-06-27T00:00:00"/>
    <x v="1"/>
  </r>
  <r>
    <x v="688"/>
    <x v="0"/>
    <n v="34"/>
    <x v="4"/>
    <x v="6"/>
    <x v="1"/>
    <n v="11.9"/>
    <n v="10"/>
    <x v="4"/>
    <n v="4"/>
    <x v="1"/>
    <n v="51700"/>
    <n v="5400"/>
    <n v="57100"/>
    <s v="B"/>
    <d v="2014-02-07T00:00:00"/>
    <x v="1"/>
  </r>
  <r>
    <x v="689"/>
    <x v="1"/>
    <n v="32"/>
    <x v="3"/>
    <x v="5"/>
    <x v="1"/>
    <n v="12.8"/>
    <n v="7.4"/>
    <x v="3"/>
    <n v="4"/>
    <x v="0"/>
    <n v="80400"/>
    <n v="2700"/>
    <n v="83100"/>
    <s v="D"/>
    <d v="2013-03-29T00:00:00"/>
    <x v="1"/>
  </r>
  <r>
    <x v="690"/>
    <x v="1"/>
    <n v="37"/>
    <x v="1"/>
    <x v="10"/>
    <x v="2"/>
    <n v="9.1"/>
    <n v="4"/>
    <x v="4"/>
    <n v="3"/>
    <x v="0"/>
    <n v="100800"/>
    <n v="5500"/>
    <n v="106300"/>
    <s v="E"/>
    <d v="2016-11-26T00:00:00"/>
    <x v="2"/>
  </r>
  <r>
    <x v="691"/>
    <x v="0"/>
    <n v="34"/>
    <x v="4"/>
    <x v="6"/>
    <x v="3"/>
    <n v="1.8"/>
    <n v="0.7"/>
    <x v="0"/>
    <n v="3"/>
    <x v="0"/>
    <n v="79400"/>
    <n v="5600"/>
    <n v="85000"/>
    <s v="C"/>
    <d v="2024-03-27T00:00:00"/>
    <x v="3"/>
  </r>
  <r>
    <x v="692"/>
    <x v="1"/>
    <n v="31"/>
    <x v="4"/>
    <x v="6"/>
    <x v="1"/>
    <n v="1.2"/>
    <n v="0.1"/>
    <x v="0"/>
    <n v="1"/>
    <x v="1"/>
    <n v="36400"/>
    <n v="5400"/>
    <n v="41800"/>
    <s v="A"/>
    <d v="2024-10-21T00:00:00"/>
    <x v="1"/>
  </r>
  <r>
    <x v="693"/>
    <x v="1"/>
    <n v="43"/>
    <x v="5"/>
    <x v="15"/>
    <x v="1"/>
    <n v="7.3"/>
    <n v="5.0999999999999996"/>
    <x v="2"/>
    <n v="2"/>
    <x v="0"/>
    <n v="68300"/>
    <n v="10900"/>
    <n v="79200"/>
    <s v="C"/>
    <d v="2018-09-27T00:00:00"/>
    <x v="1"/>
  </r>
  <r>
    <x v="694"/>
    <x v="0"/>
    <n v="34"/>
    <x v="0"/>
    <x v="0"/>
    <x v="2"/>
    <n v="1.4"/>
    <n v="1.2"/>
    <x v="0"/>
    <n v="3"/>
    <x v="0"/>
    <n v="92400"/>
    <n v="8000"/>
    <n v="100400"/>
    <s v="D"/>
    <d v="2024-08-09T00:00:00"/>
    <x v="2"/>
  </r>
  <r>
    <x v="695"/>
    <x v="1"/>
    <n v="45"/>
    <x v="5"/>
    <x v="9"/>
    <x v="2"/>
    <n v="4.2"/>
    <n v="0.9"/>
    <x v="1"/>
    <n v="3"/>
    <x v="1"/>
    <n v="53500"/>
    <n v="4700"/>
    <n v="58200"/>
    <s v="B"/>
    <d v="2021-10-14T00:00:00"/>
    <x v="2"/>
  </r>
  <r>
    <x v="696"/>
    <x v="1"/>
    <n v="41"/>
    <x v="5"/>
    <x v="15"/>
    <x v="1"/>
    <n v="8.1"/>
    <n v="4.8"/>
    <x v="2"/>
    <n v="4"/>
    <x v="0"/>
    <n v="65000"/>
    <n v="6400"/>
    <n v="71400"/>
    <s v="C"/>
    <d v="2017-11-21T00:00:00"/>
    <x v="1"/>
  </r>
  <r>
    <x v="697"/>
    <x v="1"/>
    <n v="42"/>
    <x v="3"/>
    <x v="5"/>
    <x v="2"/>
    <n v="9.9"/>
    <n v="5"/>
    <x v="4"/>
    <n v="4"/>
    <x v="0"/>
    <n v="82900"/>
    <n v="5100"/>
    <n v="88000"/>
    <s v="D"/>
    <d v="2016-02-15T00:00:00"/>
    <x v="2"/>
  </r>
  <r>
    <x v="698"/>
    <x v="0"/>
    <n v="42"/>
    <x v="4"/>
    <x v="8"/>
    <x v="2"/>
    <n v="2.6"/>
    <n v="2.2999999999999998"/>
    <x v="0"/>
    <n v="3"/>
    <x v="0"/>
    <n v="83600"/>
    <n v="4900"/>
    <n v="88500"/>
    <s v="D"/>
    <d v="2023-05-14T00:00:00"/>
    <x v="2"/>
  </r>
  <r>
    <x v="699"/>
    <x v="0"/>
    <n v="29"/>
    <x v="2"/>
    <x v="4"/>
    <x v="1"/>
    <n v="8.8000000000000007"/>
    <n v="7.4"/>
    <x v="2"/>
    <n v="4"/>
    <x v="0"/>
    <n v="83100"/>
    <n v="3500"/>
    <n v="86600"/>
    <s v="D"/>
    <d v="2017-03-28T00:00:00"/>
    <x v="1"/>
  </r>
  <r>
    <x v="700"/>
    <x v="0"/>
    <n v="55"/>
    <x v="1"/>
    <x v="10"/>
    <x v="3"/>
    <n v="13.9"/>
    <n v="9.5"/>
    <x v="3"/>
    <n v="3"/>
    <x v="2"/>
    <n v="105900"/>
    <n v="4400"/>
    <n v="110300"/>
    <s v="E"/>
    <d v="2012-01-23T00:00:00"/>
    <x v="3"/>
  </r>
  <r>
    <x v="701"/>
    <x v="0"/>
    <n v="32"/>
    <x v="0"/>
    <x v="2"/>
    <x v="1"/>
    <n v="11.8"/>
    <n v="9.4"/>
    <x v="4"/>
    <n v="3"/>
    <x v="2"/>
    <n v="53700"/>
    <n v="4900"/>
    <n v="58600"/>
    <s v="B"/>
    <d v="2014-03-07T00:00:00"/>
    <x v="1"/>
  </r>
  <r>
    <x v="702"/>
    <x v="0"/>
    <n v="29"/>
    <x v="5"/>
    <x v="9"/>
    <x v="2"/>
    <n v="13.2"/>
    <n v="10"/>
    <x v="3"/>
    <n v="3"/>
    <x v="0"/>
    <n v="102100"/>
    <n v="7900"/>
    <n v="110000"/>
    <s v="E"/>
    <d v="2012-10-05T00:00:00"/>
    <x v="2"/>
  </r>
  <r>
    <x v="703"/>
    <x v="0"/>
    <n v="44"/>
    <x v="1"/>
    <x v="7"/>
    <x v="3"/>
    <n v="4.7"/>
    <n v="4.7"/>
    <x v="1"/>
    <n v="4"/>
    <x v="0"/>
    <n v="94400"/>
    <n v="9100"/>
    <n v="103500"/>
    <s v="D"/>
    <d v="2021-04-28T00:00:00"/>
    <x v="3"/>
  </r>
  <r>
    <x v="704"/>
    <x v="1"/>
    <n v="42"/>
    <x v="1"/>
    <x v="10"/>
    <x v="2"/>
    <n v="2.8"/>
    <n v="0.5"/>
    <x v="0"/>
    <n v="3"/>
    <x v="0"/>
    <n v="92800"/>
    <n v="7600"/>
    <n v="100400"/>
    <s v="D"/>
    <d v="2023-03-24T00:00:00"/>
    <x v="2"/>
  </r>
  <r>
    <x v="705"/>
    <x v="1"/>
    <n v="40"/>
    <x v="5"/>
    <x v="9"/>
    <x v="1"/>
    <n v="9.8000000000000007"/>
    <n v="6"/>
    <x v="4"/>
    <n v="3"/>
    <x v="0"/>
    <n v="99100"/>
    <n v="13600"/>
    <n v="112700"/>
    <s v="D"/>
    <d v="2016-03-16T00:00:00"/>
    <x v="1"/>
  </r>
  <r>
    <x v="706"/>
    <x v="0"/>
    <n v="27"/>
    <x v="3"/>
    <x v="13"/>
    <x v="1"/>
    <n v="3.2"/>
    <n v="2.8"/>
    <x v="1"/>
    <n v="2"/>
    <x v="0"/>
    <n v="95600"/>
    <n v="3900"/>
    <n v="99500"/>
    <s v="D"/>
    <d v="2022-10-02T00:00:00"/>
    <x v="1"/>
  </r>
  <r>
    <x v="707"/>
    <x v="1"/>
    <n v="50"/>
    <x v="1"/>
    <x v="3"/>
    <x v="1"/>
    <n v="4.7"/>
    <n v="4.7"/>
    <x v="1"/>
    <n v="3"/>
    <x v="0"/>
    <n v="72900"/>
    <n v="4900"/>
    <n v="77800"/>
    <s v="C"/>
    <d v="2021-04-20T00:00:00"/>
    <x v="1"/>
  </r>
  <r>
    <x v="708"/>
    <x v="0"/>
    <n v="34"/>
    <x v="0"/>
    <x v="2"/>
    <x v="0"/>
    <n v="9.6"/>
    <n v="9.3000000000000007"/>
    <x v="4"/>
    <n v="3"/>
    <x v="0"/>
    <n v="58500"/>
    <n v="4300"/>
    <n v="62800"/>
    <s v="B"/>
    <d v="2016-06-05T00:00:00"/>
    <x v="0"/>
  </r>
  <r>
    <x v="709"/>
    <x v="0"/>
    <n v="37"/>
    <x v="1"/>
    <x v="3"/>
    <x v="1"/>
    <n v="6"/>
    <n v="3.4"/>
    <x v="2"/>
    <n v="3"/>
    <x v="0"/>
    <n v="82300"/>
    <n v="7900"/>
    <n v="90200"/>
    <s v="D"/>
    <d v="2020-01-14T00:00:00"/>
    <x v="1"/>
  </r>
  <r>
    <x v="710"/>
    <x v="0"/>
    <n v="32"/>
    <x v="2"/>
    <x v="18"/>
    <x v="1"/>
    <n v="2.1"/>
    <n v="0.4"/>
    <x v="0"/>
    <n v="3"/>
    <x v="0"/>
    <n v="59900"/>
    <n v="5400"/>
    <n v="65300"/>
    <s v="B"/>
    <d v="2023-11-15T00:00:00"/>
    <x v="1"/>
  </r>
  <r>
    <x v="711"/>
    <x v="1"/>
    <n v="35"/>
    <x v="2"/>
    <x v="4"/>
    <x v="2"/>
    <n v="12.4"/>
    <n v="7.2"/>
    <x v="3"/>
    <n v="3"/>
    <x v="0"/>
    <n v="89200"/>
    <n v="9100"/>
    <n v="98300"/>
    <s v="D"/>
    <d v="2013-08-06T00:00:00"/>
    <x v="2"/>
  </r>
  <r>
    <x v="712"/>
    <x v="1"/>
    <n v="36"/>
    <x v="1"/>
    <x v="10"/>
    <x v="1"/>
    <n v="5.0999999999999996"/>
    <n v="4"/>
    <x v="1"/>
    <n v="3"/>
    <x v="0"/>
    <n v="100400"/>
    <n v="6300"/>
    <n v="106700"/>
    <s v="E"/>
    <d v="2020-11-18T00:00:00"/>
    <x v="1"/>
  </r>
  <r>
    <x v="713"/>
    <x v="1"/>
    <n v="52"/>
    <x v="2"/>
    <x v="4"/>
    <x v="2"/>
    <n v="12"/>
    <n v="8.3000000000000007"/>
    <x v="3"/>
    <n v="3"/>
    <x v="0"/>
    <n v="84900"/>
    <n v="7500"/>
    <n v="92400"/>
    <s v="D"/>
    <d v="2014-01-01T00:00:00"/>
    <x v="2"/>
  </r>
  <r>
    <x v="714"/>
    <x v="1"/>
    <n v="29"/>
    <x v="3"/>
    <x v="5"/>
    <x v="1"/>
    <n v="1.3"/>
    <n v="1.1000000000000001"/>
    <x v="0"/>
    <n v="2"/>
    <x v="0"/>
    <n v="60300"/>
    <n v="3800"/>
    <n v="64100"/>
    <s v="B"/>
    <d v="2024-09-23T00:00:00"/>
    <x v="1"/>
  </r>
  <r>
    <x v="715"/>
    <x v="1"/>
    <n v="46"/>
    <x v="3"/>
    <x v="12"/>
    <x v="2"/>
    <n v="13"/>
    <n v="9"/>
    <x v="3"/>
    <n v="3"/>
    <x v="1"/>
    <n v="50100"/>
    <n v="1600"/>
    <n v="51700"/>
    <s v="B"/>
    <d v="2013-01-16T00:00:00"/>
    <x v="2"/>
  </r>
  <r>
    <x v="716"/>
    <x v="0"/>
    <n v="35"/>
    <x v="1"/>
    <x v="10"/>
    <x v="2"/>
    <n v="2.7"/>
    <n v="0"/>
    <x v="0"/>
    <n v="3"/>
    <x v="1"/>
    <n v="62500"/>
    <n v="3900"/>
    <n v="66400"/>
    <s v="B"/>
    <d v="2023-04-26T00:00:00"/>
    <x v="2"/>
  </r>
  <r>
    <x v="717"/>
    <x v="0"/>
    <n v="32"/>
    <x v="0"/>
    <x v="1"/>
    <x v="2"/>
    <n v="13.3"/>
    <n v="8.1"/>
    <x v="3"/>
    <n v="3"/>
    <x v="0"/>
    <n v="77800"/>
    <n v="10000"/>
    <n v="87800"/>
    <s v="C"/>
    <d v="2012-09-18T00:00:00"/>
    <x v="2"/>
  </r>
  <r>
    <x v="718"/>
    <x v="1"/>
    <n v="40"/>
    <x v="1"/>
    <x v="7"/>
    <x v="1"/>
    <n v="3"/>
    <n v="1.2"/>
    <x v="1"/>
    <n v="3"/>
    <x v="0"/>
    <n v="72200"/>
    <n v="5100"/>
    <n v="77300"/>
    <s v="C"/>
    <d v="2023-01-11T00:00:00"/>
    <x v="1"/>
  </r>
  <r>
    <x v="719"/>
    <x v="1"/>
    <n v="34"/>
    <x v="0"/>
    <x v="2"/>
    <x v="2"/>
    <n v="5.9"/>
    <n v="4.7"/>
    <x v="1"/>
    <n v="3"/>
    <x v="2"/>
    <n v="58100"/>
    <n v="4800"/>
    <n v="62900"/>
    <s v="B"/>
    <d v="2020-02-03T00:00:00"/>
    <x v="2"/>
  </r>
  <r>
    <x v="720"/>
    <x v="0"/>
    <n v="40"/>
    <x v="3"/>
    <x v="13"/>
    <x v="2"/>
    <n v="3.3"/>
    <n v="3.2"/>
    <x v="1"/>
    <n v="4"/>
    <x v="0"/>
    <n v="109600"/>
    <n v="5500"/>
    <n v="115100"/>
    <s v="E"/>
    <d v="2022-09-19T00:00:00"/>
    <x v="2"/>
  </r>
  <r>
    <x v="721"/>
    <x v="1"/>
    <n v="30"/>
    <x v="3"/>
    <x v="5"/>
    <x v="1"/>
    <n v="11.2"/>
    <n v="8.4"/>
    <x v="4"/>
    <n v="3"/>
    <x v="0"/>
    <n v="79800"/>
    <n v="5900"/>
    <n v="85700"/>
    <s v="C"/>
    <d v="2014-10-27T00:00:00"/>
    <x v="1"/>
  </r>
  <r>
    <x v="722"/>
    <x v="0"/>
    <n v="32"/>
    <x v="3"/>
    <x v="13"/>
    <x v="3"/>
    <n v="6.7"/>
    <n v="5.3"/>
    <x v="2"/>
    <n v="3"/>
    <x v="0"/>
    <n v="104600"/>
    <n v="5300"/>
    <n v="109900"/>
    <s v="E"/>
    <d v="2019-05-08T00:00:00"/>
    <x v="3"/>
  </r>
  <r>
    <x v="723"/>
    <x v="1"/>
    <n v="36"/>
    <x v="0"/>
    <x v="2"/>
    <x v="1"/>
    <n v="7.4"/>
    <n v="4.4000000000000004"/>
    <x v="2"/>
    <n v="3"/>
    <x v="0"/>
    <n v="65800"/>
    <n v="5700"/>
    <n v="71500"/>
    <s v="C"/>
    <d v="2018-07-21T00:00:00"/>
    <x v="1"/>
  </r>
  <r>
    <x v="724"/>
    <x v="0"/>
    <n v="37"/>
    <x v="1"/>
    <x v="3"/>
    <x v="1"/>
    <n v="13.7"/>
    <n v="10.5"/>
    <x v="3"/>
    <n v="3"/>
    <x v="0"/>
    <n v="84900"/>
    <n v="9800"/>
    <n v="94700"/>
    <s v="D"/>
    <d v="2012-04-21T00:00:00"/>
    <x v="1"/>
  </r>
  <r>
    <x v="725"/>
    <x v="0"/>
    <n v="28"/>
    <x v="4"/>
    <x v="16"/>
    <x v="1"/>
    <n v="8.9"/>
    <n v="8.8000000000000007"/>
    <x v="2"/>
    <n v="3"/>
    <x v="0"/>
    <n v="84700"/>
    <n v="10900"/>
    <n v="95600"/>
    <s v="D"/>
    <d v="2017-01-20T00:00:00"/>
    <x v="1"/>
  </r>
  <r>
    <x v="726"/>
    <x v="1"/>
    <n v="36"/>
    <x v="1"/>
    <x v="10"/>
    <x v="2"/>
    <n v="6.1"/>
    <n v="4.4000000000000004"/>
    <x v="2"/>
    <n v="3"/>
    <x v="0"/>
    <n v="108000"/>
    <n v="9400"/>
    <n v="117400"/>
    <s v="E"/>
    <d v="2019-11-29T00:00:00"/>
    <x v="2"/>
  </r>
  <r>
    <x v="727"/>
    <x v="0"/>
    <n v="39"/>
    <x v="4"/>
    <x v="8"/>
    <x v="1"/>
    <n v="11.1"/>
    <n v="6.8"/>
    <x v="4"/>
    <n v="5"/>
    <x v="2"/>
    <n v="82100"/>
    <n v="7400"/>
    <n v="89500"/>
    <s v="D"/>
    <d v="2014-11-10T00:00:00"/>
    <x v="1"/>
  </r>
  <r>
    <x v="728"/>
    <x v="1"/>
    <n v="45"/>
    <x v="4"/>
    <x v="16"/>
    <x v="1"/>
    <n v="8"/>
    <n v="4"/>
    <x v="2"/>
    <n v="3"/>
    <x v="2"/>
    <n v="78600"/>
    <n v="10600"/>
    <n v="89200"/>
    <s v="C"/>
    <d v="2018-01-15T00:00:00"/>
    <x v="1"/>
  </r>
  <r>
    <x v="729"/>
    <x v="0"/>
    <n v="35"/>
    <x v="3"/>
    <x v="13"/>
    <x v="2"/>
    <n v="11"/>
    <n v="9.8000000000000007"/>
    <x v="4"/>
    <n v="3"/>
    <x v="0"/>
    <n v="107800"/>
    <n v="4200"/>
    <n v="112000"/>
    <s v="E"/>
    <d v="2014-12-15T00:00:00"/>
    <x v="2"/>
  </r>
  <r>
    <x v="730"/>
    <x v="0"/>
    <n v="42"/>
    <x v="1"/>
    <x v="7"/>
    <x v="1"/>
    <n v="10.6"/>
    <n v="7.6"/>
    <x v="4"/>
    <n v="3"/>
    <x v="0"/>
    <n v="87300"/>
    <n v="5200"/>
    <n v="92500"/>
    <s v="D"/>
    <d v="2015-05-26T00:00:00"/>
    <x v="1"/>
  </r>
  <r>
    <x v="731"/>
    <x v="1"/>
    <n v="27"/>
    <x v="0"/>
    <x v="1"/>
    <x v="2"/>
    <n v="13.1"/>
    <n v="7.2"/>
    <x v="3"/>
    <n v="3"/>
    <x v="0"/>
    <n v="90000"/>
    <n v="9400"/>
    <n v="99400"/>
    <s v="D"/>
    <d v="2012-11-20T00:00:00"/>
    <x v="2"/>
  </r>
  <r>
    <x v="732"/>
    <x v="0"/>
    <n v="28"/>
    <x v="4"/>
    <x v="14"/>
    <x v="1"/>
    <n v="6.4"/>
    <n v="5.5"/>
    <x v="2"/>
    <n v="4"/>
    <x v="0"/>
    <n v="100300"/>
    <n v="5900"/>
    <n v="106200"/>
    <s v="E"/>
    <d v="2019-07-26T00:00:00"/>
    <x v="1"/>
  </r>
  <r>
    <x v="733"/>
    <x v="1"/>
    <n v="40"/>
    <x v="1"/>
    <x v="7"/>
    <x v="2"/>
    <n v="13.1"/>
    <n v="8"/>
    <x v="3"/>
    <n v="4"/>
    <x v="0"/>
    <n v="83700"/>
    <n v="4900"/>
    <n v="88600"/>
    <s v="D"/>
    <d v="2012-11-20T00:00:00"/>
    <x v="2"/>
  </r>
  <r>
    <x v="734"/>
    <x v="1"/>
    <n v="36"/>
    <x v="3"/>
    <x v="13"/>
    <x v="1"/>
    <n v="8.1999999999999993"/>
    <n v="4"/>
    <x v="2"/>
    <n v="2"/>
    <x v="0"/>
    <n v="91800"/>
    <n v="3300"/>
    <n v="95100"/>
    <s v="D"/>
    <d v="2017-10-06T00:00:00"/>
    <x v="1"/>
  </r>
  <r>
    <x v="735"/>
    <x v="1"/>
    <n v="33"/>
    <x v="4"/>
    <x v="8"/>
    <x v="2"/>
    <n v="2.2999999999999998"/>
    <n v="0.7"/>
    <x v="0"/>
    <n v="3"/>
    <x v="0"/>
    <n v="80600"/>
    <n v="5700"/>
    <n v="86300"/>
    <s v="D"/>
    <d v="2023-09-03T00:00:00"/>
    <x v="2"/>
  </r>
  <r>
    <x v="736"/>
    <x v="1"/>
    <n v="36"/>
    <x v="0"/>
    <x v="2"/>
    <x v="1"/>
    <n v="1.9"/>
    <n v="0"/>
    <x v="0"/>
    <n v="3"/>
    <x v="0"/>
    <n v="74100"/>
    <n v="5200"/>
    <n v="79300"/>
    <s v="C"/>
    <d v="2024-02-17T00:00:00"/>
    <x v="1"/>
  </r>
  <r>
    <x v="737"/>
    <x v="0"/>
    <n v="46"/>
    <x v="0"/>
    <x v="2"/>
    <x v="0"/>
    <n v="9.6999999999999993"/>
    <n v="5"/>
    <x v="4"/>
    <n v="3"/>
    <x v="1"/>
    <n v="43300"/>
    <n v="3200"/>
    <n v="46500"/>
    <s v="A"/>
    <d v="2016-04-26T00:00:00"/>
    <x v="0"/>
  </r>
  <r>
    <x v="738"/>
    <x v="0"/>
    <n v="31"/>
    <x v="5"/>
    <x v="15"/>
    <x v="1"/>
    <n v="3.8"/>
    <n v="2.9"/>
    <x v="1"/>
    <n v="3"/>
    <x v="0"/>
    <n v="61600"/>
    <n v="6900"/>
    <n v="68500"/>
    <s v="B"/>
    <d v="2022-03-14T00:00:00"/>
    <x v="1"/>
  </r>
  <r>
    <x v="739"/>
    <x v="1"/>
    <n v="30"/>
    <x v="3"/>
    <x v="12"/>
    <x v="1"/>
    <n v="2.6"/>
    <n v="2.6"/>
    <x v="0"/>
    <n v="3"/>
    <x v="0"/>
    <n v="69500"/>
    <n v="3500"/>
    <n v="73000"/>
    <s v="C"/>
    <d v="2023-06-09T00:00:00"/>
    <x v="1"/>
  </r>
  <r>
    <x v="740"/>
    <x v="1"/>
    <n v="41"/>
    <x v="0"/>
    <x v="1"/>
    <x v="1"/>
    <n v="12"/>
    <n v="7.8"/>
    <x v="3"/>
    <n v="4"/>
    <x v="0"/>
    <n v="93300"/>
    <n v="6500"/>
    <n v="99800"/>
    <s v="D"/>
    <d v="2013-12-27T00:00:00"/>
    <x v="1"/>
  </r>
  <r>
    <x v="741"/>
    <x v="1"/>
    <n v="35"/>
    <x v="4"/>
    <x v="8"/>
    <x v="1"/>
    <n v="10.3"/>
    <n v="7.4"/>
    <x v="4"/>
    <n v="1"/>
    <x v="0"/>
    <n v="87600"/>
    <n v="12700"/>
    <n v="100300"/>
    <s v="D"/>
    <d v="2015-09-15T00:00:00"/>
    <x v="1"/>
  </r>
  <r>
    <x v="742"/>
    <x v="0"/>
    <n v="32"/>
    <x v="0"/>
    <x v="0"/>
    <x v="2"/>
    <n v="9.1"/>
    <n v="5.6"/>
    <x v="4"/>
    <n v="2"/>
    <x v="0"/>
    <n v="88600"/>
    <n v="4300"/>
    <n v="92900"/>
    <s v="D"/>
    <d v="2016-11-16T00:00:00"/>
    <x v="2"/>
  </r>
  <r>
    <x v="743"/>
    <x v="0"/>
    <n v="37"/>
    <x v="5"/>
    <x v="17"/>
    <x v="0"/>
    <n v="6.6"/>
    <n v="6.6"/>
    <x v="2"/>
    <n v="4"/>
    <x v="1"/>
    <n v="61300"/>
    <n v="12700"/>
    <n v="74000"/>
    <s v="B"/>
    <d v="2019-06-03T00:00:00"/>
    <x v="0"/>
  </r>
  <r>
    <x v="744"/>
    <x v="0"/>
    <n v="43"/>
    <x v="3"/>
    <x v="12"/>
    <x v="2"/>
    <n v="9.6"/>
    <n v="5.9"/>
    <x v="4"/>
    <n v="3"/>
    <x v="0"/>
    <n v="80800"/>
    <n v="4200"/>
    <n v="85000"/>
    <s v="D"/>
    <d v="2016-06-06T00:00:00"/>
    <x v="2"/>
  </r>
  <r>
    <x v="745"/>
    <x v="0"/>
    <n v="46"/>
    <x v="4"/>
    <x v="8"/>
    <x v="1"/>
    <n v="13.9"/>
    <n v="8.6"/>
    <x v="3"/>
    <n v="3"/>
    <x v="0"/>
    <n v="102300"/>
    <n v="9900"/>
    <n v="112200"/>
    <s v="E"/>
    <d v="2012-02-08T00:00:00"/>
    <x v="1"/>
  </r>
  <r>
    <x v="746"/>
    <x v="1"/>
    <n v="37"/>
    <x v="2"/>
    <x v="4"/>
    <x v="1"/>
    <n v="4.3"/>
    <n v="3.2"/>
    <x v="1"/>
    <n v="3"/>
    <x v="1"/>
    <n v="52300"/>
    <n v="5200"/>
    <n v="57500"/>
    <s v="B"/>
    <d v="2021-09-16T00:00:00"/>
    <x v="1"/>
  </r>
  <r>
    <x v="747"/>
    <x v="0"/>
    <n v="25"/>
    <x v="0"/>
    <x v="0"/>
    <x v="1"/>
    <n v="1.3"/>
    <n v="0.6"/>
    <x v="0"/>
    <n v="4"/>
    <x v="0"/>
    <n v="91700"/>
    <n v="4600"/>
    <n v="96300"/>
    <s v="D"/>
    <d v="2024-09-16T00:00:00"/>
    <x v="1"/>
  </r>
  <r>
    <x v="748"/>
    <x v="0"/>
    <n v="46"/>
    <x v="0"/>
    <x v="1"/>
    <x v="1"/>
    <n v="14"/>
    <n v="9"/>
    <x v="3"/>
    <n v="4"/>
    <x v="0"/>
    <n v="80600"/>
    <n v="10800"/>
    <n v="91400"/>
    <s v="D"/>
    <d v="2012-01-01T00:00:00"/>
    <x v="1"/>
  </r>
  <r>
    <x v="749"/>
    <x v="0"/>
    <n v="34"/>
    <x v="5"/>
    <x v="9"/>
    <x v="1"/>
    <n v="10"/>
    <n v="5.6"/>
    <x v="4"/>
    <n v="3"/>
    <x v="0"/>
    <n v="105200"/>
    <n v="21100"/>
    <n v="126300"/>
    <s v="E"/>
    <d v="2015-12-30T00:00:00"/>
    <x v="1"/>
  </r>
  <r>
    <x v="750"/>
    <x v="1"/>
    <n v="29"/>
    <x v="1"/>
    <x v="3"/>
    <x v="1"/>
    <n v="5.4"/>
    <n v="2.9"/>
    <x v="1"/>
    <n v="3"/>
    <x v="0"/>
    <n v="81600"/>
    <n v="7700"/>
    <n v="89300"/>
    <s v="D"/>
    <d v="2020-08-19T00:00:00"/>
    <x v="1"/>
  </r>
  <r>
    <x v="751"/>
    <x v="0"/>
    <n v="34"/>
    <x v="4"/>
    <x v="6"/>
    <x v="1"/>
    <n v="4.7"/>
    <n v="4.0999999999999996"/>
    <x v="1"/>
    <n v="4"/>
    <x v="0"/>
    <n v="77000"/>
    <n v="4800"/>
    <n v="81800"/>
    <s v="C"/>
    <d v="2021-05-04T00:00:00"/>
    <x v="1"/>
  </r>
  <r>
    <x v="752"/>
    <x v="1"/>
    <n v="25"/>
    <x v="1"/>
    <x v="3"/>
    <x v="1"/>
    <n v="3"/>
    <n v="1.9"/>
    <x v="1"/>
    <n v="1"/>
    <x v="0"/>
    <n v="64000"/>
    <n v="6100"/>
    <n v="70100"/>
    <s v="B"/>
    <d v="2023-01-16T00:00:00"/>
    <x v="1"/>
  </r>
  <r>
    <x v="753"/>
    <x v="1"/>
    <n v="36"/>
    <x v="0"/>
    <x v="0"/>
    <x v="1"/>
    <n v="7"/>
    <n v="4.5"/>
    <x v="2"/>
    <n v="5"/>
    <x v="0"/>
    <n v="111000"/>
    <n v="11400"/>
    <n v="122400"/>
    <s v="E"/>
    <d v="2019-01-11T00:00:00"/>
    <x v="1"/>
  </r>
  <r>
    <x v="754"/>
    <x v="0"/>
    <n v="37"/>
    <x v="3"/>
    <x v="5"/>
    <x v="1"/>
    <n v="11"/>
    <n v="6.2"/>
    <x v="4"/>
    <n v="2"/>
    <x v="0"/>
    <n v="73000"/>
    <n v="4600"/>
    <n v="77600"/>
    <s v="C"/>
    <d v="2015-01-18T00:00:00"/>
    <x v="1"/>
  </r>
  <r>
    <x v="755"/>
    <x v="1"/>
    <n v="27"/>
    <x v="2"/>
    <x v="4"/>
    <x v="1"/>
    <n v="1.6"/>
    <n v="1.6"/>
    <x v="0"/>
    <n v="4"/>
    <x v="0"/>
    <n v="71300"/>
    <n v="4100"/>
    <n v="75400"/>
    <s v="C"/>
    <d v="2024-06-01T00:00:00"/>
    <x v="1"/>
  </r>
  <r>
    <x v="756"/>
    <x v="1"/>
    <n v="41"/>
    <x v="3"/>
    <x v="5"/>
    <x v="3"/>
    <n v="6.9"/>
    <n v="3.8"/>
    <x v="2"/>
    <n v="1"/>
    <x v="1"/>
    <n v="48700"/>
    <n v="2700"/>
    <n v="51400"/>
    <s v="A"/>
    <d v="2019-01-28T00:00:00"/>
    <x v="3"/>
  </r>
  <r>
    <x v="757"/>
    <x v="1"/>
    <n v="38"/>
    <x v="5"/>
    <x v="9"/>
    <x v="1"/>
    <n v="3.1"/>
    <n v="1.5"/>
    <x v="1"/>
    <n v="4"/>
    <x v="1"/>
    <n v="60600"/>
    <n v="10400"/>
    <n v="71000"/>
    <s v="B"/>
    <d v="2022-12-03T00:00:00"/>
    <x v="1"/>
  </r>
  <r>
    <x v="758"/>
    <x v="0"/>
    <n v="35"/>
    <x v="1"/>
    <x v="7"/>
    <x v="1"/>
    <n v="4.5"/>
    <n v="4.5"/>
    <x v="1"/>
    <n v="3"/>
    <x v="0"/>
    <n v="72600"/>
    <n v="7300"/>
    <n v="79900"/>
    <s v="C"/>
    <d v="2021-06-26T00:00:00"/>
    <x v="1"/>
  </r>
  <r>
    <x v="759"/>
    <x v="0"/>
    <n v="36"/>
    <x v="3"/>
    <x v="13"/>
    <x v="2"/>
    <n v="12"/>
    <n v="7.1"/>
    <x v="3"/>
    <n v="2"/>
    <x v="0"/>
    <n v="98000"/>
    <n v="5400"/>
    <n v="103400"/>
    <s v="D"/>
    <d v="2013-12-18T00:00:00"/>
    <x v="2"/>
  </r>
  <r>
    <x v="760"/>
    <x v="1"/>
    <n v="31"/>
    <x v="2"/>
    <x v="11"/>
    <x v="2"/>
    <n v="2.2000000000000002"/>
    <n v="2.2000000000000002"/>
    <x v="0"/>
    <n v="4"/>
    <x v="0"/>
    <n v="89300"/>
    <n v="8700"/>
    <n v="98000"/>
    <s v="D"/>
    <d v="2023-10-26T00:00:00"/>
    <x v="2"/>
  </r>
  <r>
    <x v="761"/>
    <x v="1"/>
    <n v="32"/>
    <x v="1"/>
    <x v="7"/>
    <x v="1"/>
    <n v="12.3"/>
    <n v="6.7"/>
    <x v="3"/>
    <n v="3"/>
    <x v="0"/>
    <n v="83800"/>
    <n v="7800"/>
    <n v="91600"/>
    <s v="D"/>
    <d v="2013-09-12T00:00:00"/>
    <x v="1"/>
  </r>
  <r>
    <x v="762"/>
    <x v="1"/>
    <n v="41"/>
    <x v="0"/>
    <x v="2"/>
    <x v="2"/>
    <n v="11.8"/>
    <n v="6.7"/>
    <x v="4"/>
    <n v="3"/>
    <x v="0"/>
    <n v="69900"/>
    <n v="7100"/>
    <n v="77000"/>
    <s v="C"/>
    <d v="2014-03-24T00:00:00"/>
    <x v="2"/>
  </r>
  <r>
    <x v="763"/>
    <x v="0"/>
    <n v="26"/>
    <x v="2"/>
    <x v="11"/>
    <x v="1"/>
    <n v="7.4"/>
    <n v="3.9"/>
    <x v="2"/>
    <n v="3"/>
    <x v="2"/>
    <n v="73300"/>
    <n v="4800"/>
    <n v="78100"/>
    <s v="C"/>
    <d v="2018-08-15T00:00:00"/>
    <x v="1"/>
  </r>
  <r>
    <x v="764"/>
    <x v="0"/>
    <n v="37"/>
    <x v="4"/>
    <x v="6"/>
    <x v="1"/>
    <n v="3.2"/>
    <n v="3.2"/>
    <x v="1"/>
    <n v="2"/>
    <x v="0"/>
    <n v="64300"/>
    <n v="3500"/>
    <n v="67800"/>
    <s v="B"/>
    <d v="2022-10-27T00:00:00"/>
    <x v="1"/>
  </r>
  <r>
    <x v="765"/>
    <x v="0"/>
    <n v="40"/>
    <x v="2"/>
    <x v="4"/>
    <x v="1"/>
    <n v="8.3000000000000007"/>
    <n v="5.9"/>
    <x v="2"/>
    <n v="5"/>
    <x v="0"/>
    <n v="83600"/>
    <n v="3100"/>
    <n v="86700"/>
    <s v="D"/>
    <d v="2017-09-13T00:00:00"/>
    <x v="1"/>
  </r>
  <r>
    <x v="766"/>
    <x v="0"/>
    <n v="34"/>
    <x v="4"/>
    <x v="8"/>
    <x v="1"/>
    <n v="12.4"/>
    <n v="6.4"/>
    <x v="3"/>
    <n v="3"/>
    <x v="0"/>
    <n v="89900"/>
    <n v="4700"/>
    <n v="94600"/>
    <s v="D"/>
    <d v="2013-08-15T00:00:00"/>
    <x v="1"/>
  </r>
  <r>
    <x v="767"/>
    <x v="0"/>
    <n v="38"/>
    <x v="2"/>
    <x v="4"/>
    <x v="0"/>
    <n v="13"/>
    <n v="9.5"/>
    <x v="3"/>
    <n v="3"/>
    <x v="0"/>
    <n v="80400"/>
    <n v="4900"/>
    <n v="85300"/>
    <s v="D"/>
    <d v="2013-01-12T00:00:00"/>
    <x v="0"/>
  </r>
  <r>
    <x v="768"/>
    <x v="0"/>
    <n v="31"/>
    <x v="2"/>
    <x v="18"/>
    <x v="2"/>
    <n v="3.4"/>
    <n v="1.6"/>
    <x v="1"/>
    <n v="3"/>
    <x v="0"/>
    <n v="64100"/>
    <n v="2500"/>
    <n v="66600"/>
    <s v="B"/>
    <d v="2022-08-13T00:00:00"/>
    <x v="2"/>
  </r>
  <r>
    <x v="769"/>
    <x v="1"/>
    <n v="39"/>
    <x v="2"/>
    <x v="18"/>
    <x v="1"/>
    <n v="12.4"/>
    <n v="7.2"/>
    <x v="3"/>
    <n v="3"/>
    <x v="0"/>
    <n v="73700"/>
    <n v="2700"/>
    <n v="76400"/>
    <s v="C"/>
    <d v="2013-08-06T00:00:00"/>
    <x v="1"/>
  </r>
  <r>
    <x v="770"/>
    <x v="0"/>
    <n v="32"/>
    <x v="2"/>
    <x v="4"/>
    <x v="1"/>
    <n v="7.3"/>
    <n v="5.2"/>
    <x v="2"/>
    <n v="4"/>
    <x v="0"/>
    <n v="76100"/>
    <n v="3200"/>
    <n v="79300"/>
    <s v="C"/>
    <d v="2018-09-25T00:00:00"/>
    <x v="1"/>
  </r>
  <r>
    <x v="771"/>
    <x v="0"/>
    <n v="40"/>
    <x v="2"/>
    <x v="4"/>
    <x v="1"/>
    <n v="9.1"/>
    <n v="3.9"/>
    <x v="4"/>
    <n v="3"/>
    <x v="0"/>
    <n v="78000"/>
    <n v="5200"/>
    <n v="83200"/>
    <s v="C"/>
    <d v="2016-12-12T00:00:00"/>
    <x v="1"/>
  </r>
  <r>
    <x v="772"/>
    <x v="1"/>
    <n v="29"/>
    <x v="0"/>
    <x v="2"/>
    <x v="1"/>
    <n v="8.1"/>
    <n v="5.0999999999999996"/>
    <x v="2"/>
    <n v="3"/>
    <x v="0"/>
    <n v="61500"/>
    <n v="7200"/>
    <n v="68700"/>
    <s v="B"/>
    <d v="2017-12-08T00:00:00"/>
    <x v="1"/>
  </r>
  <r>
    <x v="773"/>
    <x v="0"/>
    <n v="36"/>
    <x v="3"/>
    <x v="13"/>
    <x v="2"/>
    <n v="13.4"/>
    <n v="9.1999999999999993"/>
    <x v="3"/>
    <n v="1"/>
    <x v="0"/>
    <n v="87900"/>
    <n v="3600"/>
    <n v="91500"/>
    <s v="D"/>
    <d v="2012-07-22T00:00:00"/>
    <x v="2"/>
  </r>
  <r>
    <x v="774"/>
    <x v="0"/>
    <n v="34"/>
    <x v="2"/>
    <x v="11"/>
    <x v="2"/>
    <n v="8.8000000000000007"/>
    <n v="6"/>
    <x v="2"/>
    <n v="3"/>
    <x v="0"/>
    <n v="105100"/>
    <n v="4400"/>
    <n v="109500"/>
    <s v="E"/>
    <d v="2017-03-01T00:00:00"/>
    <x v="2"/>
  </r>
  <r>
    <x v="775"/>
    <x v="0"/>
    <n v="39"/>
    <x v="2"/>
    <x v="18"/>
    <x v="1"/>
    <n v="6"/>
    <n v="4.3"/>
    <x v="2"/>
    <n v="2"/>
    <x v="0"/>
    <n v="69000"/>
    <n v="5500"/>
    <n v="74500"/>
    <s v="C"/>
    <d v="2020-01-18T00:00:00"/>
    <x v="1"/>
  </r>
  <r>
    <x v="776"/>
    <x v="1"/>
    <n v="23"/>
    <x v="0"/>
    <x v="0"/>
    <x v="2"/>
    <n v="3.5"/>
    <n v="1.6"/>
    <x v="1"/>
    <n v="3"/>
    <x v="0"/>
    <n v="90500"/>
    <n v="7400"/>
    <n v="97900"/>
    <s v="D"/>
    <d v="2022-07-05T00:00:00"/>
    <x v="2"/>
  </r>
  <r>
    <x v="777"/>
    <x v="1"/>
    <n v="33"/>
    <x v="2"/>
    <x v="11"/>
    <x v="0"/>
    <n v="13.5"/>
    <n v="7.7"/>
    <x v="3"/>
    <n v="3"/>
    <x v="0"/>
    <n v="96000"/>
    <n v="6300"/>
    <n v="102300"/>
    <s v="D"/>
    <d v="2012-06-14T00:00:00"/>
    <x v="0"/>
  </r>
  <r>
    <x v="778"/>
    <x v="0"/>
    <n v="36"/>
    <x v="3"/>
    <x v="12"/>
    <x v="1"/>
    <n v="7.1"/>
    <n v="4.3"/>
    <x v="2"/>
    <n v="4"/>
    <x v="0"/>
    <n v="67900"/>
    <n v="4700"/>
    <n v="72600"/>
    <s v="C"/>
    <d v="2018-11-19T00:00:00"/>
    <x v="1"/>
  </r>
  <r>
    <x v="779"/>
    <x v="1"/>
    <n v="26"/>
    <x v="4"/>
    <x v="16"/>
    <x v="1"/>
    <n v="1.3"/>
    <n v="0"/>
    <x v="0"/>
    <n v="4"/>
    <x v="0"/>
    <n v="90200"/>
    <n v="10600"/>
    <n v="100800"/>
    <s v="D"/>
    <d v="2024-08-28T00:00:00"/>
    <x v="1"/>
  </r>
  <r>
    <x v="780"/>
    <x v="0"/>
    <n v="34"/>
    <x v="5"/>
    <x v="9"/>
    <x v="3"/>
    <n v="10.199999999999999"/>
    <n v="6.7"/>
    <x v="4"/>
    <n v="3"/>
    <x v="0"/>
    <n v="109900"/>
    <n v="18300"/>
    <n v="128200"/>
    <s v="E"/>
    <d v="2015-10-05T00:00:00"/>
    <x v="3"/>
  </r>
  <r>
    <x v="781"/>
    <x v="0"/>
    <n v="43"/>
    <x v="4"/>
    <x v="14"/>
    <x v="1"/>
    <n v="6.7"/>
    <n v="4.5999999999999996"/>
    <x v="2"/>
    <n v="4"/>
    <x v="0"/>
    <n v="116200"/>
    <n v="16400"/>
    <n v="132600"/>
    <s v="E"/>
    <d v="2019-04-19T00:00:00"/>
    <x v="1"/>
  </r>
  <r>
    <x v="782"/>
    <x v="0"/>
    <n v="38"/>
    <x v="2"/>
    <x v="4"/>
    <x v="3"/>
    <n v="12"/>
    <n v="7.6"/>
    <x v="3"/>
    <n v="4"/>
    <x v="0"/>
    <n v="91400"/>
    <n v="5400"/>
    <n v="96800"/>
    <s v="D"/>
    <d v="2013-12-28T00:00:00"/>
    <x v="3"/>
  </r>
  <r>
    <x v="783"/>
    <x v="1"/>
    <n v="49"/>
    <x v="5"/>
    <x v="9"/>
    <x v="2"/>
    <n v="1.3"/>
    <n v="0.7"/>
    <x v="0"/>
    <n v="3"/>
    <x v="0"/>
    <n v="87000"/>
    <n v="8400"/>
    <n v="95400"/>
    <s v="D"/>
    <d v="2024-09-18T00:00:00"/>
    <x v="2"/>
  </r>
  <r>
    <x v="784"/>
    <x v="1"/>
    <n v="41"/>
    <x v="5"/>
    <x v="17"/>
    <x v="2"/>
    <n v="5.9"/>
    <n v="3.3"/>
    <x v="1"/>
    <n v="3"/>
    <x v="1"/>
    <n v="66900"/>
    <n v="6500"/>
    <n v="73400"/>
    <s v="C"/>
    <d v="2020-01-22T00:00:00"/>
    <x v="2"/>
  </r>
  <r>
    <x v="785"/>
    <x v="1"/>
    <n v="37"/>
    <x v="1"/>
    <x v="3"/>
    <x v="1"/>
    <n v="8.3000000000000007"/>
    <n v="4.9000000000000004"/>
    <x v="2"/>
    <n v="3"/>
    <x v="0"/>
    <n v="75400"/>
    <n v="5400"/>
    <n v="80800"/>
    <s v="C"/>
    <d v="2017-09-14T00:00:00"/>
    <x v="1"/>
  </r>
  <r>
    <x v="786"/>
    <x v="1"/>
    <n v="42"/>
    <x v="0"/>
    <x v="2"/>
    <x v="1"/>
    <n v="2.4"/>
    <n v="0.7"/>
    <x v="0"/>
    <n v="3"/>
    <x v="0"/>
    <n v="63200"/>
    <n v="3500"/>
    <n v="66700"/>
    <s v="B"/>
    <d v="2023-07-31T00:00:00"/>
    <x v="1"/>
  </r>
  <r>
    <x v="787"/>
    <x v="1"/>
    <n v="32"/>
    <x v="2"/>
    <x v="18"/>
    <x v="1"/>
    <n v="10.1"/>
    <n v="4.2"/>
    <x v="4"/>
    <n v="2"/>
    <x v="0"/>
    <n v="84000"/>
    <n v="3200"/>
    <n v="87200"/>
    <s v="D"/>
    <d v="2015-11-15T00:00:00"/>
    <x v="1"/>
  </r>
  <r>
    <x v="788"/>
    <x v="0"/>
    <n v="21"/>
    <x v="4"/>
    <x v="16"/>
    <x v="2"/>
    <n v="1.7"/>
    <n v="0.4"/>
    <x v="0"/>
    <n v="3"/>
    <x v="2"/>
    <n v="30520"/>
    <n v="8500"/>
    <n v="39020"/>
    <s v="A"/>
    <d v="2024-05-05T00:00:00"/>
    <x v="2"/>
  </r>
  <r>
    <x v="789"/>
    <x v="0"/>
    <n v="36"/>
    <x v="4"/>
    <x v="14"/>
    <x v="1"/>
    <n v="13.8"/>
    <n v="8.1"/>
    <x v="3"/>
    <n v="3"/>
    <x v="0"/>
    <n v="104600"/>
    <n v="6600"/>
    <n v="111200"/>
    <s v="E"/>
    <d v="2012-03-26T00:00:00"/>
    <x v="1"/>
  </r>
  <r>
    <x v="790"/>
    <x v="1"/>
    <n v="58"/>
    <x v="0"/>
    <x v="2"/>
    <x v="0"/>
    <n v="11.6"/>
    <n v="7.7"/>
    <x v="4"/>
    <n v="3"/>
    <x v="0"/>
    <n v="70600"/>
    <n v="8700"/>
    <n v="79300"/>
    <s v="C"/>
    <d v="2014-05-20T00:00:00"/>
    <x v="0"/>
  </r>
  <r>
    <x v="791"/>
    <x v="1"/>
    <n v="48"/>
    <x v="4"/>
    <x v="16"/>
    <x v="2"/>
    <n v="13.3"/>
    <n v="8.1999999999999993"/>
    <x v="3"/>
    <n v="1"/>
    <x v="0"/>
    <n v="98400"/>
    <n v="12600"/>
    <n v="111000"/>
    <s v="D"/>
    <d v="2012-09-24T00:00:00"/>
    <x v="2"/>
  </r>
  <r>
    <x v="792"/>
    <x v="1"/>
    <n v="37"/>
    <x v="5"/>
    <x v="17"/>
    <x v="1"/>
    <n v="9.1999999999999993"/>
    <n v="5.2"/>
    <x v="4"/>
    <n v="3"/>
    <x v="0"/>
    <n v="98200"/>
    <n v="19900"/>
    <n v="118100"/>
    <s v="D"/>
    <d v="2016-11-06T00:00:00"/>
    <x v="1"/>
  </r>
  <r>
    <x v="793"/>
    <x v="0"/>
    <n v="34"/>
    <x v="0"/>
    <x v="2"/>
    <x v="1"/>
    <n v="10.8"/>
    <n v="5.6"/>
    <x v="4"/>
    <n v="3"/>
    <x v="0"/>
    <n v="82800"/>
    <n v="6900"/>
    <n v="89700"/>
    <s v="D"/>
    <d v="2015-04-02T00:00:00"/>
    <x v="1"/>
  </r>
  <r>
    <x v="794"/>
    <x v="0"/>
    <n v="36"/>
    <x v="5"/>
    <x v="17"/>
    <x v="1"/>
    <n v="10.3"/>
    <n v="8.6"/>
    <x v="4"/>
    <n v="4"/>
    <x v="0"/>
    <n v="98100"/>
    <n v="18100"/>
    <n v="116200"/>
    <s v="D"/>
    <d v="2015-09-18T00:00:00"/>
    <x v="1"/>
  </r>
  <r>
    <x v="795"/>
    <x v="0"/>
    <n v="39"/>
    <x v="4"/>
    <x v="16"/>
    <x v="0"/>
    <n v="6.6"/>
    <n v="5.0999999999999996"/>
    <x v="2"/>
    <n v="2"/>
    <x v="0"/>
    <n v="83900"/>
    <n v="12300"/>
    <n v="96200"/>
    <s v="D"/>
    <d v="2019-05-28T00:00:00"/>
    <x v="0"/>
  </r>
  <r>
    <x v="796"/>
    <x v="1"/>
    <n v="37"/>
    <x v="1"/>
    <x v="3"/>
    <x v="2"/>
    <n v="9.1999999999999993"/>
    <n v="4.7"/>
    <x v="4"/>
    <n v="3"/>
    <x v="1"/>
    <n v="49300"/>
    <n v="4500"/>
    <n v="53800"/>
    <s v="A"/>
    <d v="2016-10-04T00:00:00"/>
    <x v="2"/>
  </r>
  <r>
    <x v="797"/>
    <x v="0"/>
    <n v="42"/>
    <x v="2"/>
    <x v="18"/>
    <x v="1"/>
    <n v="2.2000000000000002"/>
    <n v="1"/>
    <x v="0"/>
    <n v="3"/>
    <x v="0"/>
    <n v="68400"/>
    <n v="4500"/>
    <n v="72900"/>
    <s v="C"/>
    <d v="2023-10-13T00:00:00"/>
    <x v="1"/>
  </r>
  <r>
    <x v="798"/>
    <x v="0"/>
    <n v="23"/>
    <x v="2"/>
    <x v="4"/>
    <x v="1"/>
    <n v="7.3"/>
    <n v="7.2"/>
    <x v="2"/>
    <n v="2"/>
    <x v="2"/>
    <n v="60000"/>
    <n v="4300"/>
    <n v="64300"/>
    <s v="B"/>
    <d v="2018-09-11T00:00:00"/>
    <x v="1"/>
  </r>
  <r>
    <x v="799"/>
    <x v="0"/>
    <n v="31"/>
    <x v="2"/>
    <x v="18"/>
    <x v="2"/>
    <n v="10.1"/>
    <n v="6.3"/>
    <x v="4"/>
    <n v="1"/>
    <x v="0"/>
    <n v="68800"/>
    <n v="3500"/>
    <n v="72300"/>
    <s v="C"/>
    <d v="2015-12-12T00:00:00"/>
    <x v="2"/>
  </r>
  <r>
    <x v="800"/>
    <x v="1"/>
    <n v="21"/>
    <x v="1"/>
    <x v="3"/>
    <x v="2"/>
    <n v="2.4"/>
    <n v="2.4"/>
    <x v="0"/>
    <n v="3"/>
    <x v="0"/>
    <n v="74000"/>
    <n v="8600"/>
    <n v="82600"/>
    <s v="C"/>
    <d v="2023-08-20T00:00:00"/>
    <x v="2"/>
  </r>
  <r>
    <x v="801"/>
    <x v="0"/>
    <n v="29"/>
    <x v="5"/>
    <x v="15"/>
    <x v="1"/>
    <n v="2.6"/>
    <n v="2.1"/>
    <x v="0"/>
    <n v="3"/>
    <x v="0"/>
    <n v="61400"/>
    <n v="8200"/>
    <n v="69600"/>
    <s v="B"/>
    <d v="2023-05-30T00:00:00"/>
    <x v="1"/>
  </r>
  <r>
    <x v="802"/>
    <x v="1"/>
    <n v="43"/>
    <x v="0"/>
    <x v="1"/>
    <x v="2"/>
    <n v="3.4"/>
    <n v="0.9"/>
    <x v="1"/>
    <n v="4"/>
    <x v="2"/>
    <n v="64500"/>
    <n v="8100"/>
    <n v="72600"/>
    <s v="B"/>
    <d v="2022-08-18T00:00:00"/>
    <x v="2"/>
  </r>
  <r>
    <x v="803"/>
    <x v="0"/>
    <n v="54"/>
    <x v="1"/>
    <x v="3"/>
    <x v="3"/>
    <n v="2"/>
    <n v="0.7"/>
    <x v="0"/>
    <n v="5"/>
    <x v="0"/>
    <n v="81200"/>
    <n v="3900"/>
    <n v="85100"/>
    <s v="D"/>
    <d v="2024-01-01T00:00:00"/>
    <x v="3"/>
  </r>
  <r>
    <x v="804"/>
    <x v="0"/>
    <n v="52"/>
    <x v="3"/>
    <x v="13"/>
    <x v="1"/>
    <n v="10.5"/>
    <n v="6"/>
    <x v="4"/>
    <n v="3"/>
    <x v="0"/>
    <n v="105900"/>
    <n v="4000"/>
    <n v="109900"/>
    <s v="E"/>
    <d v="2015-06-26T00:00:00"/>
    <x v="1"/>
  </r>
  <r>
    <x v="805"/>
    <x v="0"/>
    <n v="40"/>
    <x v="5"/>
    <x v="17"/>
    <x v="2"/>
    <n v="10"/>
    <n v="8.6999999999999993"/>
    <x v="4"/>
    <n v="4"/>
    <x v="0"/>
    <n v="105900"/>
    <n v="17800"/>
    <n v="123700"/>
    <s v="E"/>
    <d v="2016-01-12T00:00:00"/>
    <x v="2"/>
  </r>
  <r>
    <x v="806"/>
    <x v="0"/>
    <n v="31"/>
    <x v="1"/>
    <x v="10"/>
    <x v="1"/>
    <n v="3.8"/>
    <n v="3.5"/>
    <x v="1"/>
    <n v="3"/>
    <x v="0"/>
    <n v="101600"/>
    <n v="10100"/>
    <n v="111700"/>
    <s v="E"/>
    <d v="2022-02-27T00:00:00"/>
    <x v="1"/>
  </r>
  <r>
    <x v="807"/>
    <x v="1"/>
    <n v="24"/>
    <x v="3"/>
    <x v="13"/>
    <x v="1"/>
    <n v="8.6"/>
    <n v="7.1"/>
    <x v="2"/>
    <n v="3"/>
    <x v="2"/>
    <n v="89500"/>
    <n v="4100"/>
    <n v="93600"/>
    <s v="D"/>
    <d v="2017-06-08T00:00:00"/>
    <x v="1"/>
  </r>
  <r>
    <x v="808"/>
    <x v="1"/>
    <n v="30"/>
    <x v="3"/>
    <x v="5"/>
    <x v="1"/>
    <n v="8.3000000000000007"/>
    <n v="5.3"/>
    <x v="2"/>
    <n v="2"/>
    <x v="1"/>
    <n v="56300"/>
    <n v="2200"/>
    <n v="58500"/>
    <s v="B"/>
    <d v="2017-10-01T00:00:00"/>
    <x v="1"/>
  </r>
  <r>
    <x v="809"/>
    <x v="0"/>
    <n v="34"/>
    <x v="5"/>
    <x v="15"/>
    <x v="1"/>
    <n v="7.3"/>
    <n v="4.3"/>
    <x v="2"/>
    <n v="3"/>
    <x v="0"/>
    <n v="65000"/>
    <n v="8700"/>
    <n v="73700"/>
    <s v="C"/>
    <d v="2018-09-11T00:00:00"/>
    <x v="1"/>
  </r>
  <r>
    <x v="810"/>
    <x v="0"/>
    <n v="28"/>
    <x v="2"/>
    <x v="18"/>
    <x v="2"/>
    <n v="5.4"/>
    <n v="4"/>
    <x v="1"/>
    <n v="2"/>
    <x v="0"/>
    <n v="66000"/>
    <n v="2800"/>
    <n v="68800"/>
    <s v="C"/>
    <d v="2020-08-12T00:00:00"/>
    <x v="2"/>
  </r>
  <r>
    <x v="811"/>
    <x v="1"/>
    <n v="45"/>
    <x v="5"/>
    <x v="17"/>
    <x v="2"/>
    <n v="1.3"/>
    <n v="0.8"/>
    <x v="0"/>
    <n v="4"/>
    <x v="0"/>
    <n v="94600"/>
    <n v="15000"/>
    <n v="109600"/>
    <s v="D"/>
    <d v="2024-08-28T00:00:00"/>
    <x v="2"/>
  </r>
  <r>
    <x v="812"/>
    <x v="1"/>
    <n v="33"/>
    <x v="1"/>
    <x v="10"/>
    <x v="1"/>
    <n v="4.3"/>
    <n v="1.9"/>
    <x v="1"/>
    <n v="4"/>
    <x v="0"/>
    <n v="113400"/>
    <n v="4800"/>
    <n v="118200"/>
    <s v="E"/>
    <d v="2021-09-28T00:00:00"/>
    <x v="1"/>
  </r>
  <r>
    <x v="813"/>
    <x v="0"/>
    <n v="30"/>
    <x v="2"/>
    <x v="18"/>
    <x v="2"/>
    <n v="2.6"/>
    <n v="0.4"/>
    <x v="0"/>
    <n v="3"/>
    <x v="0"/>
    <n v="66200"/>
    <n v="4500"/>
    <n v="70700"/>
    <s v="C"/>
    <d v="2023-05-28T00:00:00"/>
    <x v="2"/>
  </r>
  <r>
    <x v="814"/>
    <x v="0"/>
    <n v="39"/>
    <x v="0"/>
    <x v="1"/>
    <x v="2"/>
    <n v="5.7"/>
    <n v="5.2"/>
    <x v="1"/>
    <n v="4"/>
    <x v="0"/>
    <n v="77500"/>
    <n v="3800"/>
    <n v="81300"/>
    <s v="C"/>
    <d v="2020-05-03T00:00:00"/>
    <x v="2"/>
  </r>
  <r>
    <x v="815"/>
    <x v="1"/>
    <n v="43"/>
    <x v="3"/>
    <x v="5"/>
    <x v="1"/>
    <n v="10"/>
    <n v="8.6"/>
    <x v="4"/>
    <n v="2"/>
    <x v="0"/>
    <n v="84600"/>
    <n v="5600"/>
    <n v="90200"/>
    <s v="D"/>
    <d v="2015-12-22T00:00:00"/>
    <x v="1"/>
  </r>
  <r>
    <x v="816"/>
    <x v="1"/>
    <n v="39"/>
    <x v="0"/>
    <x v="2"/>
    <x v="2"/>
    <n v="6.5"/>
    <n v="3.4"/>
    <x v="2"/>
    <n v="3"/>
    <x v="0"/>
    <n v="80400"/>
    <n v="10000"/>
    <n v="90400"/>
    <s v="D"/>
    <d v="2019-07-18T00:00:00"/>
    <x v="2"/>
  </r>
  <r>
    <x v="817"/>
    <x v="1"/>
    <n v="22"/>
    <x v="5"/>
    <x v="15"/>
    <x v="1"/>
    <n v="6.6"/>
    <n v="3"/>
    <x v="2"/>
    <n v="1"/>
    <x v="0"/>
    <n v="65900"/>
    <n v="13000"/>
    <n v="78900"/>
    <s v="C"/>
    <d v="2019-06-04T00:00:00"/>
    <x v="1"/>
  </r>
  <r>
    <x v="818"/>
    <x v="1"/>
    <n v="44"/>
    <x v="3"/>
    <x v="5"/>
    <x v="1"/>
    <n v="13.5"/>
    <n v="9.3000000000000007"/>
    <x v="3"/>
    <n v="3"/>
    <x v="0"/>
    <n v="95900"/>
    <n v="4400"/>
    <n v="100300"/>
    <s v="D"/>
    <d v="2012-06-14T00:00:00"/>
    <x v="1"/>
  </r>
  <r>
    <x v="819"/>
    <x v="1"/>
    <n v="32"/>
    <x v="1"/>
    <x v="3"/>
    <x v="2"/>
    <n v="12.8"/>
    <n v="6.9"/>
    <x v="3"/>
    <n v="4"/>
    <x v="2"/>
    <n v="66400"/>
    <n v="3400"/>
    <n v="69800"/>
    <s v="C"/>
    <d v="2013-03-11T00:00:00"/>
    <x v="2"/>
  </r>
  <r>
    <x v="820"/>
    <x v="0"/>
    <n v="21"/>
    <x v="5"/>
    <x v="17"/>
    <x v="2"/>
    <n v="4"/>
    <n v="1.9"/>
    <x v="1"/>
    <n v="4"/>
    <x v="0"/>
    <n v="88500"/>
    <n v="9700"/>
    <n v="98200"/>
    <s v="D"/>
    <d v="2022-01-19T00:00:00"/>
    <x v="2"/>
  </r>
  <r>
    <x v="821"/>
    <x v="0"/>
    <n v="28"/>
    <x v="0"/>
    <x v="0"/>
    <x v="2"/>
    <n v="2.4"/>
    <n v="1.3"/>
    <x v="0"/>
    <n v="3"/>
    <x v="0"/>
    <n v="102900"/>
    <n v="6100"/>
    <n v="109000"/>
    <s v="E"/>
    <d v="2023-08-26T00:00:00"/>
    <x v="2"/>
  </r>
  <r>
    <x v="822"/>
    <x v="1"/>
    <n v="37"/>
    <x v="5"/>
    <x v="17"/>
    <x v="1"/>
    <n v="4.3"/>
    <n v="2"/>
    <x v="1"/>
    <n v="4"/>
    <x v="0"/>
    <n v="99100"/>
    <n v="19600"/>
    <n v="118700"/>
    <s v="D"/>
    <d v="2021-09-28T00:00:00"/>
    <x v="1"/>
  </r>
  <r>
    <x v="823"/>
    <x v="0"/>
    <n v="36"/>
    <x v="0"/>
    <x v="0"/>
    <x v="3"/>
    <n v="12.8"/>
    <n v="8.8000000000000007"/>
    <x v="3"/>
    <n v="2"/>
    <x v="2"/>
    <n v="87100"/>
    <n v="7000"/>
    <n v="94100"/>
    <s v="D"/>
    <d v="2013-02-27T00:00:00"/>
    <x v="3"/>
  </r>
  <r>
    <x v="824"/>
    <x v="1"/>
    <n v="23"/>
    <x v="4"/>
    <x v="8"/>
    <x v="0"/>
    <n v="12.9"/>
    <n v="9.4"/>
    <x v="3"/>
    <n v="3"/>
    <x v="0"/>
    <n v="87000"/>
    <n v="7900"/>
    <n v="94900"/>
    <s v="D"/>
    <d v="2013-02-04T00:00:00"/>
    <x v="0"/>
  </r>
  <r>
    <x v="825"/>
    <x v="0"/>
    <n v="32"/>
    <x v="4"/>
    <x v="16"/>
    <x v="1"/>
    <n v="10.3"/>
    <n v="5.9"/>
    <x v="4"/>
    <n v="5"/>
    <x v="0"/>
    <n v="104700"/>
    <n v="14300"/>
    <n v="119000"/>
    <s v="E"/>
    <d v="2015-09-15T00:00:00"/>
    <x v="1"/>
  </r>
  <r>
    <x v="826"/>
    <x v="0"/>
    <n v="34"/>
    <x v="4"/>
    <x v="16"/>
    <x v="2"/>
    <n v="3.1"/>
    <n v="0.8"/>
    <x v="1"/>
    <n v="4"/>
    <x v="0"/>
    <n v="79900"/>
    <n v="5200"/>
    <n v="85100"/>
    <s v="C"/>
    <d v="2022-11-21T00:00:00"/>
    <x v="2"/>
  </r>
  <r>
    <x v="827"/>
    <x v="0"/>
    <n v="30"/>
    <x v="2"/>
    <x v="18"/>
    <x v="2"/>
    <n v="7.2"/>
    <n v="2.8"/>
    <x v="2"/>
    <n v="3"/>
    <x v="0"/>
    <n v="74000"/>
    <n v="4000"/>
    <n v="78000"/>
    <s v="C"/>
    <d v="2018-10-04T00:00:00"/>
    <x v="2"/>
  </r>
  <r>
    <x v="828"/>
    <x v="1"/>
    <n v="24"/>
    <x v="4"/>
    <x v="8"/>
    <x v="2"/>
    <n v="6.9"/>
    <n v="4.9000000000000004"/>
    <x v="2"/>
    <n v="3"/>
    <x v="0"/>
    <n v="88600"/>
    <n v="9500"/>
    <n v="98100"/>
    <s v="D"/>
    <d v="2019-02-19T00:00:00"/>
    <x v="2"/>
  </r>
  <r>
    <x v="829"/>
    <x v="0"/>
    <n v="44"/>
    <x v="2"/>
    <x v="4"/>
    <x v="2"/>
    <n v="1.7"/>
    <n v="0.9"/>
    <x v="0"/>
    <n v="3"/>
    <x v="1"/>
    <n v="43000"/>
    <n v="3100"/>
    <n v="46100"/>
    <s v="A"/>
    <d v="2024-04-22T00:00:00"/>
    <x v="2"/>
  </r>
  <r>
    <x v="830"/>
    <x v="0"/>
    <n v="21"/>
    <x v="4"/>
    <x v="6"/>
    <x v="2"/>
    <n v="5.5"/>
    <n v="3.5"/>
    <x v="1"/>
    <n v="3"/>
    <x v="0"/>
    <n v="79000"/>
    <n v="6200"/>
    <n v="85200"/>
    <s v="C"/>
    <d v="2020-07-18T00:00:00"/>
    <x v="2"/>
  </r>
  <r>
    <x v="831"/>
    <x v="1"/>
    <n v="37"/>
    <x v="1"/>
    <x v="10"/>
    <x v="1"/>
    <n v="3.5"/>
    <n v="2"/>
    <x v="1"/>
    <n v="5"/>
    <x v="0"/>
    <n v="103100"/>
    <n v="7700"/>
    <n v="110800"/>
    <s v="E"/>
    <d v="2022-07-16T00:00:00"/>
    <x v="1"/>
  </r>
  <r>
    <x v="832"/>
    <x v="1"/>
    <n v="38"/>
    <x v="2"/>
    <x v="11"/>
    <x v="2"/>
    <n v="9.6999999999999993"/>
    <n v="5.2"/>
    <x v="4"/>
    <n v="3"/>
    <x v="0"/>
    <n v="116400"/>
    <n v="10400"/>
    <n v="126800"/>
    <s v="E"/>
    <d v="2016-04-07T00:00:00"/>
    <x v="2"/>
  </r>
  <r>
    <x v="833"/>
    <x v="0"/>
    <n v="31"/>
    <x v="4"/>
    <x v="6"/>
    <x v="0"/>
    <n v="9.1"/>
    <n v="6.5"/>
    <x v="4"/>
    <n v="3"/>
    <x v="0"/>
    <n v="62800"/>
    <n v="9000"/>
    <n v="71800"/>
    <s v="B"/>
    <d v="2016-11-29T00:00:00"/>
    <x v="0"/>
  </r>
  <r>
    <x v="834"/>
    <x v="0"/>
    <n v="28"/>
    <x v="0"/>
    <x v="2"/>
    <x v="1"/>
    <n v="4.0999999999999996"/>
    <n v="3.3"/>
    <x v="1"/>
    <n v="2"/>
    <x v="0"/>
    <n v="65600"/>
    <n v="3100"/>
    <n v="68700"/>
    <s v="C"/>
    <d v="2021-12-09T00:00:00"/>
    <x v="1"/>
  </r>
  <r>
    <x v="835"/>
    <x v="0"/>
    <n v="41"/>
    <x v="3"/>
    <x v="5"/>
    <x v="2"/>
    <n v="1.8"/>
    <n v="1.8"/>
    <x v="0"/>
    <n v="3"/>
    <x v="2"/>
    <n v="59100"/>
    <n v="5100"/>
    <n v="64200"/>
    <s v="B"/>
    <d v="2024-02-29T00:00:00"/>
    <x v="2"/>
  </r>
  <r>
    <x v="836"/>
    <x v="0"/>
    <n v="38"/>
    <x v="5"/>
    <x v="9"/>
    <x v="2"/>
    <n v="3.1"/>
    <n v="0"/>
    <x v="1"/>
    <n v="5"/>
    <x v="2"/>
    <n v="90500"/>
    <n v="15000"/>
    <n v="105500"/>
    <s v="D"/>
    <d v="2022-11-12T00:00:00"/>
    <x v="2"/>
  </r>
  <r>
    <x v="837"/>
    <x v="0"/>
    <n v="35"/>
    <x v="1"/>
    <x v="3"/>
    <x v="2"/>
    <n v="13.8"/>
    <n v="8.9"/>
    <x v="3"/>
    <n v="4"/>
    <x v="0"/>
    <n v="88000"/>
    <n v="8800"/>
    <n v="96800"/>
    <s v="D"/>
    <d v="2012-02-27T00:00:00"/>
    <x v="2"/>
  </r>
  <r>
    <x v="838"/>
    <x v="0"/>
    <n v="29"/>
    <x v="5"/>
    <x v="9"/>
    <x v="0"/>
    <n v="13.3"/>
    <n v="8"/>
    <x v="3"/>
    <n v="1"/>
    <x v="0"/>
    <n v="108600"/>
    <n v="19700"/>
    <n v="128300"/>
    <s v="E"/>
    <d v="2012-09-06T00:00:00"/>
    <x v="0"/>
  </r>
  <r>
    <x v="839"/>
    <x v="0"/>
    <n v="44"/>
    <x v="4"/>
    <x v="6"/>
    <x v="2"/>
    <n v="11.5"/>
    <n v="6.3"/>
    <x v="4"/>
    <n v="4"/>
    <x v="0"/>
    <n v="80000"/>
    <n v="8000"/>
    <n v="88000"/>
    <s v="D"/>
    <d v="2014-07-16T00:00:00"/>
    <x v="2"/>
  </r>
  <r>
    <x v="840"/>
    <x v="0"/>
    <n v="35"/>
    <x v="4"/>
    <x v="16"/>
    <x v="0"/>
    <n v="1.4"/>
    <n v="1.4"/>
    <x v="0"/>
    <n v="3"/>
    <x v="0"/>
    <n v="86000"/>
    <n v="10000"/>
    <n v="96000"/>
    <s v="D"/>
    <d v="2024-07-31T00:00:00"/>
    <x v="0"/>
  </r>
  <r>
    <x v="841"/>
    <x v="0"/>
    <n v="38"/>
    <x v="2"/>
    <x v="11"/>
    <x v="1"/>
    <n v="2.8"/>
    <n v="1.8"/>
    <x v="0"/>
    <n v="5"/>
    <x v="0"/>
    <n v="112300"/>
    <n v="5600"/>
    <n v="117900"/>
    <s v="E"/>
    <d v="2023-03-14T00:00:00"/>
    <x v="1"/>
  </r>
  <r>
    <x v="842"/>
    <x v="0"/>
    <n v="35"/>
    <x v="0"/>
    <x v="2"/>
    <x v="0"/>
    <n v="4"/>
    <n v="1.5"/>
    <x v="1"/>
    <n v="5"/>
    <x v="1"/>
    <n v="46200"/>
    <n v="4400"/>
    <n v="50600"/>
    <s v="A"/>
    <d v="2021-12-23T00:00:00"/>
    <x v="0"/>
  </r>
  <r>
    <x v="843"/>
    <x v="1"/>
    <n v="33"/>
    <x v="4"/>
    <x v="16"/>
    <x v="2"/>
    <n v="1.2"/>
    <n v="0.8"/>
    <x v="0"/>
    <n v="3"/>
    <x v="0"/>
    <n v="83700"/>
    <n v="6300"/>
    <n v="90000"/>
    <s v="D"/>
    <d v="2024-11-02T00:00:00"/>
    <x v="2"/>
  </r>
  <r>
    <x v="844"/>
    <x v="0"/>
    <n v="44"/>
    <x v="5"/>
    <x v="9"/>
    <x v="2"/>
    <n v="2.5"/>
    <n v="2.5"/>
    <x v="0"/>
    <n v="3"/>
    <x v="0"/>
    <n v="100900"/>
    <n v="20800"/>
    <n v="121700"/>
    <s v="E"/>
    <d v="2023-06-19T00:00:00"/>
    <x v="2"/>
  </r>
  <r>
    <x v="845"/>
    <x v="0"/>
    <n v="37"/>
    <x v="3"/>
    <x v="13"/>
    <x v="2"/>
    <n v="10.7"/>
    <n v="7.5"/>
    <x v="4"/>
    <n v="3"/>
    <x v="0"/>
    <n v="134600"/>
    <n v="4800"/>
    <n v="139400"/>
    <s v="E"/>
    <d v="2015-04-30T00:00:00"/>
    <x v="2"/>
  </r>
  <r>
    <x v="846"/>
    <x v="1"/>
    <n v="43"/>
    <x v="2"/>
    <x v="4"/>
    <x v="0"/>
    <n v="6.1"/>
    <n v="2.9"/>
    <x v="2"/>
    <n v="3"/>
    <x v="0"/>
    <n v="71400"/>
    <n v="7500"/>
    <n v="78900"/>
    <s v="C"/>
    <d v="2019-11-29T00:00:00"/>
    <x v="0"/>
  </r>
  <r>
    <x v="847"/>
    <x v="0"/>
    <n v="28"/>
    <x v="3"/>
    <x v="12"/>
    <x v="2"/>
    <n v="2.9"/>
    <n v="2.4"/>
    <x v="0"/>
    <n v="4"/>
    <x v="0"/>
    <n v="76100"/>
    <n v="5200"/>
    <n v="81300"/>
    <s v="C"/>
    <d v="2023-01-29T00:00:00"/>
    <x v="2"/>
  </r>
  <r>
    <x v="848"/>
    <x v="1"/>
    <n v="37"/>
    <x v="2"/>
    <x v="4"/>
    <x v="2"/>
    <n v="13"/>
    <n v="10.5"/>
    <x v="3"/>
    <n v="3"/>
    <x v="0"/>
    <n v="80900"/>
    <n v="5200"/>
    <n v="86100"/>
    <s v="D"/>
    <d v="2013-01-18T00:00:00"/>
    <x v="2"/>
  </r>
  <r>
    <x v="849"/>
    <x v="1"/>
    <n v="36"/>
    <x v="5"/>
    <x v="9"/>
    <x v="2"/>
    <n v="10.3"/>
    <n v="5"/>
    <x v="4"/>
    <n v="3"/>
    <x v="0"/>
    <n v="107900"/>
    <n v="10600"/>
    <n v="118500"/>
    <s v="E"/>
    <d v="2015-09-08T00:00:00"/>
    <x v="2"/>
  </r>
  <r>
    <x v="850"/>
    <x v="0"/>
    <n v="46"/>
    <x v="4"/>
    <x v="14"/>
    <x v="1"/>
    <n v="6.4"/>
    <n v="3"/>
    <x v="2"/>
    <n v="3"/>
    <x v="2"/>
    <n v="81100"/>
    <n v="4600"/>
    <n v="85700"/>
    <s v="D"/>
    <d v="2019-08-12T00:00:00"/>
    <x v="1"/>
  </r>
  <r>
    <x v="851"/>
    <x v="0"/>
    <n v="24"/>
    <x v="2"/>
    <x v="11"/>
    <x v="1"/>
    <n v="10.9"/>
    <n v="7.8"/>
    <x v="4"/>
    <n v="3"/>
    <x v="0"/>
    <n v="120700"/>
    <n v="7800"/>
    <n v="128500"/>
    <s v="E"/>
    <d v="2015-02-13T00:00:00"/>
    <x v="1"/>
  </r>
  <r>
    <x v="852"/>
    <x v="0"/>
    <n v="23"/>
    <x v="4"/>
    <x v="14"/>
    <x v="2"/>
    <n v="5"/>
    <n v="2.1"/>
    <x v="1"/>
    <n v="4"/>
    <x v="0"/>
    <n v="118300"/>
    <n v="6800"/>
    <n v="125100"/>
    <s v="E"/>
    <d v="2020-12-24T00:00:00"/>
    <x v="2"/>
  </r>
  <r>
    <x v="853"/>
    <x v="0"/>
    <n v="41"/>
    <x v="4"/>
    <x v="6"/>
    <x v="1"/>
    <n v="11.4"/>
    <n v="5.9"/>
    <x v="4"/>
    <n v="3"/>
    <x v="0"/>
    <n v="73800"/>
    <n v="8100"/>
    <n v="81900"/>
    <s v="C"/>
    <d v="2014-08-13T00:00:00"/>
    <x v="1"/>
  </r>
  <r>
    <x v="854"/>
    <x v="0"/>
    <n v="28"/>
    <x v="2"/>
    <x v="18"/>
    <x v="2"/>
    <n v="6.5"/>
    <n v="5.4"/>
    <x v="2"/>
    <n v="3"/>
    <x v="0"/>
    <n v="77800"/>
    <n v="8100"/>
    <n v="85900"/>
    <s v="C"/>
    <d v="2019-07-13T00:00:00"/>
    <x v="2"/>
  </r>
  <r>
    <x v="855"/>
    <x v="0"/>
    <n v="37"/>
    <x v="4"/>
    <x v="8"/>
    <x v="2"/>
    <n v="10.5"/>
    <n v="6.7"/>
    <x v="4"/>
    <n v="4"/>
    <x v="0"/>
    <n v="103600"/>
    <n v="8300"/>
    <n v="111900"/>
    <s v="E"/>
    <d v="2015-07-03T00:00:00"/>
    <x v="2"/>
  </r>
  <r>
    <x v="856"/>
    <x v="1"/>
    <n v="32"/>
    <x v="5"/>
    <x v="15"/>
    <x v="1"/>
    <n v="10.6"/>
    <n v="7.1"/>
    <x v="4"/>
    <n v="3"/>
    <x v="0"/>
    <n v="76800"/>
    <n v="8600"/>
    <n v="85400"/>
    <s v="C"/>
    <d v="2015-06-06T00:00:00"/>
    <x v="1"/>
  </r>
  <r>
    <x v="857"/>
    <x v="0"/>
    <n v="29"/>
    <x v="4"/>
    <x v="16"/>
    <x v="2"/>
    <n v="11.8"/>
    <n v="7"/>
    <x v="4"/>
    <n v="2"/>
    <x v="0"/>
    <n v="113500"/>
    <n v="10000"/>
    <n v="123500"/>
    <s v="E"/>
    <d v="2014-02-28T00:00:00"/>
    <x v="2"/>
  </r>
  <r>
    <x v="858"/>
    <x v="0"/>
    <n v="34"/>
    <x v="1"/>
    <x v="10"/>
    <x v="1"/>
    <n v="13.2"/>
    <n v="8.8000000000000007"/>
    <x v="3"/>
    <n v="3"/>
    <x v="0"/>
    <n v="114600"/>
    <n v="9400"/>
    <n v="124000"/>
    <s v="E"/>
    <d v="2012-10-04T00:00:00"/>
    <x v="1"/>
  </r>
  <r>
    <x v="859"/>
    <x v="0"/>
    <n v="33"/>
    <x v="5"/>
    <x v="17"/>
    <x v="1"/>
    <n v="13.5"/>
    <n v="8.8000000000000007"/>
    <x v="3"/>
    <n v="3"/>
    <x v="0"/>
    <n v="99500"/>
    <n v="7400"/>
    <n v="106900"/>
    <s v="D"/>
    <d v="2012-07-12T00:00:00"/>
    <x v="1"/>
  </r>
  <r>
    <x v="860"/>
    <x v="1"/>
    <n v="47"/>
    <x v="5"/>
    <x v="9"/>
    <x v="1"/>
    <n v="9.1"/>
    <n v="7.5"/>
    <x v="4"/>
    <n v="5"/>
    <x v="2"/>
    <n v="91500"/>
    <n v="11700"/>
    <n v="103200"/>
    <s v="D"/>
    <d v="2016-12-01T00:00:00"/>
    <x v="1"/>
  </r>
  <r>
    <x v="861"/>
    <x v="0"/>
    <n v="24"/>
    <x v="0"/>
    <x v="0"/>
    <x v="2"/>
    <n v="3.5"/>
    <n v="2.7"/>
    <x v="1"/>
    <n v="4"/>
    <x v="2"/>
    <n v="71500"/>
    <n v="6200"/>
    <n v="77700"/>
    <s v="C"/>
    <d v="2022-06-23T00:00:00"/>
    <x v="2"/>
  </r>
  <r>
    <x v="862"/>
    <x v="1"/>
    <n v="21"/>
    <x v="5"/>
    <x v="17"/>
    <x v="1"/>
    <n v="11.1"/>
    <n v="7.7"/>
    <x v="4"/>
    <n v="4"/>
    <x v="0"/>
    <n v="104000"/>
    <n v="21200"/>
    <n v="125200"/>
    <s v="E"/>
    <d v="2014-12-13T00:00:00"/>
    <x v="1"/>
  </r>
  <r>
    <x v="863"/>
    <x v="0"/>
    <n v="46"/>
    <x v="3"/>
    <x v="5"/>
    <x v="3"/>
    <n v="11"/>
    <n v="7"/>
    <x v="4"/>
    <n v="3"/>
    <x v="0"/>
    <n v="79400"/>
    <n v="7000"/>
    <n v="86400"/>
    <s v="C"/>
    <d v="2015-01-18T00:00:00"/>
    <x v="3"/>
  </r>
  <r>
    <x v="864"/>
    <x v="0"/>
    <n v="31"/>
    <x v="1"/>
    <x v="10"/>
    <x v="1"/>
    <n v="2.9"/>
    <n v="2.8"/>
    <x v="0"/>
    <n v="2"/>
    <x v="1"/>
    <n v="56900"/>
    <n v="6100"/>
    <n v="63000"/>
    <s v="B"/>
    <d v="2023-02-06T00:00:00"/>
    <x v="1"/>
  </r>
  <r>
    <x v="865"/>
    <x v="0"/>
    <n v="37"/>
    <x v="5"/>
    <x v="15"/>
    <x v="1"/>
    <n v="8.1999999999999993"/>
    <n v="4.0999999999999996"/>
    <x v="2"/>
    <n v="5"/>
    <x v="0"/>
    <n v="81200"/>
    <n v="6000"/>
    <n v="87200"/>
    <s v="D"/>
    <d v="2017-10-17T00:00:00"/>
    <x v="1"/>
  </r>
  <r>
    <x v="866"/>
    <x v="0"/>
    <n v="26"/>
    <x v="4"/>
    <x v="8"/>
    <x v="2"/>
    <n v="5.6"/>
    <n v="3.4"/>
    <x v="1"/>
    <n v="3"/>
    <x v="0"/>
    <n v="77600"/>
    <n v="7000"/>
    <n v="84600"/>
    <s v="C"/>
    <d v="2020-05-25T00:00:00"/>
    <x v="2"/>
  </r>
  <r>
    <x v="867"/>
    <x v="0"/>
    <n v="50"/>
    <x v="0"/>
    <x v="0"/>
    <x v="0"/>
    <n v="7.2"/>
    <n v="5"/>
    <x v="2"/>
    <n v="4"/>
    <x v="0"/>
    <n v="95500"/>
    <n v="12200"/>
    <n v="107700"/>
    <s v="D"/>
    <d v="2018-10-29T00:00:00"/>
    <x v="0"/>
  </r>
  <r>
    <x v="868"/>
    <x v="1"/>
    <n v="28"/>
    <x v="1"/>
    <x v="3"/>
    <x v="1"/>
    <n v="11.6"/>
    <n v="8.6"/>
    <x v="4"/>
    <n v="3"/>
    <x v="0"/>
    <n v="89700"/>
    <n v="4300"/>
    <n v="94000"/>
    <s v="D"/>
    <d v="2014-06-09T00:00:00"/>
    <x v="1"/>
  </r>
  <r>
    <x v="869"/>
    <x v="0"/>
    <n v="29"/>
    <x v="2"/>
    <x v="11"/>
    <x v="1"/>
    <n v="8.1"/>
    <n v="5.6"/>
    <x v="2"/>
    <n v="3"/>
    <x v="0"/>
    <n v="94100"/>
    <n v="4300"/>
    <n v="98400"/>
    <s v="D"/>
    <d v="2017-11-30T00:00:00"/>
    <x v="1"/>
  </r>
  <r>
    <x v="870"/>
    <x v="0"/>
    <n v="30"/>
    <x v="5"/>
    <x v="17"/>
    <x v="2"/>
    <n v="10"/>
    <n v="5.0999999999999996"/>
    <x v="4"/>
    <n v="4"/>
    <x v="0"/>
    <n v="104900"/>
    <n v="12000"/>
    <n v="116900"/>
    <s v="E"/>
    <m/>
    <x v="2"/>
  </r>
  <r>
    <x v="871"/>
    <x v="0"/>
    <n v="32"/>
    <x v="4"/>
    <x v="6"/>
    <x v="0"/>
    <n v="13.8"/>
    <n v="10.199999999999999"/>
    <x v="3"/>
    <n v="4"/>
    <x v="0"/>
    <n v="77600"/>
    <n v="11300"/>
    <n v="88900"/>
    <s v="C"/>
    <d v="2012-03-11T00:00:00"/>
    <x v="0"/>
  </r>
  <r>
    <x v="872"/>
    <x v="0"/>
    <n v="45"/>
    <x v="5"/>
    <x v="15"/>
    <x v="0"/>
    <n v="5.8"/>
    <n v="4.5999999999999996"/>
    <x v="1"/>
    <n v="3"/>
    <x v="2"/>
    <n v="41500"/>
    <n v="3600"/>
    <n v="45100"/>
    <s v="A"/>
    <d v="2020-03-03T00:00:00"/>
    <x v="0"/>
  </r>
  <r>
    <x v="873"/>
    <x v="0"/>
    <n v="43"/>
    <x v="4"/>
    <x v="8"/>
    <x v="2"/>
    <n v="8.6999999999999993"/>
    <n v="7.5"/>
    <x v="2"/>
    <n v="4"/>
    <x v="0"/>
    <n v="91000"/>
    <n v="5500"/>
    <n v="96500"/>
    <s v="D"/>
    <d v="2017-04-08T00:00:00"/>
    <x v="2"/>
  </r>
  <r>
    <x v="874"/>
    <x v="1"/>
    <n v="26"/>
    <x v="0"/>
    <x v="0"/>
    <x v="1"/>
    <n v="3.8"/>
    <n v="3.8"/>
    <x v="1"/>
    <n v="3"/>
    <x v="0"/>
    <n v="97000"/>
    <n v="8800"/>
    <n v="105800"/>
    <s v="D"/>
    <d v="2022-03-29T00:00:00"/>
    <x v="1"/>
  </r>
  <r>
    <x v="875"/>
    <x v="0"/>
    <n v="49"/>
    <x v="4"/>
    <x v="14"/>
    <x v="1"/>
    <n v="11.7"/>
    <n v="8.5"/>
    <x v="4"/>
    <n v="2"/>
    <x v="0"/>
    <n v="97800"/>
    <n v="12000"/>
    <n v="109800"/>
    <s v="D"/>
    <d v="2014-04-09T00:00:00"/>
    <x v="1"/>
  </r>
  <r>
    <x v="876"/>
    <x v="0"/>
    <n v="40"/>
    <x v="5"/>
    <x v="17"/>
    <x v="2"/>
    <n v="8.4"/>
    <n v="4.7"/>
    <x v="2"/>
    <n v="3"/>
    <x v="2"/>
    <n v="74100"/>
    <n v="11500"/>
    <n v="85600"/>
    <s v="C"/>
    <d v="2017-08-14T00:00:00"/>
    <x v="2"/>
  </r>
  <r>
    <x v="877"/>
    <x v="1"/>
    <n v="21"/>
    <x v="5"/>
    <x v="9"/>
    <x v="3"/>
    <n v="3.1"/>
    <n v="1.6"/>
    <x v="1"/>
    <n v="3"/>
    <x v="0"/>
    <n v="90900"/>
    <n v="9800"/>
    <n v="100700"/>
    <s v="D"/>
    <d v="2022-11-16T00:00:00"/>
    <x v="3"/>
  </r>
  <r>
    <x v="878"/>
    <x v="0"/>
    <n v="46"/>
    <x v="4"/>
    <x v="16"/>
    <x v="2"/>
    <n v="2.7"/>
    <n v="1.6"/>
    <x v="0"/>
    <n v="4"/>
    <x v="0"/>
    <n v="87900"/>
    <n v="7100"/>
    <n v="95000"/>
    <s v="D"/>
    <d v="2023-04-30T00:00:00"/>
    <x v="2"/>
  </r>
  <r>
    <x v="879"/>
    <x v="1"/>
    <n v="34"/>
    <x v="3"/>
    <x v="5"/>
    <x v="2"/>
    <n v="4.5999999999999996"/>
    <n v="3.6"/>
    <x v="1"/>
    <n v="3"/>
    <x v="0"/>
    <n v="75100"/>
    <n v="6100"/>
    <n v="81200"/>
    <s v="C"/>
    <d v="2021-06-03T00:00:00"/>
    <x v="2"/>
  </r>
  <r>
    <x v="880"/>
    <x v="1"/>
    <n v="31"/>
    <x v="5"/>
    <x v="17"/>
    <x v="2"/>
    <n v="7"/>
    <n v="3.3"/>
    <x v="2"/>
    <n v="4"/>
    <x v="0"/>
    <n v="120300"/>
    <n v="19600"/>
    <n v="139900"/>
    <s v="E"/>
    <d v="2019-01-02T00:00:00"/>
    <x v="2"/>
  </r>
  <r>
    <x v="881"/>
    <x v="0"/>
    <n v="33"/>
    <x v="4"/>
    <x v="14"/>
    <x v="0"/>
    <n v="6.7"/>
    <n v="5.5"/>
    <x v="2"/>
    <n v="3"/>
    <x v="0"/>
    <n v="93800"/>
    <n v="9900"/>
    <n v="103700"/>
    <s v="D"/>
    <d v="2019-04-09T00:00:00"/>
    <x v="0"/>
  </r>
  <r>
    <x v="882"/>
    <x v="1"/>
    <n v="24"/>
    <x v="4"/>
    <x v="6"/>
    <x v="2"/>
    <n v="2.2000000000000002"/>
    <n v="2.2000000000000002"/>
    <x v="0"/>
    <n v="4"/>
    <x v="0"/>
    <n v="75600"/>
    <n v="9600"/>
    <n v="85200"/>
    <s v="C"/>
    <d v="2023-10-06T00:00:00"/>
    <x v="2"/>
  </r>
  <r>
    <x v="883"/>
    <x v="0"/>
    <n v="51"/>
    <x v="2"/>
    <x v="11"/>
    <x v="1"/>
    <n v="2.7"/>
    <n v="0.8"/>
    <x v="0"/>
    <n v="4"/>
    <x v="0"/>
    <n v="95600"/>
    <n v="10000"/>
    <n v="105600"/>
    <s v="D"/>
    <d v="2023-05-07T00:00:00"/>
    <x v="1"/>
  </r>
  <r>
    <x v="884"/>
    <x v="1"/>
    <n v="23"/>
    <x v="2"/>
    <x v="18"/>
    <x v="2"/>
    <n v="7.3"/>
    <n v="6.4"/>
    <x v="2"/>
    <n v="4"/>
    <x v="0"/>
    <n v="71900"/>
    <n v="7100"/>
    <n v="79000"/>
    <s v="C"/>
    <d v="2018-09-07T00:00:00"/>
    <x v="2"/>
  </r>
  <r>
    <x v="885"/>
    <x v="0"/>
    <n v="42"/>
    <x v="1"/>
    <x v="10"/>
    <x v="2"/>
    <n v="2"/>
    <n v="2"/>
    <x v="0"/>
    <n v="3"/>
    <x v="0"/>
    <n v="115000"/>
    <n v="10900"/>
    <n v="125900"/>
    <s v="E"/>
    <d v="2023-12-18T00:00:00"/>
    <x v="2"/>
  </r>
  <r>
    <x v="886"/>
    <x v="0"/>
    <n v="54"/>
    <x v="4"/>
    <x v="16"/>
    <x v="2"/>
    <n v="10.199999999999999"/>
    <n v="7.2"/>
    <x v="4"/>
    <n v="3"/>
    <x v="0"/>
    <n v="101900"/>
    <n v="5600"/>
    <n v="107500"/>
    <s v="E"/>
    <d v="2015-11-05T00:00:00"/>
    <x v="2"/>
  </r>
  <r>
    <x v="887"/>
    <x v="0"/>
    <n v="48"/>
    <x v="1"/>
    <x v="3"/>
    <x v="2"/>
    <n v="5.5"/>
    <n v="5.0999999999999996"/>
    <x v="1"/>
    <n v="4"/>
    <x v="0"/>
    <n v="90500"/>
    <n v="8500"/>
    <n v="99000"/>
    <s v="D"/>
    <d v="2020-06-28T00:00:00"/>
    <x v="2"/>
  </r>
  <r>
    <x v="888"/>
    <x v="0"/>
    <n v="26"/>
    <x v="5"/>
    <x v="17"/>
    <x v="2"/>
    <n v="4.8"/>
    <n v="4.8"/>
    <x v="1"/>
    <n v="3"/>
    <x v="0"/>
    <n v="109000"/>
    <n v="20000"/>
    <n v="129000"/>
    <s v="E"/>
    <d v="2021-04-02T00:00:00"/>
    <x v="2"/>
  </r>
  <r>
    <x v="889"/>
    <x v="0"/>
    <n v="37"/>
    <x v="0"/>
    <x v="1"/>
    <x v="2"/>
    <n v="10.5"/>
    <n v="6.7"/>
    <x v="4"/>
    <n v="4"/>
    <x v="2"/>
    <n v="68700"/>
    <n v="8900"/>
    <n v="77600"/>
    <s v="C"/>
    <d v="2015-06-18T00:00:00"/>
    <x v="2"/>
  </r>
  <r>
    <x v="890"/>
    <x v="0"/>
    <n v="28"/>
    <x v="4"/>
    <x v="6"/>
    <x v="2"/>
    <n v="3.3"/>
    <n v="1.9"/>
    <x v="1"/>
    <n v="3"/>
    <x v="0"/>
    <n v="82200"/>
    <n v="12300"/>
    <n v="94500"/>
    <s v="D"/>
    <d v="2022-09-17T00:00:00"/>
    <x v="2"/>
  </r>
  <r>
    <x v="891"/>
    <x v="0"/>
    <n v="36"/>
    <x v="3"/>
    <x v="13"/>
    <x v="1"/>
    <n v="9.9"/>
    <n v="6.9"/>
    <x v="4"/>
    <n v="5"/>
    <x v="0"/>
    <n v="98600"/>
    <n v="7700"/>
    <n v="106300"/>
    <s v="D"/>
    <d v="2016-01-22T00:00:00"/>
    <x v="1"/>
  </r>
  <r>
    <x v="892"/>
    <x v="1"/>
    <n v="35"/>
    <x v="1"/>
    <x v="7"/>
    <x v="3"/>
    <n v="4.9000000000000004"/>
    <n v="4.4000000000000004"/>
    <x v="1"/>
    <n v="2"/>
    <x v="0"/>
    <n v="85600"/>
    <n v="5400"/>
    <n v="91000"/>
    <s v="D"/>
    <d v="2021-02-13T00:00:00"/>
    <x v="3"/>
  </r>
  <r>
    <x v="893"/>
    <x v="0"/>
    <n v="32"/>
    <x v="3"/>
    <x v="13"/>
    <x v="1"/>
    <n v="12.3"/>
    <n v="8.4"/>
    <x v="3"/>
    <n v="3"/>
    <x v="0"/>
    <n v="99000"/>
    <n v="3800"/>
    <n v="102800"/>
    <s v="D"/>
    <d v="2013-09-12T00:00:00"/>
    <x v="1"/>
  </r>
  <r>
    <x v="894"/>
    <x v="1"/>
    <n v="34"/>
    <x v="1"/>
    <x v="10"/>
    <x v="1"/>
    <n v="1.7"/>
    <n v="1.3"/>
    <x v="0"/>
    <n v="3"/>
    <x v="0"/>
    <n v="108700"/>
    <n v="11000"/>
    <n v="119700"/>
    <s v="E"/>
    <d v="2024-04-21T00:00:00"/>
    <x v="1"/>
  </r>
  <r>
    <x v="895"/>
    <x v="0"/>
    <n v="28"/>
    <x v="5"/>
    <x v="17"/>
    <x v="2"/>
    <n v="11"/>
    <n v="5.6"/>
    <x v="4"/>
    <n v="4"/>
    <x v="0"/>
    <n v="105000"/>
    <n v="8300"/>
    <n v="113300"/>
    <s v="E"/>
    <d v="2015-01-08T00:00:00"/>
    <x v="2"/>
  </r>
  <r>
    <x v="896"/>
    <x v="0"/>
    <n v="41"/>
    <x v="4"/>
    <x v="14"/>
    <x v="1"/>
    <n v="3.5"/>
    <n v="1.5"/>
    <x v="1"/>
    <n v="4"/>
    <x v="0"/>
    <n v="99400"/>
    <n v="5000"/>
    <n v="104400"/>
    <s v="D"/>
    <d v="2022-07-10T00:00:00"/>
    <x v="1"/>
  </r>
  <r>
    <x v="897"/>
    <x v="1"/>
    <n v="21"/>
    <x v="4"/>
    <x v="14"/>
    <x v="2"/>
    <n v="11"/>
    <n v="7.2"/>
    <x v="4"/>
    <n v="3"/>
    <x v="0"/>
    <n v="111300"/>
    <n v="11400"/>
    <n v="122700"/>
    <s v="E"/>
    <d v="2014-12-16T00:00:00"/>
    <x v="2"/>
  </r>
  <r>
    <x v="898"/>
    <x v="1"/>
    <n v="21"/>
    <x v="1"/>
    <x v="10"/>
    <x v="2"/>
    <n v="10.5"/>
    <n v="5.2"/>
    <x v="4"/>
    <n v="3"/>
    <x v="0"/>
    <n v="103800"/>
    <n v="6700"/>
    <n v="110500"/>
    <s v="E"/>
    <d v="2015-07-15T00:00:00"/>
    <x v="2"/>
  </r>
  <r>
    <x v="899"/>
    <x v="1"/>
    <n v="28"/>
    <x v="1"/>
    <x v="3"/>
    <x v="1"/>
    <n v="1.8"/>
    <n v="1.7"/>
    <x v="0"/>
    <n v="2"/>
    <x v="0"/>
    <n v="61900"/>
    <n v="6300"/>
    <n v="68200"/>
    <s v="B"/>
    <d v="2024-03-11T00:00:00"/>
    <x v="1"/>
  </r>
  <r>
    <x v="900"/>
    <x v="1"/>
    <n v="30"/>
    <x v="1"/>
    <x v="3"/>
    <x v="0"/>
    <n v="4.8"/>
    <n v="2.6"/>
    <x v="1"/>
    <n v="3"/>
    <x v="1"/>
    <n v="39900"/>
    <n v="4600"/>
    <n v="44500"/>
    <s v="A"/>
    <d v="2021-03-10T00:00:00"/>
    <x v="0"/>
  </r>
  <r>
    <x v="901"/>
    <x v="1"/>
    <n v="39"/>
    <x v="0"/>
    <x v="2"/>
    <x v="1"/>
    <n v="12.4"/>
    <n v="7.6"/>
    <x v="3"/>
    <n v="3"/>
    <x v="0"/>
    <n v="82600"/>
    <n v="10200"/>
    <n v="92800"/>
    <s v="D"/>
    <d v="2013-08-25T00:00:00"/>
    <x v="1"/>
  </r>
  <r>
    <x v="902"/>
    <x v="1"/>
    <n v="35"/>
    <x v="2"/>
    <x v="11"/>
    <x v="1"/>
    <n v="6.5"/>
    <n v="3.9"/>
    <x v="2"/>
    <n v="3"/>
    <x v="0"/>
    <n v="94200"/>
    <n v="6200"/>
    <n v="100400"/>
    <s v="D"/>
    <d v="2019-07-15T00:00:00"/>
    <x v="1"/>
  </r>
  <r>
    <x v="903"/>
    <x v="1"/>
    <n v="33"/>
    <x v="3"/>
    <x v="12"/>
    <x v="2"/>
    <n v="7.8"/>
    <n v="4.8"/>
    <x v="2"/>
    <n v="3"/>
    <x v="0"/>
    <n v="80900"/>
    <n v="3100"/>
    <n v="84000"/>
    <s v="D"/>
    <d v="2018-03-27T00:00:00"/>
    <x v="2"/>
  </r>
  <r>
    <x v="904"/>
    <x v="0"/>
    <n v="44"/>
    <x v="2"/>
    <x v="11"/>
    <x v="0"/>
    <n v="8.5"/>
    <n v="4.5"/>
    <x v="2"/>
    <n v="4"/>
    <x v="0"/>
    <n v="99900"/>
    <n v="9000"/>
    <n v="108900"/>
    <s v="D"/>
    <d v="2017-07-01T00:00:00"/>
    <x v="0"/>
  </r>
  <r>
    <x v="905"/>
    <x v="0"/>
    <n v="37"/>
    <x v="0"/>
    <x v="0"/>
    <x v="2"/>
    <n v="2.6"/>
    <n v="0.3"/>
    <x v="0"/>
    <n v="3"/>
    <x v="0"/>
    <n v="85100"/>
    <n v="11100"/>
    <n v="96200"/>
    <s v="D"/>
    <d v="2023-05-31T00:00:00"/>
    <x v="2"/>
  </r>
  <r>
    <x v="906"/>
    <x v="0"/>
    <n v="27"/>
    <x v="1"/>
    <x v="3"/>
    <x v="3"/>
    <n v="5.5"/>
    <n v="1.6"/>
    <x v="1"/>
    <n v="3"/>
    <x v="0"/>
    <n v="88300"/>
    <n v="7900"/>
    <n v="96200"/>
    <s v="D"/>
    <d v="2020-06-21T00:00:00"/>
    <x v="3"/>
  </r>
  <r>
    <x v="907"/>
    <x v="0"/>
    <n v="47"/>
    <x v="2"/>
    <x v="11"/>
    <x v="1"/>
    <n v="10.4"/>
    <n v="7.6"/>
    <x v="4"/>
    <n v="3"/>
    <x v="0"/>
    <n v="106700"/>
    <n v="9400"/>
    <n v="116100"/>
    <s v="E"/>
    <d v="2015-08-19T00:00:00"/>
    <x v="1"/>
  </r>
  <r>
    <x v="908"/>
    <x v="0"/>
    <n v="35"/>
    <x v="2"/>
    <x v="18"/>
    <x v="1"/>
    <n v="9.4"/>
    <n v="7"/>
    <x v="4"/>
    <n v="3"/>
    <x v="0"/>
    <n v="64200"/>
    <n v="3000"/>
    <n v="67200"/>
    <s v="B"/>
    <d v="2016-08-02T00:00:00"/>
    <x v="1"/>
  </r>
  <r>
    <x v="909"/>
    <x v="1"/>
    <n v="38"/>
    <x v="3"/>
    <x v="5"/>
    <x v="1"/>
    <n v="11.1"/>
    <n v="6.5"/>
    <x v="4"/>
    <n v="3"/>
    <x v="0"/>
    <n v="80900"/>
    <n v="4800"/>
    <n v="85700"/>
    <s v="D"/>
    <d v="2014-11-26T00:00:00"/>
    <x v="1"/>
  </r>
  <r>
    <x v="910"/>
    <x v="1"/>
    <n v="28"/>
    <x v="0"/>
    <x v="1"/>
    <x v="2"/>
    <n v="6.8"/>
    <n v="4.5"/>
    <x v="2"/>
    <n v="3"/>
    <x v="0"/>
    <n v="82400"/>
    <n v="9100"/>
    <n v="91500"/>
    <s v="D"/>
    <d v="2019-03-11T00:00:00"/>
    <x v="2"/>
  </r>
  <r>
    <x v="911"/>
    <x v="1"/>
    <n v="37"/>
    <x v="4"/>
    <x v="14"/>
    <x v="1"/>
    <n v="9.6"/>
    <n v="7.9"/>
    <x v="4"/>
    <n v="3"/>
    <x v="0"/>
    <n v="114100"/>
    <n v="8700"/>
    <n v="122800"/>
    <s v="E"/>
    <d v="2016-05-26T00:00:00"/>
    <x v="1"/>
  </r>
  <r>
    <x v="912"/>
    <x v="0"/>
    <n v="32"/>
    <x v="2"/>
    <x v="4"/>
    <x v="2"/>
    <n v="6.9"/>
    <n v="3.9"/>
    <x v="2"/>
    <n v="3"/>
    <x v="0"/>
    <n v="90300"/>
    <n v="8300"/>
    <n v="98600"/>
    <s v="D"/>
    <d v="2019-01-26T00:00:00"/>
    <x v="2"/>
  </r>
  <r>
    <x v="913"/>
    <x v="0"/>
    <n v="31"/>
    <x v="1"/>
    <x v="3"/>
    <x v="2"/>
    <n v="9.8000000000000007"/>
    <n v="6.4"/>
    <x v="4"/>
    <n v="3"/>
    <x v="0"/>
    <n v="87600"/>
    <n v="8700"/>
    <n v="96300"/>
    <s v="D"/>
    <d v="2016-03-16T00:00:00"/>
    <x v="2"/>
  </r>
  <r>
    <x v="914"/>
    <x v="1"/>
    <n v="33"/>
    <x v="5"/>
    <x v="9"/>
    <x v="2"/>
    <n v="12.4"/>
    <n v="8.6999999999999993"/>
    <x v="3"/>
    <n v="4"/>
    <x v="0"/>
    <n v="103600"/>
    <n v="11300"/>
    <n v="114900"/>
    <s v="E"/>
    <d v="2013-08-03T00:00:00"/>
    <x v="2"/>
  </r>
  <r>
    <x v="915"/>
    <x v="1"/>
    <n v="21"/>
    <x v="4"/>
    <x v="6"/>
    <x v="1"/>
    <n v="4.7"/>
    <n v="1.1000000000000001"/>
    <x v="1"/>
    <n v="4"/>
    <x v="0"/>
    <n v="77000"/>
    <n v="11000"/>
    <n v="88000"/>
    <s v="C"/>
    <d v="2021-04-10T00:00:00"/>
    <x v="1"/>
  </r>
  <r>
    <x v="916"/>
    <x v="1"/>
    <n v="38"/>
    <x v="5"/>
    <x v="15"/>
    <x v="1"/>
    <n v="4.7"/>
    <n v="2.2000000000000002"/>
    <x v="1"/>
    <n v="4"/>
    <x v="0"/>
    <n v="55100"/>
    <n v="11000"/>
    <n v="66100"/>
    <s v="B"/>
    <d v="2021-05-01T00:00:00"/>
    <x v="1"/>
  </r>
  <r>
    <x v="917"/>
    <x v="1"/>
    <n v="40"/>
    <x v="2"/>
    <x v="11"/>
    <x v="1"/>
    <n v="2"/>
    <n v="0"/>
    <x v="0"/>
    <n v="3"/>
    <x v="0"/>
    <n v="76600"/>
    <n v="5800"/>
    <n v="82400"/>
    <s v="C"/>
    <d v="2024-01-05T00:00:00"/>
    <x v="1"/>
  </r>
  <r>
    <x v="918"/>
    <x v="1"/>
    <n v="42"/>
    <x v="5"/>
    <x v="17"/>
    <x v="0"/>
    <n v="5"/>
    <n v="4.5999999999999996"/>
    <x v="1"/>
    <n v="5"/>
    <x v="0"/>
    <n v="92700"/>
    <n v="17700"/>
    <n v="110400"/>
    <s v="D"/>
    <d v="2021-01-02T00:00:00"/>
    <x v="0"/>
  </r>
  <r>
    <x v="919"/>
    <x v="0"/>
    <n v="40"/>
    <x v="4"/>
    <x v="6"/>
    <x v="3"/>
    <n v="5.2"/>
    <n v="3"/>
    <x v="1"/>
    <n v="3"/>
    <x v="0"/>
    <n v="74700"/>
    <n v="11000"/>
    <n v="85700"/>
    <s v="C"/>
    <d v="2020-10-19T00:00:00"/>
    <x v="3"/>
  </r>
  <r>
    <x v="920"/>
    <x v="0"/>
    <n v="45"/>
    <x v="4"/>
    <x v="16"/>
    <x v="1"/>
    <n v="1.6"/>
    <n v="0"/>
    <x v="0"/>
    <n v="3"/>
    <x v="2"/>
    <n v="80300"/>
    <n v="6400"/>
    <n v="86700"/>
    <s v="D"/>
    <d v="2024-05-16T00:00:00"/>
    <x v="1"/>
  </r>
  <r>
    <x v="921"/>
    <x v="1"/>
    <n v="36"/>
    <x v="1"/>
    <x v="10"/>
    <x v="1"/>
    <n v="13.1"/>
    <n v="8.8000000000000007"/>
    <x v="3"/>
    <n v="5"/>
    <x v="0"/>
    <n v="124000"/>
    <n v="10700"/>
    <n v="134700"/>
    <s v="E"/>
    <d v="2012-11-19T00:00:00"/>
    <x v="1"/>
  </r>
  <r>
    <x v="922"/>
    <x v="1"/>
    <n v="33"/>
    <x v="1"/>
    <x v="10"/>
    <x v="1"/>
    <n v="5.9"/>
    <n v="4.4000000000000004"/>
    <x v="1"/>
    <n v="2"/>
    <x v="1"/>
    <n v="62700"/>
    <n v="3000"/>
    <n v="65700"/>
    <s v="B"/>
    <d v="2020-02-21T00:00:00"/>
    <x v="1"/>
  </r>
  <r>
    <x v="923"/>
    <x v="1"/>
    <n v="39"/>
    <x v="2"/>
    <x v="4"/>
    <x v="2"/>
    <n v="4.0999999999999996"/>
    <n v="2.7"/>
    <x v="1"/>
    <n v="4"/>
    <x v="0"/>
    <n v="87700"/>
    <n v="8800"/>
    <n v="96500"/>
    <s v="D"/>
    <d v="2021-12-11T00:00:00"/>
    <x v="2"/>
  </r>
  <r>
    <x v="924"/>
    <x v="0"/>
    <n v="42"/>
    <x v="2"/>
    <x v="4"/>
    <x v="1"/>
    <n v="7.6"/>
    <n v="5.8"/>
    <x v="2"/>
    <n v="2"/>
    <x v="1"/>
    <n v="47800"/>
    <n v="1900"/>
    <n v="49700"/>
    <s v="A"/>
    <d v="2018-05-26T00:00:00"/>
    <x v="1"/>
  </r>
  <r>
    <x v="925"/>
    <x v="0"/>
    <n v="32"/>
    <x v="2"/>
    <x v="18"/>
    <x v="1"/>
    <n v="4.5"/>
    <n v="3.3"/>
    <x v="1"/>
    <n v="4"/>
    <x v="0"/>
    <n v="74800"/>
    <n v="7700"/>
    <n v="82500"/>
    <s v="C"/>
    <d v="2021-06-24T00:00:00"/>
    <x v="1"/>
  </r>
  <r>
    <x v="926"/>
    <x v="0"/>
    <n v="40"/>
    <x v="3"/>
    <x v="12"/>
    <x v="2"/>
    <n v="11.8"/>
    <n v="7.5"/>
    <x v="4"/>
    <n v="3"/>
    <x v="1"/>
    <n v="46400"/>
    <n v="2300"/>
    <n v="48700"/>
    <s v="A"/>
    <d v="2014-03-15T00:00:00"/>
    <x v="2"/>
  </r>
  <r>
    <x v="927"/>
    <x v="0"/>
    <n v="48"/>
    <x v="2"/>
    <x v="18"/>
    <x v="2"/>
    <n v="14"/>
    <n v="8.6"/>
    <x v="3"/>
    <n v="2"/>
    <x v="0"/>
    <n v="53900"/>
    <n v="2200"/>
    <n v="56100"/>
    <s v="B"/>
    <d v="2012-01-15T00:00:00"/>
    <x v="2"/>
  </r>
  <r>
    <x v="928"/>
    <x v="1"/>
    <n v="46"/>
    <x v="0"/>
    <x v="1"/>
    <x v="2"/>
    <n v="2.1"/>
    <n v="2.1"/>
    <x v="0"/>
    <n v="3"/>
    <x v="0"/>
    <n v="71700"/>
    <n v="5600"/>
    <n v="77300"/>
    <s v="C"/>
    <d v="2023-12-09T00:00:00"/>
    <x v="2"/>
  </r>
  <r>
    <x v="929"/>
    <x v="0"/>
    <n v="39"/>
    <x v="4"/>
    <x v="6"/>
    <x v="2"/>
    <n v="10.9"/>
    <n v="5.0999999999999996"/>
    <x v="4"/>
    <n v="4"/>
    <x v="0"/>
    <n v="83000"/>
    <n v="9900"/>
    <n v="92900"/>
    <s v="D"/>
    <d v="2015-02-07T00:00:00"/>
    <x v="2"/>
  </r>
  <r>
    <x v="930"/>
    <x v="1"/>
    <n v="47"/>
    <x v="5"/>
    <x v="17"/>
    <x v="1"/>
    <n v="8"/>
    <n v="5"/>
    <x v="2"/>
    <n v="4"/>
    <x v="0"/>
    <n v="103800"/>
    <n v="8600"/>
    <n v="112400"/>
    <s v="E"/>
    <d v="2017-12-19T00:00:00"/>
    <x v="1"/>
  </r>
  <r>
    <x v="931"/>
    <x v="1"/>
    <n v="35"/>
    <x v="4"/>
    <x v="14"/>
    <x v="2"/>
    <n v="5.0999999999999996"/>
    <n v="5.0999999999999996"/>
    <x v="1"/>
    <n v="3"/>
    <x v="0"/>
    <n v="101500"/>
    <n v="12900"/>
    <n v="114400"/>
    <s v="E"/>
    <d v="2020-11-17T00:00:00"/>
    <x v="2"/>
  </r>
  <r>
    <x v="932"/>
    <x v="1"/>
    <n v="32"/>
    <x v="0"/>
    <x v="0"/>
    <x v="2"/>
    <n v="1.9"/>
    <n v="0.7"/>
    <x v="0"/>
    <n v="3"/>
    <x v="0"/>
    <n v="98500"/>
    <n v="6300"/>
    <n v="104800"/>
    <s v="D"/>
    <d v="2024-02-25T00:00:00"/>
    <x v="2"/>
  </r>
  <r>
    <x v="933"/>
    <x v="1"/>
    <n v="35"/>
    <x v="5"/>
    <x v="9"/>
    <x v="2"/>
    <n v="10.4"/>
    <n v="6.3"/>
    <x v="4"/>
    <n v="2"/>
    <x v="0"/>
    <n v="98500"/>
    <n v="19600"/>
    <n v="118100"/>
    <s v="D"/>
    <d v="2015-08-07T00:00:00"/>
    <x v="2"/>
  </r>
  <r>
    <x v="934"/>
    <x v="0"/>
    <n v="40"/>
    <x v="3"/>
    <x v="13"/>
    <x v="1"/>
    <n v="12.1"/>
    <n v="7.3"/>
    <x v="3"/>
    <n v="3"/>
    <x v="0"/>
    <n v="108900"/>
    <n v="7600"/>
    <n v="116500"/>
    <s v="E"/>
    <d v="2013-11-24T00:00:00"/>
    <x v="1"/>
  </r>
  <r>
    <x v="935"/>
    <x v="0"/>
    <n v="32"/>
    <x v="2"/>
    <x v="4"/>
    <x v="1"/>
    <n v="5.8"/>
    <n v="3.7"/>
    <x v="1"/>
    <n v="2"/>
    <x v="2"/>
    <n v="54100"/>
    <n v="3400"/>
    <n v="57500"/>
    <s v="B"/>
    <d v="2020-03-28T00:00:00"/>
    <x v="1"/>
  </r>
  <r>
    <x v="936"/>
    <x v="0"/>
    <n v="47"/>
    <x v="0"/>
    <x v="1"/>
    <x v="1"/>
    <n v="4.2"/>
    <n v="0.7"/>
    <x v="1"/>
    <n v="4"/>
    <x v="0"/>
    <n v="65100"/>
    <n v="3800"/>
    <n v="68900"/>
    <s v="C"/>
    <d v="2021-10-29T00:00:00"/>
    <x v="1"/>
  </r>
  <r>
    <x v="937"/>
    <x v="1"/>
    <n v="28"/>
    <x v="3"/>
    <x v="5"/>
    <x v="1"/>
    <n v="12.4"/>
    <n v="10.9"/>
    <x v="3"/>
    <n v="2"/>
    <x v="0"/>
    <n v="88100"/>
    <n v="3800"/>
    <n v="91900"/>
    <s v="D"/>
    <d v="2013-08-07T00:00:00"/>
    <x v="1"/>
  </r>
  <r>
    <x v="938"/>
    <x v="0"/>
    <n v="21"/>
    <x v="1"/>
    <x v="10"/>
    <x v="1"/>
    <n v="12.3"/>
    <n v="7.7"/>
    <x v="3"/>
    <n v="4"/>
    <x v="0"/>
    <n v="100400"/>
    <n v="5900"/>
    <n v="106300"/>
    <s v="E"/>
    <d v="2013-09-23T00:00:00"/>
    <x v="1"/>
  </r>
  <r>
    <x v="939"/>
    <x v="0"/>
    <n v="43"/>
    <x v="3"/>
    <x v="12"/>
    <x v="1"/>
    <n v="12.8"/>
    <n v="9.1999999999999993"/>
    <x v="3"/>
    <n v="3"/>
    <x v="0"/>
    <n v="91400"/>
    <n v="7500"/>
    <n v="98900"/>
    <s v="D"/>
    <d v="2013-03-17T00:00:00"/>
    <x v="1"/>
  </r>
  <r>
    <x v="940"/>
    <x v="1"/>
    <n v="43"/>
    <x v="2"/>
    <x v="4"/>
    <x v="2"/>
    <n v="10.3"/>
    <n v="6.4"/>
    <x v="4"/>
    <n v="3"/>
    <x v="0"/>
    <n v="83300"/>
    <n v="2900"/>
    <n v="86200"/>
    <s v="D"/>
    <d v="2015-09-19T00:00:00"/>
    <x v="2"/>
  </r>
  <r>
    <x v="941"/>
    <x v="0"/>
    <n v="29"/>
    <x v="3"/>
    <x v="12"/>
    <x v="0"/>
    <n v="8.6999999999999993"/>
    <n v="6.6"/>
    <x v="2"/>
    <n v="3"/>
    <x v="0"/>
    <n v="65500"/>
    <n v="3300"/>
    <n v="68800"/>
    <s v="C"/>
    <d v="2017-04-11T00:00:00"/>
    <x v="0"/>
  </r>
  <r>
    <x v="942"/>
    <x v="1"/>
    <n v="26"/>
    <x v="3"/>
    <x v="12"/>
    <x v="2"/>
    <n v="6.2"/>
    <n v="4.4000000000000004"/>
    <x v="2"/>
    <n v="2"/>
    <x v="0"/>
    <n v="72900"/>
    <n v="3800"/>
    <n v="76700"/>
    <s v="C"/>
    <d v="2019-10-05T00:00:00"/>
    <x v="2"/>
  </r>
  <r>
    <x v="943"/>
    <x v="0"/>
    <n v="30"/>
    <x v="3"/>
    <x v="13"/>
    <x v="1"/>
    <n v="4.5"/>
    <n v="1.4"/>
    <x v="1"/>
    <n v="3"/>
    <x v="2"/>
    <n v="91400"/>
    <n v="3300"/>
    <n v="94700"/>
    <s v="D"/>
    <d v="2021-07-19T00:00:00"/>
    <x v="1"/>
  </r>
  <r>
    <x v="944"/>
    <x v="1"/>
    <n v="27"/>
    <x v="0"/>
    <x v="2"/>
    <x v="2"/>
    <n v="12.4"/>
    <n v="8.3000000000000007"/>
    <x v="3"/>
    <n v="4"/>
    <x v="0"/>
    <n v="86400"/>
    <n v="4900"/>
    <n v="91300"/>
    <s v="D"/>
    <d v="2013-08-02T00:00:00"/>
    <x v="2"/>
  </r>
  <r>
    <x v="945"/>
    <x v="1"/>
    <n v="28"/>
    <x v="4"/>
    <x v="16"/>
    <x v="2"/>
    <n v="10.9"/>
    <n v="5.9"/>
    <x v="4"/>
    <n v="2"/>
    <x v="0"/>
    <n v="99800"/>
    <n v="10300"/>
    <n v="110100"/>
    <s v="D"/>
    <d v="2015-02-25T00:00:00"/>
    <x v="2"/>
  </r>
  <r>
    <x v="946"/>
    <x v="0"/>
    <n v="32"/>
    <x v="1"/>
    <x v="7"/>
    <x v="1"/>
    <n v="7.2"/>
    <n v="3.7"/>
    <x v="2"/>
    <n v="3"/>
    <x v="0"/>
    <n v="78500"/>
    <n v="8100"/>
    <n v="86600"/>
    <s v="C"/>
    <d v="2018-10-25T00:00:00"/>
    <x v="1"/>
  </r>
  <r>
    <x v="947"/>
    <x v="0"/>
    <n v="37"/>
    <x v="2"/>
    <x v="4"/>
    <x v="2"/>
    <n v="4.5999999999999996"/>
    <n v="2.5"/>
    <x v="1"/>
    <n v="2"/>
    <x v="2"/>
    <n v="72900"/>
    <n v="4000"/>
    <n v="76900"/>
    <s v="C"/>
    <d v="2021-06-10T00:00:00"/>
    <x v="2"/>
  </r>
  <r>
    <x v="948"/>
    <x v="0"/>
    <n v="37"/>
    <x v="0"/>
    <x v="2"/>
    <x v="2"/>
    <n v="2.2000000000000002"/>
    <n v="2"/>
    <x v="0"/>
    <n v="3"/>
    <x v="0"/>
    <n v="71300"/>
    <n v="3900"/>
    <n v="75200"/>
    <s v="C"/>
    <d v="2023-10-07T00:00:00"/>
    <x v="2"/>
  </r>
  <r>
    <x v="949"/>
    <x v="1"/>
    <n v="32"/>
    <x v="1"/>
    <x v="7"/>
    <x v="3"/>
    <n v="2.2000000000000002"/>
    <n v="0.4"/>
    <x v="0"/>
    <n v="3"/>
    <x v="0"/>
    <n v="83100"/>
    <n v="9300"/>
    <n v="92400"/>
    <s v="D"/>
    <d v="2023-10-16T00:00:00"/>
    <x v="3"/>
  </r>
  <r>
    <x v="950"/>
    <x v="1"/>
    <n v="42"/>
    <x v="3"/>
    <x v="13"/>
    <x v="1"/>
    <n v="13.8"/>
    <n v="8.3000000000000007"/>
    <x v="3"/>
    <n v="4"/>
    <x v="2"/>
    <n v="97900"/>
    <n v="6900"/>
    <n v="104800"/>
    <s v="D"/>
    <d v="2012-03-06T00:00:00"/>
    <x v="1"/>
  </r>
  <r>
    <x v="951"/>
    <x v="0"/>
    <n v="32"/>
    <x v="5"/>
    <x v="9"/>
    <x v="2"/>
    <n v="10.6"/>
    <n v="9.1999999999999993"/>
    <x v="4"/>
    <n v="2"/>
    <x v="0"/>
    <n v="118200"/>
    <n v="13700"/>
    <n v="131900"/>
    <s v="E"/>
    <d v="2015-06-05T00:00:00"/>
    <x v="2"/>
  </r>
  <r>
    <x v="952"/>
    <x v="0"/>
    <n v="27"/>
    <x v="0"/>
    <x v="0"/>
    <x v="0"/>
    <n v="12.2"/>
    <n v="11.1"/>
    <x v="3"/>
    <n v="4"/>
    <x v="0"/>
    <n v="103000"/>
    <n v="10200"/>
    <n v="113200"/>
    <s v="E"/>
    <d v="2013-10-25T00:00:00"/>
    <x v="0"/>
  </r>
  <r>
    <x v="953"/>
    <x v="0"/>
    <n v="40"/>
    <x v="5"/>
    <x v="17"/>
    <x v="3"/>
    <n v="11.8"/>
    <n v="7.5"/>
    <x v="4"/>
    <n v="2"/>
    <x v="0"/>
    <n v="106300"/>
    <n v="17300"/>
    <n v="123600"/>
    <s v="E"/>
    <d v="2014-02-27T00:00:00"/>
    <x v="3"/>
  </r>
  <r>
    <x v="954"/>
    <x v="0"/>
    <n v="27"/>
    <x v="5"/>
    <x v="9"/>
    <x v="2"/>
    <n v="7.5"/>
    <n v="5.9"/>
    <x v="2"/>
    <n v="1"/>
    <x v="0"/>
    <n v="95200"/>
    <n v="16300"/>
    <n v="111500"/>
    <s v="D"/>
    <d v="2018-06-19T00:00:00"/>
    <x v="2"/>
  </r>
  <r>
    <x v="955"/>
    <x v="0"/>
    <n v="23"/>
    <x v="0"/>
    <x v="2"/>
    <x v="3"/>
    <n v="6.7"/>
    <n v="4.8"/>
    <x v="2"/>
    <n v="4"/>
    <x v="1"/>
    <n v="45400"/>
    <n v="2400"/>
    <n v="47800"/>
    <s v="A"/>
    <d v="2019-04-06T00:00:00"/>
    <x v="3"/>
  </r>
  <r>
    <x v="956"/>
    <x v="1"/>
    <n v="44"/>
    <x v="5"/>
    <x v="9"/>
    <x v="1"/>
    <n v="6.5"/>
    <n v="3.2"/>
    <x v="2"/>
    <n v="3"/>
    <x v="0"/>
    <n v="97400"/>
    <n v="11700"/>
    <n v="109100"/>
    <s v="D"/>
    <d v="2019-07-16T00:00:00"/>
    <x v="1"/>
  </r>
  <r>
    <x v="957"/>
    <x v="0"/>
    <n v="34"/>
    <x v="2"/>
    <x v="4"/>
    <x v="1"/>
    <n v="4.7"/>
    <n v="2.9"/>
    <x v="1"/>
    <n v="4"/>
    <x v="0"/>
    <n v="79100"/>
    <n v="6200"/>
    <n v="85300"/>
    <s v="C"/>
    <d v="2021-04-18T00:00:00"/>
    <x v="1"/>
  </r>
  <r>
    <x v="958"/>
    <x v="0"/>
    <n v="39"/>
    <x v="4"/>
    <x v="6"/>
    <x v="1"/>
    <n v="12.5"/>
    <n v="7.3"/>
    <x v="3"/>
    <n v="3"/>
    <x v="1"/>
    <n v="51600"/>
    <n v="3200"/>
    <n v="54800"/>
    <s v="B"/>
    <d v="2013-06-20T00:00:00"/>
    <x v="1"/>
  </r>
  <r>
    <x v="959"/>
    <x v="0"/>
    <n v="24"/>
    <x v="5"/>
    <x v="9"/>
    <x v="1"/>
    <n v="1.6"/>
    <n v="0.9"/>
    <x v="0"/>
    <n v="4"/>
    <x v="0"/>
    <n v="95100"/>
    <n v="19200"/>
    <n v="114300"/>
    <s v="D"/>
    <d v="2024-06-04T00:00:00"/>
    <x v="1"/>
  </r>
  <r>
    <x v="960"/>
    <x v="0"/>
    <n v="41"/>
    <x v="0"/>
    <x v="1"/>
    <x v="1"/>
    <n v="5.5"/>
    <n v="4.9000000000000004"/>
    <x v="1"/>
    <n v="3"/>
    <x v="0"/>
    <n v="77000"/>
    <n v="9300"/>
    <n v="86300"/>
    <s v="C"/>
    <d v="2020-06-18T00:00:00"/>
    <x v="1"/>
  </r>
  <r>
    <x v="961"/>
    <x v="0"/>
    <n v="44"/>
    <x v="2"/>
    <x v="11"/>
    <x v="2"/>
    <n v="1.6"/>
    <n v="0.7"/>
    <x v="0"/>
    <n v="3"/>
    <x v="2"/>
    <n v="91300"/>
    <n v="5400"/>
    <n v="96700"/>
    <s v="D"/>
    <d v="2024-06-10T00:00:00"/>
    <x v="2"/>
  </r>
  <r>
    <x v="962"/>
    <x v="1"/>
    <n v="47"/>
    <x v="0"/>
    <x v="1"/>
    <x v="1"/>
    <n v="9.1"/>
    <n v="7.4"/>
    <x v="4"/>
    <n v="3"/>
    <x v="0"/>
    <n v="86800"/>
    <n v="7100"/>
    <n v="93900"/>
    <s v="D"/>
    <d v="2016-12-13T00:00:00"/>
    <x v="1"/>
  </r>
  <r>
    <x v="963"/>
    <x v="0"/>
    <n v="36"/>
    <x v="0"/>
    <x v="0"/>
    <x v="2"/>
    <n v="13"/>
    <n v="10"/>
    <x v="3"/>
    <n v="4"/>
    <x v="0"/>
    <n v="110700"/>
    <n v="9900"/>
    <n v="120600"/>
    <s v="E"/>
    <d v="2013-01-03T00:00:00"/>
    <x v="2"/>
  </r>
  <r>
    <x v="964"/>
    <x v="0"/>
    <n v="24"/>
    <x v="5"/>
    <x v="9"/>
    <x v="1"/>
    <n v="4.3"/>
    <n v="3.4"/>
    <x v="1"/>
    <n v="4"/>
    <x v="1"/>
    <n v="65100"/>
    <n v="8100"/>
    <n v="73200"/>
    <s v="C"/>
    <d v="2021-09-15T00:00:00"/>
    <x v="1"/>
  </r>
  <r>
    <x v="965"/>
    <x v="0"/>
    <n v="28"/>
    <x v="2"/>
    <x v="11"/>
    <x v="1"/>
    <n v="10.5"/>
    <n v="6.5"/>
    <x v="4"/>
    <n v="3"/>
    <x v="0"/>
    <n v="104200"/>
    <n v="10900"/>
    <n v="115100"/>
    <s v="E"/>
    <d v="2015-07-12T00:00:00"/>
    <x v="1"/>
  </r>
  <r>
    <x v="966"/>
    <x v="1"/>
    <n v="38"/>
    <x v="0"/>
    <x v="1"/>
    <x v="1"/>
    <n v="9.6999999999999993"/>
    <n v="7.3"/>
    <x v="4"/>
    <n v="3"/>
    <x v="2"/>
    <n v="65300"/>
    <n v="7600"/>
    <n v="72900"/>
    <s v="C"/>
    <d v="2016-05-04T00:00:00"/>
    <x v="1"/>
  </r>
  <r>
    <x v="967"/>
    <x v="0"/>
    <n v="39"/>
    <x v="3"/>
    <x v="5"/>
    <x v="1"/>
    <n v="3.6"/>
    <n v="2"/>
    <x v="1"/>
    <n v="3"/>
    <x v="2"/>
    <n v="58900"/>
    <n v="2200"/>
    <n v="61100"/>
    <s v="B"/>
    <d v="2022-06-02T00:00:00"/>
    <x v="1"/>
  </r>
  <r>
    <x v="968"/>
    <x v="0"/>
    <n v="33"/>
    <x v="4"/>
    <x v="14"/>
    <x v="1"/>
    <n v="11.2"/>
    <n v="5.9"/>
    <x v="4"/>
    <n v="2"/>
    <x v="0"/>
    <n v="107300"/>
    <n v="7700"/>
    <n v="115000"/>
    <s v="E"/>
    <d v="2014-10-06T00:00:00"/>
    <x v="1"/>
  </r>
  <r>
    <x v="969"/>
    <x v="0"/>
    <n v="38"/>
    <x v="4"/>
    <x v="6"/>
    <x v="3"/>
    <n v="9.8000000000000007"/>
    <n v="7.1"/>
    <x v="4"/>
    <n v="3"/>
    <x v="0"/>
    <n v="90400"/>
    <n v="11800"/>
    <n v="102200"/>
    <s v="D"/>
    <d v="2016-03-10T00:00:00"/>
    <x v="3"/>
  </r>
  <r>
    <x v="970"/>
    <x v="1"/>
    <n v="35"/>
    <x v="4"/>
    <x v="14"/>
    <x v="1"/>
    <n v="6.6"/>
    <n v="3.9"/>
    <x v="2"/>
    <n v="3"/>
    <x v="0"/>
    <n v="109600"/>
    <n v="10300"/>
    <n v="119900"/>
    <s v="E"/>
    <d v="2019-05-13T00:00:00"/>
    <x v="1"/>
  </r>
  <r>
    <x v="971"/>
    <x v="1"/>
    <n v="45"/>
    <x v="1"/>
    <x v="3"/>
    <x v="2"/>
    <n v="3.8"/>
    <n v="2.2999999999999998"/>
    <x v="1"/>
    <n v="4"/>
    <x v="2"/>
    <n v="67000"/>
    <n v="4400"/>
    <n v="71400"/>
    <s v="C"/>
    <d v="2022-03-23T00:00:00"/>
    <x v="2"/>
  </r>
  <r>
    <x v="972"/>
    <x v="0"/>
    <n v="36"/>
    <x v="1"/>
    <x v="7"/>
    <x v="2"/>
    <n v="2.9"/>
    <n v="2.9"/>
    <x v="0"/>
    <n v="3"/>
    <x v="0"/>
    <n v="86300"/>
    <n v="9800"/>
    <n v="96100"/>
    <s v="D"/>
    <d v="2023-02-10T00:00:00"/>
    <x v="2"/>
  </r>
  <r>
    <x v="973"/>
    <x v="0"/>
    <n v="45"/>
    <x v="2"/>
    <x v="11"/>
    <x v="1"/>
    <n v="11.1"/>
    <n v="5.5"/>
    <x v="4"/>
    <n v="5"/>
    <x v="2"/>
    <n v="91100"/>
    <n v="8400"/>
    <n v="99500"/>
    <s v="D"/>
    <d v="2014-11-23T00:00:00"/>
    <x v="1"/>
  </r>
  <r>
    <x v="974"/>
    <x v="0"/>
    <n v="51"/>
    <x v="2"/>
    <x v="18"/>
    <x v="2"/>
    <n v="12.3"/>
    <n v="7.9"/>
    <x v="3"/>
    <n v="3"/>
    <x v="0"/>
    <n v="79300"/>
    <n v="6400"/>
    <n v="85700"/>
    <s v="C"/>
    <d v="2013-09-06T00:00:00"/>
    <x v="2"/>
  </r>
  <r>
    <x v="975"/>
    <x v="1"/>
    <n v="37"/>
    <x v="3"/>
    <x v="12"/>
    <x v="3"/>
    <n v="10.9"/>
    <n v="6.7"/>
    <x v="4"/>
    <n v="3"/>
    <x v="0"/>
    <n v="75200"/>
    <n v="2500"/>
    <n v="77700"/>
    <s v="C"/>
    <d v="2015-02-07T00:00:00"/>
    <x v="3"/>
  </r>
  <r>
    <x v="976"/>
    <x v="0"/>
    <n v="25"/>
    <x v="4"/>
    <x v="6"/>
    <x v="2"/>
    <n v="4.4000000000000004"/>
    <n v="0"/>
    <x v="1"/>
    <n v="3"/>
    <x v="2"/>
    <n v="62900"/>
    <n v="7000"/>
    <n v="69900"/>
    <s v="B"/>
    <d v="2021-08-04T00:00:00"/>
    <x v="2"/>
  </r>
  <r>
    <x v="977"/>
    <x v="1"/>
    <n v="48"/>
    <x v="2"/>
    <x v="4"/>
    <x v="0"/>
    <n v="5.7"/>
    <n v="3.5"/>
    <x v="1"/>
    <n v="4"/>
    <x v="0"/>
    <n v="70500"/>
    <n v="3800"/>
    <n v="74300"/>
    <s v="C"/>
    <d v="2020-05-06T00:00:00"/>
    <x v="0"/>
  </r>
  <r>
    <x v="978"/>
    <x v="1"/>
    <n v="47"/>
    <x v="4"/>
    <x v="6"/>
    <x v="2"/>
    <n v="11.4"/>
    <n v="8.1"/>
    <x v="4"/>
    <n v="2"/>
    <x v="0"/>
    <n v="71300"/>
    <n v="7300"/>
    <n v="78600"/>
    <s v="C"/>
    <d v="2014-08-16T00:00:00"/>
    <x v="2"/>
  </r>
  <r>
    <x v="979"/>
    <x v="1"/>
    <n v="32"/>
    <x v="5"/>
    <x v="9"/>
    <x v="1"/>
    <n v="4.7"/>
    <n v="4.7"/>
    <x v="1"/>
    <n v="2"/>
    <x v="0"/>
    <n v="92800"/>
    <n v="17700"/>
    <n v="110500"/>
    <s v="D"/>
    <d v="2021-04-06T00:00:00"/>
    <x v="1"/>
  </r>
  <r>
    <x v="980"/>
    <x v="1"/>
    <n v="21"/>
    <x v="5"/>
    <x v="15"/>
    <x v="1"/>
    <n v="11"/>
    <n v="6.9"/>
    <x v="4"/>
    <n v="3"/>
    <x v="1"/>
    <n v="43700"/>
    <n v="5000"/>
    <n v="48700"/>
    <s v="A"/>
    <d v="2014-12-14T00:00:00"/>
    <x v="1"/>
  </r>
  <r>
    <x v="981"/>
    <x v="0"/>
    <n v="40"/>
    <x v="3"/>
    <x v="5"/>
    <x v="1"/>
    <n v="7"/>
    <n v="1.5"/>
    <x v="2"/>
    <n v="2"/>
    <x v="0"/>
    <n v="72500"/>
    <n v="6100"/>
    <n v="78600"/>
    <s v="C"/>
    <d v="2018-12-27T00:00:00"/>
    <x v="1"/>
  </r>
  <r>
    <x v="982"/>
    <x v="0"/>
    <n v="44"/>
    <x v="3"/>
    <x v="13"/>
    <x v="2"/>
    <n v="12.8"/>
    <n v="8.1999999999999993"/>
    <x v="3"/>
    <n v="4"/>
    <x v="0"/>
    <n v="125700"/>
    <n v="8900"/>
    <n v="134600"/>
    <s v="E"/>
    <d v="2013-03-13T00:00:00"/>
    <x v="2"/>
  </r>
  <r>
    <x v="983"/>
    <x v="0"/>
    <n v="28"/>
    <x v="4"/>
    <x v="16"/>
    <x v="1"/>
    <n v="8.5"/>
    <n v="4.3"/>
    <x v="2"/>
    <n v="3"/>
    <x v="0"/>
    <n v="92300"/>
    <n v="6800"/>
    <n v="99100"/>
    <s v="D"/>
    <d v="2017-06-25T00:00:00"/>
    <x v="1"/>
  </r>
  <r>
    <x v="984"/>
    <x v="1"/>
    <n v="44"/>
    <x v="5"/>
    <x v="15"/>
    <x v="0"/>
    <n v="7.8"/>
    <n v="3"/>
    <x v="2"/>
    <n v="3"/>
    <x v="0"/>
    <n v="48000"/>
    <n v="6700"/>
    <n v="54700"/>
    <s v="A"/>
    <d v="2018-03-27T00:00:00"/>
    <x v="0"/>
  </r>
  <r>
    <x v="985"/>
    <x v="1"/>
    <n v="46"/>
    <x v="0"/>
    <x v="1"/>
    <x v="1"/>
    <n v="7.4"/>
    <n v="3.7"/>
    <x v="2"/>
    <n v="4"/>
    <x v="0"/>
    <n v="79000"/>
    <n v="7600"/>
    <n v="86600"/>
    <s v="C"/>
    <d v="2018-08-03T00:00:00"/>
    <x v="1"/>
  </r>
  <r>
    <x v="986"/>
    <x v="1"/>
    <n v="24"/>
    <x v="5"/>
    <x v="15"/>
    <x v="2"/>
    <n v="4.5"/>
    <n v="2.4"/>
    <x v="1"/>
    <n v="3"/>
    <x v="0"/>
    <n v="72500"/>
    <n v="7500"/>
    <n v="80000"/>
    <s v="C"/>
    <d v="2021-07-16T00:00:00"/>
    <x v="2"/>
  </r>
  <r>
    <x v="987"/>
    <x v="1"/>
    <n v="28"/>
    <x v="3"/>
    <x v="5"/>
    <x v="1"/>
    <n v="11.7"/>
    <n v="5.3"/>
    <x v="4"/>
    <n v="3"/>
    <x v="0"/>
    <n v="86100"/>
    <n v="7300"/>
    <n v="93400"/>
    <s v="D"/>
    <d v="2014-05-03T00:00:00"/>
    <x v="1"/>
  </r>
  <r>
    <x v="988"/>
    <x v="1"/>
    <n v="34"/>
    <x v="2"/>
    <x v="4"/>
    <x v="2"/>
    <n v="9.8000000000000007"/>
    <n v="4.2"/>
    <x v="4"/>
    <n v="5"/>
    <x v="0"/>
    <n v="78500"/>
    <n v="2800"/>
    <n v="81300"/>
    <s v="C"/>
    <d v="2016-03-01T00:00:00"/>
    <x v="2"/>
  </r>
  <r>
    <x v="989"/>
    <x v="1"/>
    <n v="33"/>
    <x v="0"/>
    <x v="0"/>
    <x v="0"/>
    <n v="1.4"/>
    <n v="1.4"/>
    <x v="0"/>
    <n v="4"/>
    <x v="0"/>
    <n v="92600"/>
    <n v="7900"/>
    <n v="100500"/>
    <s v="D"/>
    <d v="2024-08-22T00:00:00"/>
    <x v="0"/>
  </r>
  <r>
    <x v="990"/>
    <x v="0"/>
    <n v="32"/>
    <x v="1"/>
    <x v="3"/>
    <x v="1"/>
    <n v="12.3"/>
    <n v="7.1"/>
    <x v="3"/>
    <n v="4"/>
    <x v="0"/>
    <n v="85800"/>
    <n v="8700"/>
    <n v="94500"/>
    <s v="D"/>
    <d v="2013-08-30T00:00:00"/>
    <x v="1"/>
  </r>
  <r>
    <x v="991"/>
    <x v="1"/>
    <n v="38"/>
    <x v="2"/>
    <x v="4"/>
    <x v="2"/>
    <n v="10.7"/>
    <n v="7.4"/>
    <x v="4"/>
    <n v="4"/>
    <x v="1"/>
    <n v="51600"/>
    <n v="3600"/>
    <n v="55200"/>
    <s v="B"/>
    <d v="2015-04-12T00:00:00"/>
    <x v="2"/>
  </r>
  <r>
    <x v="992"/>
    <x v="1"/>
    <n v="37"/>
    <x v="4"/>
    <x v="16"/>
    <x v="1"/>
    <n v="4.8"/>
    <n v="3.8"/>
    <x v="1"/>
    <n v="3"/>
    <x v="0"/>
    <n v="82900"/>
    <n v="12300"/>
    <n v="95200"/>
    <s v="D"/>
    <d v="2021-03-08T00:00:00"/>
    <x v="1"/>
  </r>
  <r>
    <x v="993"/>
    <x v="1"/>
    <n v="39"/>
    <x v="3"/>
    <x v="5"/>
    <x v="1"/>
    <n v="1.3"/>
    <n v="1.3"/>
    <x v="0"/>
    <n v="3"/>
    <x v="0"/>
    <n v="72600"/>
    <n v="3400"/>
    <n v="76000"/>
    <s v="C"/>
    <d v="2024-09-12T00:00:00"/>
    <x v="1"/>
  </r>
  <r>
    <x v="994"/>
    <x v="0"/>
    <n v="44"/>
    <x v="3"/>
    <x v="12"/>
    <x v="1"/>
    <n v="13.2"/>
    <n v="8.8000000000000007"/>
    <x v="3"/>
    <n v="2"/>
    <x v="0"/>
    <n v="77000"/>
    <n v="5300"/>
    <n v="82300"/>
    <s v="C"/>
    <d v="2012-10-06T00:00:00"/>
    <x v="1"/>
  </r>
  <r>
    <x v="995"/>
    <x v="0"/>
    <n v="25"/>
    <x v="3"/>
    <x v="13"/>
    <x v="1"/>
    <n v="1"/>
    <n v="1"/>
    <x v="0"/>
    <n v="4"/>
    <x v="1"/>
    <n v="65600"/>
    <n v="4100"/>
    <n v="69700"/>
    <s v="C"/>
    <d v="2024-12-22T00:00:00"/>
    <x v="1"/>
  </r>
  <r>
    <x v="996"/>
    <x v="1"/>
    <n v="47"/>
    <x v="3"/>
    <x v="13"/>
    <x v="1"/>
    <n v="3.7"/>
    <n v="3.7"/>
    <x v="1"/>
    <n v="5"/>
    <x v="0"/>
    <n v="95600"/>
    <n v="6900"/>
    <n v="102500"/>
    <s v="D"/>
    <d v="2022-04-11T00:00:00"/>
    <x v="1"/>
  </r>
  <r>
    <x v="997"/>
    <x v="1"/>
    <n v="21"/>
    <x v="4"/>
    <x v="16"/>
    <x v="0"/>
    <n v="11.1"/>
    <n v="7.1"/>
    <x v="4"/>
    <n v="5"/>
    <x v="0"/>
    <n v="98200"/>
    <n v="7500"/>
    <n v="105700"/>
    <s v="D"/>
    <d v="2014-12-05T00:00:00"/>
    <x v="0"/>
  </r>
  <r>
    <x v="998"/>
    <x v="0"/>
    <n v="42"/>
    <x v="5"/>
    <x v="17"/>
    <x v="2"/>
    <n v="7.6"/>
    <n v="5.4"/>
    <x v="2"/>
    <n v="3"/>
    <x v="0"/>
    <n v="111900"/>
    <n v="16800"/>
    <n v="128700"/>
    <s v="E"/>
    <d v="2018-05-16T00:00:00"/>
    <x v="2"/>
  </r>
  <r>
    <x v="999"/>
    <x v="1"/>
    <n v="34"/>
    <x v="4"/>
    <x v="6"/>
    <x v="2"/>
    <n v="7.5"/>
    <n v="4.9000000000000004"/>
    <x v="2"/>
    <n v="2"/>
    <x v="0"/>
    <n v="84200"/>
    <n v="6600"/>
    <n v="90800"/>
    <s v="D"/>
    <d v="2018-06-20T00:00:00"/>
    <x v="2"/>
  </r>
  <r>
    <x v="1000"/>
    <x v="1"/>
    <n v="40"/>
    <x v="1"/>
    <x v="10"/>
    <x v="2"/>
    <n v="10"/>
    <n v="5.7"/>
    <x v="4"/>
    <n v="4"/>
    <x v="0"/>
    <n v="132300"/>
    <n v="15200"/>
    <n v="147500"/>
    <s v="E"/>
    <d v="2015-12-30T00:00:00"/>
    <x v="2"/>
  </r>
  <r>
    <x v="1001"/>
    <x v="1"/>
    <n v="40"/>
    <x v="0"/>
    <x v="1"/>
    <x v="3"/>
    <n v="6.4"/>
    <n v="2.2999999999999998"/>
    <x v="2"/>
    <n v="3"/>
    <x v="1"/>
    <n v="50200"/>
    <n v="4800"/>
    <n v="55000"/>
    <s v="B"/>
    <d v="2019-08-25T00:00:00"/>
    <x v="3"/>
  </r>
  <r>
    <x v="1002"/>
    <x v="1"/>
    <n v="38"/>
    <x v="5"/>
    <x v="17"/>
    <x v="1"/>
    <n v="7.6"/>
    <n v="3.5"/>
    <x v="2"/>
    <n v="4"/>
    <x v="0"/>
    <n v="91800"/>
    <n v="17600"/>
    <n v="109400"/>
    <s v="D"/>
    <d v="2018-05-22T00:00:00"/>
    <x v="1"/>
  </r>
  <r>
    <x v="1003"/>
    <x v="0"/>
    <n v="21"/>
    <x v="2"/>
    <x v="18"/>
    <x v="1"/>
    <n v="11.3"/>
    <n v="7.8"/>
    <x v="4"/>
    <n v="3"/>
    <x v="0"/>
    <n v="71400"/>
    <n v="5500"/>
    <n v="76900"/>
    <s v="C"/>
    <d v="2014-09-18T00:00:00"/>
    <x v="1"/>
  </r>
  <r>
    <x v="1004"/>
    <x v="0"/>
    <n v="41"/>
    <x v="4"/>
    <x v="16"/>
    <x v="1"/>
    <n v="5.9"/>
    <n v="4.2"/>
    <x v="1"/>
    <n v="3"/>
    <x v="0"/>
    <n v="97000"/>
    <n v="13300"/>
    <n v="110300"/>
    <s v="D"/>
    <d v="2020-01-29T00:00:00"/>
    <x v="1"/>
  </r>
  <r>
    <x v="1005"/>
    <x v="0"/>
    <n v="48"/>
    <x v="4"/>
    <x v="8"/>
    <x v="1"/>
    <n v="2.8"/>
    <n v="2.5"/>
    <x v="0"/>
    <n v="3"/>
    <x v="0"/>
    <n v="76200"/>
    <n v="10000"/>
    <n v="86200"/>
    <s v="C"/>
    <d v="2023-03-01T00:00:00"/>
    <x v="1"/>
  </r>
  <r>
    <x v="1006"/>
    <x v="1"/>
    <n v="29"/>
    <x v="3"/>
    <x v="13"/>
    <x v="1"/>
    <n v="1.8"/>
    <n v="0"/>
    <x v="0"/>
    <n v="3"/>
    <x v="0"/>
    <n v="84400"/>
    <n v="2600"/>
    <n v="87000"/>
    <s v="D"/>
    <d v="2024-03-05T00:00:00"/>
    <x v="1"/>
  </r>
  <r>
    <x v="1007"/>
    <x v="0"/>
    <n v="33"/>
    <x v="2"/>
    <x v="4"/>
    <x v="1"/>
    <n v="11.1"/>
    <n v="3.4"/>
    <x v="4"/>
    <n v="2"/>
    <x v="0"/>
    <n v="68900"/>
    <n v="3200"/>
    <n v="72100"/>
    <s v="C"/>
    <d v="2014-11-17T00:00:00"/>
    <x v="1"/>
  </r>
  <r>
    <x v="1008"/>
    <x v="0"/>
    <n v="28"/>
    <x v="1"/>
    <x v="10"/>
    <x v="2"/>
    <n v="13.9"/>
    <n v="10.8"/>
    <x v="3"/>
    <n v="1"/>
    <x v="0"/>
    <n v="105100"/>
    <n v="9800"/>
    <n v="114900"/>
    <s v="E"/>
    <d v="2012-02-15T00:00:00"/>
    <x v="2"/>
  </r>
  <r>
    <x v="1009"/>
    <x v="0"/>
    <n v="29"/>
    <x v="2"/>
    <x v="4"/>
    <x v="1"/>
    <n v="10.3"/>
    <n v="4.8"/>
    <x v="4"/>
    <n v="3"/>
    <x v="0"/>
    <n v="81300"/>
    <n v="6800"/>
    <n v="88100"/>
    <s v="D"/>
    <d v="2015-09-21T00:00:00"/>
    <x v="1"/>
  </r>
  <r>
    <x v="1010"/>
    <x v="0"/>
    <n v="32"/>
    <x v="3"/>
    <x v="13"/>
    <x v="2"/>
    <n v="1.8"/>
    <n v="1.1000000000000001"/>
    <x v="0"/>
    <n v="4"/>
    <x v="0"/>
    <n v="113100"/>
    <n v="9900"/>
    <n v="123000"/>
    <s v="E"/>
    <d v="2024-03-05T00:00:00"/>
    <x v="2"/>
  </r>
  <r>
    <x v="1011"/>
    <x v="1"/>
    <n v="32"/>
    <x v="2"/>
    <x v="4"/>
    <x v="1"/>
    <n v="11.7"/>
    <n v="8.1999999999999993"/>
    <x v="4"/>
    <n v="4"/>
    <x v="0"/>
    <n v="75800"/>
    <n v="6000"/>
    <n v="81800"/>
    <s v="C"/>
    <d v="2014-04-10T00:00:00"/>
    <x v="1"/>
  </r>
  <r>
    <x v="1012"/>
    <x v="1"/>
    <n v="32"/>
    <x v="4"/>
    <x v="16"/>
    <x v="2"/>
    <n v="11.3"/>
    <n v="5.8"/>
    <x v="4"/>
    <n v="3"/>
    <x v="0"/>
    <n v="106700"/>
    <n v="13100"/>
    <n v="119800"/>
    <s v="E"/>
    <d v="2014-08-31T00:00:00"/>
    <x v="2"/>
  </r>
  <r>
    <x v="1013"/>
    <x v="1"/>
    <n v="37"/>
    <x v="4"/>
    <x v="14"/>
    <x v="1"/>
    <n v="13.4"/>
    <n v="7"/>
    <x v="3"/>
    <n v="3"/>
    <x v="0"/>
    <n v="116700"/>
    <n v="6400"/>
    <n v="123100"/>
    <s v="E"/>
    <d v="2012-08-21T00:00:00"/>
    <x v="1"/>
  </r>
  <r>
    <x v="1014"/>
    <x v="1"/>
    <n v="39"/>
    <x v="0"/>
    <x v="0"/>
    <x v="2"/>
    <n v="12.3"/>
    <n v="10.8"/>
    <x v="3"/>
    <n v="5"/>
    <x v="2"/>
    <n v="91700"/>
    <n v="11300"/>
    <n v="103000"/>
    <s v="D"/>
    <d v="2013-09-04T00:00:00"/>
    <x v="2"/>
  </r>
  <r>
    <x v="1015"/>
    <x v="1"/>
    <n v="30"/>
    <x v="5"/>
    <x v="15"/>
    <x v="1"/>
    <n v="6.9"/>
    <n v="5.8"/>
    <x v="2"/>
    <n v="4"/>
    <x v="0"/>
    <n v="63200"/>
    <n v="8500"/>
    <n v="71700"/>
    <s v="B"/>
    <d v="2019-02-16T00:00:00"/>
    <x v="1"/>
  </r>
  <r>
    <x v="1016"/>
    <x v="0"/>
    <n v="24"/>
    <x v="2"/>
    <x v="4"/>
    <x v="0"/>
    <n v="11.9"/>
    <n v="7.3"/>
    <x v="4"/>
    <n v="3"/>
    <x v="0"/>
    <n v="68700"/>
    <n v="2600"/>
    <n v="71300"/>
    <s v="C"/>
    <d v="2014-02-19T00:00:00"/>
    <x v="0"/>
  </r>
  <r>
    <x v="1017"/>
    <x v="0"/>
    <n v="53"/>
    <x v="4"/>
    <x v="6"/>
    <x v="1"/>
    <n v="10.9"/>
    <n v="8"/>
    <x v="4"/>
    <n v="3"/>
    <x v="0"/>
    <n v="99200"/>
    <n v="11000"/>
    <n v="110200"/>
    <s v="D"/>
    <d v="2015-01-27T00:00:00"/>
    <x v="1"/>
  </r>
  <r>
    <x v="1018"/>
    <x v="1"/>
    <n v="45"/>
    <x v="3"/>
    <x v="5"/>
    <x v="1"/>
    <n v="2.6"/>
    <n v="1.1000000000000001"/>
    <x v="0"/>
    <n v="4"/>
    <x v="0"/>
    <n v="79500"/>
    <n v="3800"/>
    <n v="83300"/>
    <s v="C"/>
    <d v="2023-05-10T00:00:00"/>
    <x v="1"/>
  </r>
  <r>
    <x v="1019"/>
    <x v="1"/>
    <n v="58"/>
    <x v="0"/>
    <x v="2"/>
    <x v="2"/>
    <n v="12.6"/>
    <n v="8.4"/>
    <x v="3"/>
    <n v="3"/>
    <x v="0"/>
    <n v="87500"/>
    <n v="6100"/>
    <n v="93600"/>
    <s v="D"/>
    <d v="2013-06-11T00:00:00"/>
    <x v="2"/>
  </r>
  <r>
    <x v="1020"/>
    <x v="1"/>
    <n v="46"/>
    <x v="4"/>
    <x v="16"/>
    <x v="1"/>
    <n v="13.5"/>
    <n v="8.1"/>
    <x v="3"/>
    <n v="2"/>
    <x v="0"/>
    <n v="105500"/>
    <n v="12800"/>
    <n v="118300"/>
    <s v="E"/>
    <d v="2012-07-03T00:00:00"/>
    <x v="1"/>
  </r>
  <r>
    <x v="1021"/>
    <x v="0"/>
    <n v="21"/>
    <x v="2"/>
    <x v="4"/>
    <x v="1"/>
    <n v="11.7"/>
    <n v="9.1"/>
    <x v="4"/>
    <n v="4"/>
    <x v="0"/>
    <n v="85500"/>
    <n v="3300"/>
    <n v="88800"/>
    <s v="D"/>
    <d v="2014-04-03T00:00:00"/>
    <x v="1"/>
  </r>
  <r>
    <x v="1022"/>
    <x v="0"/>
    <n v="41"/>
    <x v="2"/>
    <x v="11"/>
    <x v="2"/>
    <n v="13.9"/>
    <n v="8.1999999999999993"/>
    <x v="3"/>
    <n v="3"/>
    <x v="0"/>
    <n v="120200"/>
    <n v="9000"/>
    <n v="129200"/>
    <s v="E"/>
    <d v="2012-02-14T00:00:00"/>
    <x v="2"/>
  </r>
  <r>
    <x v="1023"/>
    <x v="0"/>
    <n v="37"/>
    <x v="2"/>
    <x v="11"/>
    <x v="0"/>
    <n v="5.0999999999999996"/>
    <n v="3.1"/>
    <x v="1"/>
    <n v="4"/>
    <x v="0"/>
    <n v="98300"/>
    <n v="4000"/>
    <n v="102300"/>
    <s v="D"/>
    <d v="2020-11-21T00:00:00"/>
    <x v="0"/>
  </r>
  <r>
    <x v="1024"/>
    <x v="1"/>
    <n v="36"/>
    <x v="4"/>
    <x v="16"/>
    <x v="0"/>
    <n v="7.3"/>
    <n v="2.2999999999999998"/>
    <x v="2"/>
    <n v="4"/>
    <x v="1"/>
    <n v="60100"/>
    <n v="6600"/>
    <n v="66700"/>
    <s v="B"/>
    <d v="2018-10-01T00:00:00"/>
    <x v="0"/>
  </r>
  <r>
    <x v="1025"/>
    <x v="0"/>
    <n v="29"/>
    <x v="1"/>
    <x v="7"/>
    <x v="1"/>
    <n v="7.8"/>
    <n v="5.7"/>
    <x v="2"/>
    <n v="3"/>
    <x v="0"/>
    <n v="77200"/>
    <n v="7900"/>
    <n v="85100"/>
    <s v="C"/>
    <d v="2018-03-08T00:00:00"/>
    <x v="1"/>
  </r>
  <r>
    <x v="1026"/>
    <x v="0"/>
    <n v="48"/>
    <x v="0"/>
    <x v="1"/>
    <x v="2"/>
    <n v="10.199999999999999"/>
    <n v="7"/>
    <x v="4"/>
    <n v="3"/>
    <x v="0"/>
    <n v="87100"/>
    <n v="9200"/>
    <n v="96300"/>
    <s v="D"/>
    <d v="2015-10-16T00:00:00"/>
    <x v="2"/>
  </r>
  <r>
    <x v="1027"/>
    <x v="1"/>
    <n v="28"/>
    <x v="4"/>
    <x v="6"/>
    <x v="2"/>
    <n v="9.9"/>
    <n v="6.4"/>
    <x v="4"/>
    <n v="4"/>
    <x v="0"/>
    <n v="95600"/>
    <n v="7700"/>
    <n v="103300"/>
    <s v="D"/>
    <d v="2016-01-22T00:00:00"/>
    <x v="2"/>
  </r>
  <r>
    <x v="1028"/>
    <x v="0"/>
    <n v="42"/>
    <x v="4"/>
    <x v="6"/>
    <x v="1"/>
    <n v="3.9"/>
    <n v="3.4"/>
    <x v="1"/>
    <n v="5"/>
    <x v="0"/>
    <n v="81600"/>
    <n v="12200"/>
    <n v="93800"/>
    <s v="D"/>
    <d v="2022-02-13T00:00:00"/>
    <x v="1"/>
  </r>
  <r>
    <x v="1029"/>
    <x v="1"/>
    <n v="37"/>
    <x v="1"/>
    <x v="7"/>
    <x v="1"/>
    <n v="1.9"/>
    <n v="0.8"/>
    <x v="0"/>
    <n v="3"/>
    <x v="2"/>
    <n v="61200"/>
    <n v="4400"/>
    <n v="65600"/>
    <s v="B"/>
    <d v="2024-01-28T00:00:00"/>
    <x v="1"/>
  </r>
  <r>
    <x v="1030"/>
    <x v="1"/>
    <n v="29"/>
    <x v="5"/>
    <x v="9"/>
    <x v="1"/>
    <n v="7.6"/>
    <n v="4.3"/>
    <x v="2"/>
    <n v="5"/>
    <x v="2"/>
    <n v="91500"/>
    <n v="7100"/>
    <n v="98600"/>
    <s v="D"/>
    <d v="2018-06-14T00:00:00"/>
    <x v="1"/>
  </r>
  <r>
    <x v="1031"/>
    <x v="1"/>
    <n v="45"/>
    <x v="2"/>
    <x v="4"/>
    <x v="2"/>
    <n v="8"/>
    <n v="6.8"/>
    <x v="2"/>
    <n v="4"/>
    <x v="0"/>
    <n v="87500"/>
    <n v="3300"/>
    <n v="90800"/>
    <s v="D"/>
    <d v="2017-12-21T00:00:00"/>
    <x v="2"/>
  </r>
  <r>
    <x v="1032"/>
    <x v="0"/>
    <n v="38"/>
    <x v="4"/>
    <x v="14"/>
    <x v="1"/>
    <n v="7.1"/>
    <n v="4.9000000000000004"/>
    <x v="2"/>
    <n v="4"/>
    <x v="0"/>
    <n v="111700"/>
    <n v="15400"/>
    <n v="127100"/>
    <s v="E"/>
    <d v="2018-11-18T00:00:00"/>
    <x v="1"/>
  </r>
  <r>
    <x v="1033"/>
    <x v="0"/>
    <n v="34"/>
    <x v="3"/>
    <x v="12"/>
    <x v="1"/>
    <n v="4.5999999999999996"/>
    <n v="4.4000000000000004"/>
    <x v="1"/>
    <n v="3"/>
    <x v="1"/>
    <n v="39400"/>
    <n v="3000"/>
    <n v="42400"/>
    <s v="A"/>
    <d v="2021-06-06T00:00:00"/>
    <x v="1"/>
  </r>
  <r>
    <x v="1034"/>
    <x v="0"/>
    <n v="30"/>
    <x v="0"/>
    <x v="2"/>
    <x v="2"/>
    <n v="10.3"/>
    <n v="5.6"/>
    <x v="4"/>
    <n v="3"/>
    <x v="0"/>
    <n v="74100"/>
    <n v="4200"/>
    <n v="78300"/>
    <s v="C"/>
    <d v="2015-09-09T00:00:00"/>
    <x v="2"/>
  </r>
  <r>
    <x v="1035"/>
    <x v="1"/>
    <n v="35"/>
    <x v="0"/>
    <x v="0"/>
    <x v="0"/>
    <n v="2.8"/>
    <n v="2.4"/>
    <x v="0"/>
    <n v="4"/>
    <x v="0"/>
    <n v="84600"/>
    <n v="5900"/>
    <n v="90500"/>
    <s v="D"/>
    <d v="2023-03-21T00:00:00"/>
    <x v="0"/>
  </r>
  <r>
    <x v="1036"/>
    <x v="0"/>
    <n v="21"/>
    <x v="0"/>
    <x v="2"/>
    <x v="2"/>
    <n v="3.3"/>
    <n v="1.1000000000000001"/>
    <x v="1"/>
    <m/>
    <x v="0"/>
    <n v="72800"/>
    <n v="4400"/>
    <n v="77200"/>
    <s v="C"/>
    <d v="2022-08-29T00:00:00"/>
    <x v="2"/>
  </r>
  <r>
    <x v="1037"/>
    <x v="1"/>
    <n v="35"/>
    <x v="0"/>
    <x v="0"/>
    <x v="1"/>
    <n v="8.3000000000000007"/>
    <n v="6.2"/>
    <x v="2"/>
    <n v="3"/>
    <x v="0"/>
    <n v="99100"/>
    <n v="12100"/>
    <n v="111200"/>
    <s v="D"/>
    <d v="2017-09-10T00:00:00"/>
    <x v="1"/>
  </r>
  <r>
    <x v="1038"/>
    <x v="1"/>
    <n v="37"/>
    <x v="1"/>
    <x v="3"/>
    <x v="2"/>
    <n v="10.1"/>
    <n v="6.5"/>
    <x v="4"/>
    <n v="2"/>
    <x v="1"/>
    <n v="46700"/>
    <n v="3600"/>
    <n v="50300"/>
    <s v="A"/>
    <d v="2015-11-21T00:00:00"/>
    <x v="2"/>
  </r>
  <r>
    <x v="1039"/>
    <x v="0"/>
    <n v="23"/>
    <x v="2"/>
    <x v="4"/>
    <x v="1"/>
    <n v="4.3"/>
    <n v="0.9"/>
    <x v="1"/>
    <n v="3"/>
    <x v="0"/>
    <n v="69300"/>
    <n v="6900"/>
    <n v="76200"/>
    <s v="C"/>
    <d v="2021-08-31T00:00:00"/>
    <x v="1"/>
  </r>
  <r>
    <x v="1040"/>
    <x v="0"/>
    <n v="42"/>
    <x v="4"/>
    <x v="16"/>
    <x v="1"/>
    <n v="13.9"/>
    <n v="8.8000000000000007"/>
    <x v="3"/>
    <n v="4"/>
    <x v="0"/>
    <n v="97800"/>
    <n v="5000"/>
    <n v="102800"/>
    <s v="D"/>
    <d v="2012-02-11T00:00:00"/>
    <x v="1"/>
  </r>
  <r>
    <x v="1041"/>
    <x v="0"/>
    <n v="37"/>
    <x v="3"/>
    <x v="13"/>
    <x v="1"/>
    <n v="3.5"/>
    <n v="1.8"/>
    <x v="1"/>
    <n v="3"/>
    <x v="1"/>
    <n v="54200"/>
    <n v="3300"/>
    <n v="57500"/>
    <s v="B"/>
    <d v="2022-07-08T00:00:00"/>
    <x v="1"/>
  </r>
  <r>
    <x v="1042"/>
    <x v="1"/>
    <n v="27"/>
    <x v="5"/>
    <x v="17"/>
    <x v="2"/>
    <n v="3.1"/>
    <n v="1.3"/>
    <x v="1"/>
    <n v="3"/>
    <x v="0"/>
    <n v="87800"/>
    <n v="7600"/>
    <n v="95400"/>
    <s v="D"/>
    <d v="2022-11-13T00:00:00"/>
    <x v="2"/>
  </r>
  <r>
    <x v="1043"/>
    <x v="0"/>
    <n v="21"/>
    <x v="0"/>
    <x v="1"/>
    <x v="2"/>
    <n v="9.8000000000000007"/>
    <n v="6.9"/>
    <x v="4"/>
    <n v="4"/>
    <x v="0"/>
    <n v="85600"/>
    <n v="10000"/>
    <n v="95600"/>
    <s v="D"/>
    <d v="2016-03-15T00:00:00"/>
    <x v="2"/>
  </r>
  <r>
    <x v="1044"/>
    <x v="1"/>
    <n v="46"/>
    <x v="4"/>
    <x v="16"/>
    <x v="2"/>
    <n v="12.4"/>
    <n v="9.4"/>
    <x v="3"/>
    <n v="3"/>
    <x v="1"/>
    <n v="62900"/>
    <n v="6800"/>
    <n v="69700"/>
    <s v="B"/>
    <d v="2013-07-22T00:00:00"/>
    <x v="2"/>
  </r>
  <r>
    <x v="1045"/>
    <x v="0"/>
    <n v="33"/>
    <x v="0"/>
    <x v="1"/>
    <x v="1"/>
    <n v="11.5"/>
    <n v="6.7"/>
    <x v="4"/>
    <n v="3"/>
    <x v="0"/>
    <n v="89500"/>
    <n v="11700"/>
    <n v="101200"/>
    <s v="D"/>
    <d v="2014-06-19T00:00:00"/>
    <x v="1"/>
  </r>
  <r>
    <x v="1046"/>
    <x v="1"/>
    <n v="43"/>
    <x v="3"/>
    <x v="12"/>
    <x v="3"/>
    <n v="12.1"/>
    <n v="9.4"/>
    <x v="3"/>
    <n v="3"/>
    <x v="0"/>
    <n v="78700"/>
    <n v="5500"/>
    <n v="84200"/>
    <s v="C"/>
    <d v="2013-11-12T00:00:00"/>
    <x v="3"/>
  </r>
  <r>
    <x v="1047"/>
    <x v="0"/>
    <n v="21"/>
    <x v="4"/>
    <x v="14"/>
    <x v="0"/>
    <n v="3.5"/>
    <n v="1.6"/>
    <x v="1"/>
    <n v="5"/>
    <x v="0"/>
    <n v="98000"/>
    <n v="6600"/>
    <n v="104600"/>
    <s v="D"/>
    <d v="2022-06-19T00:00:00"/>
    <x v="0"/>
  </r>
  <r>
    <x v="1048"/>
    <x v="0"/>
    <n v="35"/>
    <x v="2"/>
    <x v="4"/>
    <x v="3"/>
    <n v="3.9"/>
    <n v="2.1"/>
    <x v="1"/>
    <n v="4"/>
    <x v="1"/>
    <n v="52500"/>
    <n v="4200"/>
    <n v="56700"/>
    <s v="B"/>
    <d v="2022-01-30T00:00:00"/>
    <x v="3"/>
  </r>
  <r>
    <x v="1049"/>
    <x v="0"/>
    <n v="35"/>
    <x v="4"/>
    <x v="6"/>
    <x v="1"/>
    <n v="4.4000000000000004"/>
    <n v="2.7"/>
    <x v="1"/>
    <n v="3"/>
    <x v="0"/>
    <n v="68100"/>
    <n v="10000"/>
    <n v="78100"/>
    <s v="C"/>
    <d v="2021-08-26T00:00:00"/>
    <x v="1"/>
  </r>
  <r>
    <x v="1050"/>
    <x v="1"/>
    <n v="35"/>
    <x v="0"/>
    <x v="2"/>
    <x v="2"/>
    <n v="2.9"/>
    <n v="0"/>
    <x v="0"/>
    <n v="2"/>
    <x v="0"/>
    <n v="72900"/>
    <n v="4500"/>
    <n v="77400"/>
    <s v="C"/>
    <d v="2023-02-03T00:00:00"/>
    <x v="2"/>
  </r>
  <r>
    <x v="1051"/>
    <x v="1"/>
    <n v="40"/>
    <x v="5"/>
    <x v="17"/>
    <x v="2"/>
    <n v="6.5"/>
    <n v="4.4000000000000004"/>
    <x v="2"/>
    <n v="3"/>
    <x v="0"/>
    <n v="98100"/>
    <n v="20000"/>
    <n v="118100"/>
    <s v="D"/>
    <d v="2019-07-03T00:00:00"/>
    <x v="2"/>
  </r>
  <r>
    <x v="1052"/>
    <x v="1"/>
    <n v="40"/>
    <x v="5"/>
    <x v="15"/>
    <x v="1"/>
    <n v="5.6"/>
    <n v="2.7"/>
    <x v="1"/>
    <n v="2"/>
    <x v="0"/>
    <n v="55100"/>
    <n v="10800"/>
    <n v="65900"/>
    <s v="B"/>
    <d v="2020-05-14T00:00:00"/>
    <x v="1"/>
  </r>
  <r>
    <x v="1053"/>
    <x v="1"/>
    <n v="38"/>
    <x v="1"/>
    <x v="10"/>
    <x v="3"/>
    <n v="7"/>
    <n v="4.5999999999999996"/>
    <x v="2"/>
    <n v="4"/>
    <x v="0"/>
    <n v="116400"/>
    <n v="11400"/>
    <n v="127800"/>
    <s v="E"/>
    <d v="2018-12-14T00:00:00"/>
    <x v="3"/>
  </r>
  <r>
    <x v="1054"/>
    <x v="0"/>
    <n v="30"/>
    <x v="3"/>
    <x v="13"/>
    <x v="0"/>
    <n v="9.9"/>
    <n v="7.4"/>
    <x v="4"/>
    <n v="3"/>
    <x v="0"/>
    <n v="95500"/>
    <n v="3400"/>
    <n v="98900"/>
    <s v="D"/>
    <d v="2016-02-06T00:00:00"/>
    <x v="0"/>
  </r>
  <r>
    <x v="1055"/>
    <x v="1"/>
    <n v="34"/>
    <x v="0"/>
    <x v="2"/>
    <x v="1"/>
    <n v="14"/>
    <n v="11.2"/>
    <x v="3"/>
    <n v="3"/>
    <x v="0"/>
    <n v="55200"/>
    <n v="3100"/>
    <n v="58300"/>
    <s v="B"/>
    <d v="2012-01-18T00:00:00"/>
    <x v="1"/>
  </r>
  <r>
    <x v="1056"/>
    <x v="1"/>
    <n v="31"/>
    <x v="1"/>
    <x v="3"/>
    <x v="1"/>
    <n v="3.7"/>
    <n v="3.7"/>
    <x v="1"/>
    <n v="3"/>
    <x v="0"/>
    <n v="81100"/>
    <n v="7700"/>
    <n v="88800"/>
    <s v="D"/>
    <d v="2022-04-20T00:00:00"/>
    <x v="1"/>
  </r>
  <r>
    <x v="1057"/>
    <x v="1"/>
    <n v="26"/>
    <x v="0"/>
    <x v="2"/>
    <x v="2"/>
    <n v="7.4"/>
    <n v="3.8"/>
    <x v="2"/>
    <n v="3"/>
    <x v="0"/>
    <n v="75000"/>
    <n v="5100"/>
    <n v="80100"/>
    <s v="C"/>
    <d v="2018-08-05T00:00:00"/>
    <x v="2"/>
  </r>
  <r>
    <x v="1058"/>
    <x v="0"/>
    <n v="39"/>
    <x v="3"/>
    <x v="5"/>
    <x v="2"/>
    <n v="11.8"/>
    <n v="9.3000000000000007"/>
    <x v="4"/>
    <n v="4"/>
    <x v="0"/>
    <n v="92400"/>
    <n v="4800"/>
    <n v="97200"/>
    <s v="D"/>
    <d v="2014-03-23T00:00:00"/>
    <x v="2"/>
  </r>
  <r>
    <x v="1059"/>
    <x v="1"/>
    <n v="33"/>
    <x v="3"/>
    <x v="13"/>
    <x v="2"/>
    <n v="1.4"/>
    <n v="1.4"/>
    <x v="0"/>
    <n v="4"/>
    <x v="0"/>
    <n v="103500"/>
    <n v="5100"/>
    <n v="108600"/>
    <s v="E"/>
    <d v="2024-08-03T00:00:00"/>
    <x v="2"/>
  </r>
  <r>
    <x v="1060"/>
    <x v="0"/>
    <n v="27"/>
    <x v="2"/>
    <x v="4"/>
    <x v="1"/>
    <n v="11.2"/>
    <n v="5"/>
    <x v="4"/>
    <n v="4"/>
    <x v="1"/>
    <n v="57400"/>
    <n v="4000"/>
    <n v="61400"/>
    <s v="B"/>
    <d v="2014-10-05T00:00:00"/>
    <x v="1"/>
  </r>
  <r>
    <x v="1061"/>
    <x v="0"/>
    <n v="37"/>
    <x v="1"/>
    <x v="10"/>
    <x v="2"/>
    <n v="11"/>
    <n v="7.7"/>
    <x v="4"/>
    <n v="4"/>
    <x v="0"/>
    <n v="117200"/>
    <n v="10800"/>
    <n v="128000"/>
    <s v="E"/>
    <d v="2014-12-19T00:00:00"/>
    <x v="2"/>
  </r>
  <r>
    <x v="1062"/>
    <x v="0"/>
    <n v="26"/>
    <x v="4"/>
    <x v="14"/>
    <x v="1"/>
    <n v="2.4"/>
    <n v="1.6"/>
    <x v="0"/>
    <n v="5"/>
    <x v="0"/>
    <n v="114000"/>
    <n v="14400"/>
    <n v="128400"/>
    <s v="E"/>
    <d v="2023-08-07T00:00:00"/>
    <x v="1"/>
  </r>
  <r>
    <x v="1063"/>
    <x v="1"/>
    <n v="28"/>
    <x v="5"/>
    <x v="15"/>
    <x v="1"/>
    <n v="6.8"/>
    <n v="6.8"/>
    <x v="2"/>
    <n v="4"/>
    <x v="0"/>
    <n v="50200"/>
    <n v="8000"/>
    <n v="58200"/>
    <s v="B"/>
    <d v="2019-03-25T00:00:00"/>
    <x v="1"/>
  </r>
  <r>
    <x v="1064"/>
    <x v="1"/>
    <n v="37"/>
    <x v="5"/>
    <x v="9"/>
    <x v="1"/>
    <n v="4.3"/>
    <n v="0.6"/>
    <x v="1"/>
    <n v="4"/>
    <x v="0"/>
    <n v="101300"/>
    <n v="7200"/>
    <n v="108500"/>
    <s v="E"/>
    <d v="2021-09-18T00:00:00"/>
    <x v="1"/>
  </r>
  <r>
    <x v="1065"/>
    <x v="0"/>
    <n v="30"/>
    <x v="4"/>
    <x v="6"/>
    <x v="1"/>
    <n v="5.2"/>
    <n v="1.1000000000000001"/>
    <x v="1"/>
    <n v="3"/>
    <x v="0"/>
    <n v="82800"/>
    <n v="11300"/>
    <n v="94100"/>
    <s v="D"/>
    <d v="2020-10-03T00:00:00"/>
    <x v="1"/>
  </r>
  <r>
    <x v="1066"/>
    <x v="0"/>
    <n v="35"/>
    <x v="1"/>
    <x v="3"/>
    <x v="1"/>
    <n v="8"/>
    <n v="6.3"/>
    <x v="2"/>
    <n v="4"/>
    <x v="0"/>
    <n v="63900"/>
    <n v="4000"/>
    <n v="67900"/>
    <s v="B"/>
    <d v="2018-01-19T00:00:00"/>
    <x v="1"/>
  </r>
  <r>
    <x v="1067"/>
    <x v="1"/>
    <n v="39"/>
    <x v="2"/>
    <x v="18"/>
    <x v="2"/>
    <n v="12.9"/>
    <n v="8"/>
    <x v="3"/>
    <n v="3"/>
    <x v="0"/>
    <n v="85800"/>
    <n v="3600"/>
    <n v="89400"/>
    <s v="D"/>
    <d v="2013-02-17T00:00:00"/>
    <x v="2"/>
  </r>
  <r>
    <x v="1068"/>
    <x v="1"/>
    <n v="44"/>
    <x v="2"/>
    <x v="11"/>
    <x v="1"/>
    <n v="12.9"/>
    <n v="8.8000000000000007"/>
    <x v="3"/>
    <n v="3"/>
    <x v="0"/>
    <n v="105700"/>
    <n v="8000"/>
    <n v="113700"/>
    <s v="E"/>
    <d v="2013-01-30T00:00:00"/>
    <x v="1"/>
  </r>
  <r>
    <x v="1069"/>
    <x v="0"/>
    <n v="33"/>
    <x v="3"/>
    <x v="5"/>
    <x v="0"/>
    <n v="6.3"/>
    <n v="3.6"/>
    <x v="2"/>
    <n v="3"/>
    <x v="0"/>
    <n v="74400"/>
    <n v="3100"/>
    <n v="77500"/>
    <s v="C"/>
    <d v="2019-09-14T00:00:00"/>
    <x v="0"/>
  </r>
  <r>
    <x v="1070"/>
    <x v="0"/>
    <n v="46"/>
    <x v="2"/>
    <x v="11"/>
    <x v="1"/>
    <n v="10"/>
    <n v="5.4"/>
    <x v="4"/>
    <n v="4"/>
    <x v="0"/>
    <n v="120900"/>
    <n v="8600"/>
    <n v="129500"/>
    <s v="E"/>
    <d v="2016-01-05T00:00:00"/>
    <x v="1"/>
  </r>
  <r>
    <x v="1071"/>
    <x v="0"/>
    <n v="34"/>
    <x v="0"/>
    <x v="0"/>
    <x v="3"/>
    <n v="2.7"/>
    <n v="2.7"/>
    <x v="0"/>
    <n v="2"/>
    <x v="0"/>
    <n v="101300"/>
    <n v="12900"/>
    <n v="114200"/>
    <s v="E"/>
    <d v="2023-05-06T00:00:00"/>
    <x v="3"/>
  </r>
  <r>
    <x v="1072"/>
    <x v="1"/>
    <n v="45"/>
    <x v="5"/>
    <x v="9"/>
    <x v="2"/>
    <n v="7.9"/>
    <n v="5.0999999999999996"/>
    <x v="2"/>
    <n v="4"/>
    <x v="0"/>
    <n v="116600"/>
    <n v="17400"/>
    <n v="134000"/>
    <s v="E"/>
    <d v="2018-02-07T00:00:00"/>
    <x v="2"/>
  </r>
  <r>
    <x v="1073"/>
    <x v="0"/>
    <n v="41"/>
    <x v="2"/>
    <x v="4"/>
    <x v="0"/>
    <n v="12.5"/>
    <n v="10.7"/>
    <x v="3"/>
    <n v="5"/>
    <x v="0"/>
    <n v="91900"/>
    <n v="3700"/>
    <n v="95600"/>
    <s v="D"/>
    <d v="2013-07-05T00:00:00"/>
    <x v="0"/>
  </r>
  <r>
    <x v="1074"/>
    <x v="0"/>
    <n v="33"/>
    <x v="0"/>
    <x v="1"/>
    <x v="2"/>
    <n v="5.2"/>
    <n v="2.2000000000000002"/>
    <x v="1"/>
    <n v="3"/>
    <x v="0"/>
    <n v="78000"/>
    <n v="6600"/>
    <n v="84600"/>
    <s v="C"/>
    <d v="2020-11-03T00:00:00"/>
    <x v="2"/>
  </r>
  <r>
    <x v="1075"/>
    <x v="1"/>
    <n v="29"/>
    <x v="3"/>
    <x v="12"/>
    <x v="1"/>
    <n v="5.7"/>
    <n v="4.2"/>
    <x v="1"/>
    <n v="3"/>
    <x v="2"/>
    <n v="52000"/>
    <n v="1700"/>
    <n v="53700"/>
    <s v="B"/>
    <d v="2020-04-25T00:00:00"/>
    <x v="1"/>
  </r>
  <r>
    <x v="1076"/>
    <x v="1"/>
    <n v="43"/>
    <x v="5"/>
    <x v="17"/>
    <x v="1"/>
    <n v="13.8"/>
    <n v="5.9"/>
    <x v="3"/>
    <n v="4"/>
    <x v="0"/>
    <n v="115000"/>
    <n v="9300"/>
    <n v="124300"/>
    <s v="E"/>
    <d v="2012-02-28T00:00:00"/>
    <x v="1"/>
  </r>
  <r>
    <x v="1077"/>
    <x v="0"/>
    <n v="30"/>
    <x v="1"/>
    <x v="3"/>
    <x v="1"/>
    <n v="7.9"/>
    <n v="4.9000000000000004"/>
    <x v="2"/>
    <n v="3"/>
    <x v="2"/>
    <n v="61300"/>
    <n v="5300"/>
    <n v="66600"/>
    <s v="B"/>
    <d v="2018-02-17T00:00:00"/>
    <x v="1"/>
  </r>
  <r>
    <x v="1078"/>
    <x v="0"/>
    <n v="40"/>
    <x v="2"/>
    <x v="4"/>
    <x v="0"/>
    <n v="2.2000000000000002"/>
    <n v="1.1000000000000001"/>
    <x v="0"/>
    <n v="3"/>
    <x v="0"/>
    <n v="76000"/>
    <n v="6400"/>
    <n v="82400"/>
    <s v="C"/>
    <d v="2023-10-14T00:00:00"/>
    <x v="0"/>
  </r>
  <r>
    <x v="1079"/>
    <x v="0"/>
    <n v="36"/>
    <x v="5"/>
    <x v="9"/>
    <x v="2"/>
    <n v="11.4"/>
    <n v="8.9"/>
    <x v="4"/>
    <n v="3"/>
    <x v="0"/>
    <n v="120100"/>
    <n v="8700"/>
    <n v="128800"/>
    <s v="E"/>
    <d v="2014-07-22T00:00:00"/>
    <x v="2"/>
  </r>
  <r>
    <x v="1080"/>
    <x v="1"/>
    <n v="39"/>
    <x v="5"/>
    <x v="9"/>
    <x v="0"/>
    <n v="12.8"/>
    <n v="8.9"/>
    <x v="3"/>
    <n v="3"/>
    <x v="0"/>
    <n v="100200"/>
    <n v="14800"/>
    <n v="115000"/>
    <s v="E"/>
    <d v="2013-03-06T00:00:00"/>
    <x v="0"/>
  </r>
  <r>
    <x v="1081"/>
    <x v="1"/>
    <n v="21"/>
    <x v="0"/>
    <x v="1"/>
    <x v="1"/>
    <n v="4"/>
    <n v="4"/>
    <x v="1"/>
    <n v="3"/>
    <x v="0"/>
    <n v="71400"/>
    <n v="5900"/>
    <n v="77300"/>
    <s v="C"/>
    <d v="2022-01-14T00:00:00"/>
    <x v="1"/>
  </r>
  <r>
    <x v="1082"/>
    <x v="1"/>
    <n v="24"/>
    <x v="1"/>
    <x v="7"/>
    <x v="0"/>
    <n v="7.8"/>
    <n v="4.4000000000000004"/>
    <x v="2"/>
    <n v="3"/>
    <x v="0"/>
    <n v="63500"/>
    <n v="4000"/>
    <n v="67500"/>
    <s v="B"/>
    <d v="2018-03-05T00:00:00"/>
    <x v="0"/>
  </r>
  <r>
    <x v="1083"/>
    <x v="1"/>
    <n v="33"/>
    <x v="0"/>
    <x v="0"/>
    <x v="2"/>
    <n v="3.9"/>
    <n v="3.4"/>
    <x v="1"/>
    <n v="3"/>
    <x v="0"/>
    <n v="109900"/>
    <n v="13600"/>
    <n v="123500"/>
    <s v="E"/>
    <d v="2022-01-21T00:00:00"/>
    <x v="2"/>
  </r>
  <r>
    <x v="1084"/>
    <x v="1"/>
    <n v="25"/>
    <x v="0"/>
    <x v="2"/>
    <x v="2"/>
    <n v="8.1"/>
    <n v="4"/>
    <x v="2"/>
    <n v="3"/>
    <x v="0"/>
    <n v="79400"/>
    <n v="4500"/>
    <n v="83900"/>
    <s v="C"/>
    <d v="2017-11-19T00:00:00"/>
    <x v="2"/>
  </r>
  <r>
    <x v="1085"/>
    <x v="1"/>
    <n v="45"/>
    <x v="0"/>
    <x v="1"/>
    <x v="2"/>
    <n v="7.7"/>
    <n v="3.3"/>
    <x v="2"/>
    <n v="3"/>
    <x v="0"/>
    <n v="78300"/>
    <n v="7300"/>
    <n v="85600"/>
    <s v="C"/>
    <d v="2018-04-28T00:00:00"/>
    <x v="2"/>
  </r>
  <r>
    <x v="1086"/>
    <x v="0"/>
    <n v="44"/>
    <x v="4"/>
    <x v="8"/>
    <x v="1"/>
    <n v="5.6"/>
    <n v="5"/>
    <x v="1"/>
    <n v="5"/>
    <x v="0"/>
    <n v="86400"/>
    <n v="9600"/>
    <n v="96000"/>
    <s v="D"/>
    <d v="2020-05-15T00:00:00"/>
    <x v="1"/>
  </r>
  <r>
    <x v="1087"/>
    <x v="0"/>
    <n v="37"/>
    <x v="1"/>
    <x v="7"/>
    <x v="2"/>
    <n v="10.5"/>
    <n v="6"/>
    <x v="4"/>
    <n v="3"/>
    <x v="0"/>
    <n v="90800"/>
    <n v="10600"/>
    <n v="101400"/>
    <s v="D"/>
    <d v="2015-07-15T00:00:00"/>
    <x v="2"/>
  </r>
  <r>
    <x v="1088"/>
    <x v="0"/>
    <n v="37"/>
    <x v="4"/>
    <x v="16"/>
    <x v="1"/>
    <n v="5.2"/>
    <n v="1.3"/>
    <x v="1"/>
    <n v="3"/>
    <x v="0"/>
    <n v="94600"/>
    <n v="7800"/>
    <n v="102400"/>
    <s v="D"/>
    <d v="2020-10-23T00:00:00"/>
    <x v="1"/>
  </r>
  <r>
    <x v="1089"/>
    <x v="1"/>
    <n v="33"/>
    <x v="0"/>
    <x v="1"/>
    <x v="1"/>
    <n v="7.4"/>
    <n v="6.6"/>
    <x v="2"/>
    <n v="4"/>
    <x v="0"/>
    <n v="89600"/>
    <n v="4700"/>
    <n v="94300"/>
    <s v="D"/>
    <d v="2018-08-26T00:00:00"/>
    <x v="1"/>
  </r>
  <r>
    <x v="1090"/>
    <x v="1"/>
    <n v="48"/>
    <x v="4"/>
    <x v="16"/>
    <x v="2"/>
    <n v="1.3"/>
    <n v="1.3"/>
    <x v="0"/>
    <n v="4"/>
    <x v="0"/>
    <n v="90600"/>
    <n v="5600"/>
    <n v="96200"/>
    <s v="D"/>
    <d v="2024-09-25T00:00:00"/>
    <x v="2"/>
  </r>
  <r>
    <x v="1091"/>
    <x v="0"/>
    <n v="31"/>
    <x v="0"/>
    <x v="0"/>
    <x v="3"/>
    <n v="13.3"/>
    <n v="10.9"/>
    <x v="3"/>
    <n v="2"/>
    <x v="0"/>
    <n v="111400"/>
    <n v="12600"/>
    <n v="124000"/>
    <s v="E"/>
    <d v="2012-09-27T00:00:00"/>
    <x v="3"/>
  </r>
  <r>
    <x v="1092"/>
    <x v="1"/>
    <n v="35"/>
    <x v="5"/>
    <x v="15"/>
    <x v="3"/>
    <n v="11.5"/>
    <n v="8"/>
    <x v="4"/>
    <n v="3"/>
    <x v="0"/>
    <n v="76400"/>
    <n v="14800"/>
    <n v="91200"/>
    <s v="C"/>
    <d v="2014-07-19T00:00:00"/>
    <x v="3"/>
  </r>
  <r>
    <x v="1093"/>
    <x v="1"/>
    <n v="35"/>
    <x v="2"/>
    <x v="11"/>
    <x v="1"/>
    <n v="9.5"/>
    <n v="5.5"/>
    <x v="4"/>
    <n v="3"/>
    <x v="0"/>
    <n v="105900"/>
    <n v="8000"/>
    <n v="113900"/>
    <s v="E"/>
    <d v="2016-06-30T00:00:00"/>
    <x v="1"/>
  </r>
  <r>
    <x v="1094"/>
    <x v="0"/>
    <n v="34"/>
    <x v="3"/>
    <x v="12"/>
    <x v="1"/>
    <n v="3.8"/>
    <n v="0.7"/>
    <x v="1"/>
    <n v="3"/>
    <x v="0"/>
    <n v="64500"/>
    <n v="2100"/>
    <n v="66600"/>
    <s v="B"/>
    <d v="2022-03-02T00:00:00"/>
    <x v="1"/>
  </r>
  <r>
    <x v="1095"/>
    <x v="1"/>
    <n v="35"/>
    <x v="4"/>
    <x v="6"/>
    <x v="2"/>
    <n v="4.9000000000000004"/>
    <n v="3.2"/>
    <x v="1"/>
    <n v="4"/>
    <x v="0"/>
    <n v="79400"/>
    <n v="9800"/>
    <n v="89200"/>
    <s v="C"/>
    <d v="2021-01-22T00:00:00"/>
    <x v="2"/>
  </r>
  <r>
    <x v="1096"/>
    <x v="0"/>
    <n v="42"/>
    <x v="4"/>
    <x v="16"/>
    <x v="1"/>
    <n v="6.2"/>
    <n v="4.5999999999999996"/>
    <x v="2"/>
    <n v="3"/>
    <x v="0"/>
    <n v="81800"/>
    <n v="10800"/>
    <n v="92600"/>
    <s v="D"/>
    <d v="2019-11-04T00:00:00"/>
    <x v="1"/>
  </r>
  <r>
    <x v="1097"/>
    <x v="1"/>
    <n v="33"/>
    <x v="5"/>
    <x v="17"/>
    <x v="1"/>
    <n v="2.9"/>
    <n v="1.1000000000000001"/>
    <x v="0"/>
    <n v="3"/>
    <x v="0"/>
    <n v="85700"/>
    <n v="14900"/>
    <n v="100600"/>
    <s v="D"/>
    <d v="2023-02-08T00:00:00"/>
    <x v="1"/>
  </r>
  <r>
    <x v="1098"/>
    <x v="0"/>
    <n v="38"/>
    <x v="1"/>
    <x v="10"/>
    <x v="1"/>
    <n v="10.6"/>
    <n v="5.7"/>
    <x v="4"/>
    <n v="1"/>
    <x v="0"/>
    <n v="90100"/>
    <n v="4700"/>
    <n v="94800"/>
    <s v="D"/>
    <d v="2015-05-18T00:00:00"/>
    <x v="1"/>
  </r>
  <r>
    <x v="1099"/>
    <x v="0"/>
    <n v="42"/>
    <x v="0"/>
    <x v="1"/>
    <x v="2"/>
    <n v="10"/>
    <n v="7.5"/>
    <x v="4"/>
    <n v="4"/>
    <x v="0"/>
    <n v="85300"/>
    <n v="11300"/>
    <n v="96600"/>
    <s v="D"/>
    <d v="2016-01-18T00:00:00"/>
    <x v="2"/>
  </r>
  <r>
    <x v="1100"/>
    <x v="1"/>
    <n v="34"/>
    <x v="3"/>
    <x v="13"/>
    <x v="1"/>
    <n v="10.6"/>
    <n v="5.8"/>
    <x v="4"/>
    <n v="3"/>
    <x v="0"/>
    <n v="107600"/>
    <n v="8600"/>
    <n v="116200"/>
    <s v="E"/>
    <d v="2015-06-13T00:00:00"/>
    <x v="1"/>
  </r>
  <r>
    <x v="1101"/>
    <x v="1"/>
    <n v="31"/>
    <x v="5"/>
    <x v="9"/>
    <x v="2"/>
    <n v="2.4"/>
    <n v="2.2999999999999998"/>
    <x v="0"/>
    <n v="5"/>
    <x v="1"/>
    <n v="59900"/>
    <n v="6600"/>
    <n v="66500"/>
    <s v="B"/>
    <d v="2023-08-12T00:00:00"/>
    <x v="2"/>
  </r>
  <r>
    <x v="1102"/>
    <x v="1"/>
    <n v="25"/>
    <x v="5"/>
    <x v="17"/>
    <x v="1"/>
    <n v="13.7"/>
    <n v="7.1"/>
    <x v="3"/>
    <n v="3"/>
    <x v="0"/>
    <n v="125300"/>
    <n v="26000"/>
    <n v="151300"/>
    <s v="E"/>
    <d v="2012-05-03T00:00:00"/>
    <x v="1"/>
  </r>
  <r>
    <x v="1103"/>
    <x v="0"/>
    <n v="41"/>
    <x v="0"/>
    <x v="0"/>
    <x v="0"/>
    <n v="13.8"/>
    <n v="9.6999999999999993"/>
    <x v="3"/>
    <n v="3"/>
    <x v="2"/>
    <n v="82900"/>
    <n v="10600"/>
    <n v="93500"/>
    <s v="D"/>
    <d v="2012-02-26T00:00:00"/>
    <x v="0"/>
  </r>
  <r>
    <x v="1104"/>
    <x v="1"/>
    <n v="34"/>
    <x v="5"/>
    <x v="17"/>
    <x v="1"/>
    <n v="2.6"/>
    <n v="2.6"/>
    <x v="0"/>
    <n v="4"/>
    <x v="0"/>
    <n v="86500"/>
    <n v="13900"/>
    <n v="100400"/>
    <s v="D"/>
    <d v="2023-06-10T00:00:00"/>
    <x v="1"/>
  </r>
  <r>
    <x v="1105"/>
    <x v="0"/>
    <n v="38"/>
    <x v="1"/>
    <x v="10"/>
    <x v="1"/>
    <n v="11.9"/>
    <n v="8.3000000000000007"/>
    <x v="4"/>
    <n v="4"/>
    <x v="0"/>
    <n v="104100"/>
    <n v="10400"/>
    <n v="114500"/>
    <s v="E"/>
    <d v="2014-02-11T00:00:00"/>
    <x v="1"/>
  </r>
  <r>
    <x v="1106"/>
    <x v="0"/>
    <n v="33"/>
    <x v="0"/>
    <x v="0"/>
    <x v="1"/>
    <n v="6"/>
    <n v="4.8"/>
    <x v="2"/>
    <n v="4"/>
    <x v="0"/>
    <n v="95900"/>
    <n v="11600"/>
    <n v="107500"/>
    <s v="D"/>
    <d v="2020-01-10T00:00:00"/>
    <x v="1"/>
  </r>
  <r>
    <x v="1107"/>
    <x v="1"/>
    <n v="38"/>
    <x v="2"/>
    <x v="4"/>
    <x v="0"/>
    <n v="7.4"/>
    <n v="5.8"/>
    <x v="2"/>
    <n v="3"/>
    <x v="0"/>
    <n v="73400"/>
    <n v="5100"/>
    <n v="78500"/>
    <s v="C"/>
    <d v="2018-08-16T00:00:00"/>
    <x v="0"/>
  </r>
  <r>
    <x v="1108"/>
    <x v="0"/>
    <n v="29"/>
    <x v="2"/>
    <x v="18"/>
    <x v="1"/>
    <n v="10.199999999999999"/>
    <n v="8.6"/>
    <x v="4"/>
    <n v="4"/>
    <x v="0"/>
    <n v="93500"/>
    <n v="7700"/>
    <n v="101200"/>
    <s v="D"/>
    <d v="2015-10-24T00:00:00"/>
    <x v="1"/>
  </r>
  <r>
    <x v="1109"/>
    <x v="1"/>
    <n v="26"/>
    <x v="2"/>
    <x v="11"/>
    <x v="1"/>
    <n v="4.3"/>
    <n v="2.6"/>
    <x v="1"/>
    <n v="3"/>
    <x v="0"/>
    <n v="92000"/>
    <n v="7000"/>
    <n v="99000"/>
    <s v="D"/>
    <d v="2021-09-06T00:00:00"/>
    <x v="1"/>
  </r>
  <r>
    <x v="1110"/>
    <x v="1"/>
    <n v="37"/>
    <x v="3"/>
    <x v="5"/>
    <x v="1"/>
    <n v="13.7"/>
    <n v="9.1"/>
    <x v="3"/>
    <n v="4"/>
    <x v="0"/>
    <n v="83300"/>
    <n v="3800"/>
    <n v="87100"/>
    <s v="D"/>
    <d v="2012-04-19T00:00:00"/>
    <x v="1"/>
  </r>
  <r>
    <x v="1111"/>
    <x v="0"/>
    <n v="37"/>
    <x v="3"/>
    <x v="12"/>
    <x v="1"/>
    <n v="2.9"/>
    <n v="2.9"/>
    <x v="0"/>
    <n v="4"/>
    <x v="0"/>
    <n v="69500"/>
    <n v="3100"/>
    <n v="72600"/>
    <s v="C"/>
    <d v="2023-02-07T00:00:00"/>
    <x v="1"/>
  </r>
  <r>
    <x v="1112"/>
    <x v="1"/>
    <n v="23"/>
    <x v="4"/>
    <x v="6"/>
    <x v="1"/>
    <n v="6.1"/>
    <n v="3.1"/>
    <x v="2"/>
    <n v="3"/>
    <x v="0"/>
    <n v="80100"/>
    <n v="10900"/>
    <n v="91000"/>
    <s v="D"/>
    <d v="2019-11-17T00:00:00"/>
    <x v="1"/>
  </r>
  <r>
    <x v="1113"/>
    <x v="0"/>
    <n v="35"/>
    <x v="0"/>
    <x v="1"/>
    <x v="0"/>
    <n v="13"/>
    <n v="7.7"/>
    <x v="3"/>
    <n v="4"/>
    <x v="2"/>
    <n v="69400"/>
    <n v="8700"/>
    <n v="78100"/>
    <s v="C"/>
    <d v="2013-01-16T00:00:00"/>
    <x v="0"/>
  </r>
  <r>
    <x v="1114"/>
    <x v="1"/>
    <n v="46"/>
    <x v="0"/>
    <x v="1"/>
    <x v="2"/>
    <n v="2.2999999999999998"/>
    <n v="2.1"/>
    <x v="0"/>
    <n v="2"/>
    <x v="0"/>
    <n v="78700"/>
    <n v="4000"/>
    <n v="82700"/>
    <s v="C"/>
    <d v="2023-09-14T00:00:00"/>
    <x v="2"/>
  </r>
  <r>
    <x v="1115"/>
    <x v="0"/>
    <n v="27"/>
    <x v="3"/>
    <x v="5"/>
    <x v="1"/>
    <n v="9.4"/>
    <n v="3.8"/>
    <x v="4"/>
    <n v="4"/>
    <x v="0"/>
    <n v="94500"/>
    <n v="4800"/>
    <n v="99300"/>
    <s v="D"/>
    <d v="2016-08-12T00:00:00"/>
    <x v="1"/>
  </r>
  <r>
    <x v="1116"/>
    <x v="0"/>
    <n v="37"/>
    <x v="1"/>
    <x v="10"/>
    <x v="1"/>
    <n v="9.8000000000000007"/>
    <n v="3.5"/>
    <x v="4"/>
    <n v="2"/>
    <x v="0"/>
    <n v="113700"/>
    <n v="6900"/>
    <n v="120600"/>
    <s v="E"/>
    <d v="2016-03-26T00:00:00"/>
    <x v="1"/>
  </r>
  <r>
    <x v="1117"/>
    <x v="0"/>
    <n v="48"/>
    <x v="1"/>
    <x v="7"/>
    <x v="1"/>
    <n v="1.5"/>
    <n v="1.3"/>
    <x v="0"/>
    <n v="4"/>
    <x v="0"/>
    <n v="81300"/>
    <n v="9000"/>
    <n v="90300"/>
    <s v="D"/>
    <d v="2024-07-03T00:00:00"/>
    <x v="1"/>
  </r>
  <r>
    <x v="1118"/>
    <x v="1"/>
    <n v="35"/>
    <x v="3"/>
    <x v="5"/>
    <x v="2"/>
    <n v="11.9"/>
    <n v="9.9"/>
    <x v="4"/>
    <n v="3"/>
    <x v="1"/>
    <n v="43200"/>
    <n v="2000"/>
    <n v="45200"/>
    <s v="A"/>
    <d v="2014-02-16T00:00:00"/>
    <x v="2"/>
  </r>
  <r>
    <x v="1119"/>
    <x v="0"/>
    <n v="43"/>
    <x v="4"/>
    <x v="14"/>
    <x v="1"/>
    <n v="9.4"/>
    <n v="7.9"/>
    <x v="4"/>
    <n v="2"/>
    <x v="0"/>
    <n v="119600"/>
    <n v="12400"/>
    <n v="132000"/>
    <s v="E"/>
    <d v="2016-07-21T00:00:00"/>
    <x v="1"/>
  </r>
  <r>
    <x v="1120"/>
    <x v="1"/>
    <n v="40"/>
    <x v="3"/>
    <x v="5"/>
    <x v="1"/>
    <n v="2.7"/>
    <n v="1.5"/>
    <x v="0"/>
    <n v="2"/>
    <x v="0"/>
    <n v="78900"/>
    <n v="2800"/>
    <n v="81700"/>
    <s v="C"/>
    <d v="2023-05-01T00:00:00"/>
    <x v="1"/>
  </r>
  <r>
    <x v="1121"/>
    <x v="1"/>
    <n v="35"/>
    <x v="0"/>
    <x v="1"/>
    <x v="1"/>
    <n v="9.5"/>
    <n v="7.8"/>
    <x v="4"/>
    <n v="3"/>
    <x v="0"/>
    <n v="83000"/>
    <n v="9100"/>
    <n v="92100"/>
    <s v="D"/>
    <d v="2016-07-17T00:00:00"/>
    <x v="1"/>
  </r>
  <r>
    <x v="1122"/>
    <x v="0"/>
    <n v="42"/>
    <x v="3"/>
    <x v="5"/>
    <x v="2"/>
    <n v="12.1"/>
    <n v="8.5"/>
    <x v="3"/>
    <n v="3"/>
    <x v="0"/>
    <n v="80600"/>
    <n v="5200"/>
    <n v="85800"/>
    <s v="D"/>
    <d v="2013-11-13T00:00:00"/>
    <x v="2"/>
  </r>
  <r>
    <x v="1123"/>
    <x v="1"/>
    <n v="29"/>
    <x v="4"/>
    <x v="6"/>
    <x v="0"/>
    <n v="9.1"/>
    <n v="6.8"/>
    <x v="4"/>
    <n v="3"/>
    <x v="0"/>
    <n v="74700"/>
    <n v="5900"/>
    <n v="80600"/>
    <s v="C"/>
    <d v="2016-11-29T00:00:00"/>
    <x v="0"/>
  </r>
  <r>
    <x v="1124"/>
    <x v="0"/>
    <n v="51"/>
    <x v="3"/>
    <x v="12"/>
    <x v="1"/>
    <n v="10.5"/>
    <n v="6.6"/>
    <x v="4"/>
    <n v="3"/>
    <x v="0"/>
    <n v="62100"/>
    <n v="2400"/>
    <n v="64500"/>
    <s v="B"/>
    <d v="2015-06-17T00:00:00"/>
    <x v="1"/>
  </r>
  <r>
    <x v="1125"/>
    <x v="1"/>
    <n v="49"/>
    <x v="5"/>
    <x v="15"/>
    <x v="2"/>
    <n v="6"/>
    <n v="2.9"/>
    <x v="2"/>
    <n v="3"/>
    <x v="0"/>
    <n v="70200"/>
    <n v="10500"/>
    <n v="80700"/>
    <s v="C"/>
    <d v="2019-12-27T00:00:00"/>
    <x v="2"/>
  </r>
  <r>
    <x v="1126"/>
    <x v="1"/>
    <n v="36"/>
    <x v="1"/>
    <x v="3"/>
    <x v="1"/>
    <n v="13.8"/>
    <n v="9.9"/>
    <x v="3"/>
    <n v="3"/>
    <x v="0"/>
    <n v="79100"/>
    <n v="3700"/>
    <n v="82800"/>
    <s v="C"/>
    <d v="2012-03-20T00:00:00"/>
    <x v="1"/>
  </r>
  <r>
    <x v="1127"/>
    <x v="0"/>
    <n v="46"/>
    <x v="5"/>
    <x v="17"/>
    <x v="1"/>
    <n v="13.7"/>
    <n v="9.5"/>
    <x v="3"/>
    <n v="3"/>
    <x v="0"/>
    <n v="105900"/>
    <n v="8100"/>
    <n v="114000"/>
    <s v="E"/>
    <d v="2012-05-06T00:00:00"/>
    <x v="1"/>
  </r>
  <r>
    <x v="1128"/>
    <x v="0"/>
    <n v="30"/>
    <x v="3"/>
    <x v="5"/>
    <x v="1"/>
    <n v="4.7"/>
    <n v="4.2"/>
    <x v="1"/>
    <n v="4"/>
    <x v="0"/>
    <n v="83600"/>
    <n v="4300"/>
    <n v="87900"/>
    <s v="D"/>
    <d v="2021-04-13T00:00:00"/>
    <x v="1"/>
  </r>
  <r>
    <x v="1129"/>
    <x v="0"/>
    <n v="38"/>
    <x v="4"/>
    <x v="6"/>
    <x v="1"/>
    <n v="3.2"/>
    <n v="2"/>
    <x v="1"/>
    <n v="3"/>
    <x v="0"/>
    <n v="72800"/>
    <n v="6800"/>
    <n v="79600"/>
    <s v="C"/>
    <d v="2022-11-04T00:00:00"/>
    <x v="1"/>
  </r>
  <r>
    <x v="1130"/>
    <x v="0"/>
    <n v="28"/>
    <x v="5"/>
    <x v="15"/>
    <x v="1"/>
    <n v="9.5"/>
    <n v="6.3"/>
    <x v="4"/>
    <n v="4"/>
    <x v="0"/>
    <n v="76400"/>
    <n v="11800"/>
    <n v="88200"/>
    <s v="C"/>
    <d v="2016-07-15T00:00:00"/>
    <x v="1"/>
  </r>
  <r>
    <x v="1131"/>
    <x v="1"/>
    <n v="43"/>
    <x v="0"/>
    <x v="1"/>
    <x v="2"/>
    <n v="8.9"/>
    <n v="5.2"/>
    <x v="2"/>
    <n v="3"/>
    <x v="0"/>
    <n v="84900"/>
    <n v="9800"/>
    <n v="94700"/>
    <s v="D"/>
    <d v="2017-02-05T00:00:00"/>
    <x v="2"/>
  </r>
  <r>
    <x v="1132"/>
    <x v="0"/>
    <n v="31"/>
    <x v="4"/>
    <x v="8"/>
    <x v="1"/>
    <n v="13.4"/>
    <n v="7.1"/>
    <x v="3"/>
    <n v="3"/>
    <x v="2"/>
    <n v="72300"/>
    <n v="4100"/>
    <n v="76400"/>
    <s v="C"/>
    <d v="2012-08-01T00:00:00"/>
    <x v="1"/>
  </r>
  <r>
    <x v="1133"/>
    <x v="1"/>
    <n v="45"/>
    <x v="0"/>
    <x v="0"/>
    <x v="2"/>
    <n v="6.8"/>
    <n v="5.9"/>
    <x v="2"/>
    <n v="4"/>
    <x v="1"/>
    <n v="64500"/>
    <n v="5400"/>
    <n v="69900"/>
    <s v="B"/>
    <d v="2019-03-19T00:00:00"/>
    <x v="2"/>
  </r>
  <r>
    <x v="1134"/>
    <x v="1"/>
    <n v="50"/>
    <x v="1"/>
    <x v="7"/>
    <x v="2"/>
    <n v="13.6"/>
    <n v="6.1"/>
    <x v="3"/>
    <n v="3"/>
    <x v="0"/>
    <n v="94100"/>
    <n v="6000"/>
    <n v="100100"/>
    <s v="D"/>
    <d v="2012-05-14T00:00:00"/>
    <x v="2"/>
  </r>
  <r>
    <x v="1135"/>
    <x v="1"/>
    <n v="47"/>
    <x v="4"/>
    <x v="14"/>
    <x v="1"/>
    <n v="1.8"/>
    <n v="1.8"/>
    <x v="0"/>
    <n v="3"/>
    <x v="0"/>
    <n v="109500"/>
    <n v="8200"/>
    <n v="117700"/>
    <s v="E"/>
    <d v="2024-03-03T00:00:00"/>
    <x v="1"/>
  </r>
  <r>
    <x v="1136"/>
    <x v="1"/>
    <n v="38"/>
    <x v="4"/>
    <x v="6"/>
    <x v="2"/>
    <n v="2.8"/>
    <n v="1.8"/>
    <x v="0"/>
    <n v="3"/>
    <x v="0"/>
    <n v="80900"/>
    <n v="10400"/>
    <n v="91300"/>
    <s v="D"/>
    <d v="2023-03-19T00:00:00"/>
    <x v="2"/>
  </r>
  <r>
    <x v="1137"/>
    <x v="0"/>
    <n v="47"/>
    <x v="2"/>
    <x v="11"/>
    <x v="1"/>
    <n v="7.6"/>
    <n v="4.8"/>
    <x v="2"/>
    <n v="4"/>
    <x v="0"/>
    <n v="96700"/>
    <n v="9000"/>
    <n v="105700"/>
    <s v="D"/>
    <d v="2018-05-13T00:00:00"/>
    <x v="1"/>
  </r>
  <r>
    <x v="1138"/>
    <x v="0"/>
    <n v="47"/>
    <x v="5"/>
    <x v="17"/>
    <x v="1"/>
    <n v="9.6"/>
    <n v="7.1"/>
    <x v="4"/>
    <n v="3"/>
    <x v="0"/>
    <n v="105500"/>
    <n v="21700"/>
    <n v="127200"/>
    <s v="E"/>
    <d v="2016-05-21T00:00:00"/>
    <x v="1"/>
  </r>
  <r>
    <x v="1139"/>
    <x v="0"/>
    <n v="41"/>
    <x v="4"/>
    <x v="6"/>
    <x v="0"/>
    <n v="5.6"/>
    <n v="2.4"/>
    <x v="1"/>
    <n v="4"/>
    <x v="1"/>
    <n v="47300"/>
    <n v="5700"/>
    <n v="53000"/>
    <s v="A"/>
    <d v="2020-06-02T00:00:00"/>
    <x v="0"/>
  </r>
  <r>
    <x v="1140"/>
    <x v="1"/>
    <n v="50"/>
    <x v="0"/>
    <x v="2"/>
    <x v="3"/>
    <n v="11.3"/>
    <n v="6.4"/>
    <x v="4"/>
    <n v="5"/>
    <x v="0"/>
    <n v="91500"/>
    <n v="8500"/>
    <n v="100000"/>
    <s v="D"/>
    <d v="2014-09-23T00:00:00"/>
    <x v="3"/>
  </r>
  <r>
    <x v="1141"/>
    <x v="0"/>
    <n v="35"/>
    <x v="1"/>
    <x v="3"/>
    <x v="2"/>
    <n v="2.1"/>
    <n v="1.7"/>
    <x v="0"/>
    <n v="3"/>
    <x v="2"/>
    <n v="59400"/>
    <n v="3000"/>
    <n v="62400"/>
    <s v="B"/>
    <d v="2023-12-12T00:00:00"/>
    <x v="2"/>
  </r>
  <r>
    <x v="1142"/>
    <x v="0"/>
    <n v="37"/>
    <x v="5"/>
    <x v="15"/>
    <x v="1"/>
    <n v="1.7"/>
    <n v="0.5"/>
    <x v="0"/>
    <n v="3"/>
    <x v="1"/>
    <n v="38500"/>
    <n v="7400"/>
    <n v="45900"/>
    <s v="A"/>
    <d v="2024-04-30T00:00:00"/>
    <x v="1"/>
  </r>
  <r>
    <x v="1143"/>
    <x v="0"/>
    <n v="45"/>
    <x v="4"/>
    <x v="14"/>
    <x v="1"/>
    <n v="12.3"/>
    <n v="7.4"/>
    <x v="3"/>
    <n v="3"/>
    <x v="1"/>
    <n v="57600"/>
    <n v="6000"/>
    <n v="63600"/>
    <s v="B"/>
    <d v="2013-09-09T00:00:00"/>
    <x v="1"/>
  </r>
  <r>
    <x v="1144"/>
    <x v="1"/>
    <n v="44"/>
    <x v="2"/>
    <x v="18"/>
    <x v="2"/>
    <n v="1"/>
    <n v="0"/>
    <x v="0"/>
    <n v="4"/>
    <x v="2"/>
    <n v="58100"/>
    <n v="4100"/>
    <n v="62200"/>
    <s v="B"/>
    <d v="2024-12-22T00:00:00"/>
    <x v="2"/>
  </r>
  <r>
    <x v="1145"/>
    <x v="0"/>
    <n v="41"/>
    <x v="1"/>
    <x v="3"/>
    <x v="1"/>
    <n v="11"/>
    <n v="8.1"/>
    <x v="4"/>
    <n v="2"/>
    <x v="0"/>
    <n v="81800"/>
    <n v="4000"/>
    <n v="85800"/>
    <s v="D"/>
    <d v="2014-12-14T00:00:00"/>
    <x v="1"/>
  </r>
  <r>
    <x v="1146"/>
    <x v="1"/>
    <n v="38"/>
    <x v="5"/>
    <x v="15"/>
    <x v="1"/>
    <n v="1.7"/>
    <n v="1.6"/>
    <x v="0"/>
    <n v="3"/>
    <x v="0"/>
    <n v="56300"/>
    <n v="10600"/>
    <n v="66900"/>
    <s v="B"/>
    <d v="2024-05-01T00:00:00"/>
    <x v="1"/>
  </r>
  <r>
    <x v="1147"/>
    <x v="0"/>
    <n v="40"/>
    <x v="1"/>
    <x v="3"/>
    <x v="1"/>
    <n v="11.2"/>
    <n v="6.7"/>
    <x v="4"/>
    <n v="3"/>
    <x v="0"/>
    <n v="89200"/>
    <n v="6300"/>
    <n v="95500"/>
    <s v="D"/>
    <d v="2014-10-12T00:00:00"/>
    <x v="1"/>
  </r>
  <r>
    <x v="1148"/>
    <x v="1"/>
    <n v="32"/>
    <x v="4"/>
    <x v="8"/>
    <x v="1"/>
    <n v="5.3"/>
    <n v="2.6"/>
    <x v="1"/>
    <n v="3"/>
    <x v="0"/>
    <n v="91800"/>
    <n v="8700"/>
    <n v="100500"/>
    <s v="D"/>
    <d v="2020-09-28T00:00:00"/>
    <x v="1"/>
  </r>
  <r>
    <x v="1149"/>
    <x v="1"/>
    <n v="46"/>
    <x v="5"/>
    <x v="15"/>
    <x v="1"/>
    <n v="10.6"/>
    <n v="6.6"/>
    <x v="4"/>
    <n v="3"/>
    <x v="0"/>
    <n v="61000"/>
    <n v="9300"/>
    <n v="70300"/>
    <s v="B"/>
    <d v="2015-06-04T00:00:00"/>
    <x v="1"/>
  </r>
  <r>
    <x v="1150"/>
    <x v="0"/>
    <n v="22"/>
    <x v="5"/>
    <x v="15"/>
    <x v="2"/>
    <n v="1.2"/>
    <n v="0.3"/>
    <x v="0"/>
    <n v="3"/>
    <x v="0"/>
    <n v="54300"/>
    <n v="7200"/>
    <n v="61500"/>
    <s v="B"/>
    <d v="2024-11-02T00:00:00"/>
    <x v="2"/>
  </r>
  <r>
    <x v="1151"/>
    <x v="1"/>
    <n v="28"/>
    <x v="3"/>
    <x v="13"/>
    <x v="0"/>
    <n v="7.1"/>
    <n v="3.1"/>
    <x v="2"/>
    <n v="3"/>
    <x v="0"/>
    <n v="108700"/>
    <n v="5500"/>
    <n v="114200"/>
    <s v="E"/>
    <d v="2018-12-01T00:00:00"/>
    <x v="0"/>
  </r>
  <r>
    <x v="1152"/>
    <x v="1"/>
    <n v="35"/>
    <x v="0"/>
    <x v="2"/>
    <x v="1"/>
    <n v="7.1"/>
    <n v="5.4"/>
    <x v="2"/>
    <n v="3"/>
    <x v="2"/>
    <n v="58400"/>
    <n v="3300"/>
    <n v="61700"/>
    <s v="B"/>
    <d v="2018-12-06T00:00:00"/>
    <x v="1"/>
  </r>
  <r>
    <x v="1153"/>
    <x v="0"/>
    <n v="42"/>
    <x v="4"/>
    <x v="16"/>
    <x v="1"/>
    <n v="11.9"/>
    <n v="7.7"/>
    <x v="4"/>
    <n v="3"/>
    <x v="0"/>
    <n v="88200"/>
    <n v="11300"/>
    <n v="99500"/>
    <s v="D"/>
    <d v="2014-01-26T00:00:00"/>
    <x v="1"/>
  </r>
  <r>
    <x v="1154"/>
    <x v="1"/>
    <n v="37"/>
    <x v="5"/>
    <x v="9"/>
    <x v="2"/>
    <n v="7.4"/>
    <n v="4.3"/>
    <x v="2"/>
    <n v="4"/>
    <x v="0"/>
    <n v="112200"/>
    <n v="21800"/>
    <n v="134000"/>
    <s v="E"/>
    <d v="2018-08-05T00:00:00"/>
    <x v="2"/>
  </r>
  <r>
    <x v="1155"/>
    <x v="1"/>
    <n v="34"/>
    <x v="2"/>
    <x v="18"/>
    <x v="1"/>
    <n v="11.7"/>
    <n v="9"/>
    <x v="4"/>
    <n v="4"/>
    <x v="2"/>
    <n v="55600"/>
    <n v="4500"/>
    <n v="60100"/>
    <s v="B"/>
    <d v="2014-04-27T00:00:00"/>
    <x v="1"/>
  </r>
  <r>
    <x v="1156"/>
    <x v="1"/>
    <n v="33"/>
    <x v="3"/>
    <x v="5"/>
    <x v="2"/>
    <n v="6"/>
    <n v="3.5"/>
    <x v="2"/>
    <n v="3"/>
    <x v="0"/>
    <n v="87400"/>
    <n v="6400"/>
    <n v="93800"/>
    <s v="D"/>
    <d v="2019-12-29T00:00:00"/>
    <x v="2"/>
  </r>
  <r>
    <x v="1157"/>
    <x v="0"/>
    <n v="30"/>
    <x v="4"/>
    <x v="14"/>
    <x v="1"/>
    <n v="12.4"/>
    <n v="8.1"/>
    <x v="3"/>
    <n v="3"/>
    <x v="0"/>
    <n v="112900"/>
    <n v="11600"/>
    <n v="124500"/>
    <s v="E"/>
    <d v="2013-07-29T00:00:00"/>
    <x v="1"/>
  </r>
  <r>
    <x v="1158"/>
    <x v="0"/>
    <n v="48"/>
    <x v="4"/>
    <x v="16"/>
    <x v="0"/>
    <n v="5.5"/>
    <n v="0.9"/>
    <x v="1"/>
    <n v="5"/>
    <x v="0"/>
    <n v="106200"/>
    <n v="15400"/>
    <n v="121600"/>
    <s v="E"/>
    <d v="2020-06-19T00:00:00"/>
    <x v="0"/>
  </r>
  <r>
    <x v="1159"/>
    <x v="1"/>
    <n v="29"/>
    <x v="2"/>
    <x v="4"/>
    <x v="3"/>
    <n v="12.5"/>
    <n v="9.1"/>
    <x v="3"/>
    <n v="4"/>
    <x v="0"/>
    <n v="95100"/>
    <n v="7300"/>
    <n v="102400"/>
    <s v="D"/>
    <d v="2013-06-18T00:00:00"/>
    <x v="3"/>
  </r>
  <r>
    <x v="1160"/>
    <x v="0"/>
    <n v="21"/>
    <x v="4"/>
    <x v="16"/>
    <x v="2"/>
    <n v="5.3"/>
    <n v="2.2999999999999998"/>
    <x v="1"/>
    <n v="2"/>
    <x v="1"/>
    <n v="63000"/>
    <n v="4600"/>
    <n v="67600"/>
    <s v="B"/>
    <d v="2020-09-07T00:00:00"/>
    <x v="2"/>
  </r>
  <r>
    <x v="1161"/>
    <x v="0"/>
    <n v="30"/>
    <x v="3"/>
    <x v="5"/>
    <x v="1"/>
    <n v="8.3000000000000007"/>
    <n v="5.3"/>
    <x v="2"/>
    <n v="1"/>
    <x v="0"/>
    <n v="75600"/>
    <n v="5000"/>
    <n v="80600"/>
    <s v="C"/>
    <d v="2017-09-17T00:00:00"/>
    <x v="1"/>
  </r>
  <r>
    <x v="1162"/>
    <x v="1"/>
    <n v="27"/>
    <x v="4"/>
    <x v="6"/>
    <x v="1"/>
    <n v="6.1"/>
    <n v="1.7"/>
    <x v="2"/>
    <n v="3"/>
    <x v="0"/>
    <n v="62400"/>
    <n v="8100"/>
    <n v="70500"/>
    <s v="B"/>
    <d v="2019-12-03T00:00:00"/>
    <x v="1"/>
  </r>
  <r>
    <x v="1163"/>
    <x v="1"/>
    <n v="43"/>
    <x v="4"/>
    <x v="6"/>
    <x v="1"/>
    <n v="11.5"/>
    <n v="7.6"/>
    <x v="4"/>
    <n v="4"/>
    <x v="2"/>
    <n v="71500"/>
    <n v="5100"/>
    <n v="76600"/>
    <s v="C"/>
    <d v="2014-06-22T00:00:00"/>
    <x v="1"/>
  </r>
  <r>
    <x v="1164"/>
    <x v="1"/>
    <n v="28"/>
    <x v="1"/>
    <x v="3"/>
    <x v="2"/>
    <n v="9.1999999999999993"/>
    <n v="6.4"/>
    <x v="4"/>
    <n v="3"/>
    <x v="0"/>
    <n v="78700"/>
    <n v="3900"/>
    <n v="82600"/>
    <s v="C"/>
    <d v="2016-11-04T00:00:00"/>
    <x v="2"/>
  </r>
  <r>
    <x v="1165"/>
    <x v="0"/>
    <n v="44"/>
    <x v="5"/>
    <x v="17"/>
    <x v="2"/>
    <n v="11.1"/>
    <n v="7.9"/>
    <x v="4"/>
    <n v="4"/>
    <x v="0"/>
    <n v="113500"/>
    <n v="14600"/>
    <n v="128100"/>
    <s v="E"/>
    <d v="2014-12-11T00:00:00"/>
    <x v="2"/>
  </r>
  <r>
    <x v="1166"/>
    <x v="0"/>
    <n v="39"/>
    <x v="0"/>
    <x v="1"/>
    <x v="2"/>
    <n v="8.3000000000000007"/>
    <n v="4"/>
    <x v="2"/>
    <n v="3"/>
    <x v="0"/>
    <n v="82500"/>
    <n v="4600"/>
    <n v="87100"/>
    <s v="D"/>
    <d v="2017-09-25T00:00:00"/>
    <x v="2"/>
  </r>
  <r>
    <x v="1167"/>
    <x v="1"/>
    <n v="26"/>
    <x v="5"/>
    <x v="9"/>
    <x v="0"/>
    <n v="13.3"/>
    <n v="8.5"/>
    <x v="3"/>
    <n v="3"/>
    <x v="1"/>
    <n v="60700"/>
    <n v="11100"/>
    <n v="71800"/>
    <s v="B"/>
    <d v="2012-09-22T00:00:00"/>
    <x v="0"/>
  </r>
  <r>
    <x v="1168"/>
    <x v="0"/>
    <n v="31"/>
    <x v="3"/>
    <x v="13"/>
    <x v="1"/>
    <n v="6.3"/>
    <n v="1.9"/>
    <x v="2"/>
    <n v="5"/>
    <x v="0"/>
    <n v="101000"/>
    <n v="8700"/>
    <n v="109700"/>
    <s v="E"/>
    <d v="2019-09-27T00:00:00"/>
    <x v="1"/>
  </r>
  <r>
    <x v="1169"/>
    <x v="0"/>
    <n v="35"/>
    <x v="0"/>
    <x v="0"/>
    <x v="1"/>
    <n v="3.3"/>
    <n v="0"/>
    <x v="1"/>
    <n v="5"/>
    <x v="1"/>
    <n v="52300"/>
    <n v="3200"/>
    <n v="55500"/>
    <s v="B"/>
    <d v="2022-09-18T00:00:00"/>
    <x v="1"/>
  </r>
  <r>
    <x v="1170"/>
    <x v="0"/>
    <n v="27"/>
    <x v="1"/>
    <x v="3"/>
    <x v="2"/>
    <n v="6.9"/>
    <n v="5.3"/>
    <x v="2"/>
    <n v="3"/>
    <x v="0"/>
    <n v="90000"/>
    <n v="4600"/>
    <n v="94600"/>
    <s v="D"/>
    <d v="2019-02-12T00:00:00"/>
    <x v="2"/>
  </r>
  <r>
    <x v="1171"/>
    <x v="1"/>
    <n v="45"/>
    <x v="1"/>
    <x v="7"/>
    <x v="1"/>
    <n v="12.3"/>
    <n v="10.4"/>
    <x v="3"/>
    <n v="3"/>
    <x v="0"/>
    <n v="85000"/>
    <n v="3600"/>
    <n v="88600"/>
    <s v="D"/>
    <d v="2013-09-07T00:00:00"/>
    <x v="1"/>
  </r>
  <r>
    <x v="1172"/>
    <x v="0"/>
    <n v="36"/>
    <x v="1"/>
    <x v="3"/>
    <x v="1"/>
    <n v="1"/>
    <n v="1"/>
    <x v="0"/>
    <n v="3"/>
    <x v="0"/>
    <n v="66600"/>
    <n v="7400"/>
    <n v="74000"/>
    <s v="C"/>
    <d v="2024-12-14T00:00:00"/>
    <x v="1"/>
  </r>
  <r>
    <x v="1173"/>
    <x v="1"/>
    <n v="22"/>
    <x v="5"/>
    <x v="17"/>
    <x v="1"/>
    <n v="2.4"/>
    <n v="0.7"/>
    <x v="0"/>
    <n v="3"/>
    <x v="0"/>
    <n v="93100"/>
    <n v="16000"/>
    <n v="109100"/>
    <s v="D"/>
    <d v="2023-08-14T00:00:00"/>
    <x v="1"/>
  </r>
  <r>
    <x v="1174"/>
    <x v="0"/>
    <n v="44"/>
    <x v="2"/>
    <x v="18"/>
    <x v="0"/>
    <n v="10.9"/>
    <n v="7.2"/>
    <x v="4"/>
    <n v="3"/>
    <x v="0"/>
    <n v="63800"/>
    <n v="5400"/>
    <n v="69200"/>
    <s v="B"/>
    <d v="2015-01-29T00:00:00"/>
    <x v="0"/>
  </r>
  <r>
    <x v="1175"/>
    <x v="0"/>
    <n v="46"/>
    <x v="5"/>
    <x v="17"/>
    <x v="1"/>
    <n v="6.9"/>
    <n v="5.5"/>
    <x v="2"/>
    <n v="3"/>
    <x v="0"/>
    <n v="84300"/>
    <n v="15600"/>
    <n v="99900"/>
    <s v="D"/>
    <d v="2019-02-05T00:00:00"/>
    <x v="1"/>
  </r>
  <r>
    <x v="1176"/>
    <x v="1"/>
    <n v="21"/>
    <x v="0"/>
    <x v="0"/>
    <x v="2"/>
    <n v="6.6"/>
    <n v="2.9"/>
    <x v="2"/>
    <n v="4"/>
    <x v="0"/>
    <n v="110600"/>
    <n v="10700"/>
    <n v="121300"/>
    <s v="E"/>
    <d v="2019-05-14T00:00:00"/>
    <x v="2"/>
  </r>
  <r>
    <x v="1177"/>
    <x v="0"/>
    <n v="34"/>
    <x v="1"/>
    <x v="3"/>
    <x v="1"/>
    <n v="7.9"/>
    <n v="6.5"/>
    <x v="2"/>
    <n v="3"/>
    <x v="0"/>
    <n v="77100"/>
    <n v="7800"/>
    <n v="84900"/>
    <s v="C"/>
    <d v="2018-02-13T00:00:00"/>
    <x v="1"/>
  </r>
  <r>
    <x v="1178"/>
    <x v="1"/>
    <n v="39"/>
    <x v="1"/>
    <x v="7"/>
    <x v="2"/>
    <n v="4.5999999999999996"/>
    <n v="2.2000000000000002"/>
    <x v="1"/>
    <n v="2"/>
    <x v="2"/>
    <n v="62800"/>
    <n v="3400"/>
    <n v="66200"/>
    <s v="B"/>
    <d v="2021-05-26T00:00:00"/>
    <x v="2"/>
  </r>
  <r>
    <x v="1179"/>
    <x v="0"/>
    <n v="34"/>
    <x v="4"/>
    <x v="16"/>
    <x v="1"/>
    <n v="1.2"/>
    <n v="0"/>
    <x v="0"/>
    <n v="4"/>
    <x v="0"/>
    <n v="85200"/>
    <n v="8900"/>
    <n v="94100"/>
    <s v="D"/>
    <d v="2024-10-25T00:00:00"/>
    <x v="1"/>
  </r>
  <r>
    <x v="1180"/>
    <x v="0"/>
    <n v="41"/>
    <x v="5"/>
    <x v="15"/>
    <x v="2"/>
    <n v="13.9"/>
    <n v="8.5"/>
    <x v="3"/>
    <n v="2"/>
    <x v="0"/>
    <n v="65700"/>
    <n v="9100"/>
    <n v="74800"/>
    <s v="C"/>
    <d v="2012-02-19T00:00:00"/>
    <x v="2"/>
  </r>
  <r>
    <x v="1181"/>
    <x v="1"/>
    <n v="25"/>
    <x v="3"/>
    <x v="13"/>
    <x v="2"/>
    <n v="9.6999999999999993"/>
    <n v="8.4"/>
    <x v="4"/>
    <n v="3"/>
    <x v="0"/>
    <n v="109400"/>
    <n v="7100"/>
    <n v="116500"/>
    <s v="E"/>
    <d v="2016-04-11T00:00:00"/>
    <x v="2"/>
  </r>
  <r>
    <x v="1182"/>
    <x v="0"/>
    <n v="33"/>
    <x v="1"/>
    <x v="7"/>
    <x v="1"/>
    <n v="13.9"/>
    <n v="7.8"/>
    <x v="3"/>
    <n v="3"/>
    <x v="0"/>
    <n v="73500"/>
    <n v="3200"/>
    <n v="76700"/>
    <s v="C"/>
    <d v="2012-01-20T00:00:00"/>
    <x v="1"/>
  </r>
  <r>
    <x v="1183"/>
    <x v="1"/>
    <n v="52"/>
    <x v="1"/>
    <x v="7"/>
    <x v="2"/>
    <n v="8.8000000000000007"/>
    <n v="6"/>
    <x v="2"/>
    <n v="4"/>
    <x v="0"/>
    <n v="87700"/>
    <n v="7900"/>
    <n v="95600"/>
    <s v="D"/>
    <d v="2017-02-27T00:00:00"/>
    <x v="2"/>
  </r>
  <r>
    <x v="1184"/>
    <x v="0"/>
    <n v="38"/>
    <x v="5"/>
    <x v="9"/>
    <x v="2"/>
    <n v="8.1999999999999993"/>
    <n v="6.7"/>
    <x v="2"/>
    <n v="4"/>
    <x v="0"/>
    <n v="94400"/>
    <n v="7300"/>
    <n v="101700"/>
    <s v="D"/>
    <d v="2017-10-15T00:00:00"/>
    <x v="2"/>
  </r>
  <r>
    <x v="1185"/>
    <x v="1"/>
    <n v="26"/>
    <x v="5"/>
    <x v="9"/>
    <x v="1"/>
    <n v="10.6"/>
    <n v="6.5"/>
    <x v="4"/>
    <n v="3"/>
    <x v="0"/>
    <n v="97800"/>
    <n v="7500"/>
    <n v="105300"/>
    <s v="D"/>
    <d v="2015-05-24T00:00:00"/>
    <x v="1"/>
  </r>
  <r>
    <x v="1186"/>
    <x v="1"/>
    <n v="40"/>
    <x v="1"/>
    <x v="10"/>
    <x v="0"/>
    <n v="7.8"/>
    <n v="6.4"/>
    <x v="2"/>
    <n v="3"/>
    <x v="0"/>
    <n v="93600"/>
    <n v="7200"/>
    <n v="100800"/>
    <s v="D"/>
    <d v="2018-03-10T00:00:00"/>
    <x v="0"/>
  </r>
  <r>
    <x v="1187"/>
    <x v="0"/>
    <n v="38"/>
    <x v="3"/>
    <x v="5"/>
    <x v="2"/>
    <n v="7.9"/>
    <n v="2.8"/>
    <x v="2"/>
    <n v="3"/>
    <x v="0"/>
    <n v="84400"/>
    <n v="6900"/>
    <n v="91300"/>
    <s v="D"/>
    <d v="2018-01-25T00:00:00"/>
    <x v="2"/>
  </r>
  <r>
    <x v="1188"/>
    <x v="1"/>
    <n v="29"/>
    <x v="2"/>
    <x v="11"/>
    <x v="1"/>
    <n v="11.6"/>
    <n v="8.6"/>
    <x v="4"/>
    <n v="2"/>
    <x v="0"/>
    <n v="95800"/>
    <n v="7500"/>
    <n v="103300"/>
    <s v="D"/>
    <d v="2014-06-06T00:00:00"/>
    <x v="1"/>
  </r>
  <r>
    <x v="1189"/>
    <x v="1"/>
    <n v="32"/>
    <x v="5"/>
    <x v="9"/>
    <x v="1"/>
    <n v="8.3000000000000007"/>
    <n v="5.9"/>
    <x v="2"/>
    <n v="3"/>
    <x v="0"/>
    <n v="113800"/>
    <n v="22500"/>
    <n v="136300"/>
    <s v="E"/>
    <d v="2017-08-28T00:00:00"/>
    <x v="1"/>
  </r>
  <r>
    <x v="1190"/>
    <x v="1"/>
    <n v="30"/>
    <x v="2"/>
    <x v="18"/>
    <x v="0"/>
    <n v="3.8"/>
    <n v="0.6"/>
    <x v="1"/>
    <n v="3"/>
    <x v="0"/>
    <n v="66600"/>
    <n v="4800"/>
    <n v="71400"/>
    <s v="C"/>
    <d v="2022-03-20T00:00:00"/>
    <x v="0"/>
  </r>
  <r>
    <x v="1191"/>
    <x v="0"/>
    <n v="41"/>
    <x v="0"/>
    <x v="1"/>
    <x v="2"/>
    <n v="11.2"/>
    <n v="6.6"/>
    <x v="4"/>
    <n v="3"/>
    <x v="0"/>
    <n v="85100"/>
    <n v="10400"/>
    <n v="95500"/>
    <s v="D"/>
    <d v="2014-10-19T00:00:00"/>
    <x v="2"/>
  </r>
  <r>
    <x v="1192"/>
    <x v="1"/>
    <n v="41"/>
    <x v="2"/>
    <x v="18"/>
    <x v="1"/>
    <n v="13.1"/>
    <n v="7.5"/>
    <x v="3"/>
    <n v="5"/>
    <x v="0"/>
    <n v="91200"/>
    <n v="6500"/>
    <n v="97700"/>
    <s v="D"/>
    <d v="2012-11-24T00:00:00"/>
    <x v="1"/>
  </r>
  <r>
    <x v="1193"/>
    <x v="1"/>
    <n v="32"/>
    <x v="5"/>
    <x v="9"/>
    <x v="3"/>
    <n v="11.5"/>
    <n v="7.9"/>
    <x v="4"/>
    <n v="4"/>
    <x v="0"/>
    <n v="114000"/>
    <n v="9100"/>
    <n v="123100"/>
    <s v="E"/>
    <d v="2014-06-20T00:00:00"/>
    <x v="3"/>
  </r>
  <r>
    <x v="1194"/>
    <x v="1"/>
    <n v="33"/>
    <x v="4"/>
    <x v="16"/>
    <x v="2"/>
    <n v="11.8"/>
    <n v="7.1"/>
    <x v="4"/>
    <n v="3"/>
    <x v="2"/>
    <n v="98100"/>
    <n v="14400"/>
    <n v="112500"/>
    <s v="D"/>
    <d v="2014-03-17T00:00:00"/>
    <x v="2"/>
  </r>
  <r>
    <x v="1195"/>
    <x v="0"/>
    <n v="42"/>
    <x v="3"/>
    <x v="12"/>
    <x v="2"/>
    <n v="6.7"/>
    <n v="3.8"/>
    <x v="2"/>
    <n v="3"/>
    <x v="0"/>
    <n v="75000"/>
    <n v="6600"/>
    <n v="81600"/>
    <s v="C"/>
    <d v="2019-04-28T00:00:00"/>
    <x v="2"/>
  </r>
  <r>
    <x v="1196"/>
    <x v="1"/>
    <n v="28"/>
    <x v="2"/>
    <x v="11"/>
    <x v="1"/>
    <n v="8.6999999999999993"/>
    <n v="3.1"/>
    <x v="2"/>
    <n v="2"/>
    <x v="1"/>
    <n v="58000"/>
    <n v="4100"/>
    <n v="62100"/>
    <s v="B"/>
    <d v="2017-04-24T00:00:00"/>
    <x v="1"/>
  </r>
  <r>
    <x v="1197"/>
    <x v="1"/>
    <n v="29"/>
    <x v="2"/>
    <x v="4"/>
    <x v="1"/>
    <n v="3.6"/>
    <n v="1.8"/>
    <x v="1"/>
    <n v="3"/>
    <x v="0"/>
    <n v="66200"/>
    <n v="3400"/>
    <n v="69600"/>
    <s v="C"/>
    <d v="2022-06-10T00:00:00"/>
    <x v="1"/>
  </r>
  <r>
    <x v="1198"/>
    <x v="1"/>
    <n v="47"/>
    <x v="4"/>
    <x v="8"/>
    <x v="1"/>
    <n v="13.8"/>
    <n v="7.3"/>
    <x v="3"/>
    <n v="4"/>
    <x v="1"/>
    <n v="58400"/>
    <n v="5400"/>
    <n v="63800"/>
    <s v="B"/>
    <d v="2012-03-12T00:00:00"/>
    <x v="1"/>
  </r>
  <r>
    <x v="1199"/>
    <x v="0"/>
    <n v="40"/>
    <x v="2"/>
    <x v="11"/>
    <x v="2"/>
    <n v="2.1"/>
    <n v="2.1"/>
    <x v="0"/>
    <n v="4"/>
    <x v="0"/>
    <n v="94100"/>
    <n v="8900"/>
    <n v="103000"/>
    <s v="D"/>
    <d v="2023-11-24T00:00:00"/>
    <x v="2"/>
  </r>
  <r>
    <x v="1200"/>
    <x v="0"/>
    <n v="33"/>
    <x v="1"/>
    <x v="7"/>
    <x v="2"/>
    <n v="6.9"/>
    <n v="4.5"/>
    <x v="2"/>
    <n v="5"/>
    <x v="0"/>
    <n v="97700"/>
    <n v="10300"/>
    <n v="108000"/>
    <s v="D"/>
    <d v="2019-01-29T00:00:00"/>
    <x v="2"/>
  </r>
  <r>
    <x v="1201"/>
    <x v="0"/>
    <n v="48"/>
    <x v="0"/>
    <x v="1"/>
    <x v="1"/>
    <n v="9.1999999999999993"/>
    <n v="3.2"/>
    <x v="4"/>
    <n v="5"/>
    <x v="0"/>
    <n v="90700"/>
    <n v="9900"/>
    <n v="100600"/>
    <s v="D"/>
    <d v="2016-10-18T00:00:00"/>
    <x v="1"/>
  </r>
  <r>
    <x v="1202"/>
    <x v="1"/>
    <n v="39"/>
    <x v="0"/>
    <x v="0"/>
    <x v="1"/>
    <n v="2.7"/>
    <n v="0"/>
    <x v="0"/>
    <n v="4"/>
    <x v="0"/>
    <n v="100400"/>
    <n v="8200"/>
    <n v="108600"/>
    <s v="E"/>
    <d v="2023-04-29T00:00:00"/>
    <x v="1"/>
  </r>
  <r>
    <x v="1203"/>
    <x v="1"/>
    <n v="38"/>
    <x v="3"/>
    <x v="13"/>
    <x v="3"/>
    <n v="13.1"/>
    <n v="9.5"/>
    <x v="3"/>
    <n v="3"/>
    <x v="0"/>
    <n v="111900"/>
    <n v="7600"/>
    <n v="119500"/>
    <s v="E"/>
    <d v="2012-11-22T00:00:00"/>
    <x v="3"/>
  </r>
  <r>
    <x v="1204"/>
    <x v="0"/>
    <n v="31"/>
    <x v="1"/>
    <x v="3"/>
    <x v="1"/>
    <n v="9.5"/>
    <n v="5.8"/>
    <x v="4"/>
    <n v="3"/>
    <x v="2"/>
    <n v="64600"/>
    <n v="3700"/>
    <n v="68300"/>
    <s v="B"/>
    <d v="2016-07-11T00:00:00"/>
    <x v="1"/>
  </r>
  <r>
    <x v="1205"/>
    <x v="0"/>
    <n v="37"/>
    <x v="2"/>
    <x v="11"/>
    <x v="0"/>
    <n v="12.4"/>
    <n v="9.3000000000000007"/>
    <x v="3"/>
    <n v="3"/>
    <x v="0"/>
    <n v="108600"/>
    <n v="6600"/>
    <n v="115200"/>
    <s v="E"/>
    <d v="2013-08-05T00:00:00"/>
    <x v="0"/>
  </r>
  <r>
    <x v="1206"/>
    <x v="1"/>
    <n v="43"/>
    <x v="4"/>
    <x v="6"/>
    <x v="2"/>
    <n v="9.4"/>
    <n v="6.5"/>
    <x v="4"/>
    <n v="3"/>
    <x v="0"/>
    <n v="81400"/>
    <n v="12000"/>
    <n v="93400"/>
    <s v="D"/>
    <d v="2016-07-23T00:00:00"/>
    <x v="2"/>
  </r>
  <r>
    <x v="1207"/>
    <x v="1"/>
    <n v="22"/>
    <x v="0"/>
    <x v="1"/>
    <x v="1"/>
    <n v="11.9"/>
    <n v="7.8"/>
    <x v="4"/>
    <n v="4"/>
    <x v="0"/>
    <n v="83400"/>
    <n v="4200"/>
    <n v="87600"/>
    <s v="D"/>
    <d v="2014-01-31T00:00:00"/>
    <x v="1"/>
  </r>
  <r>
    <x v="1208"/>
    <x v="1"/>
    <n v="54"/>
    <x v="3"/>
    <x v="13"/>
    <x v="2"/>
    <n v="6.8"/>
    <n v="3.4"/>
    <x v="2"/>
    <n v="2"/>
    <x v="0"/>
    <n v="107600"/>
    <n v="8500"/>
    <n v="116100"/>
    <s v="E"/>
    <d v="2019-03-17T00:00:00"/>
    <x v="2"/>
  </r>
  <r>
    <x v="1209"/>
    <x v="1"/>
    <n v="32"/>
    <x v="4"/>
    <x v="8"/>
    <x v="2"/>
    <n v="5.7"/>
    <n v="4.8"/>
    <x v="1"/>
    <n v="3"/>
    <x v="0"/>
    <n v="90100"/>
    <n v="11700"/>
    <n v="101800"/>
    <s v="D"/>
    <d v="2020-05-04T00:00:00"/>
    <x v="2"/>
  </r>
  <r>
    <x v="1210"/>
    <x v="0"/>
    <n v="27"/>
    <x v="2"/>
    <x v="4"/>
    <x v="1"/>
    <n v="4.0999999999999996"/>
    <n v="2.8"/>
    <x v="1"/>
    <n v="3"/>
    <x v="0"/>
    <n v="78800"/>
    <n v="3100"/>
    <n v="81900"/>
    <s v="C"/>
    <d v="2021-11-10T00:00:00"/>
    <x v="1"/>
  </r>
  <r>
    <x v="1211"/>
    <x v="0"/>
    <n v="27"/>
    <x v="5"/>
    <x v="17"/>
    <x v="1"/>
    <n v="10.6"/>
    <n v="7.3"/>
    <x v="4"/>
    <n v="3"/>
    <x v="0"/>
    <n v="97200"/>
    <n v="19900"/>
    <n v="117100"/>
    <s v="D"/>
    <d v="2015-06-02T00:00:00"/>
    <x v="1"/>
  </r>
  <r>
    <x v="1212"/>
    <x v="1"/>
    <n v="21"/>
    <x v="1"/>
    <x v="10"/>
    <x v="2"/>
    <n v="4"/>
    <n v="2"/>
    <x v="1"/>
    <n v="3"/>
    <x v="2"/>
    <n v="87400"/>
    <n v="7400"/>
    <n v="94800"/>
    <s v="D"/>
    <d v="2021-12-22T00:00:00"/>
    <x v="2"/>
  </r>
  <r>
    <x v="1213"/>
    <x v="1"/>
    <n v="55"/>
    <x v="1"/>
    <x v="7"/>
    <x v="2"/>
    <n v="12.7"/>
    <n v="7.2"/>
    <x v="3"/>
    <n v="3"/>
    <x v="0"/>
    <n v="82700"/>
    <n v="6700"/>
    <n v="89400"/>
    <s v="D"/>
    <d v="2013-04-10T00:00:00"/>
    <x v="2"/>
  </r>
  <r>
    <x v="1214"/>
    <x v="1"/>
    <n v="33"/>
    <x v="5"/>
    <x v="17"/>
    <x v="1"/>
    <n v="8"/>
    <n v="4.5999999999999996"/>
    <x v="2"/>
    <n v="3"/>
    <x v="0"/>
    <n v="98800"/>
    <n v="15100"/>
    <n v="113900"/>
    <s v="D"/>
    <d v="2017-12-19T00:00:00"/>
    <x v="1"/>
  </r>
  <r>
    <x v="1215"/>
    <x v="0"/>
    <n v="33"/>
    <x v="3"/>
    <x v="13"/>
    <x v="1"/>
    <n v="7.8"/>
    <n v="7"/>
    <x v="2"/>
    <n v="4"/>
    <x v="0"/>
    <n v="96700"/>
    <n v="6400"/>
    <n v="103100"/>
    <s v="D"/>
    <d v="2018-03-03T00:00:00"/>
    <x v="1"/>
  </r>
  <r>
    <x v="1216"/>
    <x v="1"/>
    <n v="49"/>
    <x v="3"/>
    <x v="13"/>
    <x v="1"/>
    <n v="6.5"/>
    <n v="6.1"/>
    <x v="2"/>
    <n v="2"/>
    <x v="0"/>
    <n v="94000"/>
    <n v="5400"/>
    <n v="99400"/>
    <s v="D"/>
    <d v="2019-07-18T00:00:00"/>
    <x v="1"/>
  </r>
  <r>
    <x v="1217"/>
    <x v="0"/>
    <n v="43"/>
    <x v="3"/>
    <x v="13"/>
    <x v="2"/>
    <n v="4.4000000000000004"/>
    <n v="4.2"/>
    <x v="1"/>
    <n v="3"/>
    <x v="0"/>
    <n v="102200"/>
    <n v="4000"/>
    <n v="106200"/>
    <s v="E"/>
    <d v="2021-08-07T00:00:00"/>
    <x v="2"/>
  </r>
  <r>
    <x v="1218"/>
    <x v="1"/>
    <n v="35"/>
    <x v="1"/>
    <x v="3"/>
    <x v="2"/>
    <n v="6.3"/>
    <n v="2.5"/>
    <x v="2"/>
    <n v="4"/>
    <x v="0"/>
    <n v="90200"/>
    <n v="4200"/>
    <n v="94400"/>
    <s v="D"/>
    <d v="2019-09-20T00:00:00"/>
    <x v="2"/>
  </r>
  <r>
    <x v="1219"/>
    <x v="0"/>
    <n v="33"/>
    <x v="1"/>
    <x v="7"/>
    <x v="1"/>
    <n v="2.1"/>
    <n v="0.3"/>
    <x v="0"/>
    <n v="4"/>
    <x v="0"/>
    <n v="65300"/>
    <n v="6300"/>
    <n v="71600"/>
    <s v="C"/>
    <d v="2023-11-24T00:00:00"/>
    <x v="1"/>
  </r>
  <r>
    <x v="1220"/>
    <x v="0"/>
    <n v="39"/>
    <x v="4"/>
    <x v="16"/>
    <x v="1"/>
    <n v="6.1"/>
    <n v="4.5999999999999996"/>
    <x v="2"/>
    <n v="3"/>
    <x v="0"/>
    <n v="102200"/>
    <n v="14800"/>
    <n v="117000"/>
    <s v="E"/>
    <d v="2019-11-19T00:00:00"/>
    <x v="1"/>
  </r>
  <r>
    <x v="1221"/>
    <x v="0"/>
    <n v="42"/>
    <x v="4"/>
    <x v="14"/>
    <x v="1"/>
    <n v="12.2"/>
    <n v="8.9"/>
    <x v="3"/>
    <n v="5"/>
    <x v="0"/>
    <n v="127100"/>
    <n v="15900"/>
    <n v="143000"/>
    <s v="E"/>
    <d v="2013-10-04T00:00:00"/>
    <x v="1"/>
  </r>
  <r>
    <x v="1222"/>
    <x v="1"/>
    <n v="39"/>
    <x v="0"/>
    <x v="2"/>
    <x v="2"/>
    <n v="1.3"/>
    <n v="0"/>
    <x v="0"/>
    <n v="4"/>
    <x v="1"/>
    <n v="40800"/>
    <n v="2600"/>
    <n v="43400"/>
    <s v="A"/>
    <d v="2024-09-24T00:00:00"/>
    <x v="2"/>
  </r>
  <r>
    <x v="1223"/>
    <x v="1"/>
    <n v="41"/>
    <x v="3"/>
    <x v="13"/>
    <x v="2"/>
    <n v="11.5"/>
    <n v="7"/>
    <x v="4"/>
    <n v="3"/>
    <x v="0"/>
    <n v="123700"/>
    <n v="4200"/>
    <n v="127900"/>
    <s v="E"/>
    <d v="2014-06-17T00:00:00"/>
    <x v="2"/>
  </r>
  <r>
    <x v="1224"/>
    <x v="1"/>
    <n v="43"/>
    <x v="3"/>
    <x v="13"/>
    <x v="2"/>
    <n v="9.6999999999999993"/>
    <n v="8.5"/>
    <x v="4"/>
    <n v="3"/>
    <x v="0"/>
    <n v="104300"/>
    <n v="7900"/>
    <n v="112200"/>
    <s v="E"/>
    <d v="2016-04-21T00:00:00"/>
    <x v="2"/>
  </r>
  <r>
    <x v="1225"/>
    <x v="0"/>
    <n v="43"/>
    <x v="3"/>
    <x v="5"/>
    <x v="1"/>
    <n v="11.9"/>
    <n v="6.9"/>
    <x v="4"/>
    <n v="2"/>
    <x v="0"/>
    <n v="74800"/>
    <n v="4500"/>
    <n v="79300"/>
    <s v="C"/>
    <d v="2014-01-31T00:00:00"/>
    <x v="1"/>
  </r>
  <r>
    <x v="1226"/>
    <x v="0"/>
    <n v="26"/>
    <x v="1"/>
    <x v="3"/>
    <x v="0"/>
    <n v="5.0999999999999996"/>
    <n v="3.7"/>
    <x v="1"/>
    <n v="4"/>
    <x v="0"/>
    <n v="68700"/>
    <n v="2900"/>
    <n v="71600"/>
    <s v="C"/>
    <d v="2020-12-10T00:00:00"/>
    <x v="0"/>
  </r>
  <r>
    <x v="1227"/>
    <x v="1"/>
    <n v="37"/>
    <x v="0"/>
    <x v="0"/>
    <x v="1"/>
    <n v="3.8"/>
    <n v="3.8"/>
    <x v="1"/>
    <n v="4"/>
    <x v="0"/>
    <n v="89700"/>
    <n v="9400"/>
    <n v="99100"/>
    <s v="D"/>
    <d v="2022-03-14T00:00:00"/>
    <x v="1"/>
  </r>
  <r>
    <x v="1228"/>
    <x v="1"/>
    <n v="42"/>
    <x v="1"/>
    <x v="7"/>
    <x v="1"/>
    <n v="11.3"/>
    <n v="7.1"/>
    <x v="4"/>
    <n v="4"/>
    <x v="1"/>
    <n v="48000"/>
    <n v="4700"/>
    <n v="52700"/>
    <s v="A"/>
    <d v="2014-09-18T00:00:00"/>
    <x v="1"/>
  </r>
  <r>
    <x v="1229"/>
    <x v="0"/>
    <n v="33"/>
    <x v="3"/>
    <x v="13"/>
    <x v="3"/>
    <n v="7.7"/>
    <n v="6.1"/>
    <x v="2"/>
    <n v="4"/>
    <x v="0"/>
    <n v="117200"/>
    <n v="9100"/>
    <n v="126300"/>
    <s v="E"/>
    <d v="2018-04-04T00:00:00"/>
    <x v="3"/>
  </r>
  <r>
    <x v="1230"/>
    <x v="1"/>
    <n v="35"/>
    <x v="0"/>
    <x v="1"/>
    <x v="2"/>
    <n v="12.7"/>
    <n v="6.6"/>
    <x v="3"/>
    <n v="3"/>
    <x v="0"/>
    <n v="87100"/>
    <n v="5900"/>
    <n v="93000"/>
    <s v="D"/>
    <d v="2013-04-03T00:00:00"/>
    <x v="2"/>
  </r>
  <r>
    <x v="1231"/>
    <x v="1"/>
    <n v="38"/>
    <x v="1"/>
    <x v="7"/>
    <x v="1"/>
    <n v="1.6"/>
    <n v="0"/>
    <x v="0"/>
    <n v="3"/>
    <x v="0"/>
    <n v="67200"/>
    <n v="2700"/>
    <n v="69900"/>
    <s v="C"/>
    <d v="2024-05-26T00:00:00"/>
    <x v="1"/>
  </r>
  <r>
    <x v="1232"/>
    <x v="0"/>
    <n v="31"/>
    <x v="4"/>
    <x v="6"/>
    <x v="0"/>
    <n v="13.9"/>
    <n v="9.6"/>
    <x v="3"/>
    <n v="5"/>
    <x v="0"/>
    <n v="76600"/>
    <n v="7200"/>
    <n v="83800"/>
    <s v="C"/>
    <d v="2012-02-20T00:00:00"/>
    <x v="0"/>
  </r>
  <r>
    <x v="1233"/>
    <x v="0"/>
    <n v="32"/>
    <x v="3"/>
    <x v="12"/>
    <x v="1"/>
    <n v="13.2"/>
    <n v="8.1"/>
    <x v="3"/>
    <n v="3"/>
    <x v="0"/>
    <n v="70300"/>
    <n v="5700"/>
    <n v="76000"/>
    <s v="C"/>
    <d v="2012-10-17T00:00:00"/>
    <x v="1"/>
  </r>
  <r>
    <x v="1234"/>
    <x v="1"/>
    <n v="35"/>
    <x v="1"/>
    <x v="10"/>
    <x v="1"/>
    <n v="1.4"/>
    <n v="1.4"/>
    <x v="0"/>
    <n v="4"/>
    <x v="0"/>
    <n v="102300"/>
    <n v="11200"/>
    <n v="113500"/>
    <s v="E"/>
    <d v="2024-08-12T00:00:00"/>
    <x v="1"/>
  </r>
  <r>
    <x v="1235"/>
    <x v="0"/>
    <n v="38"/>
    <x v="5"/>
    <x v="17"/>
    <x v="0"/>
    <n v="11.4"/>
    <n v="9.6999999999999993"/>
    <x v="4"/>
    <n v="3"/>
    <x v="0"/>
    <n v="104900"/>
    <n v="8500"/>
    <n v="113400"/>
    <s v="E"/>
    <d v="2014-08-05T00:00:00"/>
    <x v="0"/>
  </r>
  <r>
    <x v="1236"/>
    <x v="1"/>
    <n v="35"/>
    <x v="2"/>
    <x v="18"/>
    <x v="2"/>
    <n v="10.199999999999999"/>
    <n v="7.1"/>
    <x v="4"/>
    <n v="4"/>
    <x v="0"/>
    <n v="73200"/>
    <n v="4400"/>
    <n v="77600"/>
    <s v="C"/>
    <d v="2015-10-26T00:00:00"/>
    <x v="2"/>
  </r>
  <r>
    <x v="1237"/>
    <x v="1"/>
    <n v="34"/>
    <x v="0"/>
    <x v="0"/>
    <x v="1"/>
    <n v="6.4"/>
    <n v="5.4"/>
    <x v="2"/>
    <n v="5"/>
    <x v="0"/>
    <n v="108000"/>
    <n v="10300"/>
    <n v="118300"/>
    <s v="E"/>
    <d v="2019-08-09T00:00:00"/>
    <x v="1"/>
  </r>
  <r>
    <x v="1238"/>
    <x v="1"/>
    <n v="49"/>
    <x v="3"/>
    <x v="12"/>
    <x v="2"/>
    <n v="3.3"/>
    <n v="3.3"/>
    <x v="1"/>
    <n v="4"/>
    <x v="0"/>
    <n v="70800"/>
    <n v="3000"/>
    <n v="73800"/>
    <s v="C"/>
    <d v="2022-09-16T00:00:00"/>
    <x v="2"/>
  </r>
  <r>
    <x v="1239"/>
    <x v="0"/>
    <n v="42"/>
    <x v="0"/>
    <x v="2"/>
    <x v="2"/>
    <n v="13.1"/>
    <n v="10.4"/>
    <x v="3"/>
    <n v="3"/>
    <x v="0"/>
    <n v="75800"/>
    <n v="4900"/>
    <n v="80700"/>
    <s v="C"/>
    <d v="2012-11-21T00:00:00"/>
    <x v="2"/>
  </r>
  <r>
    <x v="1240"/>
    <x v="0"/>
    <n v="31"/>
    <x v="1"/>
    <x v="10"/>
    <x v="1"/>
    <n v="6.7"/>
    <n v="2.4"/>
    <x v="2"/>
    <n v="3"/>
    <x v="0"/>
    <n v="107900"/>
    <n v="7300"/>
    <n v="115200"/>
    <s v="E"/>
    <d v="2019-04-25T00:00:00"/>
    <x v="1"/>
  </r>
  <r>
    <x v="1241"/>
    <x v="1"/>
    <n v="45"/>
    <x v="4"/>
    <x v="6"/>
    <x v="0"/>
    <n v="1.8"/>
    <n v="1.1000000000000001"/>
    <x v="0"/>
    <n v="3"/>
    <x v="0"/>
    <n v="73700"/>
    <n v="6600"/>
    <n v="80300"/>
    <s v="C"/>
    <d v="2024-03-28T00:00:00"/>
    <x v="0"/>
  </r>
  <r>
    <x v="1242"/>
    <x v="1"/>
    <n v="27"/>
    <x v="4"/>
    <x v="6"/>
    <x v="2"/>
    <n v="9.9"/>
    <n v="7.5"/>
    <x v="4"/>
    <n v="3"/>
    <x v="0"/>
    <n v="82800"/>
    <n v="9900"/>
    <n v="92700"/>
    <s v="D"/>
    <d v="2016-02-04T00:00:00"/>
    <x v="2"/>
  </r>
  <r>
    <x v="1243"/>
    <x v="0"/>
    <n v="21"/>
    <x v="5"/>
    <x v="17"/>
    <x v="1"/>
    <n v="10.9"/>
    <n v="7"/>
    <x v="4"/>
    <n v="3"/>
    <x v="2"/>
    <n v="93600"/>
    <n v="18700"/>
    <n v="112300"/>
    <s v="D"/>
    <d v="2015-02-08T00:00:00"/>
    <x v="1"/>
  </r>
  <r>
    <x v="1244"/>
    <x v="0"/>
    <n v="34"/>
    <x v="4"/>
    <x v="14"/>
    <x v="2"/>
    <n v="1.4"/>
    <n v="1.4"/>
    <x v="0"/>
    <n v="3"/>
    <x v="0"/>
    <n v="112400"/>
    <n v="16000"/>
    <n v="128400"/>
    <s v="E"/>
    <d v="2024-08-21T00:00:00"/>
    <x v="2"/>
  </r>
  <r>
    <x v="1245"/>
    <x v="1"/>
    <n v="42"/>
    <x v="1"/>
    <x v="3"/>
    <x v="0"/>
    <n v="4.4000000000000004"/>
    <n v="3.2"/>
    <x v="1"/>
    <n v="2"/>
    <x v="0"/>
    <n v="53500"/>
    <n v="5500"/>
    <n v="59000"/>
    <s v="B"/>
    <d v="2021-08-19T00:00:00"/>
    <x v="0"/>
  </r>
  <r>
    <x v="1246"/>
    <x v="0"/>
    <n v="50"/>
    <x v="4"/>
    <x v="14"/>
    <x v="2"/>
    <n v="6.6"/>
    <n v="4.3"/>
    <x v="2"/>
    <n v="3"/>
    <x v="0"/>
    <n v="132000"/>
    <n v="9600"/>
    <n v="141600"/>
    <s v="E"/>
    <d v="2019-06-08T00:00:00"/>
    <x v="2"/>
  </r>
  <r>
    <x v="1247"/>
    <x v="0"/>
    <n v="40"/>
    <x v="1"/>
    <x v="10"/>
    <x v="2"/>
    <n v="4.3"/>
    <n v="3.9"/>
    <x v="1"/>
    <n v="2"/>
    <x v="0"/>
    <n v="101500"/>
    <n v="6300"/>
    <n v="107800"/>
    <s v="E"/>
    <d v="2021-09-08T00:00:00"/>
    <x v="2"/>
  </r>
  <r>
    <x v="1248"/>
    <x v="0"/>
    <n v="47"/>
    <x v="2"/>
    <x v="11"/>
    <x v="1"/>
    <n v="8.8000000000000007"/>
    <n v="6.7"/>
    <x v="2"/>
    <n v="3"/>
    <x v="0"/>
    <n v="109600"/>
    <n v="11400"/>
    <n v="121000"/>
    <s v="E"/>
    <d v="2017-03-06T00:00:00"/>
    <x v="1"/>
  </r>
  <r>
    <x v="1249"/>
    <x v="1"/>
    <n v="42"/>
    <x v="1"/>
    <x v="3"/>
    <x v="1"/>
    <n v="11.8"/>
    <n v="10.1"/>
    <x v="4"/>
    <n v="3"/>
    <x v="0"/>
    <n v="81700"/>
    <n v="4900"/>
    <n v="86600"/>
    <s v="D"/>
    <d v="2014-03-15T00:00:00"/>
    <x v="1"/>
  </r>
  <r>
    <x v="1250"/>
    <x v="0"/>
    <n v="23"/>
    <x v="2"/>
    <x v="4"/>
    <x v="1"/>
    <n v="2.2000000000000002"/>
    <n v="0.6"/>
    <x v="0"/>
    <n v="3"/>
    <x v="0"/>
    <n v="80100"/>
    <n v="5400"/>
    <n v="85500"/>
    <s v="D"/>
    <d v="2023-11-04T00:00:00"/>
    <x v="1"/>
  </r>
  <r>
    <x v="1251"/>
    <x v="1"/>
    <n v="36"/>
    <x v="0"/>
    <x v="2"/>
    <x v="1"/>
    <n v="9.1999999999999993"/>
    <n v="6.4"/>
    <x v="4"/>
    <n v="3"/>
    <x v="1"/>
    <n v="47200"/>
    <n v="5700"/>
    <n v="52900"/>
    <s v="A"/>
    <d v="2016-10-23T00:00:00"/>
    <x v="1"/>
  </r>
  <r>
    <x v="1252"/>
    <x v="0"/>
    <n v="33"/>
    <x v="1"/>
    <x v="3"/>
    <x v="3"/>
    <n v="6.2"/>
    <n v="3.5"/>
    <x v="2"/>
    <n v="5"/>
    <x v="0"/>
    <n v="86500"/>
    <n v="4700"/>
    <n v="91200"/>
    <s v="D"/>
    <d v="2019-10-12T00:00:00"/>
    <x v="3"/>
  </r>
  <r>
    <x v="1253"/>
    <x v="0"/>
    <n v="32"/>
    <x v="5"/>
    <x v="17"/>
    <x v="0"/>
    <n v="13.7"/>
    <n v="6.7"/>
    <x v="3"/>
    <n v="3"/>
    <x v="0"/>
    <n v="107700"/>
    <n v="16200"/>
    <n v="123900"/>
    <s v="E"/>
    <d v="2012-05-03T00:00:00"/>
    <x v="0"/>
  </r>
  <r>
    <x v="1254"/>
    <x v="1"/>
    <n v="26"/>
    <x v="5"/>
    <x v="15"/>
    <x v="1"/>
    <n v="13.4"/>
    <n v="8.6"/>
    <x v="3"/>
    <n v="1"/>
    <x v="0"/>
    <n v="73100"/>
    <n v="13400"/>
    <n v="86500"/>
    <s v="C"/>
    <d v="2012-07-29T00:00:00"/>
    <x v="1"/>
  </r>
  <r>
    <x v="1255"/>
    <x v="0"/>
    <n v="44"/>
    <x v="4"/>
    <x v="8"/>
    <x v="1"/>
    <n v="2.1"/>
    <n v="2.1"/>
    <x v="0"/>
    <n v="5"/>
    <x v="0"/>
    <n v="85700"/>
    <n v="6900"/>
    <n v="92600"/>
    <s v="D"/>
    <d v="2023-12-13T00:00:00"/>
    <x v="1"/>
  </r>
  <r>
    <x v="1256"/>
    <x v="1"/>
    <n v="28"/>
    <x v="0"/>
    <x v="1"/>
    <x v="1"/>
    <n v="7.6"/>
    <n v="6"/>
    <x v="2"/>
    <n v="3"/>
    <x v="0"/>
    <n v="78400"/>
    <n v="7300"/>
    <n v="85700"/>
    <s v="C"/>
    <d v="2018-05-20T00:00:00"/>
    <x v="1"/>
  </r>
  <r>
    <x v="1257"/>
    <x v="0"/>
    <n v="34"/>
    <x v="3"/>
    <x v="5"/>
    <x v="2"/>
    <n v="3.7"/>
    <n v="3.7"/>
    <x v="1"/>
    <n v="4"/>
    <x v="1"/>
    <n v="54000"/>
    <n v="3000"/>
    <n v="57000"/>
    <s v="B"/>
    <d v="2022-04-14T00:00:00"/>
    <x v="2"/>
  </r>
  <r>
    <x v="1258"/>
    <x v="0"/>
    <n v="36"/>
    <x v="2"/>
    <x v="4"/>
    <x v="1"/>
    <n v="6"/>
    <n v="4.0999999999999996"/>
    <x v="2"/>
    <n v="2"/>
    <x v="0"/>
    <n v="82400"/>
    <n v="4300"/>
    <n v="86700"/>
    <s v="D"/>
    <d v="2020-01-02T00:00:00"/>
    <x v="1"/>
  </r>
  <r>
    <x v="1259"/>
    <x v="0"/>
    <n v="34"/>
    <x v="3"/>
    <x v="12"/>
    <x v="1"/>
    <n v="9.5"/>
    <n v="6.9"/>
    <x v="4"/>
    <n v="4"/>
    <x v="0"/>
    <n v="71900"/>
    <n v="4900"/>
    <n v="76800"/>
    <s v="C"/>
    <d v="2016-07-13T00:00:00"/>
    <x v="1"/>
  </r>
  <r>
    <x v="1260"/>
    <x v="1"/>
    <n v="33"/>
    <x v="0"/>
    <x v="0"/>
    <x v="1"/>
    <n v="11.2"/>
    <n v="8.6999999999999993"/>
    <x v="4"/>
    <n v="2"/>
    <x v="0"/>
    <n v="107700"/>
    <n v="6300"/>
    <n v="114000"/>
    <s v="E"/>
    <d v="2014-10-03T00:00:00"/>
    <x v="1"/>
  </r>
  <r>
    <x v="1261"/>
    <x v="0"/>
    <n v="49"/>
    <x v="0"/>
    <x v="2"/>
    <x v="1"/>
    <n v="9.9"/>
    <n v="6"/>
    <x v="4"/>
    <n v="4"/>
    <x v="0"/>
    <n v="69200"/>
    <n v="3200"/>
    <n v="72400"/>
    <s v="C"/>
    <d v="2016-02-05T00:00:00"/>
    <x v="1"/>
  </r>
  <r>
    <x v="1262"/>
    <x v="0"/>
    <n v="38"/>
    <x v="0"/>
    <x v="2"/>
    <x v="2"/>
    <n v="12.6"/>
    <n v="6.2"/>
    <x v="3"/>
    <n v="4"/>
    <x v="0"/>
    <n v="83600"/>
    <n v="6900"/>
    <n v="90500"/>
    <s v="D"/>
    <d v="2013-06-10T00:00:00"/>
    <x v="2"/>
  </r>
  <r>
    <x v="1263"/>
    <x v="1"/>
    <n v="30"/>
    <x v="0"/>
    <x v="1"/>
    <x v="2"/>
    <n v="6.7"/>
    <n v="5.4"/>
    <x v="2"/>
    <n v="3"/>
    <x v="0"/>
    <n v="83100"/>
    <n v="6200"/>
    <n v="89300"/>
    <s v="D"/>
    <d v="2019-04-20T00:00:00"/>
    <x v="2"/>
  </r>
  <r>
    <x v="1264"/>
    <x v="0"/>
    <n v="42"/>
    <x v="5"/>
    <x v="9"/>
    <x v="1"/>
    <n v="6.2"/>
    <n v="4.2"/>
    <x v="2"/>
    <n v="3"/>
    <x v="0"/>
    <n v="97800"/>
    <n v="10500"/>
    <n v="108300"/>
    <s v="D"/>
    <d v="2019-11-06T00:00:00"/>
    <x v="1"/>
  </r>
  <r>
    <x v="1265"/>
    <x v="0"/>
    <n v="36"/>
    <x v="4"/>
    <x v="16"/>
    <x v="3"/>
    <n v="7.7"/>
    <n v="5.2"/>
    <x v="2"/>
    <n v="4"/>
    <x v="0"/>
    <n v="107100"/>
    <n v="13200"/>
    <n v="120300"/>
    <s v="E"/>
    <d v="2018-04-25T00:00:00"/>
    <x v="3"/>
  </r>
  <r>
    <x v="1266"/>
    <x v="0"/>
    <n v="37"/>
    <x v="0"/>
    <x v="1"/>
    <x v="2"/>
    <n v="12.4"/>
    <n v="7.7"/>
    <x v="3"/>
    <n v="3"/>
    <x v="2"/>
    <n v="71700"/>
    <n v="5400"/>
    <n v="77100"/>
    <s v="C"/>
    <d v="2013-07-26T00:00:00"/>
    <x v="2"/>
  </r>
  <r>
    <x v="1267"/>
    <x v="0"/>
    <n v="40"/>
    <x v="4"/>
    <x v="6"/>
    <x v="1"/>
    <n v="10.5"/>
    <n v="7.3"/>
    <x v="4"/>
    <n v="3"/>
    <x v="0"/>
    <n v="79600"/>
    <n v="5800"/>
    <n v="85400"/>
    <s v="C"/>
    <d v="2015-06-16T00:00:00"/>
    <x v="1"/>
  </r>
  <r>
    <x v="1268"/>
    <x v="1"/>
    <n v="34"/>
    <x v="1"/>
    <x v="3"/>
    <x v="1"/>
    <n v="6"/>
    <n v="3.3"/>
    <x v="2"/>
    <n v="3"/>
    <x v="1"/>
    <n v="49200"/>
    <n v="3700"/>
    <n v="52900"/>
    <s v="A"/>
    <d v="2020-01-11T00:00:00"/>
    <x v="1"/>
  </r>
  <r>
    <x v="1269"/>
    <x v="0"/>
    <n v="25"/>
    <x v="0"/>
    <x v="0"/>
    <x v="1"/>
    <n v="3.7"/>
    <n v="3.2"/>
    <x v="1"/>
    <n v="2"/>
    <x v="0"/>
    <n v="86700"/>
    <n v="8300"/>
    <n v="95000"/>
    <s v="D"/>
    <d v="2022-05-04T00:00:00"/>
    <x v="1"/>
  </r>
  <r>
    <x v="1270"/>
    <x v="1"/>
    <n v="25"/>
    <x v="2"/>
    <x v="11"/>
    <x v="1"/>
    <n v="8.5"/>
    <n v="3.1"/>
    <x v="2"/>
    <n v="4"/>
    <x v="2"/>
    <n v="79500"/>
    <n v="5800"/>
    <n v="85300"/>
    <s v="C"/>
    <d v="2017-06-21T00:00:00"/>
    <x v="1"/>
  </r>
  <r>
    <x v="1271"/>
    <x v="1"/>
    <n v="50"/>
    <x v="2"/>
    <x v="4"/>
    <x v="2"/>
    <n v="2.2999999999999998"/>
    <n v="1.7"/>
    <x v="0"/>
    <n v="3"/>
    <x v="0"/>
    <n v="77400"/>
    <n v="5200"/>
    <n v="82600"/>
    <s v="C"/>
    <d v="2023-09-30T00:00:00"/>
    <x v="2"/>
  </r>
  <r>
    <x v="1272"/>
    <x v="1"/>
    <n v="46"/>
    <x v="5"/>
    <x v="17"/>
    <x v="0"/>
    <n v="5.0999999999999996"/>
    <n v="3.9"/>
    <x v="1"/>
    <n v="4"/>
    <x v="0"/>
    <n v="92800"/>
    <n v="9400"/>
    <n v="102200"/>
    <s v="D"/>
    <d v="2020-11-09T00:00:00"/>
    <x v="0"/>
  </r>
  <r>
    <x v="1273"/>
    <x v="0"/>
    <n v="29"/>
    <x v="5"/>
    <x v="17"/>
    <x v="2"/>
    <n v="10.5"/>
    <n v="5.2"/>
    <x v="4"/>
    <n v="3"/>
    <x v="0"/>
    <n v="127300"/>
    <n v="10000"/>
    <n v="137300"/>
    <s v="E"/>
    <d v="2015-07-12T00:00:00"/>
    <x v="2"/>
  </r>
  <r>
    <x v="1274"/>
    <x v="1"/>
    <n v="41"/>
    <x v="3"/>
    <x v="12"/>
    <x v="1"/>
    <n v="11.9"/>
    <n v="9.1"/>
    <x v="4"/>
    <n v="3"/>
    <x v="0"/>
    <n v="74000"/>
    <n v="4100"/>
    <n v="78100"/>
    <s v="C"/>
    <d v="2014-02-07T00:00:00"/>
    <x v="1"/>
  </r>
  <r>
    <x v="1275"/>
    <x v="1"/>
    <n v="32"/>
    <x v="0"/>
    <x v="0"/>
    <x v="1"/>
    <n v="3.3"/>
    <n v="2.1"/>
    <x v="1"/>
    <n v="3"/>
    <x v="0"/>
    <n v="82900"/>
    <n v="5100"/>
    <n v="88000"/>
    <s v="D"/>
    <d v="2022-09-07T00:00:00"/>
    <x v="1"/>
  </r>
  <r>
    <x v="1276"/>
    <x v="0"/>
    <n v="24"/>
    <x v="0"/>
    <x v="2"/>
    <x v="1"/>
    <n v="5.0999999999999996"/>
    <n v="4.0999999999999996"/>
    <x v="1"/>
    <n v="3"/>
    <x v="0"/>
    <n v="62700"/>
    <n v="4900"/>
    <n v="67600"/>
    <s v="B"/>
    <d v="2020-11-16T00:00:00"/>
    <x v="1"/>
  </r>
  <r>
    <x v="1277"/>
    <x v="0"/>
    <n v="42"/>
    <x v="1"/>
    <x v="10"/>
    <x v="1"/>
    <n v="8.9"/>
    <n v="3.8"/>
    <x v="2"/>
    <n v="5"/>
    <x v="0"/>
    <n v="103000"/>
    <n v="10700"/>
    <n v="113700"/>
    <s v="E"/>
    <d v="2017-02-01T00:00:00"/>
    <x v="1"/>
  </r>
  <r>
    <x v="1278"/>
    <x v="1"/>
    <n v="24"/>
    <x v="5"/>
    <x v="9"/>
    <x v="2"/>
    <n v="5.6"/>
    <n v="5.6"/>
    <x v="1"/>
    <n v="3"/>
    <x v="0"/>
    <n v="120600"/>
    <n v="24300"/>
    <n v="144900"/>
    <s v="E"/>
    <d v="2020-05-26T00:00:00"/>
    <x v="2"/>
  </r>
  <r>
    <x v="1279"/>
    <x v="0"/>
    <n v="40"/>
    <x v="5"/>
    <x v="9"/>
    <x v="0"/>
    <n v="11"/>
    <n v="7.6"/>
    <x v="4"/>
    <n v="4"/>
    <x v="0"/>
    <n v="104100"/>
    <n v="8700"/>
    <n v="112800"/>
    <s v="E"/>
    <d v="2015-01-16T00:00:00"/>
    <x v="0"/>
  </r>
  <r>
    <x v="1280"/>
    <x v="0"/>
    <n v="36"/>
    <x v="3"/>
    <x v="5"/>
    <x v="2"/>
    <n v="1.7"/>
    <n v="1.7"/>
    <x v="0"/>
    <n v="3"/>
    <x v="0"/>
    <n v="80000"/>
    <n v="3800"/>
    <n v="83800"/>
    <s v="D"/>
    <d v="2024-04-11T00:00:00"/>
    <x v="2"/>
  </r>
  <r>
    <x v="1281"/>
    <x v="1"/>
    <n v="25"/>
    <x v="0"/>
    <x v="1"/>
    <x v="0"/>
    <n v="8.4"/>
    <n v="5.6"/>
    <x v="2"/>
    <n v="3"/>
    <x v="0"/>
    <n v="70200"/>
    <n v="6800"/>
    <n v="77000"/>
    <s v="C"/>
    <d v="2017-08-01T00:00:00"/>
    <x v="0"/>
  </r>
  <r>
    <x v="1282"/>
    <x v="1"/>
    <n v="42"/>
    <x v="4"/>
    <x v="8"/>
    <x v="2"/>
    <n v="8.5"/>
    <n v="4.4000000000000004"/>
    <x v="2"/>
    <n v="3"/>
    <x v="1"/>
    <n v="55100"/>
    <n v="5300"/>
    <n v="60400"/>
    <s v="B"/>
    <d v="2017-07-20T00:00:00"/>
    <x v="2"/>
  </r>
  <r>
    <x v="1283"/>
    <x v="0"/>
    <n v="40"/>
    <x v="3"/>
    <x v="5"/>
    <x v="3"/>
    <n v="8.3000000000000007"/>
    <n v="6.3"/>
    <x v="2"/>
    <n v="3"/>
    <x v="0"/>
    <n v="84000"/>
    <n v="7100"/>
    <n v="91100"/>
    <s v="D"/>
    <d v="2017-08-30T00:00:00"/>
    <x v="3"/>
  </r>
  <r>
    <x v="1284"/>
    <x v="0"/>
    <n v="46"/>
    <x v="5"/>
    <x v="9"/>
    <x v="1"/>
    <n v="11.9"/>
    <n v="9.1999999999999993"/>
    <x v="4"/>
    <n v="4"/>
    <x v="0"/>
    <n v="119600"/>
    <n v="9800"/>
    <n v="129400"/>
    <s v="E"/>
    <d v="2014-01-22T00:00:00"/>
    <x v="1"/>
  </r>
  <r>
    <x v="1285"/>
    <x v="0"/>
    <n v="31"/>
    <x v="3"/>
    <x v="5"/>
    <x v="1"/>
    <n v="8.1"/>
    <n v="6.6"/>
    <x v="2"/>
    <n v="3"/>
    <x v="0"/>
    <n v="78800"/>
    <n v="2500"/>
    <n v="81300"/>
    <s v="C"/>
    <d v="2017-12-09T00:00:00"/>
    <x v="1"/>
  </r>
  <r>
    <x v="1286"/>
    <x v="1"/>
    <n v="24"/>
    <x v="2"/>
    <x v="18"/>
    <x v="1"/>
    <n v="10.6"/>
    <n v="7"/>
    <x v="4"/>
    <n v="4"/>
    <x v="0"/>
    <n v="71300"/>
    <n v="4400"/>
    <n v="75700"/>
    <s v="C"/>
    <d v="2015-06-10T00:00:00"/>
    <x v="1"/>
  </r>
  <r>
    <x v="1287"/>
    <x v="0"/>
    <n v="38"/>
    <x v="3"/>
    <x v="12"/>
    <x v="2"/>
    <n v="9.1999999999999993"/>
    <n v="6.6"/>
    <x v="4"/>
    <n v="3"/>
    <x v="0"/>
    <n v="79000"/>
    <n v="3900"/>
    <n v="82900"/>
    <s v="C"/>
    <d v="2016-10-31T00:00:00"/>
    <x v="2"/>
  </r>
  <r>
    <x v="1288"/>
    <x v="1"/>
    <n v="37"/>
    <x v="0"/>
    <x v="1"/>
    <x v="3"/>
    <n v="11"/>
    <n v="6.4"/>
    <x v="4"/>
    <n v="4"/>
    <x v="0"/>
    <n v="97900"/>
    <n v="7100"/>
    <n v="105000"/>
    <s v="D"/>
    <d v="2014-12-29T00:00:00"/>
    <x v="3"/>
  </r>
  <r>
    <x v="1289"/>
    <x v="0"/>
    <n v="35"/>
    <x v="1"/>
    <x v="3"/>
    <x v="0"/>
    <n v="8.3000000000000007"/>
    <n v="5.4"/>
    <x v="2"/>
    <n v="3"/>
    <x v="0"/>
    <n v="84200"/>
    <n v="8100"/>
    <n v="92300"/>
    <s v="D"/>
    <d v="2017-09-06T00:00:00"/>
    <x v="0"/>
  </r>
  <r>
    <x v="1290"/>
    <x v="1"/>
    <n v="27"/>
    <x v="4"/>
    <x v="14"/>
    <x v="2"/>
    <n v="1.8"/>
    <n v="0"/>
    <x v="0"/>
    <n v="5"/>
    <x v="0"/>
    <n v="105800"/>
    <n v="13400"/>
    <n v="119200"/>
    <s v="E"/>
    <d v="2024-03-06T00:00:00"/>
    <x v="2"/>
  </r>
  <r>
    <x v="1291"/>
    <x v="0"/>
    <n v="37"/>
    <x v="4"/>
    <x v="8"/>
    <x v="1"/>
    <n v="8.9"/>
    <n v="7.7"/>
    <x v="2"/>
    <n v="3"/>
    <x v="0"/>
    <n v="85200"/>
    <n v="8800"/>
    <n v="94000"/>
    <s v="D"/>
    <d v="2017-02-05T00:00:00"/>
    <x v="1"/>
  </r>
  <r>
    <x v="1292"/>
    <x v="1"/>
    <n v="34"/>
    <x v="4"/>
    <x v="6"/>
    <x v="3"/>
    <n v="9.5"/>
    <n v="6.4"/>
    <x v="4"/>
    <n v="4"/>
    <x v="0"/>
    <n v="83800"/>
    <n v="11600"/>
    <n v="95400"/>
    <s v="D"/>
    <d v="2016-06-18T00:00:00"/>
    <x v="3"/>
  </r>
  <r>
    <x v="1293"/>
    <x v="1"/>
    <n v="46"/>
    <x v="3"/>
    <x v="5"/>
    <x v="2"/>
    <n v="5.7"/>
    <n v="4.5"/>
    <x v="1"/>
    <n v="1"/>
    <x v="0"/>
    <n v="79600"/>
    <n v="4500"/>
    <n v="84100"/>
    <s v="C"/>
    <d v="2020-04-19T00:00:00"/>
    <x v="2"/>
  </r>
  <r>
    <x v="1294"/>
    <x v="1"/>
    <n v="36"/>
    <x v="4"/>
    <x v="14"/>
    <x v="2"/>
    <n v="8.9"/>
    <n v="7.5"/>
    <x v="2"/>
    <n v="3"/>
    <x v="0"/>
    <n v="107200"/>
    <n v="9500"/>
    <n v="116700"/>
    <s v="E"/>
    <d v="2017-01-22T00:00:00"/>
    <x v="2"/>
  </r>
  <r>
    <x v="1295"/>
    <x v="0"/>
    <n v="28"/>
    <x v="5"/>
    <x v="17"/>
    <x v="1"/>
    <n v="5"/>
    <n v="3.4"/>
    <x v="1"/>
    <n v="2"/>
    <x v="0"/>
    <n v="85100"/>
    <n v="10100"/>
    <n v="95200"/>
    <s v="D"/>
    <d v="2021-01-07T00:00:00"/>
    <x v="1"/>
  </r>
  <r>
    <x v="1296"/>
    <x v="0"/>
    <n v="35"/>
    <x v="2"/>
    <x v="4"/>
    <x v="0"/>
    <n v="1.2"/>
    <n v="0.9"/>
    <x v="0"/>
    <n v="2"/>
    <x v="0"/>
    <n v="59200"/>
    <n v="5900"/>
    <n v="65100"/>
    <s v="B"/>
    <d v="2024-10-14T00:00:00"/>
    <x v="0"/>
  </r>
  <r>
    <x v="1297"/>
    <x v="1"/>
    <n v="37"/>
    <x v="2"/>
    <x v="4"/>
    <x v="1"/>
    <n v="9.1999999999999993"/>
    <n v="2.7"/>
    <x v="4"/>
    <n v="4"/>
    <x v="0"/>
    <n v="77200"/>
    <n v="7400"/>
    <n v="84600"/>
    <s v="C"/>
    <d v="2016-10-08T00:00:00"/>
    <x v="1"/>
  </r>
  <r>
    <x v="1298"/>
    <x v="0"/>
    <n v="43"/>
    <x v="3"/>
    <x v="13"/>
    <x v="0"/>
    <n v="4.2"/>
    <n v="3.9"/>
    <x v="1"/>
    <n v="4"/>
    <x v="0"/>
    <n v="98400"/>
    <n v="5800"/>
    <n v="104200"/>
    <s v="D"/>
    <d v="2021-11-01T00:00:00"/>
    <x v="0"/>
  </r>
  <r>
    <x v="1299"/>
    <x v="0"/>
    <n v="32"/>
    <x v="1"/>
    <x v="10"/>
    <x v="2"/>
    <n v="9"/>
    <n v="6.3"/>
    <x v="4"/>
    <n v="3"/>
    <x v="0"/>
    <n v="108900"/>
    <n v="4600"/>
    <n v="113500"/>
    <s v="E"/>
    <d v="2017-01-14T00:00:00"/>
    <x v="2"/>
  </r>
  <r>
    <x v="1300"/>
    <x v="0"/>
    <n v="46"/>
    <x v="0"/>
    <x v="2"/>
    <x v="1"/>
    <n v="13.6"/>
    <n v="9"/>
    <x v="3"/>
    <n v="3"/>
    <x v="2"/>
    <n v="56900"/>
    <n v="3500"/>
    <n v="60400"/>
    <s v="B"/>
    <d v="2012-06-01T00:00:00"/>
    <x v="1"/>
  </r>
  <r>
    <x v="1301"/>
    <x v="0"/>
    <n v="50"/>
    <x v="5"/>
    <x v="15"/>
    <x v="3"/>
    <n v="11.2"/>
    <n v="4.5"/>
    <x v="4"/>
    <n v="5"/>
    <x v="0"/>
    <n v="81500"/>
    <n v="8900"/>
    <n v="90400"/>
    <s v="D"/>
    <d v="2014-10-17T00:00:00"/>
    <x v="3"/>
  </r>
  <r>
    <x v="1302"/>
    <x v="0"/>
    <n v="49"/>
    <x v="1"/>
    <x v="7"/>
    <x v="1"/>
    <n v="3.9"/>
    <n v="1.8"/>
    <x v="1"/>
    <n v="5"/>
    <x v="0"/>
    <n v="80900"/>
    <n v="9200"/>
    <n v="90100"/>
    <s v="D"/>
    <d v="2022-02-19T00:00:00"/>
    <x v="1"/>
  </r>
  <r>
    <x v="1303"/>
    <x v="1"/>
    <n v="30"/>
    <x v="3"/>
    <x v="13"/>
    <x v="2"/>
    <n v="7.8"/>
    <n v="7.8"/>
    <x v="2"/>
    <n v="3"/>
    <x v="1"/>
    <n v="61800"/>
    <n v="4600"/>
    <n v="66400"/>
    <s v="B"/>
    <d v="2018-03-20T00:00:00"/>
    <x v="2"/>
  </r>
  <r>
    <x v="1304"/>
    <x v="1"/>
    <n v="41"/>
    <x v="4"/>
    <x v="8"/>
    <x v="0"/>
    <n v="2.1"/>
    <n v="2.1"/>
    <x v="0"/>
    <n v="2"/>
    <x v="0"/>
    <n v="63400"/>
    <n v="7900"/>
    <n v="71300"/>
    <s v="B"/>
    <d v="2023-12-09T00:00:00"/>
    <x v="0"/>
  </r>
  <r>
    <x v="1305"/>
    <x v="1"/>
    <n v="33"/>
    <x v="0"/>
    <x v="1"/>
    <x v="1"/>
    <n v="3.2"/>
    <n v="2.7"/>
    <x v="1"/>
    <n v="3"/>
    <x v="0"/>
    <n v="69900"/>
    <n v="7900"/>
    <n v="77800"/>
    <s v="C"/>
    <d v="2022-10-18T00:00:00"/>
    <x v="1"/>
  </r>
  <r>
    <x v="1306"/>
    <x v="0"/>
    <n v="41"/>
    <x v="1"/>
    <x v="3"/>
    <x v="1"/>
    <n v="7.9"/>
    <n v="4.9000000000000004"/>
    <x v="2"/>
    <n v="2"/>
    <x v="0"/>
    <n v="79100"/>
    <n v="4300"/>
    <n v="83400"/>
    <s v="C"/>
    <d v="2018-02-19T00:00:00"/>
    <x v="1"/>
  </r>
  <r>
    <x v="1307"/>
    <x v="0"/>
    <n v="27"/>
    <x v="1"/>
    <x v="10"/>
    <x v="2"/>
    <n v="10"/>
    <n v="6.5"/>
    <x v="4"/>
    <n v="3"/>
    <x v="0"/>
    <n v="123500"/>
    <n v="7000"/>
    <n v="130500"/>
    <s v="E"/>
    <d v="2015-12-27T00:00:00"/>
    <x v="2"/>
  </r>
  <r>
    <x v="1308"/>
    <x v="1"/>
    <n v="22"/>
    <x v="4"/>
    <x v="16"/>
    <x v="1"/>
    <n v="6.6"/>
    <n v="6.6"/>
    <x v="2"/>
    <n v="4"/>
    <x v="0"/>
    <n v="96800"/>
    <n v="9300"/>
    <n v="106100"/>
    <s v="D"/>
    <d v="2019-06-02T00:00:00"/>
    <x v="1"/>
  </r>
  <r>
    <x v="1309"/>
    <x v="1"/>
    <n v="21"/>
    <x v="0"/>
    <x v="1"/>
    <x v="2"/>
    <n v="7.6"/>
    <n v="5.2"/>
    <x v="2"/>
    <n v="3"/>
    <x v="0"/>
    <n v="69200"/>
    <n v="6700"/>
    <n v="75900"/>
    <s v="C"/>
    <d v="2018-05-12T00:00:00"/>
    <x v="2"/>
  </r>
  <r>
    <x v="1310"/>
    <x v="1"/>
    <n v="45"/>
    <x v="5"/>
    <x v="17"/>
    <x v="1"/>
    <n v="12"/>
    <n v="7.6"/>
    <x v="3"/>
    <n v="3"/>
    <x v="0"/>
    <n v="94400"/>
    <n v="18500"/>
    <n v="112900"/>
    <s v="D"/>
    <d v="2013-12-18T00:00:00"/>
    <x v="1"/>
  </r>
  <r>
    <x v="1311"/>
    <x v="1"/>
    <n v="41"/>
    <x v="2"/>
    <x v="11"/>
    <x v="1"/>
    <n v="10.4"/>
    <n v="7.3"/>
    <x v="4"/>
    <n v="3"/>
    <x v="0"/>
    <n v="115500"/>
    <n v="8500"/>
    <n v="124000"/>
    <s v="E"/>
    <d v="2015-08-01T00:00:00"/>
    <x v="1"/>
  </r>
  <r>
    <x v="1312"/>
    <x v="1"/>
    <n v="37"/>
    <x v="5"/>
    <x v="9"/>
    <x v="1"/>
    <n v="2.1"/>
    <n v="1.7"/>
    <x v="0"/>
    <n v="4"/>
    <x v="0"/>
    <n v="93900"/>
    <n v="10600"/>
    <n v="104500"/>
    <s v="D"/>
    <d v="2023-12-07T00:00:00"/>
    <x v="1"/>
  </r>
  <r>
    <x v="1313"/>
    <x v="1"/>
    <n v="37"/>
    <x v="4"/>
    <x v="14"/>
    <x v="2"/>
    <n v="10.1"/>
    <n v="7.3"/>
    <x v="4"/>
    <n v="3"/>
    <x v="0"/>
    <n v="104200"/>
    <n v="10200"/>
    <n v="114400"/>
    <s v="E"/>
    <d v="2015-11-25T00:00:00"/>
    <x v="2"/>
  </r>
  <r>
    <x v="1314"/>
    <x v="0"/>
    <n v="33"/>
    <x v="1"/>
    <x v="3"/>
    <x v="1"/>
    <n v="14"/>
    <n v="11.1"/>
    <x v="3"/>
    <n v="5"/>
    <x v="1"/>
    <n v="56600"/>
    <n v="4300"/>
    <n v="60900"/>
    <s v="B"/>
    <d v="2012-01-09T00:00:00"/>
    <x v="1"/>
  </r>
  <r>
    <x v="1315"/>
    <x v="0"/>
    <n v="23"/>
    <x v="1"/>
    <x v="7"/>
    <x v="0"/>
    <n v="1.1000000000000001"/>
    <n v="1.1000000000000001"/>
    <x v="0"/>
    <n v="4"/>
    <x v="0"/>
    <n v="64600"/>
    <n v="4200"/>
    <n v="68800"/>
    <s v="B"/>
    <d v="2024-11-09T00:00:00"/>
    <x v="0"/>
  </r>
  <r>
    <x v="1316"/>
    <x v="0"/>
    <n v="41"/>
    <x v="3"/>
    <x v="13"/>
    <x v="2"/>
    <n v="4"/>
    <n v="2"/>
    <x v="1"/>
    <n v="4"/>
    <x v="0"/>
    <n v="102300"/>
    <n v="6800"/>
    <n v="109100"/>
    <s v="E"/>
    <d v="2021-12-17T00:00:00"/>
    <x v="2"/>
  </r>
  <r>
    <x v="1317"/>
    <x v="0"/>
    <n v="38"/>
    <x v="1"/>
    <x v="7"/>
    <x v="1"/>
    <n v="2.7"/>
    <n v="1.7"/>
    <x v="0"/>
    <n v="5"/>
    <x v="0"/>
    <n v="82400"/>
    <n v="4600"/>
    <n v="87000"/>
    <s v="D"/>
    <d v="2023-04-16T00:00:00"/>
    <x v="1"/>
  </r>
  <r>
    <x v="1318"/>
    <x v="0"/>
    <n v="34"/>
    <x v="1"/>
    <x v="7"/>
    <x v="1"/>
    <n v="10.199999999999999"/>
    <n v="5.3"/>
    <x v="4"/>
    <n v="3"/>
    <x v="2"/>
    <n v="74700"/>
    <n v="8200"/>
    <n v="82900"/>
    <s v="C"/>
    <d v="2015-10-26T00:00:00"/>
    <x v="1"/>
  </r>
  <r>
    <x v="1319"/>
    <x v="1"/>
    <n v="38"/>
    <x v="2"/>
    <x v="11"/>
    <x v="2"/>
    <n v="11.3"/>
    <n v="9.3000000000000007"/>
    <x v="4"/>
    <n v="3"/>
    <x v="1"/>
    <n v="70700"/>
    <n v="4300"/>
    <n v="75000"/>
    <s v="C"/>
    <d v="2014-08-27T00:00:00"/>
    <x v="2"/>
  </r>
  <r>
    <x v="1320"/>
    <x v="0"/>
    <n v="39"/>
    <x v="1"/>
    <x v="7"/>
    <x v="2"/>
    <n v="1.4"/>
    <n v="0.2"/>
    <x v="0"/>
    <n v="3"/>
    <x v="1"/>
    <n v="46500"/>
    <n v="4900"/>
    <n v="51400"/>
    <s v="A"/>
    <d v="2024-08-24T00:00:00"/>
    <x v="2"/>
  </r>
  <r>
    <x v="1321"/>
    <x v="1"/>
    <n v="33"/>
    <x v="3"/>
    <x v="5"/>
    <x v="2"/>
    <n v="1.9"/>
    <n v="0.9"/>
    <x v="0"/>
    <n v="4"/>
    <x v="0"/>
    <n v="85600"/>
    <n v="6900"/>
    <n v="92500"/>
    <s v="D"/>
    <d v="2024-01-22T00:00:00"/>
    <x v="2"/>
  </r>
  <r>
    <x v="1322"/>
    <x v="0"/>
    <n v="44"/>
    <x v="0"/>
    <x v="1"/>
    <x v="1"/>
    <n v="5.3"/>
    <n v="3.5"/>
    <x v="1"/>
    <n v="5"/>
    <x v="0"/>
    <n v="89200"/>
    <n v="4000"/>
    <n v="93200"/>
    <s v="D"/>
    <d v="2020-09-29T00:00:00"/>
    <x v="1"/>
  </r>
  <r>
    <x v="1323"/>
    <x v="1"/>
    <n v="48"/>
    <x v="0"/>
    <x v="1"/>
    <x v="0"/>
    <n v="11.2"/>
    <n v="8.8000000000000007"/>
    <x v="4"/>
    <n v="3"/>
    <x v="0"/>
    <n v="73800"/>
    <n v="4000"/>
    <n v="77800"/>
    <s v="C"/>
    <d v="2014-10-30T00:00:00"/>
    <x v="0"/>
  </r>
  <r>
    <x v="1324"/>
    <x v="0"/>
    <n v="48"/>
    <x v="4"/>
    <x v="16"/>
    <x v="2"/>
    <n v="3.3"/>
    <n v="2.5"/>
    <x v="1"/>
    <n v="4"/>
    <x v="0"/>
    <n v="98100"/>
    <n v="14600"/>
    <n v="112700"/>
    <s v="D"/>
    <d v="2022-09-04T00:00:00"/>
    <x v="2"/>
  </r>
  <r>
    <x v="1325"/>
    <x v="0"/>
    <n v="31"/>
    <x v="5"/>
    <x v="17"/>
    <x v="2"/>
    <n v="3.2"/>
    <n v="0.9"/>
    <x v="1"/>
    <n v="3"/>
    <x v="0"/>
    <n v="101800"/>
    <n v="15000"/>
    <n v="116800"/>
    <s v="E"/>
    <d v="2022-10-04T00:00:00"/>
    <x v="2"/>
  </r>
  <r>
    <x v="1326"/>
    <x v="1"/>
    <n v="42"/>
    <x v="4"/>
    <x v="6"/>
    <x v="1"/>
    <n v="9.1999999999999993"/>
    <n v="4.5999999999999996"/>
    <x v="4"/>
    <n v="4"/>
    <x v="0"/>
    <n v="86500"/>
    <n v="7600"/>
    <n v="94100"/>
    <s v="D"/>
    <d v="2016-10-14T00:00:00"/>
    <x v="1"/>
  </r>
  <r>
    <x v="1327"/>
    <x v="1"/>
    <n v="56"/>
    <x v="1"/>
    <x v="10"/>
    <x v="3"/>
    <n v="9.4"/>
    <n v="5.8"/>
    <x v="4"/>
    <n v="2"/>
    <x v="0"/>
    <n v="115500"/>
    <n v="12100"/>
    <n v="127600"/>
    <s v="E"/>
    <d v="2016-08-19T00:00:00"/>
    <x v="3"/>
  </r>
  <r>
    <x v="1328"/>
    <x v="1"/>
    <n v="43"/>
    <x v="1"/>
    <x v="10"/>
    <x v="1"/>
    <n v="5.7"/>
    <n v="4.2"/>
    <x v="1"/>
    <n v="3"/>
    <x v="0"/>
    <n v="107300"/>
    <n v="7000"/>
    <n v="114300"/>
    <s v="E"/>
    <d v="2020-04-24T00:00:00"/>
    <x v="1"/>
  </r>
  <r>
    <x v="1329"/>
    <x v="1"/>
    <n v="28"/>
    <x v="1"/>
    <x v="7"/>
    <x v="1"/>
    <n v="6.4"/>
    <n v="4.5"/>
    <x v="2"/>
    <n v="4"/>
    <x v="0"/>
    <n v="80900"/>
    <n v="4600"/>
    <n v="85500"/>
    <s v="D"/>
    <d v="2019-07-31T00:00:00"/>
    <x v="1"/>
  </r>
  <r>
    <x v="1330"/>
    <x v="1"/>
    <n v="38"/>
    <x v="1"/>
    <x v="10"/>
    <x v="1"/>
    <n v="12.9"/>
    <n v="10.5"/>
    <x v="3"/>
    <n v="5"/>
    <x v="0"/>
    <n v="104500"/>
    <n v="8300"/>
    <n v="112800"/>
    <s v="E"/>
    <d v="2013-02-15T00:00:00"/>
    <x v="1"/>
  </r>
  <r>
    <x v="1331"/>
    <x v="0"/>
    <n v="49"/>
    <x v="0"/>
    <x v="2"/>
    <x v="1"/>
    <n v="13.9"/>
    <n v="9.5"/>
    <x v="3"/>
    <n v="3"/>
    <x v="0"/>
    <n v="82100"/>
    <n v="4800"/>
    <n v="86900"/>
    <s v="D"/>
    <d v="2012-02-21T00:00:00"/>
    <x v="1"/>
  </r>
  <r>
    <x v="1332"/>
    <x v="1"/>
    <n v="35"/>
    <x v="2"/>
    <x v="18"/>
    <x v="1"/>
    <n v="8.4"/>
    <n v="5.4"/>
    <x v="2"/>
    <n v="3"/>
    <x v="0"/>
    <n v="58200"/>
    <n v="4600"/>
    <n v="62800"/>
    <s v="B"/>
    <d v="2017-08-21T00:00:00"/>
    <x v="1"/>
  </r>
  <r>
    <x v="1333"/>
    <x v="1"/>
    <n v="29"/>
    <x v="1"/>
    <x v="7"/>
    <x v="1"/>
    <n v="1.6"/>
    <n v="0"/>
    <x v="0"/>
    <n v="3"/>
    <x v="0"/>
    <n v="68300"/>
    <n v="8100"/>
    <n v="76400"/>
    <s v="C"/>
    <d v="2024-05-19T00:00:00"/>
    <x v="1"/>
  </r>
  <r>
    <x v="1334"/>
    <x v="1"/>
    <n v="37"/>
    <x v="5"/>
    <x v="15"/>
    <x v="2"/>
    <n v="3.7"/>
    <n v="3.7"/>
    <x v="1"/>
    <n v="3"/>
    <x v="0"/>
    <n v="68900"/>
    <n v="13300"/>
    <n v="82200"/>
    <s v="C"/>
    <d v="2022-04-26T00:00:00"/>
    <x v="2"/>
  </r>
  <r>
    <x v="1335"/>
    <x v="1"/>
    <n v="29"/>
    <x v="2"/>
    <x v="18"/>
    <x v="1"/>
    <n v="13.5"/>
    <n v="7.7"/>
    <x v="3"/>
    <n v="3"/>
    <x v="0"/>
    <n v="77400"/>
    <n v="7700"/>
    <n v="85100"/>
    <s v="C"/>
    <d v="2012-07-17T00:00:00"/>
    <x v="1"/>
  </r>
  <r>
    <x v="1336"/>
    <x v="0"/>
    <n v="28"/>
    <x v="5"/>
    <x v="15"/>
    <x v="1"/>
    <n v="1.5"/>
    <n v="0"/>
    <x v="0"/>
    <n v="4"/>
    <x v="0"/>
    <n v="57200"/>
    <n v="5900"/>
    <n v="63100"/>
    <s v="B"/>
    <d v="2024-06-17T00:00:00"/>
    <x v="1"/>
  </r>
  <r>
    <x v="1337"/>
    <x v="0"/>
    <n v="45"/>
    <x v="0"/>
    <x v="1"/>
    <x v="1"/>
    <n v="10.4"/>
    <n v="4.5999999999999996"/>
    <x v="4"/>
    <n v="4"/>
    <x v="0"/>
    <n v="89500"/>
    <n v="10600"/>
    <n v="100100"/>
    <s v="D"/>
    <d v="2015-07-27T00:00:00"/>
    <x v="1"/>
  </r>
  <r>
    <x v="1338"/>
    <x v="0"/>
    <n v="21"/>
    <x v="0"/>
    <x v="0"/>
    <x v="1"/>
    <n v="9.6"/>
    <n v="6.1"/>
    <x v="4"/>
    <n v="4"/>
    <x v="0"/>
    <n v="100000"/>
    <n v="10800"/>
    <n v="110800"/>
    <s v="E"/>
    <d v="2016-05-27T00:00:00"/>
    <x v="1"/>
  </r>
  <r>
    <x v="1339"/>
    <x v="1"/>
    <n v="34"/>
    <x v="2"/>
    <x v="4"/>
    <x v="2"/>
    <n v="8.5"/>
    <n v="3.7"/>
    <x v="2"/>
    <n v="2"/>
    <x v="0"/>
    <n v="85100"/>
    <n v="6100"/>
    <n v="91200"/>
    <s v="D"/>
    <d v="2017-07-18T00:00:00"/>
    <x v="2"/>
  </r>
  <r>
    <x v="1340"/>
    <x v="1"/>
    <n v="40"/>
    <x v="1"/>
    <x v="7"/>
    <x v="3"/>
    <n v="13.4"/>
    <n v="7.5"/>
    <x v="3"/>
    <n v="3"/>
    <x v="0"/>
    <n v="101300"/>
    <n v="8700"/>
    <n v="110000"/>
    <s v="E"/>
    <d v="2012-07-31T00:00:00"/>
    <x v="3"/>
  </r>
  <r>
    <x v="1341"/>
    <x v="1"/>
    <n v="38"/>
    <x v="5"/>
    <x v="17"/>
    <x v="0"/>
    <n v="8.5"/>
    <n v="4.7"/>
    <x v="2"/>
    <n v="3"/>
    <x v="0"/>
    <n v="98800"/>
    <n v="12500"/>
    <n v="111300"/>
    <s v="D"/>
    <d v="2017-06-30T00:00:00"/>
    <x v="0"/>
  </r>
  <r>
    <x v="1342"/>
    <x v="0"/>
    <n v="49"/>
    <x v="1"/>
    <x v="3"/>
    <x v="1"/>
    <n v="8.5"/>
    <n v="7.5"/>
    <x v="2"/>
    <n v="5"/>
    <x v="0"/>
    <n v="69700"/>
    <n v="7700"/>
    <n v="77400"/>
    <s v="C"/>
    <d v="2017-06-19T00:00:00"/>
    <x v="1"/>
  </r>
  <r>
    <x v="1343"/>
    <x v="0"/>
    <n v="32"/>
    <x v="5"/>
    <x v="15"/>
    <x v="2"/>
    <n v="8.4"/>
    <n v="3.8"/>
    <x v="2"/>
    <n v="4"/>
    <x v="0"/>
    <n v="70800"/>
    <n v="5000"/>
    <n v="75800"/>
    <s v="C"/>
    <d v="2017-07-26T00:00:00"/>
    <x v="2"/>
  </r>
  <r>
    <x v="1344"/>
    <x v="1"/>
    <n v="34"/>
    <x v="4"/>
    <x v="8"/>
    <x v="2"/>
    <n v="13.3"/>
    <n v="10.8"/>
    <x v="3"/>
    <n v="4"/>
    <x v="0"/>
    <n v="104200"/>
    <n v="9800"/>
    <n v="114000"/>
    <s v="E"/>
    <d v="2012-09-18T00:00:00"/>
    <x v="2"/>
  </r>
  <r>
    <x v="1345"/>
    <x v="0"/>
    <n v="28"/>
    <x v="1"/>
    <x v="3"/>
    <x v="1"/>
    <n v="9.6999999999999993"/>
    <n v="8.5"/>
    <x v="4"/>
    <n v="4"/>
    <x v="0"/>
    <n v="87000"/>
    <n v="4800"/>
    <n v="91800"/>
    <s v="D"/>
    <d v="2016-04-16T00:00:00"/>
    <x v="1"/>
  </r>
  <r>
    <x v="1346"/>
    <x v="0"/>
    <n v="36"/>
    <x v="1"/>
    <x v="3"/>
    <x v="0"/>
    <n v="13.7"/>
    <n v="8.6999999999999993"/>
    <x v="3"/>
    <n v="4"/>
    <x v="0"/>
    <n v="93100"/>
    <n v="5100"/>
    <n v="98200"/>
    <s v="D"/>
    <d v="2012-04-17T00:00:00"/>
    <x v="0"/>
  </r>
  <r>
    <x v="1347"/>
    <x v="1"/>
    <n v="47"/>
    <x v="3"/>
    <x v="5"/>
    <x v="3"/>
    <n v="8.3000000000000007"/>
    <n v="3.5"/>
    <x v="2"/>
    <n v="5"/>
    <x v="0"/>
    <n v="79000"/>
    <n v="6400"/>
    <n v="85400"/>
    <s v="C"/>
    <d v="2017-09-20T00:00:00"/>
    <x v="3"/>
  </r>
  <r>
    <x v="1348"/>
    <x v="1"/>
    <n v="45"/>
    <x v="5"/>
    <x v="15"/>
    <x v="0"/>
    <n v="11.4"/>
    <n v="9.1"/>
    <x v="4"/>
    <n v="3"/>
    <x v="0"/>
    <n v="54800"/>
    <n v="8000"/>
    <n v="62800"/>
    <s v="B"/>
    <d v="2014-08-24T00:00:00"/>
    <x v="0"/>
  </r>
  <r>
    <x v="1349"/>
    <x v="1"/>
    <n v="46"/>
    <x v="1"/>
    <x v="3"/>
    <x v="0"/>
    <n v="4.2"/>
    <n v="1.9"/>
    <x v="1"/>
    <n v="3"/>
    <x v="0"/>
    <n v="73200"/>
    <n v="8100"/>
    <n v="81300"/>
    <s v="C"/>
    <d v="2021-10-26T00:00:00"/>
    <x v="0"/>
  </r>
  <r>
    <x v="1350"/>
    <x v="1"/>
    <n v="39"/>
    <x v="2"/>
    <x v="11"/>
    <x v="2"/>
    <n v="9.1"/>
    <n v="3.9"/>
    <x v="4"/>
    <n v="3"/>
    <x v="0"/>
    <n v="101400"/>
    <n v="10200"/>
    <n v="111600"/>
    <s v="E"/>
    <d v="2016-12-08T00:00:00"/>
    <x v="2"/>
  </r>
  <r>
    <x v="1351"/>
    <x v="0"/>
    <n v="33"/>
    <x v="3"/>
    <x v="5"/>
    <x v="0"/>
    <n v="6.1"/>
    <n v="6.1"/>
    <x v="2"/>
    <n v="1"/>
    <x v="0"/>
    <n v="73000"/>
    <n v="3300"/>
    <n v="76300"/>
    <s v="C"/>
    <d v="2019-11-08T00:00:00"/>
    <x v="0"/>
  </r>
  <r>
    <x v="1352"/>
    <x v="1"/>
    <n v="35"/>
    <x v="4"/>
    <x v="6"/>
    <x v="1"/>
    <n v="10.199999999999999"/>
    <n v="5.5"/>
    <x v="4"/>
    <n v="3"/>
    <x v="0"/>
    <n v="76200"/>
    <n v="9100"/>
    <n v="85300"/>
    <s v="C"/>
    <d v="2015-10-04T00:00:00"/>
    <x v="1"/>
  </r>
  <r>
    <x v="1353"/>
    <x v="0"/>
    <n v="24"/>
    <x v="4"/>
    <x v="16"/>
    <x v="2"/>
    <n v="2.4"/>
    <n v="2"/>
    <x v="0"/>
    <n v="3"/>
    <x v="0"/>
    <n v="92700"/>
    <n v="6100"/>
    <n v="98800"/>
    <s v="D"/>
    <d v="2023-08-19T00:00:00"/>
    <x v="2"/>
  </r>
  <r>
    <x v="1354"/>
    <x v="0"/>
    <n v="46"/>
    <x v="5"/>
    <x v="15"/>
    <x v="1"/>
    <n v="8.1"/>
    <n v="5.5"/>
    <x v="2"/>
    <n v="4"/>
    <x v="0"/>
    <n v="65100"/>
    <n v="12200"/>
    <n v="77300"/>
    <s v="C"/>
    <d v="2017-11-30T00:00:00"/>
    <x v="1"/>
  </r>
  <r>
    <x v="1355"/>
    <x v="1"/>
    <n v="44"/>
    <x v="4"/>
    <x v="14"/>
    <x v="0"/>
    <n v="13.6"/>
    <n v="7.2"/>
    <x v="3"/>
    <n v="3"/>
    <x v="0"/>
    <n v="103800"/>
    <n v="8800"/>
    <n v="112600"/>
    <s v="E"/>
    <d v="2012-06-13T00:00:00"/>
    <x v="0"/>
  </r>
  <r>
    <x v="1356"/>
    <x v="1"/>
    <n v="40"/>
    <x v="5"/>
    <x v="15"/>
    <x v="2"/>
    <n v="8.6999999999999993"/>
    <n v="3.6"/>
    <x v="2"/>
    <n v="4"/>
    <x v="0"/>
    <n v="79300"/>
    <n v="10800"/>
    <n v="90100"/>
    <s v="C"/>
    <d v="2017-05-08T00:00:00"/>
    <x v="2"/>
  </r>
  <r>
    <x v="1357"/>
    <x v="1"/>
    <n v="33"/>
    <x v="3"/>
    <x v="12"/>
    <x v="2"/>
    <n v="2.7"/>
    <n v="0.8"/>
    <x v="0"/>
    <n v="3"/>
    <x v="0"/>
    <n v="80600"/>
    <n v="4500"/>
    <n v="85100"/>
    <s v="D"/>
    <d v="2023-04-17T00:00:00"/>
    <x v="2"/>
  </r>
  <r>
    <x v="1358"/>
    <x v="1"/>
    <n v="26"/>
    <x v="1"/>
    <x v="3"/>
    <x v="2"/>
    <n v="1.1000000000000001"/>
    <m/>
    <x v="0"/>
    <n v="3"/>
    <x v="0"/>
    <n v="72000"/>
    <n v="5200"/>
    <n v="77200"/>
    <s v="C"/>
    <d v="2024-12-02T00:00:00"/>
    <x v="2"/>
  </r>
  <r>
    <x v="1359"/>
    <x v="1"/>
    <n v="37"/>
    <x v="3"/>
    <x v="12"/>
    <x v="1"/>
    <n v="5.7"/>
    <n v="2.9"/>
    <x v="1"/>
    <n v="4"/>
    <x v="0"/>
    <n v="70900"/>
    <n v="4100"/>
    <n v="75000"/>
    <s v="C"/>
    <d v="2020-04-09T00:00:00"/>
    <x v="1"/>
  </r>
  <r>
    <x v="1360"/>
    <x v="0"/>
    <n v="41"/>
    <x v="2"/>
    <x v="4"/>
    <x v="0"/>
    <n v="2.9"/>
    <n v="1.1000000000000001"/>
    <x v="0"/>
    <n v="3"/>
    <x v="0"/>
    <n v="62900"/>
    <n v="5500"/>
    <n v="68400"/>
    <s v="B"/>
    <d v="2023-01-26T00:00:00"/>
    <x v="0"/>
  </r>
  <r>
    <x v="1361"/>
    <x v="0"/>
    <n v="34"/>
    <x v="2"/>
    <x v="4"/>
    <x v="1"/>
    <n v="11.2"/>
    <n v="8.4"/>
    <x v="4"/>
    <n v="4"/>
    <x v="0"/>
    <n v="80900"/>
    <n v="2900"/>
    <n v="83800"/>
    <s v="D"/>
    <d v="2014-10-14T00:00:00"/>
    <x v="1"/>
  </r>
  <r>
    <x v="1362"/>
    <x v="0"/>
    <n v="38"/>
    <x v="1"/>
    <x v="10"/>
    <x v="2"/>
    <n v="2.7"/>
    <n v="2"/>
    <x v="0"/>
    <n v="3"/>
    <x v="0"/>
    <n v="91200"/>
    <n v="4100"/>
    <n v="95300"/>
    <s v="D"/>
    <d v="2023-04-29T00:00:00"/>
    <x v="2"/>
  </r>
  <r>
    <x v="1363"/>
    <x v="1"/>
    <n v="49"/>
    <x v="2"/>
    <x v="18"/>
    <x v="2"/>
    <n v="13"/>
    <n v="8.4"/>
    <x v="3"/>
    <n v="3"/>
    <x v="0"/>
    <n v="86400"/>
    <n v="6800"/>
    <n v="93200"/>
    <s v="D"/>
    <d v="2013-01-06T00:00:00"/>
    <x v="2"/>
  </r>
  <r>
    <x v="1364"/>
    <x v="0"/>
    <n v="37"/>
    <x v="4"/>
    <x v="6"/>
    <x v="1"/>
    <n v="13.6"/>
    <n v="8.1"/>
    <x v="3"/>
    <n v="1"/>
    <x v="0"/>
    <n v="80100"/>
    <n v="7700"/>
    <n v="87800"/>
    <s v="D"/>
    <d v="2012-05-27T00:00:00"/>
    <x v="1"/>
  </r>
  <r>
    <x v="1365"/>
    <x v="0"/>
    <n v="40"/>
    <x v="1"/>
    <x v="10"/>
    <x v="1"/>
    <n v="1.3"/>
    <n v="0.1"/>
    <x v="0"/>
    <n v="4"/>
    <x v="0"/>
    <n v="101900"/>
    <n v="7700"/>
    <n v="109600"/>
    <s v="E"/>
    <d v="2024-09-24T00:00:00"/>
    <x v="1"/>
  </r>
  <r>
    <x v="1366"/>
    <x v="1"/>
    <n v="56"/>
    <x v="3"/>
    <x v="5"/>
    <x v="2"/>
    <n v="14"/>
    <n v="11.4"/>
    <x v="3"/>
    <n v="2"/>
    <x v="0"/>
    <n v="103600"/>
    <n v="4800"/>
    <n v="108400"/>
    <s v="E"/>
    <d v="2012-01-17T00:00:00"/>
    <x v="2"/>
  </r>
  <r>
    <x v="1367"/>
    <x v="1"/>
    <n v="24"/>
    <x v="3"/>
    <x v="13"/>
    <x v="0"/>
    <n v="8.6"/>
    <n v="7.1"/>
    <x v="2"/>
    <n v="3"/>
    <x v="2"/>
    <n v="75800"/>
    <n v="6600"/>
    <n v="82400"/>
    <s v="C"/>
    <d v="2017-05-14T00:00:00"/>
    <x v="0"/>
  </r>
  <r>
    <x v="1368"/>
    <x v="0"/>
    <n v="21"/>
    <x v="3"/>
    <x v="13"/>
    <x v="1"/>
    <n v="10.8"/>
    <n v="5.6"/>
    <x v="4"/>
    <n v="3"/>
    <x v="0"/>
    <n v="102900"/>
    <n v="7200"/>
    <n v="110100"/>
    <s v="E"/>
    <d v="2015-03-28T00:00:00"/>
    <x v="1"/>
  </r>
  <r>
    <x v="1369"/>
    <x v="1"/>
    <n v="28"/>
    <x v="1"/>
    <x v="3"/>
    <x v="1"/>
    <n v="2.1"/>
    <n v="1.5"/>
    <x v="0"/>
    <n v="4"/>
    <x v="0"/>
    <n v="77500"/>
    <n v="9200"/>
    <n v="86700"/>
    <s v="C"/>
    <d v="2023-11-10T00:00:00"/>
    <x v="1"/>
  </r>
  <r>
    <x v="1370"/>
    <x v="1"/>
    <n v="27"/>
    <x v="0"/>
    <x v="2"/>
    <x v="3"/>
    <n v="6.5"/>
    <n v="3.9"/>
    <x v="2"/>
    <n v="4"/>
    <x v="0"/>
    <n v="80800"/>
    <n v="10400"/>
    <n v="91200"/>
    <s v="D"/>
    <d v="2019-06-19T00:00:00"/>
    <x v="3"/>
  </r>
  <r>
    <x v="1371"/>
    <x v="1"/>
    <n v="43"/>
    <x v="2"/>
    <x v="4"/>
    <x v="1"/>
    <n v="13"/>
    <n v="9.1999999999999993"/>
    <x v="3"/>
    <n v="2"/>
    <x v="0"/>
    <n v="94400"/>
    <n v="6200"/>
    <n v="100600"/>
    <s v="D"/>
    <d v="2013-01-19T00:00:00"/>
    <x v="1"/>
  </r>
  <r>
    <x v="1372"/>
    <x v="1"/>
    <n v="29"/>
    <x v="2"/>
    <x v="4"/>
    <x v="0"/>
    <n v="5.8"/>
    <n v="5.4"/>
    <x v="1"/>
    <n v="4"/>
    <x v="0"/>
    <n v="73800"/>
    <n v="6400"/>
    <n v="80200"/>
    <s v="C"/>
    <d v="2020-03-11T00:00:00"/>
    <x v="0"/>
  </r>
  <r>
    <x v="1373"/>
    <x v="1"/>
    <n v="39"/>
    <x v="2"/>
    <x v="4"/>
    <x v="1"/>
    <n v="11.9"/>
    <n v="7.5"/>
    <x v="4"/>
    <n v="3"/>
    <x v="0"/>
    <n v="83900"/>
    <n v="4900"/>
    <n v="88800"/>
    <s v="D"/>
    <d v="2014-02-07T00:00:00"/>
    <x v="1"/>
  </r>
  <r>
    <x v="1374"/>
    <x v="1"/>
    <n v="21"/>
    <x v="4"/>
    <x v="8"/>
    <x v="2"/>
    <n v="5.8"/>
    <n v="1.8"/>
    <x v="1"/>
    <n v="3"/>
    <x v="0"/>
    <n v="87900"/>
    <n v="4800"/>
    <n v="92700"/>
    <s v="D"/>
    <d v="2020-03-11T00:00:00"/>
    <x v="2"/>
  </r>
  <r>
    <x v="1375"/>
    <x v="1"/>
    <n v="27"/>
    <x v="0"/>
    <x v="1"/>
    <x v="1"/>
    <n v="12.5"/>
    <n v="7.5"/>
    <x v="3"/>
    <n v="3"/>
    <x v="0"/>
    <n v="86000"/>
    <n v="8300"/>
    <n v="94300"/>
    <s v="D"/>
    <d v="2013-06-26T00:00:00"/>
    <x v="1"/>
  </r>
  <r>
    <x v="1376"/>
    <x v="0"/>
    <n v="48"/>
    <x v="5"/>
    <x v="15"/>
    <x v="3"/>
    <n v="3.3"/>
    <n v="1.9"/>
    <x v="1"/>
    <n v="3"/>
    <x v="0"/>
    <n v="61900"/>
    <n v="9000"/>
    <n v="70900"/>
    <s v="B"/>
    <d v="2022-09-16T00:00:00"/>
    <x v="3"/>
  </r>
  <r>
    <x v="1377"/>
    <x v="0"/>
    <n v="33"/>
    <x v="2"/>
    <x v="11"/>
    <x v="1"/>
    <n v="2.1"/>
    <n v="1.7"/>
    <x v="0"/>
    <n v="3"/>
    <x v="0"/>
    <n v="91400"/>
    <n v="9500"/>
    <n v="100900"/>
    <s v="D"/>
    <d v="2023-11-24T00:00:00"/>
    <x v="1"/>
  </r>
  <r>
    <x v="1378"/>
    <x v="1"/>
    <n v="35"/>
    <x v="2"/>
    <x v="11"/>
    <x v="1"/>
    <n v="4.8"/>
    <n v="3.8"/>
    <x v="1"/>
    <n v="4"/>
    <x v="1"/>
    <n v="69900"/>
    <n v="7200"/>
    <n v="77100"/>
    <s v="C"/>
    <d v="2021-04-02T00:00:00"/>
    <x v="1"/>
  </r>
  <r>
    <x v="1379"/>
    <x v="1"/>
    <n v="34"/>
    <x v="3"/>
    <x v="5"/>
    <x v="2"/>
    <n v="13.2"/>
    <n v="7"/>
    <x v="3"/>
    <n v="3"/>
    <x v="0"/>
    <n v="90200"/>
    <n v="4400"/>
    <n v="94600"/>
    <s v="D"/>
    <d v="2012-10-28T00:00:00"/>
    <x v="2"/>
  </r>
  <r>
    <x v="1380"/>
    <x v="0"/>
    <n v="28"/>
    <x v="0"/>
    <x v="0"/>
    <x v="1"/>
    <n v="2.2000000000000002"/>
    <n v="2.2000000000000002"/>
    <x v="0"/>
    <n v="2"/>
    <x v="0"/>
    <n v="89700"/>
    <n v="11800"/>
    <n v="101500"/>
    <s v="D"/>
    <d v="2023-10-25T00:00:00"/>
    <x v="1"/>
  </r>
  <r>
    <x v="1381"/>
    <x v="1"/>
    <n v="23"/>
    <x v="5"/>
    <x v="9"/>
    <x v="1"/>
    <n v="7.1"/>
    <n v="4.5999999999999996"/>
    <x v="2"/>
    <n v="3"/>
    <x v="0"/>
    <n v="104500"/>
    <n v="16300"/>
    <n v="120800"/>
    <s v="E"/>
    <d v="2018-11-26T00:00:00"/>
    <x v="1"/>
  </r>
  <r>
    <x v="1382"/>
    <x v="1"/>
    <n v="44"/>
    <x v="5"/>
    <x v="17"/>
    <x v="3"/>
    <n v="2.2999999999999998"/>
    <n v="0.5"/>
    <x v="0"/>
    <n v="5"/>
    <x v="0"/>
    <n v="115700"/>
    <n v="21300"/>
    <n v="137000"/>
    <s v="E"/>
    <d v="2023-09-02T00:00:00"/>
    <x v="3"/>
  </r>
  <r>
    <x v="1383"/>
    <x v="1"/>
    <n v="37"/>
    <x v="4"/>
    <x v="8"/>
    <x v="2"/>
    <n v="1.9"/>
    <n v="1.9"/>
    <x v="0"/>
    <n v="3"/>
    <x v="0"/>
    <n v="68700"/>
    <n v="7000"/>
    <n v="75700"/>
    <s v="C"/>
    <d v="2024-01-26T00:00:00"/>
    <x v="2"/>
  </r>
  <r>
    <x v="1384"/>
    <x v="0"/>
    <n v="44"/>
    <x v="0"/>
    <x v="2"/>
    <x v="1"/>
    <n v="5.4"/>
    <n v="5.4"/>
    <x v="1"/>
    <n v="4"/>
    <x v="1"/>
    <n v="44500"/>
    <n v="5700"/>
    <n v="50200"/>
    <s v="A"/>
    <d v="2020-08-22T00:00:00"/>
    <x v="1"/>
  </r>
  <r>
    <x v="1385"/>
    <x v="1"/>
    <n v="25"/>
    <x v="4"/>
    <x v="14"/>
    <x v="2"/>
    <n v="5.0999999999999996"/>
    <n v="3.3"/>
    <x v="1"/>
    <n v="3"/>
    <x v="0"/>
    <n v="118600"/>
    <n v="16400"/>
    <n v="135000"/>
    <s v="E"/>
    <d v="2020-11-26T00:00:00"/>
    <x v="2"/>
  </r>
  <r>
    <x v="1386"/>
    <x v="1"/>
    <n v="42"/>
    <x v="2"/>
    <x v="11"/>
    <x v="1"/>
    <n v="8.9"/>
    <n v="7"/>
    <x v="2"/>
    <n v="4"/>
    <x v="1"/>
    <n v="65100"/>
    <n v="4500"/>
    <n v="69600"/>
    <s v="C"/>
    <d v="2017-01-29T00:00:00"/>
    <x v="1"/>
  </r>
  <r>
    <x v="1387"/>
    <x v="1"/>
    <n v="37"/>
    <x v="0"/>
    <x v="1"/>
    <x v="1"/>
    <n v="11"/>
    <n v="8.4"/>
    <x v="4"/>
    <n v="4"/>
    <x v="0"/>
    <n v="90700"/>
    <n v="10200"/>
    <n v="100900"/>
    <s v="D"/>
    <d v="2015-01-17T00:00:00"/>
    <x v="1"/>
  </r>
  <r>
    <x v="1388"/>
    <x v="1"/>
    <n v="33"/>
    <x v="3"/>
    <x v="12"/>
    <x v="1"/>
    <n v="9.9"/>
    <n v="8.3000000000000007"/>
    <x v="4"/>
    <n v="4"/>
    <x v="0"/>
    <n v="68400"/>
    <n v="2200"/>
    <n v="70600"/>
    <s v="C"/>
    <d v="2016-01-30T00:00:00"/>
    <x v="1"/>
  </r>
  <r>
    <x v="1389"/>
    <x v="0"/>
    <n v="44"/>
    <x v="0"/>
    <x v="0"/>
    <x v="1"/>
    <n v="6.8"/>
    <n v="6.4"/>
    <x v="2"/>
    <n v="4"/>
    <x v="0"/>
    <n v="97400"/>
    <n v="5800"/>
    <n v="103200"/>
    <s v="D"/>
    <d v="2019-03-23T00:00:00"/>
    <x v="1"/>
  </r>
  <r>
    <x v="1390"/>
    <x v="1"/>
    <n v="51"/>
    <x v="2"/>
    <x v="4"/>
    <x v="2"/>
    <n v="8"/>
    <n v="4.5"/>
    <x v="2"/>
    <n v="2"/>
    <x v="0"/>
    <n v="84800"/>
    <n v="5700"/>
    <n v="90500"/>
    <s v="D"/>
    <d v="2018-01-14T00:00:00"/>
    <x v="2"/>
  </r>
  <r>
    <x v="1391"/>
    <x v="1"/>
    <n v="29"/>
    <x v="1"/>
    <x v="10"/>
    <x v="1"/>
    <n v="13.3"/>
    <n v="8.1"/>
    <x v="3"/>
    <n v="3"/>
    <x v="0"/>
    <n v="95000"/>
    <n v="9900"/>
    <n v="104900"/>
    <s v="D"/>
    <d v="2012-09-04T00:00:00"/>
    <x v="1"/>
  </r>
  <r>
    <x v="1392"/>
    <x v="0"/>
    <n v="43"/>
    <x v="5"/>
    <x v="17"/>
    <x v="2"/>
    <n v="11.9"/>
    <n v="7.1"/>
    <x v="4"/>
    <n v="3"/>
    <x v="0"/>
    <n v="106900"/>
    <n v="8600"/>
    <n v="115500"/>
    <s v="E"/>
    <d v="2014-02-24T00:00:00"/>
    <x v="2"/>
  </r>
  <r>
    <x v="1393"/>
    <x v="1"/>
    <n v="42"/>
    <x v="0"/>
    <x v="0"/>
    <x v="2"/>
    <n v="2.8"/>
    <n v="2.2999999999999998"/>
    <x v="0"/>
    <n v="3"/>
    <x v="0"/>
    <n v="89400"/>
    <n v="8100"/>
    <n v="97500"/>
    <s v="D"/>
    <d v="2023-02-28T00:00:00"/>
    <x v="2"/>
  </r>
  <r>
    <x v="1394"/>
    <x v="0"/>
    <n v="36"/>
    <x v="4"/>
    <x v="16"/>
    <x v="1"/>
    <n v="2.8"/>
    <n v="2"/>
    <x v="0"/>
    <n v="4"/>
    <x v="0"/>
    <n v="97700"/>
    <n v="9900"/>
    <n v="107600"/>
    <s v="D"/>
    <d v="2023-03-27T00:00:00"/>
    <x v="1"/>
  </r>
  <r>
    <x v="1395"/>
    <x v="1"/>
    <n v="31"/>
    <x v="5"/>
    <x v="9"/>
    <x v="1"/>
    <n v="3.5"/>
    <n v="2.1"/>
    <x v="1"/>
    <n v="4"/>
    <x v="0"/>
    <n v="91700"/>
    <n v="10200"/>
    <n v="101900"/>
    <s v="D"/>
    <d v="2022-07-20T00:00:00"/>
    <x v="1"/>
  </r>
  <r>
    <x v="1396"/>
    <x v="0"/>
    <n v="35"/>
    <x v="5"/>
    <x v="15"/>
    <x v="2"/>
    <n v="7.6"/>
    <n v="2.6"/>
    <x v="2"/>
    <n v="3"/>
    <x v="1"/>
    <n v="42200"/>
    <n v="8500"/>
    <n v="50700"/>
    <s v="A"/>
    <d v="2018-06-12T00:00:00"/>
    <x v="2"/>
  </r>
  <r>
    <x v="1397"/>
    <x v="0"/>
    <n v="27"/>
    <x v="5"/>
    <x v="9"/>
    <x v="1"/>
    <n v="12.1"/>
    <n v="9.8000000000000007"/>
    <x v="3"/>
    <n v="4"/>
    <x v="0"/>
    <n v="105900"/>
    <n v="17000"/>
    <n v="122900"/>
    <s v="E"/>
    <d v="2013-11-15T00:00:00"/>
    <x v="1"/>
  </r>
  <r>
    <x v="1398"/>
    <x v="0"/>
    <n v="21"/>
    <x v="0"/>
    <x v="0"/>
    <x v="1"/>
    <n v="12.1"/>
    <n v="6.6"/>
    <x v="3"/>
    <n v="1"/>
    <x v="2"/>
    <n v="83400"/>
    <n v="4500"/>
    <n v="87900"/>
    <s v="D"/>
    <d v="2013-11-21T00:00:00"/>
    <x v="1"/>
  </r>
  <r>
    <x v="1399"/>
    <x v="0"/>
    <n v="32"/>
    <x v="3"/>
    <x v="12"/>
    <x v="1"/>
    <n v="1.2"/>
    <n v="1.2"/>
    <x v="0"/>
    <n v="2"/>
    <x v="0"/>
    <n v="72200"/>
    <n v="6200"/>
    <n v="78400"/>
    <s v="C"/>
    <d v="2024-10-25T00:00:00"/>
    <x v="1"/>
  </r>
  <r>
    <x v="1400"/>
    <x v="1"/>
    <n v="35"/>
    <x v="4"/>
    <x v="14"/>
    <x v="0"/>
    <n v="8.5"/>
    <n v="5.2"/>
    <x v="2"/>
    <n v="3"/>
    <x v="0"/>
    <n v="103800"/>
    <n v="10200"/>
    <n v="114000"/>
    <s v="E"/>
    <d v="2017-07-14T00:00:00"/>
    <x v="0"/>
  </r>
  <r>
    <x v="1401"/>
    <x v="1"/>
    <n v="22"/>
    <x v="2"/>
    <x v="18"/>
    <x v="1"/>
    <n v="6"/>
    <n v="2.9"/>
    <x v="2"/>
    <n v="5"/>
    <x v="0"/>
    <n v="67900"/>
    <n v="4300"/>
    <n v="72200"/>
    <s v="C"/>
    <d v="2020-01-05T00:00:00"/>
    <x v="1"/>
  </r>
  <r>
    <x v="1402"/>
    <x v="1"/>
    <n v="24"/>
    <x v="2"/>
    <x v="4"/>
    <x v="1"/>
    <n v="3.2"/>
    <n v="0.6"/>
    <x v="1"/>
    <n v="1"/>
    <x v="2"/>
    <n v="53800"/>
    <n v="2700"/>
    <n v="56500"/>
    <s v="B"/>
    <d v="2022-10-20T00:00:00"/>
    <x v="1"/>
  </r>
  <r>
    <x v="1403"/>
    <x v="1"/>
    <n v="40"/>
    <x v="0"/>
    <x v="2"/>
    <x v="2"/>
    <n v="10.1"/>
    <n v="7.4"/>
    <x v="4"/>
    <n v="5"/>
    <x v="1"/>
    <n v="50900"/>
    <n v="2600"/>
    <n v="53500"/>
    <s v="B"/>
    <d v="2015-11-26T00:00:00"/>
    <x v="2"/>
  </r>
  <r>
    <x v="1404"/>
    <x v="0"/>
    <n v="45"/>
    <x v="4"/>
    <x v="14"/>
    <x v="1"/>
    <n v="9"/>
    <n v="6.4"/>
    <x v="4"/>
    <n v="5"/>
    <x v="0"/>
    <n v="121900"/>
    <n v="12500"/>
    <n v="134400"/>
    <s v="E"/>
    <d v="2017-01-07T00:00:00"/>
    <x v="1"/>
  </r>
  <r>
    <x v="1405"/>
    <x v="1"/>
    <n v="40"/>
    <x v="0"/>
    <x v="2"/>
    <x v="1"/>
    <n v="10.9"/>
    <n v="7.7"/>
    <x v="4"/>
    <n v="3"/>
    <x v="0"/>
    <n v="68200"/>
    <n v="3500"/>
    <n v="71700"/>
    <s v="C"/>
    <d v="2015-02-19T00:00:00"/>
    <x v="1"/>
  </r>
  <r>
    <x v="1406"/>
    <x v="1"/>
    <n v="21"/>
    <x v="1"/>
    <x v="7"/>
    <x v="1"/>
    <n v="1.2"/>
    <n v="1.2"/>
    <x v="0"/>
    <n v="3"/>
    <x v="0"/>
    <n v="64700"/>
    <n v="6500"/>
    <n v="71200"/>
    <s v="B"/>
    <d v="2024-10-08T00:00:00"/>
    <x v="1"/>
  </r>
  <r>
    <x v="1407"/>
    <x v="0"/>
    <n v="35"/>
    <x v="3"/>
    <x v="5"/>
    <x v="1"/>
    <n v="9.4"/>
    <n v="6.6"/>
    <x v="4"/>
    <n v="3"/>
    <x v="1"/>
    <n v="49100"/>
    <n v="3600"/>
    <n v="52700"/>
    <s v="A"/>
    <d v="2016-07-30T00:00:00"/>
    <x v="1"/>
  </r>
  <r>
    <x v="1408"/>
    <x v="0"/>
    <n v="23"/>
    <x v="3"/>
    <x v="13"/>
    <x v="2"/>
    <n v="3"/>
    <n v="1.3"/>
    <x v="1"/>
    <n v="3"/>
    <x v="0"/>
    <n v="113600"/>
    <n v="6900"/>
    <n v="120500"/>
    <s v="E"/>
    <d v="2023-01-14T00:00:00"/>
    <x v="2"/>
  </r>
  <r>
    <x v="1409"/>
    <x v="0"/>
    <n v="43"/>
    <x v="2"/>
    <x v="18"/>
    <x v="1"/>
    <n v="5.6"/>
    <n v="3.2"/>
    <x v="1"/>
    <n v="3"/>
    <x v="0"/>
    <n v="56400"/>
    <n v="5400"/>
    <n v="61800"/>
    <s v="B"/>
    <d v="2020-05-13T00:00:00"/>
    <x v="1"/>
  </r>
  <r>
    <x v="1410"/>
    <x v="1"/>
    <n v="38"/>
    <x v="4"/>
    <x v="8"/>
    <x v="1"/>
    <n v="2.4"/>
    <n v="1.6"/>
    <x v="0"/>
    <n v="4"/>
    <x v="0"/>
    <n v="81900"/>
    <n v="10400"/>
    <n v="92300"/>
    <s v="D"/>
    <d v="2023-08-10T00:00:00"/>
    <x v="1"/>
  </r>
  <r>
    <x v="1411"/>
    <x v="1"/>
    <n v="29"/>
    <x v="5"/>
    <x v="17"/>
    <x v="1"/>
    <n v="11.3"/>
    <n v="8.5"/>
    <x v="4"/>
    <n v="3"/>
    <x v="0"/>
    <n v="100800"/>
    <n v="10300"/>
    <n v="111100"/>
    <s v="E"/>
    <d v="2014-09-20T00:00:00"/>
    <x v="1"/>
  </r>
  <r>
    <x v="1412"/>
    <x v="1"/>
    <n v="21"/>
    <x v="2"/>
    <x v="4"/>
    <x v="2"/>
    <n v="8.8000000000000007"/>
    <n v="6.1"/>
    <x v="2"/>
    <n v="3"/>
    <x v="1"/>
    <n v="48800"/>
    <n v="3600"/>
    <n v="52400"/>
    <s v="A"/>
    <d v="2017-03-23T00:00:00"/>
    <x v="2"/>
  </r>
  <r>
    <x v="1413"/>
    <x v="0"/>
    <n v="30"/>
    <x v="0"/>
    <x v="0"/>
    <x v="0"/>
    <n v="1.2"/>
    <n v="0.5"/>
    <x v="0"/>
    <n v="3"/>
    <x v="2"/>
    <n v="73800"/>
    <n v="8600"/>
    <n v="82400"/>
    <s v="C"/>
    <d v="2024-10-11T00:00:00"/>
    <x v="0"/>
  </r>
  <r>
    <x v="1414"/>
    <x v="1"/>
    <n v="36"/>
    <x v="5"/>
    <x v="17"/>
    <x v="1"/>
    <n v="6.2"/>
    <n v="2.1"/>
    <x v="2"/>
    <n v="5"/>
    <x v="0"/>
    <n v="98900"/>
    <n v="20400"/>
    <n v="119300"/>
    <s v="D"/>
    <d v="2019-10-23T00:00:00"/>
    <x v="1"/>
  </r>
  <r>
    <x v="1415"/>
    <x v="1"/>
    <n v="34"/>
    <x v="4"/>
    <x v="16"/>
    <x v="1"/>
    <n v="2.1"/>
    <n v="0.3"/>
    <x v="0"/>
    <n v="3"/>
    <x v="0"/>
    <n v="90100"/>
    <n v="12600"/>
    <n v="102700"/>
    <s v="D"/>
    <d v="2023-11-20T00:00:00"/>
    <x v="1"/>
  </r>
  <r>
    <x v="1416"/>
    <x v="1"/>
    <n v="29"/>
    <x v="0"/>
    <x v="1"/>
    <x v="1"/>
    <n v="2.5"/>
    <n v="0.7"/>
    <x v="0"/>
    <n v="5"/>
    <x v="0"/>
    <n v="63500"/>
    <n v="4500"/>
    <n v="68000"/>
    <s v="B"/>
    <d v="2023-07-17T00:00:00"/>
    <x v="1"/>
  </r>
  <r>
    <x v="1417"/>
    <x v="1"/>
    <n v="34"/>
    <x v="2"/>
    <x v="4"/>
    <x v="1"/>
    <n v="3.8"/>
    <n v="3.8"/>
    <x v="1"/>
    <n v="3"/>
    <x v="0"/>
    <n v="71400"/>
    <n v="4200"/>
    <n v="75600"/>
    <s v="C"/>
    <d v="2022-03-14T00:00:00"/>
    <x v="1"/>
  </r>
  <r>
    <x v="1418"/>
    <x v="0"/>
    <n v="29"/>
    <x v="3"/>
    <x v="12"/>
    <x v="2"/>
    <n v="2.9"/>
    <n v="1"/>
    <x v="0"/>
    <n v="4"/>
    <x v="0"/>
    <n v="76300"/>
    <n v="3300"/>
    <n v="79600"/>
    <s v="C"/>
    <d v="2023-01-26T00:00:00"/>
    <x v="2"/>
  </r>
  <r>
    <x v="1419"/>
    <x v="1"/>
    <n v="36"/>
    <x v="2"/>
    <x v="18"/>
    <x v="1"/>
    <n v="13.5"/>
    <n v="9.6"/>
    <x v="3"/>
    <n v="4"/>
    <x v="0"/>
    <n v="86900"/>
    <n v="4700"/>
    <n v="91600"/>
    <s v="D"/>
    <d v="2012-06-14T00:00:00"/>
    <x v="1"/>
  </r>
  <r>
    <x v="1420"/>
    <x v="0"/>
    <n v="27"/>
    <x v="4"/>
    <x v="6"/>
    <x v="2"/>
    <n v="4.7"/>
    <n v="4.5"/>
    <x v="1"/>
    <n v="3"/>
    <x v="0"/>
    <n v="66800"/>
    <n v="5500"/>
    <n v="72300"/>
    <s v="C"/>
    <d v="2021-04-23T00:00:00"/>
    <x v="2"/>
  </r>
  <r>
    <x v="1421"/>
    <x v="1"/>
    <n v="38"/>
    <x v="0"/>
    <x v="1"/>
    <x v="1"/>
    <n v="6.5"/>
    <n v="5.7"/>
    <x v="2"/>
    <n v="4"/>
    <x v="0"/>
    <n v="76400"/>
    <n v="7200"/>
    <n v="83600"/>
    <s v="C"/>
    <d v="2019-06-23T00:00:00"/>
    <x v="1"/>
  </r>
  <r>
    <x v="1422"/>
    <x v="1"/>
    <n v="33"/>
    <x v="4"/>
    <x v="6"/>
    <x v="0"/>
    <n v="8.1999999999999993"/>
    <n v="3.5"/>
    <x v="2"/>
    <n v="2"/>
    <x v="0"/>
    <n v="67800"/>
    <n v="5200"/>
    <n v="73000"/>
    <s v="C"/>
    <d v="2017-10-26T00:00:00"/>
    <x v="0"/>
  </r>
  <r>
    <x v="1423"/>
    <x v="1"/>
    <n v="40"/>
    <x v="1"/>
    <x v="3"/>
    <x v="1"/>
    <n v="10.8"/>
    <n v="6.3"/>
    <x v="4"/>
    <n v="4"/>
    <x v="0"/>
    <n v="87800"/>
    <n v="5400"/>
    <n v="93200"/>
    <s v="D"/>
    <d v="2015-03-30T00:00:00"/>
    <x v="1"/>
  </r>
  <r>
    <x v="1424"/>
    <x v="1"/>
    <n v="52"/>
    <x v="4"/>
    <x v="16"/>
    <x v="1"/>
    <n v="13.3"/>
    <n v="8.1"/>
    <x v="3"/>
    <n v="2"/>
    <x v="0"/>
    <n v="92600"/>
    <n v="7600"/>
    <n v="100200"/>
    <s v="D"/>
    <d v="2012-08-26T00:00:00"/>
    <x v="1"/>
  </r>
  <r>
    <x v="1425"/>
    <x v="1"/>
    <n v="46"/>
    <x v="0"/>
    <x v="1"/>
    <x v="2"/>
    <n v="7.2"/>
    <n v="3"/>
    <x v="2"/>
    <n v="3"/>
    <x v="0"/>
    <n v="72400"/>
    <n v="5200"/>
    <n v="77600"/>
    <s v="C"/>
    <d v="2018-10-20T00:00:00"/>
    <x v="2"/>
  </r>
  <r>
    <x v="1426"/>
    <x v="1"/>
    <n v="36"/>
    <x v="4"/>
    <x v="6"/>
    <x v="1"/>
    <n v="8.9"/>
    <n v="3"/>
    <x v="2"/>
    <n v="4"/>
    <x v="0"/>
    <n v="78900"/>
    <n v="9100"/>
    <n v="88000"/>
    <s v="C"/>
    <d v="2017-02-03T00:00:00"/>
    <x v="1"/>
  </r>
  <r>
    <x v="1427"/>
    <x v="0"/>
    <n v="37"/>
    <x v="5"/>
    <x v="17"/>
    <x v="1"/>
    <n v="1"/>
    <n v="1"/>
    <x v="0"/>
    <n v="4"/>
    <x v="0"/>
    <n v="94100"/>
    <n v="18500"/>
    <n v="112600"/>
    <s v="D"/>
    <d v="2024-12-17T00:00:00"/>
    <x v="1"/>
  </r>
  <r>
    <x v="1428"/>
    <x v="1"/>
    <n v="31"/>
    <x v="3"/>
    <x v="12"/>
    <x v="1"/>
    <n v="9.1999999999999993"/>
    <n v="8.6"/>
    <x v="4"/>
    <n v="4"/>
    <x v="0"/>
    <n v="77000"/>
    <n v="6100"/>
    <n v="83100"/>
    <s v="C"/>
    <d v="2016-11-01T00:00:00"/>
    <x v="1"/>
  </r>
  <r>
    <x v="1429"/>
    <x v="1"/>
    <n v="42"/>
    <x v="4"/>
    <x v="8"/>
    <x v="1"/>
    <n v="12.4"/>
    <n v="4.7"/>
    <x v="3"/>
    <n v="3"/>
    <x v="0"/>
    <n v="80000"/>
    <n v="5200"/>
    <n v="85200"/>
    <s v="D"/>
    <d v="2013-08-10T00:00:00"/>
    <x v="1"/>
  </r>
  <r>
    <x v="1430"/>
    <x v="0"/>
    <n v="30"/>
    <x v="3"/>
    <x v="13"/>
    <x v="2"/>
    <n v="6.8"/>
    <n v="3.7"/>
    <x v="2"/>
    <n v="4"/>
    <x v="2"/>
    <n v="91400"/>
    <n v="7500"/>
    <n v="98900"/>
    <s v="D"/>
    <d v="2019-02-28T00:00:00"/>
    <x v="2"/>
  </r>
  <r>
    <x v="1431"/>
    <x v="0"/>
    <n v="39"/>
    <x v="5"/>
    <x v="17"/>
    <x v="1"/>
    <n v="9.6"/>
    <n v="5.5"/>
    <x v="4"/>
    <n v="3"/>
    <x v="0"/>
    <n v="110900"/>
    <n v="17100"/>
    <n v="128000"/>
    <s v="E"/>
    <d v="2016-06-02T00:00:00"/>
    <x v="1"/>
  </r>
  <r>
    <x v="1432"/>
    <x v="0"/>
    <n v="26"/>
    <x v="4"/>
    <x v="6"/>
    <x v="1"/>
    <n v="9.4"/>
    <n v="5.2"/>
    <x v="4"/>
    <n v="4"/>
    <x v="0"/>
    <n v="74100"/>
    <n v="8500"/>
    <n v="82600"/>
    <s v="C"/>
    <d v="2016-08-22T00:00:00"/>
    <x v="1"/>
  </r>
  <r>
    <x v="1433"/>
    <x v="0"/>
    <n v="51"/>
    <x v="5"/>
    <x v="9"/>
    <x v="2"/>
    <n v="11.2"/>
    <n v="6.1"/>
    <x v="4"/>
    <n v="4"/>
    <x v="0"/>
    <n v="110500"/>
    <n v="19200"/>
    <n v="129700"/>
    <s v="E"/>
    <d v="2014-10-28T00:00:00"/>
    <x v="2"/>
  </r>
  <r>
    <x v="1434"/>
    <x v="1"/>
    <n v="41"/>
    <x v="3"/>
    <x v="5"/>
    <x v="2"/>
    <n v="11.9"/>
    <n v="6.6"/>
    <x v="4"/>
    <n v="1"/>
    <x v="2"/>
    <n v="76700"/>
    <n v="3000"/>
    <n v="79700"/>
    <s v="C"/>
    <d v="2014-01-23T00:00:00"/>
    <x v="2"/>
  </r>
  <r>
    <x v="1435"/>
    <x v="0"/>
    <n v="22"/>
    <x v="2"/>
    <x v="18"/>
    <x v="1"/>
    <n v="1.6"/>
    <n v="1.6"/>
    <x v="0"/>
    <n v="5"/>
    <x v="2"/>
    <n v="59100"/>
    <n v="4200"/>
    <n v="63300"/>
    <s v="B"/>
    <d v="2024-05-26T00:00:00"/>
    <x v="1"/>
  </r>
  <r>
    <x v="1436"/>
    <x v="0"/>
    <n v="33"/>
    <x v="2"/>
    <x v="11"/>
    <x v="1"/>
    <n v="9.3000000000000007"/>
    <n v="6.8"/>
    <x v="4"/>
    <n v="5"/>
    <x v="0"/>
    <n v="109000"/>
    <n v="9600"/>
    <n v="118600"/>
    <s v="E"/>
    <d v="2016-09-28T00:00:00"/>
    <x v="1"/>
  </r>
  <r>
    <x v="1437"/>
    <x v="1"/>
    <n v="28"/>
    <x v="5"/>
    <x v="15"/>
    <x v="1"/>
    <n v="4.5999999999999996"/>
    <n v="2.1"/>
    <x v="1"/>
    <n v="3"/>
    <x v="0"/>
    <n v="69200"/>
    <n v="5600"/>
    <n v="74800"/>
    <s v="C"/>
    <d v="2021-06-10T00:00:00"/>
    <x v="1"/>
  </r>
  <r>
    <x v="1438"/>
    <x v="0"/>
    <n v="37"/>
    <x v="3"/>
    <x v="13"/>
    <x v="2"/>
    <n v="5.7"/>
    <n v="1.9"/>
    <x v="1"/>
    <n v="1"/>
    <x v="0"/>
    <n v="103300"/>
    <n v="7600"/>
    <n v="110900"/>
    <s v="E"/>
    <d v="2020-04-09T00:00:00"/>
    <x v="2"/>
  </r>
  <r>
    <x v="1439"/>
    <x v="0"/>
    <n v="42"/>
    <x v="3"/>
    <x v="12"/>
    <x v="2"/>
    <n v="12.5"/>
    <n v="6.3"/>
    <x v="3"/>
    <n v="3"/>
    <x v="0"/>
    <n v="77700"/>
    <n v="6900"/>
    <n v="84600"/>
    <s v="C"/>
    <d v="2013-06-22T00:00:00"/>
    <x v="2"/>
  </r>
  <r>
    <x v="1440"/>
    <x v="1"/>
    <n v="45"/>
    <x v="1"/>
    <x v="7"/>
    <x v="2"/>
    <n v="8.5"/>
    <n v="5"/>
    <x v="2"/>
    <n v="1"/>
    <x v="0"/>
    <n v="84800"/>
    <n v="5200"/>
    <n v="90000"/>
    <s v="D"/>
    <d v="2017-07-01T00:00:00"/>
    <x v="2"/>
  </r>
  <r>
    <x v="1441"/>
    <x v="0"/>
    <n v="31"/>
    <x v="5"/>
    <x v="9"/>
    <x v="1"/>
    <n v="5"/>
    <n v="3.3"/>
    <x v="1"/>
    <n v="3"/>
    <x v="0"/>
    <n v="90100"/>
    <n v="18500"/>
    <n v="108600"/>
    <s v="D"/>
    <d v="2020-12-22T00:00:00"/>
    <x v="1"/>
  </r>
  <r>
    <x v="1442"/>
    <x v="0"/>
    <n v="38"/>
    <x v="2"/>
    <x v="4"/>
    <x v="1"/>
    <n v="10.199999999999999"/>
    <n v="7.7"/>
    <x v="4"/>
    <n v="3"/>
    <x v="0"/>
    <n v="81400"/>
    <n v="8200"/>
    <n v="89600"/>
    <s v="D"/>
    <d v="2015-11-01T00:00:00"/>
    <x v="1"/>
  </r>
  <r>
    <x v="1443"/>
    <x v="0"/>
    <n v="54"/>
    <x v="3"/>
    <x v="12"/>
    <x v="1"/>
    <n v="4.5"/>
    <n v="2.2999999999999998"/>
    <x v="1"/>
    <n v="3"/>
    <x v="0"/>
    <n v="73400"/>
    <n v="6200"/>
    <n v="79600"/>
    <s v="C"/>
    <d v="2021-06-30T00:00:00"/>
    <x v="1"/>
  </r>
  <r>
    <x v="1444"/>
    <x v="0"/>
    <n v="32"/>
    <x v="3"/>
    <x v="5"/>
    <x v="1"/>
    <n v="9"/>
    <n v="3.4"/>
    <x v="4"/>
    <n v="4"/>
    <x v="0"/>
    <n v="76100"/>
    <n v="3600"/>
    <n v="79700"/>
    <s v="C"/>
    <d v="2017-01-03T00:00:00"/>
    <x v="1"/>
  </r>
  <r>
    <x v="1445"/>
    <x v="0"/>
    <n v="37"/>
    <x v="3"/>
    <x v="12"/>
    <x v="2"/>
    <n v="7.5"/>
    <n v="4.5"/>
    <x v="2"/>
    <n v="3"/>
    <x v="0"/>
    <n v="77500"/>
    <n v="7000"/>
    <n v="84500"/>
    <s v="C"/>
    <d v="2018-06-26T00:00:00"/>
    <x v="2"/>
  </r>
  <r>
    <x v="1446"/>
    <x v="0"/>
    <n v="35"/>
    <x v="2"/>
    <x v="18"/>
    <x v="1"/>
    <n v="6.9"/>
    <n v="3.6"/>
    <x v="2"/>
    <n v="1"/>
    <x v="0"/>
    <n v="66900"/>
    <n v="6000"/>
    <n v="72900"/>
    <s v="C"/>
    <d v="2019-02-11T00:00:00"/>
    <x v="1"/>
  </r>
  <r>
    <x v="1447"/>
    <x v="1"/>
    <n v="22"/>
    <x v="2"/>
    <x v="18"/>
    <x v="2"/>
    <n v="4.0999999999999996"/>
    <n v="2.8"/>
    <x v="1"/>
    <n v="4"/>
    <x v="0"/>
    <n v="76700"/>
    <n v="3000"/>
    <n v="79700"/>
    <s v="C"/>
    <d v="2021-11-28T00:00:00"/>
    <x v="2"/>
  </r>
  <r>
    <x v="1448"/>
    <x v="1"/>
    <n v="29"/>
    <x v="5"/>
    <x v="17"/>
    <x v="2"/>
    <n v="13.8"/>
    <n v="9.5"/>
    <x v="3"/>
    <n v="4"/>
    <x v="0"/>
    <n v="112600"/>
    <n v="9600"/>
    <n v="122200"/>
    <s v="E"/>
    <d v="2012-03-06T00:00:00"/>
    <x v="2"/>
  </r>
  <r>
    <x v="1449"/>
    <x v="1"/>
    <n v="30"/>
    <x v="1"/>
    <x v="3"/>
    <x v="1"/>
    <n v="7.8"/>
    <n v="4"/>
    <x v="2"/>
    <n v="2"/>
    <x v="0"/>
    <n v="75700"/>
    <n v="3200"/>
    <n v="78900"/>
    <s v="C"/>
    <d v="2018-04-01T00:00:00"/>
    <x v="1"/>
  </r>
  <r>
    <x v="1450"/>
    <x v="0"/>
    <n v="41"/>
    <x v="0"/>
    <x v="1"/>
    <x v="0"/>
    <n v="13.8"/>
    <n v="8.1"/>
    <x v="3"/>
    <n v="4"/>
    <x v="1"/>
    <n v="42300"/>
    <n v="4500"/>
    <n v="46800"/>
    <s v="A"/>
    <d v="2012-03-12T00:00:00"/>
    <x v="0"/>
  </r>
  <r>
    <x v="1451"/>
    <x v="0"/>
    <n v="29"/>
    <x v="2"/>
    <x v="11"/>
    <x v="1"/>
    <n v="4.9000000000000004"/>
    <n v="2.2999999999999998"/>
    <x v="1"/>
    <n v="3"/>
    <x v="0"/>
    <n v="111000"/>
    <n v="5000"/>
    <n v="116000"/>
    <s v="E"/>
    <d v="2021-02-07T00:00:00"/>
    <x v="1"/>
  </r>
  <r>
    <x v="1452"/>
    <x v="1"/>
    <n v="35"/>
    <x v="0"/>
    <x v="0"/>
    <x v="3"/>
    <n v="5"/>
    <n v="1.9"/>
    <x v="1"/>
    <n v="3"/>
    <x v="0"/>
    <n v="115000"/>
    <n v="5600"/>
    <n v="120600"/>
    <s v="E"/>
    <d v="2021-01-17T00:00:00"/>
    <x v="3"/>
  </r>
  <r>
    <x v="1453"/>
    <x v="0"/>
    <n v="33"/>
    <x v="0"/>
    <x v="2"/>
    <x v="3"/>
    <n v="13.3"/>
    <n v="8"/>
    <x v="3"/>
    <n v="4"/>
    <x v="1"/>
    <n v="51300"/>
    <n v="5000"/>
    <n v="56300"/>
    <s v="B"/>
    <d v="2012-09-19T00:00:00"/>
    <x v="3"/>
  </r>
  <r>
    <x v="1454"/>
    <x v="0"/>
    <n v="24"/>
    <x v="4"/>
    <x v="8"/>
    <x v="2"/>
    <n v="11.8"/>
    <n v="8"/>
    <x v="4"/>
    <n v="3"/>
    <x v="2"/>
    <n v="62800"/>
    <n v="5300"/>
    <n v="68100"/>
    <s v="B"/>
    <d v="2014-03-10T00:00:00"/>
    <x v="2"/>
  </r>
  <r>
    <x v="1455"/>
    <x v="1"/>
    <n v="21"/>
    <x v="0"/>
    <x v="2"/>
    <x v="1"/>
    <n v="4.0999999999999996"/>
    <n v="0.1"/>
    <x v="1"/>
    <n v="3"/>
    <x v="1"/>
    <n v="34700"/>
    <n v="1600"/>
    <n v="36300"/>
    <s v="A"/>
    <d v="2021-11-25T00:00:00"/>
    <x v="1"/>
  </r>
  <r>
    <x v="1456"/>
    <x v="1"/>
    <n v="26"/>
    <x v="2"/>
    <x v="18"/>
    <x v="3"/>
    <n v="4.9000000000000004"/>
    <n v="3.7"/>
    <x v="1"/>
    <n v="3"/>
    <x v="0"/>
    <n v="72400"/>
    <n v="7400"/>
    <n v="79800"/>
    <s v="C"/>
    <d v="2021-02-05T00:00:00"/>
    <x v="3"/>
  </r>
  <r>
    <x v="1457"/>
    <x v="1"/>
    <n v="38"/>
    <x v="0"/>
    <x v="2"/>
    <x v="1"/>
    <n v="11.7"/>
    <n v="8"/>
    <x v="4"/>
    <n v="3"/>
    <x v="0"/>
    <n v="72300"/>
    <n v="7600"/>
    <n v="79900"/>
    <s v="C"/>
    <d v="2014-04-25T00:00:00"/>
    <x v="1"/>
  </r>
  <r>
    <x v="1458"/>
    <x v="0"/>
    <n v="24"/>
    <x v="2"/>
    <x v="11"/>
    <x v="2"/>
    <n v="6.7"/>
    <n v="3.8"/>
    <x v="2"/>
    <n v="2"/>
    <x v="0"/>
    <n v="100800"/>
    <n v="4200"/>
    <n v="105000"/>
    <s v="E"/>
    <d v="2019-04-05T00:00:00"/>
    <x v="2"/>
  </r>
  <r>
    <x v="1459"/>
    <x v="1"/>
    <n v="35"/>
    <x v="4"/>
    <x v="6"/>
    <x v="1"/>
    <n v="8"/>
    <n v="5.7"/>
    <x v="2"/>
    <n v="3"/>
    <x v="0"/>
    <n v="80700"/>
    <n v="4100"/>
    <n v="84800"/>
    <s v="D"/>
    <d v="2018-01-17T00:00:00"/>
    <x v="1"/>
  </r>
  <r>
    <x v="1460"/>
    <x v="0"/>
    <n v="29"/>
    <x v="4"/>
    <x v="8"/>
    <x v="1"/>
    <n v="13.8"/>
    <n v="8.5"/>
    <x v="3"/>
    <n v="3"/>
    <x v="1"/>
    <n v="62500"/>
    <n v="6000"/>
    <n v="68500"/>
    <s v="B"/>
    <d v="2012-03-07T00:00:00"/>
    <x v="1"/>
  </r>
  <r>
    <x v="1461"/>
    <x v="0"/>
    <n v="44"/>
    <x v="4"/>
    <x v="6"/>
    <x v="0"/>
    <n v="13.5"/>
    <n v="8.8000000000000007"/>
    <x v="3"/>
    <n v="4"/>
    <x v="2"/>
    <n v="63700"/>
    <n v="3600"/>
    <n v="67300"/>
    <s v="B"/>
    <d v="2012-07-17T00:00:00"/>
    <x v="0"/>
  </r>
  <r>
    <x v="1462"/>
    <x v="0"/>
    <n v="41"/>
    <x v="4"/>
    <x v="16"/>
    <x v="2"/>
    <n v="11"/>
    <n v="5.2"/>
    <x v="4"/>
    <n v="3"/>
    <x v="1"/>
    <n v="65700"/>
    <n v="7100"/>
    <n v="72800"/>
    <s v="C"/>
    <d v="2014-12-26T00:00:00"/>
    <x v="2"/>
  </r>
  <r>
    <x v="1463"/>
    <x v="1"/>
    <n v="25"/>
    <x v="4"/>
    <x v="16"/>
    <x v="1"/>
    <n v="3"/>
    <n v="0.8"/>
    <x v="1"/>
    <n v="5"/>
    <x v="0"/>
    <n v="106400"/>
    <n v="7600"/>
    <n v="114000"/>
    <s v="E"/>
    <d v="2023-01-15T00:00:00"/>
    <x v="1"/>
  </r>
  <r>
    <x v="1464"/>
    <x v="1"/>
    <n v="32"/>
    <x v="5"/>
    <x v="15"/>
    <x v="2"/>
    <n v="9.8000000000000007"/>
    <n v="5.6"/>
    <x v="4"/>
    <n v="3"/>
    <x v="0"/>
    <n v="80400"/>
    <n v="10000"/>
    <n v="90400"/>
    <s v="D"/>
    <d v="2016-03-16T00:00:00"/>
    <x v="2"/>
  </r>
  <r>
    <x v="1465"/>
    <x v="1"/>
    <n v="34"/>
    <x v="5"/>
    <x v="17"/>
    <x v="0"/>
    <n v="7.3"/>
    <n v="5.0999999999999996"/>
    <x v="2"/>
    <n v="3"/>
    <x v="0"/>
    <n v="95200"/>
    <n v="10500"/>
    <n v="105700"/>
    <s v="D"/>
    <d v="2018-09-06T00:00:00"/>
    <x v="0"/>
  </r>
  <r>
    <x v="1466"/>
    <x v="0"/>
    <n v="29"/>
    <x v="4"/>
    <x v="14"/>
    <x v="2"/>
    <n v="12.7"/>
    <n v="8.5"/>
    <x v="3"/>
    <n v="2"/>
    <x v="0"/>
    <n v="123400"/>
    <n v="10500"/>
    <n v="133900"/>
    <s v="E"/>
    <d v="2013-04-19T00:00:00"/>
    <x v="2"/>
  </r>
  <r>
    <x v="1467"/>
    <x v="1"/>
    <n v="41"/>
    <x v="4"/>
    <x v="8"/>
    <x v="1"/>
    <n v="13.6"/>
    <n v="9.9"/>
    <x v="3"/>
    <n v="2"/>
    <x v="0"/>
    <n v="85700"/>
    <n v="7900"/>
    <n v="93600"/>
    <s v="D"/>
    <d v="2012-05-20T00:00:00"/>
    <x v="1"/>
  </r>
  <r>
    <x v="1468"/>
    <x v="0"/>
    <n v="43"/>
    <x v="2"/>
    <x v="18"/>
    <x v="2"/>
    <n v="2.6"/>
    <n v="2.5"/>
    <x v="0"/>
    <n v="3"/>
    <x v="0"/>
    <n v="67400"/>
    <n v="6000"/>
    <n v="73400"/>
    <s v="C"/>
    <d v="2023-05-29T00:00:00"/>
    <x v="2"/>
  </r>
  <r>
    <x v="1469"/>
    <x v="0"/>
    <n v="42"/>
    <x v="3"/>
    <x v="5"/>
    <x v="2"/>
    <n v="3.5"/>
    <n v="0.6"/>
    <x v="1"/>
    <n v="4"/>
    <x v="0"/>
    <n v="79200"/>
    <n v="3400"/>
    <n v="82600"/>
    <s v="C"/>
    <d v="2022-07-03T00:00:00"/>
    <x v="2"/>
  </r>
  <r>
    <x v="1470"/>
    <x v="1"/>
    <n v="47"/>
    <x v="3"/>
    <x v="12"/>
    <x v="2"/>
    <n v="10.7"/>
    <n v="5.4"/>
    <x v="4"/>
    <n v="3"/>
    <x v="0"/>
    <n v="81900"/>
    <n v="3900"/>
    <n v="85800"/>
    <s v="D"/>
    <d v="2015-04-06T00:00:00"/>
    <x v="2"/>
  </r>
  <r>
    <x v="1471"/>
    <x v="0"/>
    <n v="31"/>
    <x v="1"/>
    <x v="3"/>
    <x v="0"/>
    <n v="2.7"/>
    <n v="0"/>
    <x v="0"/>
    <n v="2"/>
    <x v="1"/>
    <n v="34900"/>
    <n v="1500"/>
    <n v="36400"/>
    <s v="A"/>
    <d v="2023-04-07T00:00:00"/>
    <x v="0"/>
  </r>
  <r>
    <x v="1472"/>
    <x v="1"/>
    <n v="34"/>
    <x v="2"/>
    <x v="18"/>
    <x v="0"/>
    <n v="5"/>
    <n v="5"/>
    <x v="1"/>
    <n v="4"/>
    <x v="1"/>
    <n v="44900"/>
    <n v="3600"/>
    <n v="48500"/>
    <s v="A"/>
    <d v="2020-12-17T00:00:00"/>
    <x v="0"/>
  </r>
  <r>
    <x v="1473"/>
    <x v="0"/>
    <n v="30"/>
    <x v="1"/>
    <x v="10"/>
    <x v="0"/>
    <n v="12.1"/>
    <n v="7.1"/>
    <x v="3"/>
    <n v="4"/>
    <x v="2"/>
    <n v="76200"/>
    <n v="5700"/>
    <n v="81900"/>
    <s v="C"/>
    <d v="2013-11-13T00:00:00"/>
    <x v="0"/>
  </r>
  <r>
    <x v="1474"/>
    <x v="0"/>
    <n v="39"/>
    <x v="1"/>
    <x v="10"/>
    <x v="1"/>
    <n v="6.3"/>
    <n v="2.2999999999999998"/>
    <x v="2"/>
    <n v="3"/>
    <x v="0"/>
    <n v="100200"/>
    <n v="11100"/>
    <n v="111300"/>
    <s v="E"/>
    <d v="2019-10-01T00:00:00"/>
    <x v="1"/>
  </r>
  <r>
    <x v="1475"/>
    <x v="1"/>
    <n v="66"/>
    <x v="3"/>
    <x v="5"/>
    <x v="1"/>
    <n v="11.9"/>
    <n v="9.3000000000000007"/>
    <x v="4"/>
    <n v="4"/>
    <x v="0"/>
    <n v="90300"/>
    <n v="7600"/>
    <n v="97900"/>
    <s v="D"/>
    <d v="2014-02-09T00:00:00"/>
    <x v="1"/>
  </r>
  <r>
    <x v="1476"/>
    <x v="1"/>
    <n v="51"/>
    <x v="2"/>
    <x v="4"/>
    <x v="2"/>
    <n v="4.8"/>
    <n v="4.5999999999999996"/>
    <x v="1"/>
    <n v="2"/>
    <x v="2"/>
    <n v="63800"/>
    <n v="6200"/>
    <n v="70000"/>
    <s v="B"/>
    <d v="2021-03-11T00:00:00"/>
    <x v="2"/>
  </r>
  <r>
    <x v="1477"/>
    <x v="1"/>
    <n v="46"/>
    <x v="5"/>
    <x v="9"/>
    <x v="2"/>
    <n v="7.9"/>
    <n v="6.9"/>
    <x v="2"/>
    <n v="3"/>
    <x v="0"/>
    <n v="107700"/>
    <n v="18300"/>
    <n v="126000"/>
    <s v="E"/>
    <d v="2018-02-05T00:00:00"/>
    <x v="2"/>
  </r>
  <r>
    <x v="1478"/>
    <x v="1"/>
    <n v="35"/>
    <x v="5"/>
    <x v="17"/>
    <x v="1"/>
    <n v="8.1999999999999993"/>
    <n v="5.0999999999999996"/>
    <x v="2"/>
    <n v="4"/>
    <x v="0"/>
    <n v="106800"/>
    <n v="17700"/>
    <n v="124500"/>
    <s v="E"/>
    <d v="2017-10-31T00:00:00"/>
    <x v="1"/>
  </r>
  <r>
    <x v="1479"/>
    <x v="1"/>
    <n v="45"/>
    <x v="3"/>
    <x v="12"/>
    <x v="0"/>
    <n v="9.5"/>
    <n v="7.3"/>
    <x v="4"/>
    <n v="4"/>
    <x v="1"/>
    <n v="44100"/>
    <n v="3300"/>
    <n v="47400"/>
    <s v="A"/>
    <d v="2016-07-06T00:00:00"/>
    <x v="0"/>
  </r>
  <r>
    <x v="1480"/>
    <x v="0"/>
    <n v="46"/>
    <x v="1"/>
    <x v="3"/>
    <x v="2"/>
    <n v="6"/>
    <n v="3.5"/>
    <x v="2"/>
    <n v="4"/>
    <x v="1"/>
    <n v="45900"/>
    <n v="5500"/>
    <n v="51400"/>
    <s v="A"/>
    <d v="2019-12-18T00:00:00"/>
    <x v="2"/>
  </r>
  <r>
    <x v="1481"/>
    <x v="0"/>
    <n v="37"/>
    <x v="1"/>
    <x v="10"/>
    <x v="2"/>
    <n v="3.5"/>
    <n v="2.9"/>
    <x v="1"/>
    <n v="4"/>
    <x v="0"/>
    <n v="105100"/>
    <n v="4400"/>
    <n v="109500"/>
    <s v="E"/>
    <d v="2022-07-02T00:00:00"/>
    <x v="2"/>
  </r>
  <r>
    <x v="1482"/>
    <x v="1"/>
    <n v="28"/>
    <x v="5"/>
    <x v="17"/>
    <x v="3"/>
    <n v="7.7"/>
    <n v="2.6"/>
    <x v="2"/>
    <n v="3"/>
    <x v="0"/>
    <n v="117900"/>
    <n v="14700"/>
    <n v="132600"/>
    <s v="E"/>
    <d v="2018-04-14T00:00:00"/>
    <x v="3"/>
  </r>
  <r>
    <x v="1483"/>
    <x v="1"/>
    <n v="37"/>
    <x v="3"/>
    <x v="5"/>
    <x v="1"/>
    <n v="8.3000000000000007"/>
    <n v="3.7"/>
    <x v="2"/>
    <n v="3"/>
    <x v="0"/>
    <n v="77700"/>
    <n v="3100"/>
    <n v="80800"/>
    <s v="C"/>
    <d v="2017-09-05T00:00:00"/>
    <x v="1"/>
  </r>
  <r>
    <x v="1484"/>
    <x v="1"/>
    <n v="27"/>
    <x v="5"/>
    <x v="15"/>
    <x v="2"/>
    <n v="1.5"/>
    <n v="0.3"/>
    <x v="0"/>
    <n v="3"/>
    <x v="0"/>
    <n v="52900"/>
    <n v="7600"/>
    <n v="60500"/>
    <s v="B"/>
    <d v="2024-06-28T00:00:00"/>
    <x v="2"/>
  </r>
  <r>
    <x v="1485"/>
    <x v="0"/>
    <n v="28"/>
    <x v="1"/>
    <x v="3"/>
    <x v="1"/>
    <n v="3.9"/>
    <n v="3.6"/>
    <x v="1"/>
    <n v="3"/>
    <x v="0"/>
    <n v="70800"/>
    <n v="6500"/>
    <n v="77300"/>
    <s v="C"/>
    <d v="2022-02-14T00:00:00"/>
    <x v="1"/>
  </r>
  <r>
    <x v="1486"/>
    <x v="0"/>
    <n v="34"/>
    <x v="1"/>
    <x v="7"/>
    <x v="1"/>
    <n v="9.1"/>
    <n v="6.8"/>
    <x v="4"/>
    <n v="3"/>
    <x v="1"/>
    <n v="47300"/>
    <n v="3900"/>
    <n v="51200"/>
    <s v="A"/>
    <d v="2016-12-09T00:00:00"/>
    <x v="1"/>
  </r>
  <r>
    <x v="1487"/>
    <x v="0"/>
    <n v="45"/>
    <x v="2"/>
    <x v="11"/>
    <x v="1"/>
    <n v="4.9000000000000004"/>
    <n v="3.8"/>
    <x v="1"/>
    <n v="3"/>
    <x v="0"/>
    <n v="107000"/>
    <n v="5300"/>
    <n v="112300"/>
    <s v="E"/>
    <d v="2021-02-14T00:00:00"/>
    <x v="1"/>
  </r>
  <r>
    <x v="1488"/>
    <x v="0"/>
    <n v="47"/>
    <x v="5"/>
    <x v="17"/>
    <x v="1"/>
    <n v="9.4"/>
    <n v="5.3"/>
    <x v="4"/>
    <n v="3"/>
    <x v="0"/>
    <n v="91800"/>
    <n v="12600"/>
    <n v="104400"/>
    <s v="D"/>
    <d v="2016-08-15T00:00:00"/>
    <x v="1"/>
  </r>
  <r>
    <x v="1489"/>
    <x v="0"/>
    <n v="32"/>
    <x v="0"/>
    <x v="0"/>
    <x v="1"/>
    <n v="4.2"/>
    <n v="0.6"/>
    <x v="1"/>
    <n v="2"/>
    <x v="0"/>
    <n v="105900"/>
    <n v="13400"/>
    <n v="119300"/>
    <s v="E"/>
    <d v="2021-11-02T00:00:00"/>
    <x v="1"/>
  </r>
  <r>
    <x v="1490"/>
    <x v="1"/>
    <n v="41"/>
    <x v="2"/>
    <x v="18"/>
    <x v="2"/>
    <n v="6.4"/>
    <n v="2.2000000000000002"/>
    <x v="2"/>
    <n v="3"/>
    <x v="0"/>
    <n v="77100"/>
    <n v="5800"/>
    <n v="82900"/>
    <s v="C"/>
    <d v="2019-08-03T00:00:00"/>
    <x v="2"/>
  </r>
  <r>
    <x v="1491"/>
    <x v="0"/>
    <n v="48"/>
    <x v="2"/>
    <x v="4"/>
    <x v="3"/>
    <n v="6"/>
    <n v="5.9"/>
    <x v="2"/>
    <n v="3"/>
    <x v="0"/>
    <n v="88000"/>
    <n v="8700"/>
    <n v="96700"/>
    <s v="D"/>
    <d v="2019-12-21T00:00:00"/>
    <x v="3"/>
  </r>
  <r>
    <x v="1492"/>
    <x v="1"/>
    <n v="46"/>
    <x v="5"/>
    <x v="9"/>
    <x v="2"/>
    <n v="9.9"/>
    <n v="8"/>
    <x v="4"/>
    <n v="3"/>
    <x v="0"/>
    <n v="105200"/>
    <n v="11300"/>
    <n v="116500"/>
    <s v="E"/>
    <d v="2016-02-02T00:00:00"/>
    <x v="2"/>
  </r>
  <r>
    <x v="1493"/>
    <x v="1"/>
    <n v="39"/>
    <x v="1"/>
    <x v="7"/>
    <x v="2"/>
    <n v="1.9"/>
    <n v="0.9"/>
    <x v="0"/>
    <n v="3"/>
    <x v="0"/>
    <n v="78900"/>
    <n v="5300"/>
    <n v="84200"/>
    <s v="C"/>
    <d v="2024-01-30T00:00:00"/>
    <x v="2"/>
  </r>
  <r>
    <x v="1494"/>
    <x v="0"/>
    <n v="25"/>
    <x v="2"/>
    <x v="4"/>
    <x v="2"/>
    <n v="8.5"/>
    <n v="6.1"/>
    <x v="2"/>
    <n v="3"/>
    <x v="0"/>
    <n v="81600"/>
    <n v="3600"/>
    <n v="85200"/>
    <s v="D"/>
    <d v="2017-06-16T00:00:00"/>
    <x v="2"/>
  </r>
  <r>
    <x v="1495"/>
    <x v="0"/>
    <n v="55"/>
    <x v="4"/>
    <x v="6"/>
    <x v="1"/>
    <n v="13.4"/>
    <n v="9.3000000000000007"/>
    <x v="3"/>
    <n v="3"/>
    <x v="0"/>
    <n v="70100"/>
    <n v="4900"/>
    <n v="75000"/>
    <s v="C"/>
    <d v="2012-07-22T00:00:00"/>
    <x v="1"/>
  </r>
  <r>
    <x v="1496"/>
    <x v="0"/>
    <n v="40"/>
    <x v="1"/>
    <x v="10"/>
    <x v="1"/>
    <n v="8.4"/>
    <n v="4.5999999999999996"/>
    <x v="2"/>
    <n v="4"/>
    <x v="2"/>
    <n v="86600"/>
    <n v="8600"/>
    <n v="95200"/>
    <s v="D"/>
    <d v="2017-08-01T00:00:00"/>
    <x v="1"/>
  </r>
  <r>
    <x v="1497"/>
    <x v="0"/>
    <n v="44"/>
    <x v="0"/>
    <x v="0"/>
    <x v="2"/>
    <n v="11.7"/>
    <n v="6"/>
    <x v="4"/>
    <n v="4"/>
    <x v="0"/>
    <n v="103800"/>
    <n v="14000"/>
    <n v="117800"/>
    <s v="E"/>
    <d v="2014-05-03T00:00:00"/>
    <x v="2"/>
  </r>
  <r>
    <x v="1498"/>
    <x v="0"/>
    <n v="39"/>
    <x v="3"/>
    <x v="5"/>
    <x v="1"/>
    <n v="3.4"/>
    <n v="0.5"/>
    <x v="1"/>
    <n v="4"/>
    <x v="0"/>
    <n v="69700"/>
    <n v="6300"/>
    <n v="76000"/>
    <s v="C"/>
    <d v="2022-08-10T00:00:00"/>
    <x v="1"/>
  </r>
  <r>
    <x v="1499"/>
    <x v="1"/>
    <n v="42"/>
    <x v="4"/>
    <x v="16"/>
    <x v="1"/>
    <n v="13.6"/>
    <n v="9.9"/>
    <x v="3"/>
    <n v="4"/>
    <x v="0"/>
    <n v="118500"/>
    <n v="15700"/>
    <n v="134200"/>
    <s v="E"/>
    <d v="2012-06-04T00:00:00"/>
    <x v="1"/>
  </r>
  <r>
    <x v="1500"/>
    <x v="0"/>
    <n v="37"/>
    <x v="0"/>
    <x v="2"/>
    <x v="2"/>
    <n v="6.3"/>
    <n v="6.2"/>
    <x v="2"/>
    <n v="2"/>
    <x v="0"/>
    <n v="64400"/>
    <n v="3800"/>
    <n v="68200"/>
    <s v="B"/>
    <d v="2019-08-29T00:00:00"/>
    <x v="2"/>
  </r>
  <r>
    <x v="1501"/>
    <x v="0"/>
    <n v="44"/>
    <x v="4"/>
    <x v="6"/>
    <x v="2"/>
    <n v="5.2"/>
    <n v="5.0999999999999996"/>
    <x v="1"/>
    <n v="4"/>
    <x v="0"/>
    <n v="85300"/>
    <n v="8900"/>
    <n v="94200"/>
    <s v="D"/>
    <d v="2020-10-02T00:00:00"/>
    <x v="2"/>
  </r>
  <r>
    <x v="1502"/>
    <x v="1"/>
    <n v="45"/>
    <x v="0"/>
    <x v="1"/>
    <x v="2"/>
    <n v="11.9"/>
    <n v="9"/>
    <x v="4"/>
    <n v="3"/>
    <x v="1"/>
    <n v="54400"/>
    <n v="5300"/>
    <n v="59700"/>
    <s v="B"/>
    <d v="2014-01-24T00:00:00"/>
    <x v="2"/>
  </r>
  <r>
    <x v="1503"/>
    <x v="1"/>
    <n v="49"/>
    <x v="5"/>
    <x v="9"/>
    <x v="1"/>
    <n v="13.6"/>
    <n v="9.4"/>
    <x v="3"/>
    <n v="3"/>
    <x v="0"/>
    <n v="101400"/>
    <n v="15600"/>
    <n v="117000"/>
    <s v="E"/>
    <d v="2012-05-13T00:00:00"/>
    <x v="1"/>
  </r>
  <r>
    <x v="1504"/>
    <x v="1"/>
    <n v="38"/>
    <x v="1"/>
    <x v="10"/>
    <x v="2"/>
    <n v="5.6"/>
    <n v="2.9"/>
    <x v="1"/>
    <n v="4"/>
    <x v="0"/>
    <n v="115000"/>
    <n v="5800"/>
    <n v="120800"/>
    <s v="E"/>
    <d v="2020-06-11T00:00:00"/>
    <x v="2"/>
  </r>
  <r>
    <x v="1505"/>
    <x v="1"/>
    <n v="47"/>
    <x v="5"/>
    <x v="17"/>
    <x v="1"/>
    <n v="8.6999999999999993"/>
    <n v="6.9"/>
    <x v="2"/>
    <n v="4"/>
    <x v="0"/>
    <n v="122400"/>
    <n v="17700"/>
    <n v="140100"/>
    <s v="E"/>
    <d v="2017-04-24T00:00:00"/>
    <x v="1"/>
  </r>
  <r>
    <x v="1506"/>
    <x v="0"/>
    <n v="31"/>
    <x v="5"/>
    <x v="17"/>
    <x v="1"/>
    <n v="9.8000000000000007"/>
    <n v="5.2"/>
    <x v="4"/>
    <n v="5"/>
    <x v="0"/>
    <n v="100800"/>
    <n v="14300"/>
    <n v="115100"/>
    <s v="E"/>
    <d v="2016-03-08T00:00:00"/>
    <x v="1"/>
  </r>
  <r>
    <x v="1507"/>
    <x v="0"/>
    <n v="35"/>
    <x v="2"/>
    <x v="18"/>
    <x v="2"/>
    <n v="11.2"/>
    <n v="9"/>
    <x v="4"/>
    <n v="3"/>
    <x v="0"/>
    <n v="74500"/>
    <n v="4900"/>
    <n v="79400"/>
    <s v="C"/>
    <d v="2014-10-31T00:00:00"/>
    <x v="2"/>
  </r>
  <r>
    <x v="1508"/>
    <x v="0"/>
    <n v="50"/>
    <x v="2"/>
    <x v="4"/>
    <x v="1"/>
    <n v="4.8"/>
    <n v="4.0999999999999996"/>
    <x v="1"/>
    <n v="2"/>
    <x v="0"/>
    <n v="76700"/>
    <n v="4400"/>
    <n v="81100"/>
    <s v="C"/>
    <d v="2021-04-02T00:00:00"/>
    <x v="1"/>
  </r>
  <r>
    <x v="1509"/>
    <x v="0"/>
    <n v="42"/>
    <x v="3"/>
    <x v="12"/>
    <x v="2"/>
    <n v="1"/>
    <n v="0.6"/>
    <x v="0"/>
    <n v="3"/>
    <x v="0"/>
    <n v="65000"/>
    <n v="5500"/>
    <n v="70500"/>
    <s v="C"/>
    <d v="2024-12-20T00:00:00"/>
    <x v="2"/>
  </r>
  <r>
    <x v="1510"/>
    <x v="1"/>
    <n v="36"/>
    <x v="0"/>
    <x v="1"/>
    <x v="1"/>
    <n v="11.9"/>
    <n v="7.2"/>
    <x v="4"/>
    <n v="3"/>
    <x v="0"/>
    <n v="75100"/>
    <n v="7200"/>
    <n v="82300"/>
    <s v="C"/>
    <d v="2014-01-21T00:00:00"/>
    <x v="1"/>
  </r>
  <r>
    <x v="1511"/>
    <x v="0"/>
    <n v="47"/>
    <x v="1"/>
    <x v="3"/>
    <x v="2"/>
    <n v="13.1"/>
    <n v="8.5"/>
    <x v="3"/>
    <n v="4"/>
    <x v="0"/>
    <n v="93000"/>
    <n v="11100"/>
    <n v="104100"/>
    <s v="D"/>
    <d v="2012-11-07T00:00:00"/>
    <x v="2"/>
  </r>
  <r>
    <x v="1512"/>
    <x v="1"/>
    <n v="37"/>
    <x v="3"/>
    <x v="5"/>
    <x v="1"/>
    <n v="10.4"/>
    <n v="6.5"/>
    <x v="4"/>
    <n v="3"/>
    <x v="0"/>
    <n v="76700"/>
    <n v="5900"/>
    <n v="82600"/>
    <s v="C"/>
    <d v="2015-08-19T00:00:00"/>
    <x v="1"/>
  </r>
  <r>
    <x v="1513"/>
    <x v="0"/>
    <n v="32"/>
    <x v="4"/>
    <x v="8"/>
    <x v="0"/>
    <n v="5"/>
    <n v="3.6"/>
    <x v="1"/>
    <n v="5"/>
    <x v="0"/>
    <n v="83800"/>
    <n v="10800"/>
    <n v="94600"/>
    <s v="D"/>
    <d v="2021-01-10T00:00:00"/>
    <x v="0"/>
  </r>
  <r>
    <x v="1514"/>
    <x v="0"/>
    <n v="32"/>
    <x v="5"/>
    <x v="15"/>
    <x v="2"/>
    <n v="9.3000000000000007"/>
    <n v="5.8"/>
    <x v="4"/>
    <n v="2"/>
    <x v="0"/>
    <n v="68000"/>
    <n v="6700"/>
    <n v="74700"/>
    <s v="C"/>
    <d v="2016-09-03T00:00:00"/>
    <x v="2"/>
  </r>
  <r>
    <x v="1515"/>
    <x v="1"/>
    <n v="32"/>
    <x v="3"/>
    <x v="13"/>
    <x v="0"/>
    <n v="3.8"/>
    <n v="2.5"/>
    <x v="1"/>
    <n v="2"/>
    <x v="0"/>
    <n v="83800"/>
    <n v="5600"/>
    <n v="89400"/>
    <s v="D"/>
    <d v="2022-03-07T00:00:00"/>
    <x v="0"/>
  </r>
  <r>
    <x v="1516"/>
    <x v="1"/>
    <n v="39"/>
    <x v="1"/>
    <x v="3"/>
    <x v="1"/>
    <n v="8"/>
    <n v="5.6"/>
    <x v="2"/>
    <n v="4"/>
    <x v="0"/>
    <n v="91700"/>
    <n v="9400"/>
    <n v="101100"/>
    <s v="D"/>
    <d v="2018-01-03T00:00:00"/>
    <x v="1"/>
  </r>
  <r>
    <x v="1517"/>
    <x v="1"/>
    <n v="34"/>
    <x v="5"/>
    <x v="15"/>
    <x v="2"/>
    <n v="2.2000000000000002"/>
    <n v="2"/>
    <x v="0"/>
    <n v="3"/>
    <x v="0"/>
    <n v="62100"/>
    <n v="8500"/>
    <n v="70600"/>
    <s v="B"/>
    <d v="2023-11-04T00:00:00"/>
    <x v="2"/>
  </r>
  <r>
    <x v="1518"/>
    <x v="0"/>
    <n v="42"/>
    <x v="1"/>
    <x v="7"/>
    <x v="0"/>
    <n v="13.7"/>
    <n v="7.1"/>
    <x v="3"/>
    <n v="2"/>
    <x v="0"/>
    <n v="76200"/>
    <n v="6500"/>
    <n v="82700"/>
    <s v="C"/>
    <d v="2012-04-22T00:00:00"/>
    <x v="0"/>
  </r>
  <r>
    <x v="1519"/>
    <x v="0"/>
    <n v="40"/>
    <x v="0"/>
    <x v="1"/>
    <x v="1"/>
    <n v="5.6"/>
    <n v="4.9000000000000004"/>
    <x v="1"/>
    <n v="3"/>
    <x v="0"/>
    <n v="78100"/>
    <n v="3700"/>
    <n v="81800"/>
    <s v="C"/>
    <d v="2020-05-28T00:00:00"/>
    <x v="1"/>
  </r>
  <r>
    <x v="1520"/>
    <x v="0"/>
    <n v="34"/>
    <x v="0"/>
    <x v="2"/>
    <x v="0"/>
    <n v="10.5"/>
    <n v="7.2"/>
    <x v="4"/>
    <n v="3"/>
    <x v="0"/>
    <n v="67200"/>
    <n v="4500"/>
    <n v="71700"/>
    <s v="C"/>
    <d v="2015-06-30T00:00:00"/>
    <x v="0"/>
  </r>
  <r>
    <x v="1521"/>
    <x v="1"/>
    <n v="41"/>
    <x v="0"/>
    <x v="0"/>
    <x v="1"/>
    <n v="11.2"/>
    <n v="6.9"/>
    <x v="4"/>
    <n v="4"/>
    <x v="0"/>
    <n v="108200"/>
    <n v="8900"/>
    <n v="117100"/>
    <s v="E"/>
    <d v="2014-11-01T00:00:00"/>
    <x v="1"/>
  </r>
  <r>
    <x v="1522"/>
    <x v="0"/>
    <n v="21"/>
    <x v="4"/>
    <x v="8"/>
    <x v="2"/>
    <n v="4.7"/>
    <n v="1"/>
    <x v="1"/>
    <n v="4"/>
    <x v="0"/>
    <n v="85100"/>
    <n v="9500"/>
    <n v="94600"/>
    <s v="D"/>
    <d v="2021-04-14T00:00:00"/>
    <x v="2"/>
  </r>
  <r>
    <x v="1523"/>
    <x v="0"/>
    <n v="34"/>
    <x v="4"/>
    <x v="6"/>
    <x v="2"/>
    <n v="5.3"/>
    <n v="0.6"/>
    <x v="1"/>
    <n v="2"/>
    <x v="0"/>
    <n v="73800"/>
    <n v="9400"/>
    <n v="83200"/>
    <s v="C"/>
    <d v="2020-08-29T00:00:00"/>
    <x v="2"/>
  </r>
  <r>
    <x v="1524"/>
    <x v="0"/>
    <n v="36"/>
    <x v="4"/>
    <x v="16"/>
    <x v="3"/>
    <n v="1"/>
    <n v="1"/>
    <x v="0"/>
    <n v="3"/>
    <x v="0"/>
    <n v="105300"/>
    <n v="11100"/>
    <n v="116400"/>
    <s v="E"/>
    <d v="2024-12-27T00:00:00"/>
    <x v="3"/>
  </r>
  <r>
    <x v="1525"/>
    <x v="0"/>
    <n v="32"/>
    <x v="1"/>
    <x v="7"/>
    <x v="2"/>
    <n v="12.8"/>
    <n v="7.4"/>
    <x v="3"/>
    <n v="4"/>
    <x v="0"/>
    <n v="97400"/>
    <n v="11200"/>
    <n v="108600"/>
    <s v="D"/>
    <d v="2013-03-12T00:00:00"/>
    <x v="2"/>
  </r>
  <r>
    <x v="1526"/>
    <x v="1"/>
    <n v="37"/>
    <x v="0"/>
    <x v="1"/>
    <x v="1"/>
    <n v="13.5"/>
    <n v="8.5"/>
    <x v="3"/>
    <n v="3"/>
    <x v="0"/>
    <n v="83100"/>
    <n v="6400"/>
    <n v="89500"/>
    <s v="D"/>
    <d v="2012-07-15T00:00:00"/>
    <x v="1"/>
  </r>
  <r>
    <x v="1527"/>
    <x v="1"/>
    <n v="36"/>
    <x v="2"/>
    <x v="11"/>
    <x v="1"/>
    <n v="9.4"/>
    <n v="7.1"/>
    <x v="4"/>
    <n v="4"/>
    <x v="0"/>
    <n v="95900"/>
    <n v="3700"/>
    <n v="99600"/>
    <s v="D"/>
    <d v="2016-07-21T00:00:00"/>
    <x v="1"/>
  </r>
  <r>
    <x v="1528"/>
    <x v="0"/>
    <n v="49"/>
    <x v="4"/>
    <x v="14"/>
    <x v="0"/>
    <n v="7.4"/>
    <n v="7.4"/>
    <x v="2"/>
    <n v="4"/>
    <x v="1"/>
    <n v="60900"/>
    <n v="7500"/>
    <n v="68400"/>
    <s v="B"/>
    <d v="2018-08-03T00:00:00"/>
    <x v="0"/>
  </r>
  <r>
    <x v="1529"/>
    <x v="0"/>
    <n v="29"/>
    <x v="3"/>
    <x v="13"/>
    <x v="3"/>
    <n v="6.3"/>
    <n v="5.7"/>
    <x v="2"/>
    <n v="4"/>
    <x v="0"/>
    <n v="130800"/>
    <n v="4300"/>
    <n v="135100"/>
    <s v="E"/>
    <d v="2019-09-22T00:00:00"/>
    <x v="3"/>
  </r>
  <r>
    <x v="1530"/>
    <x v="1"/>
    <n v="36"/>
    <x v="3"/>
    <x v="5"/>
    <x v="2"/>
    <n v="11"/>
    <n v="7.7"/>
    <x v="4"/>
    <n v="3"/>
    <x v="0"/>
    <n v="86800"/>
    <n v="3100"/>
    <n v="89900"/>
    <s v="D"/>
    <d v="2014-12-21T00:00:00"/>
    <x v="2"/>
  </r>
  <r>
    <x v="1531"/>
    <x v="1"/>
    <n v="22"/>
    <x v="0"/>
    <x v="1"/>
    <x v="1"/>
    <n v="12.3"/>
    <n v="9"/>
    <x v="3"/>
    <n v="3"/>
    <x v="0"/>
    <n v="94800"/>
    <n v="8000"/>
    <n v="102800"/>
    <s v="D"/>
    <d v="2013-09-01T00:00:00"/>
    <x v="1"/>
  </r>
  <r>
    <x v="1532"/>
    <x v="1"/>
    <n v="23"/>
    <x v="0"/>
    <x v="1"/>
    <x v="0"/>
    <n v="5.6"/>
    <n v="3.4"/>
    <x v="1"/>
    <n v="3"/>
    <x v="0"/>
    <n v="62100"/>
    <n v="3700"/>
    <n v="65800"/>
    <s v="B"/>
    <d v="2020-06-04T00:00:00"/>
    <x v="0"/>
  </r>
  <r>
    <x v="1533"/>
    <x v="0"/>
    <n v="37"/>
    <x v="1"/>
    <x v="10"/>
    <x v="2"/>
    <n v="7.3"/>
    <n v="3.9"/>
    <x v="2"/>
    <n v="3"/>
    <x v="0"/>
    <n v="108300"/>
    <n v="11100"/>
    <n v="119400"/>
    <s v="E"/>
    <d v="2018-09-25T00:00:00"/>
    <x v="2"/>
  </r>
  <r>
    <x v="1534"/>
    <x v="1"/>
    <n v="48"/>
    <x v="1"/>
    <x v="10"/>
    <x v="1"/>
    <n v="10.8"/>
    <n v="6.6"/>
    <x v="4"/>
    <n v="3"/>
    <x v="0"/>
    <n v="100500"/>
    <n v="4400"/>
    <n v="104900"/>
    <s v="E"/>
    <d v="2015-03-10T00:00:00"/>
    <x v="1"/>
  </r>
  <r>
    <x v="1535"/>
    <x v="1"/>
    <n v="39"/>
    <x v="2"/>
    <x v="11"/>
    <x v="3"/>
    <n v="10.4"/>
    <n v="7.8"/>
    <x v="4"/>
    <n v="4"/>
    <x v="0"/>
    <n v="115000"/>
    <n v="7900"/>
    <n v="122900"/>
    <s v="E"/>
    <d v="2015-07-31T00:00:00"/>
    <x v="3"/>
  </r>
  <r>
    <x v="1536"/>
    <x v="1"/>
    <n v="30"/>
    <x v="5"/>
    <x v="15"/>
    <x v="1"/>
    <n v="1.1000000000000001"/>
    <n v="1.1000000000000001"/>
    <x v="0"/>
    <n v="3"/>
    <x v="0"/>
    <n v="55400"/>
    <n v="11200"/>
    <n v="66600"/>
    <s v="B"/>
    <d v="2024-11-17T00:00:00"/>
    <x v="1"/>
  </r>
  <r>
    <x v="1537"/>
    <x v="0"/>
    <n v="38"/>
    <x v="1"/>
    <x v="3"/>
    <x v="2"/>
    <n v="13.9"/>
    <n v="8.9"/>
    <x v="3"/>
    <n v="4"/>
    <x v="0"/>
    <n v="92400"/>
    <n v="5600"/>
    <n v="98000"/>
    <s v="D"/>
    <d v="2012-02-16T00:00:00"/>
    <x v="2"/>
  </r>
  <r>
    <x v="1538"/>
    <x v="0"/>
    <n v="39"/>
    <x v="3"/>
    <x v="5"/>
    <x v="2"/>
    <n v="2.6"/>
    <n v="1.8"/>
    <x v="0"/>
    <n v="4"/>
    <x v="0"/>
    <n v="69400"/>
    <n v="4100"/>
    <n v="73500"/>
    <s v="C"/>
    <d v="2023-05-20T00:00:00"/>
    <x v="2"/>
  </r>
  <r>
    <x v="1539"/>
    <x v="0"/>
    <n v="41"/>
    <x v="1"/>
    <x v="10"/>
    <x v="1"/>
    <n v="5.0999999999999996"/>
    <n v="3.3"/>
    <x v="1"/>
    <n v="3"/>
    <x v="0"/>
    <n v="92500"/>
    <n v="5400"/>
    <n v="97900"/>
    <s v="D"/>
    <d v="2020-11-20T00:00:00"/>
    <x v="1"/>
  </r>
  <r>
    <x v="1540"/>
    <x v="0"/>
    <n v="37"/>
    <x v="2"/>
    <x v="4"/>
    <x v="0"/>
    <n v="6.4"/>
    <n v="4.0999999999999996"/>
    <x v="2"/>
    <n v="5"/>
    <x v="0"/>
    <n v="79600"/>
    <n v="3500"/>
    <n v="83100"/>
    <s v="C"/>
    <d v="2019-07-24T00:00:00"/>
    <x v="0"/>
  </r>
  <r>
    <x v="1541"/>
    <x v="0"/>
    <n v="29"/>
    <x v="1"/>
    <x v="10"/>
    <x v="2"/>
    <n v="8"/>
    <n v="4.4000000000000004"/>
    <x v="2"/>
    <n v="5"/>
    <x v="2"/>
    <n v="94600"/>
    <n v="7800"/>
    <n v="102400"/>
    <s v="D"/>
    <d v="2017-12-30T00:00:00"/>
    <x v="2"/>
  </r>
  <r>
    <x v="1542"/>
    <x v="0"/>
    <n v="30"/>
    <x v="3"/>
    <x v="5"/>
    <x v="0"/>
    <n v="10"/>
    <n v="8.8000000000000007"/>
    <x v="4"/>
    <n v="4"/>
    <x v="0"/>
    <n v="82600"/>
    <n v="3700"/>
    <n v="86300"/>
    <s v="D"/>
    <d v="2016-01-08T00:00:00"/>
    <x v="0"/>
  </r>
  <r>
    <x v="1543"/>
    <x v="0"/>
    <n v="30"/>
    <x v="0"/>
    <x v="2"/>
    <x v="0"/>
    <n v="4.8"/>
    <n v="4.0999999999999996"/>
    <x v="1"/>
    <n v="4"/>
    <x v="0"/>
    <n v="62700"/>
    <n v="4400"/>
    <n v="67100"/>
    <s v="B"/>
    <d v="2021-03-23T00:00:00"/>
    <x v="0"/>
  </r>
  <r>
    <x v="1544"/>
    <x v="1"/>
    <n v="36"/>
    <x v="5"/>
    <x v="15"/>
    <x v="2"/>
    <n v="6.1"/>
    <n v="3.8"/>
    <x v="2"/>
    <n v="3"/>
    <x v="0"/>
    <n v="62200"/>
    <n v="9600"/>
    <n v="71800"/>
    <s v="B"/>
    <d v="2019-11-17T00:00:00"/>
    <x v="2"/>
  </r>
  <r>
    <x v="1545"/>
    <x v="1"/>
    <n v="40"/>
    <x v="5"/>
    <x v="9"/>
    <x v="1"/>
    <n v="13.2"/>
    <n v="10.4"/>
    <x v="3"/>
    <n v="5"/>
    <x v="0"/>
    <n v="110500"/>
    <n v="8700"/>
    <n v="119200"/>
    <s v="E"/>
    <d v="2012-10-07T00:00:00"/>
    <x v="1"/>
  </r>
  <r>
    <x v="1546"/>
    <x v="0"/>
    <n v="43"/>
    <x v="5"/>
    <x v="15"/>
    <x v="1"/>
    <n v="2.9"/>
    <n v="1.6"/>
    <x v="0"/>
    <n v="4"/>
    <x v="0"/>
    <n v="59600"/>
    <n v="4200"/>
    <n v="63800"/>
    <s v="B"/>
    <d v="2023-02-02T00:00:00"/>
    <x v="1"/>
  </r>
  <r>
    <x v="1547"/>
    <x v="1"/>
    <n v="37"/>
    <x v="5"/>
    <x v="15"/>
    <x v="0"/>
    <n v="6.3"/>
    <n v="2.6"/>
    <x v="2"/>
    <n v="3"/>
    <x v="0"/>
    <n v="58200"/>
    <n v="9300"/>
    <n v="67500"/>
    <s v="B"/>
    <d v="2019-09-02T00:00:00"/>
    <x v="0"/>
  </r>
  <r>
    <x v="1548"/>
    <x v="1"/>
    <n v="23"/>
    <x v="4"/>
    <x v="14"/>
    <x v="1"/>
    <n v="12.5"/>
    <n v="9"/>
    <x v="3"/>
    <n v="2"/>
    <x v="0"/>
    <n v="101400"/>
    <n v="12400"/>
    <n v="113800"/>
    <s v="E"/>
    <d v="2013-07-06T00:00:00"/>
    <x v="1"/>
  </r>
  <r>
    <x v="1549"/>
    <x v="1"/>
    <n v="24"/>
    <x v="0"/>
    <x v="0"/>
    <x v="0"/>
    <n v="11.7"/>
    <n v="7.2"/>
    <x v="4"/>
    <n v="4"/>
    <x v="0"/>
    <n v="117200"/>
    <n v="8900"/>
    <n v="126100"/>
    <s v="E"/>
    <d v="2014-04-23T00:00:00"/>
    <x v="0"/>
  </r>
  <r>
    <x v="1550"/>
    <x v="1"/>
    <n v="44"/>
    <x v="4"/>
    <x v="16"/>
    <x v="2"/>
    <n v="11.1"/>
    <n v="7.2"/>
    <x v="4"/>
    <n v="4"/>
    <x v="0"/>
    <n v="115200"/>
    <n v="15500"/>
    <n v="130700"/>
    <s v="E"/>
    <d v="2014-11-17T00:00:00"/>
    <x v="2"/>
  </r>
  <r>
    <x v="1551"/>
    <x v="1"/>
    <n v="21"/>
    <x v="0"/>
    <x v="2"/>
    <x v="2"/>
    <n v="6.3"/>
    <n v="4.9000000000000004"/>
    <x v="2"/>
    <n v="3"/>
    <x v="1"/>
    <n v="42200"/>
    <n v="2100"/>
    <n v="44300"/>
    <s v="A"/>
    <d v="2019-09-01T00:00:00"/>
    <x v="2"/>
  </r>
  <r>
    <x v="1552"/>
    <x v="0"/>
    <n v="26"/>
    <x v="2"/>
    <x v="18"/>
    <x v="1"/>
    <n v="6.6"/>
    <n v="5.0999999999999996"/>
    <x v="2"/>
    <n v="1"/>
    <x v="0"/>
    <n v="64700"/>
    <n v="6700"/>
    <n v="71400"/>
    <s v="B"/>
    <d v="2019-05-12T00:00:00"/>
    <x v="1"/>
  </r>
  <r>
    <x v="1553"/>
    <x v="0"/>
    <n v="29"/>
    <x v="0"/>
    <x v="0"/>
    <x v="1"/>
    <n v="11.6"/>
    <n v="10.1"/>
    <x v="4"/>
    <n v="3"/>
    <x v="0"/>
    <n v="98400"/>
    <n v="7900"/>
    <n v="106300"/>
    <s v="D"/>
    <d v="2014-06-01T00:00:00"/>
    <x v="1"/>
  </r>
  <r>
    <x v="1554"/>
    <x v="1"/>
    <n v="26"/>
    <x v="3"/>
    <x v="13"/>
    <x v="3"/>
    <n v="8.1999999999999993"/>
    <n v="4.4000000000000004"/>
    <x v="2"/>
    <n v="5"/>
    <x v="1"/>
    <n v="75600"/>
    <n v="6300"/>
    <n v="81900"/>
    <s v="C"/>
    <d v="2017-10-16T00:00:00"/>
    <x v="3"/>
  </r>
  <r>
    <x v="1555"/>
    <x v="1"/>
    <n v="41"/>
    <x v="1"/>
    <x v="3"/>
    <x v="1"/>
    <n v="3"/>
    <n v="2.8"/>
    <x v="1"/>
    <n v="3"/>
    <x v="0"/>
    <n v="66800"/>
    <n v="2800"/>
    <n v="69600"/>
    <s v="C"/>
    <d v="2022-12-15T00:00:00"/>
    <x v="1"/>
  </r>
  <r>
    <x v="1556"/>
    <x v="0"/>
    <n v="26"/>
    <x v="4"/>
    <x v="14"/>
    <x v="2"/>
    <n v="7"/>
    <n v="5.5"/>
    <x v="2"/>
    <n v="3"/>
    <x v="0"/>
    <n v="112100"/>
    <n v="14900"/>
    <n v="127000"/>
    <s v="E"/>
    <d v="2018-12-20T00:00:00"/>
    <x v="2"/>
  </r>
  <r>
    <x v="1557"/>
    <x v="1"/>
    <n v="36"/>
    <x v="0"/>
    <x v="0"/>
    <x v="1"/>
    <n v="11.8"/>
    <n v="8"/>
    <x v="4"/>
    <n v="3"/>
    <x v="1"/>
    <n v="64200"/>
    <n v="8300"/>
    <n v="72500"/>
    <s v="B"/>
    <d v="2014-03-15T00:00:00"/>
    <x v="1"/>
  </r>
  <r>
    <x v="1558"/>
    <x v="0"/>
    <n v="29"/>
    <x v="3"/>
    <x v="5"/>
    <x v="2"/>
    <n v="7.3"/>
    <n v="4.0999999999999996"/>
    <x v="2"/>
    <n v="2"/>
    <x v="2"/>
    <n v="69500"/>
    <n v="2500"/>
    <n v="72000"/>
    <s v="C"/>
    <d v="2018-09-09T00:00:00"/>
    <x v="2"/>
  </r>
  <r>
    <x v="1559"/>
    <x v="1"/>
    <n v="29"/>
    <x v="4"/>
    <x v="16"/>
    <x v="2"/>
    <n v="10.6"/>
    <n v="6.8"/>
    <x v="4"/>
    <n v="4"/>
    <x v="0"/>
    <n v="100600"/>
    <n v="11700"/>
    <n v="112300"/>
    <s v="E"/>
    <d v="2015-05-24T00:00:00"/>
    <x v="2"/>
  </r>
  <r>
    <x v="1560"/>
    <x v="0"/>
    <n v="29"/>
    <x v="2"/>
    <x v="11"/>
    <x v="2"/>
    <n v="12.5"/>
    <n v="7.6"/>
    <x v="3"/>
    <n v="5"/>
    <x v="0"/>
    <n v="110300"/>
    <n v="5200"/>
    <n v="115500"/>
    <s v="E"/>
    <d v="2013-06-30T00:00:00"/>
    <x v="2"/>
  </r>
  <r>
    <x v="1561"/>
    <x v="1"/>
    <n v="27"/>
    <x v="5"/>
    <x v="9"/>
    <x v="1"/>
    <n v="6.7"/>
    <n v="2.5"/>
    <x v="2"/>
    <n v="3"/>
    <x v="1"/>
    <n v="66000"/>
    <n v="8100"/>
    <n v="74100"/>
    <s v="C"/>
    <d v="2019-04-06T00:00:00"/>
    <x v="1"/>
  </r>
  <r>
    <x v="1562"/>
    <x v="1"/>
    <n v="47"/>
    <x v="3"/>
    <x v="13"/>
    <x v="3"/>
    <n v="13.7"/>
    <n v="8.6"/>
    <x v="3"/>
    <n v="3"/>
    <x v="1"/>
    <n v="78100"/>
    <n v="6400"/>
    <n v="84500"/>
    <s v="C"/>
    <d v="2012-04-06T00:00:00"/>
    <x v="3"/>
  </r>
  <r>
    <x v="1563"/>
    <x v="0"/>
    <n v="36"/>
    <x v="2"/>
    <x v="4"/>
    <x v="0"/>
    <n v="5.7"/>
    <n v="4"/>
    <x v="1"/>
    <n v="2"/>
    <x v="0"/>
    <n v="76000"/>
    <n v="7500"/>
    <n v="83500"/>
    <s v="C"/>
    <d v="2020-05-02T00:00:00"/>
    <x v="0"/>
  </r>
  <r>
    <x v="1564"/>
    <x v="0"/>
    <n v="41"/>
    <x v="5"/>
    <x v="15"/>
    <x v="0"/>
    <n v="3.7"/>
    <n v="2"/>
    <x v="1"/>
    <n v="2"/>
    <x v="0"/>
    <n v="54600"/>
    <n v="8200"/>
    <n v="62800"/>
    <s v="B"/>
    <d v="2022-04-17T00:00:00"/>
    <x v="0"/>
  </r>
  <r>
    <x v="1565"/>
    <x v="1"/>
    <n v="29"/>
    <x v="4"/>
    <x v="6"/>
    <x v="1"/>
    <n v="1.6"/>
    <n v="0"/>
    <x v="0"/>
    <n v="5"/>
    <x v="0"/>
    <n v="72600"/>
    <n v="6500"/>
    <n v="79100"/>
    <s v="C"/>
    <d v="2024-05-10T00:00:00"/>
    <x v="1"/>
  </r>
  <r>
    <x v="1566"/>
    <x v="0"/>
    <n v="26"/>
    <x v="2"/>
    <x v="4"/>
    <x v="2"/>
    <n v="3.5"/>
    <n v="0.6"/>
    <x v="1"/>
    <n v="3"/>
    <x v="1"/>
    <n v="55300"/>
    <n v="1900"/>
    <n v="57200"/>
    <s v="B"/>
    <d v="2022-07-18T00:00:00"/>
    <x v="2"/>
  </r>
  <r>
    <x v="1567"/>
    <x v="1"/>
    <n v="34"/>
    <x v="2"/>
    <x v="4"/>
    <x v="2"/>
    <n v="1.1000000000000001"/>
    <n v="0"/>
    <x v="0"/>
    <n v="4"/>
    <x v="0"/>
    <n v="75800"/>
    <n v="7200"/>
    <n v="83000"/>
    <s v="C"/>
    <d v="2024-12-03T00:00:00"/>
    <x v="2"/>
  </r>
  <r>
    <x v="1568"/>
    <x v="0"/>
    <n v="33"/>
    <x v="2"/>
    <x v="4"/>
    <x v="2"/>
    <n v="3.7"/>
    <n v="1.7"/>
    <x v="1"/>
    <n v="3"/>
    <x v="0"/>
    <n v="75400"/>
    <n v="7900"/>
    <n v="83300"/>
    <s v="C"/>
    <d v="2022-04-11T00:00:00"/>
    <x v="2"/>
  </r>
  <r>
    <x v="1569"/>
    <x v="1"/>
    <n v="45"/>
    <x v="3"/>
    <x v="12"/>
    <x v="0"/>
    <n v="8.5"/>
    <n v="4.9000000000000004"/>
    <x v="2"/>
    <n v="2"/>
    <x v="1"/>
    <n v="40700"/>
    <n v="3100"/>
    <n v="43800"/>
    <s v="A"/>
    <d v="2017-07-10T00:00:00"/>
    <x v="0"/>
  </r>
  <r>
    <x v="1570"/>
    <x v="0"/>
    <n v="35"/>
    <x v="5"/>
    <x v="17"/>
    <x v="0"/>
    <n v="1.5"/>
    <n v="0"/>
    <x v="0"/>
    <n v="3"/>
    <x v="0"/>
    <n v="99600"/>
    <n v="19400"/>
    <n v="119000"/>
    <s v="D"/>
    <d v="2024-06-24T00:00:00"/>
    <x v="0"/>
  </r>
  <r>
    <x v="1571"/>
    <x v="1"/>
    <n v="32"/>
    <x v="1"/>
    <x v="7"/>
    <x v="1"/>
    <n v="7.2"/>
    <n v="5.3"/>
    <x v="2"/>
    <n v="2"/>
    <x v="0"/>
    <n v="82400"/>
    <n v="5600"/>
    <n v="88000"/>
    <s v="D"/>
    <d v="2018-10-28T00:00:00"/>
    <x v="1"/>
  </r>
  <r>
    <x v="1572"/>
    <x v="1"/>
    <n v="37"/>
    <x v="1"/>
    <x v="3"/>
    <x v="2"/>
    <n v="4.5"/>
    <n v="1.9"/>
    <x v="1"/>
    <n v="3"/>
    <x v="0"/>
    <n v="85100"/>
    <n v="9600"/>
    <n v="94700"/>
    <s v="D"/>
    <d v="2021-07-05T00:00:00"/>
    <x v="2"/>
  </r>
  <r>
    <x v="1573"/>
    <x v="0"/>
    <n v="25"/>
    <x v="1"/>
    <x v="3"/>
    <x v="1"/>
    <n v="3.6"/>
    <n v="2.7"/>
    <x v="1"/>
    <n v="4"/>
    <x v="1"/>
    <n v="47700"/>
    <n v="3600"/>
    <n v="51300"/>
    <s v="A"/>
    <d v="2022-06-11T00:00:00"/>
    <x v="1"/>
  </r>
  <r>
    <x v="1574"/>
    <x v="0"/>
    <n v="48"/>
    <x v="0"/>
    <x v="0"/>
    <x v="1"/>
    <n v="5.8"/>
    <n v="2.9"/>
    <x v="1"/>
    <n v="5"/>
    <x v="0"/>
    <n v="96900"/>
    <n v="7100"/>
    <n v="104000"/>
    <s v="D"/>
    <d v="2020-03-14T00:00:00"/>
    <x v="1"/>
  </r>
  <r>
    <x v="1575"/>
    <x v="0"/>
    <n v="42"/>
    <x v="4"/>
    <x v="16"/>
    <x v="2"/>
    <n v="8.5"/>
    <n v="7.7"/>
    <x v="2"/>
    <n v="3"/>
    <x v="0"/>
    <n v="92400"/>
    <n v="10700"/>
    <n v="103100"/>
    <s v="D"/>
    <d v="2017-07-02T00:00:00"/>
    <x v="2"/>
  </r>
  <r>
    <x v="1576"/>
    <x v="1"/>
    <n v="49"/>
    <x v="1"/>
    <x v="3"/>
    <x v="1"/>
    <n v="13.1"/>
    <n v="9.3000000000000007"/>
    <x v="3"/>
    <n v="3"/>
    <x v="0"/>
    <n v="82100"/>
    <n v="4200"/>
    <n v="86300"/>
    <s v="D"/>
    <d v="2012-11-28T00:00:00"/>
    <x v="1"/>
  </r>
  <r>
    <x v="1577"/>
    <x v="0"/>
    <n v="39"/>
    <x v="4"/>
    <x v="16"/>
    <x v="1"/>
    <n v="6"/>
    <n v="3.7"/>
    <x v="2"/>
    <n v="3"/>
    <x v="0"/>
    <n v="97000"/>
    <n v="10200"/>
    <n v="107200"/>
    <s v="D"/>
    <d v="2019-12-30T00:00:00"/>
    <x v="1"/>
  </r>
  <r>
    <x v="1578"/>
    <x v="1"/>
    <n v="34"/>
    <x v="2"/>
    <x v="18"/>
    <x v="2"/>
    <n v="5"/>
    <n v="0.9"/>
    <x v="1"/>
    <n v="2"/>
    <x v="0"/>
    <n v="69000"/>
    <n v="2600"/>
    <n v="71600"/>
    <s v="C"/>
    <d v="2021-01-02T00:00:00"/>
    <x v="2"/>
  </r>
  <r>
    <x v="1579"/>
    <x v="1"/>
    <n v="27"/>
    <x v="1"/>
    <x v="3"/>
    <x v="2"/>
    <n v="1.8"/>
    <n v="0.2"/>
    <x v="0"/>
    <n v="3"/>
    <x v="0"/>
    <n v="69800"/>
    <n v="8100"/>
    <n v="77900"/>
    <s v="C"/>
    <d v="2024-02-27T00:00:00"/>
    <x v="2"/>
  </r>
  <r>
    <x v="1580"/>
    <x v="0"/>
    <n v="39"/>
    <x v="2"/>
    <x v="11"/>
    <x v="1"/>
    <n v="13.3"/>
    <n v="9.3000000000000007"/>
    <x v="3"/>
    <n v="3"/>
    <x v="0"/>
    <n v="113400"/>
    <n v="4000"/>
    <n v="117400"/>
    <s v="E"/>
    <d v="2012-09-08T00:00:00"/>
    <x v="1"/>
  </r>
  <r>
    <x v="1581"/>
    <x v="1"/>
    <n v="32"/>
    <x v="1"/>
    <x v="10"/>
    <x v="1"/>
    <n v="2.2000000000000002"/>
    <n v="2.2000000000000002"/>
    <x v="0"/>
    <n v="1"/>
    <x v="0"/>
    <n v="83400"/>
    <n v="9100"/>
    <n v="92500"/>
    <s v="D"/>
    <d v="2023-10-18T00:00:00"/>
    <x v="1"/>
  </r>
  <r>
    <x v="1582"/>
    <x v="1"/>
    <n v="42"/>
    <x v="4"/>
    <x v="6"/>
    <x v="1"/>
    <n v="1.3"/>
    <n v="1.3"/>
    <x v="0"/>
    <n v="3"/>
    <x v="0"/>
    <n v="64600"/>
    <n v="6800"/>
    <n v="71400"/>
    <s v="B"/>
    <d v="2024-09-25T00:00:00"/>
    <x v="1"/>
  </r>
  <r>
    <x v="1583"/>
    <x v="0"/>
    <n v="36"/>
    <x v="3"/>
    <x v="13"/>
    <x v="2"/>
    <n v="13.4"/>
    <n v="7.6"/>
    <x v="3"/>
    <n v="3"/>
    <x v="1"/>
    <n v="72900"/>
    <n v="6200"/>
    <n v="79100"/>
    <s v="C"/>
    <d v="2012-08-08T00:00:00"/>
    <x v="2"/>
  </r>
  <r>
    <x v="1584"/>
    <x v="0"/>
    <n v="35"/>
    <x v="0"/>
    <x v="1"/>
    <x v="1"/>
    <n v="8.1999999999999993"/>
    <n v="5.8"/>
    <x v="2"/>
    <n v="5"/>
    <x v="0"/>
    <n v="81300"/>
    <n v="8200"/>
    <n v="89500"/>
    <s v="D"/>
    <d v="2017-10-31T00:00:00"/>
    <x v="1"/>
  </r>
  <r>
    <x v="1585"/>
    <x v="1"/>
    <n v="37"/>
    <x v="0"/>
    <x v="2"/>
    <x v="0"/>
    <n v="9"/>
    <n v="5.4"/>
    <x v="4"/>
    <n v="4"/>
    <x v="0"/>
    <n v="54300"/>
    <n v="4600"/>
    <n v="58900"/>
    <s v="B"/>
    <d v="2017-01-05T00:00:00"/>
    <x v="0"/>
  </r>
  <r>
    <x v="1586"/>
    <x v="1"/>
    <n v="31"/>
    <x v="4"/>
    <x v="14"/>
    <x v="1"/>
    <n v="7.4"/>
    <n v="6.7"/>
    <x v="2"/>
    <n v="3"/>
    <x v="0"/>
    <n v="110100"/>
    <n v="11700"/>
    <n v="121800"/>
    <s v="E"/>
    <d v="2018-08-22T00:00:00"/>
    <x v="1"/>
  </r>
  <r>
    <x v="1587"/>
    <x v="1"/>
    <n v="46"/>
    <x v="2"/>
    <x v="18"/>
    <x v="2"/>
    <n v="8.1999999999999993"/>
    <n v="6.9"/>
    <x v="2"/>
    <n v="3"/>
    <x v="0"/>
    <n v="78000"/>
    <n v="7600"/>
    <n v="85600"/>
    <s v="C"/>
    <d v="2017-10-23T00:00:00"/>
    <x v="2"/>
  </r>
  <r>
    <x v="1588"/>
    <x v="1"/>
    <n v="27"/>
    <x v="0"/>
    <x v="1"/>
    <x v="2"/>
    <n v="12.9"/>
    <n v="7.3"/>
    <x v="3"/>
    <n v="3"/>
    <x v="0"/>
    <n v="93900"/>
    <n v="5300"/>
    <n v="99200"/>
    <s v="D"/>
    <d v="2013-02-19T00:00:00"/>
    <x v="2"/>
  </r>
  <r>
    <x v="1589"/>
    <x v="0"/>
    <n v="41"/>
    <x v="4"/>
    <x v="14"/>
    <x v="0"/>
    <n v="1.6"/>
    <n v="1.6"/>
    <x v="0"/>
    <n v="4"/>
    <x v="1"/>
    <n v="61400"/>
    <n v="3800"/>
    <n v="65200"/>
    <s v="B"/>
    <d v="2024-05-18T00:00:00"/>
    <x v="0"/>
  </r>
  <r>
    <x v="1590"/>
    <x v="1"/>
    <n v="41"/>
    <x v="2"/>
    <x v="18"/>
    <x v="2"/>
    <n v="5.9"/>
    <n v="3.9"/>
    <x v="1"/>
    <n v="2"/>
    <x v="0"/>
    <n v="65400"/>
    <n v="2700"/>
    <n v="68100"/>
    <s v="C"/>
    <d v="2020-02-17T00:00:00"/>
    <x v="2"/>
  </r>
  <r>
    <x v="1591"/>
    <x v="1"/>
    <n v="28"/>
    <x v="4"/>
    <x v="16"/>
    <x v="2"/>
    <n v="2.9"/>
    <n v="0.7"/>
    <x v="0"/>
    <n v="3"/>
    <x v="0"/>
    <n v="104100"/>
    <n v="13500"/>
    <n v="117600"/>
    <s v="E"/>
    <d v="2023-01-31T00:00:00"/>
    <x v="2"/>
  </r>
  <r>
    <x v="1592"/>
    <x v="0"/>
    <n v="34"/>
    <x v="1"/>
    <x v="3"/>
    <x v="1"/>
    <n v="12.7"/>
    <n v="6.2"/>
    <x v="3"/>
    <n v="2"/>
    <x v="0"/>
    <n v="85300"/>
    <n v="5300"/>
    <n v="90600"/>
    <s v="D"/>
    <d v="2013-04-08T00:00:00"/>
    <x v="1"/>
  </r>
  <r>
    <x v="1593"/>
    <x v="1"/>
    <n v="38"/>
    <x v="4"/>
    <x v="14"/>
    <x v="1"/>
    <n v="3.1"/>
    <n v="2.2999999999999998"/>
    <x v="1"/>
    <n v="3"/>
    <x v="0"/>
    <n v="108700"/>
    <n v="11000"/>
    <n v="119700"/>
    <s v="E"/>
    <d v="2022-11-16T00:00:00"/>
    <x v="1"/>
  </r>
  <r>
    <x v="1594"/>
    <x v="0"/>
    <n v="24"/>
    <x v="0"/>
    <x v="1"/>
    <x v="1"/>
    <n v="3.5"/>
    <n v="1.9"/>
    <x v="1"/>
    <n v="2"/>
    <x v="1"/>
    <n v="46600"/>
    <n v="4300"/>
    <n v="50900"/>
    <s v="A"/>
    <d v="2022-07-10T00:00:00"/>
    <x v="1"/>
  </r>
  <r>
    <x v="1595"/>
    <x v="0"/>
    <n v="29"/>
    <x v="5"/>
    <x v="9"/>
    <x v="2"/>
    <n v="4"/>
    <n v="2.2999999999999998"/>
    <x v="1"/>
    <n v="3"/>
    <x v="0"/>
    <n v="106200"/>
    <n v="7800"/>
    <n v="114000"/>
    <s v="E"/>
    <d v="2021-12-16T00:00:00"/>
    <x v="2"/>
  </r>
  <r>
    <x v="1596"/>
    <x v="0"/>
    <n v="37"/>
    <x v="4"/>
    <x v="14"/>
    <x v="0"/>
    <n v="4.0999999999999996"/>
    <n v="1.9"/>
    <x v="1"/>
    <n v="4"/>
    <x v="0"/>
    <n v="109200"/>
    <n v="12300"/>
    <n v="121500"/>
    <s v="E"/>
    <d v="2021-11-27T00:00:00"/>
    <x v="0"/>
  </r>
  <r>
    <x v="1597"/>
    <x v="1"/>
    <n v="43"/>
    <x v="3"/>
    <x v="12"/>
    <x v="1"/>
    <n v="11.5"/>
    <n v="6.8"/>
    <x v="4"/>
    <n v="4"/>
    <x v="0"/>
    <n v="73600"/>
    <n v="5300"/>
    <n v="78900"/>
    <s v="C"/>
    <d v="2014-07-02T00:00:00"/>
    <x v="1"/>
  </r>
  <r>
    <x v="1598"/>
    <x v="0"/>
    <n v="27"/>
    <x v="1"/>
    <x v="7"/>
    <x v="2"/>
    <n v="3"/>
    <n v="0.5"/>
    <x v="1"/>
    <n v="1"/>
    <x v="0"/>
    <n v="79400"/>
    <n v="8600"/>
    <n v="88000"/>
    <s v="C"/>
    <d v="2022-12-26T00:00:00"/>
    <x v="2"/>
  </r>
  <r>
    <x v="1599"/>
    <x v="1"/>
    <n v="31"/>
    <x v="1"/>
    <x v="7"/>
    <x v="1"/>
    <n v="11.8"/>
    <n v="6.6"/>
    <x v="4"/>
    <n v="3"/>
    <x v="0"/>
    <n v="75800"/>
    <n v="4200"/>
    <n v="80000"/>
    <s v="C"/>
    <d v="2014-03-10T00:00:00"/>
    <x v="1"/>
  </r>
  <r>
    <x v="1600"/>
    <x v="0"/>
    <n v="33"/>
    <x v="0"/>
    <x v="0"/>
    <x v="1"/>
    <n v="12.5"/>
    <n v="8.4"/>
    <x v="3"/>
    <n v="4"/>
    <x v="0"/>
    <n v="112200"/>
    <n v="13400"/>
    <n v="125600"/>
    <s v="E"/>
    <d v="2013-06-19T00:00:00"/>
    <x v="1"/>
  </r>
  <r>
    <x v="1601"/>
    <x v="0"/>
    <n v="38"/>
    <x v="0"/>
    <x v="0"/>
    <x v="2"/>
    <n v="8.5"/>
    <n v="5.8"/>
    <x v="2"/>
    <n v="4"/>
    <x v="1"/>
    <n v="69600"/>
    <n v="3200"/>
    <n v="72800"/>
    <s v="C"/>
    <d v="2017-06-25T00:00:00"/>
    <x v="2"/>
  </r>
  <r>
    <x v="1602"/>
    <x v="0"/>
    <n v="40"/>
    <x v="5"/>
    <x v="9"/>
    <x v="2"/>
    <n v="13"/>
    <n v="7.2"/>
    <x v="3"/>
    <n v="5"/>
    <x v="1"/>
    <n v="75400"/>
    <n v="9000"/>
    <n v="84400"/>
    <s v="C"/>
    <d v="2013-01-14T00:00:00"/>
    <x v="2"/>
  </r>
  <r>
    <x v="1603"/>
    <x v="0"/>
    <n v="43"/>
    <x v="2"/>
    <x v="4"/>
    <x v="1"/>
    <n v="11.9"/>
    <n v="6.6"/>
    <x v="4"/>
    <n v="3"/>
    <x v="0"/>
    <n v="76700"/>
    <n v="5900"/>
    <n v="82600"/>
    <s v="C"/>
    <d v="2014-01-24T00:00:00"/>
    <x v="1"/>
  </r>
  <r>
    <x v="1604"/>
    <x v="0"/>
    <n v="30"/>
    <x v="4"/>
    <x v="6"/>
    <x v="0"/>
    <n v="12.7"/>
    <n v="7.6"/>
    <x v="3"/>
    <n v="3"/>
    <x v="0"/>
    <n v="81500"/>
    <n v="11000"/>
    <n v="92500"/>
    <s v="D"/>
    <d v="2013-04-16T00:00:00"/>
    <x v="0"/>
  </r>
  <r>
    <x v="1605"/>
    <x v="1"/>
    <n v="45"/>
    <x v="5"/>
    <x v="15"/>
    <x v="2"/>
    <n v="1.4"/>
    <n v="0.4"/>
    <x v="0"/>
    <n v="3"/>
    <x v="0"/>
    <n v="56200"/>
    <n v="4500"/>
    <n v="60700"/>
    <s v="B"/>
    <d v="2024-08-11T00:00:00"/>
    <x v="2"/>
  </r>
  <r>
    <x v="1606"/>
    <x v="0"/>
    <n v="21"/>
    <x v="2"/>
    <x v="18"/>
    <x v="2"/>
    <n v="6.5"/>
    <n v="5.6"/>
    <x v="2"/>
    <n v="3"/>
    <x v="0"/>
    <n v="74000"/>
    <n v="5800"/>
    <n v="79800"/>
    <s v="C"/>
    <d v="2019-06-20T00:00:00"/>
    <x v="2"/>
  </r>
  <r>
    <x v="1607"/>
    <x v="0"/>
    <n v="36"/>
    <x v="2"/>
    <x v="18"/>
    <x v="1"/>
    <n v="7.9"/>
    <n v="6.8"/>
    <x v="2"/>
    <n v="2"/>
    <x v="2"/>
    <n v="59300"/>
    <n v="3500"/>
    <n v="62800"/>
    <s v="B"/>
    <d v="2018-02-10T00:00:00"/>
    <x v="1"/>
  </r>
  <r>
    <x v="1608"/>
    <x v="1"/>
    <n v="50"/>
    <x v="4"/>
    <x v="8"/>
    <x v="1"/>
    <n v="11.5"/>
    <n v="5.6"/>
    <x v="4"/>
    <n v="4"/>
    <x v="0"/>
    <n v="86300"/>
    <n v="10700"/>
    <n v="97000"/>
    <s v="D"/>
    <d v="2014-07-16T00:00:00"/>
    <x v="1"/>
  </r>
  <r>
    <x v="1609"/>
    <x v="0"/>
    <n v="33"/>
    <x v="2"/>
    <x v="18"/>
    <x v="1"/>
    <n v="6.4"/>
    <n v="3.5"/>
    <x v="2"/>
    <n v="2"/>
    <x v="0"/>
    <n v="68000"/>
    <n v="6700"/>
    <n v="74700"/>
    <s v="C"/>
    <d v="2019-08-23T00:00:00"/>
    <x v="1"/>
  </r>
  <r>
    <x v="1610"/>
    <x v="0"/>
    <n v="40"/>
    <x v="0"/>
    <x v="1"/>
    <x v="2"/>
    <n v="10.9"/>
    <n v="6.4"/>
    <x v="4"/>
    <n v="2"/>
    <x v="0"/>
    <n v="88300"/>
    <n v="8300"/>
    <n v="96600"/>
    <s v="D"/>
    <d v="2015-02-01T00:00:00"/>
    <x v="2"/>
  </r>
  <r>
    <x v="1611"/>
    <x v="1"/>
    <n v="30"/>
    <x v="0"/>
    <x v="1"/>
    <x v="2"/>
    <n v="6.4"/>
    <n v="3.8"/>
    <x v="2"/>
    <n v="3"/>
    <x v="0"/>
    <n v="80700"/>
    <n v="7000"/>
    <n v="87700"/>
    <s v="D"/>
    <d v="2019-08-03T00:00:00"/>
    <x v="2"/>
  </r>
  <r>
    <x v="1612"/>
    <x v="0"/>
    <n v="49"/>
    <x v="1"/>
    <x v="7"/>
    <x v="0"/>
    <n v="13.6"/>
    <n v="10"/>
    <x v="3"/>
    <n v="4"/>
    <x v="0"/>
    <n v="86100"/>
    <n v="4600"/>
    <n v="90700"/>
    <s v="D"/>
    <d v="2012-06-03T00:00:00"/>
    <x v="0"/>
  </r>
  <r>
    <x v="1613"/>
    <x v="0"/>
    <n v="47"/>
    <x v="0"/>
    <x v="1"/>
    <x v="2"/>
    <n v="3.3"/>
    <n v="1.6"/>
    <x v="1"/>
    <n v="4"/>
    <x v="0"/>
    <n v="93300"/>
    <n v="5800"/>
    <n v="99100"/>
    <s v="D"/>
    <d v="2022-08-30T00:00:00"/>
    <x v="2"/>
  </r>
  <r>
    <x v="1614"/>
    <x v="0"/>
    <n v="38"/>
    <x v="2"/>
    <x v="18"/>
    <x v="2"/>
    <n v="9.5"/>
    <n v="6.8"/>
    <x v="4"/>
    <n v="3"/>
    <x v="0"/>
    <n v="77100"/>
    <n v="7800"/>
    <n v="84900"/>
    <s v="C"/>
    <d v="2016-07-06T00:00:00"/>
    <x v="2"/>
  </r>
  <r>
    <x v="1615"/>
    <x v="1"/>
    <n v="40"/>
    <x v="3"/>
    <x v="5"/>
    <x v="0"/>
    <n v="5.9"/>
    <n v="5.8"/>
    <x v="1"/>
    <n v="4"/>
    <x v="0"/>
    <n v="77900"/>
    <n v="3600"/>
    <n v="81500"/>
    <s v="C"/>
    <d v="2020-01-28T00:00:00"/>
    <x v="0"/>
  </r>
  <r>
    <x v="1616"/>
    <x v="1"/>
    <n v="32"/>
    <x v="2"/>
    <x v="11"/>
    <x v="2"/>
    <n v="7.9"/>
    <n v="4.5999999999999996"/>
    <x v="2"/>
    <n v="4"/>
    <x v="0"/>
    <n v="109200"/>
    <n v="6000"/>
    <n v="115200"/>
    <s v="E"/>
    <d v="2018-02-24T00:00:00"/>
    <x v="2"/>
  </r>
  <r>
    <x v="1617"/>
    <x v="0"/>
    <n v="22"/>
    <x v="5"/>
    <x v="9"/>
    <x v="3"/>
    <n v="10.9"/>
    <n v="7.2"/>
    <x v="4"/>
    <n v="4"/>
    <x v="0"/>
    <n v="103600"/>
    <n v="8700"/>
    <n v="112300"/>
    <s v="E"/>
    <d v="2015-02-14T00:00:00"/>
    <x v="3"/>
  </r>
  <r>
    <x v="1618"/>
    <x v="1"/>
    <n v="34"/>
    <x v="5"/>
    <x v="15"/>
    <x v="1"/>
    <n v="6.7"/>
    <n v="3.3"/>
    <x v="2"/>
    <n v="3"/>
    <x v="0"/>
    <n v="76100"/>
    <n v="7000"/>
    <n v="83100"/>
    <s v="C"/>
    <d v="2019-05-02T00:00:00"/>
    <x v="1"/>
  </r>
  <r>
    <x v="1619"/>
    <x v="0"/>
    <n v="42"/>
    <x v="3"/>
    <x v="12"/>
    <x v="1"/>
    <n v="6.4"/>
    <n v="2.1"/>
    <x v="2"/>
    <n v="1"/>
    <x v="1"/>
    <n v="36400"/>
    <n v="2000"/>
    <n v="38400"/>
    <s v="A"/>
    <d v="2019-08-08T00:00:00"/>
    <x v="1"/>
  </r>
  <r>
    <x v="1620"/>
    <x v="1"/>
    <n v="33"/>
    <x v="0"/>
    <x v="2"/>
    <x v="1"/>
    <n v="2.4"/>
    <n v="2.4"/>
    <x v="0"/>
    <n v="3"/>
    <x v="0"/>
    <n v="68600"/>
    <n v="8500"/>
    <n v="77100"/>
    <s v="C"/>
    <d v="2023-08-24T00:00:00"/>
    <x v="1"/>
  </r>
  <r>
    <x v="1621"/>
    <x v="0"/>
    <n v="32"/>
    <x v="2"/>
    <x v="18"/>
    <x v="2"/>
    <n v="9.6999999999999993"/>
    <n v="3.4"/>
    <x v="4"/>
    <n v="2"/>
    <x v="0"/>
    <n v="72400"/>
    <n v="4600"/>
    <n v="77000"/>
    <s v="C"/>
    <d v="2016-04-16T00:00:00"/>
    <x v="2"/>
  </r>
  <r>
    <x v="1622"/>
    <x v="0"/>
    <n v="46"/>
    <x v="0"/>
    <x v="0"/>
    <x v="1"/>
    <n v="9.6"/>
    <n v="8.5"/>
    <x v="4"/>
    <n v="3"/>
    <x v="0"/>
    <n v="110700"/>
    <n v="8400"/>
    <n v="119100"/>
    <s v="E"/>
    <d v="2016-05-11T00:00:00"/>
    <x v="1"/>
  </r>
  <r>
    <x v="1623"/>
    <x v="0"/>
    <n v="25"/>
    <x v="2"/>
    <x v="4"/>
    <x v="1"/>
    <n v="10.7"/>
    <n v="8.3000000000000007"/>
    <x v="4"/>
    <n v="3"/>
    <x v="0"/>
    <n v="75600"/>
    <n v="5100"/>
    <n v="80700"/>
    <s v="C"/>
    <d v="2015-04-26T00:00:00"/>
    <x v="1"/>
  </r>
  <r>
    <x v="1624"/>
    <x v="1"/>
    <n v="35"/>
    <x v="1"/>
    <x v="7"/>
    <x v="1"/>
    <n v="12.6"/>
    <n v="8.6"/>
    <x v="3"/>
    <n v="3"/>
    <x v="0"/>
    <n v="87400"/>
    <n v="9700"/>
    <n v="97100"/>
    <s v="D"/>
    <d v="2013-05-23T00:00:00"/>
    <x v="1"/>
  </r>
  <r>
    <x v="1625"/>
    <x v="0"/>
    <n v="29"/>
    <x v="1"/>
    <x v="7"/>
    <x v="1"/>
    <n v="12.4"/>
    <n v="7.2"/>
    <x v="3"/>
    <n v="4"/>
    <x v="0"/>
    <n v="92000"/>
    <n v="10100"/>
    <n v="102100"/>
    <s v="D"/>
    <d v="2013-08-23T00:00:00"/>
    <x v="1"/>
  </r>
  <r>
    <x v="1626"/>
    <x v="0"/>
    <n v="21"/>
    <x v="2"/>
    <x v="18"/>
    <x v="1"/>
    <n v="3.6"/>
    <n v="2.5"/>
    <x v="1"/>
    <n v="3"/>
    <x v="0"/>
    <n v="63000"/>
    <n v="4900"/>
    <n v="67900"/>
    <s v="B"/>
    <d v="2022-05-31T00:00:00"/>
    <x v="1"/>
  </r>
  <r>
    <x v="1627"/>
    <x v="1"/>
    <n v="37"/>
    <x v="3"/>
    <x v="5"/>
    <x v="1"/>
    <n v="2.4"/>
    <n v="1.3"/>
    <x v="0"/>
    <n v="3"/>
    <x v="0"/>
    <n v="73800"/>
    <n v="4800"/>
    <n v="78600"/>
    <s v="C"/>
    <d v="2023-08-21T00:00:00"/>
    <x v="1"/>
  </r>
  <r>
    <x v="1628"/>
    <x v="1"/>
    <n v="29"/>
    <x v="4"/>
    <x v="16"/>
    <x v="1"/>
    <n v="10.7"/>
    <n v="7.4"/>
    <x v="4"/>
    <n v="2"/>
    <x v="0"/>
    <n v="98500"/>
    <n v="10800"/>
    <n v="109300"/>
    <s v="D"/>
    <d v="2015-04-25T00:00:00"/>
    <x v="1"/>
  </r>
  <r>
    <x v="1629"/>
    <x v="0"/>
    <n v="31"/>
    <x v="4"/>
    <x v="16"/>
    <x v="1"/>
    <n v="11.6"/>
    <n v="4.4000000000000004"/>
    <x v="4"/>
    <n v="3"/>
    <x v="0"/>
    <n v="99800"/>
    <n v="12400"/>
    <n v="112200"/>
    <s v="D"/>
    <d v="2014-05-12T00:00:00"/>
    <x v="1"/>
  </r>
  <r>
    <x v="1630"/>
    <x v="0"/>
    <n v="39"/>
    <x v="1"/>
    <x v="7"/>
    <x v="1"/>
    <n v="4.0999999999999996"/>
    <n v="2.6"/>
    <x v="1"/>
    <n v="3"/>
    <x v="0"/>
    <n v="76500"/>
    <n v="3700"/>
    <n v="80200"/>
    <s v="C"/>
    <d v="2021-11-16T00:00:00"/>
    <x v="1"/>
  </r>
  <r>
    <x v="1631"/>
    <x v="1"/>
    <n v="35"/>
    <x v="1"/>
    <x v="7"/>
    <x v="2"/>
    <n v="1.5"/>
    <n v="1"/>
    <x v="0"/>
    <n v="2"/>
    <x v="0"/>
    <n v="75300"/>
    <n v="3500"/>
    <n v="78800"/>
    <s v="C"/>
    <d v="2024-07-15T00:00:00"/>
    <x v="2"/>
  </r>
  <r>
    <x v="1632"/>
    <x v="0"/>
    <n v="48"/>
    <x v="2"/>
    <x v="4"/>
    <x v="1"/>
    <n v="7.1"/>
    <n v="4.4000000000000004"/>
    <x v="2"/>
    <n v="3"/>
    <x v="0"/>
    <n v="74600"/>
    <n v="4400"/>
    <n v="79000"/>
    <s v="C"/>
    <d v="2018-11-23T00:00:00"/>
    <x v="1"/>
  </r>
  <r>
    <x v="1633"/>
    <x v="0"/>
    <n v="38"/>
    <x v="3"/>
    <x v="13"/>
    <x v="1"/>
    <n v="6.9"/>
    <n v="4"/>
    <x v="2"/>
    <n v="3"/>
    <x v="0"/>
    <n v="102400"/>
    <n v="3100"/>
    <n v="105500"/>
    <s v="E"/>
    <d v="2019-01-21T00:00:00"/>
    <x v="1"/>
  </r>
  <r>
    <x v="1634"/>
    <x v="0"/>
    <n v="49"/>
    <x v="2"/>
    <x v="18"/>
    <x v="2"/>
    <n v="1.3"/>
    <n v="1.3"/>
    <x v="0"/>
    <n v="3"/>
    <x v="0"/>
    <n v="66200"/>
    <n v="3200"/>
    <n v="69400"/>
    <s v="C"/>
    <d v="2024-09-11T00:00:00"/>
    <x v="2"/>
  </r>
  <r>
    <x v="1635"/>
    <x v="0"/>
    <n v="33"/>
    <x v="1"/>
    <x v="10"/>
    <x v="1"/>
    <n v="2.6"/>
    <n v="2.2999999999999998"/>
    <x v="0"/>
    <n v="3"/>
    <x v="2"/>
    <n v="75000"/>
    <n v="8900"/>
    <n v="83900"/>
    <s v="C"/>
    <d v="2023-05-19T00:00:00"/>
    <x v="1"/>
  </r>
  <r>
    <x v="1636"/>
    <x v="1"/>
    <n v="33"/>
    <x v="1"/>
    <x v="10"/>
    <x v="0"/>
    <n v="2.7"/>
    <n v="1.2"/>
    <x v="0"/>
    <n v="3"/>
    <x v="0"/>
    <n v="98000"/>
    <n v="9200"/>
    <n v="107200"/>
    <s v="D"/>
    <d v="2023-05-05T00:00:00"/>
    <x v="0"/>
  </r>
  <r>
    <x v="1637"/>
    <x v="1"/>
    <n v="28"/>
    <x v="2"/>
    <x v="11"/>
    <x v="3"/>
    <n v="2.4"/>
    <n v="2.4"/>
    <x v="0"/>
    <n v="4"/>
    <x v="0"/>
    <n v="96200"/>
    <n v="7900"/>
    <n v="104100"/>
    <s v="D"/>
    <d v="2023-08-04T00:00:00"/>
    <x v="3"/>
  </r>
  <r>
    <x v="1638"/>
    <x v="0"/>
    <n v="48"/>
    <x v="0"/>
    <x v="1"/>
    <x v="1"/>
    <n v="11.3"/>
    <n v="6.1"/>
    <x v="4"/>
    <n v="2"/>
    <x v="0"/>
    <n v="79300"/>
    <n v="6000"/>
    <n v="85300"/>
    <s v="C"/>
    <d v="2014-09-09T00:00:00"/>
    <x v="1"/>
  </r>
  <r>
    <x v="1639"/>
    <x v="1"/>
    <n v="31"/>
    <x v="3"/>
    <x v="12"/>
    <x v="1"/>
    <n v="12.6"/>
    <n v="8.6999999999999993"/>
    <x v="3"/>
    <n v="3"/>
    <x v="2"/>
    <n v="61400"/>
    <n v="2800"/>
    <n v="64200"/>
    <s v="B"/>
    <d v="2013-05-31T00:00:00"/>
    <x v="1"/>
  </r>
  <r>
    <x v="1640"/>
    <x v="1"/>
    <n v="29"/>
    <x v="4"/>
    <x v="16"/>
    <x v="2"/>
    <n v="10.4"/>
    <n v="6.8"/>
    <x v="4"/>
    <n v="3"/>
    <x v="0"/>
    <n v="118400"/>
    <n v="16100"/>
    <n v="134500"/>
    <s v="E"/>
    <d v="2015-07-23T00:00:00"/>
    <x v="2"/>
  </r>
  <r>
    <x v="1641"/>
    <x v="0"/>
    <n v="29"/>
    <x v="1"/>
    <x v="3"/>
    <x v="2"/>
    <n v="13.1"/>
    <n v="9.1"/>
    <x v="3"/>
    <n v="3"/>
    <x v="0"/>
    <n v="89300"/>
    <n v="3900"/>
    <n v="93200"/>
    <s v="D"/>
    <d v="2012-11-23T00:00:00"/>
    <x v="2"/>
  </r>
  <r>
    <x v="1642"/>
    <x v="1"/>
    <n v="41"/>
    <x v="2"/>
    <x v="11"/>
    <x v="0"/>
    <n v="13.3"/>
    <n v="8.6999999999999993"/>
    <x v="3"/>
    <n v="3"/>
    <x v="0"/>
    <n v="93100"/>
    <n v="7200"/>
    <n v="100300"/>
    <s v="D"/>
    <d v="2012-08-30T00:00:00"/>
    <x v="0"/>
  </r>
  <r>
    <x v="1643"/>
    <x v="1"/>
    <n v="26"/>
    <x v="2"/>
    <x v="4"/>
    <x v="1"/>
    <n v="7.9"/>
    <n v="7.1"/>
    <x v="2"/>
    <n v="1"/>
    <x v="0"/>
    <n v="78200"/>
    <n v="4100"/>
    <n v="82300"/>
    <s v="C"/>
    <d v="2018-02-08T00:00:00"/>
    <x v="1"/>
  </r>
  <r>
    <x v="1644"/>
    <x v="0"/>
    <n v="27"/>
    <x v="0"/>
    <x v="2"/>
    <x v="3"/>
    <n v="13.2"/>
    <n v="10.7"/>
    <x v="3"/>
    <n v="5"/>
    <x v="0"/>
    <n v="78800"/>
    <n v="9200"/>
    <n v="88000"/>
    <s v="C"/>
    <d v="2012-10-11T00:00:00"/>
    <x v="3"/>
  </r>
  <r>
    <x v="1645"/>
    <x v="1"/>
    <n v="46"/>
    <x v="4"/>
    <x v="6"/>
    <x v="1"/>
    <n v="11.8"/>
    <n v="6"/>
    <x v="4"/>
    <n v="3"/>
    <x v="0"/>
    <n v="81500"/>
    <n v="5800"/>
    <n v="87300"/>
    <s v="D"/>
    <d v="2014-03-19T00:00:00"/>
    <x v="1"/>
  </r>
  <r>
    <x v="1646"/>
    <x v="0"/>
    <n v="47"/>
    <x v="0"/>
    <x v="0"/>
    <x v="2"/>
    <n v="7.2"/>
    <n v="6.1"/>
    <x v="2"/>
    <n v="3"/>
    <x v="1"/>
    <n v="60900"/>
    <n v="2900"/>
    <n v="63800"/>
    <s v="B"/>
    <d v="2018-10-08T00:00:00"/>
    <x v="2"/>
  </r>
  <r>
    <x v="1647"/>
    <x v="0"/>
    <n v="34"/>
    <x v="0"/>
    <x v="1"/>
    <x v="2"/>
    <n v="4.5999999999999996"/>
    <n v="3.3"/>
    <x v="1"/>
    <n v="4"/>
    <x v="0"/>
    <n v="79100"/>
    <n v="7200"/>
    <n v="86300"/>
    <s v="C"/>
    <d v="2021-06-13T00:00:00"/>
    <x v="2"/>
  </r>
  <r>
    <x v="1648"/>
    <x v="0"/>
    <n v="50"/>
    <x v="0"/>
    <x v="0"/>
    <x v="1"/>
    <n v="9"/>
    <n v="6.4"/>
    <x v="4"/>
    <n v="3"/>
    <x v="0"/>
    <n v="104600"/>
    <n v="13900"/>
    <n v="118500"/>
    <s v="E"/>
    <d v="2016-12-20T00:00:00"/>
    <x v="1"/>
  </r>
  <r>
    <x v="1649"/>
    <x v="1"/>
    <n v="33"/>
    <x v="3"/>
    <x v="13"/>
    <x v="0"/>
    <n v="5.2"/>
    <n v="5.0999999999999996"/>
    <x v="1"/>
    <n v="3"/>
    <x v="0"/>
    <n v="109700"/>
    <n v="3800"/>
    <n v="113500"/>
    <s v="E"/>
    <d v="2020-10-26T00:00:00"/>
    <x v="0"/>
  </r>
  <r>
    <x v="1650"/>
    <x v="1"/>
    <n v="28"/>
    <x v="3"/>
    <x v="5"/>
    <x v="4"/>
    <n v="11.6"/>
    <n v="6.8"/>
    <x v="4"/>
    <n v="4"/>
    <x v="0"/>
    <n v="100000"/>
    <n v="6300"/>
    <n v="106300"/>
    <s v="E"/>
    <d v="2014-05-20T00:00:00"/>
    <x v="4"/>
  </r>
  <r>
    <x v="1651"/>
    <x v="0"/>
    <n v="32"/>
    <x v="5"/>
    <x v="15"/>
    <x v="1"/>
    <n v="6.7"/>
    <n v="4.8"/>
    <x v="2"/>
    <n v="5"/>
    <x v="0"/>
    <n v="61200"/>
    <n v="4900"/>
    <n v="66100"/>
    <s v="B"/>
    <d v="2019-04-13T00:00:00"/>
    <x v="1"/>
  </r>
  <r>
    <x v="1652"/>
    <x v="1"/>
    <n v="32"/>
    <x v="5"/>
    <x v="15"/>
    <x v="2"/>
    <n v="9.6999999999999993"/>
    <n v="4.7"/>
    <x v="4"/>
    <n v="4"/>
    <x v="0"/>
    <n v="73200"/>
    <n v="9700"/>
    <n v="82900"/>
    <s v="C"/>
    <d v="2016-04-18T00:00:00"/>
    <x v="2"/>
  </r>
  <r>
    <x v="1653"/>
    <x v="1"/>
    <n v="22"/>
    <x v="4"/>
    <x v="16"/>
    <x v="3"/>
    <n v="5.3"/>
    <n v="1.9"/>
    <x v="1"/>
    <n v="1"/>
    <x v="0"/>
    <n v="113500"/>
    <n v="15600"/>
    <n v="129100"/>
    <s v="E"/>
    <d v="2020-09-27T00:00:00"/>
    <x v="3"/>
  </r>
  <r>
    <x v="1654"/>
    <x v="0"/>
    <n v="31"/>
    <x v="2"/>
    <x v="11"/>
    <x v="1"/>
    <n v="11.5"/>
    <n v="7.1"/>
    <x v="4"/>
    <n v="2"/>
    <x v="0"/>
    <n v="107600"/>
    <n v="5600"/>
    <n v="113200"/>
    <s v="E"/>
    <d v="2014-07-08T00:00:00"/>
    <x v="1"/>
  </r>
  <r>
    <x v="1655"/>
    <x v="1"/>
    <n v="36"/>
    <x v="1"/>
    <x v="10"/>
    <x v="1"/>
    <n v="9.9"/>
    <n v="6"/>
    <x v="4"/>
    <n v="3"/>
    <x v="0"/>
    <n v="117800"/>
    <n v="7300"/>
    <n v="125100"/>
    <s v="E"/>
    <d v="2016-02-15T00:00:00"/>
    <x v="1"/>
  </r>
  <r>
    <x v="1656"/>
    <x v="0"/>
    <n v="46"/>
    <x v="4"/>
    <x v="14"/>
    <x v="0"/>
    <n v="2.2000000000000002"/>
    <n v="2.1"/>
    <x v="0"/>
    <n v="3"/>
    <x v="0"/>
    <n v="87400"/>
    <n v="6300"/>
    <n v="93700"/>
    <s v="D"/>
    <d v="2023-11-05T00:00:00"/>
    <x v="0"/>
  </r>
  <r>
    <x v="1657"/>
    <x v="0"/>
    <n v="28"/>
    <x v="0"/>
    <x v="1"/>
    <x v="1"/>
    <n v="1.2"/>
    <n v="1.2"/>
    <x v="0"/>
    <n v="4"/>
    <x v="0"/>
    <n v="75100"/>
    <n v="6600"/>
    <n v="81700"/>
    <s v="C"/>
    <d v="2024-10-11T00:00:00"/>
    <x v="1"/>
  </r>
  <r>
    <x v="1658"/>
    <x v="1"/>
    <n v="40"/>
    <x v="2"/>
    <x v="18"/>
    <x v="1"/>
    <n v="9.4"/>
    <n v="5.8"/>
    <x v="4"/>
    <n v="2"/>
    <x v="0"/>
    <n v="72000"/>
    <n v="7100"/>
    <n v="79100"/>
    <s v="C"/>
    <d v="2016-08-25T00:00:00"/>
    <x v="1"/>
  </r>
  <r>
    <x v="1659"/>
    <x v="1"/>
    <n v="41"/>
    <x v="3"/>
    <x v="12"/>
    <x v="2"/>
    <n v="13.5"/>
    <n v="8.8000000000000007"/>
    <x v="3"/>
    <n v="2"/>
    <x v="0"/>
    <n v="72200"/>
    <n v="3100"/>
    <n v="75300"/>
    <s v="C"/>
    <d v="2012-06-21T00:00:00"/>
    <x v="2"/>
  </r>
  <r>
    <x v="1660"/>
    <x v="1"/>
    <n v="40"/>
    <x v="5"/>
    <x v="9"/>
    <x v="1"/>
    <n v="5.5"/>
    <n v="3.6"/>
    <x v="1"/>
    <n v="3"/>
    <x v="0"/>
    <n v="97200"/>
    <n v="19800"/>
    <n v="117000"/>
    <s v="D"/>
    <d v="2020-06-15T00:00:00"/>
    <x v="1"/>
  </r>
  <r>
    <x v="1661"/>
    <x v="0"/>
    <n v="36"/>
    <x v="3"/>
    <x v="13"/>
    <x v="1"/>
    <n v="7"/>
    <n v="3.3"/>
    <x v="2"/>
    <n v="4"/>
    <x v="0"/>
    <n v="94700"/>
    <n v="3800"/>
    <n v="98500"/>
    <s v="D"/>
    <d v="2019-01-12T00:00:00"/>
    <x v="1"/>
  </r>
  <r>
    <x v="1662"/>
    <x v="1"/>
    <n v="26"/>
    <x v="2"/>
    <x v="11"/>
    <x v="0"/>
    <n v="2"/>
    <n v="2"/>
    <x v="0"/>
    <n v="4"/>
    <x v="1"/>
    <n v="65700"/>
    <n v="4600"/>
    <n v="70300"/>
    <s v="C"/>
    <d v="2024-01-01T00:00:00"/>
    <x v="0"/>
  </r>
  <r>
    <x v="1663"/>
    <x v="0"/>
    <n v="35"/>
    <x v="1"/>
    <x v="7"/>
    <x v="0"/>
    <n v="3.7"/>
    <n v="3.3"/>
    <x v="1"/>
    <n v="4"/>
    <x v="0"/>
    <n v="68400"/>
    <n v="3400"/>
    <n v="71800"/>
    <s v="C"/>
    <d v="2022-04-29T00:00:00"/>
    <x v="0"/>
  </r>
  <r>
    <x v="1664"/>
    <x v="1"/>
    <n v="35"/>
    <x v="4"/>
    <x v="14"/>
    <x v="2"/>
    <n v="1.5"/>
    <n v="1.5"/>
    <x v="0"/>
    <n v="2"/>
    <x v="2"/>
    <n v="75100"/>
    <n v="11100"/>
    <n v="86200"/>
    <s v="C"/>
    <d v="2024-06-18T00:00:00"/>
    <x v="2"/>
  </r>
  <r>
    <x v="1665"/>
    <x v="1"/>
    <n v="32"/>
    <x v="2"/>
    <x v="18"/>
    <x v="2"/>
    <n v="7.5"/>
    <n v="3.8"/>
    <x v="2"/>
    <n v="2"/>
    <x v="2"/>
    <n v="59300"/>
    <n v="6200"/>
    <n v="65500"/>
    <s v="B"/>
    <d v="2018-06-23T00:00:00"/>
    <x v="2"/>
  </r>
  <r>
    <x v="1666"/>
    <x v="1"/>
    <n v="29"/>
    <x v="1"/>
    <x v="10"/>
    <x v="0"/>
    <n v="14"/>
    <n v="9.1999999999999993"/>
    <x v="3"/>
    <n v="4"/>
    <x v="1"/>
    <n v="72600"/>
    <n v="7600"/>
    <n v="80200"/>
    <s v="C"/>
    <d v="2012-01-02T00:00:00"/>
    <x v="0"/>
  </r>
  <r>
    <x v="1667"/>
    <x v="0"/>
    <n v="26"/>
    <x v="3"/>
    <x v="5"/>
    <x v="1"/>
    <n v="6.7"/>
    <n v="5.7"/>
    <x v="2"/>
    <n v="1"/>
    <x v="0"/>
    <n v="67100"/>
    <n v="5900"/>
    <n v="73000"/>
    <s v="C"/>
    <d v="2019-04-06T00:00:00"/>
    <x v="1"/>
  </r>
  <r>
    <x v="1668"/>
    <x v="0"/>
    <n v="31"/>
    <x v="4"/>
    <x v="6"/>
    <x v="1"/>
    <n v="9.9"/>
    <n v="5.6"/>
    <x v="4"/>
    <n v="2"/>
    <x v="0"/>
    <n v="69300"/>
    <n v="9800"/>
    <n v="79100"/>
    <s v="C"/>
    <d v="2016-02-04T00:00:00"/>
    <x v="1"/>
  </r>
  <r>
    <x v="1669"/>
    <x v="0"/>
    <n v="29"/>
    <x v="1"/>
    <x v="7"/>
    <x v="1"/>
    <n v="5"/>
    <n v="3"/>
    <x v="1"/>
    <n v="5"/>
    <x v="0"/>
    <n v="75000"/>
    <n v="5400"/>
    <n v="80400"/>
    <s v="C"/>
    <d v="2020-12-17T00:00:00"/>
    <x v="1"/>
  </r>
  <r>
    <x v="1670"/>
    <x v="1"/>
    <n v="37"/>
    <x v="0"/>
    <x v="2"/>
    <x v="2"/>
    <n v="8.9"/>
    <n v="7.3"/>
    <x v="2"/>
    <n v="3"/>
    <x v="0"/>
    <n v="74700"/>
    <n v="7500"/>
    <n v="82200"/>
    <s v="C"/>
    <d v="2017-02-01T00:00:00"/>
    <x v="2"/>
  </r>
  <r>
    <x v="1671"/>
    <x v="0"/>
    <n v="29"/>
    <x v="1"/>
    <x v="3"/>
    <x v="1"/>
    <n v="1.3"/>
    <n v="0.5"/>
    <x v="0"/>
    <n v="3"/>
    <x v="0"/>
    <n v="72700"/>
    <n v="3200"/>
    <n v="75900"/>
    <s v="C"/>
    <d v="2024-09-28T00:00:00"/>
    <x v="1"/>
  </r>
  <r>
    <x v="1672"/>
    <x v="0"/>
    <n v="57"/>
    <x v="5"/>
    <x v="9"/>
    <x v="1"/>
    <n v="1.5"/>
    <n v="0"/>
    <x v="0"/>
    <n v="3"/>
    <x v="0"/>
    <n v="100100"/>
    <n v="13300"/>
    <n v="113400"/>
    <s v="E"/>
    <d v="2024-07-02T00:00:00"/>
    <x v="1"/>
  </r>
  <r>
    <x v="1673"/>
    <x v="1"/>
    <n v="27"/>
    <x v="5"/>
    <x v="17"/>
    <x v="3"/>
    <n v="4.9000000000000004"/>
    <n v="3.2"/>
    <x v="1"/>
    <n v="1"/>
    <x v="1"/>
    <n v="60300"/>
    <n v="8400"/>
    <n v="68700"/>
    <s v="B"/>
    <d v="2021-02-13T00:00:00"/>
    <x v="3"/>
  </r>
  <r>
    <x v="1674"/>
    <x v="1"/>
    <n v="49"/>
    <x v="3"/>
    <x v="12"/>
    <x v="1"/>
    <n v="12.7"/>
    <n v="9"/>
    <x v="3"/>
    <n v="3"/>
    <x v="0"/>
    <n v="73600"/>
    <n v="2400"/>
    <n v="76000"/>
    <s v="C"/>
    <d v="2013-04-28T00:00:00"/>
    <x v="1"/>
  </r>
  <r>
    <x v="1675"/>
    <x v="1"/>
    <n v="38"/>
    <x v="0"/>
    <x v="2"/>
    <x v="1"/>
    <n v="1.6"/>
    <n v="1"/>
    <x v="0"/>
    <n v="3"/>
    <x v="0"/>
    <n v="56800"/>
    <n v="6000"/>
    <n v="62800"/>
    <s v="B"/>
    <d v="2024-06-01T00:00:00"/>
    <x v="1"/>
  </r>
  <r>
    <x v="1676"/>
    <x v="0"/>
    <n v="32"/>
    <x v="1"/>
    <x v="10"/>
    <x v="2"/>
    <n v="9.9"/>
    <n v="7.8"/>
    <x v="4"/>
    <n v="3"/>
    <x v="1"/>
    <n v="68300"/>
    <n v="6900"/>
    <n v="75200"/>
    <s v="C"/>
    <d v="2016-02-09T00:00:00"/>
    <x v="2"/>
  </r>
  <r>
    <x v="1677"/>
    <x v="1"/>
    <n v="48"/>
    <x v="1"/>
    <x v="3"/>
    <x v="1"/>
    <n v="5.0999999999999996"/>
    <n v="2.8"/>
    <x v="1"/>
    <n v="3"/>
    <x v="1"/>
    <n v="47700"/>
    <n v="5300"/>
    <n v="53000"/>
    <s v="A"/>
    <d v="2020-11-29T00:00:00"/>
    <x v="1"/>
  </r>
  <r>
    <x v="1678"/>
    <x v="0"/>
    <n v="38"/>
    <x v="1"/>
    <x v="10"/>
    <x v="1"/>
    <n v="2.8"/>
    <n v="0.5"/>
    <x v="0"/>
    <n v="5"/>
    <x v="0"/>
    <n v="108000"/>
    <n v="5100"/>
    <n v="113100"/>
    <s v="E"/>
    <d v="2023-03-14T00:00:00"/>
    <x v="1"/>
  </r>
  <r>
    <x v="1679"/>
    <x v="0"/>
    <n v="40"/>
    <x v="3"/>
    <x v="13"/>
    <x v="1"/>
    <n v="12.9"/>
    <n v="7.6"/>
    <x v="3"/>
    <n v="3"/>
    <x v="2"/>
    <n v="89500"/>
    <n v="5700"/>
    <n v="95200"/>
    <s v="D"/>
    <d v="2013-02-03T00:00:00"/>
    <x v="1"/>
  </r>
  <r>
    <x v="1680"/>
    <x v="0"/>
    <n v="34"/>
    <x v="1"/>
    <x v="10"/>
    <x v="1"/>
    <n v="11.1"/>
    <n v="7"/>
    <x v="4"/>
    <n v="3"/>
    <x v="1"/>
    <n v="66600"/>
    <n v="5500"/>
    <n v="72100"/>
    <s v="C"/>
    <d v="2014-11-23T00:00:00"/>
    <x v="1"/>
  </r>
  <r>
    <x v="1681"/>
    <x v="0"/>
    <n v="39"/>
    <x v="4"/>
    <x v="6"/>
    <x v="2"/>
    <n v="9.3000000000000007"/>
    <n v="5.5"/>
    <x v="4"/>
    <n v="3"/>
    <x v="0"/>
    <n v="87200"/>
    <n v="4400"/>
    <n v="91600"/>
    <s v="D"/>
    <d v="2016-09-17T00:00:00"/>
    <x v="2"/>
  </r>
  <r>
    <x v="1682"/>
    <x v="1"/>
    <n v="29"/>
    <x v="5"/>
    <x v="15"/>
    <x v="3"/>
    <n v="6.2"/>
    <n v="5.8"/>
    <x v="2"/>
    <n v="2"/>
    <x v="0"/>
    <n v="73800"/>
    <n v="6800"/>
    <n v="80600"/>
    <s v="C"/>
    <d v="2019-10-06T00:00:00"/>
    <x v="3"/>
  </r>
  <r>
    <x v="1683"/>
    <x v="1"/>
    <n v="34"/>
    <x v="3"/>
    <x v="13"/>
    <x v="3"/>
    <n v="13.9"/>
    <n v="8.1"/>
    <x v="3"/>
    <n v="2"/>
    <x v="0"/>
    <n v="117300"/>
    <n v="6100"/>
    <n v="123400"/>
    <s v="E"/>
    <d v="2012-02-04T00:00:00"/>
    <x v="3"/>
  </r>
  <r>
    <x v="1684"/>
    <x v="1"/>
    <n v="26"/>
    <x v="3"/>
    <x v="13"/>
    <x v="1"/>
    <n v="7.1"/>
    <n v="4.5"/>
    <x v="2"/>
    <n v="3"/>
    <x v="0"/>
    <n v="112000"/>
    <n v="4100"/>
    <n v="116100"/>
    <s v="E"/>
    <d v="2018-12-07T00:00:00"/>
    <x v="1"/>
  </r>
  <r>
    <x v="1685"/>
    <x v="0"/>
    <n v="26"/>
    <x v="3"/>
    <x v="12"/>
    <x v="2"/>
    <n v="8"/>
    <n v="6.8"/>
    <x v="2"/>
    <n v="4"/>
    <x v="0"/>
    <n v="82500"/>
    <n v="3800"/>
    <n v="86300"/>
    <s v="D"/>
    <d v="2017-12-18T00:00:00"/>
    <x v="2"/>
  </r>
  <r>
    <x v="1686"/>
    <x v="1"/>
    <n v="46"/>
    <x v="0"/>
    <x v="1"/>
    <x v="1"/>
    <n v="5.8"/>
    <n v="4.4000000000000004"/>
    <x v="1"/>
    <n v="3"/>
    <x v="0"/>
    <n v="76500"/>
    <n v="8800"/>
    <n v="85300"/>
    <s v="C"/>
    <d v="2020-03-25T00:00:00"/>
    <x v="1"/>
  </r>
  <r>
    <x v="1687"/>
    <x v="1"/>
    <n v="30"/>
    <x v="0"/>
    <x v="1"/>
    <x v="2"/>
    <n v="6.3"/>
    <n v="4.4000000000000004"/>
    <x v="2"/>
    <n v="4"/>
    <x v="0"/>
    <n v="85800"/>
    <n v="7500"/>
    <n v="93300"/>
    <s v="D"/>
    <d v="2019-09-18T00:00:00"/>
    <x v="2"/>
  </r>
  <r>
    <x v="1688"/>
    <x v="1"/>
    <n v="33"/>
    <x v="3"/>
    <x v="5"/>
    <x v="1"/>
    <n v="11"/>
    <n v="7.5"/>
    <x v="4"/>
    <n v="3"/>
    <x v="1"/>
    <n v="52100"/>
    <n v="3000"/>
    <n v="55100"/>
    <s v="B"/>
    <d v="2014-12-15T00:00:00"/>
    <x v="1"/>
  </r>
  <r>
    <x v="1689"/>
    <x v="1"/>
    <n v="45"/>
    <x v="2"/>
    <x v="4"/>
    <x v="2"/>
    <n v="3.1"/>
    <n v="1.1000000000000001"/>
    <x v="1"/>
    <n v="4"/>
    <x v="0"/>
    <n v="74200"/>
    <n v="3200"/>
    <n v="77400"/>
    <s v="C"/>
    <d v="2022-12-08T00:00:00"/>
    <x v="2"/>
  </r>
  <r>
    <x v="1690"/>
    <x v="1"/>
    <n v="38"/>
    <x v="5"/>
    <x v="9"/>
    <x v="2"/>
    <n v="3.5"/>
    <n v="3.3"/>
    <x v="1"/>
    <n v="3"/>
    <x v="0"/>
    <n v="102200"/>
    <n v="17400"/>
    <n v="119600"/>
    <s v="E"/>
    <d v="2022-06-19T00:00:00"/>
    <x v="2"/>
  </r>
  <r>
    <x v="1691"/>
    <x v="0"/>
    <n v="38"/>
    <x v="0"/>
    <x v="2"/>
    <x v="2"/>
    <n v="5.7"/>
    <n v="3.1"/>
    <x v="1"/>
    <n v="2"/>
    <x v="1"/>
    <n v="40800"/>
    <n v="3100"/>
    <n v="43900"/>
    <s v="A"/>
    <d v="2020-04-29T00:00:00"/>
    <x v="2"/>
  </r>
  <r>
    <x v="1692"/>
    <x v="0"/>
    <n v="39"/>
    <x v="0"/>
    <x v="2"/>
    <x v="2"/>
    <n v="11.1"/>
    <n v="4.5999999999999996"/>
    <x v="4"/>
    <n v="4"/>
    <x v="0"/>
    <n v="93400"/>
    <n v="8300"/>
    <n v="101700"/>
    <s v="D"/>
    <d v="2014-11-21T00:00:00"/>
    <x v="2"/>
  </r>
  <r>
    <x v="1693"/>
    <x v="1"/>
    <n v="39"/>
    <x v="4"/>
    <x v="16"/>
    <x v="1"/>
    <n v="12"/>
    <n v="8.4"/>
    <x v="3"/>
    <n v="2"/>
    <x v="0"/>
    <n v="104700"/>
    <n v="9100"/>
    <n v="113800"/>
    <s v="E"/>
    <d v="2013-12-21T00:00:00"/>
    <x v="1"/>
  </r>
  <r>
    <x v="1694"/>
    <x v="0"/>
    <n v="37"/>
    <x v="0"/>
    <x v="0"/>
    <x v="1"/>
    <n v="5.5"/>
    <n v="1.7"/>
    <x v="1"/>
    <n v="3"/>
    <x v="0"/>
    <n v="88800"/>
    <n v="11800"/>
    <n v="100600"/>
    <s v="D"/>
    <d v="2020-06-17T00:00:00"/>
    <x v="1"/>
  </r>
  <r>
    <x v="1695"/>
    <x v="0"/>
    <n v="28"/>
    <x v="3"/>
    <x v="12"/>
    <x v="2"/>
    <n v="8.8000000000000007"/>
    <n v="6.4"/>
    <x v="2"/>
    <n v="3"/>
    <x v="0"/>
    <n v="64300"/>
    <n v="4500"/>
    <n v="68800"/>
    <s v="B"/>
    <d v="2017-03-03T00:00:00"/>
    <x v="2"/>
  </r>
  <r>
    <x v="1696"/>
    <x v="0"/>
    <n v="43"/>
    <x v="5"/>
    <x v="17"/>
    <x v="0"/>
    <n v="4.7"/>
    <n v="3.2"/>
    <x v="1"/>
    <n v="4"/>
    <x v="0"/>
    <n v="107600"/>
    <n v="17000"/>
    <n v="124600"/>
    <s v="E"/>
    <d v="2021-04-09T00:00:00"/>
    <x v="0"/>
  </r>
  <r>
    <x v="1697"/>
    <x v="1"/>
    <n v="42"/>
    <x v="0"/>
    <x v="1"/>
    <x v="1"/>
    <n v="4.5999999999999996"/>
    <n v="1.1000000000000001"/>
    <x v="1"/>
    <n v="5"/>
    <x v="0"/>
    <n v="71700"/>
    <n v="6200"/>
    <n v="77900"/>
    <s v="C"/>
    <d v="2021-06-06T00:00:00"/>
    <x v="1"/>
  </r>
  <r>
    <x v="1698"/>
    <x v="0"/>
    <n v="44"/>
    <x v="2"/>
    <x v="11"/>
    <x v="2"/>
    <n v="13.9"/>
    <n v="10.6"/>
    <x v="3"/>
    <n v="3"/>
    <x v="0"/>
    <n v="101200"/>
    <n v="8600"/>
    <n v="109800"/>
    <s v="E"/>
    <d v="2012-02-08T00:00:00"/>
    <x v="2"/>
  </r>
  <r>
    <x v="1699"/>
    <x v="1"/>
    <n v="40"/>
    <x v="3"/>
    <x v="12"/>
    <x v="2"/>
    <n v="8.3000000000000007"/>
    <n v="4.0999999999999996"/>
    <x v="2"/>
    <n v="4"/>
    <x v="0"/>
    <n v="75100"/>
    <n v="2300"/>
    <n v="77400"/>
    <s v="C"/>
    <d v="2017-09-23T00:00:00"/>
    <x v="2"/>
  </r>
  <r>
    <x v="1700"/>
    <x v="1"/>
    <n v="42"/>
    <x v="3"/>
    <x v="13"/>
    <x v="0"/>
    <n v="8.1999999999999993"/>
    <n v="7.7"/>
    <x v="2"/>
    <n v="2"/>
    <x v="0"/>
    <n v="97700"/>
    <n v="4900"/>
    <n v="102600"/>
    <s v="D"/>
    <d v="2017-10-11T00:00:00"/>
    <x v="0"/>
  </r>
  <r>
    <x v="1701"/>
    <x v="1"/>
    <n v="35"/>
    <x v="4"/>
    <x v="14"/>
    <x v="2"/>
    <n v="1.1000000000000001"/>
    <n v="0"/>
    <x v="0"/>
    <n v="3"/>
    <x v="0"/>
    <n v="99900"/>
    <n v="11000"/>
    <n v="110900"/>
    <s v="D"/>
    <d v="2024-11-27T00:00:00"/>
    <x v="2"/>
  </r>
  <r>
    <x v="1702"/>
    <x v="0"/>
    <n v="42"/>
    <x v="4"/>
    <x v="14"/>
    <x v="1"/>
    <n v="11.7"/>
    <n v="8.3000000000000007"/>
    <x v="4"/>
    <n v="1"/>
    <x v="2"/>
    <n v="78300"/>
    <n v="10300"/>
    <n v="88600"/>
    <s v="C"/>
    <d v="2014-04-20T00:00:00"/>
    <x v="1"/>
  </r>
  <r>
    <x v="1703"/>
    <x v="0"/>
    <n v="47"/>
    <x v="3"/>
    <x v="12"/>
    <x v="3"/>
    <n v="13.7"/>
    <n v="8.5"/>
    <x v="3"/>
    <n v="3"/>
    <x v="0"/>
    <n v="88800"/>
    <n v="3700"/>
    <n v="92500"/>
    <s v="D"/>
    <d v="2012-04-22T00:00:00"/>
    <x v="3"/>
  </r>
  <r>
    <x v="1704"/>
    <x v="0"/>
    <n v="30"/>
    <x v="4"/>
    <x v="16"/>
    <x v="1"/>
    <n v="1.4"/>
    <n v="0.8"/>
    <x v="0"/>
    <n v="4"/>
    <x v="0"/>
    <n v="82600"/>
    <n v="4100"/>
    <n v="86700"/>
    <s v="D"/>
    <d v="2024-08-04T00:00:00"/>
    <x v="1"/>
  </r>
  <r>
    <x v="1705"/>
    <x v="1"/>
    <n v="32"/>
    <x v="3"/>
    <x v="13"/>
    <x v="2"/>
    <n v="8.8000000000000007"/>
    <n v="5.5"/>
    <x v="2"/>
    <n v="3"/>
    <x v="0"/>
    <n v="95000"/>
    <n v="3600"/>
    <n v="98600"/>
    <s v="D"/>
    <d v="2017-03-29T00:00:00"/>
    <x v="2"/>
  </r>
  <r>
    <x v="1706"/>
    <x v="1"/>
    <n v="27"/>
    <x v="1"/>
    <x v="7"/>
    <x v="1"/>
    <n v="2.9"/>
    <n v="2.9"/>
    <x v="0"/>
    <n v="4"/>
    <x v="0"/>
    <n v="74200"/>
    <n v="5600"/>
    <n v="79800"/>
    <s v="C"/>
    <d v="2023-02-09T00:00:00"/>
    <x v="1"/>
  </r>
  <r>
    <x v="1707"/>
    <x v="1"/>
    <n v="29"/>
    <x v="2"/>
    <x v="4"/>
    <x v="1"/>
    <n v="13.6"/>
    <n v="7.9"/>
    <x v="3"/>
    <n v="4"/>
    <x v="0"/>
    <n v="82000"/>
    <n v="5800"/>
    <n v="87800"/>
    <s v="D"/>
    <d v="2012-06-01T00:00:00"/>
    <x v="1"/>
  </r>
  <r>
    <x v="1708"/>
    <x v="1"/>
    <n v="47"/>
    <x v="3"/>
    <x v="5"/>
    <x v="1"/>
    <n v="12.5"/>
    <n v="7"/>
    <x v="3"/>
    <n v="4"/>
    <x v="0"/>
    <n v="75300"/>
    <n v="5800"/>
    <n v="81100"/>
    <s v="C"/>
    <d v="2013-07-11T00:00:00"/>
    <x v="1"/>
  </r>
  <r>
    <x v="1709"/>
    <x v="1"/>
    <n v="29"/>
    <x v="0"/>
    <x v="1"/>
    <x v="0"/>
    <n v="10.199999999999999"/>
    <n v="9.5"/>
    <x v="4"/>
    <n v="4"/>
    <x v="0"/>
    <n v="72600"/>
    <n v="3500"/>
    <n v="76100"/>
    <s v="C"/>
    <d v="2015-10-10T00:00:00"/>
    <x v="0"/>
  </r>
  <r>
    <x v="1710"/>
    <x v="0"/>
    <n v="26"/>
    <x v="2"/>
    <x v="4"/>
    <x v="2"/>
    <n v="13.3"/>
    <n v="10.199999999999999"/>
    <x v="3"/>
    <n v="4"/>
    <x v="0"/>
    <n v="85300"/>
    <n v="6100"/>
    <n v="91400"/>
    <s v="D"/>
    <d v="2012-09-26T00:00:00"/>
    <x v="2"/>
  </r>
  <r>
    <x v="1711"/>
    <x v="1"/>
    <n v="36"/>
    <x v="5"/>
    <x v="15"/>
    <x v="1"/>
    <n v="6.6"/>
    <n v="6.4"/>
    <x v="2"/>
    <n v="5"/>
    <x v="0"/>
    <n v="76200"/>
    <n v="9700"/>
    <n v="85900"/>
    <s v="C"/>
    <d v="2019-06-09T00:00:00"/>
    <x v="1"/>
  </r>
  <r>
    <x v="1712"/>
    <x v="0"/>
    <n v="40"/>
    <x v="3"/>
    <x v="13"/>
    <x v="1"/>
    <n v="13.2"/>
    <n v="7.3"/>
    <x v="3"/>
    <n v="4"/>
    <x v="0"/>
    <n v="107800"/>
    <n v="5700"/>
    <n v="113500"/>
    <s v="E"/>
    <d v="2012-10-07T00:00:00"/>
    <x v="1"/>
  </r>
  <r>
    <x v="1713"/>
    <x v="0"/>
    <n v="33"/>
    <x v="4"/>
    <x v="16"/>
    <x v="1"/>
    <n v="8.5"/>
    <n v="6.1"/>
    <x v="2"/>
    <n v="3"/>
    <x v="1"/>
    <n v="62200"/>
    <n v="3300"/>
    <n v="65500"/>
    <s v="B"/>
    <d v="2017-07-07T00:00:00"/>
    <x v="1"/>
  </r>
  <r>
    <x v="1714"/>
    <x v="1"/>
    <n v="52"/>
    <x v="3"/>
    <x v="12"/>
    <x v="2"/>
    <n v="5.9"/>
    <n v="2.6"/>
    <x v="1"/>
    <n v="3"/>
    <x v="0"/>
    <n v="77000"/>
    <n v="4600"/>
    <n v="81600"/>
    <s v="C"/>
    <d v="2020-02-14T00:00:00"/>
    <x v="2"/>
  </r>
  <r>
    <x v="1715"/>
    <x v="0"/>
    <n v="26"/>
    <x v="1"/>
    <x v="7"/>
    <x v="2"/>
    <n v="8"/>
    <n v="4.0999999999999996"/>
    <x v="2"/>
    <n v="3"/>
    <x v="0"/>
    <n v="80600"/>
    <n v="3400"/>
    <n v="84000"/>
    <s v="D"/>
    <d v="2018-01-19T00:00:00"/>
    <x v="2"/>
  </r>
  <r>
    <x v="1716"/>
    <x v="0"/>
    <n v="46"/>
    <x v="4"/>
    <x v="14"/>
    <x v="0"/>
    <n v="2.2999999999999998"/>
    <n v="0.7"/>
    <x v="0"/>
    <n v="3"/>
    <x v="0"/>
    <n v="91800"/>
    <n v="11600"/>
    <n v="103400"/>
    <s v="D"/>
    <d v="2023-09-16T00:00:00"/>
    <x v="0"/>
  </r>
  <r>
    <x v="1717"/>
    <x v="1"/>
    <n v="54"/>
    <x v="1"/>
    <x v="3"/>
    <x v="2"/>
    <n v="1.5"/>
    <n v="1"/>
    <x v="0"/>
    <n v="5"/>
    <x v="2"/>
    <n v="65100"/>
    <n v="4700"/>
    <n v="69800"/>
    <s v="C"/>
    <d v="2024-07-04T00:00:00"/>
    <x v="2"/>
  </r>
  <r>
    <x v="1718"/>
    <x v="0"/>
    <n v="36"/>
    <x v="1"/>
    <x v="10"/>
    <x v="1"/>
    <n v="3.7"/>
    <n v="2.2999999999999998"/>
    <x v="1"/>
    <n v="3"/>
    <x v="0"/>
    <n v="103000"/>
    <n v="11400"/>
    <n v="114400"/>
    <s v="E"/>
    <d v="2022-04-07T00:00:00"/>
    <x v="1"/>
  </r>
  <r>
    <x v="1719"/>
    <x v="1"/>
    <n v="37"/>
    <x v="1"/>
    <x v="10"/>
    <x v="4"/>
    <n v="6.8"/>
    <n v="4.2"/>
    <x v="2"/>
    <n v="3"/>
    <x v="0"/>
    <n v="91600"/>
    <n v="8200"/>
    <n v="99800"/>
    <s v="D"/>
    <d v="2019-03-29T00:00:00"/>
    <x v="4"/>
  </r>
  <r>
    <x v="1720"/>
    <x v="0"/>
    <n v="38"/>
    <x v="0"/>
    <x v="2"/>
    <x v="2"/>
    <n v="13.9"/>
    <n v="7.9"/>
    <x v="3"/>
    <n v="3"/>
    <x v="0"/>
    <n v="82500"/>
    <n v="8400"/>
    <n v="90900"/>
    <s v="D"/>
    <d v="2012-02-12T00:00:00"/>
    <x v="2"/>
  </r>
  <r>
    <x v="1721"/>
    <x v="0"/>
    <n v="37"/>
    <x v="2"/>
    <x v="4"/>
    <x v="1"/>
    <n v="5.9"/>
    <n v="3.9"/>
    <x v="1"/>
    <n v="3"/>
    <x v="0"/>
    <n v="72700"/>
    <n v="6500"/>
    <n v="79200"/>
    <s v="C"/>
    <d v="2020-02-16T00:00:00"/>
    <x v="1"/>
  </r>
  <r>
    <x v="1722"/>
    <x v="1"/>
    <n v="24"/>
    <x v="2"/>
    <x v="11"/>
    <x v="1"/>
    <n v="7.9"/>
    <n v="4.0999999999999996"/>
    <x v="2"/>
    <n v="5"/>
    <x v="0"/>
    <n v="100200"/>
    <n v="6000"/>
    <n v="106200"/>
    <s v="E"/>
    <d v="2018-02-16T00:00:00"/>
    <x v="1"/>
  </r>
  <r>
    <x v="1723"/>
    <x v="1"/>
    <n v="22"/>
    <x v="1"/>
    <x v="3"/>
    <x v="1"/>
    <n v="4.0999999999999996"/>
    <n v="2.7"/>
    <x v="1"/>
    <n v="3"/>
    <x v="0"/>
    <n v="81900"/>
    <n v="6700"/>
    <n v="88600"/>
    <s v="D"/>
    <d v="2021-12-13T00:00:00"/>
    <x v="1"/>
  </r>
  <r>
    <x v="1724"/>
    <x v="0"/>
    <n v="39"/>
    <x v="3"/>
    <x v="13"/>
    <x v="1"/>
    <n v="6.3"/>
    <n v="4.7"/>
    <x v="2"/>
    <n v="2"/>
    <x v="0"/>
    <n v="89800"/>
    <n v="5500"/>
    <n v="95300"/>
    <s v="D"/>
    <d v="2019-08-28T00:00:00"/>
    <x v="1"/>
  </r>
  <r>
    <x v="1725"/>
    <x v="1"/>
    <n v="48"/>
    <x v="5"/>
    <x v="15"/>
    <x v="0"/>
    <n v="2.4"/>
    <n v="1.7"/>
    <x v="0"/>
    <n v="5"/>
    <x v="1"/>
    <n v="31500"/>
    <n v="3800"/>
    <n v="35300"/>
    <s v="A"/>
    <d v="2023-07-27T00:00:00"/>
    <x v="0"/>
  </r>
  <r>
    <x v="1726"/>
    <x v="1"/>
    <n v="39"/>
    <x v="2"/>
    <x v="11"/>
    <x v="2"/>
    <n v="11.9"/>
    <n v="7.6"/>
    <x v="4"/>
    <n v="4"/>
    <x v="0"/>
    <n v="117100"/>
    <n v="7900"/>
    <n v="125000"/>
    <s v="E"/>
    <d v="2014-01-20T00:00:00"/>
    <x v="2"/>
  </r>
  <r>
    <x v="1727"/>
    <x v="1"/>
    <n v="30"/>
    <x v="1"/>
    <x v="3"/>
    <x v="1"/>
    <n v="4.0999999999999996"/>
    <n v="2.7"/>
    <x v="1"/>
    <n v="1"/>
    <x v="2"/>
    <n v="56500"/>
    <n v="6000"/>
    <n v="62500"/>
    <s v="B"/>
    <d v="2021-11-30T00:00:00"/>
    <x v="1"/>
  </r>
  <r>
    <x v="1728"/>
    <x v="0"/>
    <n v="32"/>
    <x v="1"/>
    <x v="10"/>
    <x v="2"/>
    <n v="3.5"/>
    <n v="2.1"/>
    <x v="1"/>
    <n v="3"/>
    <x v="0"/>
    <n v="105700"/>
    <n v="5900"/>
    <n v="111600"/>
    <s v="E"/>
    <d v="2022-06-20T00:00:00"/>
    <x v="2"/>
  </r>
  <r>
    <x v="1729"/>
    <x v="0"/>
    <n v="52"/>
    <x v="2"/>
    <x v="4"/>
    <x v="2"/>
    <n v="12"/>
    <n v="8.8000000000000007"/>
    <x v="3"/>
    <n v="2"/>
    <x v="1"/>
    <n v="53100"/>
    <n v="5300"/>
    <n v="58400"/>
    <s v="B"/>
    <d v="2013-12-29T00:00:00"/>
    <x v="2"/>
  </r>
  <r>
    <x v="1730"/>
    <x v="0"/>
    <n v="45"/>
    <x v="2"/>
    <x v="18"/>
    <x v="0"/>
    <n v="8.1"/>
    <n v="4"/>
    <x v="2"/>
    <n v="3"/>
    <x v="0"/>
    <n v="58600"/>
    <n v="5900"/>
    <n v="64500"/>
    <s v="B"/>
    <d v="2017-11-28T00:00:00"/>
    <x v="0"/>
  </r>
  <r>
    <x v="1731"/>
    <x v="1"/>
    <n v="45"/>
    <x v="1"/>
    <x v="10"/>
    <x v="2"/>
    <n v="6.7"/>
    <n v="5.6"/>
    <x v="2"/>
    <n v="4"/>
    <x v="1"/>
    <n v="67200"/>
    <n v="3400"/>
    <n v="70600"/>
    <s v="C"/>
    <d v="2019-04-23T00:00:00"/>
    <x v="2"/>
  </r>
  <r>
    <x v="1732"/>
    <x v="0"/>
    <n v="25"/>
    <x v="1"/>
    <x v="3"/>
    <x v="1"/>
    <n v="6.6"/>
    <n v="2.4"/>
    <x v="2"/>
    <n v="4"/>
    <x v="0"/>
    <n v="86600"/>
    <n v="5800"/>
    <n v="92400"/>
    <s v="D"/>
    <d v="2019-06-06T00:00:00"/>
    <x v="1"/>
  </r>
  <r>
    <x v="1733"/>
    <x v="1"/>
    <n v="42"/>
    <x v="1"/>
    <x v="7"/>
    <x v="2"/>
    <n v="11.4"/>
    <n v="4.2"/>
    <x v="4"/>
    <n v="3"/>
    <x v="0"/>
    <n v="96300"/>
    <n v="10500"/>
    <n v="106800"/>
    <s v="D"/>
    <d v="2014-08-04T00:00:00"/>
    <x v="2"/>
  </r>
  <r>
    <x v="1734"/>
    <x v="0"/>
    <n v="28"/>
    <x v="4"/>
    <x v="16"/>
    <x v="2"/>
    <n v="2"/>
    <n v="1.8"/>
    <x v="0"/>
    <n v="4"/>
    <x v="0"/>
    <n v="92200"/>
    <n v="6200"/>
    <n v="98400"/>
    <s v="D"/>
    <d v="2024-01-18T00:00:00"/>
    <x v="2"/>
  </r>
  <r>
    <x v="1735"/>
    <x v="1"/>
    <n v="39"/>
    <x v="0"/>
    <x v="2"/>
    <x v="2"/>
    <n v="3.7"/>
    <n v="2"/>
    <x v="1"/>
    <n v="4"/>
    <x v="2"/>
    <n v="63200"/>
    <n v="7000"/>
    <n v="70200"/>
    <s v="B"/>
    <d v="2022-04-05T00:00:00"/>
    <x v="2"/>
  </r>
  <r>
    <x v="1736"/>
    <x v="1"/>
    <n v="34"/>
    <x v="0"/>
    <x v="1"/>
    <x v="0"/>
    <n v="12.9"/>
    <n v="10"/>
    <x v="3"/>
    <n v="4"/>
    <x v="0"/>
    <n v="89400"/>
    <n v="6700"/>
    <n v="96100"/>
    <s v="D"/>
    <d v="2013-02-06T00:00:00"/>
    <x v="0"/>
  </r>
  <r>
    <x v="1737"/>
    <x v="0"/>
    <n v="37"/>
    <x v="3"/>
    <x v="13"/>
    <x v="1"/>
    <n v="5.0999999999999996"/>
    <n v="2.5"/>
    <x v="1"/>
    <n v="3"/>
    <x v="0"/>
    <n v="97300"/>
    <n v="7700"/>
    <n v="105000"/>
    <s v="D"/>
    <d v="2020-11-26T00:00:00"/>
    <x v="1"/>
  </r>
  <r>
    <x v="1738"/>
    <x v="0"/>
    <n v="48"/>
    <x v="0"/>
    <x v="1"/>
    <x v="2"/>
    <n v="7.7"/>
    <n v="4.2"/>
    <x v="2"/>
    <n v="3"/>
    <x v="0"/>
    <n v="75500"/>
    <n v="6900"/>
    <n v="82400"/>
    <s v="C"/>
    <d v="2018-04-17T00:00:00"/>
    <x v="2"/>
  </r>
  <r>
    <x v="1739"/>
    <x v="1"/>
    <n v="24"/>
    <x v="3"/>
    <x v="5"/>
    <x v="0"/>
    <n v="9"/>
    <n v="7.1"/>
    <x v="4"/>
    <n v="4"/>
    <x v="0"/>
    <n v="75300"/>
    <n v="6200"/>
    <n v="81500"/>
    <s v="C"/>
    <d v="2016-12-29T00:00:00"/>
    <x v="0"/>
  </r>
  <r>
    <x v="1740"/>
    <x v="0"/>
    <n v="44"/>
    <x v="2"/>
    <x v="11"/>
    <x v="1"/>
    <n v="1.4"/>
    <n v="0"/>
    <x v="0"/>
    <n v="4"/>
    <x v="0"/>
    <n v="92500"/>
    <n v="5600"/>
    <n v="98100"/>
    <s v="D"/>
    <d v="2024-07-28T00:00:00"/>
    <x v="1"/>
  </r>
  <r>
    <x v="1741"/>
    <x v="1"/>
    <n v="22"/>
    <x v="3"/>
    <x v="12"/>
    <x v="1"/>
    <n v="4.5999999999999996"/>
    <n v="4.5999999999999996"/>
    <x v="1"/>
    <n v="4"/>
    <x v="0"/>
    <n v="68000"/>
    <n v="3200"/>
    <n v="71200"/>
    <s v="C"/>
    <d v="2021-05-20T00:00:00"/>
    <x v="1"/>
  </r>
  <r>
    <x v="1742"/>
    <x v="1"/>
    <n v="28"/>
    <x v="0"/>
    <x v="0"/>
    <x v="2"/>
    <n v="13.9"/>
    <n v="8.4"/>
    <x v="3"/>
    <n v="4"/>
    <x v="0"/>
    <n v="107800"/>
    <n v="7500"/>
    <n v="115300"/>
    <s v="E"/>
    <d v="2012-02-04T00:00:00"/>
    <x v="2"/>
  </r>
  <r>
    <x v="1743"/>
    <x v="0"/>
    <n v="42"/>
    <x v="2"/>
    <x v="18"/>
    <x v="1"/>
    <n v="1.9"/>
    <n v="0.1"/>
    <x v="0"/>
    <n v="3"/>
    <x v="0"/>
    <n v="75600"/>
    <n v="7600"/>
    <n v="83200"/>
    <s v="C"/>
    <d v="2024-02-22T00:00:00"/>
    <x v="1"/>
  </r>
  <r>
    <x v="1744"/>
    <x v="1"/>
    <n v="41"/>
    <x v="4"/>
    <x v="8"/>
    <x v="1"/>
    <n v="7.4"/>
    <n v="4.0999999999999996"/>
    <x v="2"/>
    <n v="3"/>
    <x v="0"/>
    <n v="81800"/>
    <n v="9900"/>
    <n v="91700"/>
    <s v="D"/>
    <d v="2018-07-26T00:00:00"/>
    <x v="1"/>
  </r>
  <r>
    <x v="1745"/>
    <x v="1"/>
    <n v="31"/>
    <x v="1"/>
    <x v="7"/>
    <x v="2"/>
    <n v="8.6"/>
    <n v="4.0999999999999996"/>
    <x v="2"/>
    <n v="3"/>
    <x v="0"/>
    <n v="77900"/>
    <n v="3700"/>
    <n v="81600"/>
    <s v="C"/>
    <d v="2017-06-12T00:00:00"/>
    <x v="2"/>
  </r>
  <r>
    <x v="1746"/>
    <x v="1"/>
    <n v="26"/>
    <x v="3"/>
    <x v="12"/>
    <x v="1"/>
    <n v="5"/>
    <n v="4"/>
    <x v="1"/>
    <n v="3"/>
    <x v="0"/>
    <n v="55200"/>
    <n v="4500"/>
    <n v="59700"/>
    <s v="B"/>
    <d v="2020-12-26T00:00:00"/>
    <x v="1"/>
  </r>
  <r>
    <x v="1747"/>
    <x v="1"/>
    <n v="33"/>
    <x v="3"/>
    <x v="5"/>
    <x v="2"/>
    <n v="10.5"/>
    <n v="6.8"/>
    <x v="4"/>
    <n v="3"/>
    <x v="0"/>
    <n v="85900"/>
    <n v="5200"/>
    <n v="91100"/>
    <s v="D"/>
    <d v="2015-06-29T00:00:00"/>
    <x v="2"/>
  </r>
  <r>
    <x v="1748"/>
    <x v="0"/>
    <n v="27"/>
    <x v="5"/>
    <x v="9"/>
    <x v="2"/>
    <n v="2.6"/>
    <n v="2.6"/>
    <x v="0"/>
    <n v="2"/>
    <x v="1"/>
    <n v="62100"/>
    <n v="9400"/>
    <n v="71500"/>
    <s v="B"/>
    <d v="2023-05-29T00:00:00"/>
    <x v="2"/>
  </r>
  <r>
    <x v="1749"/>
    <x v="0"/>
    <n v="34"/>
    <x v="2"/>
    <x v="18"/>
    <x v="1"/>
    <n v="12.4"/>
    <n v="8.8000000000000007"/>
    <x v="3"/>
    <n v="4"/>
    <x v="1"/>
    <n v="45000"/>
    <n v="4400"/>
    <n v="49400"/>
    <s v="A"/>
    <d v="2013-07-31T00:00:00"/>
    <x v="1"/>
  </r>
  <r>
    <x v="1750"/>
    <x v="1"/>
    <n v="42"/>
    <x v="1"/>
    <x v="3"/>
    <x v="1"/>
    <n v="2.5"/>
    <n v="2.5"/>
    <x v="0"/>
    <n v="1"/>
    <x v="2"/>
    <n v="50900"/>
    <n v="6100"/>
    <n v="57000"/>
    <s v="B"/>
    <d v="2023-06-24T00:00:00"/>
    <x v="1"/>
  </r>
  <r>
    <x v="1751"/>
    <x v="0"/>
    <n v="36"/>
    <x v="0"/>
    <x v="2"/>
    <x v="2"/>
    <n v="6.9"/>
    <n v="5.8"/>
    <x v="2"/>
    <n v="3"/>
    <x v="0"/>
    <n v="69700"/>
    <n v="8800"/>
    <n v="78500"/>
    <s v="C"/>
    <d v="2019-02-05T00:00:00"/>
    <x v="2"/>
  </r>
  <r>
    <x v="1752"/>
    <x v="1"/>
    <n v="34"/>
    <x v="2"/>
    <x v="4"/>
    <x v="0"/>
    <n v="12"/>
    <n v="6.9"/>
    <x v="3"/>
    <n v="3"/>
    <x v="0"/>
    <n v="65900"/>
    <n v="4300"/>
    <n v="70200"/>
    <s v="C"/>
    <d v="2014-01-11T00:00:00"/>
    <x v="0"/>
  </r>
  <r>
    <x v="1753"/>
    <x v="1"/>
    <n v="48"/>
    <x v="3"/>
    <x v="13"/>
    <x v="3"/>
    <n v="1.2"/>
    <n v="1.2"/>
    <x v="0"/>
    <n v="3"/>
    <x v="0"/>
    <n v="110900"/>
    <n v="9500"/>
    <n v="120400"/>
    <s v="E"/>
    <d v="2024-10-31T00:00:00"/>
    <x v="3"/>
  </r>
  <r>
    <x v="1754"/>
    <x v="1"/>
    <n v="38"/>
    <x v="2"/>
    <x v="18"/>
    <x v="1"/>
    <n v="6.5"/>
    <n v="4.7"/>
    <x v="2"/>
    <n v="3"/>
    <x v="0"/>
    <n v="63300"/>
    <n v="4100"/>
    <n v="67400"/>
    <s v="B"/>
    <d v="2019-06-23T00:00:00"/>
    <x v="1"/>
  </r>
  <r>
    <x v="1755"/>
    <x v="0"/>
    <n v="44"/>
    <x v="0"/>
    <x v="2"/>
    <x v="1"/>
    <n v="2.2000000000000002"/>
    <n v="1.1000000000000001"/>
    <x v="0"/>
    <n v="3"/>
    <x v="0"/>
    <n v="63100"/>
    <n v="2900"/>
    <n v="66000"/>
    <s v="B"/>
    <d v="2023-11-04T00:00:00"/>
    <x v="1"/>
  </r>
  <r>
    <x v="1756"/>
    <x v="1"/>
    <n v="39"/>
    <x v="4"/>
    <x v="16"/>
    <x v="1"/>
    <n v="5.3"/>
    <n v="2.8"/>
    <x v="1"/>
    <n v="4"/>
    <x v="0"/>
    <n v="94200"/>
    <n v="6700"/>
    <n v="100900"/>
    <s v="D"/>
    <d v="2020-09-03T00:00:00"/>
    <x v="1"/>
  </r>
  <r>
    <x v="1757"/>
    <x v="1"/>
    <n v="57"/>
    <x v="4"/>
    <x v="16"/>
    <x v="1"/>
    <n v="9.8000000000000007"/>
    <n v="5.8"/>
    <x v="4"/>
    <n v="3"/>
    <x v="0"/>
    <n v="97400"/>
    <n v="10400"/>
    <n v="107800"/>
    <s v="D"/>
    <d v="2016-03-24T00:00:00"/>
    <x v="1"/>
  </r>
  <r>
    <x v="1758"/>
    <x v="0"/>
    <n v="41"/>
    <x v="3"/>
    <x v="13"/>
    <x v="1"/>
    <n v="8.3000000000000007"/>
    <n v="2.9"/>
    <x v="2"/>
    <n v="3"/>
    <x v="0"/>
    <n v="114100"/>
    <n v="8700"/>
    <n v="122800"/>
    <s v="E"/>
    <d v="2017-09-25T00:00:00"/>
    <x v="1"/>
  </r>
  <r>
    <x v="1759"/>
    <x v="0"/>
    <n v="34"/>
    <x v="4"/>
    <x v="16"/>
    <x v="1"/>
    <n v="1.9"/>
    <n v="0.5"/>
    <x v="0"/>
    <n v="3"/>
    <x v="0"/>
    <n v="88000"/>
    <n v="4900"/>
    <n v="92900"/>
    <s v="D"/>
    <d v="2024-02-15T00:00:00"/>
    <x v="1"/>
  </r>
  <r>
    <x v="1760"/>
    <x v="0"/>
    <n v="44"/>
    <x v="2"/>
    <x v="4"/>
    <x v="1"/>
    <n v="2.5"/>
    <n v="0"/>
    <x v="0"/>
    <n v="3"/>
    <x v="0"/>
    <n v="76200"/>
    <n v="5400"/>
    <n v="81600"/>
    <s v="C"/>
    <d v="2023-07-03T00:00:00"/>
    <x v="1"/>
  </r>
  <r>
    <x v="1761"/>
    <x v="0"/>
    <n v="36"/>
    <x v="3"/>
    <x v="13"/>
    <x v="2"/>
    <n v="2.9"/>
    <n v="1.7"/>
    <x v="0"/>
    <n v="4"/>
    <x v="0"/>
    <n v="101600"/>
    <n v="7000"/>
    <n v="108600"/>
    <s v="E"/>
    <d v="2023-02-03T00:00:00"/>
    <x v="2"/>
  </r>
  <r>
    <x v="1762"/>
    <x v="0"/>
    <n v="36"/>
    <x v="1"/>
    <x v="3"/>
    <x v="2"/>
    <n v="13.3"/>
    <n v="7.8"/>
    <x v="3"/>
    <n v="3"/>
    <x v="0"/>
    <n v="88300"/>
    <n v="7700"/>
    <n v="96000"/>
    <s v="D"/>
    <d v="2012-09-16T00:00:00"/>
    <x v="2"/>
  </r>
  <r>
    <x v="1763"/>
    <x v="0"/>
    <n v="29"/>
    <x v="5"/>
    <x v="15"/>
    <x v="0"/>
    <n v="9.1"/>
    <n v="6.7"/>
    <x v="4"/>
    <n v="3"/>
    <x v="0"/>
    <n v="60300"/>
    <n v="5900"/>
    <n v="66200"/>
    <s v="B"/>
    <d v="2016-12-13T00:00:00"/>
    <x v="0"/>
  </r>
  <r>
    <x v="1764"/>
    <x v="1"/>
    <n v="30"/>
    <x v="0"/>
    <x v="1"/>
    <x v="0"/>
    <n v="1.8"/>
    <n v="1.8"/>
    <x v="0"/>
    <n v="3"/>
    <x v="0"/>
    <n v="64000"/>
    <n v="6400"/>
    <n v="70400"/>
    <s v="B"/>
    <d v="2024-03-28T00:00:00"/>
    <x v="0"/>
  </r>
  <r>
    <x v="1765"/>
    <x v="0"/>
    <n v="52"/>
    <x v="2"/>
    <x v="4"/>
    <x v="2"/>
    <n v="1.4"/>
    <n v="0.7"/>
    <x v="0"/>
    <n v="4"/>
    <x v="0"/>
    <n v="76800"/>
    <n v="8100"/>
    <n v="84900"/>
    <s v="C"/>
    <d v="2024-07-30T00:00:00"/>
    <x v="2"/>
  </r>
  <r>
    <x v="1766"/>
    <x v="0"/>
    <n v="43"/>
    <x v="3"/>
    <x v="13"/>
    <x v="2"/>
    <n v="8.5"/>
    <n v="8.1"/>
    <x v="2"/>
    <n v="5"/>
    <x v="0"/>
    <n v="91800"/>
    <n v="3300"/>
    <n v="95100"/>
    <s v="D"/>
    <d v="2017-06-23T00:00:00"/>
    <x v="2"/>
  </r>
  <r>
    <x v="1767"/>
    <x v="1"/>
    <n v="47"/>
    <x v="5"/>
    <x v="9"/>
    <x v="0"/>
    <n v="10.8"/>
    <n v="8.5"/>
    <x v="4"/>
    <n v="3"/>
    <x v="0"/>
    <n v="98700"/>
    <n v="15400"/>
    <n v="114100"/>
    <s v="D"/>
    <d v="2015-03-16T00:00:00"/>
    <x v="0"/>
  </r>
  <r>
    <x v="1768"/>
    <x v="1"/>
    <n v="27"/>
    <x v="0"/>
    <x v="1"/>
    <x v="0"/>
    <n v="9.9"/>
    <n v="5.6"/>
    <x v="4"/>
    <n v="4"/>
    <x v="0"/>
    <n v="72100"/>
    <n v="7800"/>
    <n v="79900"/>
    <s v="C"/>
    <d v="2016-01-24T00:00:00"/>
    <x v="0"/>
  </r>
  <r>
    <x v="1769"/>
    <x v="0"/>
    <n v="24"/>
    <x v="2"/>
    <x v="11"/>
    <x v="2"/>
    <n v="6.3"/>
    <n v="5.2"/>
    <x v="2"/>
    <n v="3"/>
    <x v="0"/>
    <n v="103900"/>
    <n v="5100"/>
    <n v="109000"/>
    <s v="E"/>
    <d v="2019-09-17T00:00:00"/>
    <x v="2"/>
  </r>
  <r>
    <x v="1770"/>
    <x v="1"/>
    <n v="37"/>
    <x v="3"/>
    <x v="5"/>
    <x v="1"/>
    <n v="11.6"/>
    <n v="6.5"/>
    <x v="4"/>
    <n v="3"/>
    <x v="1"/>
    <n v="57200"/>
    <n v="3600"/>
    <n v="60800"/>
    <s v="B"/>
    <d v="2014-06-14T00:00:00"/>
    <x v="1"/>
  </r>
  <r>
    <x v="1771"/>
    <x v="1"/>
    <n v="33"/>
    <x v="0"/>
    <x v="2"/>
    <x v="2"/>
    <n v="9.9"/>
    <n v="6.8"/>
    <x v="4"/>
    <n v="3"/>
    <x v="0"/>
    <n v="74800"/>
    <n v="3600"/>
    <n v="78400"/>
    <s v="C"/>
    <d v="2016-02-19T00:00:00"/>
    <x v="2"/>
  </r>
  <r>
    <x v="1772"/>
    <x v="0"/>
    <n v="41"/>
    <x v="5"/>
    <x v="17"/>
    <x v="3"/>
    <n v="9.1"/>
    <n v="7.7"/>
    <x v="4"/>
    <n v="4"/>
    <x v="1"/>
    <n v="65900"/>
    <n v="13100"/>
    <n v="79000"/>
    <s v="C"/>
    <d v="2016-11-23T00:00:00"/>
    <x v="3"/>
  </r>
  <r>
    <x v="1773"/>
    <x v="0"/>
    <n v="42"/>
    <x v="4"/>
    <x v="14"/>
    <x v="1"/>
    <n v="10.1"/>
    <n v="6.1"/>
    <x v="4"/>
    <n v="4"/>
    <x v="0"/>
    <n v="115900"/>
    <n v="12700"/>
    <n v="128600"/>
    <s v="E"/>
    <d v="2015-12-07T00:00:00"/>
    <x v="1"/>
  </r>
  <r>
    <x v="1774"/>
    <x v="0"/>
    <n v="36"/>
    <x v="1"/>
    <x v="3"/>
    <x v="1"/>
    <n v="12.8"/>
    <n v="7.8"/>
    <x v="3"/>
    <n v="2"/>
    <x v="0"/>
    <n v="81800"/>
    <n v="3600"/>
    <n v="85400"/>
    <s v="D"/>
    <d v="2013-03-30T00:00:00"/>
    <x v="1"/>
  </r>
  <r>
    <x v="1775"/>
    <x v="0"/>
    <n v="37"/>
    <x v="4"/>
    <x v="8"/>
    <x v="1"/>
    <n v="8.3000000000000007"/>
    <n v="5.8"/>
    <x v="2"/>
    <n v="3"/>
    <x v="0"/>
    <n v="84300"/>
    <n v="5600"/>
    <n v="89900"/>
    <s v="D"/>
    <d v="2017-09-20T00:00:00"/>
    <x v="1"/>
  </r>
  <r>
    <x v="1776"/>
    <x v="0"/>
    <n v="42"/>
    <x v="1"/>
    <x v="3"/>
    <x v="2"/>
    <n v="13.7"/>
    <n v="8.9"/>
    <x v="3"/>
    <n v="3"/>
    <x v="0"/>
    <n v="96000"/>
    <n v="11200"/>
    <n v="107200"/>
    <s v="D"/>
    <d v="2012-04-20T00:00:00"/>
    <x v="2"/>
  </r>
  <r>
    <x v="1777"/>
    <x v="0"/>
    <n v="42"/>
    <x v="3"/>
    <x v="13"/>
    <x v="1"/>
    <n v="6.6"/>
    <n v="3.1"/>
    <x v="2"/>
    <n v="3"/>
    <x v="0"/>
    <n v="97500"/>
    <n v="6300"/>
    <n v="103800"/>
    <s v="D"/>
    <d v="2019-06-08T00:00:00"/>
    <x v="1"/>
  </r>
  <r>
    <x v="1778"/>
    <x v="0"/>
    <n v="33"/>
    <x v="0"/>
    <x v="2"/>
    <x v="3"/>
    <n v="7.6"/>
    <n v="5.0999999999999996"/>
    <x v="2"/>
    <n v="3"/>
    <x v="0"/>
    <n v="78400"/>
    <n v="4800"/>
    <n v="83200"/>
    <s v="C"/>
    <d v="2018-05-15T00:00:00"/>
    <x v="3"/>
  </r>
  <r>
    <x v="1779"/>
    <x v="1"/>
    <n v="41"/>
    <x v="3"/>
    <x v="5"/>
    <x v="1"/>
    <n v="3.8"/>
    <n v="0.1"/>
    <x v="1"/>
    <n v="2"/>
    <x v="0"/>
    <n v="72200"/>
    <n v="4100"/>
    <n v="76300"/>
    <s v="C"/>
    <d v="2022-03-02T00:00:00"/>
    <x v="1"/>
  </r>
  <r>
    <x v="1780"/>
    <x v="0"/>
    <n v="39"/>
    <x v="0"/>
    <x v="1"/>
    <x v="1"/>
    <n v="8.4"/>
    <n v="3.7"/>
    <x v="2"/>
    <n v="3"/>
    <x v="0"/>
    <n v="84600"/>
    <n v="6000"/>
    <n v="90600"/>
    <s v="D"/>
    <d v="2017-08-06T00:00:00"/>
    <x v="1"/>
  </r>
  <r>
    <x v="1781"/>
    <x v="0"/>
    <n v="27"/>
    <x v="2"/>
    <x v="11"/>
    <x v="1"/>
    <n v="13.3"/>
    <n v="7.8"/>
    <x v="3"/>
    <n v="3"/>
    <x v="2"/>
    <n v="90300"/>
    <n v="8500"/>
    <n v="98800"/>
    <s v="D"/>
    <d v="2012-09-25T00:00:00"/>
    <x v="1"/>
  </r>
  <r>
    <x v="1782"/>
    <x v="0"/>
    <n v="27"/>
    <x v="3"/>
    <x v="13"/>
    <x v="2"/>
    <n v="10.8"/>
    <n v="5"/>
    <x v="4"/>
    <n v="1"/>
    <x v="1"/>
    <n v="71700"/>
    <n v="4800"/>
    <n v="76500"/>
    <s v="C"/>
    <d v="2015-03-10T00:00:00"/>
    <x v="2"/>
  </r>
  <r>
    <x v="1783"/>
    <x v="0"/>
    <n v="32"/>
    <x v="4"/>
    <x v="6"/>
    <x v="2"/>
    <n v="11.4"/>
    <n v="7.1"/>
    <x v="4"/>
    <n v="4"/>
    <x v="0"/>
    <n v="86600"/>
    <n v="4400"/>
    <n v="91000"/>
    <s v="D"/>
    <d v="2014-08-08T00:00:00"/>
    <x v="2"/>
  </r>
  <r>
    <x v="1784"/>
    <x v="0"/>
    <n v="40"/>
    <x v="4"/>
    <x v="6"/>
    <x v="1"/>
    <n v="2.2000000000000002"/>
    <n v="2.2000000000000002"/>
    <x v="0"/>
    <n v="3"/>
    <x v="0"/>
    <n v="74400"/>
    <n v="4300"/>
    <n v="78700"/>
    <s v="C"/>
    <d v="2023-10-16T00:00:00"/>
    <x v="1"/>
  </r>
  <r>
    <x v="1785"/>
    <x v="0"/>
    <n v="34"/>
    <x v="4"/>
    <x v="16"/>
    <x v="2"/>
    <n v="9.1"/>
    <n v="6.4"/>
    <x v="4"/>
    <n v="5"/>
    <x v="0"/>
    <n v="87500"/>
    <n v="6900"/>
    <n v="94400"/>
    <s v="D"/>
    <d v="2016-11-10T00:00:00"/>
    <x v="2"/>
  </r>
  <r>
    <x v="1786"/>
    <x v="0"/>
    <n v="36"/>
    <x v="1"/>
    <x v="7"/>
    <x v="0"/>
    <n v="6.2"/>
    <n v="6.2"/>
    <x v="2"/>
    <n v="3"/>
    <x v="0"/>
    <n v="74300"/>
    <n v="3800"/>
    <n v="78100"/>
    <s v="C"/>
    <d v="2019-10-06T00:00:00"/>
    <x v="0"/>
  </r>
  <r>
    <x v="1787"/>
    <x v="1"/>
    <n v="51"/>
    <x v="1"/>
    <x v="7"/>
    <x v="0"/>
    <n v="5.2"/>
    <n v="2.6"/>
    <x v="1"/>
    <n v="4"/>
    <x v="0"/>
    <n v="78700"/>
    <n v="6300"/>
    <n v="85000"/>
    <s v="C"/>
    <d v="2020-11-03T00:00:00"/>
    <x v="0"/>
  </r>
  <r>
    <x v="1788"/>
    <x v="0"/>
    <n v="21"/>
    <x v="1"/>
    <x v="7"/>
    <x v="1"/>
    <n v="7.3"/>
    <n v="3.2"/>
    <x v="2"/>
    <n v="4"/>
    <x v="0"/>
    <n v="87700"/>
    <n v="10300"/>
    <n v="98000"/>
    <s v="D"/>
    <d v="2018-09-02T00:00:00"/>
    <x v="1"/>
  </r>
  <r>
    <x v="1789"/>
    <x v="1"/>
    <n v="44"/>
    <x v="4"/>
    <x v="16"/>
    <x v="2"/>
    <n v="1.3"/>
    <n v="1.3"/>
    <x v="0"/>
    <n v="4"/>
    <x v="0"/>
    <n v="108400"/>
    <n v="15000"/>
    <n v="123400"/>
    <s v="E"/>
    <d v="2024-10-01T00:00:00"/>
    <x v="2"/>
  </r>
  <r>
    <x v="1790"/>
    <x v="0"/>
    <n v="25"/>
    <x v="3"/>
    <x v="12"/>
    <x v="2"/>
    <n v="2.8"/>
    <n v="0"/>
    <x v="0"/>
    <n v="4"/>
    <x v="0"/>
    <n v="67900"/>
    <n v="5500"/>
    <n v="73400"/>
    <s v="C"/>
    <d v="2023-02-26T00:00:00"/>
    <x v="2"/>
  </r>
  <r>
    <x v="1791"/>
    <x v="1"/>
    <n v="39"/>
    <x v="0"/>
    <x v="1"/>
    <x v="0"/>
    <n v="9.6999999999999993"/>
    <n v="7.5"/>
    <x v="4"/>
    <n v="3"/>
    <x v="0"/>
    <n v="66700"/>
    <n v="8100"/>
    <n v="74800"/>
    <s v="C"/>
    <d v="2016-05-04T00:00:00"/>
    <x v="0"/>
  </r>
  <r>
    <x v="1792"/>
    <x v="0"/>
    <n v="30"/>
    <x v="4"/>
    <x v="16"/>
    <x v="1"/>
    <n v="10.3"/>
    <n v="5.6"/>
    <x v="4"/>
    <n v="2"/>
    <x v="0"/>
    <n v="97700"/>
    <n v="13400"/>
    <n v="111100"/>
    <s v="D"/>
    <d v="2015-09-24T00:00:00"/>
    <x v="1"/>
  </r>
  <r>
    <x v="1793"/>
    <x v="0"/>
    <n v="31"/>
    <x v="2"/>
    <x v="4"/>
    <x v="1"/>
    <n v="2.1"/>
    <n v="1.6"/>
    <x v="0"/>
    <n v="3"/>
    <x v="0"/>
    <n v="71400"/>
    <n v="5900"/>
    <n v="77300"/>
    <s v="C"/>
    <d v="2023-11-27T00:00:00"/>
    <x v="1"/>
  </r>
  <r>
    <x v="1794"/>
    <x v="0"/>
    <n v="34"/>
    <x v="4"/>
    <x v="16"/>
    <x v="2"/>
    <n v="4.4000000000000004"/>
    <n v="1.7"/>
    <x v="1"/>
    <n v="4"/>
    <x v="0"/>
    <n v="108900"/>
    <n v="7500"/>
    <n v="116400"/>
    <s v="E"/>
    <d v="2021-08-24T00:00:00"/>
    <x v="2"/>
  </r>
  <r>
    <x v="1795"/>
    <x v="1"/>
    <n v="32"/>
    <x v="1"/>
    <x v="3"/>
    <x v="1"/>
    <n v="8.4"/>
    <n v="5.5"/>
    <x v="2"/>
    <n v="4"/>
    <x v="0"/>
    <n v="83300"/>
    <n v="4900"/>
    <n v="88200"/>
    <s v="D"/>
    <d v="2017-08-05T00:00:00"/>
    <x v="1"/>
  </r>
  <r>
    <x v="1796"/>
    <x v="0"/>
    <n v="35"/>
    <x v="2"/>
    <x v="4"/>
    <x v="0"/>
    <n v="3.7"/>
    <n v="2.5"/>
    <x v="1"/>
    <n v="3"/>
    <x v="0"/>
    <n v="69600"/>
    <n v="2600"/>
    <n v="72200"/>
    <s v="C"/>
    <d v="2022-04-26T00:00:00"/>
    <x v="0"/>
  </r>
  <r>
    <x v="1797"/>
    <x v="1"/>
    <n v="30"/>
    <x v="2"/>
    <x v="4"/>
    <x v="3"/>
    <n v="7.3"/>
    <n v="6"/>
    <x v="2"/>
    <n v="3"/>
    <x v="0"/>
    <n v="79600"/>
    <n v="6900"/>
    <n v="86500"/>
    <s v="C"/>
    <d v="2018-09-11T00:00:00"/>
    <x v="3"/>
  </r>
  <r>
    <x v="1798"/>
    <x v="1"/>
    <n v="38"/>
    <x v="0"/>
    <x v="0"/>
    <x v="1"/>
    <n v="8.8000000000000007"/>
    <n v="4.9000000000000004"/>
    <x v="2"/>
    <n v="3"/>
    <x v="0"/>
    <n v="109300"/>
    <n v="10900"/>
    <n v="120200"/>
    <s v="E"/>
    <d v="2017-03-15T00:00:00"/>
    <x v="1"/>
  </r>
  <r>
    <x v="1799"/>
    <x v="1"/>
    <n v="35"/>
    <x v="4"/>
    <x v="14"/>
    <x v="2"/>
    <n v="10.6"/>
    <n v="7"/>
    <x v="4"/>
    <n v="4"/>
    <x v="2"/>
    <n v="92000"/>
    <n v="7100"/>
    <n v="99100"/>
    <s v="D"/>
    <d v="2015-05-24T00:00:00"/>
    <x v="2"/>
  </r>
  <r>
    <x v="1800"/>
    <x v="0"/>
    <n v="49"/>
    <x v="4"/>
    <x v="16"/>
    <x v="2"/>
    <n v="9.8000000000000007"/>
    <n v="6.8"/>
    <x v="4"/>
    <n v="1"/>
    <x v="0"/>
    <n v="85500"/>
    <n v="4900"/>
    <n v="90400"/>
    <s v="D"/>
    <d v="2016-03-16T00:00:00"/>
    <x v="2"/>
  </r>
  <r>
    <x v="1801"/>
    <x v="1"/>
    <n v="36"/>
    <x v="5"/>
    <x v="15"/>
    <x v="0"/>
    <n v="2.9"/>
    <n v="0.7"/>
    <x v="0"/>
    <n v="3"/>
    <x v="0"/>
    <n v="41800"/>
    <n v="5100"/>
    <n v="46900"/>
    <s v="A"/>
    <d v="2023-01-21T00:00:00"/>
    <x v="0"/>
  </r>
  <r>
    <x v="1802"/>
    <x v="1"/>
    <n v="24"/>
    <x v="1"/>
    <x v="7"/>
    <x v="1"/>
    <n v="13"/>
    <n v="8.6"/>
    <x v="3"/>
    <n v="2"/>
    <x v="0"/>
    <n v="80800"/>
    <n v="8700"/>
    <n v="89500"/>
    <s v="D"/>
    <d v="2012-12-16T00:00:00"/>
    <x v="1"/>
  </r>
  <r>
    <x v="1803"/>
    <x v="0"/>
    <n v="41"/>
    <x v="1"/>
    <x v="7"/>
    <x v="2"/>
    <n v="8.9"/>
    <n v="5.6"/>
    <x v="2"/>
    <n v="3"/>
    <x v="2"/>
    <n v="70300"/>
    <n v="3100"/>
    <n v="73400"/>
    <s v="C"/>
    <d v="2017-01-30T00:00:00"/>
    <x v="2"/>
  </r>
  <r>
    <x v="1804"/>
    <x v="0"/>
    <n v="30"/>
    <x v="4"/>
    <x v="8"/>
    <x v="1"/>
    <n v="4.9000000000000004"/>
    <n v="3.6"/>
    <x v="1"/>
    <n v="3"/>
    <x v="0"/>
    <n v="77200"/>
    <n v="5500"/>
    <n v="82700"/>
    <s v="C"/>
    <d v="2021-01-28T00:00:00"/>
    <x v="1"/>
  </r>
  <r>
    <x v="1805"/>
    <x v="1"/>
    <n v="26"/>
    <x v="4"/>
    <x v="16"/>
    <x v="1"/>
    <n v="3.9"/>
    <n v="3.9"/>
    <x v="1"/>
    <n v="3"/>
    <x v="0"/>
    <n v="80500"/>
    <n v="7900"/>
    <n v="88400"/>
    <s v="D"/>
    <d v="2022-02-21T00:00:00"/>
    <x v="1"/>
  </r>
  <r>
    <x v="1806"/>
    <x v="0"/>
    <n v="40"/>
    <x v="4"/>
    <x v="16"/>
    <x v="1"/>
    <n v="13.3"/>
    <n v="9.3000000000000007"/>
    <x v="3"/>
    <n v="3"/>
    <x v="0"/>
    <n v="101200"/>
    <n v="15000"/>
    <n v="116200"/>
    <s v="E"/>
    <d v="2012-09-11T00:00:00"/>
    <x v="1"/>
  </r>
  <r>
    <x v="1807"/>
    <x v="0"/>
    <n v="27"/>
    <x v="1"/>
    <x v="10"/>
    <x v="2"/>
    <n v="8.4"/>
    <n v="5.5"/>
    <x v="2"/>
    <n v="2"/>
    <x v="0"/>
    <n v="121400"/>
    <n v="6300"/>
    <n v="127700"/>
    <s v="E"/>
    <d v="2017-08-19T00:00:00"/>
    <x v="2"/>
  </r>
  <r>
    <x v="1808"/>
    <x v="1"/>
    <n v="35"/>
    <x v="5"/>
    <x v="17"/>
    <x v="2"/>
    <n v="1.2"/>
    <n v="0.2"/>
    <x v="0"/>
    <n v="3"/>
    <x v="0"/>
    <n v="89900"/>
    <n v="9500"/>
    <n v="99400"/>
    <s v="D"/>
    <d v="2024-10-25T00:00:00"/>
    <x v="2"/>
  </r>
  <r>
    <x v="1809"/>
    <x v="0"/>
    <n v="39"/>
    <x v="5"/>
    <x v="17"/>
    <x v="2"/>
    <n v="11.3"/>
    <n v="7"/>
    <x v="4"/>
    <n v="3"/>
    <x v="0"/>
    <n v="101800"/>
    <n v="17900"/>
    <n v="119700"/>
    <s v="E"/>
    <d v="2014-08-28T00:00:00"/>
    <x v="2"/>
  </r>
  <r>
    <x v="1810"/>
    <x v="0"/>
    <n v="33"/>
    <x v="1"/>
    <x v="7"/>
    <x v="1"/>
    <n v="8.3000000000000007"/>
    <n v="4.9000000000000004"/>
    <x v="2"/>
    <n v="4"/>
    <x v="0"/>
    <n v="89000"/>
    <n v="4000"/>
    <n v="93000"/>
    <s v="D"/>
    <d v="2017-08-27T00:00:00"/>
    <x v="1"/>
  </r>
  <r>
    <x v="1811"/>
    <x v="0"/>
    <n v="34"/>
    <x v="0"/>
    <x v="2"/>
    <x v="2"/>
    <n v="6.8"/>
    <n v="6.8"/>
    <x v="2"/>
    <n v="3"/>
    <x v="1"/>
    <n v="49200"/>
    <n v="2900"/>
    <n v="52100"/>
    <s v="A"/>
    <d v="2019-03-24T00:00:00"/>
    <x v="2"/>
  </r>
  <r>
    <x v="1812"/>
    <x v="0"/>
    <n v="51"/>
    <x v="4"/>
    <x v="8"/>
    <x v="1"/>
    <n v="4.9000000000000004"/>
    <n v="2.7"/>
    <x v="1"/>
    <n v="2"/>
    <x v="0"/>
    <n v="80600"/>
    <n v="7100"/>
    <n v="87700"/>
    <s v="D"/>
    <d v="2021-01-23T00:00:00"/>
    <x v="1"/>
  </r>
  <r>
    <x v="1813"/>
    <x v="1"/>
    <n v="21"/>
    <x v="0"/>
    <x v="2"/>
    <x v="1"/>
    <n v="1.5"/>
    <n v="1.5"/>
    <x v="0"/>
    <n v="3"/>
    <x v="0"/>
    <n v="56400"/>
    <n v="5200"/>
    <n v="61600"/>
    <s v="B"/>
    <d v="2024-06-26T00:00:00"/>
    <x v="1"/>
  </r>
  <r>
    <x v="1814"/>
    <x v="0"/>
    <n v="21"/>
    <x v="1"/>
    <x v="7"/>
    <x v="1"/>
    <n v="7.3"/>
    <n v="4.8"/>
    <x v="2"/>
    <n v="4"/>
    <x v="0"/>
    <n v="76200"/>
    <n v="7300"/>
    <n v="83500"/>
    <s v="C"/>
    <d v="2018-09-06T00:00:00"/>
    <x v="1"/>
  </r>
  <r>
    <x v="1815"/>
    <x v="0"/>
    <n v="32"/>
    <x v="2"/>
    <x v="4"/>
    <x v="2"/>
    <n v="6.1"/>
    <n v="2.1"/>
    <x v="2"/>
    <n v="5"/>
    <x v="0"/>
    <n v="92200"/>
    <n v="9400"/>
    <n v="101600"/>
    <s v="D"/>
    <d v="2019-12-04T00:00:00"/>
    <x v="2"/>
  </r>
  <r>
    <x v="1816"/>
    <x v="0"/>
    <n v="21"/>
    <x v="5"/>
    <x v="9"/>
    <x v="2"/>
    <n v="2.2999999999999998"/>
    <n v="0.4"/>
    <x v="0"/>
    <n v="1"/>
    <x v="0"/>
    <n v="90900"/>
    <n v="17300"/>
    <n v="108200"/>
    <s v="D"/>
    <d v="2023-09-04T00:00:00"/>
    <x v="2"/>
  </r>
  <r>
    <x v="1817"/>
    <x v="1"/>
    <n v="35"/>
    <x v="2"/>
    <x v="4"/>
    <x v="1"/>
    <n v="3.2"/>
    <n v="2.5"/>
    <x v="1"/>
    <n v="2"/>
    <x v="0"/>
    <n v="66400"/>
    <n v="5700"/>
    <n v="72100"/>
    <s v="C"/>
    <d v="2022-10-05T00:00:00"/>
    <x v="1"/>
  </r>
  <r>
    <x v="1818"/>
    <x v="0"/>
    <n v="38"/>
    <x v="0"/>
    <x v="0"/>
    <x v="1"/>
    <n v="2"/>
    <n v="0.3"/>
    <x v="0"/>
    <n v="3"/>
    <x v="0"/>
    <n v="92400"/>
    <n v="11900"/>
    <n v="104300"/>
    <s v="D"/>
    <d v="2023-12-31T00:00:00"/>
    <x v="1"/>
  </r>
  <r>
    <x v="1819"/>
    <x v="0"/>
    <n v="40"/>
    <x v="5"/>
    <x v="9"/>
    <x v="1"/>
    <n v="12.4"/>
    <n v="7.2"/>
    <x v="3"/>
    <n v="3"/>
    <x v="0"/>
    <n v="121600"/>
    <n v="21400"/>
    <n v="143000"/>
    <s v="E"/>
    <d v="2013-08-14T00:00:00"/>
    <x v="1"/>
  </r>
  <r>
    <x v="1820"/>
    <x v="1"/>
    <n v="41"/>
    <x v="2"/>
    <x v="11"/>
    <x v="1"/>
    <n v="10.9"/>
    <n v="6.5"/>
    <x v="4"/>
    <n v="3"/>
    <x v="0"/>
    <n v="100000"/>
    <n v="9000"/>
    <n v="109000"/>
    <s v="E"/>
    <d v="2015-02-04T00:00:00"/>
    <x v="1"/>
  </r>
  <r>
    <x v="1821"/>
    <x v="1"/>
    <n v="42"/>
    <x v="4"/>
    <x v="14"/>
    <x v="2"/>
    <n v="3.9"/>
    <n v="3.9"/>
    <x v="1"/>
    <n v="4"/>
    <x v="0"/>
    <n v="111600"/>
    <n v="12500"/>
    <n v="124100"/>
    <s v="E"/>
    <d v="2022-02-04T00:00:00"/>
    <x v="2"/>
  </r>
  <r>
    <x v="1822"/>
    <x v="0"/>
    <n v="39"/>
    <x v="0"/>
    <x v="2"/>
    <x v="2"/>
    <n v="13.6"/>
    <n v="8.6"/>
    <x v="3"/>
    <n v="3"/>
    <x v="0"/>
    <n v="73500"/>
    <n v="9400"/>
    <n v="82900"/>
    <s v="C"/>
    <d v="2012-05-20T00:00:00"/>
    <x v="2"/>
  </r>
  <r>
    <x v="1823"/>
    <x v="1"/>
    <n v="39"/>
    <x v="0"/>
    <x v="2"/>
    <x v="0"/>
    <n v="13.2"/>
    <n v="7.8"/>
    <x v="3"/>
    <n v="3"/>
    <x v="0"/>
    <n v="62900"/>
    <n v="4900"/>
    <n v="67800"/>
    <s v="B"/>
    <d v="2012-10-10T00:00:00"/>
    <x v="0"/>
  </r>
  <r>
    <x v="1824"/>
    <x v="0"/>
    <n v="44"/>
    <x v="0"/>
    <x v="0"/>
    <x v="2"/>
    <n v="3.8"/>
    <n v="3.3"/>
    <x v="1"/>
    <n v="3"/>
    <x v="0"/>
    <n v="96300"/>
    <n v="9900"/>
    <n v="106200"/>
    <s v="D"/>
    <d v="2022-02-28T00:00:00"/>
    <x v="2"/>
  </r>
  <r>
    <x v="1825"/>
    <x v="1"/>
    <n v="41"/>
    <x v="2"/>
    <x v="4"/>
    <x v="0"/>
    <n v="13.3"/>
    <n v="9"/>
    <x v="3"/>
    <n v="2"/>
    <x v="0"/>
    <n v="85000"/>
    <n v="5000"/>
    <n v="90000"/>
    <s v="D"/>
    <d v="2012-09-09T00:00:00"/>
    <x v="0"/>
  </r>
  <r>
    <x v="1826"/>
    <x v="1"/>
    <n v="43"/>
    <x v="2"/>
    <x v="18"/>
    <x v="0"/>
    <n v="3.7"/>
    <n v="2"/>
    <x v="1"/>
    <n v="3"/>
    <x v="0"/>
    <n v="68600"/>
    <n v="2700"/>
    <n v="71300"/>
    <s v="C"/>
    <d v="2022-04-04T00:00:00"/>
    <x v="0"/>
  </r>
  <r>
    <x v="1827"/>
    <x v="1"/>
    <n v="30"/>
    <x v="3"/>
    <x v="5"/>
    <x v="0"/>
    <n v="13.3"/>
    <n v="9.8000000000000007"/>
    <x v="3"/>
    <n v="3"/>
    <x v="0"/>
    <n v="74500"/>
    <n v="5700"/>
    <n v="80200"/>
    <s v="C"/>
    <d v="2012-09-02T00:00:00"/>
    <x v="0"/>
  </r>
  <r>
    <x v="1828"/>
    <x v="1"/>
    <n v="35"/>
    <x v="2"/>
    <x v="18"/>
    <x v="2"/>
    <n v="7.3"/>
    <n v="4.2"/>
    <x v="2"/>
    <n v="4"/>
    <x v="0"/>
    <n v="68900"/>
    <n v="4200"/>
    <n v="73100"/>
    <s v="C"/>
    <d v="2018-09-25T00:00:00"/>
    <x v="2"/>
  </r>
  <r>
    <x v="1829"/>
    <x v="0"/>
    <n v="44"/>
    <x v="1"/>
    <x v="7"/>
    <x v="0"/>
    <n v="6.8"/>
    <n v="6.1"/>
    <x v="2"/>
    <n v="3"/>
    <x v="0"/>
    <n v="76700"/>
    <n v="7500"/>
    <n v="84200"/>
    <s v="C"/>
    <d v="2019-03-06T00:00:00"/>
    <x v="0"/>
  </r>
  <r>
    <x v="1830"/>
    <x v="0"/>
    <n v="32"/>
    <x v="5"/>
    <x v="17"/>
    <x v="1"/>
    <n v="4.7"/>
    <n v="2.1"/>
    <x v="1"/>
    <n v="2"/>
    <x v="0"/>
    <n v="97800"/>
    <n v="14200"/>
    <n v="112000"/>
    <s v="D"/>
    <d v="2021-04-26T00:00:00"/>
    <x v="1"/>
  </r>
  <r>
    <x v="1831"/>
    <x v="0"/>
    <n v="41"/>
    <x v="0"/>
    <x v="1"/>
    <x v="1"/>
    <n v="7.6"/>
    <n v="5.7"/>
    <x v="2"/>
    <n v="3"/>
    <x v="0"/>
    <n v="80800"/>
    <n v="7200"/>
    <n v="88000"/>
    <s v="D"/>
    <d v="2018-06-12T00:00:00"/>
    <x v="1"/>
  </r>
  <r>
    <x v="1832"/>
    <x v="0"/>
    <n v="30"/>
    <x v="5"/>
    <x v="9"/>
    <x v="2"/>
    <n v="9.3000000000000007"/>
    <n v="7.1"/>
    <x v="4"/>
    <n v="5"/>
    <x v="0"/>
    <n v="121500"/>
    <n v="19700"/>
    <n v="141200"/>
    <s v="E"/>
    <d v="2016-09-30T00:00:00"/>
    <x v="2"/>
  </r>
  <r>
    <x v="1833"/>
    <x v="1"/>
    <n v="32"/>
    <x v="5"/>
    <x v="15"/>
    <x v="1"/>
    <n v="7.9"/>
    <n v="2.8"/>
    <x v="2"/>
    <n v="3"/>
    <x v="0"/>
    <n v="54900"/>
    <n v="6500"/>
    <n v="61400"/>
    <s v="B"/>
    <d v="2018-02-21T00:00:00"/>
    <x v="1"/>
  </r>
  <r>
    <x v="1834"/>
    <x v="1"/>
    <n v="24"/>
    <x v="2"/>
    <x v="4"/>
    <x v="1"/>
    <n v="3.4"/>
    <n v="1.3"/>
    <x v="1"/>
    <n v="2"/>
    <x v="0"/>
    <n v="75900"/>
    <n v="5900"/>
    <n v="81800"/>
    <s v="C"/>
    <d v="2022-08-08T00:00:00"/>
    <x v="1"/>
  </r>
  <r>
    <x v="1835"/>
    <x v="1"/>
    <n v="27"/>
    <x v="4"/>
    <x v="6"/>
    <x v="2"/>
    <n v="2.5"/>
    <n v="2.2000000000000002"/>
    <x v="0"/>
    <n v="3"/>
    <x v="0"/>
    <n v="67700"/>
    <n v="3400"/>
    <n v="71100"/>
    <s v="C"/>
    <d v="2023-06-16T00:00:00"/>
    <x v="2"/>
  </r>
  <r>
    <x v="1836"/>
    <x v="1"/>
    <n v="36"/>
    <x v="0"/>
    <x v="2"/>
    <x v="1"/>
    <n v="3.8"/>
    <n v="3.3"/>
    <x v="1"/>
    <n v="4"/>
    <x v="0"/>
    <n v="62100"/>
    <n v="4300"/>
    <n v="66400"/>
    <s v="B"/>
    <d v="2022-03-03T00:00:00"/>
    <x v="1"/>
  </r>
  <r>
    <x v="1837"/>
    <x v="1"/>
    <n v="44"/>
    <x v="5"/>
    <x v="17"/>
    <x v="1"/>
    <n v="3.1"/>
    <n v="2"/>
    <x v="1"/>
    <n v="4"/>
    <x v="0"/>
    <n v="114200"/>
    <n v="15400"/>
    <n v="129600"/>
    <s v="E"/>
    <d v="2022-12-06T00:00:00"/>
    <x v="1"/>
  </r>
  <r>
    <x v="1838"/>
    <x v="1"/>
    <n v="36"/>
    <x v="0"/>
    <x v="1"/>
    <x v="0"/>
    <n v="5.5"/>
    <n v="4.5999999999999996"/>
    <x v="1"/>
    <n v="4"/>
    <x v="0"/>
    <n v="72100"/>
    <n v="5000"/>
    <n v="77100"/>
    <s v="C"/>
    <d v="2020-06-30T00:00:00"/>
    <x v="0"/>
  </r>
  <r>
    <x v="1839"/>
    <x v="1"/>
    <n v="48"/>
    <x v="3"/>
    <x v="5"/>
    <x v="2"/>
    <n v="12.9"/>
    <n v="8.1999999999999993"/>
    <x v="3"/>
    <n v="3"/>
    <x v="0"/>
    <n v="85700"/>
    <n v="6100"/>
    <n v="91800"/>
    <s v="D"/>
    <d v="2013-02-01T00:00:00"/>
    <x v="2"/>
  </r>
  <r>
    <x v="1840"/>
    <x v="1"/>
    <n v="46"/>
    <x v="3"/>
    <x v="13"/>
    <x v="3"/>
    <n v="8.6999999999999993"/>
    <n v="7.7"/>
    <x v="2"/>
    <n v="4"/>
    <x v="0"/>
    <n v="104800"/>
    <n v="5800"/>
    <n v="110600"/>
    <s v="E"/>
    <d v="2017-05-04T00:00:00"/>
    <x v="3"/>
  </r>
  <r>
    <x v="1841"/>
    <x v="0"/>
    <n v="40"/>
    <x v="2"/>
    <x v="11"/>
    <x v="1"/>
    <n v="9.3000000000000007"/>
    <n v="4.7"/>
    <x v="4"/>
    <n v="5"/>
    <x v="2"/>
    <n v="86000"/>
    <n v="8200"/>
    <n v="94200"/>
    <s v="D"/>
    <d v="2016-08-29T00:00:00"/>
    <x v="1"/>
  </r>
  <r>
    <x v="1842"/>
    <x v="1"/>
    <n v="40"/>
    <x v="2"/>
    <x v="4"/>
    <x v="1"/>
    <n v="3.3"/>
    <n v="2.2999999999999998"/>
    <x v="1"/>
    <n v="3"/>
    <x v="1"/>
    <n v="40900"/>
    <n v="3600"/>
    <n v="44500"/>
    <s v="A"/>
    <d v="2022-09-27T00:00:00"/>
    <x v="1"/>
  </r>
  <r>
    <x v="1843"/>
    <x v="0"/>
    <n v="42"/>
    <x v="3"/>
    <x v="5"/>
    <x v="0"/>
    <n v="5.4"/>
    <n v="5"/>
    <x v="1"/>
    <n v="2"/>
    <x v="2"/>
    <n v="57300"/>
    <n v="3800"/>
    <n v="61100"/>
    <s v="B"/>
    <d v="2020-07-24T00:00:00"/>
    <x v="0"/>
  </r>
  <r>
    <x v="1844"/>
    <x v="0"/>
    <n v="25"/>
    <x v="0"/>
    <x v="2"/>
    <x v="2"/>
    <n v="13.8"/>
    <n v="7.2"/>
    <x v="3"/>
    <n v="3"/>
    <x v="1"/>
    <n v="47600"/>
    <n v="3900"/>
    <n v="51500"/>
    <s v="A"/>
    <d v="2012-03-31T00:00:00"/>
    <x v="2"/>
  </r>
  <r>
    <x v="1845"/>
    <x v="1"/>
    <n v="33"/>
    <x v="3"/>
    <x v="5"/>
    <x v="2"/>
    <n v="8.3000000000000007"/>
    <n v="6.1"/>
    <x v="2"/>
    <n v="4"/>
    <x v="0"/>
    <n v="80400"/>
    <n v="3800"/>
    <n v="84200"/>
    <s v="D"/>
    <d v="2017-09-20T00:00:00"/>
    <x v="2"/>
  </r>
  <r>
    <x v="1846"/>
    <x v="1"/>
    <n v="32"/>
    <x v="5"/>
    <x v="15"/>
    <x v="1"/>
    <n v="6.2"/>
    <n v="4.8"/>
    <x v="2"/>
    <n v="2"/>
    <x v="0"/>
    <n v="61700"/>
    <n v="5500"/>
    <n v="67200"/>
    <s v="B"/>
    <d v="2019-11-03T00:00:00"/>
    <x v="1"/>
  </r>
  <r>
    <x v="1847"/>
    <x v="1"/>
    <n v="29"/>
    <x v="2"/>
    <x v="18"/>
    <x v="2"/>
    <n v="6.1"/>
    <n v="6.1"/>
    <x v="2"/>
    <n v="3"/>
    <x v="0"/>
    <n v="74200"/>
    <n v="6100"/>
    <n v="80300"/>
    <s v="C"/>
    <d v="2019-12-14T00:00:00"/>
    <x v="2"/>
  </r>
  <r>
    <x v="1848"/>
    <x v="0"/>
    <n v="45"/>
    <x v="2"/>
    <x v="18"/>
    <x v="1"/>
    <n v="12.7"/>
    <n v="7"/>
    <x v="3"/>
    <n v="4"/>
    <x v="0"/>
    <n v="82100"/>
    <n v="3300"/>
    <n v="85400"/>
    <s v="D"/>
    <d v="2013-04-19T00:00:00"/>
    <x v="1"/>
  </r>
  <r>
    <x v="1849"/>
    <x v="0"/>
    <n v="28"/>
    <x v="2"/>
    <x v="11"/>
    <x v="1"/>
    <n v="6"/>
    <n v="2.1"/>
    <x v="2"/>
    <n v="2"/>
    <x v="0"/>
    <n v="95500"/>
    <n v="8500"/>
    <n v="104000"/>
    <s v="D"/>
    <d v="2020-01-14T00:00:00"/>
    <x v="1"/>
  </r>
  <r>
    <x v="1850"/>
    <x v="0"/>
    <n v="25"/>
    <x v="4"/>
    <x v="6"/>
    <x v="0"/>
    <n v="13.4"/>
    <n v="9.3000000000000007"/>
    <x v="3"/>
    <n v="3"/>
    <x v="0"/>
    <n v="80600"/>
    <n v="6100"/>
    <n v="86700"/>
    <s v="D"/>
    <d v="2012-08-16T00:00:00"/>
    <x v="0"/>
  </r>
  <r>
    <x v="1851"/>
    <x v="0"/>
    <n v="33"/>
    <x v="2"/>
    <x v="4"/>
    <x v="2"/>
    <n v="8.5"/>
    <n v="5"/>
    <x v="2"/>
    <n v="2"/>
    <x v="0"/>
    <n v="84900"/>
    <n v="3200"/>
    <n v="88100"/>
    <s v="D"/>
    <d v="2017-06-24T00:00:00"/>
    <x v="2"/>
  </r>
  <r>
    <x v="1852"/>
    <x v="0"/>
    <n v="38"/>
    <x v="0"/>
    <x v="0"/>
    <x v="3"/>
    <n v="7.1"/>
    <n v="4.0999999999999996"/>
    <x v="2"/>
    <n v="3"/>
    <x v="1"/>
    <n v="71300"/>
    <n v="6800"/>
    <n v="78100"/>
    <s v="C"/>
    <d v="2018-12-10T00:00:00"/>
    <x v="3"/>
  </r>
  <r>
    <x v="1853"/>
    <x v="1"/>
    <n v="32"/>
    <x v="1"/>
    <x v="7"/>
    <x v="3"/>
    <n v="2.9"/>
    <n v="1.1000000000000001"/>
    <x v="0"/>
    <n v="3"/>
    <x v="0"/>
    <n v="79400"/>
    <n v="9300"/>
    <n v="88700"/>
    <s v="C"/>
    <d v="2023-02-06T00:00:00"/>
    <x v="3"/>
  </r>
  <r>
    <x v="1854"/>
    <x v="0"/>
    <n v="42"/>
    <x v="1"/>
    <x v="7"/>
    <x v="3"/>
    <n v="8.4"/>
    <m/>
    <x v="2"/>
    <n v="4"/>
    <x v="0"/>
    <n v="92100"/>
    <n v="10300"/>
    <n v="102400"/>
    <s v="D"/>
    <d v="2017-07-29T00:00:00"/>
    <x v="3"/>
  </r>
  <r>
    <x v="1855"/>
    <x v="1"/>
    <n v="33"/>
    <x v="5"/>
    <x v="9"/>
    <x v="1"/>
    <n v="10"/>
    <n v="7.4"/>
    <x v="4"/>
    <n v="3"/>
    <x v="0"/>
    <n v="102000"/>
    <n v="9000"/>
    <n v="111000"/>
    <s v="E"/>
    <d v="2016-01-13T00:00:00"/>
    <x v="1"/>
  </r>
  <r>
    <x v="1856"/>
    <x v="1"/>
    <n v="33"/>
    <x v="1"/>
    <x v="7"/>
    <x v="0"/>
    <n v="6.1"/>
    <n v="5.8"/>
    <x v="2"/>
    <n v="4"/>
    <x v="0"/>
    <n v="74000"/>
    <n v="7600"/>
    <n v="81600"/>
    <s v="C"/>
    <d v="2019-11-20T00:00:00"/>
    <x v="0"/>
  </r>
  <r>
    <x v="1857"/>
    <x v="0"/>
    <n v="50"/>
    <x v="2"/>
    <x v="4"/>
    <x v="1"/>
    <n v="3.2"/>
    <n v="2.2999999999999998"/>
    <x v="1"/>
    <n v="4"/>
    <x v="1"/>
    <n v="48600"/>
    <n v="2300"/>
    <n v="50900"/>
    <s v="A"/>
    <d v="2022-10-03T00:00:00"/>
    <x v="1"/>
  </r>
  <r>
    <x v="1858"/>
    <x v="1"/>
    <n v="31"/>
    <x v="5"/>
    <x v="15"/>
    <x v="0"/>
    <n v="3.9"/>
    <n v="0.4"/>
    <x v="1"/>
    <n v="4"/>
    <x v="0"/>
    <n v="53500"/>
    <n v="4000"/>
    <n v="57500"/>
    <s v="B"/>
    <d v="2022-01-31T00:00:00"/>
    <x v="0"/>
  </r>
  <r>
    <x v="1859"/>
    <x v="1"/>
    <n v="43"/>
    <x v="4"/>
    <x v="8"/>
    <x v="1"/>
    <n v="8.4"/>
    <n v="7.9"/>
    <x v="2"/>
    <n v="4"/>
    <x v="1"/>
    <n v="50800"/>
    <n v="3300"/>
    <n v="54100"/>
    <s v="B"/>
    <d v="2017-07-23T00:00:00"/>
    <x v="1"/>
  </r>
  <r>
    <x v="1860"/>
    <x v="1"/>
    <n v="30"/>
    <x v="4"/>
    <x v="14"/>
    <x v="0"/>
    <n v="7.2"/>
    <n v="5.4"/>
    <x v="2"/>
    <n v="4"/>
    <x v="0"/>
    <n v="100600"/>
    <n v="14300"/>
    <n v="114900"/>
    <s v="E"/>
    <d v="2018-10-09T00:00:00"/>
    <x v="0"/>
  </r>
  <r>
    <x v="1861"/>
    <x v="1"/>
    <n v="38"/>
    <x v="3"/>
    <x v="13"/>
    <x v="2"/>
    <n v="13.8"/>
    <n v="11.4"/>
    <x v="3"/>
    <n v="4"/>
    <x v="0"/>
    <n v="119400"/>
    <n v="10700"/>
    <n v="130100"/>
    <s v="E"/>
    <d v="2012-03-17T00:00:00"/>
    <x v="2"/>
  </r>
  <r>
    <x v="1862"/>
    <x v="1"/>
    <n v="34"/>
    <x v="5"/>
    <x v="15"/>
    <x v="0"/>
    <n v="13.2"/>
    <n v="8.1999999999999993"/>
    <x v="3"/>
    <n v="3"/>
    <x v="0"/>
    <n v="75800"/>
    <n v="14300"/>
    <n v="90100"/>
    <s v="C"/>
    <d v="2012-10-15T00:00:00"/>
    <x v="0"/>
  </r>
  <r>
    <x v="1863"/>
    <x v="0"/>
    <n v="21"/>
    <x v="3"/>
    <x v="13"/>
    <x v="2"/>
    <n v="7.7"/>
    <n v="4.5"/>
    <x v="2"/>
    <n v="3"/>
    <x v="0"/>
    <n v="118200"/>
    <n v="7500"/>
    <n v="125700"/>
    <s v="E"/>
    <d v="2018-05-02T00:00:00"/>
    <x v="2"/>
  </r>
  <r>
    <x v="1864"/>
    <x v="0"/>
    <n v="43"/>
    <x v="2"/>
    <x v="11"/>
    <x v="2"/>
    <n v="3.4"/>
    <n v="1.7"/>
    <x v="1"/>
    <n v="3"/>
    <x v="0"/>
    <n v="91600"/>
    <n v="7300"/>
    <n v="98900"/>
    <s v="D"/>
    <d v="2022-08-06T00:00:00"/>
    <x v="2"/>
  </r>
  <r>
    <x v="1865"/>
    <x v="0"/>
    <n v="36"/>
    <x v="2"/>
    <x v="4"/>
    <x v="1"/>
    <n v="8.6"/>
    <n v="6.3"/>
    <x v="2"/>
    <n v="4"/>
    <x v="0"/>
    <n v="83100"/>
    <n v="5700"/>
    <n v="88800"/>
    <s v="D"/>
    <d v="2017-06-08T00:00:00"/>
    <x v="1"/>
  </r>
  <r>
    <x v="1866"/>
    <x v="1"/>
    <n v="38"/>
    <x v="2"/>
    <x v="18"/>
    <x v="1"/>
    <n v="1.9"/>
    <n v="1.9"/>
    <x v="0"/>
    <n v="3"/>
    <x v="0"/>
    <n v="65900"/>
    <n v="4200"/>
    <n v="70100"/>
    <s v="C"/>
    <d v="2024-01-24T00:00:00"/>
    <x v="1"/>
  </r>
  <r>
    <x v="1867"/>
    <x v="1"/>
    <n v="38"/>
    <x v="5"/>
    <x v="15"/>
    <x v="1"/>
    <n v="12.1"/>
    <n v="7.8"/>
    <x v="3"/>
    <n v="4"/>
    <x v="0"/>
    <n v="64400"/>
    <n v="12900"/>
    <n v="77300"/>
    <s v="B"/>
    <d v="2013-11-23T00:00:00"/>
    <x v="1"/>
  </r>
  <r>
    <x v="1868"/>
    <x v="1"/>
    <n v="40"/>
    <x v="5"/>
    <x v="15"/>
    <x v="3"/>
    <n v="13.3"/>
    <n v="4.8"/>
    <x v="3"/>
    <n v="3"/>
    <x v="0"/>
    <n v="72200"/>
    <n v="13500"/>
    <n v="85700"/>
    <s v="C"/>
    <d v="2012-09-30T00:00:00"/>
    <x v="3"/>
  </r>
  <r>
    <x v="1869"/>
    <x v="1"/>
    <n v="30"/>
    <x v="5"/>
    <x v="9"/>
    <x v="2"/>
    <n v="11.8"/>
    <n v="6.7"/>
    <x v="4"/>
    <n v="2"/>
    <x v="0"/>
    <n v="105300"/>
    <n v="10100"/>
    <n v="115400"/>
    <s v="E"/>
    <d v="2014-03-31T00:00:00"/>
    <x v="2"/>
  </r>
  <r>
    <x v="1870"/>
    <x v="1"/>
    <n v="32"/>
    <x v="3"/>
    <x v="13"/>
    <x v="1"/>
    <n v="2.2999999999999998"/>
    <n v="2.2999999999999998"/>
    <x v="0"/>
    <n v="3"/>
    <x v="0"/>
    <n v="96100"/>
    <n v="4300"/>
    <n v="100400"/>
    <s v="D"/>
    <d v="2023-10-01T00:00:00"/>
    <x v="1"/>
  </r>
  <r>
    <x v="1871"/>
    <x v="0"/>
    <n v="51"/>
    <x v="2"/>
    <x v="4"/>
    <x v="1"/>
    <n v="4.5999999999999996"/>
    <n v="4.5999999999999996"/>
    <x v="1"/>
    <n v="2"/>
    <x v="0"/>
    <n v="69500"/>
    <n v="5000"/>
    <n v="74500"/>
    <s v="C"/>
    <d v="2021-05-20T00:00:00"/>
    <x v="1"/>
  </r>
  <r>
    <x v="1872"/>
    <x v="1"/>
    <n v="46"/>
    <x v="4"/>
    <x v="8"/>
    <x v="1"/>
    <n v="12.6"/>
    <n v="8.5"/>
    <x v="3"/>
    <n v="2"/>
    <x v="0"/>
    <n v="80200"/>
    <n v="6400"/>
    <n v="86600"/>
    <s v="D"/>
    <d v="2013-06-06T00:00:00"/>
    <x v="1"/>
  </r>
  <r>
    <x v="1873"/>
    <x v="0"/>
    <n v="31"/>
    <x v="0"/>
    <x v="0"/>
    <x v="0"/>
    <n v="2.5"/>
    <n v="2.2000000000000002"/>
    <x v="0"/>
    <n v="3"/>
    <x v="0"/>
    <n v="87400"/>
    <n v="9200"/>
    <n v="96600"/>
    <s v="D"/>
    <d v="2023-07-18T00:00:00"/>
    <x v="0"/>
  </r>
  <r>
    <x v="1874"/>
    <x v="1"/>
    <n v="21"/>
    <x v="5"/>
    <x v="9"/>
    <x v="1"/>
    <n v="12.7"/>
    <n v="8.1"/>
    <x v="3"/>
    <n v="3"/>
    <x v="0"/>
    <n v="118500"/>
    <n v="16100"/>
    <n v="134600"/>
    <s v="E"/>
    <d v="2013-04-21T00:00:00"/>
    <x v="1"/>
  </r>
  <r>
    <x v="1875"/>
    <x v="1"/>
    <n v="38"/>
    <x v="0"/>
    <x v="1"/>
    <x v="2"/>
    <n v="5.9"/>
    <n v="3.5"/>
    <x v="1"/>
    <n v="3"/>
    <x v="0"/>
    <n v="73300"/>
    <n v="5800"/>
    <n v="79100"/>
    <s v="C"/>
    <d v="2020-02-02T00:00:00"/>
    <x v="2"/>
  </r>
  <r>
    <x v="1876"/>
    <x v="1"/>
    <n v="26"/>
    <x v="0"/>
    <x v="0"/>
    <x v="2"/>
    <n v="1.3"/>
    <n v="1"/>
    <x v="0"/>
    <n v="4"/>
    <x v="0"/>
    <n v="108600"/>
    <n v="8300"/>
    <n v="116900"/>
    <s v="E"/>
    <d v="2024-09-25T00:00:00"/>
    <x v="2"/>
  </r>
  <r>
    <x v="1877"/>
    <x v="0"/>
    <n v="35"/>
    <x v="4"/>
    <x v="8"/>
    <x v="2"/>
    <n v="2.9"/>
    <n v="2.1"/>
    <x v="0"/>
    <n v="3"/>
    <x v="1"/>
    <n v="54200"/>
    <n v="7200"/>
    <n v="61400"/>
    <s v="B"/>
    <d v="2023-01-29T00:00:00"/>
    <x v="2"/>
  </r>
  <r>
    <x v="1878"/>
    <x v="1"/>
    <n v="41"/>
    <x v="3"/>
    <x v="13"/>
    <x v="1"/>
    <n v="13.4"/>
    <n v="9.8000000000000007"/>
    <x v="3"/>
    <n v="4"/>
    <x v="0"/>
    <n v="102200"/>
    <n v="6100"/>
    <n v="108300"/>
    <s v="E"/>
    <d v="2012-08-06T00:00:00"/>
    <x v="1"/>
  </r>
  <r>
    <x v="1879"/>
    <x v="0"/>
    <n v="31"/>
    <x v="4"/>
    <x v="14"/>
    <x v="0"/>
    <n v="7.1"/>
    <n v="4.9000000000000004"/>
    <x v="2"/>
    <n v="3"/>
    <x v="0"/>
    <n v="101400"/>
    <n v="11800"/>
    <n v="113200"/>
    <s v="E"/>
    <d v="2018-12-09T00:00:00"/>
    <x v="0"/>
  </r>
  <r>
    <x v="1880"/>
    <x v="1"/>
    <n v="37"/>
    <x v="1"/>
    <x v="7"/>
    <x v="1"/>
    <n v="10.7"/>
    <n v="8.9"/>
    <x v="4"/>
    <n v="3"/>
    <x v="0"/>
    <n v="90200"/>
    <n v="4300"/>
    <n v="94500"/>
    <s v="D"/>
    <d v="2015-05-05T00:00:00"/>
    <x v="1"/>
  </r>
  <r>
    <x v="1881"/>
    <x v="0"/>
    <n v="34"/>
    <x v="2"/>
    <x v="11"/>
    <x v="1"/>
    <n v="7.1"/>
    <n v="2.7"/>
    <x v="2"/>
    <n v="4"/>
    <x v="0"/>
    <n v="125200"/>
    <n v="8500"/>
    <n v="133700"/>
    <s v="E"/>
    <d v="2018-11-13T00:00:00"/>
    <x v="1"/>
  </r>
  <r>
    <x v="1882"/>
    <x v="0"/>
    <n v="29"/>
    <x v="4"/>
    <x v="8"/>
    <x v="2"/>
    <n v="7.8"/>
    <n v="3.9"/>
    <x v="2"/>
    <n v="2"/>
    <x v="0"/>
    <n v="86500"/>
    <n v="9600"/>
    <n v="96100"/>
    <s v="D"/>
    <d v="2018-03-27T00:00:00"/>
    <x v="2"/>
  </r>
  <r>
    <x v="1883"/>
    <x v="1"/>
    <n v="26"/>
    <x v="3"/>
    <x v="5"/>
    <x v="2"/>
    <n v="4.2"/>
    <n v="2.2999999999999998"/>
    <x v="1"/>
    <n v="5"/>
    <x v="0"/>
    <n v="85800"/>
    <n v="5100"/>
    <n v="90900"/>
    <s v="D"/>
    <d v="2021-10-18T00:00:00"/>
    <x v="2"/>
  </r>
  <r>
    <x v="1884"/>
    <x v="0"/>
    <n v="41"/>
    <x v="1"/>
    <x v="7"/>
    <x v="1"/>
    <n v="12.6"/>
    <n v="9.9"/>
    <x v="3"/>
    <n v="4"/>
    <x v="2"/>
    <n v="65600"/>
    <n v="6900"/>
    <n v="72500"/>
    <s v="C"/>
    <d v="2013-05-23T00:00:00"/>
    <x v="1"/>
  </r>
  <r>
    <x v="1885"/>
    <x v="1"/>
    <n v="33"/>
    <x v="2"/>
    <x v="18"/>
    <x v="1"/>
    <n v="3.2"/>
    <n v="0.8"/>
    <x v="1"/>
    <n v="3"/>
    <x v="0"/>
    <n v="59000"/>
    <n v="4200"/>
    <n v="63200"/>
    <s v="B"/>
    <d v="2022-10-27T00:00:00"/>
    <x v="1"/>
  </r>
  <r>
    <x v="1886"/>
    <x v="1"/>
    <n v="26"/>
    <x v="0"/>
    <x v="0"/>
    <x v="1"/>
    <n v="1"/>
    <n v="0.3"/>
    <x v="0"/>
    <n v="3"/>
    <x v="0"/>
    <n v="95800"/>
    <n v="8100"/>
    <n v="103900"/>
    <s v="D"/>
    <d v="2024-12-25T00:00:00"/>
    <x v="1"/>
  </r>
  <r>
    <x v="1887"/>
    <x v="0"/>
    <n v="33"/>
    <x v="1"/>
    <x v="7"/>
    <x v="0"/>
    <n v="6.4"/>
    <n v="4.2"/>
    <x v="2"/>
    <n v="3"/>
    <x v="0"/>
    <n v="61800"/>
    <n v="4900"/>
    <n v="66700"/>
    <s v="B"/>
    <d v="2019-08-08T00:00:00"/>
    <x v="0"/>
  </r>
  <r>
    <x v="1888"/>
    <x v="0"/>
    <n v="37"/>
    <x v="4"/>
    <x v="8"/>
    <x v="2"/>
    <n v="7.1"/>
    <n v="4.0999999999999996"/>
    <x v="2"/>
    <n v="3"/>
    <x v="0"/>
    <n v="81800"/>
    <n v="7100"/>
    <n v="88900"/>
    <s v="D"/>
    <d v="2018-12-01T00:00:00"/>
    <x v="2"/>
  </r>
  <r>
    <x v="1889"/>
    <x v="1"/>
    <n v="45"/>
    <x v="3"/>
    <x v="13"/>
    <x v="2"/>
    <n v="7.3"/>
    <n v="5.6"/>
    <x v="2"/>
    <n v="3"/>
    <x v="2"/>
    <n v="77400"/>
    <n v="3200"/>
    <n v="80600"/>
    <s v="C"/>
    <d v="2018-09-20T00:00:00"/>
    <x v="2"/>
  </r>
  <r>
    <x v="1890"/>
    <x v="0"/>
    <n v="35"/>
    <x v="5"/>
    <x v="17"/>
    <x v="0"/>
    <n v="3.1"/>
    <n v="2.6"/>
    <x v="1"/>
    <n v="2"/>
    <x v="1"/>
    <n v="48800"/>
    <n v="5800"/>
    <n v="54600"/>
    <s v="A"/>
    <d v="2022-12-01T00:00:00"/>
    <x v="0"/>
  </r>
  <r>
    <x v="1891"/>
    <x v="1"/>
    <n v="34"/>
    <x v="3"/>
    <x v="5"/>
    <x v="2"/>
    <n v="2.4"/>
    <n v="1.4"/>
    <x v="0"/>
    <n v="3"/>
    <x v="0"/>
    <n v="88200"/>
    <n v="4500"/>
    <n v="92700"/>
    <s v="D"/>
    <d v="2023-08-12T00:00:00"/>
    <x v="2"/>
  </r>
  <r>
    <x v="1892"/>
    <x v="1"/>
    <n v="26"/>
    <x v="4"/>
    <x v="14"/>
    <x v="0"/>
    <n v="4.8"/>
    <n v="4.8"/>
    <x v="1"/>
    <n v="3"/>
    <x v="0"/>
    <n v="98300"/>
    <n v="12500"/>
    <n v="110800"/>
    <s v="D"/>
    <d v="2021-03-26T00:00:00"/>
    <x v="0"/>
  </r>
  <r>
    <x v="1893"/>
    <x v="0"/>
    <n v="31"/>
    <x v="3"/>
    <x v="5"/>
    <x v="1"/>
    <n v="6.9"/>
    <n v="1.9"/>
    <x v="2"/>
    <n v="3"/>
    <x v="0"/>
    <n v="79300"/>
    <n v="5500"/>
    <n v="84800"/>
    <s v="C"/>
    <d v="2019-02-07T00:00:00"/>
    <x v="1"/>
  </r>
  <r>
    <x v="1894"/>
    <x v="0"/>
    <n v="30"/>
    <x v="2"/>
    <x v="18"/>
    <x v="0"/>
    <n v="13.2"/>
    <n v="7.7"/>
    <x v="3"/>
    <n v="5"/>
    <x v="0"/>
    <n v="79100"/>
    <n v="7600"/>
    <n v="86700"/>
    <s v="C"/>
    <d v="2012-10-25T00:00:00"/>
    <x v="0"/>
  </r>
  <r>
    <x v="1895"/>
    <x v="1"/>
    <n v="29"/>
    <x v="1"/>
    <x v="3"/>
    <x v="2"/>
    <n v="12.8"/>
    <n v="8.1"/>
    <x v="3"/>
    <n v="3"/>
    <x v="0"/>
    <n v="85600"/>
    <n v="5800"/>
    <n v="91400"/>
    <s v="D"/>
    <d v="2013-04-01T00:00:00"/>
    <x v="2"/>
  </r>
  <r>
    <x v="1896"/>
    <x v="0"/>
    <n v="45"/>
    <x v="2"/>
    <x v="18"/>
    <x v="1"/>
    <n v="12.3"/>
    <n v="9"/>
    <x v="3"/>
    <n v="2"/>
    <x v="0"/>
    <n v="81600"/>
    <n v="7600"/>
    <n v="89200"/>
    <s v="D"/>
    <d v="2013-08-27T00:00:00"/>
    <x v="1"/>
  </r>
  <r>
    <x v="1897"/>
    <x v="0"/>
    <n v="37"/>
    <x v="0"/>
    <x v="1"/>
    <x v="2"/>
    <n v="9"/>
    <n v="7.3"/>
    <x v="4"/>
    <n v="2"/>
    <x v="0"/>
    <n v="76500"/>
    <n v="6000"/>
    <n v="82500"/>
    <s v="C"/>
    <d v="2016-12-15T00:00:00"/>
    <x v="2"/>
  </r>
  <r>
    <x v="1898"/>
    <x v="0"/>
    <n v="26"/>
    <x v="3"/>
    <x v="5"/>
    <x v="2"/>
    <n v="1.6"/>
    <n v="1"/>
    <x v="0"/>
    <n v="3"/>
    <x v="0"/>
    <n v="86000"/>
    <n v="2700"/>
    <n v="88700"/>
    <s v="D"/>
    <d v="2024-05-16T00:00:00"/>
    <x v="2"/>
  </r>
  <r>
    <x v="1899"/>
    <x v="0"/>
    <n v="30"/>
    <x v="0"/>
    <x v="0"/>
    <x v="1"/>
    <n v="5.4"/>
    <n v="4.5"/>
    <x v="1"/>
    <n v="1"/>
    <x v="0"/>
    <n v="94400"/>
    <n v="12700"/>
    <n v="107100"/>
    <s v="D"/>
    <d v="2020-07-21T00:00:00"/>
    <x v="1"/>
  </r>
  <r>
    <x v="1900"/>
    <x v="1"/>
    <n v="21"/>
    <x v="4"/>
    <x v="14"/>
    <x v="0"/>
    <n v="8.1"/>
    <n v="4.2"/>
    <x v="2"/>
    <n v="4"/>
    <x v="0"/>
    <n v="113000"/>
    <n v="12300"/>
    <n v="125300"/>
    <s v="E"/>
    <d v="2017-11-22T00:00:00"/>
    <x v="0"/>
  </r>
  <r>
    <x v="1901"/>
    <x v="0"/>
    <n v="24"/>
    <x v="4"/>
    <x v="6"/>
    <x v="1"/>
    <n v="12.2"/>
    <n v="6.2"/>
    <x v="3"/>
    <n v="4"/>
    <x v="0"/>
    <n v="88900"/>
    <n v="9600"/>
    <n v="98500"/>
    <s v="D"/>
    <d v="2013-10-19T00:00:00"/>
    <x v="1"/>
  </r>
  <r>
    <x v="1902"/>
    <x v="1"/>
    <n v="34"/>
    <x v="4"/>
    <x v="16"/>
    <x v="2"/>
    <n v="8.1"/>
    <n v="3.6"/>
    <x v="2"/>
    <n v="3"/>
    <x v="1"/>
    <n v="62000"/>
    <n v="7200"/>
    <n v="69200"/>
    <s v="B"/>
    <d v="2017-12-08T00:00:00"/>
    <x v="2"/>
  </r>
  <r>
    <x v="1903"/>
    <x v="0"/>
    <n v="28"/>
    <x v="1"/>
    <x v="7"/>
    <x v="2"/>
    <n v="5.7"/>
    <n v="4.5"/>
    <x v="1"/>
    <n v="3"/>
    <x v="0"/>
    <n v="87500"/>
    <n v="7700"/>
    <n v="95200"/>
    <s v="D"/>
    <d v="2020-04-10T00:00:00"/>
    <x v="2"/>
  </r>
  <r>
    <x v="1904"/>
    <x v="1"/>
    <n v="38"/>
    <x v="2"/>
    <x v="4"/>
    <x v="2"/>
    <n v="8.6"/>
    <n v="4.3"/>
    <x v="2"/>
    <n v="3"/>
    <x v="0"/>
    <n v="85700"/>
    <n v="8000"/>
    <n v="93700"/>
    <s v="D"/>
    <d v="2017-06-02T00:00:00"/>
    <x v="2"/>
  </r>
  <r>
    <x v="1905"/>
    <x v="0"/>
    <n v="22"/>
    <x v="4"/>
    <x v="16"/>
    <x v="0"/>
    <n v="10.7"/>
    <n v="7.3"/>
    <x v="4"/>
    <n v="4"/>
    <x v="2"/>
    <n v="71200"/>
    <n v="4900"/>
    <n v="76100"/>
    <s v="C"/>
    <d v="2015-04-28T00:00:00"/>
    <x v="0"/>
  </r>
  <r>
    <x v="1906"/>
    <x v="1"/>
    <n v="28"/>
    <x v="5"/>
    <x v="17"/>
    <x v="2"/>
    <n v="2.6"/>
    <n v="1.6"/>
    <x v="0"/>
    <n v="3"/>
    <x v="0"/>
    <n v="89000"/>
    <n v="7500"/>
    <n v="96500"/>
    <s v="D"/>
    <d v="2023-05-29T00:00:00"/>
    <x v="2"/>
  </r>
  <r>
    <x v="1907"/>
    <x v="1"/>
    <n v="37"/>
    <x v="3"/>
    <x v="13"/>
    <x v="2"/>
    <n v="1"/>
    <n v="1"/>
    <x v="0"/>
    <n v="4"/>
    <x v="2"/>
    <n v="82700"/>
    <n v="4700"/>
    <n v="87400"/>
    <s v="D"/>
    <d v="2024-12-25T00:00:00"/>
    <x v="2"/>
  </r>
  <r>
    <x v="1908"/>
    <x v="1"/>
    <n v="40"/>
    <x v="1"/>
    <x v="3"/>
    <x v="2"/>
    <n v="6.5"/>
    <n v="5.0999999999999996"/>
    <x v="2"/>
    <n v="4"/>
    <x v="0"/>
    <n v="89600"/>
    <n v="8500"/>
    <n v="98100"/>
    <s v="D"/>
    <d v="2019-07-01T00:00:00"/>
    <x v="2"/>
  </r>
  <r>
    <x v="1909"/>
    <x v="0"/>
    <n v="42"/>
    <x v="3"/>
    <x v="5"/>
    <x v="1"/>
    <n v="8.5"/>
    <n v="5.2"/>
    <x v="2"/>
    <n v="4"/>
    <x v="2"/>
    <n v="57200"/>
    <n v="4000"/>
    <n v="61200"/>
    <s v="B"/>
    <d v="2017-06-19T00:00:00"/>
    <x v="1"/>
  </r>
  <r>
    <x v="1910"/>
    <x v="1"/>
    <n v="39"/>
    <x v="5"/>
    <x v="17"/>
    <x v="1"/>
    <n v="7.9"/>
    <n v="3.2"/>
    <x v="2"/>
    <n v="5"/>
    <x v="0"/>
    <n v="101800"/>
    <n v="19100"/>
    <n v="120900"/>
    <s v="E"/>
    <d v="2018-02-22T00:00:00"/>
    <x v="1"/>
  </r>
  <r>
    <x v="1911"/>
    <x v="0"/>
    <n v="31"/>
    <x v="3"/>
    <x v="13"/>
    <x v="1"/>
    <n v="6.2"/>
    <n v="3.7"/>
    <x v="2"/>
    <n v="1"/>
    <x v="0"/>
    <n v="104700"/>
    <n v="4500"/>
    <n v="109200"/>
    <s v="E"/>
    <d v="2019-11-02T00:00:00"/>
    <x v="1"/>
  </r>
  <r>
    <x v="1912"/>
    <x v="1"/>
    <n v="35"/>
    <x v="2"/>
    <x v="4"/>
    <x v="1"/>
    <n v="6.9"/>
    <n v="6.6"/>
    <x v="2"/>
    <n v="4"/>
    <x v="0"/>
    <n v="75600"/>
    <n v="4000"/>
    <n v="79600"/>
    <s v="C"/>
    <d v="2019-02-13T00:00:00"/>
    <x v="1"/>
  </r>
  <r>
    <x v="1913"/>
    <x v="0"/>
    <n v="45"/>
    <x v="3"/>
    <x v="13"/>
    <x v="1"/>
    <n v="1.2"/>
    <n v="1.2"/>
    <x v="0"/>
    <n v="3"/>
    <x v="0"/>
    <n v="84600"/>
    <n v="5300"/>
    <n v="89900"/>
    <s v="D"/>
    <d v="2024-11-02T00:00:00"/>
    <x v="1"/>
  </r>
  <r>
    <x v="1914"/>
    <x v="0"/>
    <n v="30"/>
    <x v="4"/>
    <x v="8"/>
    <x v="2"/>
    <n v="9.5"/>
    <n v="5.0999999999999996"/>
    <x v="4"/>
    <n v="2"/>
    <x v="0"/>
    <n v="94300"/>
    <n v="5000"/>
    <n v="99300"/>
    <s v="D"/>
    <d v="2016-07-12T00:00:00"/>
    <x v="2"/>
  </r>
  <r>
    <x v="1915"/>
    <x v="1"/>
    <n v="29"/>
    <x v="4"/>
    <x v="8"/>
    <x v="1"/>
    <n v="9.9"/>
    <n v="6.4"/>
    <x v="4"/>
    <n v="3"/>
    <x v="0"/>
    <n v="91500"/>
    <n v="6700"/>
    <n v="98200"/>
    <s v="D"/>
    <d v="2016-02-01T00:00:00"/>
    <x v="1"/>
  </r>
  <r>
    <x v="1916"/>
    <x v="1"/>
    <n v="35"/>
    <x v="4"/>
    <x v="6"/>
    <x v="1"/>
    <n v="9.1999999999999993"/>
    <n v="6.8"/>
    <x v="4"/>
    <n v="3"/>
    <x v="0"/>
    <n v="69900"/>
    <n v="4100"/>
    <n v="74000"/>
    <s v="C"/>
    <d v="2016-10-11T00:00:00"/>
    <x v="1"/>
  </r>
  <r>
    <x v="1917"/>
    <x v="0"/>
    <n v="43"/>
    <x v="0"/>
    <x v="2"/>
    <x v="1"/>
    <n v="2.9"/>
    <n v="1.9"/>
    <x v="0"/>
    <n v="1"/>
    <x v="0"/>
    <n v="57000"/>
    <n v="3700"/>
    <n v="60700"/>
    <s v="B"/>
    <d v="2023-02-24T00:00:00"/>
    <x v="1"/>
  </r>
  <r>
    <x v="1918"/>
    <x v="1"/>
    <n v="34"/>
    <x v="1"/>
    <x v="10"/>
    <x v="2"/>
    <n v="12.8"/>
    <n v="10.1"/>
    <x v="3"/>
    <n v="1"/>
    <x v="0"/>
    <n v="99600"/>
    <n v="10500"/>
    <n v="110100"/>
    <s v="D"/>
    <d v="2013-02-25T00:00:00"/>
    <x v="2"/>
  </r>
  <r>
    <x v="1919"/>
    <x v="1"/>
    <n v="33"/>
    <x v="0"/>
    <x v="2"/>
    <x v="2"/>
    <n v="4"/>
    <n v="0.9"/>
    <x v="1"/>
    <n v="3"/>
    <x v="0"/>
    <n v="82600"/>
    <n v="10900"/>
    <n v="93500"/>
    <s v="D"/>
    <d v="2022-01-09T00:00:00"/>
    <x v="2"/>
  </r>
  <r>
    <x v="1920"/>
    <x v="0"/>
    <n v="41"/>
    <x v="5"/>
    <x v="9"/>
    <x v="2"/>
    <n v="10.5"/>
    <n v="5.6"/>
    <x v="4"/>
    <n v="3"/>
    <x v="1"/>
    <n v="67500"/>
    <n v="10300"/>
    <n v="77800"/>
    <s v="C"/>
    <d v="2015-07-14T00:00:00"/>
    <x v="2"/>
  </r>
  <r>
    <x v="1921"/>
    <x v="0"/>
    <n v="27"/>
    <x v="2"/>
    <x v="18"/>
    <x v="2"/>
    <n v="7.3"/>
    <n v="3.4"/>
    <x v="2"/>
    <n v="3"/>
    <x v="0"/>
    <n v="74500"/>
    <n v="6700"/>
    <n v="81200"/>
    <s v="C"/>
    <d v="2018-09-11T00:00:00"/>
    <x v="2"/>
  </r>
  <r>
    <x v="1922"/>
    <x v="1"/>
    <n v="40"/>
    <x v="4"/>
    <x v="6"/>
    <x v="0"/>
    <n v="7"/>
    <n v="4.8"/>
    <x v="2"/>
    <n v="3"/>
    <x v="0"/>
    <n v="67300"/>
    <n v="9500"/>
    <n v="76800"/>
    <s v="C"/>
    <d v="2018-12-26T00:00:00"/>
    <x v="0"/>
  </r>
  <r>
    <x v="1923"/>
    <x v="0"/>
    <n v="25"/>
    <x v="3"/>
    <x v="5"/>
    <x v="1"/>
    <n v="10.8"/>
    <n v="6.2"/>
    <x v="4"/>
    <n v="4"/>
    <x v="0"/>
    <n v="80200"/>
    <n v="6700"/>
    <n v="86900"/>
    <s v="D"/>
    <d v="2015-02-28T00:00:00"/>
    <x v="1"/>
  </r>
  <r>
    <x v="1924"/>
    <x v="1"/>
    <n v="36"/>
    <x v="0"/>
    <x v="1"/>
    <x v="1"/>
    <n v="7.3"/>
    <n v="5.9"/>
    <x v="2"/>
    <n v="3"/>
    <x v="2"/>
    <n v="55500"/>
    <n v="2900"/>
    <n v="58400"/>
    <s v="B"/>
    <d v="2018-09-15T00:00:00"/>
    <x v="1"/>
  </r>
  <r>
    <x v="1925"/>
    <x v="1"/>
    <n v="31"/>
    <x v="5"/>
    <x v="17"/>
    <x v="3"/>
    <n v="3.7"/>
    <n v="0.1"/>
    <x v="1"/>
    <n v="3"/>
    <x v="1"/>
    <n v="58300"/>
    <n v="11100"/>
    <n v="69400"/>
    <s v="B"/>
    <d v="2022-04-12T00:00:00"/>
    <x v="3"/>
  </r>
  <r>
    <x v="1926"/>
    <x v="0"/>
    <n v="30"/>
    <x v="5"/>
    <x v="15"/>
    <x v="1"/>
    <n v="6.3"/>
    <n v="5.7"/>
    <x v="2"/>
    <n v="4"/>
    <x v="0"/>
    <n v="63800"/>
    <n v="13100"/>
    <n v="76900"/>
    <s v="B"/>
    <d v="2019-08-30T00:00:00"/>
    <x v="1"/>
  </r>
  <r>
    <x v="1927"/>
    <x v="1"/>
    <n v="37"/>
    <x v="4"/>
    <x v="8"/>
    <x v="1"/>
    <n v="8.5"/>
    <m/>
    <x v="2"/>
    <n v="5"/>
    <x v="0"/>
    <n v="91300"/>
    <n v="10700"/>
    <n v="102000"/>
    <s v="D"/>
    <d v="2017-07-18T00:00:00"/>
    <x v="1"/>
  </r>
  <r>
    <x v="1928"/>
    <x v="1"/>
    <n v="33"/>
    <x v="5"/>
    <x v="9"/>
    <x v="2"/>
    <n v="13.7"/>
    <n v="8.5"/>
    <x v="3"/>
    <n v="5"/>
    <x v="0"/>
    <n v="117700"/>
    <n v="8600"/>
    <n v="126300"/>
    <s v="E"/>
    <d v="2012-04-29T00:00:00"/>
    <x v="2"/>
  </r>
  <r>
    <x v="1929"/>
    <x v="1"/>
    <n v="37"/>
    <x v="0"/>
    <x v="1"/>
    <x v="2"/>
    <n v="9"/>
    <n v="4.5999999999999996"/>
    <x v="4"/>
    <n v="4"/>
    <x v="1"/>
    <n v="48800"/>
    <n v="5700"/>
    <n v="54500"/>
    <s v="A"/>
    <d v="2016-12-27T00:00:00"/>
    <x v="2"/>
  </r>
  <r>
    <x v="1930"/>
    <x v="0"/>
    <n v="32"/>
    <x v="4"/>
    <x v="14"/>
    <x v="1"/>
    <n v="11.3"/>
    <n v="8.3000000000000007"/>
    <x v="4"/>
    <n v="3"/>
    <x v="0"/>
    <n v="111300"/>
    <n v="16200"/>
    <n v="127500"/>
    <s v="E"/>
    <d v="2014-09-19T00:00:00"/>
    <x v="1"/>
  </r>
  <r>
    <x v="1931"/>
    <x v="1"/>
    <n v="36"/>
    <x v="4"/>
    <x v="6"/>
    <x v="1"/>
    <n v="7.1"/>
    <n v="3.9"/>
    <x v="2"/>
    <n v="5"/>
    <x v="0"/>
    <n v="79600"/>
    <n v="10800"/>
    <n v="90400"/>
    <s v="C"/>
    <d v="2018-12-09T00:00:00"/>
    <x v="1"/>
  </r>
  <r>
    <x v="1932"/>
    <x v="0"/>
    <n v="35"/>
    <x v="2"/>
    <x v="11"/>
    <x v="2"/>
    <n v="7"/>
    <n v="6.5"/>
    <x v="2"/>
    <n v="5"/>
    <x v="0"/>
    <n v="111600"/>
    <n v="7100"/>
    <n v="118700"/>
    <s v="E"/>
    <d v="2018-12-28T00:00:00"/>
    <x v="2"/>
  </r>
  <r>
    <x v="1933"/>
    <x v="1"/>
    <n v="43"/>
    <x v="4"/>
    <x v="6"/>
    <x v="2"/>
    <n v="4.0999999999999996"/>
    <n v="1.2"/>
    <x v="1"/>
    <n v="2"/>
    <x v="0"/>
    <n v="60700"/>
    <n v="7100"/>
    <n v="67800"/>
    <s v="B"/>
    <d v="2021-11-23T00:00:00"/>
    <x v="2"/>
  </r>
  <r>
    <x v="1934"/>
    <x v="0"/>
    <n v="31"/>
    <x v="2"/>
    <x v="11"/>
    <x v="1"/>
    <n v="12.9"/>
    <n v="8.3000000000000007"/>
    <x v="3"/>
    <n v="2"/>
    <x v="2"/>
    <n v="83600"/>
    <n v="5500"/>
    <n v="89100"/>
    <s v="D"/>
    <d v="2013-02-16T00:00:00"/>
    <x v="1"/>
  </r>
  <r>
    <x v="1935"/>
    <x v="1"/>
    <n v="48"/>
    <x v="1"/>
    <x v="3"/>
    <x v="1"/>
    <n v="6.1"/>
    <n v="2.7"/>
    <x v="2"/>
    <n v="5"/>
    <x v="0"/>
    <n v="77400"/>
    <n v="3700"/>
    <n v="81100"/>
    <s v="C"/>
    <d v="2019-11-09T00:00:00"/>
    <x v="1"/>
  </r>
  <r>
    <x v="1936"/>
    <x v="1"/>
    <n v="46"/>
    <x v="4"/>
    <x v="16"/>
    <x v="2"/>
    <n v="6.8"/>
    <n v="5.2"/>
    <x v="2"/>
    <n v="3"/>
    <x v="0"/>
    <n v="103000"/>
    <n v="5800"/>
    <n v="108800"/>
    <s v="E"/>
    <d v="2019-02-27T00:00:00"/>
    <x v="2"/>
  </r>
  <r>
    <x v="1937"/>
    <x v="1"/>
    <n v="42"/>
    <x v="5"/>
    <x v="15"/>
    <x v="1"/>
    <n v="3.2"/>
    <n v="1"/>
    <x v="1"/>
    <n v="4"/>
    <x v="1"/>
    <n v="41800"/>
    <n v="7100"/>
    <n v="48900"/>
    <s v="A"/>
    <d v="2022-10-04T00:00:00"/>
    <x v="1"/>
  </r>
  <r>
    <x v="1938"/>
    <x v="1"/>
    <n v="45"/>
    <x v="4"/>
    <x v="16"/>
    <x v="1"/>
    <n v="5.6"/>
    <n v="0.8"/>
    <x v="1"/>
    <n v="4"/>
    <x v="0"/>
    <n v="106300"/>
    <n v="5400"/>
    <n v="111700"/>
    <s v="E"/>
    <d v="2020-05-14T00:00:00"/>
    <x v="1"/>
  </r>
  <r>
    <x v="1939"/>
    <x v="0"/>
    <n v="29"/>
    <x v="2"/>
    <x v="11"/>
    <x v="1"/>
    <n v="9.9"/>
    <n v="4.8"/>
    <x v="4"/>
    <n v="4"/>
    <x v="0"/>
    <n v="99500"/>
    <n v="5900"/>
    <n v="105400"/>
    <s v="D"/>
    <d v="2016-02-10T00:00:00"/>
    <x v="1"/>
  </r>
  <r>
    <x v="1940"/>
    <x v="1"/>
    <n v="31"/>
    <x v="3"/>
    <x v="13"/>
    <x v="2"/>
    <n v="11.3"/>
    <n v="9.1"/>
    <x v="4"/>
    <n v="1"/>
    <x v="0"/>
    <n v="124900"/>
    <n v="5100"/>
    <n v="130000"/>
    <s v="E"/>
    <d v="2014-09-11T00:00:00"/>
    <x v="2"/>
  </r>
  <r>
    <x v="1941"/>
    <x v="1"/>
    <n v="36"/>
    <x v="2"/>
    <x v="11"/>
    <x v="0"/>
    <n v="2.6"/>
    <n v="0"/>
    <x v="0"/>
    <n v="3"/>
    <x v="2"/>
    <n v="79900"/>
    <n v="3600"/>
    <n v="83500"/>
    <s v="C"/>
    <d v="2023-05-21T00:00:00"/>
    <x v="0"/>
  </r>
  <r>
    <x v="1942"/>
    <x v="1"/>
    <n v="28"/>
    <x v="1"/>
    <x v="7"/>
    <x v="1"/>
    <n v="6.2"/>
    <n v="2.7"/>
    <x v="2"/>
    <n v="3"/>
    <x v="1"/>
    <n v="55300"/>
    <n v="5100"/>
    <n v="60400"/>
    <s v="B"/>
    <d v="2019-10-06T00:00:00"/>
    <x v="1"/>
  </r>
  <r>
    <x v="1943"/>
    <x v="0"/>
    <n v="30"/>
    <x v="3"/>
    <x v="5"/>
    <x v="2"/>
    <n v="7.4"/>
    <n v="3.5"/>
    <x v="2"/>
    <n v="3"/>
    <x v="0"/>
    <n v="84400"/>
    <n v="6000"/>
    <n v="90400"/>
    <s v="D"/>
    <d v="2018-08-08T00:00:00"/>
    <x v="2"/>
  </r>
  <r>
    <x v="1944"/>
    <x v="0"/>
    <n v="43"/>
    <x v="1"/>
    <x v="7"/>
    <x v="2"/>
    <n v="7.1"/>
    <n v="3.4"/>
    <x v="2"/>
    <n v="3"/>
    <x v="0"/>
    <n v="75900"/>
    <n v="4000"/>
    <n v="79900"/>
    <s v="C"/>
    <d v="2018-12-05T00:00:00"/>
    <x v="2"/>
  </r>
  <r>
    <x v="1945"/>
    <x v="1"/>
    <n v="28"/>
    <x v="5"/>
    <x v="17"/>
    <x v="3"/>
    <n v="3.4"/>
    <n v="2.8"/>
    <x v="1"/>
    <n v="4"/>
    <x v="0"/>
    <n v="109300"/>
    <n v="12100"/>
    <n v="121400"/>
    <s v="E"/>
    <d v="2022-08-21T00:00:00"/>
    <x v="3"/>
  </r>
  <r>
    <x v="1946"/>
    <x v="0"/>
    <n v="30"/>
    <x v="2"/>
    <x v="4"/>
    <x v="0"/>
    <n v="3.4"/>
    <n v="2.9"/>
    <x v="1"/>
    <n v="3"/>
    <x v="1"/>
    <n v="41000"/>
    <n v="2600"/>
    <n v="43600"/>
    <s v="A"/>
    <d v="2022-08-12T00:00:00"/>
    <x v="0"/>
  </r>
  <r>
    <x v="1947"/>
    <x v="1"/>
    <n v="35"/>
    <x v="1"/>
    <x v="7"/>
    <x v="1"/>
    <n v="4"/>
    <n v="3.6"/>
    <x v="1"/>
    <n v="4"/>
    <x v="0"/>
    <n v="80600"/>
    <n v="8900"/>
    <n v="89500"/>
    <s v="D"/>
    <d v="2022-01-08T00:00:00"/>
    <x v="1"/>
  </r>
  <r>
    <x v="1948"/>
    <x v="1"/>
    <n v="30"/>
    <x v="2"/>
    <x v="18"/>
    <x v="2"/>
    <n v="9.1999999999999993"/>
    <n v="3.8"/>
    <x v="4"/>
    <n v="5"/>
    <x v="0"/>
    <n v="77900"/>
    <n v="6400"/>
    <n v="84300"/>
    <s v="C"/>
    <d v="2016-10-12T00:00:00"/>
    <x v="2"/>
  </r>
  <r>
    <x v="1949"/>
    <x v="0"/>
    <n v="49"/>
    <x v="3"/>
    <x v="12"/>
    <x v="0"/>
    <n v="12.7"/>
    <n v="6.9"/>
    <x v="3"/>
    <n v="3"/>
    <x v="0"/>
    <n v="80300"/>
    <n v="5600"/>
    <n v="85900"/>
    <s v="D"/>
    <d v="2013-04-28T00:00:00"/>
    <x v="0"/>
  </r>
  <r>
    <x v="1950"/>
    <x v="1"/>
    <n v="39"/>
    <x v="0"/>
    <x v="1"/>
    <x v="1"/>
    <n v="3.6"/>
    <n v="3"/>
    <x v="1"/>
    <n v="4"/>
    <x v="0"/>
    <n v="69300"/>
    <n v="4700"/>
    <n v="74000"/>
    <s v="C"/>
    <d v="2022-06-06T00:00:00"/>
    <x v="1"/>
  </r>
  <r>
    <x v="1951"/>
    <x v="1"/>
    <n v="41"/>
    <x v="3"/>
    <x v="12"/>
    <x v="0"/>
    <n v="2.8"/>
    <n v="1.8"/>
    <x v="0"/>
    <n v="3"/>
    <x v="0"/>
    <n v="54200"/>
    <n v="4500"/>
    <n v="58700"/>
    <s v="B"/>
    <d v="2023-03-24T00:00:00"/>
    <x v="0"/>
  </r>
  <r>
    <x v="1952"/>
    <x v="1"/>
    <n v="41"/>
    <x v="4"/>
    <x v="6"/>
    <x v="3"/>
    <n v="3.6"/>
    <n v="1.8"/>
    <x v="1"/>
    <n v="4"/>
    <x v="0"/>
    <n v="69800"/>
    <n v="9000"/>
    <n v="78800"/>
    <s v="C"/>
    <d v="2022-05-16T00:00:00"/>
    <x v="3"/>
  </r>
  <r>
    <x v="1953"/>
    <x v="1"/>
    <n v="30"/>
    <x v="0"/>
    <x v="2"/>
    <x v="2"/>
    <n v="6.8"/>
    <n v="1.8"/>
    <x v="2"/>
    <n v="5"/>
    <x v="0"/>
    <n v="69200"/>
    <n v="7400"/>
    <n v="76600"/>
    <s v="C"/>
    <d v="2019-02-27T00:00:00"/>
    <x v="2"/>
  </r>
  <r>
    <x v="1954"/>
    <x v="0"/>
    <n v="42"/>
    <x v="2"/>
    <x v="11"/>
    <x v="2"/>
    <n v="13.7"/>
    <n v="8.1999999999999993"/>
    <x v="3"/>
    <n v="3"/>
    <x v="0"/>
    <n v="120200"/>
    <n v="7900"/>
    <n v="128100"/>
    <s v="E"/>
    <d v="2012-05-01T00:00:00"/>
    <x v="2"/>
  </r>
  <r>
    <x v="1955"/>
    <x v="0"/>
    <n v="43"/>
    <x v="4"/>
    <x v="16"/>
    <x v="0"/>
    <n v="7.8"/>
    <n v="5.7"/>
    <x v="2"/>
    <n v="4"/>
    <x v="0"/>
    <n v="87100"/>
    <n v="6900"/>
    <n v="94000"/>
    <s v="D"/>
    <d v="2018-03-30T00:00:00"/>
    <x v="0"/>
  </r>
  <r>
    <x v="1956"/>
    <x v="0"/>
    <n v="39"/>
    <x v="1"/>
    <x v="10"/>
    <x v="3"/>
    <n v="1.7"/>
    <n v="0"/>
    <x v="0"/>
    <n v="4"/>
    <x v="0"/>
    <n v="102400"/>
    <n v="6800"/>
    <n v="109200"/>
    <s v="E"/>
    <d v="2024-04-23T00:00:00"/>
    <x v="3"/>
  </r>
  <r>
    <x v="1957"/>
    <x v="1"/>
    <n v="32"/>
    <x v="0"/>
    <x v="0"/>
    <x v="1"/>
    <n v="2.7"/>
    <n v="2"/>
    <x v="0"/>
    <n v="3"/>
    <x v="0"/>
    <n v="97200"/>
    <n v="11200"/>
    <n v="108400"/>
    <s v="D"/>
    <d v="2023-05-06T00:00:00"/>
    <x v="1"/>
  </r>
  <r>
    <x v="1958"/>
    <x v="0"/>
    <n v="42"/>
    <x v="5"/>
    <x v="17"/>
    <x v="1"/>
    <n v="10.9"/>
    <n v="10.7"/>
    <x v="4"/>
    <n v="1"/>
    <x v="0"/>
    <n v="98200"/>
    <n v="10300"/>
    <n v="108500"/>
    <s v="D"/>
    <d v="2015-02-13T00:00:00"/>
    <x v="1"/>
  </r>
  <r>
    <x v="1959"/>
    <x v="1"/>
    <n v="33"/>
    <x v="2"/>
    <x v="18"/>
    <x v="1"/>
    <n v="3.9"/>
    <n v="3.9"/>
    <x v="1"/>
    <n v="5"/>
    <x v="0"/>
    <n v="70600"/>
    <n v="5200"/>
    <n v="75800"/>
    <s v="C"/>
    <d v="2022-02-21T00:00:00"/>
    <x v="1"/>
  </r>
  <r>
    <x v="1960"/>
    <x v="1"/>
    <n v="33"/>
    <x v="3"/>
    <x v="5"/>
    <x v="1"/>
    <n v="10.8"/>
    <n v="7.2"/>
    <x v="4"/>
    <n v="5"/>
    <x v="0"/>
    <n v="83000"/>
    <n v="6200"/>
    <n v="89200"/>
    <s v="D"/>
    <d v="2015-03-04T00:00:00"/>
    <x v="1"/>
  </r>
  <r>
    <x v="1961"/>
    <x v="0"/>
    <n v="43"/>
    <x v="4"/>
    <x v="16"/>
    <x v="1"/>
    <n v="3.8"/>
    <n v="3.8"/>
    <x v="1"/>
    <n v="2"/>
    <x v="0"/>
    <n v="103200"/>
    <n v="9200"/>
    <n v="112400"/>
    <s v="E"/>
    <d v="2022-03-31T00:00:00"/>
    <x v="1"/>
  </r>
  <r>
    <x v="1962"/>
    <x v="0"/>
    <n v="47"/>
    <x v="2"/>
    <x v="11"/>
    <x v="1"/>
    <n v="5.4"/>
    <n v="2.1"/>
    <x v="1"/>
    <n v="3"/>
    <x v="0"/>
    <n v="103800"/>
    <n v="8100"/>
    <n v="111900"/>
    <s v="E"/>
    <d v="2020-07-22T00:00:00"/>
    <x v="1"/>
  </r>
  <r>
    <x v="1963"/>
    <x v="0"/>
    <n v="34"/>
    <x v="0"/>
    <x v="1"/>
    <x v="1"/>
    <n v="13.3"/>
    <n v="9.6999999999999993"/>
    <x v="3"/>
    <n v="1"/>
    <x v="0"/>
    <n v="79500"/>
    <n v="5500"/>
    <n v="85000"/>
    <s v="C"/>
    <d v="2012-08-27T00:00:00"/>
    <x v="1"/>
  </r>
  <r>
    <x v="1964"/>
    <x v="0"/>
    <n v="38"/>
    <x v="3"/>
    <x v="5"/>
    <x v="2"/>
    <n v="12.2"/>
    <n v="9"/>
    <x v="3"/>
    <n v="4"/>
    <x v="2"/>
    <n v="76900"/>
    <n v="3100"/>
    <n v="80000"/>
    <s v="C"/>
    <d v="2013-10-03T00:00:00"/>
    <x v="2"/>
  </r>
  <r>
    <x v="1965"/>
    <x v="0"/>
    <n v="34"/>
    <x v="1"/>
    <x v="10"/>
    <x v="1"/>
    <n v="9.1"/>
    <n v="7.8"/>
    <x v="4"/>
    <n v="2"/>
    <x v="0"/>
    <n v="112000"/>
    <n v="7800"/>
    <n v="119800"/>
    <s v="E"/>
    <d v="2016-11-14T00:00:00"/>
    <x v="1"/>
  </r>
  <r>
    <x v="1966"/>
    <x v="1"/>
    <n v="36"/>
    <x v="1"/>
    <x v="7"/>
    <x v="1"/>
    <n v="9.6"/>
    <n v="5.4"/>
    <x v="4"/>
    <n v="4"/>
    <x v="0"/>
    <n v="87600"/>
    <n v="8300"/>
    <n v="95900"/>
    <s v="D"/>
    <d v="2016-05-20T00:00:00"/>
    <x v="1"/>
  </r>
  <r>
    <x v="1967"/>
    <x v="0"/>
    <n v="38"/>
    <x v="2"/>
    <x v="4"/>
    <x v="0"/>
    <n v="10.7"/>
    <n v="8.8000000000000007"/>
    <x v="4"/>
    <n v="4"/>
    <x v="0"/>
    <n v="76000"/>
    <n v="6100"/>
    <n v="82100"/>
    <s v="C"/>
    <d v="2015-04-24T00:00:00"/>
    <x v="0"/>
  </r>
  <r>
    <x v="1968"/>
    <x v="1"/>
    <n v="31"/>
    <x v="4"/>
    <x v="6"/>
    <x v="1"/>
    <n v="2.6"/>
    <n v="0"/>
    <x v="0"/>
    <n v="2"/>
    <x v="0"/>
    <n v="64400"/>
    <n v="7200"/>
    <n v="71600"/>
    <s v="B"/>
    <d v="2023-05-30T00:00:00"/>
    <x v="1"/>
  </r>
  <r>
    <x v="1969"/>
    <x v="1"/>
    <n v="42"/>
    <x v="1"/>
    <x v="7"/>
    <x v="0"/>
    <n v="12.3"/>
    <n v="6.7"/>
    <x v="3"/>
    <n v="4"/>
    <x v="0"/>
    <n v="81500"/>
    <n v="5900"/>
    <n v="87400"/>
    <s v="D"/>
    <d v="2013-10-01T00:00:00"/>
    <x v="0"/>
  </r>
  <r>
    <x v="1970"/>
    <x v="0"/>
    <n v="28"/>
    <x v="5"/>
    <x v="15"/>
    <x v="2"/>
    <n v="9.8000000000000007"/>
    <n v="3.9"/>
    <x v="4"/>
    <n v="3"/>
    <x v="0"/>
    <n v="74700"/>
    <n v="8100"/>
    <n v="82800"/>
    <s v="C"/>
    <d v="2016-02-27T00:00:00"/>
    <x v="2"/>
  </r>
  <r>
    <x v="1971"/>
    <x v="1"/>
    <n v="40"/>
    <x v="1"/>
    <x v="7"/>
    <x v="3"/>
    <n v="10.1"/>
    <n v="7.2"/>
    <x v="4"/>
    <n v="5"/>
    <x v="1"/>
    <n v="59000"/>
    <n v="3000"/>
    <n v="62000"/>
    <s v="B"/>
    <d v="2015-12-12T00:00:00"/>
    <x v="3"/>
  </r>
  <r>
    <x v="1972"/>
    <x v="0"/>
    <n v="43"/>
    <x v="2"/>
    <x v="11"/>
    <x v="1"/>
    <n v="1.6"/>
    <n v="1.6"/>
    <x v="0"/>
    <n v="4"/>
    <x v="0"/>
    <n v="113200"/>
    <n v="10300"/>
    <n v="123500"/>
    <s v="E"/>
    <d v="2024-05-14T00:00:00"/>
    <x v="1"/>
  </r>
  <r>
    <x v="1973"/>
    <x v="1"/>
    <n v="38"/>
    <x v="5"/>
    <x v="15"/>
    <x v="2"/>
    <n v="4.9000000000000004"/>
    <n v="1.9"/>
    <x v="1"/>
    <n v="3"/>
    <x v="1"/>
    <n v="38900"/>
    <n v="6100"/>
    <n v="45000"/>
    <s v="A"/>
    <d v="2021-01-30T00:00:00"/>
    <x v="2"/>
  </r>
  <r>
    <x v="1974"/>
    <x v="1"/>
    <n v="30"/>
    <x v="1"/>
    <x v="7"/>
    <x v="1"/>
    <n v="7"/>
    <n v="3.1"/>
    <x v="2"/>
    <n v="3"/>
    <x v="0"/>
    <n v="87700"/>
    <n v="4700"/>
    <n v="92400"/>
    <s v="D"/>
    <d v="2018-12-17T00:00:00"/>
    <x v="1"/>
  </r>
  <r>
    <x v="1975"/>
    <x v="1"/>
    <n v="33"/>
    <x v="3"/>
    <x v="12"/>
    <x v="1"/>
    <n v="13.1"/>
    <n v="7.4"/>
    <x v="3"/>
    <n v="3"/>
    <x v="0"/>
    <n v="86200"/>
    <n v="5000"/>
    <n v="91200"/>
    <s v="D"/>
    <d v="2012-12-07T00:00:00"/>
    <x v="1"/>
  </r>
  <r>
    <x v="1976"/>
    <x v="0"/>
    <n v="31"/>
    <x v="5"/>
    <x v="9"/>
    <x v="3"/>
    <n v="12.1"/>
    <n v="8.1"/>
    <x v="3"/>
    <n v="4"/>
    <x v="2"/>
    <n v="108000"/>
    <n v="14900"/>
    <n v="122900"/>
    <s v="E"/>
    <d v="2013-11-26T00:00:00"/>
    <x v="3"/>
  </r>
  <r>
    <x v="1977"/>
    <x v="0"/>
    <n v="36"/>
    <x v="3"/>
    <x v="12"/>
    <x v="1"/>
    <n v="6.9"/>
    <n v="3.7"/>
    <x v="2"/>
    <n v="4"/>
    <x v="2"/>
    <n v="61500"/>
    <n v="4100"/>
    <n v="65600"/>
    <s v="B"/>
    <d v="2019-01-26T00:00:00"/>
    <x v="1"/>
  </r>
  <r>
    <x v="1978"/>
    <x v="0"/>
    <n v="22"/>
    <x v="3"/>
    <x v="13"/>
    <x v="1"/>
    <n v="7.5"/>
    <n v="4.4000000000000004"/>
    <x v="2"/>
    <n v="3"/>
    <x v="1"/>
    <n v="53700"/>
    <n v="4600"/>
    <n v="58300"/>
    <s v="B"/>
    <d v="2018-07-06T00:00:00"/>
    <x v="1"/>
  </r>
  <r>
    <x v="1979"/>
    <x v="1"/>
    <n v="28"/>
    <x v="4"/>
    <x v="16"/>
    <x v="0"/>
    <n v="10.3"/>
    <n v="7"/>
    <x v="4"/>
    <n v="4"/>
    <x v="0"/>
    <n v="110800"/>
    <n v="8200"/>
    <n v="119000"/>
    <s v="E"/>
    <d v="2015-08-28T00:00:00"/>
    <x v="0"/>
  </r>
  <r>
    <x v="1980"/>
    <x v="1"/>
    <n v="50"/>
    <x v="3"/>
    <x v="13"/>
    <x v="1"/>
    <n v="2.9"/>
    <n v="2.5"/>
    <x v="0"/>
    <n v="4"/>
    <x v="0"/>
    <n v="90800"/>
    <n v="3300"/>
    <n v="94100"/>
    <s v="D"/>
    <d v="2023-02-06T00:00:00"/>
    <x v="1"/>
  </r>
  <r>
    <x v="1981"/>
    <x v="1"/>
    <n v="38"/>
    <x v="5"/>
    <x v="9"/>
    <x v="3"/>
    <n v="7"/>
    <n v="4.5"/>
    <x v="2"/>
    <n v="3"/>
    <x v="0"/>
    <n v="113700"/>
    <n v="15400"/>
    <n v="129100"/>
    <s v="E"/>
    <d v="2018-12-18T00:00:00"/>
    <x v="3"/>
  </r>
  <r>
    <x v="1982"/>
    <x v="1"/>
    <n v="24"/>
    <x v="0"/>
    <x v="0"/>
    <x v="1"/>
    <n v="13.2"/>
    <n v="8.5"/>
    <x v="3"/>
    <n v="2"/>
    <x v="1"/>
    <n v="67600"/>
    <n v="5700"/>
    <n v="73300"/>
    <s v="C"/>
    <d v="2012-10-02T00:00:00"/>
    <x v="1"/>
  </r>
  <r>
    <x v="1983"/>
    <x v="1"/>
    <n v="42"/>
    <x v="3"/>
    <x v="12"/>
    <x v="1"/>
    <n v="2.4"/>
    <n v="2.4"/>
    <x v="0"/>
    <n v="2"/>
    <x v="0"/>
    <n v="53900"/>
    <n v="2800"/>
    <n v="56700"/>
    <s v="B"/>
    <d v="2023-08-05T00:00:00"/>
    <x v="1"/>
  </r>
  <r>
    <x v="1984"/>
    <x v="0"/>
    <n v="33"/>
    <x v="4"/>
    <x v="8"/>
    <x v="1"/>
    <n v="8.5"/>
    <n v="7.1"/>
    <x v="2"/>
    <n v="3"/>
    <x v="0"/>
    <n v="82900"/>
    <n v="10000"/>
    <n v="92900"/>
    <s v="D"/>
    <d v="2017-07-10T00:00:00"/>
    <x v="1"/>
  </r>
  <r>
    <x v="1985"/>
    <x v="1"/>
    <n v="50"/>
    <x v="2"/>
    <x v="18"/>
    <x v="1"/>
    <n v="1.1000000000000001"/>
    <n v="0.5"/>
    <x v="0"/>
    <n v="3"/>
    <x v="0"/>
    <n v="65500"/>
    <n v="4900"/>
    <n v="70400"/>
    <s v="C"/>
    <d v="2024-11-17T00:00:00"/>
    <x v="1"/>
  </r>
  <r>
    <x v="1986"/>
    <x v="0"/>
    <n v="36"/>
    <x v="4"/>
    <x v="8"/>
    <x v="2"/>
    <n v="6.1"/>
    <n v="5"/>
    <x v="2"/>
    <n v="4"/>
    <x v="0"/>
    <n v="86000"/>
    <n v="11000"/>
    <n v="97000"/>
    <s v="D"/>
    <d v="2019-12-06T00:00:00"/>
    <x v="2"/>
  </r>
  <r>
    <x v="1987"/>
    <x v="0"/>
    <n v="37"/>
    <x v="0"/>
    <x v="1"/>
    <x v="3"/>
    <n v="11.6"/>
    <n v="6"/>
    <x v="4"/>
    <n v="3"/>
    <x v="0"/>
    <n v="90400"/>
    <n v="10600"/>
    <n v="101000"/>
    <s v="D"/>
    <d v="2014-06-11T00:00:00"/>
    <x v="3"/>
  </r>
  <r>
    <x v="1988"/>
    <x v="1"/>
    <n v="38"/>
    <x v="5"/>
    <x v="15"/>
    <x v="2"/>
    <n v="5.8"/>
    <n v="2.6"/>
    <x v="1"/>
    <n v="3"/>
    <x v="0"/>
    <n v="61100"/>
    <n v="6600"/>
    <n v="67700"/>
    <s v="B"/>
    <d v="2020-03-15T00:00:00"/>
    <x v="2"/>
  </r>
  <r>
    <x v="1989"/>
    <x v="1"/>
    <n v="39"/>
    <x v="5"/>
    <x v="15"/>
    <x v="2"/>
    <n v="3.2"/>
    <n v="2.6"/>
    <x v="1"/>
    <n v="3"/>
    <x v="0"/>
    <n v="62800"/>
    <n v="5700"/>
    <n v="68500"/>
    <s v="B"/>
    <d v="2022-10-21T00:00:00"/>
    <x v="2"/>
  </r>
  <r>
    <x v="1990"/>
    <x v="1"/>
    <n v="43"/>
    <x v="2"/>
    <x v="4"/>
    <x v="1"/>
    <n v="8.8000000000000007"/>
    <n v="7.2"/>
    <x v="2"/>
    <n v="3"/>
    <x v="1"/>
    <n v="49700"/>
    <n v="3100"/>
    <n v="52800"/>
    <s v="A"/>
    <d v="2017-03-27T00:00:00"/>
    <x v="1"/>
  </r>
  <r>
    <x v="1991"/>
    <x v="0"/>
    <n v="24"/>
    <x v="2"/>
    <x v="18"/>
    <x v="1"/>
    <n v="12.1"/>
    <n v="7.1"/>
    <x v="3"/>
    <n v="2"/>
    <x v="0"/>
    <n v="57200"/>
    <n v="2200"/>
    <n v="59400"/>
    <s v="B"/>
    <d v="2013-12-06T00:00:00"/>
    <x v="1"/>
  </r>
  <r>
    <x v="1992"/>
    <x v="0"/>
    <n v="40"/>
    <x v="5"/>
    <x v="9"/>
    <x v="1"/>
    <n v="6.7"/>
    <n v="3.8"/>
    <x v="2"/>
    <n v="4"/>
    <x v="1"/>
    <n v="62000"/>
    <n v="4400"/>
    <n v="66400"/>
    <s v="B"/>
    <d v="2019-04-03T00:00:00"/>
    <x v="1"/>
  </r>
  <r>
    <x v="1993"/>
    <x v="0"/>
    <n v="41"/>
    <x v="5"/>
    <x v="17"/>
    <x v="2"/>
    <n v="10.8"/>
    <n v="6.1"/>
    <x v="4"/>
    <n v="2"/>
    <x v="2"/>
    <n v="85000"/>
    <n v="7200"/>
    <n v="92200"/>
    <s v="D"/>
    <d v="2015-03-04T00:00:00"/>
    <x v="2"/>
  </r>
  <r>
    <x v="1994"/>
    <x v="1"/>
    <n v="25"/>
    <x v="5"/>
    <x v="9"/>
    <x v="1"/>
    <n v="10.5"/>
    <n v="8.9"/>
    <x v="4"/>
    <n v="4"/>
    <x v="0"/>
    <n v="116800"/>
    <n v="24500"/>
    <n v="141300"/>
    <s v="E"/>
    <d v="2015-07-11T00:00:00"/>
    <x v="1"/>
  </r>
  <r>
    <x v="1995"/>
    <x v="0"/>
    <n v="36"/>
    <x v="1"/>
    <x v="10"/>
    <x v="0"/>
    <n v="6.9"/>
    <n v="5.2"/>
    <x v="2"/>
    <n v="1"/>
    <x v="0"/>
    <n v="114000"/>
    <n v="8900"/>
    <n v="122900"/>
    <s v="E"/>
    <d v="2019-02-10T00:00:00"/>
    <x v="0"/>
  </r>
  <r>
    <x v="1996"/>
    <x v="0"/>
    <n v="33"/>
    <x v="0"/>
    <x v="2"/>
    <x v="2"/>
    <n v="10.7"/>
    <n v="9.6999999999999993"/>
    <x v="4"/>
    <n v="4"/>
    <x v="0"/>
    <n v="75400"/>
    <n v="8900"/>
    <n v="84300"/>
    <s v="C"/>
    <d v="2015-04-07T00:00:00"/>
    <x v="2"/>
  </r>
  <r>
    <x v="1997"/>
    <x v="1"/>
    <n v="41"/>
    <x v="3"/>
    <x v="5"/>
    <x v="1"/>
    <n v="11.1"/>
    <n v="7.1"/>
    <x v="4"/>
    <n v="4"/>
    <x v="0"/>
    <n v="84700"/>
    <n v="5800"/>
    <n v="90500"/>
    <s v="D"/>
    <d v="2014-11-16T00:00:00"/>
    <x v="1"/>
  </r>
  <r>
    <x v="1998"/>
    <x v="0"/>
    <n v="35"/>
    <x v="3"/>
    <x v="5"/>
    <x v="1"/>
    <n v="5.3"/>
    <n v="4.2"/>
    <x v="1"/>
    <n v="4"/>
    <x v="0"/>
    <n v="76000"/>
    <n v="5400"/>
    <n v="81400"/>
    <s v="C"/>
    <d v="2020-09-22T00:00:00"/>
    <x v="1"/>
  </r>
  <r>
    <x v="1999"/>
    <x v="0"/>
    <n v="32"/>
    <x v="1"/>
    <x v="7"/>
    <x v="1"/>
    <n v="5.5"/>
    <n v="3.1"/>
    <x v="1"/>
    <n v="4"/>
    <x v="0"/>
    <n v="80300"/>
    <n v="4600"/>
    <n v="84900"/>
    <s v="D"/>
    <d v="2020-06-15T00:00:00"/>
    <x v="1"/>
  </r>
  <r>
    <x v="2000"/>
    <x v="0"/>
    <n v="34"/>
    <x v="5"/>
    <x v="15"/>
    <x v="1"/>
    <n v="7.5"/>
    <n v="4.3"/>
    <x v="2"/>
    <n v="4"/>
    <x v="0"/>
    <n v="79200"/>
    <n v="10700"/>
    <n v="89900"/>
    <s v="C"/>
    <d v="2018-06-20T00:00:00"/>
    <x v="1"/>
  </r>
  <r>
    <x v="2001"/>
    <x v="1"/>
    <n v="34"/>
    <x v="4"/>
    <x v="16"/>
    <x v="2"/>
    <n v="4.9000000000000004"/>
    <n v="2.4"/>
    <x v="1"/>
    <n v="2"/>
    <x v="0"/>
    <n v="93000"/>
    <n v="12900"/>
    <n v="105900"/>
    <s v="D"/>
    <d v="2021-02-18T00:00:00"/>
    <x v="2"/>
  </r>
  <r>
    <x v="2002"/>
    <x v="0"/>
    <n v="37"/>
    <x v="5"/>
    <x v="17"/>
    <x v="2"/>
    <n v="12.6"/>
    <n v="9"/>
    <x v="3"/>
    <n v="2"/>
    <x v="0"/>
    <n v="112400"/>
    <n v="21400"/>
    <n v="133800"/>
    <s v="E"/>
    <d v="2013-05-13T00:00:00"/>
    <x v="2"/>
  </r>
  <r>
    <x v="2003"/>
    <x v="1"/>
    <n v="41"/>
    <x v="2"/>
    <x v="4"/>
    <x v="2"/>
    <n v="2.2999999999999998"/>
    <n v="2.2999999999999998"/>
    <x v="0"/>
    <n v="4"/>
    <x v="0"/>
    <n v="73200"/>
    <n v="3500"/>
    <n v="76700"/>
    <s v="C"/>
    <d v="2023-08-30T00:00:00"/>
    <x v="2"/>
  </r>
  <r>
    <x v="2004"/>
    <x v="0"/>
    <n v="46"/>
    <x v="5"/>
    <x v="17"/>
    <x v="1"/>
    <n v="13.8"/>
    <n v="9.6"/>
    <x v="3"/>
    <n v="2"/>
    <x v="0"/>
    <n v="97000"/>
    <n v="14500"/>
    <n v="111500"/>
    <s v="D"/>
    <d v="2012-03-07T00:00:00"/>
    <x v="1"/>
  </r>
  <r>
    <x v="2005"/>
    <x v="1"/>
    <n v="41"/>
    <x v="1"/>
    <x v="3"/>
    <x v="2"/>
    <n v="12.7"/>
    <n v="9"/>
    <x v="3"/>
    <n v="3"/>
    <x v="0"/>
    <n v="88300"/>
    <n v="7800"/>
    <n v="96100"/>
    <s v="D"/>
    <d v="2013-04-09T00:00:00"/>
    <x v="2"/>
  </r>
  <r>
    <x v="2006"/>
    <x v="0"/>
    <n v="21"/>
    <x v="5"/>
    <x v="17"/>
    <x v="1"/>
    <n v="2.5"/>
    <n v="2.1"/>
    <x v="0"/>
    <n v="4"/>
    <x v="2"/>
    <n v="70400"/>
    <n v="9300"/>
    <n v="79700"/>
    <s v="C"/>
    <d v="2023-07-05T00:00:00"/>
    <x v="1"/>
  </r>
  <r>
    <x v="2007"/>
    <x v="1"/>
    <n v="33"/>
    <x v="1"/>
    <x v="10"/>
    <x v="1"/>
    <n v="4.3"/>
    <n v="4.3"/>
    <x v="1"/>
    <n v="4"/>
    <x v="0"/>
    <n v="109300"/>
    <n v="10600"/>
    <n v="119900"/>
    <s v="E"/>
    <d v="2021-09-25T00:00:00"/>
    <x v="1"/>
  </r>
  <r>
    <x v="2008"/>
    <x v="0"/>
    <n v="46"/>
    <x v="1"/>
    <x v="7"/>
    <x v="1"/>
    <n v="11.4"/>
    <n v="7.8"/>
    <x v="4"/>
    <n v="1"/>
    <x v="0"/>
    <n v="85100"/>
    <n v="6500"/>
    <n v="91600"/>
    <s v="D"/>
    <d v="2014-08-04T00:00:00"/>
    <x v="1"/>
  </r>
  <r>
    <x v="2009"/>
    <x v="0"/>
    <n v="28"/>
    <x v="2"/>
    <x v="4"/>
    <x v="2"/>
    <n v="4.2"/>
    <n v="2.8"/>
    <x v="1"/>
    <n v="5"/>
    <x v="0"/>
    <n v="81000"/>
    <n v="3800"/>
    <n v="84800"/>
    <s v="D"/>
    <d v="2021-10-14T00:00:00"/>
    <x v="2"/>
  </r>
  <r>
    <x v="2010"/>
    <x v="1"/>
    <n v="47"/>
    <x v="1"/>
    <x v="3"/>
    <x v="2"/>
    <n v="13"/>
    <n v="9.6"/>
    <x v="3"/>
    <n v="3"/>
    <x v="0"/>
    <n v="91800"/>
    <n v="7500"/>
    <n v="99300"/>
    <s v="D"/>
    <d v="2012-12-25T00:00:00"/>
    <x v="2"/>
  </r>
  <r>
    <x v="2011"/>
    <x v="0"/>
    <n v="21"/>
    <x v="1"/>
    <x v="7"/>
    <x v="0"/>
    <n v="7.8"/>
    <n v="6"/>
    <x v="2"/>
    <n v="3"/>
    <x v="0"/>
    <n v="77000"/>
    <n v="6500"/>
    <n v="83500"/>
    <s v="C"/>
    <d v="2018-03-10T00:00:00"/>
    <x v="0"/>
  </r>
  <r>
    <x v="2012"/>
    <x v="1"/>
    <n v="47"/>
    <x v="4"/>
    <x v="6"/>
    <x v="2"/>
    <n v="13.2"/>
    <n v="8.4"/>
    <x v="3"/>
    <n v="3"/>
    <x v="0"/>
    <n v="84900"/>
    <n v="7900"/>
    <n v="92800"/>
    <s v="D"/>
    <d v="2012-11-02T00:00:00"/>
    <x v="2"/>
  </r>
  <r>
    <x v="2013"/>
    <x v="1"/>
    <n v="33"/>
    <x v="0"/>
    <x v="2"/>
    <x v="0"/>
    <n v="3.5"/>
    <n v="2.6"/>
    <x v="1"/>
    <n v="4"/>
    <x v="0"/>
    <n v="58600"/>
    <n v="4200"/>
    <n v="62800"/>
    <s v="B"/>
    <d v="2022-07-15T00:00:00"/>
    <x v="0"/>
  </r>
  <r>
    <x v="2014"/>
    <x v="0"/>
    <n v="45"/>
    <x v="2"/>
    <x v="18"/>
    <x v="2"/>
    <n v="11.8"/>
    <n v="7"/>
    <x v="4"/>
    <n v="2"/>
    <x v="0"/>
    <n v="86600"/>
    <n v="8100"/>
    <n v="94700"/>
    <s v="D"/>
    <d v="2014-03-06T00:00:00"/>
    <x v="2"/>
  </r>
  <r>
    <x v="2015"/>
    <x v="1"/>
    <n v="43"/>
    <x v="4"/>
    <x v="14"/>
    <x v="0"/>
    <n v="13.9"/>
    <n v="10.8"/>
    <x v="3"/>
    <n v="5"/>
    <x v="0"/>
    <n v="119800"/>
    <n v="13500"/>
    <n v="133300"/>
    <s v="E"/>
    <d v="2012-02-17T00:00:00"/>
    <x v="0"/>
  </r>
  <r>
    <x v="2016"/>
    <x v="0"/>
    <n v="30"/>
    <x v="5"/>
    <x v="9"/>
    <x v="1"/>
    <n v="11.9"/>
    <n v="6.7"/>
    <x v="4"/>
    <n v="1"/>
    <x v="0"/>
    <n v="114600"/>
    <n v="18000"/>
    <n v="132600"/>
    <s v="E"/>
    <d v="2014-01-28T00:00:00"/>
    <x v="1"/>
  </r>
  <r>
    <x v="2017"/>
    <x v="0"/>
    <n v="26"/>
    <x v="4"/>
    <x v="14"/>
    <x v="1"/>
    <n v="11.9"/>
    <n v="8.6"/>
    <x v="4"/>
    <n v="3"/>
    <x v="0"/>
    <n v="124300"/>
    <n v="8000"/>
    <n v="132300"/>
    <s v="E"/>
    <d v="2014-02-21T00:00:00"/>
    <x v="1"/>
  </r>
  <r>
    <x v="2018"/>
    <x v="0"/>
    <n v="33"/>
    <x v="3"/>
    <x v="5"/>
    <x v="1"/>
    <n v="12.1"/>
    <n v="7.3"/>
    <x v="3"/>
    <n v="3"/>
    <x v="0"/>
    <n v="88000"/>
    <n v="4900"/>
    <n v="92900"/>
    <s v="D"/>
    <d v="2013-12-10T00:00:00"/>
    <x v="1"/>
  </r>
  <r>
    <x v="2019"/>
    <x v="0"/>
    <n v="33"/>
    <x v="4"/>
    <x v="6"/>
    <x v="2"/>
    <n v="4.8"/>
    <n v="1.5"/>
    <x v="1"/>
    <n v="4"/>
    <x v="0"/>
    <n v="76600"/>
    <n v="7800"/>
    <n v="84400"/>
    <s v="C"/>
    <d v="2021-02-26T00:00:00"/>
    <x v="2"/>
  </r>
  <r>
    <x v="2020"/>
    <x v="1"/>
    <n v="41"/>
    <x v="0"/>
    <x v="1"/>
    <x v="2"/>
    <n v="10.6"/>
    <n v="9.3000000000000007"/>
    <x v="4"/>
    <n v="3"/>
    <x v="0"/>
    <n v="70600"/>
    <n v="3800"/>
    <n v="74400"/>
    <s v="C"/>
    <d v="2015-05-15T00:00:00"/>
    <x v="2"/>
  </r>
  <r>
    <x v="2021"/>
    <x v="0"/>
    <n v="47"/>
    <x v="4"/>
    <x v="8"/>
    <x v="2"/>
    <n v="12.9"/>
    <n v="9"/>
    <x v="3"/>
    <n v="3"/>
    <x v="0"/>
    <n v="100300"/>
    <n v="5200"/>
    <n v="105500"/>
    <s v="E"/>
    <d v="2013-02-12T00:00:00"/>
    <x v="2"/>
  </r>
  <r>
    <x v="2022"/>
    <x v="1"/>
    <n v="33"/>
    <x v="2"/>
    <x v="11"/>
    <x v="2"/>
    <n v="9.6"/>
    <n v="6.8"/>
    <x v="4"/>
    <n v="4"/>
    <x v="0"/>
    <n v="101500"/>
    <n v="4300"/>
    <n v="105800"/>
    <s v="E"/>
    <d v="2016-05-13T00:00:00"/>
    <x v="2"/>
  </r>
  <r>
    <x v="2023"/>
    <x v="1"/>
    <n v="34"/>
    <x v="2"/>
    <x v="18"/>
    <x v="0"/>
    <n v="3.7"/>
    <n v="0.7"/>
    <x v="1"/>
    <n v="4"/>
    <x v="0"/>
    <n v="59500"/>
    <n v="4800"/>
    <n v="64300"/>
    <s v="B"/>
    <d v="2022-04-08T00:00:00"/>
    <x v="0"/>
  </r>
  <r>
    <x v="2024"/>
    <x v="1"/>
    <n v="36"/>
    <x v="2"/>
    <x v="18"/>
    <x v="2"/>
    <n v="10.1"/>
    <n v="4.9000000000000004"/>
    <x v="4"/>
    <n v="5"/>
    <x v="0"/>
    <n v="80200"/>
    <n v="7800"/>
    <n v="88000"/>
    <s v="D"/>
    <d v="2015-12-02T00:00:00"/>
    <x v="2"/>
  </r>
  <r>
    <x v="2025"/>
    <x v="0"/>
    <n v="43"/>
    <x v="0"/>
    <x v="1"/>
    <x v="2"/>
    <n v="7.6"/>
    <n v="6.5"/>
    <x v="2"/>
    <n v="3"/>
    <x v="0"/>
    <n v="95700"/>
    <n v="5700"/>
    <n v="101400"/>
    <s v="D"/>
    <d v="2018-05-17T00:00:00"/>
    <x v="2"/>
  </r>
  <r>
    <x v="2026"/>
    <x v="1"/>
    <n v="31"/>
    <x v="0"/>
    <x v="2"/>
    <x v="1"/>
    <n v="11.6"/>
    <n v="5.2"/>
    <x v="4"/>
    <n v="4"/>
    <x v="0"/>
    <n v="76800"/>
    <n v="5100"/>
    <n v="81900"/>
    <s v="C"/>
    <d v="2014-06-06T00:00:00"/>
    <x v="1"/>
  </r>
  <r>
    <x v="2027"/>
    <x v="0"/>
    <n v="28"/>
    <x v="1"/>
    <x v="10"/>
    <x v="3"/>
    <n v="8.3000000000000007"/>
    <n v="4.8"/>
    <x v="2"/>
    <n v="4"/>
    <x v="0"/>
    <n v="121500"/>
    <n v="14500"/>
    <n v="136000"/>
    <s v="E"/>
    <d v="2017-09-14T00:00:00"/>
    <x v="3"/>
  </r>
  <r>
    <x v="2028"/>
    <x v="0"/>
    <n v="46"/>
    <x v="5"/>
    <x v="17"/>
    <x v="2"/>
    <n v="5.0999999999999996"/>
    <n v="1.8"/>
    <x v="1"/>
    <n v="2"/>
    <x v="0"/>
    <n v="104100"/>
    <n v="20200"/>
    <n v="124300"/>
    <s v="E"/>
    <d v="2020-11-16T00:00:00"/>
    <x v="2"/>
  </r>
  <r>
    <x v="2029"/>
    <x v="1"/>
    <n v="30"/>
    <x v="4"/>
    <x v="16"/>
    <x v="2"/>
    <n v="6.1"/>
    <n v="3.8"/>
    <x v="2"/>
    <n v="1"/>
    <x v="1"/>
    <n v="62400"/>
    <n v="8200"/>
    <n v="70600"/>
    <s v="B"/>
    <d v="2019-11-16T00:00:00"/>
    <x v="2"/>
  </r>
  <r>
    <x v="2030"/>
    <x v="1"/>
    <n v="37"/>
    <x v="5"/>
    <x v="17"/>
    <x v="2"/>
    <n v="5.6"/>
    <n v="1.2"/>
    <x v="1"/>
    <n v="4"/>
    <x v="1"/>
    <n v="65900"/>
    <n v="13600"/>
    <n v="79500"/>
    <s v="C"/>
    <d v="2020-06-10T00:00:00"/>
    <x v="2"/>
  </r>
  <r>
    <x v="2031"/>
    <x v="0"/>
    <n v="41"/>
    <x v="0"/>
    <x v="1"/>
    <x v="2"/>
    <n v="10.8"/>
    <n v="8.8000000000000007"/>
    <x v="4"/>
    <n v="4"/>
    <x v="2"/>
    <n v="68800"/>
    <n v="5800"/>
    <n v="74600"/>
    <s v="C"/>
    <d v="2015-03-20T00:00:00"/>
    <x v="2"/>
  </r>
  <r>
    <x v="2032"/>
    <x v="0"/>
    <n v="31"/>
    <x v="0"/>
    <x v="0"/>
    <x v="1"/>
    <n v="12.6"/>
    <n v="9.3000000000000007"/>
    <x v="3"/>
    <n v="4"/>
    <x v="0"/>
    <n v="99500"/>
    <n v="8800"/>
    <n v="108300"/>
    <s v="D"/>
    <d v="2013-06-12T00:00:00"/>
    <x v="1"/>
  </r>
  <r>
    <x v="2033"/>
    <x v="1"/>
    <n v="21"/>
    <x v="0"/>
    <x v="0"/>
    <x v="1"/>
    <n v="9.6"/>
    <n v="6.6"/>
    <x v="4"/>
    <n v="1"/>
    <x v="0"/>
    <n v="101100"/>
    <n v="4700"/>
    <n v="105800"/>
    <s v="E"/>
    <d v="2016-05-27T00:00:00"/>
    <x v="1"/>
  </r>
  <r>
    <x v="2034"/>
    <x v="1"/>
    <n v="43"/>
    <x v="5"/>
    <x v="17"/>
    <x v="2"/>
    <n v="9.6"/>
    <n v="9.1"/>
    <x v="4"/>
    <n v="5"/>
    <x v="0"/>
    <n v="138400"/>
    <n v="15100"/>
    <n v="153500"/>
    <s v="E"/>
    <d v="2016-05-15T00:00:00"/>
    <x v="2"/>
  </r>
  <r>
    <x v="2035"/>
    <x v="1"/>
    <n v="21"/>
    <x v="1"/>
    <x v="7"/>
    <x v="2"/>
    <n v="11.8"/>
    <n v="7.8"/>
    <x v="4"/>
    <n v="4"/>
    <x v="0"/>
    <n v="85500"/>
    <n v="8500"/>
    <n v="94000"/>
    <s v="D"/>
    <d v="2014-03-01T00:00:00"/>
    <x v="2"/>
  </r>
  <r>
    <x v="2036"/>
    <x v="1"/>
    <n v="44"/>
    <x v="4"/>
    <x v="14"/>
    <x v="1"/>
    <n v="12.7"/>
    <n v="7.7"/>
    <x v="3"/>
    <n v="4"/>
    <x v="1"/>
    <n v="75100"/>
    <n v="3900"/>
    <n v="79000"/>
    <s v="C"/>
    <d v="2013-05-02T00:00:00"/>
    <x v="1"/>
  </r>
  <r>
    <x v="2037"/>
    <x v="1"/>
    <n v="45"/>
    <x v="2"/>
    <x v="11"/>
    <x v="1"/>
    <n v="5"/>
    <n v="4"/>
    <x v="1"/>
    <n v="3"/>
    <x v="1"/>
    <n v="70700"/>
    <n v="3500"/>
    <n v="74200"/>
    <s v="C"/>
    <d v="2021-01-04T00:00:00"/>
    <x v="1"/>
  </r>
  <r>
    <x v="2038"/>
    <x v="1"/>
    <n v="31"/>
    <x v="5"/>
    <x v="9"/>
    <x v="1"/>
    <n v="10.3"/>
    <n v="7.8"/>
    <x v="4"/>
    <n v="4"/>
    <x v="2"/>
    <n v="95800"/>
    <n v="10000"/>
    <n v="105800"/>
    <s v="D"/>
    <d v="2015-10-02T00:00:00"/>
    <x v="1"/>
  </r>
  <r>
    <x v="2039"/>
    <x v="1"/>
    <n v="30"/>
    <x v="5"/>
    <x v="15"/>
    <x v="0"/>
    <n v="8.3000000000000007"/>
    <n v="4.8"/>
    <x v="2"/>
    <n v="1"/>
    <x v="0"/>
    <n v="61300"/>
    <n v="6300"/>
    <n v="67600"/>
    <s v="B"/>
    <d v="2017-08-31T00:00:00"/>
    <x v="0"/>
  </r>
  <r>
    <x v="2040"/>
    <x v="0"/>
    <n v="38"/>
    <x v="0"/>
    <x v="2"/>
    <x v="0"/>
    <n v="13.4"/>
    <n v="8.4"/>
    <x v="3"/>
    <n v="3"/>
    <x v="2"/>
    <n v="66100"/>
    <n v="4100"/>
    <n v="70200"/>
    <s v="C"/>
    <d v="2012-07-28T00:00:00"/>
    <x v="0"/>
  </r>
  <r>
    <x v="2041"/>
    <x v="0"/>
    <n v="30"/>
    <x v="0"/>
    <x v="0"/>
    <x v="2"/>
    <n v="11.2"/>
    <n v="6.1"/>
    <x v="4"/>
    <n v="3"/>
    <x v="0"/>
    <n v="102600"/>
    <n v="10500"/>
    <n v="113100"/>
    <s v="E"/>
    <d v="2014-11-05T00:00:00"/>
    <x v="2"/>
  </r>
  <r>
    <x v="2042"/>
    <x v="1"/>
    <n v="29"/>
    <x v="5"/>
    <x v="15"/>
    <x v="2"/>
    <n v="12.2"/>
    <n v="9.1"/>
    <x v="3"/>
    <n v="3"/>
    <x v="1"/>
    <n v="42100"/>
    <n v="7300"/>
    <n v="49400"/>
    <s v="A"/>
    <d v="2013-10-14T00:00:00"/>
    <x v="2"/>
  </r>
  <r>
    <x v="2043"/>
    <x v="1"/>
    <n v="40"/>
    <x v="2"/>
    <x v="11"/>
    <x v="1"/>
    <n v="7.4"/>
    <n v="6"/>
    <x v="2"/>
    <n v="2"/>
    <x v="0"/>
    <n v="101700"/>
    <n v="6200"/>
    <n v="107900"/>
    <s v="E"/>
    <d v="2018-07-27T00:00:00"/>
    <x v="1"/>
  </r>
  <r>
    <x v="2044"/>
    <x v="1"/>
    <n v="47"/>
    <x v="0"/>
    <x v="2"/>
    <x v="1"/>
    <n v="9.1999999999999993"/>
    <n v="6.4"/>
    <x v="4"/>
    <n v="3"/>
    <x v="0"/>
    <n v="74000"/>
    <n v="6200"/>
    <n v="80200"/>
    <s v="C"/>
    <d v="2016-10-03T00:00:00"/>
    <x v="1"/>
  </r>
  <r>
    <x v="2045"/>
    <x v="1"/>
    <n v="39"/>
    <x v="3"/>
    <x v="12"/>
    <x v="2"/>
    <n v="13.1"/>
    <n v="10.4"/>
    <x v="3"/>
    <n v="4"/>
    <x v="0"/>
    <n v="84300"/>
    <n v="7500"/>
    <n v="91800"/>
    <s v="D"/>
    <d v="2012-12-02T00:00:00"/>
    <x v="2"/>
  </r>
  <r>
    <x v="2046"/>
    <x v="0"/>
    <n v="32"/>
    <x v="3"/>
    <x v="13"/>
    <x v="1"/>
    <n v="7.7"/>
    <n v="5.6"/>
    <x v="2"/>
    <n v="4"/>
    <x v="0"/>
    <n v="97400"/>
    <n v="4300"/>
    <n v="101700"/>
    <s v="D"/>
    <d v="2018-04-16T00:00:00"/>
    <x v="1"/>
  </r>
  <r>
    <x v="2047"/>
    <x v="0"/>
    <n v="25"/>
    <x v="4"/>
    <x v="8"/>
    <x v="2"/>
    <n v="1.1000000000000001"/>
    <n v="0"/>
    <x v="0"/>
    <n v="3"/>
    <x v="0"/>
    <n v="72500"/>
    <n v="7400"/>
    <n v="79900"/>
    <s v="C"/>
    <d v="2024-12-01T00:00:00"/>
    <x v="2"/>
  </r>
  <r>
    <x v="2048"/>
    <x v="0"/>
    <n v="38"/>
    <x v="2"/>
    <x v="4"/>
    <x v="0"/>
    <n v="10.199999999999999"/>
    <n v="8.1999999999999993"/>
    <x v="4"/>
    <n v="3"/>
    <x v="0"/>
    <n v="83700"/>
    <n v="3500"/>
    <n v="87200"/>
    <s v="D"/>
    <d v="2015-10-05T00:00:00"/>
    <x v="0"/>
  </r>
  <r>
    <x v="2049"/>
    <x v="0"/>
    <n v="35"/>
    <x v="3"/>
    <x v="5"/>
    <x v="2"/>
    <n v="13.6"/>
    <n v="8.3000000000000007"/>
    <x v="3"/>
    <n v="3"/>
    <x v="0"/>
    <n v="77900"/>
    <n v="2600"/>
    <n v="80500"/>
    <s v="C"/>
    <d v="2012-05-09T00:00:00"/>
    <x v="2"/>
  </r>
  <r>
    <x v="2050"/>
    <x v="1"/>
    <n v="39"/>
    <x v="3"/>
    <x v="12"/>
    <x v="1"/>
    <n v="2.5"/>
    <n v="1.7"/>
    <x v="0"/>
    <n v="4"/>
    <x v="0"/>
    <n v="72800"/>
    <n v="5000"/>
    <n v="77800"/>
    <s v="C"/>
    <d v="2023-07-16T00:00:00"/>
    <x v="1"/>
  </r>
  <r>
    <x v="2051"/>
    <x v="0"/>
    <n v="26"/>
    <x v="3"/>
    <x v="5"/>
    <x v="2"/>
    <n v="11.8"/>
    <n v="6.5"/>
    <x v="4"/>
    <n v="3"/>
    <x v="0"/>
    <n v="84700"/>
    <n v="2800"/>
    <n v="87500"/>
    <s v="D"/>
    <d v="2014-03-29T00:00:00"/>
    <x v="2"/>
  </r>
  <r>
    <x v="2052"/>
    <x v="1"/>
    <n v="38"/>
    <x v="0"/>
    <x v="0"/>
    <x v="1"/>
    <n v="10.8"/>
    <n v="7.8"/>
    <x v="4"/>
    <n v="3"/>
    <x v="0"/>
    <n v="103400"/>
    <n v="7600"/>
    <n v="111000"/>
    <s v="E"/>
    <d v="2015-03-30T00:00:00"/>
    <x v="1"/>
  </r>
  <r>
    <x v="2053"/>
    <x v="0"/>
    <n v="33"/>
    <x v="2"/>
    <x v="4"/>
    <x v="2"/>
    <n v="8.3000000000000007"/>
    <n v="7.1"/>
    <x v="2"/>
    <n v="2"/>
    <x v="1"/>
    <n v="57100"/>
    <n v="3700"/>
    <n v="60800"/>
    <s v="B"/>
    <d v="2017-09-20T00:00:00"/>
    <x v="2"/>
  </r>
  <r>
    <x v="2054"/>
    <x v="1"/>
    <n v="34"/>
    <x v="3"/>
    <x v="13"/>
    <x v="0"/>
    <n v="9.8000000000000007"/>
    <n v="6.8"/>
    <x v="4"/>
    <n v="3"/>
    <x v="0"/>
    <n v="113100"/>
    <n v="6600"/>
    <n v="119700"/>
    <s v="E"/>
    <d v="2016-02-27T00:00:00"/>
    <x v="0"/>
  </r>
  <r>
    <x v="2055"/>
    <x v="1"/>
    <n v="32"/>
    <x v="3"/>
    <x v="12"/>
    <x v="1"/>
    <n v="12.9"/>
    <n v="7.5"/>
    <x v="3"/>
    <n v="4"/>
    <x v="2"/>
    <n v="65200"/>
    <n v="3800"/>
    <n v="69000"/>
    <s v="C"/>
    <d v="2013-02-23T00:00:00"/>
    <x v="1"/>
  </r>
  <r>
    <x v="2056"/>
    <x v="0"/>
    <n v="45"/>
    <x v="5"/>
    <x v="9"/>
    <x v="1"/>
    <n v="9.3000000000000007"/>
    <n v="8.6"/>
    <x v="4"/>
    <n v="3"/>
    <x v="0"/>
    <n v="101700"/>
    <n v="17900"/>
    <n v="119600"/>
    <s v="E"/>
    <d v="2016-09-17T00:00:00"/>
    <x v="1"/>
  </r>
  <r>
    <x v="2057"/>
    <x v="1"/>
    <n v="58"/>
    <x v="4"/>
    <x v="14"/>
    <x v="1"/>
    <n v="8.1"/>
    <n v="4.8"/>
    <x v="2"/>
    <n v="3"/>
    <x v="0"/>
    <n v="113800"/>
    <n v="13500"/>
    <n v="127300"/>
    <s v="E"/>
    <d v="2017-12-12T00:00:00"/>
    <x v="1"/>
  </r>
  <r>
    <x v="2058"/>
    <x v="1"/>
    <n v="30"/>
    <x v="0"/>
    <x v="0"/>
    <x v="2"/>
    <n v="11.4"/>
    <n v="7.3"/>
    <x v="4"/>
    <n v="3"/>
    <x v="0"/>
    <n v="101500"/>
    <n v="9800"/>
    <n v="111300"/>
    <s v="E"/>
    <d v="2014-08-01T00:00:00"/>
    <x v="2"/>
  </r>
  <r>
    <x v="2059"/>
    <x v="0"/>
    <n v="41"/>
    <x v="1"/>
    <x v="3"/>
    <x v="1"/>
    <n v="1.9"/>
    <n v="1.9"/>
    <x v="0"/>
    <n v="2"/>
    <x v="1"/>
    <n v="44800"/>
    <n v="1900"/>
    <n v="46700"/>
    <s v="A"/>
    <d v="2024-02-08T00:00:00"/>
    <x v="1"/>
  </r>
  <r>
    <x v="2060"/>
    <x v="0"/>
    <n v="27"/>
    <x v="0"/>
    <x v="1"/>
    <x v="2"/>
    <n v="11.9"/>
    <n v="8.3000000000000007"/>
    <x v="4"/>
    <n v="3"/>
    <x v="0"/>
    <n v="86100"/>
    <n v="8500"/>
    <n v="94600"/>
    <s v="D"/>
    <d v="2014-01-25T00:00:00"/>
    <x v="2"/>
  </r>
  <r>
    <x v="2061"/>
    <x v="1"/>
    <n v="24"/>
    <x v="4"/>
    <x v="8"/>
    <x v="0"/>
    <n v="11.9"/>
    <n v="7.4"/>
    <x v="4"/>
    <n v="3"/>
    <x v="0"/>
    <n v="75200"/>
    <n v="10300"/>
    <n v="85500"/>
    <s v="C"/>
    <d v="2014-02-06T00:00:00"/>
    <x v="0"/>
  </r>
  <r>
    <x v="2062"/>
    <x v="0"/>
    <n v="33"/>
    <x v="4"/>
    <x v="14"/>
    <x v="0"/>
    <n v="9.3000000000000007"/>
    <n v="8.8000000000000007"/>
    <x v="4"/>
    <n v="4"/>
    <x v="0"/>
    <n v="105400"/>
    <n v="10100"/>
    <n v="115500"/>
    <s v="E"/>
    <d v="2016-09-16T00:00:00"/>
    <x v="0"/>
  </r>
  <r>
    <x v="2063"/>
    <x v="1"/>
    <n v="49"/>
    <x v="4"/>
    <x v="14"/>
    <x v="1"/>
    <n v="13.4"/>
    <n v="9"/>
    <x v="3"/>
    <n v="3"/>
    <x v="0"/>
    <n v="117100"/>
    <n v="17000"/>
    <n v="134100"/>
    <s v="E"/>
    <d v="2012-08-11T00:00:00"/>
    <x v="1"/>
  </r>
  <r>
    <x v="2064"/>
    <x v="0"/>
    <n v="46"/>
    <x v="0"/>
    <x v="0"/>
    <x v="1"/>
    <n v="5.7"/>
    <n v="4.2"/>
    <x v="1"/>
    <n v="3"/>
    <x v="0"/>
    <n v="109200"/>
    <n v="9900"/>
    <n v="119100"/>
    <s v="E"/>
    <d v="2020-05-03T00:00:00"/>
    <x v="1"/>
  </r>
  <r>
    <x v="2065"/>
    <x v="0"/>
    <n v="34"/>
    <x v="3"/>
    <x v="13"/>
    <x v="1"/>
    <n v="12.9"/>
    <n v="8.1"/>
    <x v="3"/>
    <n v="2"/>
    <x v="1"/>
    <n v="62300"/>
    <n v="2800"/>
    <n v="65100"/>
    <s v="B"/>
    <d v="2013-01-27T00:00:00"/>
    <x v="1"/>
  </r>
  <r>
    <x v="2066"/>
    <x v="1"/>
    <n v="44"/>
    <x v="0"/>
    <x v="2"/>
    <x v="1"/>
    <n v="4.7"/>
    <n v="3.2"/>
    <x v="1"/>
    <n v="2"/>
    <x v="0"/>
    <n v="69700"/>
    <n v="5600"/>
    <n v="75300"/>
    <s v="C"/>
    <d v="2021-04-20T00:00:00"/>
    <x v="1"/>
  </r>
  <r>
    <x v="2067"/>
    <x v="0"/>
    <n v="35"/>
    <x v="5"/>
    <x v="15"/>
    <x v="1"/>
    <n v="3"/>
    <n v="2.9"/>
    <x v="1"/>
    <n v="4"/>
    <x v="2"/>
    <n v="51900"/>
    <n v="5200"/>
    <n v="57100"/>
    <s v="B"/>
    <d v="2023-01-11T00:00:00"/>
    <x v="1"/>
  </r>
  <r>
    <x v="2068"/>
    <x v="1"/>
    <n v="29"/>
    <x v="5"/>
    <x v="17"/>
    <x v="2"/>
    <n v="7.3"/>
    <n v="1.7"/>
    <x v="2"/>
    <n v="3"/>
    <x v="0"/>
    <n v="90500"/>
    <n v="13000"/>
    <n v="103500"/>
    <s v="D"/>
    <d v="2018-09-24T00:00:00"/>
    <x v="2"/>
  </r>
  <r>
    <x v="2069"/>
    <x v="1"/>
    <n v="44"/>
    <x v="5"/>
    <x v="17"/>
    <x v="1"/>
    <n v="12.3"/>
    <n v="9.1999999999999993"/>
    <x v="3"/>
    <n v="2"/>
    <x v="1"/>
    <n v="63800"/>
    <n v="6900"/>
    <n v="70700"/>
    <s v="B"/>
    <d v="2013-09-12T00:00:00"/>
    <x v="1"/>
  </r>
  <r>
    <x v="2070"/>
    <x v="1"/>
    <n v="39"/>
    <x v="0"/>
    <x v="1"/>
    <x v="2"/>
    <n v="7.7"/>
    <n v="3.6"/>
    <x v="2"/>
    <n v="3"/>
    <x v="0"/>
    <n v="87200"/>
    <n v="4800"/>
    <n v="92000"/>
    <s v="D"/>
    <d v="2018-05-03T00:00:00"/>
    <x v="2"/>
  </r>
  <r>
    <x v="2071"/>
    <x v="0"/>
    <n v="53"/>
    <x v="4"/>
    <x v="16"/>
    <x v="2"/>
    <n v="11.9"/>
    <n v="7"/>
    <x v="4"/>
    <n v="3"/>
    <x v="0"/>
    <n v="112000"/>
    <n v="15400"/>
    <n v="127400"/>
    <s v="E"/>
    <d v="2014-01-24T00:00:00"/>
    <x v="2"/>
  </r>
  <r>
    <x v="2072"/>
    <x v="1"/>
    <n v="28"/>
    <x v="4"/>
    <x v="8"/>
    <x v="2"/>
    <n v="9.1999999999999993"/>
    <n v="7.9"/>
    <x v="4"/>
    <n v="2"/>
    <x v="0"/>
    <n v="90800"/>
    <n v="9800"/>
    <n v="100600"/>
    <s v="D"/>
    <d v="2016-10-30T00:00:00"/>
    <x v="2"/>
  </r>
  <r>
    <x v="2073"/>
    <x v="1"/>
    <n v="38"/>
    <x v="4"/>
    <x v="14"/>
    <x v="1"/>
    <n v="12.1"/>
    <n v="8.1"/>
    <x v="3"/>
    <n v="4"/>
    <x v="0"/>
    <n v="113700"/>
    <n v="9800"/>
    <n v="123500"/>
    <s v="E"/>
    <d v="2013-11-26T00:00:00"/>
    <x v="1"/>
  </r>
  <r>
    <x v="2074"/>
    <x v="1"/>
    <n v="49"/>
    <x v="3"/>
    <x v="12"/>
    <x v="2"/>
    <n v="12.8"/>
    <n v="9.6"/>
    <x v="3"/>
    <n v="3"/>
    <x v="0"/>
    <n v="93500"/>
    <n v="5800"/>
    <n v="99300"/>
    <s v="D"/>
    <d v="2013-03-21T00:00:00"/>
    <x v="2"/>
  </r>
  <r>
    <x v="2075"/>
    <x v="1"/>
    <n v="35"/>
    <x v="2"/>
    <x v="4"/>
    <x v="3"/>
    <n v="8.6"/>
    <n v="4.5999999999999996"/>
    <x v="2"/>
    <n v="3"/>
    <x v="0"/>
    <n v="96300"/>
    <n v="9100"/>
    <n v="105400"/>
    <s v="D"/>
    <d v="2017-05-22T00:00:00"/>
    <x v="3"/>
  </r>
  <r>
    <x v="2076"/>
    <x v="1"/>
    <n v="39"/>
    <x v="1"/>
    <x v="3"/>
    <x v="2"/>
    <n v="13.3"/>
    <n v="8.9"/>
    <x v="3"/>
    <n v="2"/>
    <x v="1"/>
    <n v="52000"/>
    <n v="4000"/>
    <n v="56000"/>
    <s v="B"/>
    <d v="2012-09-25T00:00:00"/>
    <x v="2"/>
  </r>
  <r>
    <x v="2077"/>
    <x v="0"/>
    <n v="33"/>
    <x v="5"/>
    <x v="9"/>
    <x v="1"/>
    <n v="5.6"/>
    <n v="2"/>
    <x v="1"/>
    <n v="3"/>
    <x v="2"/>
    <n v="67700"/>
    <n v="12300"/>
    <n v="80000"/>
    <s v="C"/>
    <d v="2020-05-24T00:00:00"/>
    <x v="1"/>
  </r>
  <r>
    <x v="2078"/>
    <x v="1"/>
    <n v="48"/>
    <x v="5"/>
    <x v="15"/>
    <x v="0"/>
    <n v="2.2999999999999998"/>
    <n v="2.1"/>
    <x v="0"/>
    <n v="3"/>
    <x v="0"/>
    <n v="53300"/>
    <n v="7500"/>
    <n v="60800"/>
    <s v="B"/>
    <d v="2023-09-24T00:00:00"/>
    <x v="0"/>
  </r>
  <r>
    <x v="2079"/>
    <x v="1"/>
    <n v="42"/>
    <x v="0"/>
    <x v="1"/>
    <x v="2"/>
    <n v="8.6999999999999993"/>
    <n v="4.5999999999999996"/>
    <x v="2"/>
    <n v="3"/>
    <x v="0"/>
    <n v="74500"/>
    <n v="4400"/>
    <n v="78900"/>
    <s v="C"/>
    <d v="2017-04-17T00:00:00"/>
    <x v="2"/>
  </r>
  <r>
    <x v="2080"/>
    <x v="1"/>
    <n v="29"/>
    <x v="3"/>
    <x v="5"/>
    <x v="1"/>
    <n v="6.9"/>
    <n v="4"/>
    <x v="2"/>
    <n v="4"/>
    <x v="0"/>
    <n v="89600"/>
    <n v="3100"/>
    <n v="92700"/>
    <s v="D"/>
    <d v="2019-01-23T00:00:00"/>
    <x v="1"/>
  </r>
  <r>
    <x v="2081"/>
    <x v="0"/>
    <n v="36"/>
    <x v="2"/>
    <x v="4"/>
    <x v="1"/>
    <n v="7.1"/>
    <n v="7"/>
    <x v="2"/>
    <n v="3"/>
    <x v="0"/>
    <n v="91500"/>
    <n v="9200"/>
    <n v="100700"/>
    <s v="D"/>
    <d v="2018-11-11T00:00:00"/>
    <x v="1"/>
  </r>
  <r>
    <x v="2082"/>
    <x v="1"/>
    <n v="36"/>
    <x v="3"/>
    <x v="5"/>
    <x v="2"/>
    <n v="11.2"/>
    <n v="8"/>
    <x v="4"/>
    <n v="3"/>
    <x v="0"/>
    <n v="84100"/>
    <n v="3600"/>
    <n v="87700"/>
    <s v="D"/>
    <d v="2014-10-13T00:00:00"/>
    <x v="2"/>
  </r>
  <r>
    <x v="2083"/>
    <x v="1"/>
    <n v="40"/>
    <x v="5"/>
    <x v="17"/>
    <x v="2"/>
    <n v="4.8"/>
    <n v="2.4"/>
    <x v="1"/>
    <n v="4"/>
    <x v="0"/>
    <n v="96600"/>
    <n v="19600"/>
    <n v="116200"/>
    <s v="D"/>
    <d v="2021-03-11T00:00:00"/>
    <x v="2"/>
  </r>
  <r>
    <x v="2084"/>
    <x v="1"/>
    <n v="49"/>
    <x v="0"/>
    <x v="0"/>
    <x v="1"/>
    <n v="9.6"/>
    <n v="7.4"/>
    <x v="4"/>
    <n v="3"/>
    <x v="1"/>
    <n v="57500"/>
    <n v="3200"/>
    <n v="60700"/>
    <s v="B"/>
    <d v="2016-05-13T00:00:00"/>
    <x v="1"/>
  </r>
  <r>
    <x v="2085"/>
    <x v="1"/>
    <n v="27"/>
    <x v="4"/>
    <x v="8"/>
    <x v="2"/>
    <n v="7"/>
    <n v="5.4"/>
    <x v="2"/>
    <n v="4"/>
    <x v="1"/>
    <n v="63500"/>
    <n v="3300"/>
    <n v="66800"/>
    <s v="B"/>
    <d v="2019-01-18T00:00:00"/>
    <x v="2"/>
  </r>
  <r>
    <x v="2086"/>
    <x v="0"/>
    <n v="49"/>
    <x v="1"/>
    <x v="10"/>
    <x v="1"/>
    <n v="13.9"/>
    <n v="7.8"/>
    <x v="3"/>
    <n v="3"/>
    <x v="0"/>
    <n v="115400"/>
    <n v="8500"/>
    <n v="123900"/>
    <s v="E"/>
    <d v="2012-02-19T00:00:00"/>
    <x v="1"/>
  </r>
  <r>
    <x v="2087"/>
    <x v="1"/>
    <n v="21"/>
    <x v="0"/>
    <x v="2"/>
    <x v="0"/>
    <n v="1.2"/>
    <n v="1.1000000000000001"/>
    <x v="0"/>
    <n v="4"/>
    <x v="0"/>
    <n v="69700"/>
    <n v="7400"/>
    <n v="77100"/>
    <s v="C"/>
    <d v="2024-10-17T00:00:00"/>
    <x v="0"/>
  </r>
  <r>
    <x v="2088"/>
    <x v="1"/>
    <n v="31"/>
    <x v="0"/>
    <x v="0"/>
    <x v="1"/>
    <n v="8"/>
    <n v="6.2"/>
    <x v="2"/>
    <n v="3"/>
    <x v="0"/>
    <n v="107200"/>
    <n v="13200"/>
    <n v="120400"/>
    <s v="E"/>
    <d v="2018-01-02T00:00:00"/>
    <x v="1"/>
  </r>
  <r>
    <x v="2089"/>
    <x v="0"/>
    <n v="30"/>
    <x v="2"/>
    <x v="11"/>
    <x v="0"/>
    <n v="8.6"/>
    <n v="3.8"/>
    <x v="2"/>
    <n v="3"/>
    <x v="0"/>
    <n v="93600"/>
    <n v="5400"/>
    <n v="99000"/>
    <s v="D"/>
    <d v="2017-06-03T00:00:00"/>
    <x v="0"/>
  </r>
  <r>
    <x v="2090"/>
    <x v="0"/>
    <n v="43"/>
    <x v="3"/>
    <x v="12"/>
    <x v="1"/>
    <n v="9"/>
    <n v="4.5999999999999996"/>
    <x v="4"/>
    <n v="4"/>
    <x v="0"/>
    <n v="65600"/>
    <n v="3700"/>
    <n v="69300"/>
    <s v="C"/>
    <d v="2017-01-07T00:00:00"/>
    <x v="1"/>
  </r>
  <r>
    <x v="2091"/>
    <x v="0"/>
    <n v="35"/>
    <x v="1"/>
    <x v="3"/>
    <x v="2"/>
    <n v="12.9"/>
    <n v="8.1999999999999993"/>
    <x v="3"/>
    <n v="3"/>
    <x v="0"/>
    <n v="91600"/>
    <n v="3700"/>
    <n v="95300"/>
    <s v="D"/>
    <d v="2013-02-15T00:00:00"/>
    <x v="2"/>
  </r>
  <r>
    <x v="2092"/>
    <x v="1"/>
    <n v="27"/>
    <x v="1"/>
    <x v="7"/>
    <x v="1"/>
    <n v="11.1"/>
    <n v="8.5"/>
    <x v="4"/>
    <n v="4"/>
    <x v="0"/>
    <n v="82400"/>
    <n v="8200"/>
    <n v="90600"/>
    <s v="D"/>
    <d v="2014-12-04T00:00:00"/>
    <x v="1"/>
  </r>
  <r>
    <x v="2093"/>
    <x v="1"/>
    <n v="38"/>
    <x v="4"/>
    <x v="8"/>
    <x v="1"/>
    <n v="10.6"/>
    <n v="6.4"/>
    <x v="4"/>
    <n v="3"/>
    <x v="0"/>
    <n v="83400"/>
    <n v="5400"/>
    <n v="88800"/>
    <s v="D"/>
    <d v="2015-05-23T00:00:00"/>
    <x v="1"/>
  </r>
  <r>
    <x v="2094"/>
    <x v="0"/>
    <n v="32"/>
    <x v="1"/>
    <x v="7"/>
    <x v="3"/>
    <n v="7.9"/>
    <n v="4.5999999999999996"/>
    <x v="2"/>
    <n v="4"/>
    <x v="0"/>
    <n v="95700"/>
    <n v="7500"/>
    <n v="103200"/>
    <s v="D"/>
    <d v="2018-02-02T00:00:00"/>
    <x v="3"/>
  </r>
  <r>
    <x v="2095"/>
    <x v="0"/>
    <n v="37"/>
    <x v="3"/>
    <x v="12"/>
    <x v="1"/>
    <n v="9.5"/>
    <n v="7"/>
    <x v="4"/>
    <n v="3"/>
    <x v="0"/>
    <n v="75900"/>
    <n v="5700"/>
    <n v="81600"/>
    <s v="C"/>
    <d v="2016-07-16T00:00:00"/>
    <x v="1"/>
  </r>
  <r>
    <x v="2096"/>
    <x v="0"/>
    <n v="37"/>
    <x v="4"/>
    <x v="8"/>
    <x v="0"/>
    <n v="5.3"/>
    <n v="3.1"/>
    <x v="1"/>
    <n v="4"/>
    <x v="0"/>
    <n v="79100"/>
    <n v="7900"/>
    <n v="87000"/>
    <s v="C"/>
    <d v="2020-09-20T00:00:00"/>
    <x v="0"/>
  </r>
  <r>
    <x v="2097"/>
    <x v="1"/>
    <n v="30"/>
    <x v="3"/>
    <x v="5"/>
    <x v="1"/>
    <n v="7.2"/>
    <n v="2.5"/>
    <x v="2"/>
    <n v="2"/>
    <x v="1"/>
    <n v="50000"/>
    <n v="4200"/>
    <n v="54200"/>
    <s v="B"/>
    <d v="2018-10-29T00:00:00"/>
    <x v="1"/>
  </r>
  <r>
    <x v="2098"/>
    <x v="0"/>
    <n v="30"/>
    <x v="1"/>
    <x v="3"/>
    <x v="1"/>
    <n v="3.5"/>
    <n v="3.5"/>
    <x v="1"/>
    <n v="4"/>
    <x v="0"/>
    <n v="66900"/>
    <n v="6000"/>
    <n v="72900"/>
    <s v="C"/>
    <d v="2022-07-06T00:00:00"/>
    <x v="1"/>
  </r>
  <r>
    <x v="2099"/>
    <x v="0"/>
    <n v="33"/>
    <x v="0"/>
    <x v="2"/>
    <x v="1"/>
    <n v="5.8"/>
    <n v="2.4"/>
    <x v="1"/>
    <n v="3"/>
    <x v="0"/>
    <n v="71100"/>
    <n v="3800"/>
    <n v="74900"/>
    <s v="C"/>
    <d v="2020-03-22T00:00:00"/>
    <x v="1"/>
  </r>
  <r>
    <x v="2100"/>
    <x v="0"/>
    <n v="33"/>
    <x v="1"/>
    <x v="3"/>
    <x v="1"/>
    <n v="11.8"/>
    <n v="6.1"/>
    <x v="4"/>
    <n v="4"/>
    <x v="1"/>
    <n v="53700"/>
    <n v="4600"/>
    <n v="58300"/>
    <s v="B"/>
    <d v="2014-03-08T00:00:00"/>
    <x v="1"/>
  </r>
  <r>
    <x v="2101"/>
    <x v="0"/>
    <n v="27"/>
    <x v="3"/>
    <x v="13"/>
    <x v="2"/>
    <n v="8.9"/>
    <n v="4.3"/>
    <x v="2"/>
    <n v="3"/>
    <x v="0"/>
    <n v="117500"/>
    <n v="3800"/>
    <n v="121300"/>
    <s v="E"/>
    <d v="2017-01-20T00:00:00"/>
    <x v="2"/>
  </r>
  <r>
    <x v="2102"/>
    <x v="0"/>
    <n v="31"/>
    <x v="2"/>
    <x v="18"/>
    <x v="2"/>
    <n v="10.6"/>
    <n v="8.6"/>
    <x v="4"/>
    <n v="3"/>
    <x v="0"/>
    <n v="85700"/>
    <n v="3400"/>
    <n v="89100"/>
    <s v="D"/>
    <d v="2015-05-29T00:00:00"/>
    <x v="2"/>
  </r>
  <r>
    <x v="2103"/>
    <x v="0"/>
    <n v="38"/>
    <x v="3"/>
    <x v="5"/>
    <x v="1"/>
    <n v="11.6"/>
    <n v="8.6"/>
    <x v="4"/>
    <n v="4"/>
    <x v="0"/>
    <n v="86700"/>
    <n v="5800"/>
    <n v="92500"/>
    <s v="D"/>
    <d v="2014-05-29T00:00:00"/>
    <x v="1"/>
  </r>
  <r>
    <x v="2104"/>
    <x v="1"/>
    <n v="23"/>
    <x v="3"/>
    <x v="13"/>
    <x v="1"/>
    <n v="3.8"/>
    <n v="2.7"/>
    <x v="1"/>
    <n v="3"/>
    <x v="0"/>
    <n v="96100"/>
    <n v="7600"/>
    <n v="103700"/>
    <s v="D"/>
    <d v="2022-03-26T00:00:00"/>
    <x v="1"/>
  </r>
  <r>
    <x v="2105"/>
    <x v="0"/>
    <n v="45"/>
    <x v="0"/>
    <x v="2"/>
    <x v="1"/>
    <n v="10.7"/>
    <n v="4.8"/>
    <x v="4"/>
    <n v="3"/>
    <x v="1"/>
    <n v="43500"/>
    <n v="4000"/>
    <n v="47500"/>
    <s v="A"/>
    <d v="2015-04-11T00:00:00"/>
    <x v="1"/>
  </r>
  <r>
    <x v="2106"/>
    <x v="0"/>
    <n v="44"/>
    <x v="4"/>
    <x v="14"/>
    <x v="1"/>
    <n v="11.9"/>
    <n v="6.8"/>
    <x v="4"/>
    <n v="3"/>
    <x v="0"/>
    <n v="123700"/>
    <n v="9700"/>
    <n v="133400"/>
    <s v="E"/>
    <d v="2014-02-01T00:00:00"/>
    <x v="1"/>
  </r>
  <r>
    <x v="2107"/>
    <x v="1"/>
    <n v="34"/>
    <x v="2"/>
    <x v="11"/>
    <x v="2"/>
    <n v="10.1"/>
    <n v="4.7"/>
    <x v="4"/>
    <n v="4"/>
    <x v="0"/>
    <n v="119500"/>
    <n v="7600"/>
    <n v="127100"/>
    <s v="E"/>
    <d v="2015-11-25T00:00:00"/>
    <x v="2"/>
  </r>
  <r>
    <x v="2108"/>
    <x v="0"/>
    <n v="22"/>
    <x v="5"/>
    <x v="9"/>
    <x v="1"/>
    <n v="10.4"/>
    <n v="8"/>
    <x v="4"/>
    <n v="3"/>
    <x v="0"/>
    <n v="101700"/>
    <n v="7600"/>
    <n v="109300"/>
    <s v="E"/>
    <d v="2015-07-22T00:00:00"/>
    <x v="1"/>
  </r>
  <r>
    <x v="2109"/>
    <x v="0"/>
    <n v="32"/>
    <x v="0"/>
    <x v="2"/>
    <x v="1"/>
    <n v="12"/>
    <n v="8.3000000000000007"/>
    <x v="3"/>
    <n v="4"/>
    <x v="1"/>
    <n v="47700"/>
    <n v="6400"/>
    <n v="54100"/>
    <s v="A"/>
    <d v="2014-01-06T00:00:00"/>
    <x v="1"/>
  </r>
  <r>
    <x v="2110"/>
    <x v="1"/>
    <n v="39"/>
    <x v="4"/>
    <x v="16"/>
    <x v="2"/>
    <n v="4.5999999999999996"/>
    <n v="2.6"/>
    <x v="1"/>
    <n v="4"/>
    <x v="0"/>
    <n v="110000"/>
    <n v="14600"/>
    <n v="124600"/>
    <s v="E"/>
    <d v="2021-05-16T00:00:00"/>
    <x v="2"/>
  </r>
  <r>
    <x v="2111"/>
    <x v="1"/>
    <n v="29"/>
    <x v="5"/>
    <x v="9"/>
    <x v="0"/>
    <n v="11.8"/>
    <n v="7.2"/>
    <x v="4"/>
    <n v="2"/>
    <x v="0"/>
    <n v="101600"/>
    <n v="12700"/>
    <n v="114300"/>
    <s v="E"/>
    <d v="2014-03-04T00:00:00"/>
    <x v="0"/>
  </r>
  <r>
    <x v="2112"/>
    <x v="1"/>
    <n v="41"/>
    <x v="5"/>
    <x v="17"/>
    <x v="2"/>
    <n v="6.6"/>
    <n v="4.7"/>
    <x v="2"/>
    <n v="2"/>
    <x v="2"/>
    <n v="89000"/>
    <n v="7000"/>
    <n v="96000"/>
    <s v="D"/>
    <d v="2019-06-09T00:00:00"/>
    <x v="2"/>
  </r>
  <r>
    <x v="2113"/>
    <x v="0"/>
    <n v="34"/>
    <x v="2"/>
    <x v="4"/>
    <x v="2"/>
    <n v="12.8"/>
    <n v="8"/>
    <x v="3"/>
    <n v="4"/>
    <x v="0"/>
    <n v="97600"/>
    <n v="8700"/>
    <n v="106300"/>
    <s v="D"/>
    <d v="2013-03-16T00:00:00"/>
    <x v="2"/>
  </r>
  <r>
    <x v="2114"/>
    <x v="1"/>
    <n v="37"/>
    <x v="3"/>
    <x v="13"/>
    <x v="1"/>
    <n v="13.3"/>
    <n v="9.4"/>
    <x v="3"/>
    <n v="4"/>
    <x v="0"/>
    <n v="106600"/>
    <n v="8400"/>
    <n v="115000"/>
    <s v="E"/>
    <d v="2012-09-29T00:00:00"/>
    <x v="1"/>
  </r>
  <r>
    <x v="2115"/>
    <x v="0"/>
    <n v="24"/>
    <x v="2"/>
    <x v="11"/>
    <x v="1"/>
    <n v="10.7"/>
    <n v="6.2"/>
    <x v="4"/>
    <n v="2"/>
    <x v="0"/>
    <n v="108600"/>
    <n v="6900"/>
    <n v="115500"/>
    <s v="E"/>
    <d v="2015-04-11T00:00:00"/>
    <x v="1"/>
  </r>
  <r>
    <x v="2116"/>
    <x v="1"/>
    <n v="24"/>
    <x v="4"/>
    <x v="8"/>
    <x v="2"/>
    <n v="9.9"/>
    <n v="8.4"/>
    <x v="4"/>
    <n v="3"/>
    <x v="2"/>
    <n v="69800"/>
    <n v="5900"/>
    <n v="75700"/>
    <s v="C"/>
    <d v="2016-01-20T00:00:00"/>
    <x v="2"/>
  </r>
  <r>
    <x v="2117"/>
    <x v="1"/>
    <n v="26"/>
    <x v="4"/>
    <x v="6"/>
    <x v="1"/>
    <n v="8.8000000000000007"/>
    <n v="6.6"/>
    <x v="2"/>
    <n v="4"/>
    <x v="0"/>
    <n v="77900"/>
    <n v="4100"/>
    <n v="82000"/>
    <s v="C"/>
    <d v="2017-02-26T00:00:00"/>
    <x v="1"/>
  </r>
  <r>
    <x v="2118"/>
    <x v="1"/>
    <n v="39"/>
    <x v="2"/>
    <x v="11"/>
    <x v="1"/>
    <n v="7.8"/>
    <n v="6"/>
    <x v="2"/>
    <n v="3"/>
    <x v="0"/>
    <n v="109200"/>
    <n v="11200"/>
    <n v="120400"/>
    <s v="E"/>
    <d v="2018-02-25T00:00:00"/>
    <x v="1"/>
  </r>
  <r>
    <x v="2119"/>
    <x v="0"/>
    <n v="24"/>
    <x v="5"/>
    <x v="9"/>
    <x v="1"/>
    <n v="8.6"/>
    <n v="5.3"/>
    <x v="2"/>
    <n v="3"/>
    <x v="0"/>
    <n v="90900"/>
    <n v="7600"/>
    <n v="98500"/>
    <s v="D"/>
    <d v="2017-05-21T00:00:00"/>
    <x v="1"/>
  </r>
  <r>
    <x v="2120"/>
    <x v="1"/>
    <n v="28"/>
    <x v="3"/>
    <x v="12"/>
    <x v="1"/>
    <n v="9.1999999999999993"/>
    <n v="6.9"/>
    <x v="4"/>
    <n v="4"/>
    <x v="0"/>
    <n v="76700"/>
    <n v="6800"/>
    <n v="83500"/>
    <s v="C"/>
    <d v="2016-10-16T00:00:00"/>
    <x v="1"/>
  </r>
  <r>
    <x v="2121"/>
    <x v="0"/>
    <n v="25"/>
    <x v="4"/>
    <x v="8"/>
    <x v="2"/>
    <n v="4.2"/>
    <n v="1.6"/>
    <x v="1"/>
    <n v="5"/>
    <x v="0"/>
    <n v="90100"/>
    <n v="12700"/>
    <n v="102800"/>
    <s v="D"/>
    <d v="2021-11-06T00:00:00"/>
    <x v="2"/>
  </r>
  <r>
    <x v="2122"/>
    <x v="1"/>
    <n v="33"/>
    <x v="0"/>
    <x v="0"/>
    <x v="2"/>
    <n v="5.6"/>
    <n v="1.9"/>
    <x v="1"/>
    <n v="3"/>
    <x v="2"/>
    <n v="75500"/>
    <n v="10000"/>
    <n v="85500"/>
    <s v="C"/>
    <d v="2020-05-15T00:00:00"/>
    <x v="2"/>
  </r>
  <r>
    <x v="2123"/>
    <x v="0"/>
    <n v="29"/>
    <x v="1"/>
    <x v="10"/>
    <x v="2"/>
    <n v="9.3000000000000007"/>
    <n v="6"/>
    <x v="4"/>
    <n v="3"/>
    <x v="0"/>
    <n v="111100"/>
    <n v="10700"/>
    <n v="121800"/>
    <s v="E"/>
    <d v="2016-09-06T00:00:00"/>
    <x v="2"/>
  </r>
  <r>
    <x v="2124"/>
    <x v="1"/>
    <n v="42"/>
    <x v="0"/>
    <x v="0"/>
    <x v="1"/>
    <n v="3.8"/>
    <n v="3.8"/>
    <x v="1"/>
    <n v="3"/>
    <x v="1"/>
    <n v="64500"/>
    <n v="7700"/>
    <n v="72200"/>
    <s v="B"/>
    <d v="2022-03-09T00:00:00"/>
    <x v="1"/>
  </r>
  <r>
    <x v="2125"/>
    <x v="1"/>
    <n v="45"/>
    <x v="4"/>
    <x v="14"/>
    <x v="1"/>
    <n v="9"/>
    <n v="4.9000000000000004"/>
    <x v="4"/>
    <n v="3"/>
    <x v="0"/>
    <n v="118800"/>
    <n v="9200"/>
    <n v="128000"/>
    <s v="E"/>
    <d v="2016-12-26T00:00:00"/>
    <x v="1"/>
  </r>
  <r>
    <x v="2126"/>
    <x v="1"/>
    <n v="34"/>
    <x v="0"/>
    <x v="1"/>
    <x v="1"/>
    <n v="9.4"/>
    <n v="6.9"/>
    <x v="4"/>
    <n v="3"/>
    <x v="0"/>
    <n v="78100"/>
    <n v="8900"/>
    <n v="87000"/>
    <s v="C"/>
    <d v="2016-08-10T00:00:00"/>
    <x v="1"/>
  </r>
  <r>
    <x v="2127"/>
    <x v="1"/>
    <n v="52"/>
    <x v="2"/>
    <x v="4"/>
    <x v="0"/>
    <n v="9"/>
    <n v="5.9"/>
    <x v="4"/>
    <n v="2"/>
    <x v="0"/>
    <n v="67200"/>
    <n v="6100"/>
    <n v="73300"/>
    <s v="C"/>
    <d v="2016-12-18T00:00:00"/>
    <x v="0"/>
  </r>
  <r>
    <x v="2128"/>
    <x v="1"/>
    <n v="41"/>
    <x v="1"/>
    <x v="7"/>
    <x v="1"/>
    <n v="4"/>
    <n v="1.2"/>
    <x v="1"/>
    <n v="3"/>
    <x v="0"/>
    <n v="76700"/>
    <n v="4900"/>
    <n v="81600"/>
    <s v="C"/>
    <d v="2022-01-14T00:00:00"/>
    <x v="1"/>
  </r>
  <r>
    <x v="2129"/>
    <x v="0"/>
    <n v="47"/>
    <x v="2"/>
    <x v="4"/>
    <x v="2"/>
    <n v="11.6"/>
    <n v="8.3000000000000007"/>
    <x v="4"/>
    <n v="3"/>
    <x v="1"/>
    <n v="61100"/>
    <n v="4700"/>
    <n v="65800"/>
    <s v="B"/>
    <d v="2014-06-14T00:00:00"/>
    <x v="2"/>
  </r>
  <r>
    <x v="2130"/>
    <x v="1"/>
    <n v="47"/>
    <x v="0"/>
    <x v="0"/>
    <x v="2"/>
    <n v="13.8"/>
    <n v="8.5"/>
    <x v="3"/>
    <n v="5"/>
    <x v="0"/>
    <n v="106600"/>
    <n v="11200"/>
    <n v="117800"/>
    <s v="E"/>
    <d v="2012-03-18T00:00:00"/>
    <x v="2"/>
  </r>
  <r>
    <x v="2131"/>
    <x v="1"/>
    <n v="29"/>
    <x v="5"/>
    <x v="17"/>
    <x v="2"/>
    <n v="10.4"/>
    <n v="7.7"/>
    <x v="4"/>
    <n v="3"/>
    <x v="0"/>
    <n v="123100"/>
    <n v="14800"/>
    <n v="137900"/>
    <s v="E"/>
    <d v="2015-08-25T00:00:00"/>
    <x v="2"/>
  </r>
  <r>
    <x v="2132"/>
    <x v="1"/>
    <n v="42"/>
    <x v="5"/>
    <x v="15"/>
    <x v="2"/>
    <n v="5.5"/>
    <n v="4.0999999999999996"/>
    <x v="1"/>
    <n v="4"/>
    <x v="1"/>
    <n v="42300"/>
    <n v="7800"/>
    <n v="50100"/>
    <s v="A"/>
    <d v="2020-06-27T00:00:00"/>
    <x v="2"/>
  </r>
  <r>
    <x v="2133"/>
    <x v="1"/>
    <n v="23"/>
    <x v="2"/>
    <x v="18"/>
    <x v="2"/>
    <n v="7.4"/>
    <n v="5.2"/>
    <x v="2"/>
    <n v="2"/>
    <x v="0"/>
    <n v="71000"/>
    <n v="5000"/>
    <n v="76000"/>
    <s v="C"/>
    <d v="2018-08-17T00:00:00"/>
    <x v="2"/>
  </r>
  <r>
    <x v="2134"/>
    <x v="0"/>
    <n v="28"/>
    <x v="2"/>
    <x v="11"/>
    <x v="2"/>
    <n v="13.2"/>
    <n v="6.2"/>
    <x v="3"/>
    <n v="3"/>
    <x v="0"/>
    <n v="106400"/>
    <n v="4400"/>
    <n v="110800"/>
    <s v="E"/>
    <d v="2012-10-13T00:00:00"/>
    <x v="2"/>
  </r>
  <r>
    <x v="2135"/>
    <x v="0"/>
    <n v="33"/>
    <x v="3"/>
    <x v="12"/>
    <x v="2"/>
    <n v="2.7"/>
    <n v="0.9"/>
    <x v="0"/>
    <n v="4"/>
    <x v="0"/>
    <n v="59400"/>
    <n v="3500"/>
    <n v="62900"/>
    <s v="B"/>
    <d v="2023-05-06T00:00:00"/>
    <x v="2"/>
  </r>
  <r>
    <x v="2136"/>
    <x v="0"/>
    <n v="36"/>
    <x v="5"/>
    <x v="15"/>
    <x v="1"/>
    <n v="4.9000000000000004"/>
    <n v="3.7"/>
    <x v="1"/>
    <n v="3"/>
    <x v="0"/>
    <n v="62700"/>
    <n v="5600"/>
    <n v="68300"/>
    <s v="B"/>
    <d v="2021-02-23T00:00:00"/>
    <x v="1"/>
  </r>
  <r>
    <x v="2137"/>
    <x v="0"/>
    <n v="34"/>
    <x v="2"/>
    <x v="4"/>
    <x v="1"/>
    <n v="10.5"/>
    <n v="6.6"/>
    <x v="4"/>
    <n v="3"/>
    <x v="0"/>
    <n v="85500"/>
    <n v="8000"/>
    <n v="93500"/>
    <s v="D"/>
    <d v="2015-07-08T00:00:00"/>
    <x v="1"/>
  </r>
  <r>
    <x v="2138"/>
    <x v="1"/>
    <n v="51"/>
    <x v="1"/>
    <x v="3"/>
    <x v="1"/>
    <n v="6.7"/>
    <n v="5.0999999999999996"/>
    <x v="2"/>
    <n v="3"/>
    <x v="2"/>
    <n v="61300"/>
    <n v="2700"/>
    <n v="64000"/>
    <s v="B"/>
    <d v="2019-05-06T00:00:00"/>
    <x v="1"/>
  </r>
  <r>
    <x v="2139"/>
    <x v="1"/>
    <n v="29"/>
    <x v="3"/>
    <x v="13"/>
    <x v="1"/>
    <n v="5.2"/>
    <n v="2.4"/>
    <x v="1"/>
    <n v="3"/>
    <x v="0"/>
    <n v="100300"/>
    <n v="6000"/>
    <n v="106300"/>
    <s v="E"/>
    <d v="2020-10-04T00:00:00"/>
    <x v="1"/>
  </r>
  <r>
    <x v="2140"/>
    <x v="1"/>
    <n v="28"/>
    <x v="5"/>
    <x v="17"/>
    <x v="1"/>
    <n v="9.1"/>
    <n v="5.8"/>
    <x v="4"/>
    <n v="3"/>
    <x v="0"/>
    <n v="101200"/>
    <n v="19700"/>
    <n v="120900"/>
    <s v="E"/>
    <d v="2016-12-06T00:00:00"/>
    <x v="1"/>
  </r>
  <r>
    <x v="2141"/>
    <x v="1"/>
    <n v="23"/>
    <x v="1"/>
    <x v="3"/>
    <x v="1"/>
    <n v="4.9000000000000004"/>
    <n v="3.8"/>
    <x v="1"/>
    <n v="3"/>
    <x v="2"/>
    <n v="63600"/>
    <n v="5200"/>
    <n v="68800"/>
    <s v="B"/>
    <d v="2021-01-28T00:00:00"/>
    <x v="1"/>
  </r>
  <r>
    <x v="2142"/>
    <x v="1"/>
    <n v="24"/>
    <x v="2"/>
    <x v="4"/>
    <x v="0"/>
    <n v="1.7"/>
    <n v="1.2"/>
    <x v="0"/>
    <n v="4"/>
    <x v="0"/>
    <n v="66600"/>
    <n v="3900"/>
    <n v="70500"/>
    <s v="C"/>
    <d v="2024-05-02T00:00:00"/>
    <x v="0"/>
  </r>
  <r>
    <x v="2143"/>
    <x v="1"/>
    <n v="34"/>
    <x v="1"/>
    <x v="3"/>
    <x v="2"/>
    <n v="6.6"/>
    <n v="3.7"/>
    <x v="2"/>
    <n v="4"/>
    <x v="2"/>
    <n v="66100"/>
    <n v="5100"/>
    <n v="71200"/>
    <s v="C"/>
    <d v="2019-05-30T00:00:00"/>
    <x v="2"/>
  </r>
  <r>
    <x v="2144"/>
    <x v="1"/>
    <n v="37"/>
    <x v="3"/>
    <x v="13"/>
    <x v="1"/>
    <n v="5.3"/>
    <n v="2.6"/>
    <x v="1"/>
    <n v="3"/>
    <x v="0"/>
    <n v="101500"/>
    <n v="9000"/>
    <n v="110500"/>
    <s v="E"/>
    <d v="2020-09-09T00:00:00"/>
    <x v="1"/>
  </r>
  <r>
    <x v="2145"/>
    <x v="1"/>
    <n v="40"/>
    <x v="4"/>
    <x v="8"/>
    <x v="3"/>
    <n v="1.6"/>
    <n v="1.1000000000000001"/>
    <x v="0"/>
    <n v="2"/>
    <x v="0"/>
    <n v="93000"/>
    <n v="12800"/>
    <n v="105800"/>
    <s v="D"/>
    <d v="2024-05-25T00:00:00"/>
    <x v="3"/>
  </r>
  <r>
    <x v="2146"/>
    <x v="1"/>
    <n v="45"/>
    <x v="1"/>
    <x v="3"/>
    <x v="1"/>
    <n v="4.5"/>
    <n v="3.6"/>
    <x v="1"/>
    <n v="4"/>
    <x v="0"/>
    <n v="69100"/>
    <n v="4600"/>
    <n v="73700"/>
    <s v="C"/>
    <d v="2021-06-15T00:00:00"/>
    <x v="1"/>
  </r>
  <r>
    <x v="2147"/>
    <x v="0"/>
    <n v="33"/>
    <x v="2"/>
    <x v="18"/>
    <x v="0"/>
    <n v="5"/>
    <n v="3"/>
    <x v="1"/>
    <n v="4"/>
    <x v="0"/>
    <n v="65100"/>
    <n v="6500"/>
    <n v="71600"/>
    <s v="C"/>
    <d v="2021-01-03T00:00:00"/>
    <x v="0"/>
  </r>
  <r>
    <x v="2148"/>
    <x v="1"/>
    <n v="27"/>
    <x v="5"/>
    <x v="17"/>
    <x v="1"/>
    <n v="6.7"/>
    <n v="3.9"/>
    <x v="2"/>
    <n v="4"/>
    <x v="1"/>
    <n v="55800"/>
    <n v="10800"/>
    <n v="66600"/>
    <s v="B"/>
    <d v="2019-04-26T00:00:00"/>
    <x v="1"/>
  </r>
  <r>
    <x v="2149"/>
    <x v="0"/>
    <n v="37"/>
    <x v="1"/>
    <x v="7"/>
    <x v="3"/>
    <n v="5.8"/>
    <n v="4"/>
    <x v="1"/>
    <n v="3"/>
    <x v="0"/>
    <n v="76800"/>
    <n v="7000"/>
    <n v="83800"/>
    <s v="C"/>
    <d v="2020-03-09T00:00:00"/>
    <x v="3"/>
  </r>
  <r>
    <x v="2150"/>
    <x v="1"/>
    <n v="33"/>
    <x v="4"/>
    <x v="8"/>
    <x v="2"/>
    <n v="2.9"/>
    <n v="1.7"/>
    <x v="0"/>
    <n v="4"/>
    <x v="0"/>
    <n v="80200"/>
    <n v="10800"/>
    <n v="91000"/>
    <s v="D"/>
    <d v="2023-01-22T00:00:00"/>
    <x v="2"/>
  </r>
  <r>
    <x v="2151"/>
    <x v="1"/>
    <n v="24"/>
    <x v="5"/>
    <x v="15"/>
    <x v="0"/>
    <n v="9.6999999999999993"/>
    <n v="7.2"/>
    <x v="4"/>
    <n v="4"/>
    <x v="0"/>
    <n v="68300"/>
    <n v="6200"/>
    <n v="74500"/>
    <s v="C"/>
    <d v="2016-04-26T00:00:00"/>
    <x v="0"/>
  </r>
  <r>
    <x v="2152"/>
    <x v="0"/>
    <n v="38"/>
    <x v="4"/>
    <x v="8"/>
    <x v="1"/>
    <n v="4.9000000000000004"/>
    <n v="3.5"/>
    <x v="1"/>
    <n v="4"/>
    <x v="0"/>
    <n v="86400"/>
    <n v="6700"/>
    <n v="93100"/>
    <s v="D"/>
    <d v="2021-01-22T00:00:00"/>
    <x v="1"/>
  </r>
  <r>
    <x v="2153"/>
    <x v="1"/>
    <n v="32"/>
    <x v="4"/>
    <x v="14"/>
    <x v="2"/>
    <n v="9.9"/>
    <n v="7.6"/>
    <x v="4"/>
    <n v="3"/>
    <x v="0"/>
    <n v="121200"/>
    <n v="13000"/>
    <n v="134200"/>
    <s v="E"/>
    <d v="2016-02-03T00:00:00"/>
    <x v="2"/>
  </r>
  <r>
    <x v="2154"/>
    <x v="0"/>
    <n v="48"/>
    <x v="2"/>
    <x v="11"/>
    <x v="2"/>
    <n v="12.1"/>
    <n v="8"/>
    <x v="3"/>
    <n v="3"/>
    <x v="1"/>
    <n v="75500"/>
    <n v="4000"/>
    <n v="79500"/>
    <s v="C"/>
    <d v="2013-12-09T00:00:00"/>
    <x v="2"/>
  </r>
  <r>
    <x v="2155"/>
    <x v="0"/>
    <n v="35"/>
    <x v="2"/>
    <x v="18"/>
    <x v="2"/>
    <n v="7.5"/>
    <n v="6.8"/>
    <x v="2"/>
    <n v="3"/>
    <x v="0"/>
    <n v="57700"/>
    <n v="5900"/>
    <n v="63600"/>
    <s v="B"/>
    <d v="2018-06-17T00:00:00"/>
    <x v="2"/>
  </r>
  <r>
    <x v="2156"/>
    <x v="0"/>
    <n v="30"/>
    <x v="4"/>
    <x v="14"/>
    <x v="1"/>
    <n v="11.1"/>
    <n v="5.9"/>
    <x v="4"/>
    <n v="3"/>
    <x v="0"/>
    <n v="119000"/>
    <n v="11700"/>
    <n v="130700"/>
    <s v="E"/>
    <d v="2014-11-18T00:00:00"/>
    <x v="1"/>
  </r>
  <r>
    <x v="2157"/>
    <x v="1"/>
    <n v="29"/>
    <x v="4"/>
    <x v="16"/>
    <x v="0"/>
    <n v="8.6"/>
    <n v="6"/>
    <x v="2"/>
    <n v="1"/>
    <x v="0"/>
    <n v="99800"/>
    <n v="8300"/>
    <n v="108100"/>
    <s v="D"/>
    <d v="2017-05-19T00:00:00"/>
    <x v="0"/>
  </r>
  <r>
    <x v="2158"/>
    <x v="1"/>
    <n v="53"/>
    <x v="5"/>
    <x v="9"/>
    <x v="0"/>
    <n v="5.2"/>
    <n v="3.4"/>
    <x v="1"/>
    <n v="3"/>
    <x v="0"/>
    <n v="95500"/>
    <n v="11200"/>
    <n v="106700"/>
    <s v="D"/>
    <d v="2020-10-23T00:00:00"/>
    <x v="0"/>
  </r>
  <r>
    <x v="2159"/>
    <x v="1"/>
    <n v="39"/>
    <x v="0"/>
    <x v="0"/>
    <x v="2"/>
    <n v="7.6"/>
    <n v="2.8"/>
    <x v="2"/>
    <n v="3"/>
    <x v="0"/>
    <n v="114900"/>
    <n v="9400"/>
    <n v="124300"/>
    <s v="E"/>
    <d v="2018-06-10T00:00:00"/>
    <x v="2"/>
  </r>
  <r>
    <x v="2160"/>
    <x v="0"/>
    <n v="31"/>
    <x v="4"/>
    <x v="14"/>
    <x v="2"/>
    <n v="10.8"/>
    <n v="7.5"/>
    <x v="4"/>
    <n v="4"/>
    <x v="0"/>
    <n v="134600"/>
    <n v="8400"/>
    <n v="143000"/>
    <s v="E"/>
    <d v="2015-03-04T00:00:00"/>
    <x v="2"/>
  </r>
  <r>
    <x v="2161"/>
    <x v="0"/>
    <n v="28"/>
    <x v="1"/>
    <x v="7"/>
    <x v="1"/>
    <n v="7.1"/>
    <n v="4.7"/>
    <x v="2"/>
    <n v="4"/>
    <x v="0"/>
    <n v="98200"/>
    <n v="6600"/>
    <n v="104800"/>
    <s v="D"/>
    <d v="2018-11-09T00:00:00"/>
    <x v="1"/>
  </r>
  <r>
    <x v="2162"/>
    <x v="1"/>
    <n v="26"/>
    <x v="0"/>
    <x v="2"/>
    <x v="1"/>
    <n v="4.8"/>
    <n v="2.6"/>
    <x v="1"/>
    <n v="5"/>
    <x v="0"/>
    <n v="71200"/>
    <n v="9200"/>
    <n v="80400"/>
    <s v="C"/>
    <d v="2021-04-01T00:00:00"/>
    <x v="1"/>
  </r>
  <r>
    <x v="2163"/>
    <x v="1"/>
    <n v="51"/>
    <x v="4"/>
    <x v="16"/>
    <x v="0"/>
    <n v="13.9"/>
    <n v="8.6"/>
    <x v="3"/>
    <n v="3"/>
    <x v="0"/>
    <n v="102200"/>
    <n v="13800"/>
    <n v="116000"/>
    <s v="E"/>
    <d v="2012-02-16T00:00:00"/>
    <x v="0"/>
  </r>
  <r>
    <x v="2164"/>
    <x v="0"/>
    <n v="47"/>
    <x v="4"/>
    <x v="6"/>
    <x v="1"/>
    <n v="11.8"/>
    <n v="9"/>
    <x v="4"/>
    <n v="3"/>
    <x v="2"/>
    <n v="49100"/>
    <n v="6600"/>
    <n v="55700"/>
    <s v="A"/>
    <d v="2014-03-18T00:00:00"/>
    <x v="1"/>
  </r>
  <r>
    <x v="2165"/>
    <x v="1"/>
    <n v="33"/>
    <x v="1"/>
    <x v="10"/>
    <x v="1"/>
    <n v="1"/>
    <n v="1"/>
    <x v="0"/>
    <n v="3"/>
    <x v="0"/>
    <n v="101200"/>
    <n v="6200"/>
    <n v="107400"/>
    <s v="E"/>
    <d v="2024-12-17T00:00:00"/>
    <x v="1"/>
  </r>
  <r>
    <x v="2166"/>
    <x v="0"/>
    <n v="28"/>
    <x v="4"/>
    <x v="14"/>
    <x v="1"/>
    <n v="1.2"/>
    <n v="0.2"/>
    <x v="0"/>
    <n v="3"/>
    <x v="0"/>
    <n v="95000"/>
    <n v="13200"/>
    <n v="108200"/>
    <s v="D"/>
    <d v="2024-10-30T00:00:00"/>
    <x v="1"/>
  </r>
  <r>
    <x v="2167"/>
    <x v="0"/>
    <n v="43"/>
    <x v="1"/>
    <x v="10"/>
    <x v="0"/>
    <n v="11.6"/>
    <n v="5.4"/>
    <x v="4"/>
    <n v="3"/>
    <x v="1"/>
    <n v="63000"/>
    <n v="5900"/>
    <n v="68900"/>
    <s v="B"/>
    <d v="2014-05-18T00:00:00"/>
    <x v="0"/>
  </r>
  <r>
    <x v="2168"/>
    <x v="0"/>
    <n v="37"/>
    <x v="2"/>
    <x v="11"/>
    <x v="1"/>
    <n v="2.8"/>
    <n v="2.8"/>
    <x v="0"/>
    <n v="3"/>
    <x v="0"/>
    <n v="101000"/>
    <n v="9000"/>
    <n v="110000"/>
    <s v="E"/>
    <d v="2023-03-24T00:00:00"/>
    <x v="1"/>
  </r>
  <r>
    <x v="2169"/>
    <x v="1"/>
    <n v="30"/>
    <x v="4"/>
    <x v="14"/>
    <x v="1"/>
    <n v="9.9"/>
    <n v="7"/>
    <x v="4"/>
    <n v="2"/>
    <x v="1"/>
    <n v="67200"/>
    <n v="7900"/>
    <n v="75100"/>
    <s v="C"/>
    <d v="2016-02-10T00:00:00"/>
    <x v="1"/>
  </r>
  <r>
    <x v="2170"/>
    <x v="1"/>
    <n v="41"/>
    <x v="5"/>
    <x v="17"/>
    <x v="1"/>
    <n v="7.9"/>
    <m/>
    <x v="2"/>
    <n v="3"/>
    <x v="0"/>
    <n v="87300"/>
    <n v="15400"/>
    <n v="102700"/>
    <s v="D"/>
    <d v="2018-01-29T00:00:00"/>
    <x v="1"/>
  </r>
  <r>
    <x v="2171"/>
    <x v="0"/>
    <n v="35"/>
    <x v="1"/>
    <x v="3"/>
    <x v="2"/>
    <n v="4.8"/>
    <n v="3"/>
    <x v="1"/>
    <n v="3"/>
    <x v="0"/>
    <n v="83300"/>
    <n v="9100"/>
    <n v="92400"/>
    <s v="D"/>
    <d v="2021-03-31T00:00:00"/>
    <x v="2"/>
  </r>
  <r>
    <x v="2172"/>
    <x v="0"/>
    <n v="33"/>
    <x v="5"/>
    <x v="15"/>
    <x v="2"/>
    <n v="5.0999999999999996"/>
    <n v="4.5"/>
    <x v="1"/>
    <n v="3"/>
    <x v="0"/>
    <n v="63800"/>
    <n v="6400"/>
    <n v="70200"/>
    <s v="B"/>
    <d v="2020-12-02T00:00:00"/>
    <x v="2"/>
  </r>
  <r>
    <x v="2173"/>
    <x v="1"/>
    <n v="21"/>
    <x v="5"/>
    <x v="17"/>
    <x v="1"/>
    <n v="11.2"/>
    <n v="5.7"/>
    <x v="4"/>
    <n v="3"/>
    <x v="0"/>
    <n v="97900"/>
    <n v="8600"/>
    <n v="106500"/>
    <s v="D"/>
    <d v="2014-10-28T00:00:00"/>
    <x v="1"/>
  </r>
  <r>
    <x v="2174"/>
    <x v="0"/>
    <n v="26"/>
    <x v="1"/>
    <x v="7"/>
    <x v="1"/>
    <n v="1.9"/>
    <n v="0.2"/>
    <x v="0"/>
    <n v="3"/>
    <x v="0"/>
    <n v="66700"/>
    <n v="3900"/>
    <n v="70600"/>
    <s v="C"/>
    <d v="2024-01-29T00:00:00"/>
    <x v="1"/>
  </r>
  <r>
    <x v="2175"/>
    <x v="0"/>
    <n v="25"/>
    <x v="3"/>
    <x v="5"/>
    <x v="1"/>
    <n v="6.9"/>
    <n v="5.5"/>
    <x v="2"/>
    <n v="4"/>
    <x v="0"/>
    <n v="78700"/>
    <n v="4600"/>
    <n v="83300"/>
    <s v="C"/>
    <d v="2019-02-23T00:00:00"/>
    <x v="1"/>
  </r>
  <r>
    <x v="2176"/>
    <x v="1"/>
    <n v="24"/>
    <x v="1"/>
    <x v="3"/>
    <x v="1"/>
    <n v="14"/>
    <n v="8.5"/>
    <x v="3"/>
    <n v="3"/>
    <x v="1"/>
    <n v="50600"/>
    <n v="4800"/>
    <n v="55400"/>
    <s v="B"/>
    <d v="2012-01-14T00:00:00"/>
    <x v="1"/>
  </r>
  <r>
    <x v="2177"/>
    <x v="1"/>
    <n v="36"/>
    <x v="2"/>
    <x v="18"/>
    <x v="1"/>
    <n v="6"/>
    <n v="2.7"/>
    <x v="2"/>
    <n v="4"/>
    <x v="0"/>
    <n v="77800"/>
    <n v="7600"/>
    <n v="85400"/>
    <s v="C"/>
    <d v="2019-12-20T00:00:00"/>
    <x v="1"/>
  </r>
  <r>
    <x v="2178"/>
    <x v="1"/>
    <n v="30"/>
    <x v="0"/>
    <x v="0"/>
    <x v="1"/>
    <n v="7"/>
    <n v="5.5"/>
    <x v="2"/>
    <n v="3"/>
    <x v="0"/>
    <n v="108900"/>
    <n v="9800"/>
    <n v="118700"/>
    <s v="E"/>
    <d v="2018-12-19T00:00:00"/>
    <x v="1"/>
  </r>
  <r>
    <x v="2179"/>
    <x v="1"/>
    <n v="27"/>
    <x v="3"/>
    <x v="13"/>
    <x v="2"/>
    <n v="11.1"/>
    <n v="6.6"/>
    <x v="4"/>
    <n v="5"/>
    <x v="2"/>
    <n v="93000"/>
    <n v="7400"/>
    <n v="100400"/>
    <s v="D"/>
    <d v="2014-12-09T00:00:00"/>
    <x v="2"/>
  </r>
  <r>
    <x v="2180"/>
    <x v="0"/>
    <n v="34"/>
    <x v="3"/>
    <x v="13"/>
    <x v="2"/>
    <n v="13.7"/>
    <n v="10.3"/>
    <x v="3"/>
    <n v="3"/>
    <x v="0"/>
    <n v="133700"/>
    <n v="7900"/>
    <n v="141600"/>
    <s v="E"/>
    <d v="2012-04-27T00:00:00"/>
    <x v="2"/>
  </r>
  <r>
    <x v="2181"/>
    <x v="1"/>
    <n v="34"/>
    <x v="0"/>
    <x v="1"/>
    <x v="2"/>
    <n v="8"/>
    <n v="4.5999999999999996"/>
    <x v="2"/>
    <n v="3"/>
    <x v="1"/>
    <n v="47700"/>
    <n v="3600"/>
    <n v="51300"/>
    <s v="A"/>
    <d v="2018-01-13T00:00:00"/>
    <x v="2"/>
  </r>
  <r>
    <x v="2182"/>
    <x v="1"/>
    <n v="33"/>
    <x v="5"/>
    <x v="9"/>
    <x v="2"/>
    <n v="2.2000000000000002"/>
    <n v="2.2000000000000002"/>
    <x v="0"/>
    <n v="3"/>
    <x v="0"/>
    <n v="92800"/>
    <n v="16500"/>
    <n v="109300"/>
    <s v="D"/>
    <d v="2023-11-06T00:00:00"/>
    <x v="2"/>
  </r>
  <r>
    <x v="2183"/>
    <x v="0"/>
    <n v="37"/>
    <x v="1"/>
    <x v="3"/>
    <x v="2"/>
    <n v="4"/>
    <n v="3.5"/>
    <x v="1"/>
    <n v="4"/>
    <x v="0"/>
    <n v="87600"/>
    <n v="5900"/>
    <n v="93500"/>
    <s v="D"/>
    <d v="2021-12-31T00:00:00"/>
    <x v="2"/>
  </r>
  <r>
    <x v="2184"/>
    <x v="1"/>
    <n v="33"/>
    <x v="1"/>
    <x v="10"/>
    <x v="1"/>
    <n v="12.7"/>
    <n v="6.5"/>
    <x v="3"/>
    <n v="4"/>
    <x v="0"/>
    <n v="99700"/>
    <n v="8100"/>
    <n v="107800"/>
    <s v="D"/>
    <d v="2013-05-02T00:00:00"/>
    <x v="1"/>
  </r>
  <r>
    <x v="2185"/>
    <x v="1"/>
    <n v="41"/>
    <x v="2"/>
    <x v="4"/>
    <x v="1"/>
    <n v="6.4"/>
    <n v="4.2"/>
    <x v="2"/>
    <n v="3"/>
    <x v="0"/>
    <n v="67400"/>
    <n v="6200"/>
    <n v="73600"/>
    <s v="C"/>
    <d v="2019-07-23T00:00:00"/>
    <x v="1"/>
  </r>
  <r>
    <x v="2186"/>
    <x v="1"/>
    <n v="21"/>
    <x v="1"/>
    <x v="7"/>
    <x v="2"/>
    <n v="3.9"/>
    <n v="3.1"/>
    <x v="1"/>
    <n v="3"/>
    <x v="0"/>
    <n v="72600"/>
    <n v="3000"/>
    <n v="75600"/>
    <s v="C"/>
    <d v="2022-02-12T00:00:00"/>
    <x v="2"/>
  </r>
  <r>
    <x v="2187"/>
    <x v="1"/>
    <n v="26"/>
    <x v="3"/>
    <x v="12"/>
    <x v="3"/>
    <n v="13.5"/>
    <n v="7.7"/>
    <x v="3"/>
    <n v="3"/>
    <x v="1"/>
    <n v="52800"/>
    <n v="1600"/>
    <n v="54400"/>
    <s v="B"/>
    <d v="2012-07-19T00:00:00"/>
    <x v="3"/>
  </r>
  <r>
    <x v="2188"/>
    <x v="0"/>
    <n v="26"/>
    <x v="1"/>
    <x v="3"/>
    <x v="1"/>
    <n v="4.0999999999999996"/>
    <n v="1.5"/>
    <x v="1"/>
    <n v="2"/>
    <x v="0"/>
    <n v="66700"/>
    <n v="5800"/>
    <n v="72500"/>
    <s v="C"/>
    <d v="2021-11-27T00:00:00"/>
    <x v="1"/>
  </r>
  <r>
    <x v="2189"/>
    <x v="1"/>
    <n v="35"/>
    <x v="5"/>
    <x v="9"/>
    <x v="1"/>
    <n v="8.5"/>
    <n v="5.7"/>
    <x v="2"/>
    <n v="3"/>
    <x v="0"/>
    <n v="101800"/>
    <n v="16400"/>
    <n v="118200"/>
    <s v="E"/>
    <d v="2017-06-20T00:00:00"/>
    <x v="1"/>
  </r>
  <r>
    <x v="2190"/>
    <x v="0"/>
    <n v="27"/>
    <x v="1"/>
    <x v="7"/>
    <x v="2"/>
    <n v="8.1999999999999993"/>
    <n v="3.7"/>
    <x v="2"/>
    <n v="3"/>
    <x v="0"/>
    <n v="90400"/>
    <n v="4200"/>
    <n v="94600"/>
    <s v="D"/>
    <d v="2017-10-23T00:00:00"/>
    <x v="2"/>
  </r>
  <r>
    <x v="2191"/>
    <x v="0"/>
    <n v="28"/>
    <x v="2"/>
    <x v="4"/>
    <x v="2"/>
    <n v="7.1"/>
    <n v="4.7"/>
    <x v="2"/>
    <n v="2"/>
    <x v="0"/>
    <n v="74800"/>
    <n v="5700"/>
    <n v="80500"/>
    <s v="C"/>
    <d v="2018-11-11T00:00:00"/>
    <x v="2"/>
  </r>
  <r>
    <x v="2192"/>
    <x v="1"/>
    <n v="43"/>
    <x v="4"/>
    <x v="14"/>
    <x v="2"/>
    <n v="3.6"/>
    <n v="3.6"/>
    <x v="1"/>
    <n v="4"/>
    <x v="1"/>
    <n v="73800"/>
    <n v="8500"/>
    <n v="82300"/>
    <s v="C"/>
    <d v="2022-05-29T00:00:00"/>
    <x v="2"/>
  </r>
  <r>
    <x v="2193"/>
    <x v="1"/>
    <n v="32"/>
    <x v="5"/>
    <x v="17"/>
    <x v="1"/>
    <n v="12.6"/>
    <n v="7.4"/>
    <x v="3"/>
    <n v="3"/>
    <x v="0"/>
    <n v="103700"/>
    <n v="15400"/>
    <n v="119100"/>
    <s v="E"/>
    <d v="2013-06-13T00:00:00"/>
    <x v="1"/>
  </r>
  <r>
    <x v="2194"/>
    <x v="1"/>
    <n v="31"/>
    <x v="3"/>
    <x v="5"/>
    <x v="2"/>
    <n v="6"/>
    <n v="3.9"/>
    <x v="2"/>
    <n v="3"/>
    <x v="0"/>
    <n v="97500"/>
    <n v="6600"/>
    <n v="104100"/>
    <s v="D"/>
    <d v="2020-01-18T00:00:00"/>
    <x v="2"/>
  </r>
  <r>
    <x v="2195"/>
    <x v="1"/>
    <n v="53"/>
    <x v="2"/>
    <x v="11"/>
    <x v="2"/>
    <n v="10"/>
    <n v="8"/>
    <x v="4"/>
    <n v="1"/>
    <x v="0"/>
    <n v="107600"/>
    <n v="7700"/>
    <n v="115300"/>
    <s v="E"/>
    <d v="2016-01-03T00:00:00"/>
    <x v="2"/>
  </r>
  <r>
    <x v="2196"/>
    <x v="1"/>
    <n v="40"/>
    <x v="1"/>
    <x v="3"/>
    <x v="1"/>
    <n v="7.3"/>
    <n v="5"/>
    <x v="2"/>
    <n v="3"/>
    <x v="0"/>
    <n v="67400"/>
    <n v="7400"/>
    <n v="74800"/>
    <s v="C"/>
    <d v="2018-08-30T00:00:00"/>
    <x v="1"/>
  </r>
  <r>
    <x v="2197"/>
    <x v="1"/>
    <n v="33"/>
    <x v="0"/>
    <x v="1"/>
    <x v="1"/>
    <n v="3.5"/>
    <n v="2.1"/>
    <x v="1"/>
    <n v="3"/>
    <x v="0"/>
    <n v="72200"/>
    <n v="8600"/>
    <n v="80800"/>
    <s v="C"/>
    <d v="2022-06-25T00:00:00"/>
    <x v="1"/>
  </r>
  <r>
    <x v="2198"/>
    <x v="1"/>
    <n v="44"/>
    <x v="3"/>
    <x v="13"/>
    <x v="0"/>
    <n v="1.1000000000000001"/>
    <n v="1.1000000000000001"/>
    <x v="0"/>
    <n v="3"/>
    <x v="0"/>
    <n v="88700"/>
    <n v="3300"/>
    <n v="92000"/>
    <s v="D"/>
    <d v="2024-12-09T00:00:00"/>
    <x v="0"/>
  </r>
  <r>
    <x v="2199"/>
    <x v="0"/>
    <n v="36"/>
    <x v="1"/>
    <x v="3"/>
    <x v="4"/>
    <n v="4.4000000000000004"/>
    <m/>
    <x v="1"/>
    <n v="4"/>
    <x v="2"/>
    <n v="67800"/>
    <n v="3100"/>
    <n v="70900"/>
    <s v="C"/>
    <d v="2021-08-02T00:00:00"/>
    <x v="4"/>
  </r>
  <r>
    <x v="2200"/>
    <x v="0"/>
    <n v="49"/>
    <x v="3"/>
    <x v="13"/>
    <x v="0"/>
    <n v="8.8000000000000007"/>
    <n v="5.2"/>
    <x v="2"/>
    <n v="2"/>
    <x v="1"/>
    <n v="58300"/>
    <n v="4300"/>
    <n v="62600"/>
    <s v="B"/>
    <d v="2017-03-28T00:00:00"/>
    <x v="0"/>
  </r>
  <r>
    <x v="2201"/>
    <x v="0"/>
    <n v="21"/>
    <x v="0"/>
    <x v="0"/>
    <x v="0"/>
    <n v="12.7"/>
    <n v="8.8000000000000007"/>
    <x v="3"/>
    <n v="4"/>
    <x v="0"/>
    <n v="116300"/>
    <n v="14800"/>
    <n v="131100"/>
    <s v="E"/>
    <d v="2013-05-02T00:00:00"/>
    <x v="0"/>
  </r>
  <r>
    <x v="2202"/>
    <x v="0"/>
    <n v="28"/>
    <x v="2"/>
    <x v="4"/>
    <x v="1"/>
    <n v="7.7"/>
    <n v="5.0999999999999996"/>
    <x v="2"/>
    <n v="3"/>
    <x v="0"/>
    <n v="76700"/>
    <n v="3400"/>
    <n v="80100"/>
    <s v="C"/>
    <d v="2018-05-02T00:00:00"/>
    <x v="1"/>
  </r>
  <r>
    <x v="2203"/>
    <x v="1"/>
    <n v="38"/>
    <x v="3"/>
    <x v="12"/>
    <x v="2"/>
    <n v="3.9"/>
    <n v="2.9"/>
    <x v="1"/>
    <n v="1"/>
    <x v="1"/>
    <n v="46100"/>
    <n v="4100"/>
    <n v="50200"/>
    <s v="A"/>
    <d v="2022-02-18T00:00:00"/>
    <x v="2"/>
  </r>
  <r>
    <x v="2204"/>
    <x v="1"/>
    <n v="27"/>
    <x v="3"/>
    <x v="13"/>
    <x v="1"/>
    <n v="6.1"/>
    <n v="4.5"/>
    <x v="2"/>
    <n v="5"/>
    <x v="0"/>
    <n v="87800"/>
    <n v="4300"/>
    <n v="92100"/>
    <s v="D"/>
    <d v="2019-11-30T00:00:00"/>
    <x v="1"/>
  </r>
  <r>
    <x v="2205"/>
    <x v="1"/>
    <n v="23"/>
    <x v="2"/>
    <x v="18"/>
    <x v="1"/>
    <n v="3.5"/>
    <n v="1.8"/>
    <x v="1"/>
    <n v="3"/>
    <x v="0"/>
    <n v="64900"/>
    <n v="5600"/>
    <n v="70500"/>
    <s v="B"/>
    <d v="2022-07-09T00:00:00"/>
    <x v="1"/>
  </r>
  <r>
    <x v="2206"/>
    <x v="1"/>
    <n v="44"/>
    <x v="2"/>
    <x v="18"/>
    <x v="1"/>
    <n v="8.5"/>
    <n v="3.4"/>
    <x v="2"/>
    <n v="3"/>
    <x v="0"/>
    <n v="76600"/>
    <n v="3800"/>
    <n v="80400"/>
    <s v="C"/>
    <d v="2017-06-17T00:00:00"/>
    <x v="1"/>
  </r>
  <r>
    <x v="2207"/>
    <x v="0"/>
    <n v="44"/>
    <x v="5"/>
    <x v="17"/>
    <x v="1"/>
    <n v="11.7"/>
    <n v="7"/>
    <x v="4"/>
    <n v="1"/>
    <x v="0"/>
    <n v="105100"/>
    <n v="16400"/>
    <n v="121500"/>
    <s v="E"/>
    <d v="2014-04-22T00:00:00"/>
    <x v="1"/>
  </r>
  <r>
    <x v="2208"/>
    <x v="0"/>
    <n v="38"/>
    <x v="3"/>
    <x v="13"/>
    <x v="0"/>
    <n v="5.7"/>
    <n v="2.7"/>
    <x v="1"/>
    <n v="3"/>
    <x v="0"/>
    <n v="98000"/>
    <n v="7300"/>
    <n v="105300"/>
    <s v="D"/>
    <d v="2020-04-22T00:00:00"/>
    <x v="0"/>
  </r>
  <r>
    <x v="2209"/>
    <x v="0"/>
    <n v="27"/>
    <x v="2"/>
    <x v="4"/>
    <x v="1"/>
    <n v="2.6"/>
    <n v="2.4"/>
    <x v="0"/>
    <n v="3"/>
    <x v="0"/>
    <n v="81700"/>
    <n v="5400"/>
    <n v="87100"/>
    <s v="D"/>
    <d v="2023-06-03T00:00:00"/>
    <x v="1"/>
  </r>
  <r>
    <x v="2210"/>
    <x v="1"/>
    <n v="40"/>
    <x v="0"/>
    <x v="0"/>
    <x v="3"/>
    <n v="12"/>
    <n v="8.6"/>
    <x v="3"/>
    <n v="4"/>
    <x v="0"/>
    <n v="104300"/>
    <n v="8400"/>
    <n v="112700"/>
    <s v="E"/>
    <d v="2014-01-16T00:00:00"/>
    <x v="3"/>
  </r>
  <r>
    <x v="2211"/>
    <x v="0"/>
    <n v="33"/>
    <x v="3"/>
    <x v="13"/>
    <x v="1"/>
    <n v="7.9"/>
    <n v="4.2"/>
    <x v="2"/>
    <n v="4"/>
    <x v="0"/>
    <n v="100900"/>
    <n v="8300"/>
    <n v="109200"/>
    <s v="E"/>
    <d v="2018-02-20T00:00:00"/>
    <x v="1"/>
  </r>
  <r>
    <x v="2212"/>
    <x v="1"/>
    <n v="42"/>
    <x v="5"/>
    <x v="9"/>
    <x v="2"/>
    <n v="2.7"/>
    <n v="1.6"/>
    <x v="0"/>
    <n v="2"/>
    <x v="0"/>
    <n v="97500"/>
    <n v="8800"/>
    <n v="106300"/>
    <s v="D"/>
    <d v="2023-04-22T00:00:00"/>
    <x v="2"/>
  </r>
  <r>
    <x v="2213"/>
    <x v="1"/>
    <n v="21"/>
    <x v="0"/>
    <x v="2"/>
    <x v="1"/>
    <n v="7.5"/>
    <n v="5.3"/>
    <x v="2"/>
    <n v="3"/>
    <x v="1"/>
    <n v="38600"/>
    <n v="5100"/>
    <n v="43700"/>
    <s v="A"/>
    <d v="2018-06-16T00:00:00"/>
    <x v="1"/>
  </r>
  <r>
    <x v="2214"/>
    <x v="1"/>
    <n v="28"/>
    <x v="0"/>
    <x v="0"/>
    <x v="3"/>
    <n v="3.9"/>
    <n v="2.4"/>
    <x v="1"/>
    <n v="3"/>
    <x v="0"/>
    <n v="106100"/>
    <n v="6000"/>
    <n v="112100"/>
    <s v="E"/>
    <d v="2022-02-02T00:00:00"/>
    <x v="3"/>
  </r>
  <r>
    <x v="2215"/>
    <x v="0"/>
    <n v="40"/>
    <x v="1"/>
    <x v="7"/>
    <x v="0"/>
    <n v="13"/>
    <n v="6.7"/>
    <x v="3"/>
    <n v="2"/>
    <x v="0"/>
    <n v="85000"/>
    <n v="7300"/>
    <n v="92300"/>
    <s v="D"/>
    <d v="2013-01-18T00:00:00"/>
    <x v="0"/>
  </r>
  <r>
    <x v="2216"/>
    <x v="1"/>
    <n v="47"/>
    <x v="1"/>
    <x v="10"/>
    <x v="1"/>
    <n v="3.7"/>
    <n v="1.8"/>
    <x v="1"/>
    <n v="3"/>
    <x v="0"/>
    <n v="89200"/>
    <n v="4800"/>
    <n v="94000"/>
    <s v="D"/>
    <d v="2022-05-05T00:00:00"/>
    <x v="1"/>
  </r>
  <r>
    <x v="2217"/>
    <x v="0"/>
    <n v="21"/>
    <x v="0"/>
    <x v="2"/>
    <x v="0"/>
    <n v="9.8000000000000007"/>
    <n v="7.8"/>
    <x v="4"/>
    <n v="4"/>
    <x v="0"/>
    <n v="76800"/>
    <n v="7300"/>
    <n v="84100"/>
    <s v="C"/>
    <d v="2016-03-17T00:00:00"/>
    <x v="0"/>
  </r>
  <r>
    <x v="2218"/>
    <x v="1"/>
    <n v="28"/>
    <x v="2"/>
    <x v="18"/>
    <x v="3"/>
    <n v="7.2"/>
    <n v="6"/>
    <x v="2"/>
    <n v="3"/>
    <x v="0"/>
    <n v="72800"/>
    <n v="4700"/>
    <n v="77500"/>
    <s v="C"/>
    <d v="2018-10-26T00:00:00"/>
    <x v="3"/>
  </r>
  <r>
    <x v="2219"/>
    <x v="0"/>
    <n v="30"/>
    <x v="4"/>
    <x v="8"/>
    <x v="1"/>
    <n v="10.6"/>
    <n v="6.3"/>
    <x v="4"/>
    <n v="3"/>
    <x v="0"/>
    <n v="89100"/>
    <n v="8700"/>
    <n v="97800"/>
    <s v="D"/>
    <d v="2015-05-27T00:00:00"/>
    <x v="1"/>
  </r>
  <r>
    <x v="2220"/>
    <x v="1"/>
    <n v="29"/>
    <x v="3"/>
    <x v="5"/>
    <x v="1"/>
    <n v="11.4"/>
    <n v="9.1"/>
    <x v="4"/>
    <n v="3"/>
    <x v="0"/>
    <n v="81600"/>
    <n v="6700"/>
    <n v="88300"/>
    <s v="D"/>
    <d v="2014-08-08T00:00:00"/>
    <x v="1"/>
  </r>
  <r>
    <x v="2221"/>
    <x v="0"/>
    <n v="45"/>
    <x v="0"/>
    <x v="0"/>
    <x v="2"/>
    <n v="5.7"/>
    <n v="2"/>
    <x v="1"/>
    <n v="3"/>
    <x v="0"/>
    <n v="103700"/>
    <n v="5400"/>
    <n v="109100"/>
    <s v="E"/>
    <d v="2020-04-10T00:00:00"/>
    <x v="2"/>
  </r>
  <r>
    <x v="2222"/>
    <x v="0"/>
    <n v="29"/>
    <x v="3"/>
    <x v="12"/>
    <x v="1"/>
    <n v="12.4"/>
    <n v="6.6"/>
    <x v="3"/>
    <n v="4"/>
    <x v="0"/>
    <n v="89900"/>
    <n v="6400"/>
    <n v="96300"/>
    <s v="D"/>
    <d v="2013-07-27T00:00:00"/>
    <x v="1"/>
  </r>
  <r>
    <x v="2223"/>
    <x v="1"/>
    <n v="34"/>
    <x v="1"/>
    <x v="3"/>
    <x v="0"/>
    <n v="4.2"/>
    <n v="4.2"/>
    <x v="1"/>
    <n v="3"/>
    <x v="0"/>
    <n v="80600"/>
    <n v="4000"/>
    <n v="84600"/>
    <s v="D"/>
    <d v="2021-11-07T00:00:00"/>
    <x v="0"/>
  </r>
  <r>
    <x v="2224"/>
    <x v="0"/>
    <n v="31"/>
    <x v="0"/>
    <x v="0"/>
    <x v="1"/>
    <n v="3.7"/>
    <n v="1.8"/>
    <x v="1"/>
    <n v="3"/>
    <x v="0"/>
    <n v="99800"/>
    <n v="11700"/>
    <n v="111500"/>
    <s v="D"/>
    <d v="2022-04-10T00:00:00"/>
    <x v="1"/>
  </r>
  <r>
    <x v="2225"/>
    <x v="1"/>
    <n v="38"/>
    <x v="1"/>
    <x v="10"/>
    <x v="0"/>
    <n v="11.3"/>
    <n v="7.8"/>
    <x v="4"/>
    <n v="2"/>
    <x v="0"/>
    <n v="106300"/>
    <n v="11900"/>
    <n v="118200"/>
    <s v="E"/>
    <d v="2014-09-16T00:00:00"/>
    <x v="0"/>
  </r>
  <r>
    <x v="2226"/>
    <x v="0"/>
    <n v="39"/>
    <x v="5"/>
    <x v="9"/>
    <x v="1"/>
    <n v="9.8000000000000007"/>
    <n v="6.3"/>
    <x v="4"/>
    <n v="3"/>
    <x v="0"/>
    <n v="110900"/>
    <n v="9200"/>
    <n v="120100"/>
    <s v="E"/>
    <d v="2016-02-26T00:00:00"/>
    <x v="1"/>
  </r>
  <r>
    <x v="2227"/>
    <x v="1"/>
    <n v="31"/>
    <x v="0"/>
    <x v="0"/>
    <x v="1"/>
    <n v="4.7"/>
    <n v="0.9"/>
    <x v="1"/>
    <n v="4"/>
    <x v="0"/>
    <n v="108300"/>
    <n v="5100"/>
    <n v="113400"/>
    <s v="E"/>
    <d v="2021-04-15T00:00:00"/>
    <x v="1"/>
  </r>
  <r>
    <x v="2228"/>
    <x v="0"/>
    <n v="31"/>
    <x v="2"/>
    <x v="18"/>
    <x v="1"/>
    <n v="8.6"/>
    <n v="5"/>
    <x v="2"/>
    <n v="1"/>
    <x v="0"/>
    <n v="73900"/>
    <n v="5100"/>
    <n v="79000"/>
    <s v="C"/>
    <d v="2017-06-03T00:00:00"/>
    <x v="1"/>
  </r>
  <r>
    <x v="2229"/>
    <x v="0"/>
    <n v="37"/>
    <x v="5"/>
    <x v="17"/>
    <x v="3"/>
    <n v="4.0999999999999996"/>
    <n v="2.7"/>
    <x v="1"/>
    <n v="3"/>
    <x v="0"/>
    <n v="92200"/>
    <n v="14200"/>
    <n v="106400"/>
    <s v="D"/>
    <d v="2021-12-05T00:00:00"/>
    <x v="3"/>
  </r>
  <r>
    <x v="2230"/>
    <x v="1"/>
    <n v="49"/>
    <x v="5"/>
    <x v="17"/>
    <x v="1"/>
    <n v="3.8"/>
    <n v="1"/>
    <x v="1"/>
    <n v="2"/>
    <x v="1"/>
    <n v="56200"/>
    <n v="4500"/>
    <n v="60700"/>
    <s v="B"/>
    <d v="2022-03-01T00:00:00"/>
    <x v="1"/>
  </r>
  <r>
    <x v="2231"/>
    <x v="1"/>
    <n v="39"/>
    <x v="1"/>
    <x v="7"/>
    <x v="1"/>
    <n v="5.8"/>
    <n v="4.2"/>
    <x v="1"/>
    <n v="3"/>
    <x v="0"/>
    <n v="81300"/>
    <n v="9000"/>
    <n v="90300"/>
    <s v="D"/>
    <d v="2020-02-26T00:00:00"/>
    <x v="1"/>
  </r>
  <r>
    <x v="2232"/>
    <x v="0"/>
    <n v="21"/>
    <x v="4"/>
    <x v="8"/>
    <x v="1"/>
    <n v="9.5"/>
    <n v="5.6"/>
    <x v="4"/>
    <n v="3"/>
    <x v="0"/>
    <n v="95800"/>
    <n v="6100"/>
    <n v="101900"/>
    <s v="D"/>
    <d v="2016-06-16T00:00:00"/>
    <x v="1"/>
  </r>
  <r>
    <x v="2233"/>
    <x v="1"/>
    <n v="50"/>
    <x v="2"/>
    <x v="11"/>
    <x v="2"/>
    <n v="8.3000000000000007"/>
    <n v="5.6"/>
    <x v="2"/>
    <n v="3"/>
    <x v="0"/>
    <n v="102400"/>
    <n v="5100"/>
    <n v="107500"/>
    <s v="E"/>
    <d v="2017-09-19T00:00:00"/>
    <x v="2"/>
  </r>
  <r>
    <x v="2234"/>
    <x v="0"/>
    <n v="27"/>
    <x v="2"/>
    <x v="18"/>
    <x v="2"/>
    <n v="10.7"/>
    <n v="6.3"/>
    <x v="4"/>
    <n v="4"/>
    <x v="0"/>
    <n v="78200"/>
    <n v="7000"/>
    <n v="85200"/>
    <s v="C"/>
    <d v="2015-04-26T00:00:00"/>
    <x v="2"/>
  </r>
  <r>
    <x v="2235"/>
    <x v="1"/>
    <n v="45"/>
    <x v="2"/>
    <x v="11"/>
    <x v="2"/>
    <n v="9.1"/>
    <n v="4.5"/>
    <x v="4"/>
    <n v="4"/>
    <x v="0"/>
    <n v="106100"/>
    <n v="9800"/>
    <n v="115900"/>
    <s v="E"/>
    <d v="2016-11-22T00:00:00"/>
    <x v="2"/>
  </r>
  <r>
    <x v="2236"/>
    <x v="1"/>
    <n v="33"/>
    <x v="3"/>
    <x v="13"/>
    <x v="1"/>
    <n v="3.9"/>
    <n v="1.7"/>
    <x v="1"/>
    <n v="2"/>
    <x v="2"/>
    <n v="70300"/>
    <n v="3400"/>
    <n v="73700"/>
    <s v="C"/>
    <d v="2022-02-14T00:00:00"/>
    <x v="1"/>
  </r>
  <r>
    <x v="2237"/>
    <x v="0"/>
    <n v="36"/>
    <x v="1"/>
    <x v="3"/>
    <x v="2"/>
    <n v="10.8"/>
    <n v="6.1"/>
    <x v="4"/>
    <n v="3"/>
    <x v="0"/>
    <n v="90200"/>
    <n v="8800"/>
    <n v="99000"/>
    <s v="D"/>
    <d v="2015-03-04T00:00:00"/>
    <x v="2"/>
  </r>
  <r>
    <x v="2238"/>
    <x v="0"/>
    <n v="50"/>
    <x v="5"/>
    <x v="9"/>
    <x v="2"/>
    <n v="1"/>
    <n v="0"/>
    <x v="0"/>
    <n v="3"/>
    <x v="1"/>
    <n v="51800"/>
    <n v="3600"/>
    <n v="55400"/>
    <s v="B"/>
    <d v="2024-12-18T00:00:00"/>
    <x v="2"/>
  </r>
  <r>
    <x v="2239"/>
    <x v="0"/>
    <n v="43"/>
    <x v="2"/>
    <x v="4"/>
    <x v="2"/>
    <n v="9.1"/>
    <n v="4.7"/>
    <x v="4"/>
    <n v="3"/>
    <x v="0"/>
    <n v="75100"/>
    <n v="6100"/>
    <n v="81200"/>
    <s v="C"/>
    <d v="2016-11-26T00:00:00"/>
    <x v="2"/>
  </r>
  <r>
    <x v="2240"/>
    <x v="1"/>
    <n v="32"/>
    <x v="4"/>
    <x v="16"/>
    <x v="2"/>
    <n v="3.6"/>
    <n v="1.8"/>
    <x v="1"/>
    <n v="3"/>
    <x v="0"/>
    <n v="95800"/>
    <n v="8600"/>
    <n v="104400"/>
    <s v="D"/>
    <d v="2022-05-25T00:00:00"/>
    <x v="2"/>
  </r>
  <r>
    <x v="2241"/>
    <x v="1"/>
    <n v="44"/>
    <x v="3"/>
    <x v="12"/>
    <x v="2"/>
    <n v="9.6"/>
    <n v="7.1"/>
    <x v="4"/>
    <n v="3"/>
    <x v="1"/>
    <n v="47200"/>
    <n v="1800"/>
    <n v="49000"/>
    <s v="A"/>
    <d v="2016-05-28T00:00:00"/>
    <x v="2"/>
  </r>
  <r>
    <x v="2242"/>
    <x v="0"/>
    <n v="33"/>
    <x v="5"/>
    <x v="9"/>
    <x v="2"/>
    <n v="4.9000000000000004"/>
    <n v="2.5"/>
    <x v="1"/>
    <n v="4"/>
    <x v="2"/>
    <n v="73900"/>
    <n v="8500"/>
    <n v="82400"/>
    <s v="C"/>
    <d v="2021-01-26T00:00:00"/>
    <x v="2"/>
  </r>
  <r>
    <x v="2243"/>
    <x v="0"/>
    <n v="37"/>
    <x v="4"/>
    <x v="6"/>
    <x v="1"/>
    <n v="7.6"/>
    <n v="5.3"/>
    <x v="2"/>
    <n v="4"/>
    <x v="0"/>
    <n v="61600"/>
    <n v="7100"/>
    <n v="68700"/>
    <s v="B"/>
    <d v="2018-05-25T00:00:00"/>
    <x v="1"/>
  </r>
  <r>
    <x v="2244"/>
    <x v="0"/>
    <n v="46"/>
    <x v="4"/>
    <x v="6"/>
    <x v="1"/>
    <n v="3.8"/>
    <n v="0"/>
    <x v="1"/>
    <n v="1"/>
    <x v="0"/>
    <n v="56600"/>
    <n v="4000"/>
    <n v="60600"/>
    <s v="B"/>
    <d v="2022-04-01T00:00:00"/>
    <x v="1"/>
  </r>
  <r>
    <x v="2245"/>
    <x v="0"/>
    <n v="35"/>
    <x v="2"/>
    <x v="18"/>
    <x v="1"/>
    <n v="6.3"/>
    <n v="3.9"/>
    <x v="2"/>
    <n v="3"/>
    <x v="0"/>
    <n v="68700"/>
    <n v="6100"/>
    <n v="74800"/>
    <s v="C"/>
    <d v="2019-09-17T00:00:00"/>
    <x v="1"/>
  </r>
  <r>
    <x v="2246"/>
    <x v="0"/>
    <n v="43"/>
    <x v="4"/>
    <x v="8"/>
    <x v="1"/>
    <n v="11"/>
    <n v="8.8000000000000007"/>
    <x v="4"/>
    <n v="5"/>
    <x v="0"/>
    <n v="79900"/>
    <n v="7200"/>
    <n v="87100"/>
    <s v="C"/>
    <d v="2014-12-16T00:00:00"/>
    <x v="1"/>
  </r>
  <r>
    <x v="2247"/>
    <x v="0"/>
    <n v="48"/>
    <x v="2"/>
    <x v="11"/>
    <x v="1"/>
    <n v="11.3"/>
    <n v="8"/>
    <x v="4"/>
    <n v="4"/>
    <x v="1"/>
    <n v="69400"/>
    <n v="2800"/>
    <n v="72200"/>
    <s v="C"/>
    <d v="2014-08-27T00:00:00"/>
    <x v="1"/>
  </r>
  <r>
    <x v="2248"/>
    <x v="1"/>
    <n v="41"/>
    <x v="3"/>
    <x v="13"/>
    <x v="2"/>
    <n v="1.8"/>
    <n v="1.8"/>
    <x v="0"/>
    <n v="3"/>
    <x v="1"/>
    <n v="52900"/>
    <n v="3200"/>
    <n v="56100"/>
    <s v="B"/>
    <d v="2024-03-04T00:00:00"/>
    <x v="2"/>
  </r>
  <r>
    <x v="2249"/>
    <x v="1"/>
    <n v="30"/>
    <x v="4"/>
    <x v="14"/>
    <x v="3"/>
    <n v="1.3"/>
    <n v="0.5"/>
    <x v="0"/>
    <n v="3"/>
    <x v="1"/>
    <n v="69000"/>
    <n v="9800"/>
    <n v="78800"/>
    <s v="C"/>
    <d v="2024-09-27T00:00:00"/>
    <x v="3"/>
  </r>
  <r>
    <x v="2250"/>
    <x v="1"/>
    <n v="37"/>
    <x v="4"/>
    <x v="8"/>
    <x v="1"/>
    <n v="6.5"/>
    <n v="4.3"/>
    <x v="2"/>
    <n v="3"/>
    <x v="0"/>
    <n v="84100"/>
    <n v="5600"/>
    <n v="89700"/>
    <s v="D"/>
    <d v="2019-07-05T00:00:00"/>
    <x v="1"/>
  </r>
  <r>
    <x v="2251"/>
    <x v="1"/>
    <n v="26"/>
    <x v="5"/>
    <x v="17"/>
    <x v="1"/>
    <n v="4.0999999999999996"/>
    <n v="1.8"/>
    <x v="1"/>
    <n v="3"/>
    <x v="0"/>
    <n v="88500"/>
    <n v="11900"/>
    <n v="100400"/>
    <s v="D"/>
    <d v="2021-11-21T00:00:00"/>
    <x v="1"/>
  </r>
  <r>
    <x v="2252"/>
    <x v="1"/>
    <n v="39"/>
    <x v="2"/>
    <x v="4"/>
    <x v="1"/>
    <n v="13.4"/>
    <n v="8.6"/>
    <x v="3"/>
    <n v="4"/>
    <x v="1"/>
    <n v="61200"/>
    <n v="3800"/>
    <n v="65000"/>
    <s v="B"/>
    <d v="2012-08-14T00:00:00"/>
    <x v="1"/>
  </r>
  <r>
    <x v="2253"/>
    <x v="0"/>
    <n v="41"/>
    <x v="2"/>
    <x v="18"/>
    <x v="2"/>
    <n v="6"/>
    <n v="5"/>
    <x v="2"/>
    <n v="3"/>
    <x v="2"/>
    <n v="54800"/>
    <n v="3400"/>
    <n v="58200"/>
    <s v="B"/>
    <d v="2020-01-18T00:00:00"/>
    <x v="2"/>
  </r>
  <r>
    <x v="2254"/>
    <x v="1"/>
    <n v="37"/>
    <x v="3"/>
    <x v="13"/>
    <x v="1"/>
    <n v="12.2"/>
    <n v="6.5"/>
    <x v="3"/>
    <n v="3"/>
    <x v="0"/>
    <n v="108800"/>
    <n v="8700"/>
    <n v="117500"/>
    <s v="E"/>
    <d v="2013-11-07T00:00:00"/>
    <x v="1"/>
  </r>
  <r>
    <x v="2255"/>
    <x v="1"/>
    <n v="33"/>
    <x v="3"/>
    <x v="5"/>
    <x v="0"/>
    <n v="5.5"/>
    <n v="1.7"/>
    <x v="1"/>
    <n v="3"/>
    <x v="1"/>
    <n v="47900"/>
    <n v="2200"/>
    <n v="50100"/>
    <s v="A"/>
    <d v="2020-06-22T00:00:00"/>
    <x v="0"/>
  </r>
  <r>
    <x v="2256"/>
    <x v="1"/>
    <n v="28"/>
    <x v="2"/>
    <x v="11"/>
    <x v="1"/>
    <n v="10.8"/>
    <n v="8.8000000000000007"/>
    <x v="4"/>
    <n v="3"/>
    <x v="0"/>
    <n v="110700"/>
    <n v="9800"/>
    <n v="120500"/>
    <s v="E"/>
    <d v="2015-04-02T00:00:00"/>
    <x v="1"/>
  </r>
  <r>
    <x v="2257"/>
    <x v="1"/>
    <n v="41"/>
    <x v="5"/>
    <x v="17"/>
    <x v="0"/>
    <n v="3.6"/>
    <n v="0"/>
    <x v="1"/>
    <n v="3"/>
    <x v="0"/>
    <n v="83600"/>
    <n v="11100"/>
    <n v="94700"/>
    <s v="D"/>
    <d v="2022-06-14T00:00:00"/>
    <x v="0"/>
  </r>
  <r>
    <x v="2258"/>
    <x v="0"/>
    <n v="44"/>
    <x v="1"/>
    <x v="7"/>
    <x v="1"/>
    <n v="12.9"/>
    <n v="7.7"/>
    <x v="3"/>
    <n v="3"/>
    <x v="0"/>
    <n v="79800"/>
    <n v="8700"/>
    <n v="88500"/>
    <s v="C"/>
    <d v="2013-02-19T00:00:00"/>
    <x v="1"/>
  </r>
  <r>
    <x v="2259"/>
    <x v="1"/>
    <n v="31"/>
    <x v="5"/>
    <x v="15"/>
    <x v="1"/>
    <n v="4.9000000000000004"/>
    <n v="1.4"/>
    <x v="1"/>
    <n v="3"/>
    <x v="0"/>
    <n v="64200"/>
    <n v="11200"/>
    <n v="75400"/>
    <s v="B"/>
    <d v="2021-01-31T00:00:00"/>
    <x v="1"/>
  </r>
  <r>
    <x v="2260"/>
    <x v="1"/>
    <n v="36"/>
    <x v="4"/>
    <x v="6"/>
    <x v="1"/>
    <n v="7.2"/>
    <n v="4.4000000000000004"/>
    <x v="2"/>
    <n v="3"/>
    <x v="0"/>
    <n v="70500"/>
    <n v="6300"/>
    <n v="76800"/>
    <s v="C"/>
    <d v="2018-10-14T00:00:00"/>
    <x v="1"/>
  </r>
  <r>
    <x v="2261"/>
    <x v="0"/>
    <n v="34"/>
    <x v="3"/>
    <x v="5"/>
    <x v="4"/>
    <n v="11.9"/>
    <n v="8"/>
    <x v="4"/>
    <n v="5"/>
    <x v="0"/>
    <n v="85300"/>
    <n v="3700"/>
    <n v="89000"/>
    <s v="D"/>
    <d v="2014-02-17T00:00:00"/>
    <x v="4"/>
  </r>
  <r>
    <x v="2262"/>
    <x v="1"/>
    <n v="40"/>
    <x v="3"/>
    <x v="12"/>
    <x v="2"/>
    <n v="12.7"/>
    <n v="7.7"/>
    <x v="3"/>
    <n v="1"/>
    <x v="0"/>
    <n v="84900"/>
    <n v="6600"/>
    <n v="91500"/>
    <s v="D"/>
    <d v="2013-04-21T00:00:00"/>
    <x v="2"/>
  </r>
  <r>
    <x v="2263"/>
    <x v="0"/>
    <n v="23"/>
    <x v="1"/>
    <x v="7"/>
    <x v="2"/>
    <n v="8"/>
    <n v="6.3"/>
    <x v="2"/>
    <n v="4"/>
    <x v="0"/>
    <n v="90800"/>
    <n v="5400"/>
    <n v="96200"/>
    <s v="D"/>
    <d v="2017-12-23T00:00:00"/>
    <x v="2"/>
  </r>
  <r>
    <x v="2264"/>
    <x v="1"/>
    <n v="24"/>
    <x v="2"/>
    <x v="11"/>
    <x v="2"/>
    <n v="2.8"/>
    <n v="0.7"/>
    <x v="0"/>
    <n v="3"/>
    <x v="2"/>
    <n v="81200"/>
    <n v="8500"/>
    <n v="89700"/>
    <s v="D"/>
    <d v="2023-02-28T00:00:00"/>
    <x v="2"/>
  </r>
  <r>
    <x v="2265"/>
    <x v="0"/>
    <n v="23"/>
    <x v="2"/>
    <x v="11"/>
    <x v="2"/>
    <n v="6.5"/>
    <n v="4.0999999999999996"/>
    <x v="2"/>
    <n v="4"/>
    <x v="1"/>
    <n v="67000"/>
    <n v="4200"/>
    <n v="71200"/>
    <s v="C"/>
    <d v="2019-07-09T00:00:00"/>
    <x v="2"/>
  </r>
  <r>
    <x v="2266"/>
    <x v="1"/>
    <n v="38"/>
    <x v="5"/>
    <x v="17"/>
    <x v="2"/>
    <n v="11.5"/>
    <n v="6.3"/>
    <x v="4"/>
    <n v="3"/>
    <x v="2"/>
    <n v="82300"/>
    <n v="8100"/>
    <n v="90400"/>
    <s v="D"/>
    <d v="2014-07-04T00:00:00"/>
    <x v="2"/>
  </r>
  <r>
    <x v="2267"/>
    <x v="1"/>
    <n v="30"/>
    <x v="3"/>
    <x v="12"/>
    <x v="2"/>
    <n v="3"/>
    <n v="2.6"/>
    <x v="1"/>
    <n v="3"/>
    <x v="0"/>
    <n v="67900"/>
    <n v="3500"/>
    <n v="71400"/>
    <s v="C"/>
    <d v="2023-01-10T00:00:00"/>
    <x v="2"/>
  </r>
  <r>
    <x v="2268"/>
    <x v="1"/>
    <n v="24"/>
    <x v="2"/>
    <x v="4"/>
    <x v="0"/>
    <n v="9"/>
    <n v="5.7"/>
    <x v="4"/>
    <n v="3"/>
    <x v="0"/>
    <n v="65400"/>
    <n v="6700"/>
    <n v="72100"/>
    <s v="C"/>
    <d v="2017-01-09T00:00:00"/>
    <x v="0"/>
  </r>
  <r>
    <x v="2269"/>
    <x v="1"/>
    <n v="28"/>
    <x v="4"/>
    <x v="6"/>
    <x v="1"/>
    <n v="13.1"/>
    <n v="8.6999999999999993"/>
    <x v="3"/>
    <n v="2"/>
    <x v="0"/>
    <n v="75900"/>
    <n v="8100"/>
    <n v="84000"/>
    <s v="C"/>
    <d v="2012-12-05T00:00:00"/>
    <x v="1"/>
  </r>
  <r>
    <x v="2270"/>
    <x v="1"/>
    <n v="35"/>
    <x v="5"/>
    <x v="15"/>
    <x v="1"/>
    <n v="13.2"/>
    <n v="8.3000000000000007"/>
    <x v="3"/>
    <n v="4"/>
    <x v="0"/>
    <n v="70200"/>
    <n v="8000"/>
    <n v="78200"/>
    <s v="C"/>
    <d v="2012-10-27T00:00:00"/>
    <x v="1"/>
  </r>
  <r>
    <x v="2271"/>
    <x v="0"/>
    <n v="40"/>
    <x v="5"/>
    <x v="15"/>
    <x v="2"/>
    <n v="4.2"/>
    <n v="1.9"/>
    <x v="1"/>
    <n v="3"/>
    <x v="0"/>
    <n v="63700"/>
    <n v="8100"/>
    <n v="71800"/>
    <s v="B"/>
    <d v="2021-10-17T00:00:00"/>
    <x v="2"/>
  </r>
  <r>
    <x v="2272"/>
    <x v="0"/>
    <n v="44"/>
    <x v="4"/>
    <x v="8"/>
    <x v="1"/>
    <n v="5.3"/>
    <n v="2.7"/>
    <x v="1"/>
    <n v="4"/>
    <x v="0"/>
    <n v="80800"/>
    <n v="8100"/>
    <n v="88900"/>
    <s v="D"/>
    <d v="2020-09-14T00:00:00"/>
    <x v="1"/>
  </r>
  <r>
    <x v="2273"/>
    <x v="1"/>
    <n v="30"/>
    <x v="1"/>
    <x v="10"/>
    <x v="1"/>
    <n v="6.5"/>
    <n v="4.2"/>
    <x v="2"/>
    <n v="4"/>
    <x v="1"/>
    <n v="61800"/>
    <n v="3200"/>
    <n v="65000"/>
    <s v="B"/>
    <d v="2019-06-16T00:00:00"/>
    <x v="1"/>
  </r>
  <r>
    <x v="2274"/>
    <x v="0"/>
    <n v="23"/>
    <x v="5"/>
    <x v="9"/>
    <x v="2"/>
    <n v="8.8000000000000007"/>
    <n v="6.3"/>
    <x v="2"/>
    <n v="3"/>
    <x v="0"/>
    <n v="92200"/>
    <n v="8400"/>
    <n v="100600"/>
    <s v="D"/>
    <d v="2017-03-11T00:00:00"/>
    <x v="2"/>
  </r>
  <r>
    <x v="2275"/>
    <x v="0"/>
    <n v="44"/>
    <x v="4"/>
    <x v="6"/>
    <x v="2"/>
    <n v="6.2"/>
    <n v="3.8"/>
    <x v="2"/>
    <n v="3"/>
    <x v="0"/>
    <n v="77500"/>
    <n v="5800"/>
    <n v="83300"/>
    <s v="C"/>
    <d v="2019-10-07T00:00:00"/>
    <x v="2"/>
  </r>
  <r>
    <x v="2276"/>
    <x v="1"/>
    <n v="31"/>
    <x v="0"/>
    <x v="0"/>
    <x v="1"/>
    <n v="13.2"/>
    <n v="10"/>
    <x v="3"/>
    <n v="3"/>
    <x v="0"/>
    <n v="114800"/>
    <n v="14600"/>
    <n v="129400"/>
    <s v="E"/>
    <d v="2012-11-06T00:00:00"/>
    <x v="1"/>
  </r>
  <r>
    <x v="2277"/>
    <x v="1"/>
    <n v="29"/>
    <x v="3"/>
    <x v="12"/>
    <x v="1"/>
    <n v="8.8000000000000007"/>
    <n v="3.9"/>
    <x v="2"/>
    <n v="3"/>
    <x v="0"/>
    <n v="71600"/>
    <n v="4700"/>
    <n v="76300"/>
    <s v="C"/>
    <d v="2017-03-28T00:00:00"/>
    <x v="1"/>
  </r>
  <r>
    <x v="2278"/>
    <x v="1"/>
    <n v="31"/>
    <x v="5"/>
    <x v="17"/>
    <x v="2"/>
    <n v="5.8"/>
    <n v="1.8"/>
    <x v="1"/>
    <n v="4"/>
    <x v="1"/>
    <n v="61900"/>
    <n v="9300"/>
    <n v="71200"/>
    <s v="B"/>
    <d v="2020-02-26T00:00:00"/>
    <x v="2"/>
  </r>
  <r>
    <x v="2279"/>
    <x v="0"/>
    <n v="44"/>
    <x v="3"/>
    <x v="5"/>
    <x v="0"/>
    <n v="10.3"/>
    <n v="7"/>
    <x v="4"/>
    <n v="4"/>
    <x v="0"/>
    <n v="68400"/>
    <n v="2300"/>
    <n v="70700"/>
    <s v="C"/>
    <d v="2015-09-30T00:00:00"/>
    <x v="0"/>
  </r>
  <r>
    <x v="2280"/>
    <x v="0"/>
    <n v="32"/>
    <x v="2"/>
    <x v="18"/>
    <x v="1"/>
    <n v="3.6"/>
    <n v="2.7"/>
    <x v="1"/>
    <n v="3"/>
    <x v="0"/>
    <n v="60800"/>
    <n v="5200"/>
    <n v="66000"/>
    <s v="B"/>
    <d v="2022-05-19T00:00:00"/>
    <x v="1"/>
  </r>
  <r>
    <x v="2281"/>
    <x v="1"/>
    <n v="33"/>
    <x v="4"/>
    <x v="6"/>
    <x v="2"/>
    <n v="9.8000000000000007"/>
    <n v="4.5999999999999996"/>
    <x v="4"/>
    <n v="3"/>
    <x v="0"/>
    <n v="82000"/>
    <n v="9700"/>
    <n v="91700"/>
    <s v="D"/>
    <d v="2016-02-27T00:00:00"/>
    <x v="2"/>
  </r>
  <r>
    <x v="2282"/>
    <x v="0"/>
    <n v="39"/>
    <x v="3"/>
    <x v="12"/>
    <x v="1"/>
    <n v="11.6"/>
    <n v="7.2"/>
    <x v="4"/>
    <n v="4"/>
    <x v="0"/>
    <n v="74700"/>
    <n v="2400"/>
    <n v="77100"/>
    <s v="C"/>
    <d v="2014-05-13T00:00:00"/>
    <x v="1"/>
  </r>
  <r>
    <x v="2283"/>
    <x v="1"/>
    <n v="37"/>
    <x v="0"/>
    <x v="2"/>
    <x v="1"/>
    <n v="4.3"/>
    <n v="3"/>
    <x v="1"/>
    <n v="3"/>
    <x v="1"/>
    <n v="40300"/>
    <n v="3900"/>
    <n v="44200"/>
    <s v="A"/>
    <d v="2021-09-11T00:00:00"/>
    <x v="1"/>
  </r>
  <r>
    <x v="2284"/>
    <x v="0"/>
    <n v="42"/>
    <x v="0"/>
    <x v="2"/>
    <x v="2"/>
    <n v="4.8"/>
    <n v="4.8"/>
    <x v="1"/>
    <n v="4"/>
    <x v="0"/>
    <n v="79400"/>
    <n v="8300"/>
    <n v="87700"/>
    <s v="C"/>
    <d v="2021-03-15T00:00:00"/>
    <x v="2"/>
  </r>
  <r>
    <x v="2285"/>
    <x v="1"/>
    <n v="40"/>
    <x v="1"/>
    <x v="7"/>
    <x v="1"/>
    <n v="6.5"/>
    <n v="6"/>
    <x v="2"/>
    <n v="3"/>
    <x v="0"/>
    <n v="67900"/>
    <n v="4000"/>
    <n v="71900"/>
    <s v="C"/>
    <d v="2019-06-18T00:00:00"/>
    <x v="1"/>
  </r>
  <r>
    <x v="2286"/>
    <x v="1"/>
    <n v="37"/>
    <x v="2"/>
    <x v="18"/>
    <x v="1"/>
    <n v="5.2"/>
    <n v="2"/>
    <x v="1"/>
    <n v="1"/>
    <x v="0"/>
    <n v="67600"/>
    <n v="4300"/>
    <n v="71900"/>
    <s v="C"/>
    <d v="2020-10-09T00:00:00"/>
    <x v="1"/>
  </r>
  <r>
    <x v="2287"/>
    <x v="1"/>
    <n v="33"/>
    <x v="2"/>
    <x v="11"/>
    <x v="1"/>
    <n v="6"/>
    <n v="4"/>
    <x v="2"/>
    <n v="3"/>
    <x v="0"/>
    <n v="108800"/>
    <n v="10000"/>
    <n v="118800"/>
    <s v="E"/>
    <d v="2019-12-15T00:00:00"/>
    <x v="1"/>
  </r>
  <r>
    <x v="2288"/>
    <x v="0"/>
    <n v="27"/>
    <x v="1"/>
    <x v="3"/>
    <x v="2"/>
    <n v="7.8"/>
    <n v="5.6"/>
    <x v="2"/>
    <n v="4"/>
    <x v="0"/>
    <n v="83000"/>
    <n v="4300"/>
    <n v="87300"/>
    <s v="D"/>
    <d v="2018-03-05T00:00:00"/>
    <x v="2"/>
  </r>
  <r>
    <x v="2289"/>
    <x v="1"/>
    <n v="41"/>
    <x v="3"/>
    <x v="12"/>
    <x v="1"/>
    <n v="2.1"/>
    <n v="2.1"/>
    <x v="0"/>
    <n v="2"/>
    <x v="0"/>
    <n v="64900"/>
    <n v="4500"/>
    <n v="69400"/>
    <s v="B"/>
    <d v="2023-11-29T00:00:00"/>
    <x v="1"/>
  </r>
  <r>
    <x v="2290"/>
    <x v="1"/>
    <n v="47"/>
    <x v="4"/>
    <x v="16"/>
    <x v="1"/>
    <n v="11.5"/>
    <n v="8.8000000000000007"/>
    <x v="4"/>
    <n v="4"/>
    <x v="1"/>
    <n v="64600"/>
    <n v="7300"/>
    <n v="71900"/>
    <s v="B"/>
    <d v="2014-06-23T00:00:00"/>
    <x v="1"/>
  </r>
  <r>
    <x v="2291"/>
    <x v="0"/>
    <n v="47"/>
    <x v="2"/>
    <x v="11"/>
    <x v="2"/>
    <n v="4.4000000000000004"/>
    <n v="2.2000000000000002"/>
    <x v="1"/>
    <n v="3"/>
    <x v="0"/>
    <n v="110300"/>
    <n v="5000"/>
    <n v="115300"/>
    <s v="E"/>
    <d v="2021-08-18T00:00:00"/>
    <x v="2"/>
  </r>
  <r>
    <x v="2292"/>
    <x v="0"/>
    <n v="34"/>
    <x v="5"/>
    <x v="17"/>
    <x v="2"/>
    <n v="12"/>
    <n v="7.6"/>
    <x v="3"/>
    <n v="2"/>
    <x v="0"/>
    <n v="121500"/>
    <n v="20100"/>
    <n v="141600"/>
    <s v="E"/>
    <d v="2014-01-07T00:00:00"/>
    <x v="2"/>
  </r>
  <r>
    <x v="2293"/>
    <x v="0"/>
    <n v="28"/>
    <x v="1"/>
    <x v="3"/>
    <x v="1"/>
    <n v="3.9"/>
    <n v="1.5"/>
    <x v="1"/>
    <n v="4"/>
    <x v="0"/>
    <n v="83800"/>
    <n v="8700"/>
    <n v="92500"/>
    <s v="D"/>
    <d v="2022-01-22T00:00:00"/>
    <x v="1"/>
  </r>
  <r>
    <x v="2294"/>
    <x v="0"/>
    <n v="36"/>
    <x v="5"/>
    <x v="17"/>
    <x v="1"/>
    <n v="7.8"/>
    <n v="4.9000000000000004"/>
    <x v="2"/>
    <n v="3"/>
    <x v="0"/>
    <n v="95200"/>
    <n v="19500"/>
    <n v="114700"/>
    <s v="D"/>
    <d v="2018-03-19T00:00:00"/>
    <x v="1"/>
  </r>
  <r>
    <x v="2295"/>
    <x v="0"/>
    <n v="21"/>
    <x v="5"/>
    <x v="15"/>
    <x v="2"/>
    <n v="1.9"/>
    <n v="1.9"/>
    <x v="0"/>
    <n v="4"/>
    <x v="0"/>
    <n v="72000"/>
    <n v="9300"/>
    <n v="81300"/>
    <s v="C"/>
    <d v="2024-01-24T00:00:00"/>
    <x v="2"/>
  </r>
  <r>
    <x v="2296"/>
    <x v="0"/>
    <n v="34"/>
    <x v="3"/>
    <x v="13"/>
    <x v="1"/>
    <n v="3.9"/>
    <n v="3.3"/>
    <x v="1"/>
    <n v="4"/>
    <x v="0"/>
    <n v="112300"/>
    <n v="9400"/>
    <n v="121700"/>
    <s v="E"/>
    <d v="2022-02-09T00:00:00"/>
    <x v="1"/>
  </r>
  <r>
    <x v="2297"/>
    <x v="1"/>
    <n v="34"/>
    <x v="0"/>
    <x v="1"/>
    <x v="1"/>
    <n v="8.6"/>
    <m/>
    <x v="2"/>
    <n v="1"/>
    <x v="0"/>
    <n v="66400"/>
    <n v="8200"/>
    <n v="74600"/>
    <s v="C"/>
    <d v="2017-06-12T00:00:00"/>
    <x v="1"/>
  </r>
  <r>
    <x v="2298"/>
    <x v="1"/>
    <n v="21"/>
    <x v="4"/>
    <x v="16"/>
    <x v="2"/>
    <n v="13.2"/>
    <n v="7.3"/>
    <x v="3"/>
    <n v="5"/>
    <x v="0"/>
    <n v="103500"/>
    <n v="10100"/>
    <n v="113600"/>
    <s v="E"/>
    <d v="2012-10-31T00:00:00"/>
    <x v="2"/>
  </r>
  <r>
    <x v="2299"/>
    <x v="1"/>
    <n v="38"/>
    <x v="3"/>
    <x v="12"/>
    <x v="2"/>
    <n v="8.3000000000000007"/>
    <n v="6.3"/>
    <x v="2"/>
    <n v="4"/>
    <x v="0"/>
    <n v="81600"/>
    <n v="5500"/>
    <n v="87100"/>
    <s v="D"/>
    <d v="2017-09-15T00:00:00"/>
    <x v="2"/>
  </r>
  <r>
    <x v="2300"/>
    <x v="1"/>
    <n v="47"/>
    <x v="0"/>
    <x v="2"/>
    <x v="3"/>
    <n v="10.199999999999999"/>
    <n v="4.9000000000000004"/>
    <x v="4"/>
    <n v="3"/>
    <x v="0"/>
    <n v="73800"/>
    <n v="7000"/>
    <n v="80800"/>
    <s v="C"/>
    <d v="2015-10-04T00:00:00"/>
    <x v="3"/>
  </r>
  <r>
    <x v="2301"/>
    <x v="0"/>
    <n v="27"/>
    <x v="5"/>
    <x v="17"/>
    <x v="0"/>
    <n v="2.6"/>
    <n v="0"/>
    <x v="0"/>
    <n v="3"/>
    <x v="0"/>
    <n v="95500"/>
    <n v="19100"/>
    <n v="114600"/>
    <s v="D"/>
    <d v="2023-05-19T00:00:00"/>
    <x v="0"/>
  </r>
  <r>
    <x v="2302"/>
    <x v="0"/>
    <n v="35"/>
    <x v="2"/>
    <x v="4"/>
    <x v="1"/>
    <n v="4.0999999999999996"/>
    <n v="2.1"/>
    <x v="1"/>
    <n v="3"/>
    <x v="0"/>
    <n v="79800"/>
    <n v="8200"/>
    <n v="88000"/>
    <s v="C"/>
    <d v="2021-12-11T00:00:00"/>
    <x v="1"/>
  </r>
  <r>
    <x v="2303"/>
    <x v="0"/>
    <n v="37"/>
    <x v="1"/>
    <x v="7"/>
    <x v="1"/>
    <n v="7"/>
    <n v="3.8"/>
    <x v="2"/>
    <n v="4"/>
    <x v="1"/>
    <n v="56200"/>
    <n v="5200"/>
    <n v="61400"/>
    <s v="B"/>
    <d v="2018-12-23T00:00:00"/>
    <x v="1"/>
  </r>
  <r>
    <x v="2304"/>
    <x v="1"/>
    <n v="27"/>
    <x v="0"/>
    <x v="1"/>
    <x v="2"/>
    <n v="8.1"/>
    <n v="5.7"/>
    <x v="2"/>
    <n v="5"/>
    <x v="0"/>
    <n v="96700"/>
    <n v="12700"/>
    <n v="109400"/>
    <s v="D"/>
    <d v="2017-11-11T00:00:00"/>
    <x v="2"/>
  </r>
  <r>
    <x v="2305"/>
    <x v="0"/>
    <n v="43"/>
    <x v="5"/>
    <x v="9"/>
    <x v="2"/>
    <n v="13"/>
    <n v="8.3000000000000007"/>
    <x v="3"/>
    <n v="2"/>
    <x v="0"/>
    <n v="106200"/>
    <n v="13500"/>
    <n v="119700"/>
    <s v="E"/>
    <d v="2013-01-06T00:00:00"/>
    <x v="2"/>
  </r>
  <r>
    <x v="2306"/>
    <x v="0"/>
    <n v="25"/>
    <x v="3"/>
    <x v="13"/>
    <x v="0"/>
    <n v="10.199999999999999"/>
    <n v="5.5"/>
    <x v="4"/>
    <n v="5"/>
    <x v="0"/>
    <n v="91300"/>
    <n v="3400"/>
    <n v="94700"/>
    <s v="D"/>
    <d v="2015-10-22T00:00:00"/>
    <x v="0"/>
  </r>
  <r>
    <x v="2307"/>
    <x v="0"/>
    <n v="33"/>
    <x v="1"/>
    <x v="10"/>
    <x v="3"/>
    <n v="11.2"/>
    <n v="8.1999999999999993"/>
    <x v="4"/>
    <n v="3"/>
    <x v="1"/>
    <n v="67300"/>
    <n v="4700"/>
    <n v="72000"/>
    <s v="C"/>
    <d v="2014-10-29T00:00:00"/>
    <x v="3"/>
  </r>
  <r>
    <x v="2308"/>
    <x v="0"/>
    <n v="45"/>
    <x v="5"/>
    <x v="15"/>
    <x v="2"/>
    <n v="8.6999999999999993"/>
    <n v="4.5999999999999996"/>
    <x v="2"/>
    <n v="4"/>
    <x v="0"/>
    <n v="75000"/>
    <n v="11800"/>
    <n v="86800"/>
    <s v="C"/>
    <d v="2017-04-25T00:00:00"/>
    <x v="2"/>
  </r>
  <r>
    <x v="2309"/>
    <x v="0"/>
    <n v="42"/>
    <x v="4"/>
    <x v="8"/>
    <x v="1"/>
    <n v="4.3"/>
    <n v="1.9"/>
    <x v="1"/>
    <n v="4"/>
    <x v="0"/>
    <n v="75500"/>
    <n v="9700"/>
    <n v="85200"/>
    <s v="C"/>
    <d v="2021-08-31T00:00:00"/>
    <x v="1"/>
  </r>
  <r>
    <x v="2310"/>
    <x v="0"/>
    <n v="34"/>
    <x v="0"/>
    <x v="0"/>
    <x v="1"/>
    <n v="1.4"/>
    <n v="0"/>
    <x v="0"/>
    <n v="2"/>
    <x v="0"/>
    <n v="98000"/>
    <n v="7600"/>
    <n v="105600"/>
    <s v="D"/>
    <d v="2024-08-08T00:00:00"/>
    <x v="1"/>
  </r>
  <r>
    <x v="2311"/>
    <x v="1"/>
    <n v="49"/>
    <x v="2"/>
    <x v="11"/>
    <x v="2"/>
    <n v="8.6"/>
    <n v="4.2"/>
    <x v="2"/>
    <n v="4"/>
    <x v="0"/>
    <n v="110300"/>
    <n v="7600"/>
    <n v="117900"/>
    <s v="E"/>
    <d v="2017-06-14T00:00:00"/>
    <x v="2"/>
  </r>
  <r>
    <x v="2312"/>
    <x v="1"/>
    <n v="40"/>
    <x v="2"/>
    <x v="18"/>
    <x v="2"/>
    <n v="12.5"/>
    <n v="9.8000000000000007"/>
    <x v="3"/>
    <n v="3"/>
    <x v="0"/>
    <n v="73000"/>
    <n v="7000"/>
    <n v="80000"/>
    <s v="C"/>
    <d v="2013-07-18T00:00:00"/>
    <x v="2"/>
  </r>
  <r>
    <x v="2313"/>
    <x v="0"/>
    <n v="28"/>
    <x v="4"/>
    <x v="8"/>
    <x v="0"/>
    <n v="10.8"/>
    <n v="6.1"/>
    <x v="4"/>
    <n v="3"/>
    <x v="2"/>
    <n v="69200"/>
    <n v="6200"/>
    <n v="75400"/>
    <s v="C"/>
    <d v="2015-03-05T00:00:00"/>
    <x v="0"/>
  </r>
  <r>
    <x v="2314"/>
    <x v="1"/>
    <n v="31"/>
    <x v="2"/>
    <x v="11"/>
    <x v="0"/>
    <n v="2.6"/>
    <n v="1.4"/>
    <x v="0"/>
    <n v="3"/>
    <x v="0"/>
    <n v="81000"/>
    <n v="5500"/>
    <n v="86500"/>
    <s v="D"/>
    <d v="2023-06-04T00:00:00"/>
    <x v="0"/>
  </r>
  <r>
    <x v="2315"/>
    <x v="0"/>
    <n v="21"/>
    <x v="5"/>
    <x v="9"/>
    <x v="1"/>
    <n v="7.4"/>
    <n v="6.7"/>
    <x v="2"/>
    <n v="3"/>
    <x v="0"/>
    <n v="100300"/>
    <n v="12200"/>
    <n v="112500"/>
    <s v="E"/>
    <d v="2018-07-30T00:00:00"/>
    <x v="1"/>
  </r>
  <r>
    <x v="2316"/>
    <x v="0"/>
    <n v="23"/>
    <x v="1"/>
    <x v="7"/>
    <x v="0"/>
    <n v="4.0999999999999996"/>
    <n v="1.3"/>
    <x v="1"/>
    <n v="3"/>
    <x v="0"/>
    <n v="72200"/>
    <n v="5600"/>
    <n v="77800"/>
    <s v="C"/>
    <d v="2021-12-12T00:00:00"/>
    <x v="0"/>
  </r>
  <r>
    <x v="2317"/>
    <x v="0"/>
    <n v="44"/>
    <x v="4"/>
    <x v="16"/>
    <x v="1"/>
    <n v="13.4"/>
    <n v="8.5"/>
    <x v="3"/>
    <n v="3"/>
    <x v="1"/>
    <n v="62700"/>
    <n v="5700"/>
    <n v="68400"/>
    <s v="B"/>
    <d v="2012-08-08T00:00:00"/>
    <x v="1"/>
  </r>
  <r>
    <x v="2318"/>
    <x v="1"/>
    <n v="38"/>
    <x v="4"/>
    <x v="16"/>
    <x v="2"/>
    <n v="13.2"/>
    <n v="8.4"/>
    <x v="3"/>
    <n v="3"/>
    <x v="0"/>
    <n v="100500"/>
    <n v="6800"/>
    <n v="107300"/>
    <s v="E"/>
    <d v="2012-11-06T00:00:00"/>
    <x v="2"/>
  </r>
  <r>
    <x v="2319"/>
    <x v="1"/>
    <n v="42"/>
    <x v="5"/>
    <x v="9"/>
    <x v="1"/>
    <n v="7.8"/>
    <n v="3.8"/>
    <x v="2"/>
    <n v="4"/>
    <x v="0"/>
    <n v="107600"/>
    <n v="11100"/>
    <n v="118700"/>
    <s v="E"/>
    <d v="2018-03-17T00:00:00"/>
    <x v="1"/>
  </r>
  <r>
    <x v="2320"/>
    <x v="1"/>
    <n v="47"/>
    <x v="1"/>
    <x v="7"/>
    <x v="1"/>
    <n v="11.1"/>
    <n v="8.8000000000000007"/>
    <x v="4"/>
    <n v="3"/>
    <x v="0"/>
    <n v="90000"/>
    <n v="4000"/>
    <n v="94000"/>
    <s v="D"/>
    <d v="2014-11-09T00:00:00"/>
    <x v="1"/>
  </r>
  <r>
    <x v="2321"/>
    <x v="0"/>
    <n v="42"/>
    <x v="2"/>
    <x v="11"/>
    <x v="2"/>
    <n v="4"/>
    <n v="4"/>
    <x v="1"/>
    <n v="3"/>
    <x v="0"/>
    <n v="107400"/>
    <n v="10100"/>
    <n v="117500"/>
    <s v="E"/>
    <d v="2021-12-14T00:00:00"/>
    <x v="2"/>
  </r>
  <r>
    <x v="2322"/>
    <x v="0"/>
    <n v="28"/>
    <x v="5"/>
    <x v="15"/>
    <x v="1"/>
    <n v="10.4"/>
    <n v="4.5999999999999996"/>
    <x v="4"/>
    <n v="3"/>
    <x v="0"/>
    <n v="68800"/>
    <n v="12800"/>
    <n v="81600"/>
    <s v="C"/>
    <d v="2015-08-11T00:00:00"/>
    <x v="1"/>
  </r>
  <r>
    <x v="2323"/>
    <x v="1"/>
    <n v="30"/>
    <x v="3"/>
    <x v="12"/>
    <x v="2"/>
    <n v="7.1"/>
    <n v="3.5"/>
    <x v="2"/>
    <n v="2"/>
    <x v="0"/>
    <n v="83600"/>
    <n v="7100"/>
    <n v="90700"/>
    <s v="D"/>
    <d v="2018-12-12T00:00:00"/>
    <x v="2"/>
  </r>
  <r>
    <x v="2324"/>
    <x v="1"/>
    <n v="29"/>
    <x v="5"/>
    <x v="15"/>
    <x v="2"/>
    <n v="6"/>
    <n v="3.4"/>
    <x v="2"/>
    <n v="1"/>
    <x v="0"/>
    <n v="56900"/>
    <n v="4800"/>
    <n v="61700"/>
    <s v="B"/>
    <d v="2020-01-10T00:00:00"/>
    <x v="2"/>
  </r>
  <r>
    <x v="2325"/>
    <x v="0"/>
    <n v="32"/>
    <x v="1"/>
    <x v="7"/>
    <x v="1"/>
    <n v="7.3"/>
    <n v="5.8"/>
    <x v="2"/>
    <n v="3"/>
    <x v="2"/>
    <n v="57200"/>
    <n v="2600"/>
    <n v="59800"/>
    <s v="B"/>
    <d v="2018-09-08T00:00:00"/>
    <x v="1"/>
  </r>
  <r>
    <x v="2326"/>
    <x v="0"/>
    <n v="53"/>
    <x v="1"/>
    <x v="10"/>
    <x v="1"/>
    <n v="4.5999999999999996"/>
    <n v="0"/>
    <x v="1"/>
    <n v="4"/>
    <x v="0"/>
    <n v="110000"/>
    <n v="11700"/>
    <n v="121700"/>
    <s v="E"/>
    <d v="2021-05-24T00:00:00"/>
    <x v="1"/>
  </r>
  <r>
    <x v="2327"/>
    <x v="0"/>
    <n v="26"/>
    <x v="0"/>
    <x v="1"/>
    <x v="2"/>
    <n v="12.2"/>
    <n v="9.9"/>
    <x v="3"/>
    <n v="3"/>
    <x v="0"/>
    <n v="83200"/>
    <n v="8500"/>
    <n v="91700"/>
    <s v="D"/>
    <d v="2013-10-14T00:00:00"/>
    <x v="2"/>
  </r>
  <r>
    <x v="2328"/>
    <x v="0"/>
    <n v="46"/>
    <x v="0"/>
    <x v="1"/>
    <x v="2"/>
    <n v="3.1"/>
    <n v="0.9"/>
    <x v="1"/>
    <n v="3"/>
    <x v="0"/>
    <n v="85400"/>
    <n v="7500"/>
    <n v="92900"/>
    <s v="D"/>
    <d v="2022-11-27T00:00:00"/>
    <x v="2"/>
  </r>
  <r>
    <x v="2329"/>
    <x v="0"/>
    <n v="51"/>
    <x v="1"/>
    <x v="7"/>
    <x v="2"/>
    <n v="7.8"/>
    <n v="4.2"/>
    <x v="2"/>
    <n v="3"/>
    <x v="1"/>
    <n v="52200"/>
    <n v="4900"/>
    <n v="57100"/>
    <s v="B"/>
    <d v="2018-02-27T00:00:00"/>
    <x v="2"/>
  </r>
  <r>
    <x v="2330"/>
    <x v="1"/>
    <n v="43"/>
    <x v="2"/>
    <x v="18"/>
    <x v="1"/>
    <n v="12"/>
    <n v="6.6"/>
    <x v="3"/>
    <n v="1"/>
    <x v="0"/>
    <n v="79600"/>
    <n v="5600"/>
    <n v="85200"/>
    <s v="C"/>
    <d v="2014-01-19T00:00:00"/>
    <x v="1"/>
  </r>
  <r>
    <x v="2331"/>
    <x v="0"/>
    <n v="28"/>
    <x v="1"/>
    <x v="3"/>
    <x v="1"/>
    <n v="8.1999999999999993"/>
    <n v="7.3"/>
    <x v="2"/>
    <n v="3"/>
    <x v="0"/>
    <n v="80500"/>
    <n v="5500"/>
    <n v="86000"/>
    <s v="D"/>
    <d v="2017-10-23T00:00:00"/>
    <x v="1"/>
  </r>
  <r>
    <x v="2332"/>
    <x v="1"/>
    <n v="21"/>
    <x v="0"/>
    <x v="2"/>
    <x v="1"/>
    <n v="2.5"/>
    <n v="2.1"/>
    <x v="0"/>
    <n v="3"/>
    <x v="1"/>
    <n v="36400"/>
    <n v="2800"/>
    <n v="39200"/>
    <s v="A"/>
    <d v="2023-06-17T00:00:00"/>
    <x v="1"/>
  </r>
  <r>
    <x v="2333"/>
    <x v="0"/>
    <n v="30"/>
    <x v="2"/>
    <x v="18"/>
    <x v="2"/>
    <n v="7.3"/>
    <n v="4.0999999999999996"/>
    <x v="2"/>
    <n v="3"/>
    <x v="0"/>
    <n v="83000"/>
    <n v="6300"/>
    <n v="89300"/>
    <s v="D"/>
    <d v="2018-09-08T00:00:00"/>
    <x v="2"/>
  </r>
  <r>
    <x v="2334"/>
    <x v="1"/>
    <n v="30"/>
    <x v="5"/>
    <x v="17"/>
    <x v="1"/>
    <n v="5.6"/>
    <n v="4.3"/>
    <x v="1"/>
    <n v="3"/>
    <x v="2"/>
    <n v="75800"/>
    <n v="11200"/>
    <n v="87000"/>
    <s v="C"/>
    <d v="2020-05-15T00:00:00"/>
    <x v="1"/>
  </r>
  <r>
    <x v="2335"/>
    <x v="0"/>
    <n v="37"/>
    <x v="2"/>
    <x v="18"/>
    <x v="1"/>
    <n v="3.8"/>
    <n v="2.6"/>
    <x v="1"/>
    <n v="3"/>
    <x v="0"/>
    <n v="64700"/>
    <n v="3300"/>
    <n v="68000"/>
    <s v="B"/>
    <d v="2022-03-20T00:00:00"/>
    <x v="1"/>
  </r>
  <r>
    <x v="2336"/>
    <x v="1"/>
    <n v="42"/>
    <x v="4"/>
    <x v="14"/>
    <x v="2"/>
    <n v="9.1999999999999993"/>
    <n v="6.4"/>
    <x v="4"/>
    <n v="3"/>
    <x v="1"/>
    <n v="61700"/>
    <n v="7500"/>
    <n v="69200"/>
    <s v="B"/>
    <d v="2016-10-27T00:00:00"/>
    <x v="2"/>
  </r>
  <r>
    <x v="2337"/>
    <x v="1"/>
    <n v="29"/>
    <x v="3"/>
    <x v="13"/>
    <x v="1"/>
    <n v="5.2"/>
    <n v="3.8"/>
    <x v="1"/>
    <n v="3"/>
    <x v="0"/>
    <n v="93500"/>
    <n v="6300"/>
    <n v="99800"/>
    <s v="D"/>
    <d v="2020-10-14T00:00:00"/>
    <x v="1"/>
  </r>
  <r>
    <x v="2338"/>
    <x v="0"/>
    <n v="23"/>
    <x v="4"/>
    <x v="6"/>
    <x v="1"/>
    <n v="5.9"/>
    <n v="3.6"/>
    <x v="1"/>
    <n v="4"/>
    <x v="0"/>
    <n v="80400"/>
    <n v="8600"/>
    <n v="89000"/>
    <s v="D"/>
    <d v="2020-02-08T00:00:00"/>
    <x v="1"/>
  </r>
  <r>
    <x v="2339"/>
    <x v="1"/>
    <n v="28"/>
    <x v="2"/>
    <x v="4"/>
    <x v="2"/>
    <n v="8.4"/>
    <n v="5.8"/>
    <x v="2"/>
    <n v="3"/>
    <x v="0"/>
    <n v="89800"/>
    <n v="3300"/>
    <n v="93100"/>
    <s v="D"/>
    <d v="2017-08-11T00:00:00"/>
    <x v="2"/>
  </r>
  <r>
    <x v="2340"/>
    <x v="1"/>
    <n v="29"/>
    <x v="1"/>
    <x v="3"/>
    <x v="1"/>
    <n v="5.7"/>
    <n v="2.9"/>
    <x v="1"/>
    <n v="5"/>
    <x v="0"/>
    <n v="63900"/>
    <n v="6700"/>
    <n v="70600"/>
    <s v="B"/>
    <d v="2020-04-22T00:00:00"/>
    <x v="1"/>
  </r>
  <r>
    <x v="2341"/>
    <x v="1"/>
    <n v="29"/>
    <x v="2"/>
    <x v="18"/>
    <x v="1"/>
    <n v="6"/>
    <n v="5.5"/>
    <x v="2"/>
    <n v="3"/>
    <x v="0"/>
    <n v="67700"/>
    <n v="4600"/>
    <n v="72300"/>
    <s v="C"/>
    <d v="2020-01-02T00:00:00"/>
    <x v="1"/>
  </r>
  <r>
    <x v="2342"/>
    <x v="1"/>
    <n v="31"/>
    <x v="4"/>
    <x v="14"/>
    <x v="2"/>
    <n v="12.1"/>
    <n v="7.6"/>
    <x v="3"/>
    <n v="3"/>
    <x v="0"/>
    <n v="109600"/>
    <n v="5800"/>
    <n v="115400"/>
    <s v="E"/>
    <d v="2013-12-01T00:00:00"/>
    <x v="2"/>
  </r>
  <r>
    <x v="2343"/>
    <x v="1"/>
    <n v="44"/>
    <x v="2"/>
    <x v="11"/>
    <x v="1"/>
    <n v="8.6"/>
    <n v="5.9"/>
    <x v="2"/>
    <n v="4"/>
    <x v="0"/>
    <n v="108500"/>
    <n v="6900"/>
    <n v="115400"/>
    <s v="E"/>
    <d v="2017-06-05T00:00:00"/>
    <x v="1"/>
  </r>
  <r>
    <x v="2344"/>
    <x v="0"/>
    <n v="21"/>
    <x v="3"/>
    <x v="5"/>
    <x v="1"/>
    <n v="1.7"/>
    <n v="1.3"/>
    <x v="0"/>
    <n v="3"/>
    <x v="0"/>
    <n v="69000"/>
    <n v="2700"/>
    <n v="71700"/>
    <s v="C"/>
    <d v="2024-04-27T00:00:00"/>
    <x v="1"/>
  </r>
  <r>
    <x v="2345"/>
    <x v="1"/>
    <n v="39"/>
    <x v="0"/>
    <x v="0"/>
    <x v="2"/>
    <n v="5.9"/>
    <n v="2.4"/>
    <x v="1"/>
    <n v="3"/>
    <x v="0"/>
    <n v="115800"/>
    <n v="6000"/>
    <n v="121800"/>
    <s v="E"/>
    <d v="2020-01-30T00:00:00"/>
    <x v="2"/>
  </r>
  <r>
    <x v="2346"/>
    <x v="0"/>
    <n v="47"/>
    <x v="4"/>
    <x v="16"/>
    <x v="2"/>
    <n v="7.8"/>
    <n v="5.5"/>
    <x v="2"/>
    <n v="4"/>
    <x v="0"/>
    <n v="97600"/>
    <n v="11300"/>
    <n v="108900"/>
    <s v="D"/>
    <d v="2018-03-12T00:00:00"/>
    <x v="2"/>
  </r>
  <r>
    <x v="2347"/>
    <x v="1"/>
    <n v="26"/>
    <x v="0"/>
    <x v="2"/>
    <x v="1"/>
    <n v="7.2"/>
    <n v="3.4"/>
    <x v="2"/>
    <n v="3"/>
    <x v="2"/>
    <n v="60200"/>
    <n v="4400"/>
    <n v="64600"/>
    <s v="B"/>
    <d v="2018-10-27T00:00:00"/>
    <x v="1"/>
  </r>
  <r>
    <x v="2348"/>
    <x v="1"/>
    <n v="36"/>
    <x v="3"/>
    <x v="13"/>
    <x v="2"/>
    <n v="12.3"/>
    <n v="9.9"/>
    <x v="3"/>
    <n v="3"/>
    <x v="0"/>
    <n v="106700"/>
    <n v="3800"/>
    <n v="110500"/>
    <s v="E"/>
    <d v="2013-09-16T00:00:00"/>
    <x v="2"/>
  </r>
  <r>
    <x v="2349"/>
    <x v="0"/>
    <n v="34"/>
    <x v="0"/>
    <x v="0"/>
    <x v="1"/>
    <n v="10.1"/>
    <n v="5.6"/>
    <x v="4"/>
    <n v="3"/>
    <x v="0"/>
    <n v="104800"/>
    <n v="13500"/>
    <n v="118300"/>
    <s v="E"/>
    <d v="2015-11-18T00:00:00"/>
    <x v="1"/>
  </r>
  <r>
    <x v="2350"/>
    <x v="0"/>
    <n v="35"/>
    <x v="3"/>
    <x v="12"/>
    <x v="1"/>
    <n v="13.8"/>
    <n v="7.3"/>
    <x v="3"/>
    <n v="2"/>
    <x v="0"/>
    <n v="68600"/>
    <n v="4900"/>
    <n v="73500"/>
    <s v="C"/>
    <d v="2012-02-29T00:00:00"/>
    <x v="1"/>
  </r>
  <r>
    <x v="2351"/>
    <x v="1"/>
    <n v="53"/>
    <x v="4"/>
    <x v="16"/>
    <x v="2"/>
    <n v="11.8"/>
    <n v="8.6999999999999993"/>
    <x v="4"/>
    <n v="3"/>
    <x v="0"/>
    <n v="117200"/>
    <n v="11500"/>
    <n v="128700"/>
    <s v="E"/>
    <d v="2014-03-30T00:00:00"/>
    <x v="2"/>
  </r>
  <r>
    <x v="2352"/>
    <x v="1"/>
    <n v="61"/>
    <x v="2"/>
    <x v="4"/>
    <x v="1"/>
    <n v="6.5"/>
    <n v="4.5"/>
    <x v="2"/>
    <n v="2"/>
    <x v="0"/>
    <n v="80400"/>
    <n v="7200"/>
    <n v="87600"/>
    <s v="D"/>
    <d v="2019-06-16T00:00:00"/>
    <x v="1"/>
  </r>
  <r>
    <x v="2353"/>
    <x v="1"/>
    <n v="27"/>
    <x v="1"/>
    <x v="7"/>
    <x v="2"/>
    <n v="10.1"/>
    <n v="7.1"/>
    <x v="4"/>
    <n v="1"/>
    <x v="0"/>
    <n v="91300"/>
    <n v="4000"/>
    <n v="95300"/>
    <s v="D"/>
    <d v="2015-11-15T00:00:00"/>
    <x v="2"/>
  </r>
  <r>
    <x v="2354"/>
    <x v="1"/>
    <n v="40"/>
    <x v="3"/>
    <x v="12"/>
    <x v="2"/>
    <n v="4.4000000000000004"/>
    <n v="2.6"/>
    <x v="1"/>
    <n v="3"/>
    <x v="0"/>
    <n v="74500"/>
    <n v="4000"/>
    <n v="78500"/>
    <s v="C"/>
    <d v="2021-07-25T00:00:00"/>
    <x v="2"/>
  </r>
  <r>
    <x v="2355"/>
    <x v="0"/>
    <n v="48"/>
    <x v="2"/>
    <x v="18"/>
    <x v="1"/>
    <n v="1.6"/>
    <n v="1.1000000000000001"/>
    <x v="0"/>
    <n v="3"/>
    <x v="0"/>
    <n v="61800"/>
    <n v="3900"/>
    <n v="65700"/>
    <s v="B"/>
    <d v="2024-05-18T00:00:00"/>
    <x v="1"/>
  </r>
  <r>
    <x v="2356"/>
    <x v="1"/>
    <n v="39"/>
    <x v="3"/>
    <x v="12"/>
    <x v="1"/>
    <n v="4.3"/>
    <n v="2.1"/>
    <x v="1"/>
    <n v="4"/>
    <x v="0"/>
    <n v="64900"/>
    <n v="5300"/>
    <n v="70200"/>
    <s v="B"/>
    <d v="2021-08-29T00:00:00"/>
    <x v="1"/>
  </r>
  <r>
    <x v="2357"/>
    <x v="1"/>
    <n v="40"/>
    <x v="0"/>
    <x v="0"/>
    <x v="1"/>
    <n v="2"/>
    <n v="2"/>
    <x v="0"/>
    <n v="1"/>
    <x v="0"/>
    <n v="97900"/>
    <n v="8300"/>
    <n v="106200"/>
    <s v="D"/>
    <d v="2024-01-12T00:00:00"/>
    <x v="1"/>
  </r>
  <r>
    <x v="2358"/>
    <x v="1"/>
    <n v="38"/>
    <x v="3"/>
    <x v="5"/>
    <x v="2"/>
    <n v="4.4000000000000004"/>
    <n v="2.4"/>
    <x v="1"/>
    <n v="2"/>
    <x v="0"/>
    <n v="82100"/>
    <n v="6800"/>
    <n v="88900"/>
    <s v="D"/>
    <d v="2021-07-25T00:00:00"/>
    <x v="2"/>
  </r>
  <r>
    <x v="2359"/>
    <x v="1"/>
    <n v="48"/>
    <x v="3"/>
    <x v="5"/>
    <x v="2"/>
    <n v="6.7"/>
    <n v="5.0999999999999996"/>
    <x v="2"/>
    <n v="4"/>
    <x v="0"/>
    <n v="80200"/>
    <n v="3500"/>
    <n v="83700"/>
    <s v="D"/>
    <d v="2019-05-01T00:00:00"/>
    <x v="2"/>
  </r>
  <r>
    <x v="2360"/>
    <x v="0"/>
    <n v="34"/>
    <x v="2"/>
    <x v="18"/>
    <x v="3"/>
    <n v="10.4"/>
    <n v="8.5"/>
    <x v="4"/>
    <n v="4"/>
    <x v="0"/>
    <n v="89200"/>
    <n v="6200"/>
    <n v="95400"/>
    <s v="D"/>
    <d v="2015-08-26T00:00:00"/>
    <x v="3"/>
  </r>
  <r>
    <x v="2361"/>
    <x v="0"/>
    <n v="28"/>
    <x v="2"/>
    <x v="11"/>
    <x v="1"/>
    <n v="1"/>
    <n v="1"/>
    <x v="0"/>
    <n v="2"/>
    <x v="0"/>
    <n v="99600"/>
    <n v="10400"/>
    <n v="110000"/>
    <s v="D"/>
    <d v="2024-12-14T00:00:00"/>
    <x v="1"/>
  </r>
  <r>
    <x v="2362"/>
    <x v="0"/>
    <n v="35"/>
    <x v="4"/>
    <x v="6"/>
    <x v="1"/>
    <n v="13.5"/>
    <n v="7.8"/>
    <x v="3"/>
    <n v="3"/>
    <x v="0"/>
    <n v="83600"/>
    <n v="7900"/>
    <n v="91500"/>
    <s v="D"/>
    <d v="2012-07-11T00:00:00"/>
    <x v="1"/>
  </r>
  <r>
    <x v="2363"/>
    <x v="1"/>
    <n v="26"/>
    <x v="5"/>
    <x v="15"/>
    <x v="0"/>
    <n v="2.1"/>
    <n v="2.1"/>
    <x v="0"/>
    <n v="4"/>
    <x v="0"/>
    <n v="56100"/>
    <n v="10800"/>
    <n v="66900"/>
    <s v="B"/>
    <d v="2023-11-10T00:00:00"/>
    <x v="0"/>
  </r>
  <r>
    <x v="2364"/>
    <x v="1"/>
    <n v="23"/>
    <x v="5"/>
    <x v="9"/>
    <x v="1"/>
    <n v="7.8"/>
    <n v="3.9"/>
    <x v="2"/>
    <n v="3"/>
    <x v="0"/>
    <n v="106200"/>
    <n v="20400"/>
    <n v="126600"/>
    <s v="E"/>
    <d v="2018-03-19T00:00:00"/>
    <x v="1"/>
  </r>
  <r>
    <x v="2365"/>
    <x v="0"/>
    <n v="42"/>
    <x v="1"/>
    <x v="10"/>
    <x v="2"/>
    <n v="13.4"/>
    <n v="7.9"/>
    <x v="3"/>
    <n v="3"/>
    <x v="1"/>
    <n v="75500"/>
    <n v="8100"/>
    <n v="83600"/>
    <s v="C"/>
    <d v="2012-08-22T00:00:00"/>
    <x v="2"/>
  </r>
  <r>
    <x v="2366"/>
    <x v="1"/>
    <n v="32"/>
    <x v="3"/>
    <x v="12"/>
    <x v="2"/>
    <n v="13.5"/>
    <n v="0"/>
    <x v="3"/>
    <n v="3"/>
    <x v="0"/>
    <n v="80900"/>
    <n v="3600"/>
    <n v="84500"/>
    <s v="D"/>
    <d v="2012-07-12T00:00:00"/>
    <x v="2"/>
  </r>
  <r>
    <x v="2367"/>
    <x v="1"/>
    <n v="40"/>
    <x v="1"/>
    <x v="7"/>
    <x v="1"/>
    <n v="9.5"/>
    <n v="5.6"/>
    <x v="4"/>
    <n v="3"/>
    <x v="0"/>
    <n v="80900"/>
    <n v="8500"/>
    <n v="89400"/>
    <s v="D"/>
    <d v="2016-06-30T00:00:00"/>
    <x v="1"/>
  </r>
  <r>
    <x v="2368"/>
    <x v="1"/>
    <n v="37"/>
    <x v="4"/>
    <x v="16"/>
    <x v="1"/>
    <n v="8.6"/>
    <n v="5.8"/>
    <x v="2"/>
    <n v="3"/>
    <x v="0"/>
    <n v="90300"/>
    <n v="7600"/>
    <n v="97900"/>
    <s v="D"/>
    <d v="2017-05-15T00:00:00"/>
    <x v="1"/>
  </r>
  <r>
    <x v="2369"/>
    <x v="0"/>
    <n v="39"/>
    <x v="4"/>
    <x v="8"/>
    <x v="2"/>
    <n v="12.6"/>
    <n v="8.6999999999999993"/>
    <x v="3"/>
    <n v="4"/>
    <x v="0"/>
    <n v="96600"/>
    <n v="14400"/>
    <n v="111000"/>
    <s v="D"/>
    <d v="2013-06-07T00:00:00"/>
    <x v="2"/>
  </r>
  <r>
    <x v="2370"/>
    <x v="1"/>
    <n v="33"/>
    <x v="5"/>
    <x v="9"/>
    <x v="1"/>
    <n v="1.8"/>
    <n v="1.8"/>
    <x v="0"/>
    <n v="3"/>
    <x v="0"/>
    <n v="88400"/>
    <n v="9500"/>
    <n v="97900"/>
    <s v="D"/>
    <d v="2024-02-28T00:00:00"/>
    <x v="1"/>
  </r>
  <r>
    <x v="2371"/>
    <x v="0"/>
    <n v="33"/>
    <x v="5"/>
    <x v="17"/>
    <x v="2"/>
    <n v="11.4"/>
    <n v="7"/>
    <x v="4"/>
    <n v="5"/>
    <x v="0"/>
    <n v="105700"/>
    <n v="19700"/>
    <n v="125400"/>
    <s v="E"/>
    <d v="2014-08-06T00:00:00"/>
    <x v="2"/>
  </r>
  <r>
    <x v="2372"/>
    <x v="0"/>
    <n v="39"/>
    <x v="0"/>
    <x v="0"/>
    <x v="2"/>
    <n v="13.4"/>
    <n v="10.6"/>
    <x v="3"/>
    <n v="4"/>
    <x v="0"/>
    <n v="119600"/>
    <n v="14500"/>
    <n v="134100"/>
    <s v="E"/>
    <d v="2012-08-22T00:00:00"/>
    <x v="2"/>
  </r>
  <r>
    <x v="2373"/>
    <x v="0"/>
    <n v="37"/>
    <x v="4"/>
    <x v="16"/>
    <x v="0"/>
    <n v="4.4000000000000004"/>
    <n v="1.5"/>
    <x v="1"/>
    <n v="3"/>
    <x v="0"/>
    <n v="84100"/>
    <n v="4600"/>
    <n v="88700"/>
    <s v="D"/>
    <d v="2021-08-02T00:00:00"/>
    <x v="0"/>
  </r>
  <r>
    <x v="2374"/>
    <x v="0"/>
    <n v="42"/>
    <x v="1"/>
    <x v="3"/>
    <x v="3"/>
    <n v="12.3"/>
    <n v="7.9"/>
    <x v="3"/>
    <n v="2"/>
    <x v="0"/>
    <n v="86900"/>
    <n v="7700"/>
    <n v="94600"/>
    <s v="D"/>
    <d v="2013-09-23T00:00:00"/>
    <x v="3"/>
  </r>
  <r>
    <x v="2375"/>
    <x v="1"/>
    <n v="29"/>
    <x v="5"/>
    <x v="9"/>
    <x v="2"/>
    <n v="2"/>
    <n v="2"/>
    <x v="0"/>
    <n v="4"/>
    <x v="0"/>
    <n v="112800"/>
    <n v="14400"/>
    <n v="127200"/>
    <s v="E"/>
    <d v="2024-01-04T00:00:00"/>
    <x v="2"/>
  </r>
  <r>
    <x v="2376"/>
    <x v="1"/>
    <n v="25"/>
    <x v="0"/>
    <x v="2"/>
    <x v="2"/>
    <n v="11"/>
    <n v="6.3"/>
    <x v="4"/>
    <n v="4"/>
    <x v="0"/>
    <n v="87500"/>
    <n v="7100"/>
    <n v="94600"/>
    <s v="D"/>
    <d v="2015-01-12T00:00:00"/>
    <x v="2"/>
  </r>
  <r>
    <x v="2377"/>
    <x v="1"/>
    <n v="28"/>
    <x v="3"/>
    <x v="13"/>
    <x v="2"/>
    <n v="11.7"/>
    <n v="5.8"/>
    <x v="4"/>
    <n v="3"/>
    <x v="0"/>
    <n v="120500"/>
    <n v="6900"/>
    <n v="127400"/>
    <s v="E"/>
    <d v="2014-04-27T00:00:00"/>
    <x v="2"/>
  </r>
  <r>
    <x v="2378"/>
    <x v="0"/>
    <n v="31"/>
    <x v="5"/>
    <x v="17"/>
    <x v="2"/>
    <n v="4.5999999999999996"/>
    <n v="3.1"/>
    <x v="1"/>
    <n v="4"/>
    <x v="0"/>
    <n v="118100"/>
    <n v="24200"/>
    <n v="142300"/>
    <s v="E"/>
    <d v="2021-06-13T00:00:00"/>
    <x v="2"/>
  </r>
  <r>
    <x v="2379"/>
    <x v="1"/>
    <n v="30"/>
    <x v="3"/>
    <x v="5"/>
    <x v="2"/>
    <n v="5.6"/>
    <n v="3.4"/>
    <x v="1"/>
    <n v="3"/>
    <x v="0"/>
    <n v="80600"/>
    <n v="4700"/>
    <n v="85300"/>
    <s v="D"/>
    <d v="2020-05-09T00:00:00"/>
    <x v="2"/>
  </r>
  <r>
    <x v="2380"/>
    <x v="1"/>
    <n v="28"/>
    <x v="1"/>
    <x v="10"/>
    <x v="0"/>
    <n v="12.1"/>
    <n v="6.7"/>
    <x v="3"/>
    <n v="4"/>
    <x v="0"/>
    <n v="115300"/>
    <n v="10200"/>
    <n v="125500"/>
    <s v="E"/>
    <d v="2013-11-14T00:00:00"/>
    <x v="0"/>
  </r>
  <r>
    <x v="2381"/>
    <x v="1"/>
    <n v="34"/>
    <x v="5"/>
    <x v="15"/>
    <x v="2"/>
    <n v="10.8"/>
    <n v="5.9"/>
    <x v="4"/>
    <n v="3"/>
    <x v="0"/>
    <n v="78400"/>
    <n v="15600"/>
    <n v="94000"/>
    <s v="C"/>
    <d v="2015-02-28T00:00:00"/>
    <x v="2"/>
  </r>
  <r>
    <x v="2382"/>
    <x v="0"/>
    <n v="72"/>
    <x v="3"/>
    <x v="13"/>
    <x v="1"/>
    <n v="13.1"/>
    <n v="6.8"/>
    <x v="3"/>
    <n v="3"/>
    <x v="0"/>
    <n v="97400"/>
    <n v="8800"/>
    <n v="106200"/>
    <s v="D"/>
    <d v="2012-11-26T00:00:00"/>
    <x v="1"/>
  </r>
  <r>
    <x v="2383"/>
    <x v="1"/>
    <n v="57"/>
    <x v="4"/>
    <x v="16"/>
    <x v="2"/>
    <n v="5.9"/>
    <n v="3"/>
    <x v="1"/>
    <n v="3"/>
    <x v="0"/>
    <n v="87400"/>
    <n v="12000"/>
    <n v="99400"/>
    <s v="D"/>
    <d v="2020-01-24T00:00:00"/>
    <x v="2"/>
  </r>
  <r>
    <x v="2384"/>
    <x v="0"/>
    <n v="36"/>
    <x v="4"/>
    <x v="6"/>
    <x v="3"/>
    <n v="3.2"/>
    <n v="3.1"/>
    <x v="1"/>
    <n v="4"/>
    <x v="0"/>
    <n v="70600"/>
    <n v="7600"/>
    <n v="78200"/>
    <s v="C"/>
    <d v="2022-10-11T00:00:00"/>
    <x v="3"/>
  </r>
  <r>
    <x v="2385"/>
    <x v="0"/>
    <n v="43"/>
    <x v="5"/>
    <x v="17"/>
    <x v="1"/>
    <n v="8.1999999999999993"/>
    <n v="3.4"/>
    <x v="2"/>
    <n v="2"/>
    <x v="0"/>
    <n v="96700"/>
    <n v="16900"/>
    <n v="113600"/>
    <s v="D"/>
    <d v="2017-10-05T00:00:00"/>
    <x v="1"/>
  </r>
  <r>
    <x v="2386"/>
    <x v="1"/>
    <n v="21"/>
    <x v="3"/>
    <x v="12"/>
    <x v="2"/>
    <n v="7.6"/>
    <n v="4.4000000000000004"/>
    <x v="2"/>
    <n v="3"/>
    <x v="0"/>
    <n v="62800"/>
    <n v="4300"/>
    <n v="67100"/>
    <s v="B"/>
    <d v="2018-05-10T00:00:00"/>
    <x v="2"/>
  </r>
  <r>
    <x v="2387"/>
    <x v="0"/>
    <n v="30"/>
    <x v="1"/>
    <x v="10"/>
    <x v="1"/>
    <n v="2.2999999999999998"/>
    <n v="1.8"/>
    <x v="0"/>
    <n v="2"/>
    <x v="0"/>
    <n v="86700"/>
    <n v="7700"/>
    <n v="94400"/>
    <s v="D"/>
    <d v="2023-09-22T00:00:00"/>
    <x v="1"/>
  </r>
  <r>
    <x v="2388"/>
    <x v="1"/>
    <n v="40"/>
    <x v="3"/>
    <x v="13"/>
    <x v="2"/>
    <n v="9.8000000000000007"/>
    <n v="4.9000000000000004"/>
    <x v="4"/>
    <n v="2"/>
    <x v="0"/>
    <n v="121500"/>
    <n v="8400"/>
    <n v="129900"/>
    <s v="E"/>
    <d v="2016-03-08T00:00:00"/>
    <x v="2"/>
  </r>
  <r>
    <x v="2389"/>
    <x v="0"/>
    <n v="52"/>
    <x v="3"/>
    <x v="12"/>
    <x v="2"/>
    <n v="1.8"/>
    <n v="1.8"/>
    <x v="0"/>
    <n v="4"/>
    <x v="0"/>
    <n v="72100"/>
    <n v="4800"/>
    <n v="76900"/>
    <s v="C"/>
    <d v="2024-03-09T00:00:00"/>
    <x v="2"/>
  </r>
  <r>
    <x v="2390"/>
    <x v="1"/>
    <n v="39"/>
    <x v="2"/>
    <x v="11"/>
    <x v="2"/>
    <n v="8.9"/>
    <n v="5.8"/>
    <x v="2"/>
    <n v="3"/>
    <x v="0"/>
    <n v="102400"/>
    <n v="6700"/>
    <n v="109100"/>
    <s v="E"/>
    <d v="2017-02-02T00:00:00"/>
    <x v="2"/>
  </r>
  <r>
    <x v="2391"/>
    <x v="0"/>
    <n v="34"/>
    <x v="5"/>
    <x v="17"/>
    <x v="0"/>
    <n v="3.9"/>
    <n v="0"/>
    <x v="1"/>
    <n v="3"/>
    <x v="0"/>
    <n v="92400"/>
    <n v="16300"/>
    <n v="108700"/>
    <s v="D"/>
    <d v="2022-01-29T00:00:00"/>
    <x v="0"/>
  </r>
  <r>
    <x v="2392"/>
    <x v="0"/>
    <n v="40"/>
    <x v="3"/>
    <x v="5"/>
    <x v="1"/>
    <n v="8.8000000000000007"/>
    <n v="5.2"/>
    <x v="2"/>
    <n v="3"/>
    <x v="0"/>
    <n v="79800"/>
    <n v="3700"/>
    <n v="83500"/>
    <s v="C"/>
    <d v="2017-03-28T00:00:00"/>
    <x v="1"/>
  </r>
  <r>
    <x v="2393"/>
    <x v="0"/>
    <n v="31"/>
    <x v="0"/>
    <x v="1"/>
    <x v="2"/>
    <n v="4"/>
    <n v="2"/>
    <x v="1"/>
    <n v="3"/>
    <x v="0"/>
    <n v="83800"/>
    <n v="9400"/>
    <n v="93200"/>
    <s v="D"/>
    <d v="2021-12-18T00:00:00"/>
    <x v="2"/>
  </r>
  <r>
    <x v="2394"/>
    <x v="1"/>
    <n v="29"/>
    <x v="0"/>
    <x v="2"/>
    <x v="2"/>
    <n v="7.9"/>
    <n v="5.7"/>
    <x v="2"/>
    <n v="3"/>
    <x v="0"/>
    <n v="76900"/>
    <n v="6600"/>
    <n v="83500"/>
    <s v="C"/>
    <d v="2018-01-20T00:00:00"/>
    <x v="2"/>
  </r>
  <r>
    <x v="2395"/>
    <x v="1"/>
    <n v="27"/>
    <x v="4"/>
    <x v="16"/>
    <x v="1"/>
    <n v="3"/>
    <n v="3"/>
    <x v="1"/>
    <n v="3"/>
    <x v="0"/>
    <n v="94200"/>
    <n v="8900"/>
    <n v="103100"/>
    <s v="D"/>
    <d v="2022-12-14T00:00:00"/>
    <x v="1"/>
  </r>
  <r>
    <x v="2396"/>
    <x v="1"/>
    <n v="28"/>
    <x v="2"/>
    <x v="18"/>
    <x v="1"/>
    <n v="6"/>
    <n v="6"/>
    <x v="2"/>
    <n v="3"/>
    <x v="0"/>
    <n v="76100"/>
    <n v="6600"/>
    <n v="82700"/>
    <s v="C"/>
    <d v="2019-12-15T00:00:00"/>
    <x v="1"/>
  </r>
  <r>
    <x v="2397"/>
    <x v="1"/>
    <n v="45"/>
    <x v="4"/>
    <x v="14"/>
    <x v="1"/>
    <n v="2.9"/>
    <n v="2.9"/>
    <x v="0"/>
    <n v="3"/>
    <x v="0"/>
    <n v="116600"/>
    <n v="12200"/>
    <n v="128800"/>
    <s v="E"/>
    <d v="2023-01-27T00:00:00"/>
    <x v="1"/>
  </r>
  <r>
    <x v="2398"/>
    <x v="0"/>
    <n v="45"/>
    <x v="2"/>
    <x v="18"/>
    <x v="2"/>
    <n v="8.1999999999999993"/>
    <n v="4"/>
    <x v="2"/>
    <n v="1"/>
    <x v="0"/>
    <n v="70700"/>
    <n v="6200"/>
    <n v="76900"/>
    <s v="C"/>
    <d v="2017-10-30T00:00:00"/>
    <x v="2"/>
  </r>
  <r>
    <x v="2399"/>
    <x v="1"/>
    <n v="27"/>
    <x v="0"/>
    <x v="0"/>
    <x v="0"/>
    <n v="2.2999999999999998"/>
    <n v="0.6"/>
    <x v="0"/>
    <n v="2"/>
    <x v="1"/>
    <n v="50800"/>
    <n v="3100"/>
    <n v="53900"/>
    <s v="B"/>
    <d v="2023-09-11T00:00:00"/>
    <x v="0"/>
  </r>
  <r>
    <x v="2400"/>
    <x v="0"/>
    <n v="35"/>
    <x v="1"/>
    <x v="3"/>
    <x v="2"/>
    <n v="3.4"/>
    <n v="2.2999999999999998"/>
    <x v="1"/>
    <n v="5"/>
    <x v="0"/>
    <n v="81500"/>
    <n v="3900"/>
    <n v="85400"/>
    <s v="D"/>
    <d v="2022-08-07T00:00:00"/>
    <x v="2"/>
  </r>
  <r>
    <x v="2401"/>
    <x v="1"/>
    <n v="46"/>
    <x v="2"/>
    <x v="4"/>
    <x v="1"/>
    <n v="6.2"/>
    <n v="5.8"/>
    <x v="2"/>
    <n v="3"/>
    <x v="0"/>
    <n v="72300"/>
    <n v="2600"/>
    <n v="74900"/>
    <s v="C"/>
    <d v="2019-11-06T00:00:00"/>
    <x v="1"/>
  </r>
  <r>
    <x v="2402"/>
    <x v="1"/>
    <n v="39"/>
    <x v="1"/>
    <x v="7"/>
    <x v="2"/>
    <n v="11.1"/>
    <n v="7.5"/>
    <x v="4"/>
    <n v="3"/>
    <x v="0"/>
    <n v="98300"/>
    <n v="7700"/>
    <n v="106000"/>
    <s v="D"/>
    <d v="2014-11-22T00:00:00"/>
    <x v="2"/>
  </r>
  <r>
    <x v="2403"/>
    <x v="0"/>
    <n v="39"/>
    <x v="3"/>
    <x v="13"/>
    <x v="1"/>
    <n v="12.5"/>
    <n v="6.8"/>
    <x v="3"/>
    <n v="4"/>
    <x v="0"/>
    <n v="106800"/>
    <n v="5100"/>
    <n v="111900"/>
    <s v="E"/>
    <d v="2013-06-23T00:00:00"/>
    <x v="1"/>
  </r>
  <r>
    <x v="2404"/>
    <x v="1"/>
    <n v="32"/>
    <x v="5"/>
    <x v="9"/>
    <x v="1"/>
    <n v="9.8000000000000007"/>
    <n v="9.6"/>
    <x v="4"/>
    <n v="1"/>
    <x v="0"/>
    <n v="94500"/>
    <n v="15000"/>
    <n v="109500"/>
    <s v="D"/>
    <d v="2016-02-26T00:00:00"/>
    <x v="1"/>
  </r>
  <r>
    <x v="2405"/>
    <x v="1"/>
    <n v="40"/>
    <x v="1"/>
    <x v="3"/>
    <x v="1"/>
    <n v="12.2"/>
    <n v="5.7"/>
    <x v="3"/>
    <n v="3"/>
    <x v="0"/>
    <n v="83200"/>
    <n v="8100"/>
    <n v="91300"/>
    <s v="D"/>
    <d v="2013-10-28T00:00:00"/>
    <x v="1"/>
  </r>
  <r>
    <x v="2406"/>
    <x v="0"/>
    <n v="52"/>
    <x v="1"/>
    <x v="7"/>
    <x v="3"/>
    <n v="8.6"/>
    <n v="7.4"/>
    <x v="2"/>
    <n v="3"/>
    <x v="1"/>
    <n v="59000"/>
    <n v="6400"/>
    <n v="65400"/>
    <s v="B"/>
    <d v="2017-06-03T00:00:00"/>
    <x v="3"/>
  </r>
  <r>
    <x v="2407"/>
    <x v="1"/>
    <n v="29"/>
    <x v="0"/>
    <x v="2"/>
    <x v="2"/>
    <n v="3.9"/>
    <n v="3"/>
    <x v="1"/>
    <n v="4"/>
    <x v="0"/>
    <n v="61900"/>
    <n v="6600"/>
    <n v="68500"/>
    <s v="B"/>
    <d v="2022-02-02T00:00:00"/>
    <x v="2"/>
  </r>
  <r>
    <x v="2408"/>
    <x v="0"/>
    <n v="33"/>
    <x v="1"/>
    <x v="7"/>
    <x v="1"/>
    <n v="1.7"/>
    <n v="0.8"/>
    <x v="0"/>
    <n v="3"/>
    <x v="0"/>
    <n v="67000"/>
    <n v="4100"/>
    <n v="71100"/>
    <s v="C"/>
    <d v="2024-04-29T00:00:00"/>
    <x v="1"/>
  </r>
  <r>
    <x v="2409"/>
    <x v="0"/>
    <n v="37"/>
    <x v="5"/>
    <x v="15"/>
    <x v="1"/>
    <n v="6.3"/>
    <n v="4"/>
    <x v="2"/>
    <n v="3"/>
    <x v="0"/>
    <n v="63200"/>
    <n v="12400"/>
    <n v="75600"/>
    <s v="B"/>
    <d v="2019-09-03T00:00:00"/>
    <x v="1"/>
  </r>
  <r>
    <x v="2410"/>
    <x v="1"/>
    <n v="21"/>
    <x v="2"/>
    <x v="18"/>
    <x v="1"/>
    <n v="1.5"/>
    <n v="1.5"/>
    <x v="0"/>
    <n v="4"/>
    <x v="0"/>
    <n v="67300"/>
    <n v="6100"/>
    <n v="73400"/>
    <s v="C"/>
    <d v="2024-06-19T00:00:00"/>
    <x v="1"/>
  </r>
  <r>
    <x v="2411"/>
    <x v="1"/>
    <n v="36"/>
    <x v="0"/>
    <x v="0"/>
    <x v="1"/>
    <n v="4.5999999999999996"/>
    <n v="0.7"/>
    <x v="1"/>
    <n v="4"/>
    <x v="0"/>
    <n v="103700"/>
    <n v="8400"/>
    <n v="112100"/>
    <s v="E"/>
    <d v="2021-05-21T00:00:00"/>
    <x v="1"/>
  </r>
  <r>
    <x v="2412"/>
    <x v="1"/>
    <n v="27"/>
    <x v="5"/>
    <x v="9"/>
    <x v="1"/>
    <n v="5.3"/>
    <n v="5"/>
    <x v="1"/>
    <n v="2"/>
    <x v="1"/>
    <n v="55200"/>
    <n v="6000"/>
    <n v="61200"/>
    <s v="B"/>
    <d v="2020-09-29T00:00:00"/>
    <x v="1"/>
  </r>
  <r>
    <x v="2413"/>
    <x v="1"/>
    <n v="37"/>
    <x v="5"/>
    <x v="15"/>
    <x v="0"/>
    <n v="7.7"/>
    <n v="6.7"/>
    <x v="2"/>
    <n v="3"/>
    <x v="0"/>
    <n v="55000"/>
    <n v="7900"/>
    <n v="62900"/>
    <s v="B"/>
    <d v="2018-04-26T00:00:00"/>
    <x v="0"/>
  </r>
  <r>
    <x v="2414"/>
    <x v="0"/>
    <n v="30"/>
    <x v="4"/>
    <x v="16"/>
    <x v="1"/>
    <n v="7.8"/>
    <n v="4.5"/>
    <x v="2"/>
    <n v="4"/>
    <x v="1"/>
    <n v="55900"/>
    <n v="5700"/>
    <n v="61600"/>
    <s v="B"/>
    <d v="2018-03-31T00:00:00"/>
    <x v="1"/>
  </r>
  <r>
    <x v="2415"/>
    <x v="1"/>
    <n v="43"/>
    <x v="0"/>
    <x v="0"/>
    <x v="1"/>
    <n v="13.4"/>
    <n v="9.9"/>
    <x v="3"/>
    <n v="3"/>
    <x v="2"/>
    <n v="87100"/>
    <n v="11300"/>
    <n v="98400"/>
    <s v="D"/>
    <d v="2012-08-04T00:00:00"/>
    <x v="1"/>
  </r>
  <r>
    <x v="2416"/>
    <x v="1"/>
    <n v="35"/>
    <x v="4"/>
    <x v="8"/>
    <x v="2"/>
    <n v="3"/>
    <n v="2.7"/>
    <x v="1"/>
    <n v="4"/>
    <x v="1"/>
    <n v="52800"/>
    <n v="6400"/>
    <n v="59200"/>
    <s v="B"/>
    <d v="2023-01-07T00:00:00"/>
    <x v="2"/>
  </r>
  <r>
    <x v="2417"/>
    <x v="1"/>
    <n v="28"/>
    <x v="5"/>
    <x v="17"/>
    <x v="1"/>
    <n v="1.6"/>
    <n v="1.5"/>
    <x v="0"/>
    <n v="3"/>
    <x v="0"/>
    <n v="98100"/>
    <n v="9800"/>
    <n v="107900"/>
    <s v="D"/>
    <d v="2024-05-26T00:00:00"/>
    <x v="1"/>
  </r>
  <r>
    <x v="2418"/>
    <x v="0"/>
    <n v="39"/>
    <x v="4"/>
    <x v="6"/>
    <x v="0"/>
    <n v="1.2"/>
    <n v="0"/>
    <x v="0"/>
    <n v="2"/>
    <x v="0"/>
    <n v="59500"/>
    <n v="7000"/>
    <n v="66500"/>
    <s v="B"/>
    <d v="2024-10-12T00:00:00"/>
    <x v="0"/>
  </r>
  <r>
    <x v="2419"/>
    <x v="0"/>
    <n v="21"/>
    <x v="1"/>
    <x v="3"/>
    <x v="2"/>
    <n v="4.7"/>
    <n v="4.4000000000000004"/>
    <x v="1"/>
    <n v="3"/>
    <x v="0"/>
    <n v="80600"/>
    <n v="7600"/>
    <n v="88200"/>
    <s v="D"/>
    <d v="2021-04-19T00:00:00"/>
    <x v="2"/>
  </r>
  <r>
    <x v="2420"/>
    <x v="0"/>
    <n v="43"/>
    <x v="5"/>
    <x v="15"/>
    <x v="1"/>
    <n v="6.5"/>
    <n v="4.4000000000000004"/>
    <x v="2"/>
    <n v="3"/>
    <x v="0"/>
    <n v="57100"/>
    <n v="8800"/>
    <n v="65900"/>
    <s v="B"/>
    <d v="2019-07-10T00:00:00"/>
    <x v="1"/>
  </r>
  <r>
    <x v="2421"/>
    <x v="1"/>
    <n v="38"/>
    <x v="5"/>
    <x v="15"/>
    <x v="1"/>
    <n v="7.6"/>
    <n v="4.5"/>
    <x v="2"/>
    <n v="2"/>
    <x v="0"/>
    <n v="63800"/>
    <n v="11700"/>
    <n v="75500"/>
    <s v="B"/>
    <d v="2018-05-13T00:00:00"/>
    <x v="1"/>
  </r>
  <r>
    <x v="2422"/>
    <x v="1"/>
    <n v="39"/>
    <x v="4"/>
    <x v="16"/>
    <x v="0"/>
    <n v="1.2"/>
    <n v="0.6"/>
    <x v="0"/>
    <n v="2"/>
    <x v="0"/>
    <n v="69900"/>
    <n v="5300"/>
    <n v="75200"/>
    <s v="C"/>
    <d v="2024-10-07T00:00:00"/>
    <x v="0"/>
  </r>
  <r>
    <x v="2423"/>
    <x v="0"/>
    <n v="32"/>
    <x v="1"/>
    <x v="10"/>
    <x v="2"/>
    <n v="10.1"/>
    <n v="6.3"/>
    <x v="4"/>
    <n v="5"/>
    <x v="0"/>
    <n v="109900"/>
    <n v="5700"/>
    <n v="115600"/>
    <s v="E"/>
    <d v="2015-12-11T00:00:00"/>
    <x v="2"/>
  </r>
  <r>
    <x v="2424"/>
    <x v="1"/>
    <n v="34"/>
    <x v="4"/>
    <x v="6"/>
    <x v="2"/>
    <n v="13.5"/>
    <n v="9.6999999999999993"/>
    <x v="3"/>
    <n v="3"/>
    <x v="0"/>
    <n v="81600"/>
    <n v="9400"/>
    <n v="91000"/>
    <s v="D"/>
    <d v="2012-07-16T00:00:00"/>
    <x v="2"/>
  </r>
  <r>
    <x v="2425"/>
    <x v="1"/>
    <n v="34"/>
    <x v="1"/>
    <x v="7"/>
    <x v="1"/>
    <n v="10.9"/>
    <n v="6.9"/>
    <x v="4"/>
    <n v="3"/>
    <x v="0"/>
    <n v="84700"/>
    <n v="4800"/>
    <n v="89500"/>
    <s v="D"/>
    <d v="2015-02-24T00:00:00"/>
    <x v="1"/>
  </r>
  <r>
    <x v="2426"/>
    <x v="1"/>
    <n v="49"/>
    <x v="1"/>
    <x v="3"/>
    <x v="2"/>
    <n v="8.4"/>
    <n v="4.4000000000000004"/>
    <x v="2"/>
    <n v="3"/>
    <x v="0"/>
    <n v="88400"/>
    <n v="3800"/>
    <n v="92200"/>
    <s v="D"/>
    <d v="2017-07-29T00:00:00"/>
    <x v="2"/>
  </r>
  <r>
    <x v="2427"/>
    <x v="0"/>
    <n v="53"/>
    <x v="5"/>
    <x v="17"/>
    <x v="1"/>
    <n v="1.9"/>
    <n v="1.3"/>
    <x v="0"/>
    <n v="4"/>
    <x v="0"/>
    <n v="86700"/>
    <n v="17800"/>
    <n v="104500"/>
    <s v="D"/>
    <d v="2024-02-07T00:00:00"/>
    <x v="1"/>
  </r>
  <r>
    <x v="2428"/>
    <x v="1"/>
    <n v="27"/>
    <x v="4"/>
    <x v="6"/>
    <x v="1"/>
    <n v="12.8"/>
    <n v="8.1999999999999993"/>
    <x v="3"/>
    <n v="3"/>
    <x v="0"/>
    <n v="75600"/>
    <n v="9400"/>
    <n v="85000"/>
    <s v="C"/>
    <d v="2013-03-03T00:00:00"/>
    <x v="1"/>
  </r>
  <r>
    <x v="2429"/>
    <x v="0"/>
    <n v="40"/>
    <x v="5"/>
    <x v="15"/>
    <x v="2"/>
    <n v="3.8"/>
    <n v="3.8"/>
    <x v="1"/>
    <n v="4"/>
    <x v="0"/>
    <n v="66900"/>
    <n v="11100"/>
    <n v="78000"/>
    <s v="C"/>
    <d v="2022-03-30T00:00:00"/>
    <x v="2"/>
  </r>
  <r>
    <x v="2430"/>
    <x v="0"/>
    <n v="35"/>
    <x v="4"/>
    <x v="16"/>
    <x v="1"/>
    <n v="7.1"/>
    <n v="4.8"/>
    <x v="2"/>
    <n v="3"/>
    <x v="2"/>
    <n v="81600"/>
    <n v="11900"/>
    <n v="93500"/>
    <s v="D"/>
    <d v="2018-12-01T00:00:00"/>
    <x v="1"/>
  </r>
  <r>
    <x v="2431"/>
    <x v="0"/>
    <n v="30"/>
    <x v="2"/>
    <x v="11"/>
    <x v="2"/>
    <n v="1.6"/>
    <n v="1.6"/>
    <x v="0"/>
    <n v="3"/>
    <x v="0"/>
    <n v="105100"/>
    <n v="6200"/>
    <n v="111300"/>
    <s v="E"/>
    <d v="2024-06-11T00:00:00"/>
    <x v="2"/>
  </r>
  <r>
    <x v="2432"/>
    <x v="0"/>
    <n v="43"/>
    <x v="2"/>
    <x v="18"/>
    <x v="1"/>
    <n v="5.4"/>
    <n v="3.3"/>
    <x v="1"/>
    <n v="2"/>
    <x v="0"/>
    <n v="67900"/>
    <n v="6700"/>
    <n v="74600"/>
    <s v="C"/>
    <d v="2020-07-21T00:00:00"/>
    <x v="1"/>
  </r>
  <r>
    <x v="2433"/>
    <x v="1"/>
    <n v="25"/>
    <x v="0"/>
    <x v="1"/>
    <x v="1"/>
    <n v="12.8"/>
    <n v="9.6"/>
    <x v="3"/>
    <n v="4"/>
    <x v="0"/>
    <n v="97300"/>
    <n v="6900"/>
    <n v="104200"/>
    <s v="D"/>
    <d v="2013-02-26T00:00:00"/>
    <x v="1"/>
  </r>
  <r>
    <x v="2434"/>
    <x v="0"/>
    <n v="21"/>
    <x v="5"/>
    <x v="15"/>
    <x v="1"/>
    <n v="1.6"/>
    <n v="1.6"/>
    <x v="0"/>
    <n v="3"/>
    <x v="0"/>
    <n v="59400"/>
    <n v="6700"/>
    <n v="66100"/>
    <s v="B"/>
    <d v="2024-05-20T00:00:00"/>
    <x v="1"/>
  </r>
  <r>
    <x v="2435"/>
    <x v="1"/>
    <n v="25"/>
    <x v="2"/>
    <x v="11"/>
    <x v="1"/>
    <n v="3.5"/>
    <n v="2.9"/>
    <x v="1"/>
    <n v="5"/>
    <x v="0"/>
    <n v="95500"/>
    <n v="6400"/>
    <n v="101900"/>
    <s v="D"/>
    <d v="2022-07-07T00:00:00"/>
    <x v="1"/>
  </r>
  <r>
    <x v="2436"/>
    <x v="1"/>
    <n v="38"/>
    <x v="0"/>
    <x v="2"/>
    <x v="1"/>
    <n v="5.7"/>
    <n v="1.9"/>
    <x v="1"/>
    <n v="3"/>
    <x v="0"/>
    <n v="63400"/>
    <n v="5200"/>
    <n v="68600"/>
    <s v="B"/>
    <d v="2020-04-17T00:00:00"/>
    <x v="1"/>
  </r>
  <r>
    <x v="2437"/>
    <x v="1"/>
    <n v="34"/>
    <x v="2"/>
    <x v="18"/>
    <x v="2"/>
    <n v="11.5"/>
    <n v="8.4"/>
    <x v="4"/>
    <n v="3"/>
    <x v="1"/>
    <n v="43200"/>
    <n v="3600"/>
    <n v="46800"/>
    <s v="A"/>
    <d v="2014-07-19T00:00:00"/>
    <x v="2"/>
  </r>
  <r>
    <x v="2438"/>
    <x v="1"/>
    <n v="35"/>
    <x v="2"/>
    <x v="4"/>
    <x v="1"/>
    <n v="8.6999999999999993"/>
    <n v="6.7"/>
    <x v="2"/>
    <n v="2"/>
    <x v="0"/>
    <n v="73300"/>
    <n v="4200"/>
    <n v="77500"/>
    <s v="C"/>
    <d v="2017-04-26T00:00:00"/>
    <x v="1"/>
  </r>
  <r>
    <x v="2439"/>
    <x v="0"/>
    <n v="30"/>
    <x v="1"/>
    <x v="7"/>
    <x v="1"/>
    <n v="9.1"/>
    <n v="5.8"/>
    <x v="4"/>
    <n v="3"/>
    <x v="0"/>
    <n v="73500"/>
    <n v="3400"/>
    <n v="76900"/>
    <s v="C"/>
    <d v="2016-11-21T00:00:00"/>
    <x v="1"/>
  </r>
  <r>
    <x v="2440"/>
    <x v="0"/>
    <n v="42"/>
    <x v="0"/>
    <x v="1"/>
    <x v="1"/>
    <n v="7.8"/>
    <n v="4.8"/>
    <x v="2"/>
    <n v="3"/>
    <x v="0"/>
    <n v="89300"/>
    <n v="6500"/>
    <n v="95800"/>
    <s v="D"/>
    <d v="2018-03-18T00:00:00"/>
    <x v="1"/>
  </r>
  <r>
    <x v="2441"/>
    <x v="0"/>
    <n v="41"/>
    <x v="1"/>
    <x v="7"/>
    <x v="1"/>
    <n v="4.9000000000000004"/>
    <n v="4.7"/>
    <x v="1"/>
    <n v="4"/>
    <x v="0"/>
    <n v="80900"/>
    <n v="4500"/>
    <n v="85400"/>
    <s v="D"/>
    <d v="2021-02-14T00:00:00"/>
    <x v="1"/>
  </r>
  <r>
    <x v="2442"/>
    <x v="0"/>
    <n v="26"/>
    <x v="1"/>
    <x v="3"/>
    <x v="3"/>
    <n v="9.1999999999999993"/>
    <n v="2.7"/>
    <x v="4"/>
    <n v="4"/>
    <x v="0"/>
    <n v="102900"/>
    <n v="9000"/>
    <n v="111900"/>
    <s v="E"/>
    <d v="2016-10-12T00:00:00"/>
    <x v="3"/>
  </r>
  <r>
    <x v="2443"/>
    <x v="1"/>
    <n v="37"/>
    <x v="3"/>
    <x v="13"/>
    <x v="2"/>
    <n v="13.2"/>
    <n v="9.3000000000000007"/>
    <x v="3"/>
    <n v="3"/>
    <x v="0"/>
    <n v="120900"/>
    <n v="4000"/>
    <n v="124900"/>
    <s v="E"/>
    <d v="2012-10-12T00:00:00"/>
    <x v="2"/>
  </r>
  <r>
    <x v="2444"/>
    <x v="0"/>
    <n v="48"/>
    <x v="3"/>
    <x v="12"/>
    <x v="1"/>
    <n v="12.7"/>
    <n v="7.6"/>
    <x v="3"/>
    <n v="3"/>
    <x v="0"/>
    <n v="81100"/>
    <n v="4500"/>
    <n v="85600"/>
    <s v="D"/>
    <d v="2013-05-05T00:00:00"/>
    <x v="1"/>
  </r>
  <r>
    <x v="2445"/>
    <x v="0"/>
    <n v="24"/>
    <x v="3"/>
    <x v="13"/>
    <x v="2"/>
    <n v="7.5"/>
    <n v="6.3"/>
    <x v="2"/>
    <n v="5"/>
    <x v="0"/>
    <n v="99400"/>
    <n v="6900"/>
    <n v="106300"/>
    <s v="D"/>
    <d v="2018-07-08T00:00:00"/>
    <x v="2"/>
  </r>
  <r>
    <x v="2446"/>
    <x v="1"/>
    <n v="46"/>
    <x v="5"/>
    <x v="9"/>
    <x v="2"/>
    <n v="13.4"/>
    <n v="7.3"/>
    <x v="3"/>
    <n v="3"/>
    <x v="0"/>
    <n v="120700"/>
    <n v="20500"/>
    <n v="141200"/>
    <s v="E"/>
    <d v="2012-08-20T00:00:00"/>
    <x v="2"/>
  </r>
  <r>
    <x v="2447"/>
    <x v="1"/>
    <n v="21"/>
    <x v="2"/>
    <x v="4"/>
    <x v="1"/>
    <n v="4.2"/>
    <n v="3.2"/>
    <x v="1"/>
    <n v="2"/>
    <x v="2"/>
    <n v="58000"/>
    <n v="3000"/>
    <n v="61000"/>
    <s v="B"/>
    <d v="2021-10-19T00:00:00"/>
    <x v="1"/>
  </r>
  <r>
    <x v="2448"/>
    <x v="0"/>
    <n v="35"/>
    <x v="2"/>
    <x v="11"/>
    <x v="0"/>
    <n v="8.8000000000000007"/>
    <n v="6.2"/>
    <x v="2"/>
    <n v="3"/>
    <x v="0"/>
    <n v="101200"/>
    <n v="6300"/>
    <n v="107500"/>
    <s v="E"/>
    <d v="2017-03-23T00:00:00"/>
    <x v="0"/>
  </r>
  <r>
    <x v="2449"/>
    <x v="0"/>
    <n v="40"/>
    <x v="4"/>
    <x v="16"/>
    <x v="1"/>
    <n v="10.7"/>
    <n v="5.8"/>
    <x v="4"/>
    <n v="4"/>
    <x v="0"/>
    <n v="108900"/>
    <n v="9800"/>
    <n v="118700"/>
    <s v="E"/>
    <d v="2015-04-11T00:00:00"/>
    <x v="1"/>
  </r>
  <r>
    <x v="2450"/>
    <x v="1"/>
    <n v="49"/>
    <x v="4"/>
    <x v="8"/>
    <x v="1"/>
    <n v="3.2"/>
    <n v="2.7"/>
    <x v="1"/>
    <n v="3"/>
    <x v="0"/>
    <n v="84400"/>
    <n v="12400"/>
    <n v="96800"/>
    <s v="D"/>
    <d v="2022-11-01T00:00:00"/>
    <x v="1"/>
  </r>
  <r>
    <x v="2451"/>
    <x v="0"/>
    <n v="43"/>
    <x v="1"/>
    <x v="7"/>
    <x v="2"/>
    <n v="5.8"/>
    <n v="2.7"/>
    <x v="1"/>
    <n v="2"/>
    <x v="2"/>
    <n v="67800"/>
    <n v="8100"/>
    <n v="75900"/>
    <s v="C"/>
    <d v="2020-03-18T00:00:00"/>
    <x v="2"/>
  </r>
  <r>
    <x v="2452"/>
    <x v="0"/>
    <n v="49"/>
    <x v="4"/>
    <x v="16"/>
    <x v="1"/>
    <n v="13.6"/>
    <n v="9"/>
    <x v="3"/>
    <n v="2"/>
    <x v="0"/>
    <n v="94700"/>
    <n v="11100"/>
    <n v="105800"/>
    <s v="D"/>
    <d v="2012-05-24T00:00:00"/>
    <x v="1"/>
  </r>
  <r>
    <x v="2453"/>
    <x v="1"/>
    <n v="33"/>
    <x v="3"/>
    <x v="12"/>
    <x v="1"/>
    <n v="11.3"/>
    <n v="8.1"/>
    <x v="4"/>
    <n v="3"/>
    <x v="0"/>
    <n v="63000"/>
    <n v="5100"/>
    <n v="68100"/>
    <s v="B"/>
    <d v="2014-09-18T00:00:00"/>
    <x v="1"/>
  </r>
  <r>
    <x v="2454"/>
    <x v="1"/>
    <n v="36"/>
    <x v="4"/>
    <x v="6"/>
    <x v="2"/>
    <n v="6.4"/>
    <n v="6"/>
    <x v="2"/>
    <n v="3"/>
    <x v="0"/>
    <n v="76600"/>
    <n v="9900"/>
    <n v="86500"/>
    <s v="C"/>
    <d v="2019-08-11T00:00:00"/>
    <x v="2"/>
  </r>
  <r>
    <x v="2455"/>
    <x v="0"/>
    <n v="32"/>
    <x v="1"/>
    <x v="10"/>
    <x v="1"/>
    <n v="2"/>
    <n v="1.3"/>
    <x v="0"/>
    <n v="3"/>
    <x v="0"/>
    <n v="102600"/>
    <n v="9100"/>
    <n v="111700"/>
    <s v="E"/>
    <d v="2024-01-03T00:00:00"/>
    <x v="1"/>
  </r>
  <r>
    <x v="2456"/>
    <x v="0"/>
    <n v="33"/>
    <x v="2"/>
    <x v="18"/>
    <x v="2"/>
    <n v="9.3000000000000007"/>
    <n v="8.5"/>
    <x v="4"/>
    <n v="4"/>
    <x v="0"/>
    <n v="76100"/>
    <n v="5000"/>
    <n v="81100"/>
    <s v="C"/>
    <d v="2016-09-27T00:00:00"/>
    <x v="2"/>
  </r>
  <r>
    <x v="2457"/>
    <x v="1"/>
    <n v="36"/>
    <x v="4"/>
    <x v="8"/>
    <x v="0"/>
    <n v="5.5"/>
    <n v="3.6"/>
    <x v="1"/>
    <n v="3"/>
    <x v="0"/>
    <n v="75200"/>
    <n v="5300"/>
    <n v="80500"/>
    <s v="C"/>
    <d v="2020-06-18T00:00:00"/>
    <x v="0"/>
  </r>
  <r>
    <x v="2458"/>
    <x v="0"/>
    <n v="35"/>
    <x v="4"/>
    <x v="14"/>
    <x v="2"/>
    <n v="6.8"/>
    <n v="4.5999999999999996"/>
    <x v="2"/>
    <n v="2"/>
    <x v="0"/>
    <n v="106100"/>
    <n v="10100"/>
    <n v="116200"/>
    <s v="E"/>
    <d v="2019-03-21T00:00:00"/>
    <x v="2"/>
  </r>
  <r>
    <x v="2459"/>
    <x v="1"/>
    <n v="28"/>
    <x v="4"/>
    <x v="6"/>
    <x v="1"/>
    <n v="6.4"/>
    <n v="5.2"/>
    <x v="2"/>
    <n v="3"/>
    <x v="0"/>
    <n v="76200"/>
    <n v="3900"/>
    <n v="80100"/>
    <s v="C"/>
    <d v="2019-07-29T00:00:00"/>
    <x v="1"/>
  </r>
  <r>
    <x v="2460"/>
    <x v="1"/>
    <n v="38"/>
    <x v="5"/>
    <x v="9"/>
    <x v="2"/>
    <n v="8.1"/>
    <n v="5.5"/>
    <x v="2"/>
    <n v="3"/>
    <x v="0"/>
    <n v="107400"/>
    <n v="10200"/>
    <n v="117600"/>
    <s v="E"/>
    <d v="2017-11-18T00:00:00"/>
    <x v="2"/>
  </r>
  <r>
    <x v="2461"/>
    <x v="0"/>
    <n v="36"/>
    <x v="5"/>
    <x v="17"/>
    <x v="2"/>
    <n v="11.8"/>
    <n v="7.6"/>
    <x v="4"/>
    <n v="3"/>
    <x v="0"/>
    <n v="110900"/>
    <n v="21500"/>
    <n v="132400"/>
    <s v="E"/>
    <d v="2014-03-12T00:00:00"/>
    <x v="2"/>
  </r>
  <r>
    <x v="2462"/>
    <x v="0"/>
    <n v="41"/>
    <x v="4"/>
    <x v="8"/>
    <x v="1"/>
    <n v="1.2"/>
    <n v="0"/>
    <x v="0"/>
    <n v="4"/>
    <x v="0"/>
    <n v="77000"/>
    <n v="8900"/>
    <n v="85900"/>
    <s v="C"/>
    <d v="2024-10-10T00:00:00"/>
    <x v="1"/>
  </r>
  <r>
    <x v="2463"/>
    <x v="1"/>
    <n v="35"/>
    <x v="1"/>
    <x v="10"/>
    <x v="1"/>
    <n v="12.6"/>
    <n v="7.1"/>
    <x v="3"/>
    <n v="2"/>
    <x v="0"/>
    <n v="115900"/>
    <n v="13600"/>
    <n v="129500"/>
    <s v="E"/>
    <d v="2013-06-05T00:00:00"/>
    <x v="1"/>
  </r>
  <r>
    <x v="2464"/>
    <x v="0"/>
    <n v="41"/>
    <x v="4"/>
    <x v="14"/>
    <x v="2"/>
    <n v="3.8"/>
    <n v="3.2"/>
    <x v="1"/>
    <n v="3"/>
    <x v="0"/>
    <n v="105000"/>
    <n v="9200"/>
    <n v="114200"/>
    <s v="E"/>
    <d v="2022-03-20T00:00:00"/>
    <x v="2"/>
  </r>
  <r>
    <x v="2465"/>
    <x v="1"/>
    <n v="28"/>
    <x v="4"/>
    <x v="6"/>
    <x v="3"/>
    <n v="3.7"/>
    <n v="1.1000000000000001"/>
    <x v="1"/>
    <n v="4"/>
    <x v="0"/>
    <n v="83800"/>
    <n v="4900"/>
    <n v="88700"/>
    <s v="D"/>
    <d v="2022-04-14T00:00:00"/>
    <x v="3"/>
  </r>
  <r>
    <x v="2466"/>
    <x v="1"/>
    <n v="23"/>
    <x v="4"/>
    <x v="16"/>
    <x v="2"/>
    <n v="2.4"/>
    <n v="0"/>
    <x v="0"/>
    <n v="3"/>
    <x v="1"/>
    <n v="60000"/>
    <n v="8200"/>
    <n v="68200"/>
    <s v="B"/>
    <d v="2023-08-09T00:00:00"/>
    <x v="2"/>
  </r>
  <r>
    <x v="2467"/>
    <x v="1"/>
    <n v="42"/>
    <x v="0"/>
    <x v="2"/>
    <x v="2"/>
    <n v="5.9"/>
    <n v="3.2"/>
    <x v="1"/>
    <n v="5"/>
    <x v="0"/>
    <n v="74000"/>
    <n v="8400"/>
    <n v="82400"/>
    <s v="C"/>
    <d v="2020-02-02T00:00:00"/>
    <x v="2"/>
  </r>
  <r>
    <x v="2468"/>
    <x v="1"/>
    <n v="36"/>
    <x v="3"/>
    <x v="5"/>
    <x v="2"/>
    <n v="2.7"/>
    <n v="2.7"/>
    <x v="0"/>
    <n v="3"/>
    <x v="0"/>
    <n v="72500"/>
    <n v="2900"/>
    <n v="75400"/>
    <s v="C"/>
    <d v="2023-04-22T00:00:00"/>
    <x v="2"/>
  </r>
  <r>
    <x v="2469"/>
    <x v="1"/>
    <n v="40"/>
    <x v="4"/>
    <x v="16"/>
    <x v="2"/>
    <n v="10.199999999999999"/>
    <n v="7.2"/>
    <x v="4"/>
    <n v="3"/>
    <x v="0"/>
    <n v="109200"/>
    <n v="13500"/>
    <n v="122700"/>
    <s v="E"/>
    <d v="2015-10-05T00:00:00"/>
    <x v="2"/>
  </r>
  <r>
    <x v="2470"/>
    <x v="0"/>
    <n v="37"/>
    <x v="5"/>
    <x v="17"/>
    <x v="1"/>
    <n v="4.3"/>
    <n v="3.2"/>
    <x v="1"/>
    <n v="4"/>
    <x v="0"/>
    <n v="88200"/>
    <n v="9200"/>
    <n v="97400"/>
    <s v="D"/>
    <d v="2021-09-30T00:00:00"/>
    <x v="1"/>
  </r>
  <r>
    <x v="2471"/>
    <x v="0"/>
    <n v="21"/>
    <x v="4"/>
    <x v="16"/>
    <x v="3"/>
    <n v="7.5"/>
    <n v="4.3"/>
    <x v="2"/>
    <n v="3"/>
    <x v="0"/>
    <n v="107400"/>
    <n v="9100"/>
    <n v="116500"/>
    <s v="E"/>
    <d v="2018-07-07T00:00:00"/>
    <x v="3"/>
  </r>
  <r>
    <x v="2472"/>
    <x v="1"/>
    <n v="32"/>
    <x v="4"/>
    <x v="16"/>
    <x v="2"/>
    <n v="10.6"/>
    <n v="8"/>
    <x v="4"/>
    <n v="3"/>
    <x v="0"/>
    <n v="102400"/>
    <n v="7400"/>
    <n v="109800"/>
    <s v="E"/>
    <d v="2015-06-13T00:00:00"/>
    <x v="2"/>
  </r>
  <r>
    <x v="2473"/>
    <x v="0"/>
    <n v="24"/>
    <x v="4"/>
    <x v="14"/>
    <x v="3"/>
    <n v="6.2"/>
    <n v="3.2"/>
    <x v="2"/>
    <n v="2"/>
    <x v="1"/>
    <n v="65900"/>
    <n v="4200"/>
    <n v="70100"/>
    <s v="C"/>
    <d v="2019-10-30T00:00:00"/>
    <x v="3"/>
  </r>
  <r>
    <x v="2474"/>
    <x v="0"/>
    <n v="21"/>
    <x v="0"/>
    <x v="2"/>
    <x v="1"/>
    <n v="7.3"/>
    <n v="5.9"/>
    <x v="2"/>
    <n v="3"/>
    <x v="0"/>
    <n v="67900"/>
    <n v="6700"/>
    <n v="74600"/>
    <s v="C"/>
    <d v="2018-08-29T00:00:00"/>
    <x v="1"/>
  </r>
  <r>
    <x v="2475"/>
    <x v="1"/>
    <n v="39"/>
    <x v="2"/>
    <x v="4"/>
    <x v="3"/>
    <n v="10.3"/>
    <n v="5.3"/>
    <x v="4"/>
    <n v="3"/>
    <x v="0"/>
    <n v="99600"/>
    <n v="6600"/>
    <n v="106200"/>
    <s v="D"/>
    <d v="2015-09-02T00:00:00"/>
    <x v="3"/>
  </r>
  <r>
    <x v="2476"/>
    <x v="0"/>
    <n v="36"/>
    <x v="4"/>
    <x v="14"/>
    <x v="1"/>
    <n v="7.3"/>
    <n v="4.2"/>
    <x v="2"/>
    <n v="3"/>
    <x v="0"/>
    <n v="100400"/>
    <n v="8000"/>
    <n v="108400"/>
    <s v="E"/>
    <d v="2018-09-01T00:00:00"/>
    <x v="1"/>
  </r>
  <r>
    <x v="2477"/>
    <x v="1"/>
    <n v="25"/>
    <x v="5"/>
    <x v="15"/>
    <x v="2"/>
    <n v="13.4"/>
    <n v="7.1"/>
    <x v="3"/>
    <n v="3"/>
    <x v="2"/>
    <n v="57500"/>
    <n v="5000"/>
    <n v="62500"/>
    <s v="B"/>
    <d v="2012-07-31T00:00:00"/>
    <x v="2"/>
  </r>
  <r>
    <x v="2478"/>
    <x v="1"/>
    <n v="31"/>
    <x v="3"/>
    <x v="5"/>
    <x v="1"/>
    <n v="2.5"/>
    <n v="2.5"/>
    <x v="0"/>
    <n v="3"/>
    <x v="0"/>
    <n v="68500"/>
    <n v="4500"/>
    <n v="73000"/>
    <s v="C"/>
    <d v="2023-07-13T00:00:00"/>
    <x v="1"/>
  </r>
  <r>
    <x v="2479"/>
    <x v="0"/>
    <n v="34"/>
    <x v="1"/>
    <x v="7"/>
    <x v="1"/>
    <n v="6"/>
    <n v="3.6"/>
    <x v="2"/>
    <n v="4"/>
    <x v="0"/>
    <n v="84000"/>
    <n v="6700"/>
    <n v="90700"/>
    <s v="D"/>
    <d v="2019-12-30T00:00:00"/>
    <x v="1"/>
  </r>
  <r>
    <x v="2480"/>
    <x v="1"/>
    <n v="37"/>
    <x v="1"/>
    <x v="10"/>
    <x v="2"/>
    <n v="10.9"/>
    <n v="7.2"/>
    <x v="4"/>
    <n v="3"/>
    <x v="0"/>
    <n v="115200"/>
    <n v="8300"/>
    <n v="123500"/>
    <s v="E"/>
    <d v="2015-02-02T00:00:00"/>
    <x v="2"/>
  </r>
  <r>
    <x v="2481"/>
    <x v="0"/>
    <n v="37"/>
    <x v="3"/>
    <x v="13"/>
    <x v="1"/>
    <n v="7"/>
    <n v="5.9"/>
    <x v="2"/>
    <n v="2"/>
    <x v="0"/>
    <n v="92400"/>
    <n v="5100"/>
    <n v="97500"/>
    <s v="D"/>
    <d v="2019-01-08T00:00:00"/>
    <x v="1"/>
  </r>
  <r>
    <x v="2482"/>
    <x v="1"/>
    <n v="48"/>
    <x v="3"/>
    <x v="12"/>
    <x v="0"/>
    <n v="2.4"/>
    <n v="0"/>
    <x v="0"/>
    <n v="5"/>
    <x v="0"/>
    <n v="69700"/>
    <n v="4200"/>
    <n v="73900"/>
    <s v="C"/>
    <d v="2023-07-31T00:00:00"/>
    <x v="0"/>
  </r>
  <r>
    <x v="2483"/>
    <x v="0"/>
    <n v="21"/>
    <x v="0"/>
    <x v="1"/>
    <x v="2"/>
    <n v="12.9"/>
    <n v="8.1999999999999993"/>
    <x v="3"/>
    <n v="4"/>
    <x v="0"/>
    <n v="89800"/>
    <n v="9700"/>
    <n v="99500"/>
    <s v="D"/>
    <d v="2013-02-21T00:00:00"/>
    <x v="2"/>
  </r>
  <r>
    <x v="2484"/>
    <x v="1"/>
    <n v="30"/>
    <x v="3"/>
    <x v="5"/>
    <x v="1"/>
    <n v="13.8"/>
    <n v="8.1999999999999993"/>
    <x v="3"/>
    <n v="4"/>
    <x v="0"/>
    <n v="90700"/>
    <n v="5500"/>
    <n v="96200"/>
    <s v="D"/>
    <d v="2012-03-02T00:00:00"/>
    <x v="1"/>
  </r>
  <r>
    <x v="2485"/>
    <x v="1"/>
    <n v="49"/>
    <x v="2"/>
    <x v="18"/>
    <x v="1"/>
    <n v="3.6"/>
    <n v="1.1000000000000001"/>
    <x v="1"/>
    <n v="2"/>
    <x v="0"/>
    <n v="57900"/>
    <n v="5500"/>
    <n v="63400"/>
    <s v="B"/>
    <d v="2022-06-11T00:00:00"/>
    <x v="1"/>
  </r>
  <r>
    <x v="2486"/>
    <x v="0"/>
    <n v="47"/>
    <x v="0"/>
    <x v="2"/>
    <x v="1"/>
    <n v="7.8"/>
    <n v="5.9"/>
    <x v="2"/>
    <n v="3"/>
    <x v="0"/>
    <n v="62600"/>
    <n v="4000"/>
    <n v="66600"/>
    <s v="B"/>
    <d v="2018-03-09T00:00:00"/>
    <x v="1"/>
  </r>
  <r>
    <x v="2487"/>
    <x v="0"/>
    <n v="38"/>
    <x v="3"/>
    <x v="5"/>
    <x v="2"/>
    <n v="10.5"/>
    <n v="9.5"/>
    <x v="4"/>
    <n v="2"/>
    <x v="0"/>
    <n v="82600"/>
    <n v="6800"/>
    <n v="89400"/>
    <s v="D"/>
    <d v="2015-06-20T00:00:00"/>
    <x v="2"/>
  </r>
  <r>
    <x v="2488"/>
    <x v="1"/>
    <n v="41"/>
    <x v="4"/>
    <x v="16"/>
    <x v="3"/>
    <n v="10.199999999999999"/>
    <n v="4.8"/>
    <x v="4"/>
    <n v="4"/>
    <x v="0"/>
    <n v="83200"/>
    <n v="10600"/>
    <n v="93800"/>
    <s v="D"/>
    <d v="2015-10-09T00:00:00"/>
    <x v="3"/>
  </r>
  <r>
    <x v="2489"/>
    <x v="0"/>
    <n v="30"/>
    <x v="2"/>
    <x v="11"/>
    <x v="1"/>
    <n v="3.5"/>
    <n v="3.5"/>
    <x v="1"/>
    <n v="5"/>
    <x v="0"/>
    <n v="87400"/>
    <n v="6500"/>
    <n v="93900"/>
    <s v="D"/>
    <d v="2022-07-13T00:00:00"/>
    <x v="1"/>
  </r>
  <r>
    <x v="2490"/>
    <x v="1"/>
    <n v="46"/>
    <x v="3"/>
    <x v="12"/>
    <x v="3"/>
    <n v="10.3"/>
    <n v="6.8"/>
    <x v="4"/>
    <n v="3"/>
    <x v="0"/>
    <n v="85200"/>
    <n v="7000"/>
    <n v="92200"/>
    <s v="D"/>
    <d v="2015-09-19T00:00:00"/>
    <x v="3"/>
  </r>
  <r>
    <x v="2491"/>
    <x v="0"/>
    <n v="32"/>
    <x v="5"/>
    <x v="17"/>
    <x v="1"/>
    <n v="3.4"/>
    <n v="2.8"/>
    <x v="1"/>
    <n v="2"/>
    <x v="0"/>
    <n v="84700"/>
    <n v="7100"/>
    <n v="91800"/>
    <s v="D"/>
    <d v="2022-08-18T00:00:00"/>
    <x v="1"/>
  </r>
  <r>
    <x v="2492"/>
    <x v="1"/>
    <n v="56"/>
    <x v="3"/>
    <x v="13"/>
    <x v="3"/>
    <n v="9"/>
    <n v="7.8"/>
    <x v="4"/>
    <n v="5"/>
    <x v="0"/>
    <n v="113600"/>
    <n v="3700"/>
    <n v="117300"/>
    <s v="E"/>
    <m/>
    <x v="3"/>
  </r>
  <r>
    <x v="2493"/>
    <x v="1"/>
    <n v="21"/>
    <x v="2"/>
    <x v="11"/>
    <x v="2"/>
    <n v="2.2999999999999998"/>
    <n v="0"/>
    <x v="0"/>
    <n v="3"/>
    <x v="0"/>
    <n v="101600"/>
    <n v="4900"/>
    <n v="106500"/>
    <s v="E"/>
    <d v="2023-09-19T00:00:00"/>
    <x v="2"/>
  </r>
  <r>
    <x v="2494"/>
    <x v="1"/>
    <n v="33"/>
    <x v="1"/>
    <x v="3"/>
    <x v="1"/>
    <n v="9.3000000000000007"/>
    <n v="3.6"/>
    <x v="4"/>
    <n v="3"/>
    <x v="0"/>
    <n v="84800"/>
    <n v="5300"/>
    <n v="90100"/>
    <s v="D"/>
    <d v="2016-09-06T00:00:00"/>
    <x v="1"/>
  </r>
  <r>
    <x v="2495"/>
    <x v="0"/>
    <n v="35"/>
    <x v="3"/>
    <x v="12"/>
    <x v="1"/>
    <n v="11.9"/>
    <n v="7.3"/>
    <x v="4"/>
    <n v="3"/>
    <x v="0"/>
    <n v="80100"/>
    <n v="4000"/>
    <n v="84100"/>
    <s v="D"/>
    <d v="2014-02-10T00:00:00"/>
    <x v="1"/>
  </r>
  <r>
    <x v="2496"/>
    <x v="0"/>
    <n v="37"/>
    <x v="2"/>
    <x v="11"/>
    <x v="2"/>
    <n v="1.1000000000000001"/>
    <n v="1.1000000000000001"/>
    <x v="0"/>
    <n v="4"/>
    <x v="0"/>
    <n v="90600"/>
    <n v="5000"/>
    <n v="95600"/>
    <s v="D"/>
    <d v="2024-12-01T00:00:00"/>
    <x v="2"/>
  </r>
  <r>
    <x v="2497"/>
    <x v="0"/>
    <n v="42"/>
    <x v="4"/>
    <x v="8"/>
    <x v="2"/>
    <n v="4.3"/>
    <n v="1.7"/>
    <x v="1"/>
    <n v="3"/>
    <x v="0"/>
    <n v="93800"/>
    <n v="7700"/>
    <n v="101500"/>
    <s v="D"/>
    <d v="2021-09-16T00:00:00"/>
    <x v="2"/>
  </r>
  <r>
    <x v="2498"/>
    <x v="1"/>
    <n v="69"/>
    <x v="4"/>
    <x v="6"/>
    <x v="1"/>
    <n v="9.1"/>
    <n v="2.8"/>
    <x v="4"/>
    <n v="5"/>
    <x v="0"/>
    <n v="82200"/>
    <n v="7200"/>
    <n v="89400"/>
    <s v="D"/>
    <d v="2016-11-24T00:00:00"/>
    <x v="1"/>
  </r>
  <r>
    <x v="2499"/>
    <x v="0"/>
    <n v="31"/>
    <x v="2"/>
    <x v="4"/>
    <x v="1"/>
    <n v="4"/>
    <n v="2"/>
    <x v="1"/>
    <n v="2"/>
    <x v="0"/>
    <n v="65300"/>
    <n v="3200"/>
    <n v="68500"/>
    <s v="C"/>
    <d v="2022-01-17T00:00:00"/>
    <x v="1"/>
  </r>
  <r>
    <x v="2500"/>
    <x v="1"/>
    <n v="47"/>
    <x v="2"/>
    <x v="18"/>
    <x v="1"/>
    <n v="9"/>
    <n v="4.2"/>
    <x v="4"/>
    <n v="3"/>
    <x v="0"/>
    <n v="71800"/>
    <n v="6400"/>
    <n v="78200"/>
    <s v="C"/>
    <d v="2016-12-17T00:00:00"/>
    <x v="1"/>
  </r>
  <r>
    <x v="2501"/>
    <x v="1"/>
    <n v="27"/>
    <x v="3"/>
    <x v="12"/>
    <x v="2"/>
    <n v="2.9"/>
    <n v="2.8"/>
    <x v="0"/>
    <n v="3"/>
    <x v="0"/>
    <n v="72000"/>
    <n v="5900"/>
    <n v="77900"/>
    <s v="C"/>
    <d v="2023-02-25T00:00:00"/>
    <x v="2"/>
  </r>
  <r>
    <x v="2502"/>
    <x v="0"/>
    <n v="30"/>
    <x v="2"/>
    <x v="4"/>
    <x v="0"/>
    <n v="12.2"/>
    <n v="8.5"/>
    <x v="3"/>
    <n v="3"/>
    <x v="0"/>
    <n v="91100"/>
    <n v="4600"/>
    <n v="95700"/>
    <s v="D"/>
    <d v="2013-10-22T00:00:00"/>
    <x v="0"/>
  </r>
  <r>
    <x v="2503"/>
    <x v="1"/>
    <n v="50"/>
    <x v="4"/>
    <x v="16"/>
    <x v="1"/>
    <n v="1.6"/>
    <n v="1.2"/>
    <x v="0"/>
    <n v="2"/>
    <x v="0"/>
    <n v="85300"/>
    <n v="7200"/>
    <n v="92500"/>
    <s v="D"/>
    <d v="2024-05-23T00:00:00"/>
    <x v="1"/>
  </r>
  <r>
    <x v="2504"/>
    <x v="0"/>
    <n v="31"/>
    <x v="4"/>
    <x v="14"/>
    <x v="1"/>
    <n v="3.2"/>
    <n v="1.7"/>
    <x v="1"/>
    <n v="3"/>
    <x v="0"/>
    <n v="94200"/>
    <n v="10100"/>
    <n v="104300"/>
    <s v="D"/>
    <d v="2022-10-14T00:00:00"/>
    <x v="1"/>
  </r>
  <r>
    <x v="2505"/>
    <x v="1"/>
    <n v="38"/>
    <x v="2"/>
    <x v="11"/>
    <x v="1"/>
    <n v="12.5"/>
    <n v="8.3000000000000007"/>
    <x v="3"/>
    <n v="3"/>
    <x v="0"/>
    <n v="106600"/>
    <n v="6700"/>
    <n v="113300"/>
    <s v="E"/>
    <d v="2013-06-25T00:00:00"/>
    <x v="1"/>
  </r>
  <r>
    <x v="2506"/>
    <x v="1"/>
    <n v="45"/>
    <x v="5"/>
    <x v="15"/>
    <x v="2"/>
    <n v="8.8000000000000007"/>
    <n v="5.9"/>
    <x v="2"/>
    <n v="4"/>
    <x v="0"/>
    <n v="71600"/>
    <n v="13400"/>
    <n v="85000"/>
    <s v="C"/>
    <d v="2017-02-25T00:00:00"/>
    <x v="2"/>
  </r>
  <r>
    <x v="2507"/>
    <x v="1"/>
    <n v="24"/>
    <x v="3"/>
    <x v="12"/>
    <x v="1"/>
    <n v="6.4"/>
    <n v="5.6"/>
    <x v="2"/>
    <n v="3"/>
    <x v="0"/>
    <n v="69400"/>
    <n v="3100"/>
    <n v="72500"/>
    <s v="C"/>
    <d v="2019-07-28T00:00:00"/>
    <x v="1"/>
  </r>
  <r>
    <x v="2508"/>
    <x v="0"/>
    <n v="42"/>
    <x v="2"/>
    <x v="11"/>
    <x v="1"/>
    <n v="6.5"/>
    <n v="5.3"/>
    <x v="2"/>
    <n v="4"/>
    <x v="1"/>
    <n v="69300"/>
    <n v="3300"/>
    <n v="72600"/>
    <s v="C"/>
    <d v="2019-07-14T00:00:00"/>
    <x v="1"/>
  </r>
  <r>
    <x v="2509"/>
    <x v="0"/>
    <n v="40"/>
    <x v="5"/>
    <x v="17"/>
    <x v="2"/>
    <n v="10.3"/>
    <n v="7.6"/>
    <x v="4"/>
    <n v="5"/>
    <x v="0"/>
    <n v="100300"/>
    <n v="8800"/>
    <n v="109100"/>
    <s v="E"/>
    <d v="2015-08-30T00:00:00"/>
    <x v="2"/>
  </r>
  <r>
    <x v="2510"/>
    <x v="1"/>
    <n v="39"/>
    <x v="0"/>
    <x v="1"/>
    <x v="1"/>
    <n v="11.4"/>
    <n v="10.8"/>
    <x v="4"/>
    <n v="3"/>
    <x v="0"/>
    <n v="81500"/>
    <n v="3700"/>
    <n v="85200"/>
    <s v="D"/>
    <d v="2014-08-10T00:00:00"/>
    <x v="1"/>
  </r>
  <r>
    <x v="2511"/>
    <x v="0"/>
    <n v="28"/>
    <x v="1"/>
    <x v="3"/>
    <x v="2"/>
    <n v="3.2"/>
    <n v="3.2"/>
    <x v="1"/>
    <n v="4"/>
    <x v="0"/>
    <n v="82900"/>
    <n v="5800"/>
    <n v="88700"/>
    <s v="D"/>
    <d v="2022-11-06T00:00:00"/>
    <x v="2"/>
  </r>
  <r>
    <x v="2512"/>
    <x v="0"/>
    <n v="36"/>
    <x v="0"/>
    <x v="0"/>
    <x v="1"/>
    <n v="5"/>
    <n v="3.2"/>
    <x v="1"/>
    <n v="4"/>
    <x v="0"/>
    <n v="100000"/>
    <n v="11400"/>
    <n v="111400"/>
    <s v="E"/>
    <d v="2020-12-19T00:00:00"/>
    <x v="1"/>
  </r>
  <r>
    <x v="2513"/>
    <x v="0"/>
    <n v="36"/>
    <x v="3"/>
    <x v="12"/>
    <x v="2"/>
    <n v="1.6"/>
    <n v="1.6"/>
    <x v="0"/>
    <n v="2"/>
    <x v="0"/>
    <n v="61500"/>
    <n v="4000"/>
    <n v="65500"/>
    <s v="B"/>
    <d v="2024-05-21T00:00:00"/>
    <x v="2"/>
  </r>
  <r>
    <x v="2514"/>
    <x v="1"/>
    <n v="51"/>
    <x v="4"/>
    <x v="8"/>
    <x v="2"/>
    <n v="9.6999999999999993"/>
    <n v="5.5"/>
    <x v="4"/>
    <n v="4"/>
    <x v="0"/>
    <n v="97600"/>
    <n v="10300"/>
    <n v="107900"/>
    <s v="D"/>
    <d v="2016-05-08T00:00:00"/>
    <x v="2"/>
  </r>
  <r>
    <x v="2515"/>
    <x v="1"/>
    <n v="55"/>
    <x v="3"/>
    <x v="5"/>
    <x v="2"/>
    <n v="13.2"/>
    <n v="11.4"/>
    <x v="3"/>
    <n v="4"/>
    <x v="0"/>
    <n v="89200"/>
    <n v="4400"/>
    <n v="93600"/>
    <s v="D"/>
    <d v="2012-10-19T00:00:00"/>
    <x v="2"/>
  </r>
  <r>
    <x v="2516"/>
    <x v="1"/>
    <n v="48"/>
    <x v="0"/>
    <x v="2"/>
    <x v="3"/>
    <n v="6.4"/>
    <n v="4.5999999999999996"/>
    <x v="2"/>
    <n v="2"/>
    <x v="0"/>
    <n v="69600"/>
    <n v="3700"/>
    <n v="73300"/>
    <s v="C"/>
    <d v="2019-08-12T00:00:00"/>
    <x v="3"/>
  </r>
  <r>
    <x v="2517"/>
    <x v="0"/>
    <n v="42"/>
    <x v="1"/>
    <x v="3"/>
    <x v="3"/>
    <n v="9.1"/>
    <n v="7.2"/>
    <x v="4"/>
    <n v="4"/>
    <x v="0"/>
    <n v="90700"/>
    <n v="9000"/>
    <n v="99700"/>
    <s v="D"/>
    <d v="2016-11-16T00:00:00"/>
    <x v="3"/>
  </r>
  <r>
    <x v="2518"/>
    <x v="1"/>
    <n v="39"/>
    <x v="1"/>
    <x v="10"/>
    <x v="2"/>
    <n v="12.3"/>
    <n v="7.9"/>
    <x v="3"/>
    <n v="3"/>
    <x v="0"/>
    <n v="100100"/>
    <n v="4600"/>
    <n v="104700"/>
    <s v="E"/>
    <d v="2013-09-14T00:00:00"/>
    <x v="2"/>
  </r>
  <r>
    <x v="2519"/>
    <x v="0"/>
    <n v="31"/>
    <x v="0"/>
    <x v="0"/>
    <x v="1"/>
    <n v="9.3000000000000007"/>
    <n v="7.1"/>
    <x v="4"/>
    <n v="3"/>
    <x v="0"/>
    <n v="82800"/>
    <n v="9200"/>
    <n v="92000"/>
    <s v="D"/>
    <d v="2016-09-05T00:00:00"/>
    <x v="1"/>
  </r>
  <r>
    <x v="2520"/>
    <x v="1"/>
    <n v="26"/>
    <x v="4"/>
    <x v="8"/>
    <x v="1"/>
    <n v="8"/>
    <n v="5.5"/>
    <x v="2"/>
    <n v="4"/>
    <x v="0"/>
    <n v="83800"/>
    <n v="5300"/>
    <n v="89100"/>
    <s v="D"/>
    <d v="2017-12-25T00:00:00"/>
    <x v="1"/>
  </r>
  <r>
    <x v="2521"/>
    <x v="1"/>
    <n v="35"/>
    <x v="1"/>
    <x v="3"/>
    <x v="2"/>
    <n v="5.5"/>
    <n v="2.8"/>
    <x v="1"/>
    <n v="3"/>
    <x v="0"/>
    <n v="94700"/>
    <n v="9100"/>
    <n v="103800"/>
    <s v="D"/>
    <d v="2020-07-05T00:00:00"/>
    <x v="2"/>
  </r>
  <r>
    <x v="2522"/>
    <x v="0"/>
    <n v="23"/>
    <x v="1"/>
    <x v="7"/>
    <x v="2"/>
    <n v="8.8000000000000007"/>
    <n v="5.2"/>
    <x v="2"/>
    <n v="3"/>
    <x v="0"/>
    <n v="87500"/>
    <n v="8200"/>
    <n v="95700"/>
    <s v="D"/>
    <d v="2017-03-10T00:00:00"/>
    <x v="2"/>
  </r>
  <r>
    <x v="2523"/>
    <x v="0"/>
    <n v="34"/>
    <x v="4"/>
    <x v="14"/>
    <x v="1"/>
    <n v="5.2"/>
    <n v="5.2"/>
    <x v="1"/>
    <n v="4"/>
    <x v="2"/>
    <n v="88400"/>
    <n v="7900"/>
    <n v="96300"/>
    <s v="D"/>
    <d v="2020-10-14T00:00:00"/>
    <x v="1"/>
  </r>
  <r>
    <x v="2524"/>
    <x v="1"/>
    <n v="40"/>
    <x v="5"/>
    <x v="9"/>
    <x v="1"/>
    <n v="12.2"/>
    <n v="5"/>
    <x v="3"/>
    <n v="4"/>
    <x v="0"/>
    <n v="127300"/>
    <n v="26200"/>
    <n v="153500"/>
    <s v="E"/>
    <d v="2013-11-03T00:00:00"/>
    <x v="1"/>
  </r>
  <r>
    <x v="2525"/>
    <x v="1"/>
    <n v="38"/>
    <x v="1"/>
    <x v="3"/>
    <x v="1"/>
    <n v="8.9"/>
    <n v="5.0999999999999996"/>
    <x v="2"/>
    <n v="2"/>
    <x v="2"/>
    <n v="65700"/>
    <n v="3800"/>
    <n v="69500"/>
    <s v="C"/>
    <d v="2017-01-21T00:00:00"/>
    <x v="1"/>
  </r>
  <r>
    <x v="2526"/>
    <x v="0"/>
    <n v="30"/>
    <x v="2"/>
    <x v="4"/>
    <x v="1"/>
    <n v="9.6"/>
    <n v="5.4"/>
    <x v="4"/>
    <n v="3"/>
    <x v="0"/>
    <n v="70000"/>
    <n v="6000"/>
    <n v="76000"/>
    <s v="C"/>
    <d v="2016-06-08T00:00:00"/>
    <x v="1"/>
  </r>
  <r>
    <x v="2527"/>
    <x v="1"/>
    <n v="28"/>
    <x v="0"/>
    <x v="2"/>
    <x v="1"/>
    <n v="5.3"/>
    <n v="3.2"/>
    <x v="1"/>
    <n v="4"/>
    <x v="0"/>
    <n v="65900"/>
    <n v="8500"/>
    <n v="74400"/>
    <s v="C"/>
    <d v="2020-09-09T00:00:00"/>
    <x v="1"/>
  </r>
  <r>
    <x v="2528"/>
    <x v="0"/>
    <n v="56"/>
    <x v="1"/>
    <x v="10"/>
    <x v="1"/>
    <n v="5.9"/>
    <n v="3.3"/>
    <x v="1"/>
    <n v="4"/>
    <x v="1"/>
    <n v="58100"/>
    <n v="3900"/>
    <n v="62000"/>
    <s v="B"/>
    <d v="2020-02-08T00:00:00"/>
    <x v="1"/>
  </r>
  <r>
    <x v="2529"/>
    <x v="0"/>
    <n v="45"/>
    <x v="2"/>
    <x v="18"/>
    <x v="1"/>
    <n v="10.5"/>
    <n v="9.1"/>
    <x v="4"/>
    <n v="3"/>
    <x v="0"/>
    <n v="69300"/>
    <n v="4800"/>
    <n v="74100"/>
    <s v="C"/>
    <d v="2015-07-18T00:00:00"/>
    <x v="1"/>
  </r>
  <r>
    <x v="2530"/>
    <x v="1"/>
    <n v="33"/>
    <x v="4"/>
    <x v="14"/>
    <x v="2"/>
    <n v="10.4"/>
    <n v="7.1"/>
    <x v="4"/>
    <n v="4"/>
    <x v="1"/>
    <n v="70800"/>
    <n v="5500"/>
    <n v="76300"/>
    <s v="C"/>
    <d v="2015-08-26T00:00:00"/>
    <x v="2"/>
  </r>
  <r>
    <x v="2531"/>
    <x v="1"/>
    <n v="53"/>
    <x v="5"/>
    <x v="9"/>
    <x v="2"/>
    <n v="2.5"/>
    <n v="2.2000000000000002"/>
    <x v="0"/>
    <n v="3"/>
    <x v="0"/>
    <n v="91100"/>
    <n v="18500"/>
    <n v="109600"/>
    <s v="D"/>
    <d v="2023-07-01T00:00:00"/>
    <x v="2"/>
  </r>
  <r>
    <x v="2532"/>
    <x v="1"/>
    <n v="33"/>
    <x v="1"/>
    <x v="7"/>
    <x v="0"/>
    <n v="4.7"/>
    <n v="4.7"/>
    <x v="1"/>
    <n v="3"/>
    <x v="0"/>
    <n v="80400"/>
    <n v="7200"/>
    <n v="87600"/>
    <s v="D"/>
    <d v="2021-04-26T00:00:00"/>
    <x v="0"/>
  </r>
  <r>
    <x v="2533"/>
    <x v="1"/>
    <n v="44"/>
    <x v="3"/>
    <x v="13"/>
    <x v="0"/>
    <n v="11.8"/>
    <n v="8.5"/>
    <x v="4"/>
    <n v="4"/>
    <x v="0"/>
    <n v="112800"/>
    <n v="8500"/>
    <n v="121300"/>
    <s v="E"/>
    <d v="2014-03-25T00:00:00"/>
    <x v="0"/>
  </r>
  <r>
    <x v="2534"/>
    <x v="0"/>
    <n v="41"/>
    <x v="2"/>
    <x v="4"/>
    <x v="1"/>
    <n v="11.1"/>
    <n v="7.1"/>
    <x v="4"/>
    <n v="3"/>
    <x v="0"/>
    <n v="88800"/>
    <n v="7900"/>
    <n v="96700"/>
    <s v="D"/>
    <d v="2014-12-11T00:00:00"/>
    <x v="1"/>
  </r>
  <r>
    <x v="2535"/>
    <x v="1"/>
    <n v="39"/>
    <x v="0"/>
    <x v="0"/>
    <x v="1"/>
    <n v="12.8"/>
    <n v="9"/>
    <x v="3"/>
    <n v="2"/>
    <x v="0"/>
    <n v="100300"/>
    <n v="7100"/>
    <n v="107400"/>
    <s v="E"/>
    <d v="2013-02-28T00:00:00"/>
    <x v="1"/>
  </r>
  <r>
    <x v="2536"/>
    <x v="1"/>
    <n v="33"/>
    <x v="0"/>
    <x v="1"/>
    <x v="2"/>
    <n v="10.3"/>
    <n v="6.3"/>
    <x v="4"/>
    <n v="2"/>
    <x v="2"/>
    <n v="66000"/>
    <n v="7000"/>
    <n v="73000"/>
    <s v="C"/>
    <d v="2015-09-20T00:00:00"/>
    <x v="2"/>
  </r>
  <r>
    <x v="2537"/>
    <x v="0"/>
    <n v="34"/>
    <x v="0"/>
    <x v="2"/>
    <x v="3"/>
    <n v="7.5"/>
    <n v="6.3"/>
    <x v="2"/>
    <n v="3"/>
    <x v="1"/>
    <n v="46300"/>
    <n v="3000"/>
    <n v="49300"/>
    <s v="A"/>
    <d v="2018-07-16T00:00:00"/>
    <x v="3"/>
  </r>
  <r>
    <x v="2538"/>
    <x v="0"/>
    <n v="43"/>
    <x v="3"/>
    <x v="13"/>
    <x v="1"/>
    <n v="6.5"/>
    <n v="4.5"/>
    <x v="2"/>
    <n v="5"/>
    <x v="0"/>
    <n v="110800"/>
    <n v="7600"/>
    <n v="118400"/>
    <s v="E"/>
    <d v="2019-07-18T00:00:00"/>
    <x v="1"/>
  </r>
  <r>
    <x v="2539"/>
    <x v="0"/>
    <n v="35"/>
    <x v="4"/>
    <x v="14"/>
    <x v="3"/>
    <n v="3.5"/>
    <n v="3.2"/>
    <x v="1"/>
    <n v="4"/>
    <x v="0"/>
    <n v="104300"/>
    <n v="12600"/>
    <n v="116900"/>
    <s v="E"/>
    <d v="2022-07-15T00:00:00"/>
    <x v="3"/>
  </r>
  <r>
    <x v="2540"/>
    <x v="1"/>
    <n v="37"/>
    <x v="2"/>
    <x v="11"/>
    <x v="0"/>
    <n v="13.6"/>
    <n v="8.1999999999999993"/>
    <x v="3"/>
    <n v="4"/>
    <x v="2"/>
    <n v="89600"/>
    <n v="5200"/>
    <n v="94800"/>
    <s v="D"/>
    <d v="2012-05-29T00:00:00"/>
    <x v="0"/>
  </r>
  <r>
    <x v="2541"/>
    <x v="1"/>
    <n v="34"/>
    <x v="4"/>
    <x v="6"/>
    <x v="1"/>
    <n v="11.2"/>
    <n v="9.1999999999999993"/>
    <x v="4"/>
    <n v="4"/>
    <x v="0"/>
    <n v="77400"/>
    <n v="5100"/>
    <n v="82500"/>
    <s v="C"/>
    <d v="2014-10-05T00:00:00"/>
    <x v="1"/>
  </r>
  <r>
    <x v="2542"/>
    <x v="0"/>
    <n v="26"/>
    <x v="2"/>
    <x v="4"/>
    <x v="1"/>
    <n v="5.2"/>
    <n v="2.2999999999999998"/>
    <x v="1"/>
    <n v="3"/>
    <x v="0"/>
    <n v="69800"/>
    <n v="4700"/>
    <n v="74500"/>
    <s v="C"/>
    <d v="2020-10-10T00:00:00"/>
    <x v="1"/>
  </r>
  <r>
    <x v="2543"/>
    <x v="1"/>
    <n v="37"/>
    <x v="0"/>
    <x v="1"/>
    <x v="2"/>
    <n v="10.199999999999999"/>
    <n v="6.1"/>
    <x v="4"/>
    <n v="3"/>
    <x v="0"/>
    <n v="96000"/>
    <n v="8600"/>
    <n v="104600"/>
    <s v="D"/>
    <d v="2015-10-22T00:00:00"/>
    <x v="2"/>
  </r>
  <r>
    <x v="2544"/>
    <x v="1"/>
    <n v="43"/>
    <x v="0"/>
    <x v="2"/>
    <x v="0"/>
    <n v="8.6"/>
    <n v="6.1"/>
    <x v="2"/>
    <n v="2"/>
    <x v="0"/>
    <n v="63500"/>
    <n v="8000"/>
    <n v="71500"/>
    <s v="B"/>
    <d v="2017-05-09T00:00:00"/>
    <x v="0"/>
  </r>
  <r>
    <x v="2545"/>
    <x v="1"/>
    <n v="26"/>
    <x v="1"/>
    <x v="7"/>
    <x v="1"/>
    <n v="7"/>
    <n v="3.4"/>
    <x v="2"/>
    <n v="4"/>
    <x v="0"/>
    <n v="72200"/>
    <n v="6200"/>
    <n v="78400"/>
    <s v="C"/>
    <d v="2018-12-28T00:00:00"/>
    <x v="1"/>
  </r>
  <r>
    <x v="2546"/>
    <x v="0"/>
    <n v="46"/>
    <x v="4"/>
    <x v="6"/>
    <x v="0"/>
    <n v="11.6"/>
    <n v="8.5"/>
    <x v="4"/>
    <n v="4"/>
    <x v="0"/>
    <n v="91100"/>
    <n v="9700"/>
    <n v="100800"/>
    <s v="D"/>
    <d v="2014-05-20T00:00:00"/>
    <x v="0"/>
  </r>
  <r>
    <x v="2547"/>
    <x v="0"/>
    <n v="36"/>
    <x v="3"/>
    <x v="12"/>
    <x v="1"/>
    <n v="4.0999999999999996"/>
    <n v="2.2000000000000002"/>
    <x v="1"/>
    <n v="2"/>
    <x v="0"/>
    <n v="62300"/>
    <n v="2600"/>
    <n v="64900"/>
    <s v="B"/>
    <d v="2021-11-16T00:00:00"/>
    <x v="1"/>
  </r>
  <r>
    <x v="2548"/>
    <x v="1"/>
    <n v="37"/>
    <x v="4"/>
    <x v="16"/>
    <x v="3"/>
    <n v="8.6"/>
    <n v="5.5"/>
    <x v="2"/>
    <n v="4"/>
    <x v="0"/>
    <n v="112100"/>
    <n v="9700"/>
    <n v="121800"/>
    <s v="E"/>
    <d v="2017-05-20T00:00:00"/>
    <x v="3"/>
  </r>
  <r>
    <x v="2549"/>
    <x v="0"/>
    <n v="28"/>
    <x v="3"/>
    <x v="13"/>
    <x v="1"/>
    <n v="2"/>
    <n v="0.8"/>
    <x v="0"/>
    <n v="4"/>
    <x v="0"/>
    <n v="102400"/>
    <n v="5900"/>
    <n v="108300"/>
    <s v="E"/>
    <d v="2024-01-13T00:00:00"/>
    <x v="1"/>
  </r>
  <r>
    <x v="2550"/>
    <x v="0"/>
    <n v="29"/>
    <x v="5"/>
    <x v="17"/>
    <x v="1"/>
    <n v="9.3000000000000007"/>
    <n v="8.4"/>
    <x v="4"/>
    <n v="3"/>
    <x v="1"/>
    <n v="70400"/>
    <n v="9200"/>
    <n v="79600"/>
    <s v="C"/>
    <d v="2016-08-30T00:00:00"/>
    <x v="1"/>
  </r>
  <r>
    <x v="2551"/>
    <x v="0"/>
    <n v="29"/>
    <x v="1"/>
    <x v="10"/>
    <x v="2"/>
    <n v="13.6"/>
    <n v="9.3000000000000007"/>
    <x v="3"/>
    <n v="3"/>
    <x v="0"/>
    <n v="118100"/>
    <n v="13200"/>
    <n v="131300"/>
    <s v="E"/>
    <d v="2012-05-22T00:00:00"/>
    <x v="2"/>
  </r>
  <r>
    <x v="2552"/>
    <x v="1"/>
    <n v="32"/>
    <x v="4"/>
    <x v="6"/>
    <x v="1"/>
    <n v="5.5"/>
    <n v="1.8"/>
    <x v="1"/>
    <n v="4"/>
    <x v="0"/>
    <n v="58200"/>
    <n v="7600"/>
    <n v="65800"/>
    <s v="B"/>
    <d v="2020-07-16T00:00:00"/>
    <x v="1"/>
  </r>
  <r>
    <x v="2553"/>
    <x v="0"/>
    <n v="38"/>
    <x v="2"/>
    <x v="18"/>
    <x v="1"/>
    <n v="5.5"/>
    <n v="4.7"/>
    <x v="1"/>
    <n v="3"/>
    <x v="0"/>
    <n v="70300"/>
    <n v="4600"/>
    <n v="74900"/>
    <s v="C"/>
    <d v="2020-07-03T00:00:00"/>
    <x v="1"/>
  </r>
  <r>
    <x v="2554"/>
    <x v="1"/>
    <n v="29"/>
    <x v="0"/>
    <x v="1"/>
    <x v="1"/>
    <n v="13.8"/>
    <n v="9.5"/>
    <x v="3"/>
    <n v="4"/>
    <x v="0"/>
    <n v="87000"/>
    <n v="11400"/>
    <n v="98400"/>
    <s v="D"/>
    <d v="2012-03-15T00:00:00"/>
    <x v="1"/>
  </r>
  <r>
    <x v="2555"/>
    <x v="0"/>
    <n v="40"/>
    <x v="0"/>
    <x v="0"/>
    <x v="2"/>
    <n v="2.9"/>
    <n v="2"/>
    <x v="0"/>
    <n v="3"/>
    <x v="1"/>
    <n v="59000"/>
    <n v="7300"/>
    <n v="66300"/>
    <s v="B"/>
    <d v="2023-02-14T00:00:00"/>
    <x v="2"/>
  </r>
  <r>
    <x v="2556"/>
    <x v="1"/>
    <n v="35"/>
    <x v="4"/>
    <x v="6"/>
    <x v="1"/>
    <n v="12"/>
    <n v="5.4"/>
    <x v="3"/>
    <n v="3"/>
    <x v="1"/>
    <n v="50400"/>
    <n v="7300"/>
    <n v="57700"/>
    <s v="B"/>
    <d v="2013-12-28T00:00:00"/>
    <x v="1"/>
  </r>
  <r>
    <x v="2557"/>
    <x v="0"/>
    <n v="46"/>
    <x v="3"/>
    <x v="12"/>
    <x v="1"/>
    <n v="6.2"/>
    <n v="3.4"/>
    <x v="2"/>
    <n v="3"/>
    <x v="0"/>
    <n v="71200"/>
    <n v="5700"/>
    <n v="76900"/>
    <s v="C"/>
    <d v="2019-10-12T00:00:00"/>
    <x v="1"/>
  </r>
  <r>
    <x v="2558"/>
    <x v="0"/>
    <n v="37"/>
    <x v="5"/>
    <x v="9"/>
    <x v="1"/>
    <n v="9.1"/>
    <n v="5.6"/>
    <x v="4"/>
    <n v="4"/>
    <x v="0"/>
    <n v="105000"/>
    <n v="13500"/>
    <n v="118500"/>
    <s v="E"/>
    <d v="2016-12-07T00:00:00"/>
    <x v="1"/>
  </r>
  <r>
    <x v="2559"/>
    <x v="1"/>
    <n v="37"/>
    <x v="5"/>
    <x v="15"/>
    <x v="3"/>
    <n v="6.5"/>
    <n v="3"/>
    <x v="2"/>
    <n v="4"/>
    <x v="0"/>
    <n v="79600"/>
    <n v="12600"/>
    <n v="92200"/>
    <s v="C"/>
    <d v="2019-07-02T00:00:00"/>
    <x v="3"/>
  </r>
  <r>
    <x v="2560"/>
    <x v="0"/>
    <n v="29"/>
    <x v="3"/>
    <x v="5"/>
    <x v="2"/>
    <n v="11.6"/>
    <n v="6.5"/>
    <x v="4"/>
    <n v="4"/>
    <x v="2"/>
    <n v="70500"/>
    <n v="2700"/>
    <n v="73200"/>
    <s v="C"/>
    <d v="2014-05-13T00:00:00"/>
    <x v="2"/>
  </r>
  <r>
    <x v="2561"/>
    <x v="0"/>
    <n v="42"/>
    <x v="5"/>
    <x v="15"/>
    <x v="2"/>
    <n v="11.6"/>
    <n v="6.4"/>
    <x v="4"/>
    <n v="3"/>
    <x v="0"/>
    <n v="83100"/>
    <n v="11900"/>
    <n v="95000"/>
    <s v="D"/>
    <d v="2014-06-10T00:00:00"/>
    <x v="2"/>
  </r>
  <r>
    <x v="2562"/>
    <x v="1"/>
    <n v="36"/>
    <x v="3"/>
    <x v="12"/>
    <x v="1"/>
    <n v="10.6"/>
    <n v="6.8"/>
    <x v="4"/>
    <n v="4"/>
    <x v="0"/>
    <n v="84000"/>
    <n v="6100"/>
    <n v="90100"/>
    <s v="D"/>
    <d v="2015-05-30T00:00:00"/>
    <x v="1"/>
  </r>
  <r>
    <x v="2563"/>
    <x v="0"/>
    <n v="37"/>
    <x v="3"/>
    <x v="13"/>
    <x v="1"/>
    <n v="8.4"/>
    <n v="5.7"/>
    <x v="2"/>
    <n v="4"/>
    <x v="2"/>
    <n v="82100"/>
    <n v="4300"/>
    <n v="86400"/>
    <s v="D"/>
    <d v="2017-08-16T00:00:00"/>
    <x v="1"/>
  </r>
  <r>
    <x v="2564"/>
    <x v="1"/>
    <n v="42"/>
    <x v="4"/>
    <x v="8"/>
    <x v="0"/>
    <n v="9.5"/>
    <n v="6.8"/>
    <x v="4"/>
    <n v="3"/>
    <x v="1"/>
    <n v="54300"/>
    <n v="3200"/>
    <n v="57500"/>
    <s v="B"/>
    <d v="2016-07-09T00:00:00"/>
    <x v="0"/>
  </r>
  <r>
    <x v="2565"/>
    <x v="0"/>
    <n v="33"/>
    <x v="3"/>
    <x v="12"/>
    <x v="0"/>
    <n v="2.6"/>
    <n v="1.9"/>
    <x v="0"/>
    <n v="3"/>
    <x v="0"/>
    <n v="54500"/>
    <n v="3900"/>
    <n v="58400"/>
    <s v="B"/>
    <d v="2023-05-16T00:00:00"/>
    <x v="0"/>
  </r>
  <r>
    <x v="2566"/>
    <x v="1"/>
    <n v="28"/>
    <x v="4"/>
    <x v="6"/>
    <x v="1"/>
    <n v="4.8"/>
    <n v="2.5"/>
    <x v="1"/>
    <n v="4"/>
    <x v="0"/>
    <n v="72500"/>
    <n v="4700"/>
    <n v="77200"/>
    <s v="C"/>
    <d v="2021-03-04T00:00:00"/>
    <x v="1"/>
  </r>
  <r>
    <x v="2567"/>
    <x v="0"/>
    <n v="32"/>
    <x v="5"/>
    <x v="9"/>
    <x v="1"/>
    <n v="5.9"/>
    <n v="4.2"/>
    <x v="1"/>
    <n v="3"/>
    <x v="0"/>
    <n v="86300"/>
    <n v="7700"/>
    <n v="94000"/>
    <s v="D"/>
    <d v="2020-02-22T00:00:00"/>
    <x v="1"/>
  </r>
  <r>
    <x v="2568"/>
    <x v="0"/>
    <n v="23"/>
    <x v="4"/>
    <x v="6"/>
    <x v="1"/>
    <n v="12"/>
    <n v="8.3000000000000007"/>
    <x v="3"/>
    <n v="3"/>
    <x v="0"/>
    <n v="83000"/>
    <n v="8600"/>
    <n v="91600"/>
    <s v="D"/>
    <d v="2013-12-23T00:00:00"/>
    <x v="1"/>
  </r>
  <r>
    <x v="2569"/>
    <x v="0"/>
    <n v="39"/>
    <x v="1"/>
    <x v="10"/>
    <x v="3"/>
    <n v="8"/>
    <n v="5.8"/>
    <x v="2"/>
    <n v="3"/>
    <x v="0"/>
    <n v="123800"/>
    <n v="9900"/>
    <n v="133700"/>
    <s v="E"/>
    <d v="2018-01-14T00:00:00"/>
    <x v="3"/>
  </r>
  <r>
    <x v="2570"/>
    <x v="0"/>
    <n v="29"/>
    <x v="1"/>
    <x v="3"/>
    <x v="2"/>
    <n v="10.4"/>
    <n v="6.8"/>
    <x v="4"/>
    <n v="4"/>
    <x v="0"/>
    <n v="83700"/>
    <n v="5400"/>
    <n v="89100"/>
    <s v="D"/>
    <d v="2015-08-25T00:00:00"/>
    <x v="2"/>
  </r>
  <r>
    <x v="2571"/>
    <x v="1"/>
    <n v="36"/>
    <x v="1"/>
    <x v="3"/>
    <x v="1"/>
    <n v="6"/>
    <n v="2.8"/>
    <x v="2"/>
    <n v="3"/>
    <x v="0"/>
    <n v="86700"/>
    <n v="7200"/>
    <n v="93900"/>
    <s v="D"/>
    <d v="2020-01-15T00:00:00"/>
    <x v="1"/>
  </r>
  <r>
    <x v="2572"/>
    <x v="1"/>
    <n v="34"/>
    <x v="5"/>
    <x v="17"/>
    <x v="1"/>
    <n v="2.8"/>
    <n v="0.6"/>
    <x v="0"/>
    <n v="3"/>
    <x v="0"/>
    <n v="90600"/>
    <n v="7400"/>
    <n v="98000"/>
    <s v="D"/>
    <d v="2023-03-21T00:00:00"/>
    <x v="1"/>
  </r>
  <r>
    <x v="2573"/>
    <x v="0"/>
    <n v="33"/>
    <x v="1"/>
    <x v="3"/>
    <x v="1"/>
    <n v="3.5"/>
    <n v="2"/>
    <x v="1"/>
    <n v="3"/>
    <x v="0"/>
    <n v="67500"/>
    <n v="6000"/>
    <n v="73500"/>
    <s v="C"/>
    <d v="2022-06-27T00:00:00"/>
    <x v="1"/>
  </r>
  <r>
    <x v="2574"/>
    <x v="1"/>
    <n v="28"/>
    <x v="3"/>
    <x v="5"/>
    <x v="2"/>
    <n v="6.8"/>
    <n v="4.3"/>
    <x v="2"/>
    <n v="4"/>
    <x v="0"/>
    <n v="80200"/>
    <n v="6000"/>
    <n v="86200"/>
    <s v="D"/>
    <d v="2019-02-28T00:00:00"/>
    <x v="2"/>
  </r>
  <r>
    <x v="2575"/>
    <x v="0"/>
    <n v="25"/>
    <x v="3"/>
    <x v="12"/>
    <x v="2"/>
    <n v="10.1"/>
    <n v="6.5"/>
    <x v="4"/>
    <n v="3"/>
    <x v="0"/>
    <n v="78200"/>
    <n v="2600"/>
    <n v="80800"/>
    <s v="C"/>
    <d v="2015-12-09T00:00:00"/>
    <x v="2"/>
  </r>
  <r>
    <x v="2576"/>
    <x v="0"/>
    <n v="35"/>
    <x v="2"/>
    <x v="4"/>
    <x v="0"/>
    <n v="3.7"/>
    <n v="2.6"/>
    <x v="1"/>
    <n v="3"/>
    <x v="0"/>
    <n v="71700"/>
    <n v="7400"/>
    <n v="79100"/>
    <s v="C"/>
    <d v="2022-04-30T00:00:00"/>
    <x v="0"/>
  </r>
  <r>
    <x v="2577"/>
    <x v="1"/>
    <n v="40"/>
    <x v="0"/>
    <x v="1"/>
    <x v="2"/>
    <n v="8.3000000000000007"/>
    <n v="8.1"/>
    <x v="2"/>
    <n v="3"/>
    <x v="0"/>
    <n v="73700"/>
    <n v="6400"/>
    <n v="80100"/>
    <s v="C"/>
    <d v="2017-09-09T00:00:00"/>
    <x v="2"/>
  </r>
  <r>
    <x v="2578"/>
    <x v="1"/>
    <n v="42"/>
    <x v="5"/>
    <x v="17"/>
    <x v="1"/>
    <n v="11.8"/>
    <n v="5.0999999999999996"/>
    <x v="4"/>
    <n v="3"/>
    <x v="0"/>
    <n v="109300"/>
    <n v="16800"/>
    <n v="126100"/>
    <s v="E"/>
    <d v="2014-03-15T00:00:00"/>
    <x v="1"/>
  </r>
  <r>
    <x v="2579"/>
    <x v="0"/>
    <n v="36"/>
    <x v="1"/>
    <x v="3"/>
    <x v="1"/>
    <n v="2.4"/>
    <n v="1.6"/>
    <x v="0"/>
    <n v="3"/>
    <x v="0"/>
    <n v="68400"/>
    <n v="7000"/>
    <n v="75400"/>
    <s v="C"/>
    <d v="2023-07-24T00:00:00"/>
    <x v="1"/>
  </r>
  <r>
    <x v="2580"/>
    <x v="1"/>
    <n v="33"/>
    <x v="2"/>
    <x v="18"/>
    <x v="1"/>
    <n v="2.5"/>
    <n v="0.9"/>
    <x v="0"/>
    <n v="4"/>
    <x v="0"/>
    <n v="66500"/>
    <n v="3900"/>
    <n v="70400"/>
    <s v="C"/>
    <d v="2023-06-28T00:00:00"/>
    <x v="1"/>
  </r>
  <r>
    <x v="2581"/>
    <x v="0"/>
    <n v="38"/>
    <x v="5"/>
    <x v="17"/>
    <x v="2"/>
    <n v="6.1"/>
    <n v="3.4"/>
    <x v="2"/>
    <n v="2"/>
    <x v="0"/>
    <n v="98700"/>
    <n v="20400"/>
    <n v="119100"/>
    <s v="D"/>
    <d v="2019-11-29T00:00:00"/>
    <x v="2"/>
  </r>
  <r>
    <x v="2582"/>
    <x v="0"/>
    <n v="32"/>
    <x v="4"/>
    <x v="14"/>
    <x v="3"/>
    <n v="3"/>
    <n v="2.1"/>
    <x v="1"/>
    <n v="3"/>
    <x v="0"/>
    <n v="110300"/>
    <n v="7700"/>
    <n v="118000"/>
    <s v="E"/>
    <d v="2022-12-14T00:00:00"/>
    <x v="3"/>
  </r>
  <r>
    <x v="2583"/>
    <x v="0"/>
    <n v="41"/>
    <x v="4"/>
    <x v="16"/>
    <x v="2"/>
    <n v="4.5"/>
    <n v="3.8"/>
    <x v="1"/>
    <n v="4"/>
    <x v="0"/>
    <n v="94800"/>
    <n v="11500"/>
    <n v="106300"/>
    <s v="D"/>
    <d v="2021-06-23T00:00:00"/>
    <x v="2"/>
  </r>
  <r>
    <x v="2584"/>
    <x v="1"/>
    <n v="32"/>
    <x v="5"/>
    <x v="15"/>
    <x v="1"/>
    <n v="2.5"/>
    <n v="2.5"/>
    <x v="0"/>
    <n v="3"/>
    <x v="0"/>
    <n v="55800"/>
    <n v="9900"/>
    <n v="65700"/>
    <s v="B"/>
    <d v="2023-06-21T00:00:00"/>
    <x v="1"/>
  </r>
  <r>
    <x v="2585"/>
    <x v="1"/>
    <n v="30"/>
    <x v="0"/>
    <x v="0"/>
    <x v="1"/>
    <n v="3.6"/>
    <n v="2.4"/>
    <x v="1"/>
    <n v="4"/>
    <x v="2"/>
    <n v="83900"/>
    <n v="4500"/>
    <n v="88400"/>
    <s v="D"/>
    <d v="2022-06-01T00:00:00"/>
    <x v="1"/>
  </r>
  <r>
    <x v="2586"/>
    <x v="0"/>
    <n v="25"/>
    <x v="3"/>
    <x v="13"/>
    <x v="3"/>
    <n v="2.5"/>
    <n v="1.9"/>
    <x v="0"/>
    <n v="3"/>
    <x v="0"/>
    <n v="115300"/>
    <n v="9400"/>
    <n v="124700"/>
    <s v="E"/>
    <d v="2023-06-22T00:00:00"/>
    <x v="3"/>
  </r>
  <r>
    <x v="2587"/>
    <x v="1"/>
    <n v="43"/>
    <x v="0"/>
    <x v="0"/>
    <x v="1"/>
    <n v="13.1"/>
    <n v="10.4"/>
    <x v="3"/>
    <n v="4"/>
    <x v="0"/>
    <n v="120300"/>
    <n v="15400"/>
    <n v="135700"/>
    <s v="E"/>
    <d v="2012-11-22T00:00:00"/>
    <x v="1"/>
  </r>
  <r>
    <x v="2588"/>
    <x v="0"/>
    <n v="28"/>
    <x v="2"/>
    <x v="11"/>
    <x v="1"/>
    <n v="5.3"/>
    <n v="3.4"/>
    <x v="1"/>
    <n v="3"/>
    <x v="0"/>
    <n v="107600"/>
    <n v="8300"/>
    <n v="115900"/>
    <s v="E"/>
    <d v="2020-09-21T00:00:00"/>
    <x v="1"/>
  </r>
  <r>
    <x v="2589"/>
    <x v="0"/>
    <n v="35"/>
    <x v="4"/>
    <x v="14"/>
    <x v="1"/>
    <n v="7"/>
    <n v="4"/>
    <x v="2"/>
    <n v="2"/>
    <x v="0"/>
    <n v="109400"/>
    <n v="8800"/>
    <n v="118200"/>
    <s v="E"/>
    <d v="2019-01-09T00:00:00"/>
    <x v="1"/>
  </r>
  <r>
    <x v="2590"/>
    <x v="1"/>
    <n v="39"/>
    <x v="4"/>
    <x v="14"/>
    <x v="2"/>
    <n v="9.1999999999999993"/>
    <n v="4.4000000000000004"/>
    <x v="4"/>
    <n v="4"/>
    <x v="1"/>
    <n v="76700"/>
    <n v="11200"/>
    <n v="87900"/>
    <s v="C"/>
    <d v="2016-11-02T00:00:00"/>
    <x v="2"/>
  </r>
  <r>
    <x v="2591"/>
    <x v="1"/>
    <n v="26"/>
    <x v="2"/>
    <x v="4"/>
    <x v="2"/>
    <n v="13.4"/>
    <n v="8.6"/>
    <x v="3"/>
    <n v="1"/>
    <x v="0"/>
    <n v="89800"/>
    <n v="3900"/>
    <n v="93700"/>
    <s v="D"/>
    <d v="2012-08-09T00:00:00"/>
    <x v="2"/>
  </r>
  <r>
    <x v="2592"/>
    <x v="1"/>
    <n v="55"/>
    <x v="1"/>
    <x v="3"/>
    <x v="0"/>
    <n v="10.5"/>
    <n v="5.8"/>
    <x v="4"/>
    <n v="5"/>
    <x v="0"/>
    <n v="76000"/>
    <n v="5200"/>
    <n v="81200"/>
    <s v="C"/>
    <d v="2015-07-10T00:00:00"/>
    <x v="0"/>
  </r>
  <r>
    <x v="2593"/>
    <x v="0"/>
    <n v="33"/>
    <x v="4"/>
    <x v="16"/>
    <x v="1"/>
    <n v="11.5"/>
    <n v="8.6"/>
    <x v="4"/>
    <n v="3"/>
    <x v="0"/>
    <n v="101300"/>
    <n v="12200"/>
    <n v="113500"/>
    <s v="E"/>
    <d v="2014-07-03T00:00:00"/>
    <x v="1"/>
  </r>
  <r>
    <x v="2594"/>
    <x v="0"/>
    <n v="42"/>
    <x v="5"/>
    <x v="9"/>
    <x v="1"/>
    <n v="2.8"/>
    <n v="0.2"/>
    <x v="0"/>
    <n v="2"/>
    <x v="0"/>
    <n v="90900"/>
    <n v="7000"/>
    <n v="97900"/>
    <s v="D"/>
    <d v="2023-03-23T00:00:00"/>
    <x v="1"/>
  </r>
  <r>
    <x v="2595"/>
    <x v="1"/>
    <n v="41"/>
    <x v="4"/>
    <x v="16"/>
    <x v="1"/>
    <n v="11.9"/>
    <n v="6.9"/>
    <x v="4"/>
    <n v="4"/>
    <x v="0"/>
    <n v="103100"/>
    <n v="12500"/>
    <n v="115600"/>
    <s v="E"/>
    <d v="2014-01-24T00:00:00"/>
    <x v="1"/>
  </r>
  <r>
    <x v="2596"/>
    <x v="0"/>
    <n v="38"/>
    <x v="5"/>
    <x v="15"/>
    <x v="2"/>
    <n v="1.4"/>
    <n v="1"/>
    <x v="0"/>
    <n v="4"/>
    <x v="2"/>
    <n v="55400"/>
    <n v="6000"/>
    <n v="61400"/>
    <s v="B"/>
    <d v="2024-08-07T00:00:00"/>
    <x v="2"/>
  </r>
  <r>
    <x v="2597"/>
    <x v="1"/>
    <n v="43"/>
    <x v="4"/>
    <x v="16"/>
    <x v="2"/>
    <n v="10.3"/>
    <n v="5.7"/>
    <x v="4"/>
    <n v="3"/>
    <x v="0"/>
    <n v="113900"/>
    <n v="9800"/>
    <n v="123700"/>
    <s v="E"/>
    <d v="2015-09-07T00:00:00"/>
    <x v="2"/>
  </r>
  <r>
    <x v="2598"/>
    <x v="0"/>
    <n v="33"/>
    <x v="2"/>
    <x v="18"/>
    <x v="1"/>
    <n v="1.2"/>
    <n v="0.1"/>
    <x v="0"/>
    <n v="2"/>
    <x v="1"/>
    <n v="38800"/>
    <n v="3100"/>
    <n v="41900"/>
    <s v="A"/>
    <d v="2024-10-29T00:00:00"/>
    <x v="1"/>
  </r>
  <r>
    <x v="2599"/>
    <x v="0"/>
    <n v="33"/>
    <x v="5"/>
    <x v="9"/>
    <x v="0"/>
    <n v="10.9"/>
    <n v="8.3000000000000007"/>
    <x v="4"/>
    <n v="3"/>
    <x v="0"/>
    <n v="104500"/>
    <n v="12600"/>
    <n v="117100"/>
    <s v="E"/>
    <d v="2015-02-22T00:00:00"/>
    <x v="0"/>
  </r>
  <r>
    <x v="2600"/>
    <x v="1"/>
    <n v="50"/>
    <x v="5"/>
    <x v="17"/>
    <x v="1"/>
    <n v="4.7"/>
    <n v="3.5"/>
    <x v="1"/>
    <n v="3"/>
    <x v="0"/>
    <n v="90400"/>
    <n v="18700"/>
    <n v="109100"/>
    <s v="D"/>
    <d v="2021-05-07T00:00:00"/>
    <x v="1"/>
  </r>
  <r>
    <x v="2601"/>
    <x v="1"/>
    <n v="31"/>
    <x v="2"/>
    <x v="11"/>
    <x v="1"/>
    <n v="13.4"/>
    <n v="11.6"/>
    <x v="3"/>
    <n v="3"/>
    <x v="0"/>
    <n v="112100"/>
    <n v="9300"/>
    <n v="121400"/>
    <s v="E"/>
    <d v="2012-08-06T00:00:00"/>
    <x v="1"/>
  </r>
  <r>
    <x v="2602"/>
    <x v="1"/>
    <n v="42"/>
    <x v="5"/>
    <x v="17"/>
    <x v="1"/>
    <n v="6.9"/>
    <n v="4.2"/>
    <x v="2"/>
    <n v="3"/>
    <x v="0"/>
    <n v="111400"/>
    <n v="20400"/>
    <n v="131800"/>
    <s v="E"/>
    <d v="2019-02-22T00:00:00"/>
    <x v="1"/>
  </r>
  <r>
    <x v="2603"/>
    <x v="0"/>
    <n v="42"/>
    <x v="4"/>
    <x v="8"/>
    <x v="1"/>
    <n v="10.3"/>
    <n v="4.9000000000000004"/>
    <x v="4"/>
    <n v="3"/>
    <x v="0"/>
    <n v="83600"/>
    <n v="4400"/>
    <n v="88000"/>
    <s v="D"/>
    <d v="2015-09-14T00:00:00"/>
    <x v="1"/>
  </r>
  <r>
    <x v="2604"/>
    <x v="0"/>
    <n v="51"/>
    <x v="0"/>
    <x v="0"/>
    <x v="0"/>
    <n v="5.3"/>
    <n v="1.9"/>
    <x v="1"/>
    <n v="4"/>
    <x v="0"/>
    <n v="93400"/>
    <n v="9400"/>
    <n v="102800"/>
    <s v="D"/>
    <d v="2020-09-08T00:00:00"/>
    <x v="0"/>
  </r>
  <r>
    <x v="2605"/>
    <x v="0"/>
    <n v="34"/>
    <x v="3"/>
    <x v="13"/>
    <x v="2"/>
    <n v="13.7"/>
    <n v="9.1999999999999993"/>
    <x v="3"/>
    <n v="3"/>
    <x v="0"/>
    <n v="114400"/>
    <n v="4200"/>
    <n v="118600"/>
    <s v="E"/>
    <d v="2012-04-09T00:00:00"/>
    <x v="2"/>
  </r>
  <r>
    <x v="2606"/>
    <x v="1"/>
    <n v="44"/>
    <x v="0"/>
    <x v="0"/>
    <x v="2"/>
    <n v="6.7"/>
    <n v="3.6"/>
    <x v="2"/>
    <n v="3"/>
    <x v="0"/>
    <n v="103300"/>
    <n v="8900"/>
    <n v="112200"/>
    <s v="E"/>
    <d v="2019-04-17T00:00:00"/>
    <x v="2"/>
  </r>
  <r>
    <x v="2607"/>
    <x v="1"/>
    <n v="38"/>
    <x v="0"/>
    <x v="0"/>
    <x v="2"/>
    <n v="9"/>
    <n v="5.7"/>
    <x v="4"/>
    <n v="4"/>
    <x v="0"/>
    <n v="105300"/>
    <n v="11400"/>
    <n v="116700"/>
    <s v="E"/>
    <d v="2017-01-14T00:00:00"/>
    <x v="2"/>
  </r>
  <r>
    <x v="2608"/>
    <x v="1"/>
    <n v="22"/>
    <x v="4"/>
    <x v="6"/>
    <x v="1"/>
    <n v="1.7"/>
    <n v="1.7"/>
    <x v="0"/>
    <n v="3"/>
    <x v="0"/>
    <n v="76800"/>
    <n v="11000"/>
    <n v="87800"/>
    <s v="C"/>
    <d v="2024-04-26T00:00:00"/>
    <x v="1"/>
  </r>
  <r>
    <x v="2609"/>
    <x v="1"/>
    <n v="32"/>
    <x v="4"/>
    <x v="16"/>
    <x v="1"/>
    <n v="8.6999999999999993"/>
    <n v="4.3"/>
    <x v="2"/>
    <n v="3"/>
    <x v="0"/>
    <n v="92800"/>
    <n v="9700"/>
    <n v="102500"/>
    <s v="D"/>
    <d v="2017-04-09T00:00:00"/>
    <x v="1"/>
  </r>
  <r>
    <x v="2610"/>
    <x v="0"/>
    <n v="42"/>
    <x v="0"/>
    <x v="1"/>
    <x v="2"/>
    <n v="13.7"/>
    <n v="8.1"/>
    <x v="3"/>
    <n v="4"/>
    <x v="0"/>
    <n v="86500"/>
    <n v="11400"/>
    <n v="97900"/>
    <s v="D"/>
    <d v="2012-04-15T00:00:00"/>
    <x v="2"/>
  </r>
  <r>
    <x v="2611"/>
    <x v="0"/>
    <n v="35"/>
    <x v="3"/>
    <x v="12"/>
    <x v="1"/>
    <n v="4.0999999999999996"/>
    <n v="4.0999999999999996"/>
    <x v="1"/>
    <n v="3"/>
    <x v="0"/>
    <n v="66400"/>
    <n v="3800"/>
    <n v="70200"/>
    <s v="C"/>
    <d v="2021-12-02T00:00:00"/>
    <x v="1"/>
  </r>
  <r>
    <x v="2612"/>
    <x v="1"/>
    <n v="44"/>
    <x v="0"/>
    <x v="1"/>
    <x v="1"/>
    <n v="11.9"/>
    <n v="7.1"/>
    <x v="4"/>
    <n v="3"/>
    <x v="0"/>
    <n v="67400"/>
    <n v="7500"/>
    <n v="74900"/>
    <s v="C"/>
    <d v="2014-02-08T00:00:00"/>
    <x v="1"/>
  </r>
  <r>
    <x v="2613"/>
    <x v="1"/>
    <n v="32"/>
    <x v="5"/>
    <x v="17"/>
    <x v="2"/>
    <n v="11.1"/>
    <n v="6.7"/>
    <x v="4"/>
    <n v="4"/>
    <x v="0"/>
    <n v="131800"/>
    <n v="18900"/>
    <n v="150700"/>
    <s v="E"/>
    <d v="2014-12-08T00:00:00"/>
    <x v="2"/>
  </r>
  <r>
    <x v="2614"/>
    <x v="1"/>
    <n v="42"/>
    <x v="4"/>
    <x v="8"/>
    <x v="2"/>
    <n v="6.6"/>
    <n v="3.6"/>
    <x v="2"/>
    <n v="3"/>
    <x v="1"/>
    <n v="51300"/>
    <n v="4300"/>
    <n v="55600"/>
    <s v="B"/>
    <d v="2019-06-13T00:00:00"/>
    <x v="2"/>
  </r>
  <r>
    <x v="2615"/>
    <x v="1"/>
    <n v="43"/>
    <x v="1"/>
    <x v="10"/>
    <x v="2"/>
    <n v="9.6"/>
    <n v="7.4"/>
    <x v="4"/>
    <n v="3"/>
    <x v="0"/>
    <n v="122500"/>
    <n v="9700"/>
    <n v="132200"/>
    <s v="E"/>
    <d v="2016-06-05T00:00:00"/>
    <x v="2"/>
  </r>
  <r>
    <x v="2616"/>
    <x v="0"/>
    <n v="41"/>
    <x v="3"/>
    <x v="13"/>
    <x v="1"/>
    <n v="13.3"/>
    <n v="9.5"/>
    <x v="3"/>
    <n v="3"/>
    <x v="0"/>
    <n v="104800"/>
    <n v="6400"/>
    <n v="111200"/>
    <s v="E"/>
    <d v="2012-09-22T00:00:00"/>
    <x v="1"/>
  </r>
  <r>
    <x v="2617"/>
    <x v="0"/>
    <n v="32"/>
    <x v="1"/>
    <x v="3"/>
    <x v="2"/>
    <n v="10.7"/>
    <n v="7.8"/>
    <x v="4"/>
    <n v="3"/>
    <x v="0"/>
    <n v="82300"/>
    <n v="6100"/>
    <n v="88400"/>
    <s v="D"/>
    <d v="2015-04-11T00:00:00"/>
    <x v="2"/>
  </r>
  <r>
    <x v="2618"/>
    <x v="1"/>
    <n v="52"/>
    <x v="5"/>
    <x v="17"/>
    <x v="2"/>
    <n v="2.1"/>
    <n v="0.6"/>
    <x v="0"/>
    <n v="3"/>
    <x v="0"/>
    <n v="104800"/>
    <n v="11300"/>
    <n v="116100"/>
    <s v="E"/>
    <d v="2023-11-28T00:00:00"/>
    <x v="2"/>
  </r>
  <r>
    <x v="2619"/>
    <x v="0"/>
    <n v="27"/>
    <x v="1"/>
    <x v="10"/>
    <x v="2"/>
    <n v="8.1"/>
    <n v="5"/>
    <x v="2"/>
    <n v="3"/>
    <x v="0"/>
    <n v="100800"/>
    <n v="9800"/>
    <n v="110600"/>
    <s v="E"/>
    <d v="2017-11-20T00:00:00"/>
    <x v="2"/>
  </r>
  <r>
    <x v="2620"/>
    <x v="1"/>
    <n v="39"/>
    <x v="2"/>
    <x v="11"/>
    <x v="3"/>
    <n v="2.4"/>
    <n v="0.3"/>
    <x v="0"/>
    <n v="4"/>
    <x v="0"/>
    <n v="102700"/>
    <n v="9700"/>
    <n v="112400"/>
    <s v="E"/>
    <d v="2023-08-17T00:00:00"/>
    <x v="3"/>
  </r>
  <r>
    <x v="2621"/>
    <x v="0"/>
    <n v="38"/>
    <x v="5"/>
    <x v="9"/>
    <x v="1"/>
    <n v="12.3"/>
    <n v="8.9"/>
    <x v="3"/>
    <n v="3"/>
    <x v="2"/>
    <n v="94800"/>
    <n v="10300"/>
    <n v="105100"/>
    <s v="D"/>
    <d v="2013-09-16T00:00:00"/>
    <x v="1"/>
  </r>
  <r>
    <x v="2622"/>
    <x v="1"/>
    <n v="32"/>
    <x v="0"/>
    <x v="2"/>
    <x v="2"/>
    <n v="1.7"/>
    <n v="0"/>
    <x v="0"/>
    <n v="2"/>
    <x v="0"/>
    <n v="55000"/>
    <n v="3400"/>
    <n v="58400"/>
    <s v="B"/>
    <d v="2024-04-09T00:00:00"/>
    <x v="2"/>
  </r>
  <r>
    <x v="2623"/>
    <x v="0"/>
    <n v="41"/>
    <x v="3"/>
    <x v="12"/>
    <x v="1"/>
    <n v="13.9"/>
    <n v="9.1"/>
    <x v="3"/>
    <n v="3"/>
    <x v="2"/>
    <n v="61600"/>
    <n v="4900"/>
    <n v="66500"/>
    <s v="B"/>
    <d v="2012-02-15T00:00:00"/>
    <x v="1"/>
  </r>
  <r>
    <x v="2624"/>
    <x v="0"/>
    <n v="46"/>
    <x v="0"/>
    <x v="0"/>
    <x v="3"/>
    <n v="8.1999999999999993"/>
    <n v="3"/>
    <x v="2"/>
    <n v="4"/>
    <x v="0"/>
    <n v="114500"/>
    <n v="7700"/>
    <n v="122200"/>
    <s v="E"/>
    <d v="2017-10-02T00:00:00"/>
    <x v="3"/>
  </r>
  <r>
    <x v="2625"/>
    <x v="0"/>
    <n v="37"/>
    <x v="3"/>
    <x v="5"/>
    <x v="1"/>
    <n v="9.3000000000000007"/>
    <n v="7.4"/>
    <x v="4"/>
    <n v="2"/>
    <x v="0"/>
    <n v="81000"/>
    <n v="5600"/>
    <n v="86600"/>
    <s v="D"/>
    <d v="2016-09-27T00:00:00"/>
    <x v="1"/>
  </r>
  <r>
    <x v="2626"/>
    <x v="0"/>
    <n v="46"/>
    <x v="4"/>
    <x v="6"/>
    <x v="1"/>
    <n v="3.8"/>
    <n v="2.5"/>
    <x v="1"/>
    <n v="4"/>
    <x v="2"/>
    <n v="64600"/>
    <n v="7100"/>
    <n v="71700"/>
    <s v="B"/>
    <d v="2022-03-29T00:00:00"/>
    <x v="1"/>
  </r>
  <r>
    <x v="2627"/>
    <x v="1"/>
    <n v="46"/>
    <x v="4"/>
    <x v="16"/>
    <x v="2"/>
    <n v="12.5"/>
    <n v="9.3000000000000007"/>
    <x v="3"/>
    <n v="2"/>
    <x v="0"/>
    <n v="90600"/>
    <n v="10200"/>
    <n v="100800"/>
    <s v="D"/>
    <d v="2013-07-07T00:00:00"/>
    <x v="2"/>
  </r>
  <r>
    <x v="2628"/>
    <x v="1"/>
    <n v="22"/>
    <x v="3"/>
    <x v="5"/>
    <x v="1"/>
    <n v="13.5"/>
    <n v="9.8000000000000007"/>
    <x v="3"/>
    <n v="4"/>
    <x v="0"/>
    <n v="84800"/>
    <n v="5900"/>
    <n v="90700"/>
    <s v="D"/>
    <d v="2012-07-14T00:00:00"/>
    <x v="1"/>
  </r>
  <r>
    <x v="2629"/>
    <x v="0"/>
    <n v="47"/>
    <x v="4"/>
    <x v="14"/>
    <x v="0"/>
    <n v="12.7"/>
    <n v="7.6"/>
    <x v="3"/>
    <n v="3"/>
    <x v="0"/>
    <n v="104300"/>
    <n v="6400"/>
    <n v="110700"/>
    <s v="E"/>
    <d v="2013-05-03T00:00:00"/>
    <x v="0"/>
  </r>
  <r>
    <x v="2630"/>
    <x v="1"/>
    <n v="36"/>
    <x v="0"/>
    <x v="0"/>
    <x v="2"/>
    <n v="2.6"/>
    <n v="2.6"/>
    <x v="0"/>
    <n v="1"/>
    <x v="1"/>
    <n v="65700"/>
    <n v="4600"/>
    <n v="70300"/>
    <s v="C"/>
    <d v="2023-05-13T00:00:00"/>
    <x v="2"/>
  </r>
  <r>
    <x v="2631"/>
    <x v="1"/>
    <n v="29"/>
    <x v="3"/>
    <x v="5"/>
    <x v="2"/>
    <n v="7.8"/>
    <n v="6"/>
    <x v="2"/>
    <n v="2"/>
    <x v="0"/>
    <n v="83900"/>
    <n v="4100"/>
    <n v="88000"/>
    <s v="D"/>
    <d v="2018-02-28T00:00:00"/>
    <x v="2"/>
  </r>
  <r>
    <x v="2632"/>
    <x v="0"/>
    <n v="34"/>
    <x v="3"/>
    <x v="12"/>
    <x v="2"/>
    <n v="5"/>
    <n v="1.7"/>
    <x v="1"/>
    <n v="3"/>
    <x v="0"/>
    <n v="71900"/>
    <n v="3500"/>
    <n v="75400"/>
    <s v="C"/>
    <d v="2020-12-22T00:00:00"/>
    <x v="2"/>
  </r>
  <r>
    <x v="2633"/>
    <x v="1"/>
    <n v="33"/>
    <x v="4"/>
    <x v="16"/>
    <x v="0"/>
    <n v="9.1"/>
    <n v="7.7"/>
    <x v="4"/>
    <n v="4"/>
    <x v="2"/>
    <n v="80500"/>
    <n v="11600"/>
    <n v="92100"/>
    <s v="D"/>
    <d v="2016-12-03T00:00:00"/>
    <x v="0"/>
  </r>
  <r>
    <x v="2634"/>
    <x v="0"/>
    <n v="40"/>
    <x v="5"/>
    <x v="15"/>
    <x v="0"/>
    <n v="9.4"/>
    <n v="5.9"/>
    <x v="4"/>
    <n v="3"/>
    <x v="1"/>
    <n v="39000"/>
    <n v="6600"/>
    <n v="45600"/>
    <s v="A"/>
    <d v="2016-07-26T00:00:00"/>
    <x v="0"/>
  </r>
  <r>
    <x v="2635"/>
    <x v="1"/>
    <n v="37"/>
    <x v="1"/>
    <x v="7"/>
    <x v="1"/>
    <n v="1.8"/>
    <n v="1.8"/>
    <x v="0"/>
    <n v="5"/>
    <x v="0"/>
    <n v="81800"/>
    <n v="4900"/>
    <n v="86700"/>
    <s v="D"/>
    <d v="2024-03-06T00:00:00"/>
    <x v="1"/>
  </r>
  <r>
    <x v="2636"/>
    <x v="0"/>
    <n v="36"/>
    <x v="3"/>
    <x v="5"/>
    <x v="1"/>
    <n v="3.5"/>
    <n v="2.2999999999999998"/>
    <x v="1"/>
    <n v="3"/>
    <x v="0"/>
    <n v="70100"/>
    <n v="4400"/>
    <n v="74500"/>
    <s v="C"/>
    <d v="2022-07-04T00:00:00"/>
    <x v="1"/>
  </r>
  <r>
    <x v="2637"/>
    <x v="0"/>
    <n v="46"/>
    <x v="0"/>
    <x v="2"/>
    <x v="2"/>
    <n v="8.1"/>
    <n v="5.9"/>
    <x v="2"/>
    <n v="3"/>
    <x v="0"/>
    <n v="81500"/>
    <n v="7900"/>
    <n v="89400"/>
    <s v="D"/>
    <d v="2017-11-23T00:00:00"/>
    <x v="2"/>
  </r>
  <r>
    <x v="2638"/>
    <x v="1"/>
    <n v="23"/>
    <x v="5"/>
    <x v="17"/>
    <x v="2"/>
    <n v="12"/>
    <n v="7.9"/>
    <x v="3"/>
    <n v="2"/>
    <x v="0"/>
    <n v="118600"/>
    <n v="15600"/>
    <n v="134200"/>
    <s v="E"/>
    <d v="2014-01-14T00:00:00"/>
    <x v="2"/>
  </r>
  <r>
    <x v="2639"/>
    <x v="1"/>
    <n v="45"/>
    <x v="1"/>
    <x v="10"/>
    <x v="1"/>
    <n v="10.5"/>
    <n v="7.9"/>
    <x v="4"/>
    <n v="5"/>
    <x v="0"/>
    <n v="105700"/>
    <n v="8300"/>
    <n v="114000"/>
    <s v="E"/>
    <d v="2015-07-06T00:00:00"/>
    <x v="1"/>
  </r>
  <r>
    <x v="2640"/>
    <x v="1"/>
    <n v="33"/>
    <x v="0"/>
    <x v="1"/>
    <x v="1"/>
    <n v="10.9"/>
    <n v="8.6"/>
    <x v="4"/>
    <n v="3"/>
    <x v="0"/>
    <n v="79800"/>
    <n v="5700"/>
    <n v="85500"/>
    <s v="C"/>
    <d v="2015-02-02T00:00:00"/>
    <x v="1"/>
  </r>
  <r>
    <x v="2641"/>
    <x v="0"/>
    <n v="30"/>
    <x v="3"/>
    <x v="12"/>
    <x v="2"/>
    <n v="8"/>
    <n v="3.8"/>
    <x v="2"/>
    <n v="3"/>
    <x v="0"/>
    <n v="73200"/>
    <n v="4400"/>
    <n v="77600"/>
    <s v="C"/>
    <d v="2018-01-14T00:00:00"/>
    <x v="2"/>
  </r>
  <r>
    <x v="2642"/>
    <x v="1"/>
    <n v="37"/>
    <x v="0"/>
    <x v="1"/>
    <x v="1"/>
    <n v="5.8"/>
    <n v="3.6"/>
    <x v="1"/>
    <n v="4"/>
    <x v="0"/>
    <n v="80500"/>
    <n v="9800"/>
    <n v="90300"/>
    <s v="D"/>
    <d v="2020-02-29T00:00:00"/>
    <x v="1"/>
  </r>
  <r>
    <x v="2643"/>
    <x v="1"/>
    <n v="28"/>
    <x v="5"/>
    <x v="17"/>
    <x v="1"/>
    <n v="6.9"/>
    <n v="3"/>
    <x v="2"/>
    <n v="3"/>
    <x v="0"/>
    <n v="84000"/>
    <n v="14400"/>
    <n v="98400"/>
    <s v="D"/>
    <d v="2019-02-22T00:00:00"/>
    <x v="1"/>
  </r>
  <r>
    <x v="2644"/>
    <x v="1"/>
    <n v="40"/>
    <x v="0"/>
    <x v="1"/>
    <x v="1"/>
    <n v="12"/>
    <n v="8.5"/>
    <x v="3"/>
    <n v="3"/>
    <x v="0"/>
    <n v="76200"/>
    <n v="9600"/>
    <n v="85800"/>
    <s v="C"/>
    <d v="2014-01-06T00:00:00"/>
    <x v="1"/>
  </r>
  <r>
    <x v="2645"/>
    <x v="0"/>
    <n v="25"/>
    <x v="4"/>
    <x v="16"/>
    <x v="1"/>
    <n v="5.8"/>
    <n v="0.5"/>
    <x v="1"/>
    <n v="4"/>
    <x v="0"/>
    <n v="95600"/>
    <n v="4900"/>
    <n v="100500"/>
    <s v="D"/>
    <d v="2020-03-26T00:00:00"/>
    <x v="1"/>
  </r>
  <r>
    <x v="2646"/>
    <x v="0"/>
    <n v="26"/>
    <x v="4"/>
    <x v="8"/>
    <x v="1"/>
    <n v="5.9"/>
    <n v="3.7"/>
    <x v="1"/>
    <n v="4"/>
    <x v="1"/>
    <n v="46600"/>
    <n v="3000"/>
    <n v="49600"/>
    <s v="A"/>
    <d v="2020-02-11T00:00:00"/>
    <x v="1"/>
  </r>
  <r>
    <x v="2647"/>
    <x v="0"/>
    <n v="22"/>
    <x v="5"/>
    <x v="15"/>
    <x v="2"/>
    <n v="2.4"/>
    <n v="2.4"/>
    <x v="0"/>
    <n v="5"/>
    <x v="0"/>
    <n v="68000"/>
    <n v="9000"/>
    <n v="77000"/>
    <s v="C"/>
    <d v="2023-08-08T00:00:00"/>
    <x v="2"/>
  </r>
  <r>
    <x v="2648"/>
    <x v="1"/>
    <n v="25"/>
    <x v="5"/>
    <x v="9"/>
    <x v="1"/>
    <n v="8.1999999999999993"/>
    <n v="6.6"/>
    <x v="2"/>
    <n v="2"/>
    <x v="0"/>
    <n v="96300"/>
    <n v="17100"/>
    <n v="113400"/>
    <s v="D"/>
    <d v="2017-10-18T00:00:00"/>
    <x v="1"/>
  </r>
  <r>
    <x v="2649"/>
    <x v="0"/>
    <n v="32"/>
    <x v="4"/>
    <x v="6"/>
    <x v="0"/>
    <n v="6"/>
    <n v="4.9000000000000004"/>
    <x v="2"/>
    <n v="3"/>
    <x v="0"/>
    <n v="66000"/>
    <n v="7600"/>
    <n v="73600"/>
    <s v="C"/>
    <d v="2020-01-14T00:00:00"/>
    <x v="0"/>
  </r>
  <r>
    <x v="2650"/>
    <x v="0"/>
    <n v="40"/>
    <x v="5"/>
    <x v="15"/>
    <x v="1"/>
    <n v="4.4000000000000004"/>
    <n v="2.8"/>
    <x v="1"/>
    <n v="3"/>
    <x v="0"/>
    <n v="68100"/>
    <n v="10800"/>
    <n v="78900"/>
    <s v="C"/>
    <d v="2021-07-22T00:00:00"/>
    <x v="1"/>
  </r>
  <r>
    <x v="2651"/>
    <x v="0"/>
    <n v="39"/>
    <x v="4"/>
    <x v="16"/>
    <x v="2"/>
    <n v="3.2"/>
    <n v="3.1"/>
    <x v="1"/>
    <n v="3"/>
    <x v="0"/>
    <n v="92900"/>
    <n v="5000"/>
    <n v="97900"/>
    <s v="D"/>
    <d v="2022-10-07T00:00:00"/>
    <x v="2"/>
  </r>
  <r>
    <x v="2652"/>
    <x v="1"/>
    <n v="39"/>
    <x v="5"/>
    <x v="9"/>
    <x v="1"/>
    <n v="11.4"/>
    <n v="7.5"/>
    <x v="4"/>
    <n v="4"/>
    <x v="0"/>
    <n v="104700"/>
    <n v="11400"/>
    <n v="116100"/>
    <s v="E"/>
    <d v="2014-08-07T00:00:00"/>
    <x v="1"/>
  </r>
  <r>
    <x v="2653"/>
    <x v="0"/>
    <n v="29"/>
    <x v="0"/>
    <x v="2"/>
    <x v="1"/>
    <n v="5.3"/>
    <n v="4.9000000000000004"/>
    <x v="1"/>
    <n v="4"/>
    <x v="0"/>
    <n v="68500"/>
    <n v="8900"/>
    <n v="77400"/>
    <s v="C"/>
    <d v="2020-09-30T00:00:00"/>
    <x v="1"/>
  </r>
  <r>
    <x v="2654"/>
    <x v="1"/>
    <n v="29"/>
    <x v="1"/>
    <x v="10"/>
    <x v="1"/>
    <n v="8.9"/>
    <n v="4.8"/>
    <x v="2"/>
    <n v="4"/>
    <x v="0"/>
    <n v="112700"/>
    <n v="5500"/>
    <n v="118200"/>
    <s v="E"/>
    <d v="2017-02-08T00:00:00"/>
    <x v="1"/>
  </r>
  <r>
    <x v="2655"/>
    <x v="1"/>
    <n v="31"/>
    <x v="4"/>
    <x v="8"/>
    <x v="1"/>
    <n v="3"/>
    <n v="2.6"/>
    <x v="1"/>
    <n v="1"/>
    <x v="0"/>
    <n v="79500"/>
    <n v="11600"/>
    <n v="91100"/>
    <s v="C"/>
    <d v="2023-01-18T00:00:00"/>
    <x v="1"/>
  </r>
  <r>
    <x v="2656"/>
    <x v="0"/>
    <n v="36"/>
    <x v="5"/>
    <x v="17"/>
    <x v="1"/>
    <n v="4.7"/>
    <n v="4.0999999999999996"/>
    <x v="1"/>
    <n v="3"/>
    <x v="2"/>
    <n v="81900"/>
    <n v="7900"/>
    <n v="89800"/>
    <s v="D"/>
    <d v="2021-04-29T00:00:00"/>
    <x v="1"/>
  </r>
  <r>
    <x v="2657"/>
    <x v="1"/>
    <n v="44"/>
    <x v="2"/>
    <x v="18"/>
    <x v="2"/>
    <n v="9.6999999999999993"/>
    <n v="6.7"/>
    <x v="4"/>
    <n v="4"/>
    <x v="0"/>
    <n v="71000"/>
    <n v="4700"/>
    <n v="75700"/>
    <s v="C"/>
    <d v="2016-04-14T00:00:00"/>
    <x v="2"/>
  </r>
  <r>
    <x v="2658"/>
    <x v="1"/>
    <n v="48"/>
    <x v="3"/>
    <x v="5"/>
    <x v="1"/>
    <n v="9.6"/>
    <n v="7.6"/>
    <x v="4"/>
    <n v="4"/>
    <x v="0"/>
    <n v="74600"/>
    <n v="3600"/>
    <n v="78200"/>
    <s v="C"/>
    <d v="2016-05-17T00:00:00"/>
    <x v="1"/>
  </r>
  <r>
    <x v="2659"/>
    <x v="1"/>
    <n v="21"/>
    <x v="4"/>
    <x v="6"/>
    <x v="1"/>
    <n v="4.0999999999999996"/>
    <n v="2.7"/>
    <x v="1"/>
    <n v="3"/>
    <x v="0"/>
    <n v="60800"/>
    <n v="7800"/>
    <n v="68600"/>
    <s v="B"/>
    <d v="2021-11-24T00:00:00"/>
    <x v="1"/>
  </r>
  <r>
    <x v="2660"/>
    <x v="1"/>
    <n v="22"/>
    <x v="0"/>
    <x v="1"/>
    <x v="1"/>
    <n v="13.3"/>
    <n v="7.4"/>
    <x v="3"/>
    <n v="4"/>
    <x v="0"/>
    <n v="86300"/>
    <n v="9800"/>
    <n v="96100"/>
    <s v="D"/>
    <d v="2012-09-07T00:00:00"/>
    <x v="1"/>
  </r>
  <r>
    <x v="2661"/>
    <x v="0"/>
    <n v="43"/>
    <x v="4"/>
    <x v="16"/>
    <x v="0"/>
    <n v="9.4"/>
    <n v="5.6"/>
    <x v="4"/>
    <n v="1"/>
    <x v="0"/>
    <n v="94100"/>
    <n v="13200"/>
    <n v="107300"/>
    <s v="D"/>
    <d v="2016-07-27T00:00:00"/>
    <x v="0"/>
  </r>
  <r>
    <x v="2662"/>
    <x v="1"/>
    <n v="51"/>
    <x v="4"/>
    <x v="6"/>
    <x v="3"/>
    <n v="4.4000000000000004"/>
    <n v="3.9"/>
    <x v="1"/>
    <n v="4"/>
    <x v="0"/>
    <n v="83600"/>
    <n v="11600"/>
    <n v="95200"/>
    <s v="D"/>
    <d v="2021-08-10T00:00:00"/>
    <x v="3"/>
  </r>
  <r>
    <x v="2663"/>
    <x v="0"/>
    <n v="50"/>
    <x v="3"/>
    <x v="12"/>
    <x v="1"/>
    <n v="10.8"/>
    <n v="5.4"/>
    <x v="4"/>
    <n v="2"/>
    <x v="0"/>
    <n v="72800"/>
    <n v="5700"/>
    <n v="78500"/>
    <s v="C"/>
    <d v="2015-03-09T00:00:00"/>
    <x v="1"/>
  </r>
  <r>
    <x v="2664"/>
    <x v="0"/>
    <n v="22"/>
    <x v="1"/>
    <x v="10"/>
    <x v="0"/>
    <n v="6.5"/>
    <n v="6.2"/>
    <x v="2"/>
    <n v="3"/>
    <x v="1"/>
    <n v="66400"/>
    <n v="5700"/>
    <n v="72100"/>
    <s v="C"/>
    <d v="2019-06-21T00:00:00"/>
    <x v="0"/>
  </r>
  <r>
    <x v="2665"/>
    <x v="1"/>
    <n v="37"/>
    <x v="2"/>
    <x v="18"/>
    <x v="1"/>
    <n v="8.4"/>
    <n v="5"/>
    <x v="2"/>
    <n v="5"/>
    <x v="0"/>
    <n v="80600"/>
    <n v="5000"/>
    <n v="85600"/>
    <s v="D"/>
    <d v="2017-08-05T00:00:00"/>
    <x v="1"/>
  </r>
  <r>
    <x v="2666"/>
    <x v="0"/>
    <n v="29"/>
    <x v="4"/>
    <x v="14"/>
    <x v="2"/>
    <n v="5.7"/>
    <n v="2.8"/>
    <x v="1"/>
    <n v="3"/>
    <x v="0"/>
    <n v="112700"/>
    <n v="6600"/>
    <n v="119300"/>
    <s v="E"/>
    <d v="2020-05-01T00:00:00"/>
    <x v="2"/>
  </r>
  <r>
    <x v="2667"/>
    <x v="0"/>
    <n v="41"/>
    <x v="3"/>
    <x v="13"/>
    <x v="2"/>
    <n v="9.6"/>
    <n v="8"/>
    <x v="4"/>
    <n v="3"/>
    <x v="0"/>
    <n v="103200"/>
    <n v="4500"/>
    <n v="107700"/>
    <s v="E"/>
    <d v="2016-05-19T00:00:00"/>
    <x v="2"/>
  </r>
  <r>
    <x v="2668"/>
    <x v="0"/>
    <n v="40"/>
    <x v="0"/>
    <x v="2"/>
    <x v="2"/>
    <n v="13.2"/>
    <n v="7.5"/>
    <x v="3"/>
    <n v="2"/>
    <x v="0"/>
    <n v="87100"/>
    <n v="11100"/>
    <n v="98200"/>
    <s v="D"/>
    <d v="2012-10-12T00:00:00"/>
    <x v="2"/>
  </r>
  <r>
    <x v="2669"/>
    <x v="0"/>
    <n v="40"/>
    <x v="5"/>
    <x v="15"/>
    <x v="1"/>
    <n v="4"/>
    <n v="2.2999999999999998"/>
    <x v="1"/>
    <n v="3"/>
    <x v="0"/>
    <n v="65300"/>
    <n v="7000"/>
    <n v="72300"/>
    <s v="C"/>
    <d v="2022-01-03T00:00:00"/>
    <x v="1"/>
  </r>
  <r>
    <x v="2670"/>
    <x v="1"/>
    <n v="26"/>
    <x v="1"/>
    <x v="7"/>
    <x v="2"/>
    <n v="8.8000000000000007"/>
    <n v="8.5"/>
    <x v="2"/>
    <n v="4"/>
    <x v="1"/>
    <n v="52300"/>
    <n v="3100"/>
    <n v="55400"/>
    <s v="B"/>
    <d v="2017-03-08T00:00:00"/>
    <x v="2"/>
  </r>
  <r>
    <x v="2671"/>
    <x v="0"/>
    <n v="41"/>
    <x v="3"/>
    <x v="13"/>
    <x v="1"/>
    <n v="2.8"/>
    <n v="2.8"/>
    <x v="0"/>
    <n v="4"/>
    <x v="0"/>
    <n v="95200"/>
    <n v="6800"/>
    <n v="102000"/>
    <s v="D"/>
    <d v="2023-03-04T00:00:00"/>
    <x v="1"/>
  </r>
  <r>
    <x v="2672"/>
    <x v="0"/>
    <n v="36"/>
    <x v="0"/>
    <x v="0"/>
    <x v="1"/>
    <n v="10.8"/>
    <n v="8.3000000000000007"/>
    <x v="4"/>
    <n v="3"/>
    <x v="0"/>
    <n v="120100"/>
    <n v="12100"/>
    <n v="132200"/>
    <s v="E"/>
    <d v="2015-03-07T00:00:00"/>
    <x v="1"/>
  </r>
  <r>
    <x v="2673"/>
    <x v="1"/>
    <n v="33"/>
    <x v="1"/>
    <x v="10"/>
    <x v="3"/>
    <n v="2.1"/>
    <n v="1.5"/>
    <x v="0"/>
    <n v="3"/>
    <x v="2"/>
    <n v="97900"/>
    <n v="7200"/>
    <n v="105100"/>
    <s v="D"/>
    <d v="2023-11-20T00:00:00"/>
    <x v="3"/>
  </r>
  <r>
    <x v="2674"/>
    <x v="1"/>
    <n v="27"/>
    <x v="3"/>
    <x v="5"/>
    <x v="2"/>
    <n v="1.4"/>
    <n v="1.2"/>
    <x v="0"/>
    <n v="1"/>
    <x v="0"/>
    <n v="67900"/>
    <n v="2600"/>
    <n v="70500"/>
    <s v="C"/>
    <d v="2024-07-24T00:00:00"/>
    <x v="2"/>
  </r>
  <r>
    <x v="2675"/>
    <x v="0"/>
    <n v="21"/>
    <x v="2"/>
    <x v="18"/>
    <x v="1"/>
    <n v="5.6"/>
    <n v="4.5"/>
    <x v="1"/>
    <n v="4"/>
    <x v="0"/>
    <n v="68800"/>
    <n v="4900"/>
    <n v="73700"/>
    <s v="C"/>
    <d v="2020-05-27T00:00:00"/>
    <x v="1"/>
  </r>
  <r>
    <x v="2676"/>
    <x v="0"/>
    <n v="41"/>
    <x v="0"/>
    <x v="0"/>
    <x v="0"/>
    <n v="10.3"/>
    <n v="7"/>
    <x v="4"/>
    <n v="3"/>
    <x v="0"/>
    <n v="93500"/>
    <n v="5800"/>
    <n v="99300"/>
    <s v="D"/>
    <d v="2015-09-09T00:00:00"/>
    <x v="0"/>
  </r>
  <r>
    <x v="2677"/>
    <x v="0"/>
    <n v="40"/>
    <x v="2"/>
    <x v="18"/>
    <x v="1"/>
    <n v="8"/>
    <n v="4.0999999999999996"/>
    <x v="2"/>
    <n v="3"/>
    <x v="0"/>
    <n v="78300"/>
    <n v="5100"/>
    <n v="83400"/>
    <s v="C"/>
    <d v="2018-01-10T00:00:00"/>
    <x v="1"/>
  </r>
  <r>
    <x v="2678"/>
    <x v="1"/>
    <n v="39"/>
    <x v="0"/>
    <x v="2"/>
    <x v="1"/>
    <n v="4.5"/>
    <n v="2.7"/>
    <x v="1"/>
    <n v="3"/>
    <x v="0"/>
    <n v="69200"/>
    <n v="6100"/>
    <n v="75300"/>
    <s v="C"/>
    <d v="2021-06-30T00:00:00"/>
    <x v="1"/>
  </r>
  <r>
    <x v="2679"/>
    <x v="0"/>
    <n v="29"/>
    <x v="3"/>
    <x v="12"/>
    <x v="2"/>
    <n v="13.8"/>
    <n v="11.2"/>
    <x v="3"/>
    <n v="3"/>
    <x v="0"/>
    <n v="90200"/>
    <n v="3400"/>
    <n v="93600"/>
    <s v="D"/>
    <d v="2012-03-03T00:00:00"/>
    <x v="2"/>
  </r>
  <r>
    <x v="2680"/>
    <x v="0"/>
    <n v="41"/>
    <x v="5"/>
    <x v="9"/>
    <x v="1"/>
    <n v="3.9"/>
    <n v="2.1"/>
    <x v="1"/>
    <n v="3"/>
    <x v="0"/>
    <n v="84800"/>
    <n v="17000"/>
    <n v="101800"/>
    <s v="D"/>
    <d v="2022-02-11T00:00:00"/>
    <x v="1"/>
  </r>
  <r>
    <x v="2681"/>
    <x v="0"/>
    <n v="35"/>
    <x v="5"/>
    <x v="15"/>
    <x v="1"/>
    <n v="4.5999999999999996"/>
    <n v="4.2"/>
    <x v="1"/>
    <n v="3"/>
    <x v="0"/>
    <n v="57700"/>
    <n v="11700"/>
    <n v="69400"/>
    <s v="B"/>
    <d v="2021-06-14T00:00:00"/>
    <x v="1"/>
  </r>
  <r>
    <x v="2682"/>
    <x v="1"/>
    <n v="32"/>
    <x v="1"/>
    <x v="3"/>
    <x v="1"/>
    <n v="11.8"/>
    <n v="5.0999999999999996"/>
    <x v="4"/>
    <n v="3"/>
    <x v="1"/>
    <n v="39500"/>
    <n v="4500"/>
    <n v="44000"/>
    <s v="A"/>
    <d v="2014-03-10T00:00:00"/>
    <x v="1"/>
  </r>
  <r>
    <x v="2683"/>
    <x v="0"/>
    <n v="37"/>
    <x v="0"/>
    <x v="1"/>
    <x v="2"/>
    <n v="9.9"/>
    <n v="7"/>
    <x v="4"/>
    <n v="4"/>
    <x v="0"/>
    <n v="81500"/>
    <n v="9000"/>
    <n v="90500"/>
    <s v="D"/>
    <d v="2016-02-25T00:00:00"/>
    <x v="2"/>
  </r>
  <r>
    <x v="2684"/>
    <x v="1"/>
    <n v="48"/>
    <x v="1"/>
    <x v="10"/>
    <x v="1"/>
    <n v="11.2"/>
    <n v="7.1"/>
    <x v="4"/>
    <n v="3"/>
    <x v="0"/>
    <n v="94900"/>
    <n v="8600"/>
    <n v="103500"/>
    <s v="D"/>
    <d v="2014-10-07T00:00:00"/>
    <x v="1"/>
  </r>
  <r>
    <x v="2685"/>
    <x v="0"/>
    <n v="22"/>
    <x v="0"/>
    <x v="2"/>
    <x v="2"/>
    <n v="10.3"/>
    <n v="4.5"/>
    <x v="4"/>
    <n v="3"/>
    <x v="0"/>
    <n v="79600"/>
    <n v="9900"/>
    <n v="89500"/>
    <s v="C"/>
    <d v="2015-10-01T00:00:00"/>
    <x v="2"/>
  </r>
  <r>
    <x v="2686"/>
    <x v="0"/>
    <n v="51"/>
    <x v="4"/>
    <x v="16"/>
    <x v="3"/>
    <n v="1.7"/>
    <n v="1.7"/>
    <x v="0"/>
    <n v="4"/>
    <x v="1"/>
    <n v="65700"/>
    <n v="5700"/>
    <n v="71400"/>
    <s v="C"/>
    <d v="2024-04-24T00:00:00"/>
    <x v="3"/>
  </r>
  <r>
    <x v="2687"/>
    <x v="1"/>
    <n v="43"/>
    <x v="3"/>
    <x v="13"/>
    <x v="3"/>
    <n v="10"/>
    <n v="5.9"/>
    <x v="4"/>
    <n v="3"/>
    <x v="0"/>
    <n v="100800"/>
    <n v="3700"/>
    <n v="104500"/>
    <s v="E"/>
    <d v="2016-01-12T00:00:00"/>
    <x v="3"/>
  </r>
  <r>
    <x v="2688"/>
    <x v="1"/>
    <n v="21"/>
    <x v="2"/>
    <x v="11"/>
    <x v="1"/>
    <n v="10.7"/>
    <n v="5.4"/>
    <x v="4"/>
    <n v="3"/>
    <x v="0"/>
    <n v="105200"/>
    <n v="10200"/>
    <n v="115400"/>
    <s v="E"/>
    <d v="2015-04-19T00:00:00"/>
    <x v="1"/>
  </r>
  <r>
    <x v="2689"/>
    <x v="0"/>
    <n v="36"/>
    <x v="0"/>
    <x v="2"/>
    <x v="2"/>
    <n v="1.3"/>
    <n v="1.3"/>
    <x v="0"/>
    <n v="2"/>
    <x v="0"/>
    <n v="63000"/>
    <n v="6300"/>
    <n v="69300"/>
    <s v="B"/>
    <d v="2024-09-15T00:00:00"/>
    <x v="2"/>
  </r>
  <r>
    <x v="2690"/>
    <x v="0"/>
    <n v="35"/>
    <x v="0"/>
    <x v="1"/>
    <x v="0"/>
    <n v="6.7"/>
    <n v="4.0999999999999996"/>
    <x v="2"/>
    <n v="5"/>
    <x v="0"/>
    <n v="69300"/>
    <n v="8100"/>
    <n v="77400"/>
    <s v="C"/>
    <d v="2019-04-28T00:00:00"/>
    <x v="0"/>
  </r>
  <r>
    <x v="2691"/>
    <x v="1"/>
    <n v="21"/>
    <x v="3"/>
    <x v="13"/>
    <x v="1"/>
    <n v="11"/>
    <n v="6.5"/>
    <x v="4"/>
    <n v="3"/>
    <x v="0"/>
    <n v="119100"/>
    <n v="5700"/>
    <n v="124800"/>
    <s v="E"/>
    <d v="2015-01-02T00:00:00"/>
    <x v="1"/>
  </r>
  <r>
    <x v="2692"/>
    <x v="1"/>
    <n v="45"/>
    <x v="0"/>
    <x v="2"/>
    <x v="2"/>
    <n v="3.7"/>
    <n v="3.6"/>
    <x v="1"/>
    <n v="4"/>
    <x v="0"/>
    <n v="74500"/>
    <n v="3800"/>
    <n v="78300"/>
    <s v="C"/>
    <d v="2022-04-13T00:00:00"/>
    <x v="2"/>
  </r>
  <r>
    <x v="2693"/>
    <x v="1"/>
    <n v="33"/>
    <x v="1"/>
    <x v="10"/>
    <x v="2"/>
    <n v="1.6"/>
    <n v="1.6"/>
    <x v="0"/>
    <n v="2"/>
    <x v="0"/>
    <n v="95200"/>
    <n v="11100"/>
    <n v="106300"/>
    <s v="D"/>
    <d v="2024-05-23T00:00:00"/>
    <x v="2"/>
  </r>
  <r>
    <x v="2694"/>
    <x v="0"/>
    <n v="38"/>
    <x v="4"/>
    <x v="14"/>
    <x v="2"/>
    <n v="8.1999999999999993"/>
    <n v="6"/>
    <x v="2"/>
    <n v="4"/>
    <x v="1"/>
    <n v="72800"/>
    <n v="9900"/>
    <n v="82700"/>
    <s v="C"/>
    <d v="2017-10-16T00:00:00"/>
    <x v="2"/>
  </r>
  <r>
    <x v="2695"/>
    <x v="0"/>
    <n v="44"/>
    <x v="1"/>
    <x v="3"/>
    <x v="1"/>
    <n v="6.3"/>
    <n v="5.3"/>
    <x v="2"/>
    <n v="4"/>
    <x v="1"/>
    <n v="47100"/>
    <n v="4600"/>
    <n v="51700"/>
    <s v="A"/>
    <d v="2019-09-23T00:00:00"/>
    <x v="1"/>
  </r>
  <r>
    <x v="2696"/>
    <x v="1"/>
    <n v="34"/>
    <x v="0"/>
    <x v="0"/>
    <x v="2"/>
    <n v="11.6"/>
    <n v="7.5"/>
    <x v="4"/>
    <n v="3"/>
    <x v="1"/>
    <n v="60700"/>
    <n v="3400"/>
    <n v="64100"/>
    <s v="B"/>
    <d v="2014-05-28T00:00:00"/>
    <x v="2"/>
  </r>
  <r>
    <x v="2697"/>
    <x v="1"/>
    <n v="44"/>
    <x v="3"/>
    <x v="5"/>
    <x v="1"/>
    <n v="6"/>
    <n v="2.9"/>
    <x v="2"/>
    <n v="3"/>
    <x v="0"/>
    <n v="73600"/>
    <n v="5400"/>
    <n v="79000"/>
    <s v="C"/>
    <d v="2019-12-28T00:00:00"/>
    <x v="1"/>
  </r>
  <r>
    <x v="2698"/>
    <x v="1"/>
    <n v="21"/>
    <x v="4"/>
    <x v="6"/>
    <x v="1"/>
    <n v="8.4"/>
    <n v="5.0999999999999996"/>
    <x v="2"/>
    <n v="3"/>
    <x v="0"/>
    <n v="81900"/>
    <n v="11400"/>
    <n v="93300"/>
    <s v="D"/>
    <d v="2017-07-23T00:00:00"/>
    <x v="1"/>
  </r>
  <r>
    <x v="2699"/>
    <x v="1"/>
    <n v="53"/>
    <x v="4"/>
    <x v="6"/>
    <x v="1"/>
    <n v="7.7"/>
    <n v="4.5999999999999996"/>
    <x v="2"/>
    <n v="4"/>
    <x v="2"/>
    <n v="71500"/>
    <n v="10300"/>
    <n v="81800"/>
    <s v="C"/>
    <d v="2018-04-04T00:00:00"/>
    <x v="1"/>
  </r>
  <r>
    <x v="2700"/>
    <x v="0"/>
    <n v="52"/>
    <x v="4"/>
    <x v="8"/>
    <x v="1"/>
    <n v="1.3"/>
    <n v="1.3"/>
    <x v="0"/>
    <n v="1"/>
    <x v="0"/>
    <n v="68100"/>
    <n v="9000"/>
    <n v="77100"/>
    <s v="C"/>
    <d v="2024-09-14T00:00:00"/>
    <x v="1"/>
  </r>
  <r>
    <x v="2701"/>
    <x v="1"/>
    <n v="33"/>
    <x v="3"/>
    <x v="13"/>
    <x v="1"/>
    <n v="8.8000000000000007"/>
    <n v="5.9"/>
    <x v="2"/>
    <n v="3"/>
    <x v="0"/>
    <n v="92600"/>
    <n v="6000"/>
    <n v="98600"/>
    <s v="D"/>
    <d v="2017-02-26T00:00:00"/>
    <x v="1"/>
  </r>
  <r>
    <x v="2702"/>
    <x v="1"/>
    <n v="38"/>
    <x v="1"/>
    <x v="10"/>
    <x v="2"/>
    <n v="13.4"/>
    <n v="11"/>
    <x v="3"/>
    <n v="3"/>
    <x v="0"/>
    <n v="128900"/>
    <n v="15400"/>
    <n v="144300"/>
    <s v="E"/>
    <d v="2012-07-28T00:00:00"/>
    <x v="2"/>
  </r>
  <r>
    <x v="2703"/>
    <x v="0"/>
    <n v="35"/>
    <x v="3"/>
    <x v="12"/>
    <x v="2"/>
    <n v="12.2"/>
    <n v="8.1"/>
    <x v="3"/>
    <n v="4"/>
    <x v="0"/>
    <n v="71300"/>
    <n v="4500"/>
    <n v="75800"/>
    <s v="C"/>
    <d v="2013-11-02T00:00:00"/>
    <x v="2"/>
  </r>
  <r>
    <x v="2704"/>
    <x v="0"/>
    <n v="40"/>
    <x v="0"/>
    <x v="1"/>
    <x v="2"/>
    <n v="6.8"/>
    <n v="3.7"/>
    <x v="2"/>
    <n v="3"/>
    <x v="0"/>
    <n v="87700"/>
    <n v="6400"/>
    <n v="94100"/>
    <s v="D"/>
    <d v="2019-03-26T00:00:00"/>
    <x v="2"/>
  </r>
  <r>
    <x v="2705"/>
    <x v="0"/>
    <n v="31"/>
    <x v="5"/>
    <x v="15"/>
    <x v="2"/>
    <n v="11.1"/>
    <n v="5.9"/>
    <x v="4"/>
    <n v="3"/>
    <x v="0"/>
    <n v="72500"/>
    <n v="5200"/>
    <n v="77700"/>
    <s v="C"/>
    <d v="2014-12-08T00:00:00"/>
    <x v="2"/>
  </r>
  <r>
    <x v="2706"/>
    <x v="0"/>
    <n v="39"/>
    <x v="2"/>
    <x v="4"/>
    <x v="2"/>
    <n v="12.8"/>
    <n v="9.5"/>
    <x v="3"/>
    <n v="3"/>
    <x v="0"/>
    <n v="100900"/>
    <n v="4800"/>
    <n v="105700"/>
    <s v="E"/>
    <d v="2013-03-29T00:00:00"/>
    <x v="2"/>
  </r>
  <r>
    <x v="2707"/>
    <x v="1"/>
    <n v="28"/>
    <x v="5"/>
    <x v="17"/>
    <x v="3"/>
    <n v="6.7"/>
    <n v="4.9000000000000004"/>
    <x v="2"/>
    <n v="4"/>
    <x v="0"/>
    <n v="105300"/>
    <n v="15200"/>
    <n v="120500"/>
    <s v="E"/>
    <d v="2019-04-27T00:00:00"/>
    <x v="3"/>
  </r>
  <r>
    <x v="2708"/>
    <x v="0"/>
    <n v="33"/>
    <x v="0"/>
    <x v="0"/>
    <x v="1"/>
    <n v="6.4"/>
    <n v="4.9000000000000004"/>
    <x v="2"/>
    <n v="5"/>
    <x v="0"/>
    <n v="100200"/>
    <n v="10500"/>
    <n v="110700"/>
    <s v="E"/>
    <d v="2019-08-12T00:00:00"/>
    <x v="1"/>
  </r>
  <r>
    <x v="2709"/>
    <x v="1"/>
    <n v="32"/>
    <x v="0"/>
    <x v="2"/>
    <x v="1"/>
    <n v="13.4"/>
    <n v="7"/>
    <x v="3"/>
    <n v="4"/>
    <x v="0"/>
    <n v="79800"/>
    <n v="5100"/>
    <n v="84900"/>
    <s v="C"/>
    <d v="2012-08-19T00:00:00"/>
    <x v="1"/>
  </r>
  <r>
    <x v="2710"/>
    <x v="0"/>
    <n v="41"/>
    <x v="3"/>
    <x v="13"/>
    <x v="1"/>
    <n v="6.9"/>
    <n v="4.7"/>
    <x v="2"/>
    <n v="4"/>
    <x v="0"/>
    <n v="90900"/>
    <n v="7900"/>
    <n v="98800"/>
    <s v="D"/>
    <d v="2019-01-29T00:00:00"/>
    <x v="1"/>
  </r>
  <r>
    <x v="2711"/>
    <x v="0"/>
    <n v="38"/>
    <x v="0"/>
    <x v="0"/>
    <x v="1"/>
    <n v="9.6"/>
    <n v="4.4000000000000004"/>
    <x v="4"/>
    <n v="4"/>
    <x v="0"/>
    <n v="105400"/>
    <n v="13200"/>
    <n v="118600"/>
    <s v="E"/>
    <d v="2016-06-05T00:00:00"/>
    <x v="1"/>
  </r>
  <r>
    <x v="2712"/>
    <x v="1"/>
    <n v="34"/>
    <x v="4"/>
    <x v="14"/>
    <x v="0"/>
    <n v="3.5"/>
    <m/>
    <x v="1"/>
    <n v="3"/>
    <x v="0"/>
    <n v="89900"/>
    <n v="10200"/>
    <n v="100100"/>
    <s v="D"/>
    <d v="2022-07-14T00:00:00"/>
    <x v="0"/>
  </r>
  <r>
    <x v="2713"/>
    <x v="1"/>
    <n v="28"/>
    <x v="1"/>
    <x v="7"/>
    <x v="1"/>
    <n v="1"/>
    <n v="1"/>
    <x v="0"/>
    <n v="3"/>
    <x v="0"/>
    <n v="64000"/>
    <n v="4200"/>
    <n v="68200"/>
    <s v="B"/>
    <d v="2024-12-24T00:00:00"/>
    <x v="1"/>
  </r>
  <r>
    <x v="2714"/>
    <x v="1"/>
    <n v="31"/>
    <x v="2"/>
    <x v="4"/>
    <x v="2"/>
    <n v="8.1999999999999993"/>
    <n v="6.3"/>
    <x v="2"/>
    <n v="4"/>
    <x v="0"/>
    <n v="87300"/>
    <n v="8100"/>
    <n v="95400"/>
    <s v="D"/>
    <d v="2017-10-11T00:00:00"/>
    <x v="2"/>
  </r>
  <r>
    <x v="2715"/>
    <x v="0"/>
    <n v="31"/>
    <x v="1"/>
    <x v="7"/>
    <x v="2"/>
    <n v="9.1999999999999993"/>
    <n v="5.2"/>
    <x v="4"/>
    <n v="4"/>
    <x v="0"/>
    <n v="93800"/>
    <n v="8600"/>
    <n v="102400"/>
    <s v="D"/>
    <d v="2016-10-22T00:00:00"/>
    <x v="2"/>
  </r>
  <r>
    <x v="2716"/>
    <x v="1"/>
    <n v="25"/>
    <x v="2"/>
    <x v="4"/>
    <x v="2"/>
    <n v="9.3000000000000007"/>
    <n v="7"/>
    <x v="4"/>
    <n v="3"/>
    <x v="0"/>
    <n v="81500"/>
    <n v="5400"/>
    <n v="86900"/>
    <s v="D"/>
    <d v="2016-09-07T00:00:00"/>
    <x v="2"/>
  </r>
  <r>
    <x v="2717"/>
    <x v="1"/>
    <n v="48"/>
    <x v="2"/>
    <x v="11"/>
    <x v="2"/>
    <n v="12.8"/>
    <n v="8.3000000000000007"/>
    <x v="3"/>
    <n v="2"/>
    <x v="0"/>
    <n v="109700"/>
    <n v="4100"/>
    <n v="113800"/>
    <s v="E"/>
    <d v="2013-03-01T00:00:00"/>
    <x v="2"/>
  </r>
  <r>
    <x v="2718"/>
    <x v="1"/>
    <n v="33"/>
    <x v="5"/>
    <x v="17"/>
    <x v="3"/>
    <n v="4"/>
    <n v="3.4"/>
    <x v="1"/>
    <n v="4"/>
    <x v="1"/>
    <n v="63400"/>
    <n v="10300"/>
    <n v="73700"/>
    <s v="B"/>
    <d v="2022-01-18T00:00:00"/>
    <x v="3"/>
  </r>
  <r>
    <x v="2719"/>
    <x v="0"/>
    <n v="35"/>
    <x v="3"/>
    <x v="5"/>
    <x v="0"/>
    <n v="5.5"/>
    <n v="4.5999999999999996"/>
    <x v="1"/>
    <n v="4"/>
    <x v="0"/>
    <n v="65200"/>
    <n v="4600"/>
    <n v="69800"/>
    <s v="C"/>
    <d v="2020-06-23T00:00:00"/>
    <x v="0"/>
  </r>
  <r>
    <x v="2720"/>
    <x v="1"/>
    <n v="33"/>
    <x v="1"/>
    <x v="3"/>
    <x v="2"/>
    <n v="8.8000000000000007"/>
    <n v="5.5"/>
    <x v="2"/>
    <n v="1"/>
    <x v="2"/>
    <n v="72500"/>
    <n v="8200"/>
    <n v="80700"/>
    <s v="C"/>
    <d v="2017-04-02T00:00:00"/>
    <x v="2"/>
  </r>
  <r>
    <x v="2721"/>
    <x v="1"/>
    <n v="31"/>
    <x v="0"/>
    <x v="2"/>
    <x v="2"/>
    <n v="10"/>
    <n v="6"/>
    <x v="4"/>
    <n v="3"/>
    <x v="0"/>
    <n v="77800"/>
    <n v="9600"/>
    <n v="87400"/>
    <s v="C"/>
    <d v="2015-12-31T00:00:00"/>
    <x v="2"/>
  </r>
  <r>
    <x v="2722"/>
    <x v="0"/>
    <n v="39"/>
    <x v="4"/>
    <x v="16"/>
    <x v="2"/>
    <n v="7.8"/>
    <n v="4.8"/>
    <x v="2"/>
    <n v="3"/>
    <x v="0"/>
    <n v="91400"/>
    <n v="11600"/>
    <n v="103000"/>
    <s v="D"/>
    <d v="2018-03-23T00:00:00"/>
    <x v="2"/>
  </r>
  <r>
    <x v="2723"/>
    <x v="0"/>
    <n v="57"/>
    <x v="4"/>
    <x v="6"/>
    <x v="1"/>
    <n v="5.7"/>
    <n v="3.3"/>
    <x v="1"/>
    <n v="2"/>
    <x v="1"/>
    <n v="40800"/>
    <n v="3800"/>
    <n v="44600"/>
    <s v="A"/>
    <d v="2020-04-27T00:00:00"/>
    <x v="1"/>
  </r>
  <r>
    <x v="2724"/>
    <x v="0"/>
    <n v="32"/>
    <x v="3"/>
    <x v="12"/>
    <x v="2"/>
    <n v="11.1"/>
    <n v="9.1"/>
    <x v="4"/>
    <n v="3"/>
    <x v="0"/>
    <n v="80300"/>
    <n v="2800"/>
    <n v="83100"/>
    <s v="D"/>
    <d v="2014-11-18T00:00:00"/>
    <x v="2"/>
  </r>
  <r>
    <x v="2725"/>
    <x v="1"/>
    <n v="38"/>
    <x v="0"/>
    <x v="1"/>
    <x v="2"/>
    <n v="13.1"/>
    <n v="9.1999999999999993"/>
    <x v="3"/>
    <n v="3"/>
    <x v="0"/>
    <n v="91500"/>
    <n v="6400"/>
    <n v="97900"/>
    <s v="D"/>
    <d v="2012-11-26T00:00:00"/>
    <x v="2"/>
  </r>
  <r>
    <x v="2726"/>
    <x v="0"/>
    <n v="46"/>
    <x v="3"/>
    <x v="12"/>
    <x v="1"/>
    <n v="13.9"/>
    <n v="9.3000000000000007"/>
    <x v="3"/>
    <n v="4"/>
    <x v="0"/>
    <n v="73200"/>
    <n v="5900"/>
    <n v="79100"/>
    <s v="C"/>
    <d v="2012-01-24T00:00:00"/>
    <x v="1"/>
  </r>
  <r>
    <x v="2727"/>
    <x v="1"/>
    <n v="32"/>
    <x v="0"/>
    <x v="1"/>
    <x v="2"/>
    <n v="12.9"/>
    <n v="7.2"/>
    <x v="3"/>
    <n v="4"/>
    <x v="0"/>
    <n v="86400"/>
    <n v="4200"/>
    <n v="90600"/>
    <s v="D"/>
    <d v="2013-01-30T00:00:00"/>
    <x v="2"/>
  </r>
  <r>
    <x v="2728"/>
    <x v="0"/>
    <n v="37"/>
    <x v="4"/>
    <x v="16"/>
    <x v="0"/>
    <n v="3.1"/>
    <n v="3.1"/>
    <x v="1"/>
    <n v="3"/>
    <x v="0"/>
    <n v="88000"/>
    <n v="6100"/>
    <n v="94100"/>
    <s v="D"/>
    <d v="2022-11-11T00:00:00"/>
    <x v="0"/>
  </r>
  <r>
    <x v="2729"/>
    <x v="1"/>
    <n v="33"/>
    <x v="5"/>
    <x v="15"/>
    <x v="1"/>
    <n v="7.5"/>
    <n v="4.2"/>
    <x v="2"/>
    <n v="4"/>
    <x v="0"/>
    <n v="66700"/>
    <n v="6300"/>
    <n v="73000"/>
    <s v="C"/>
    <d v="2018-07-09T00:00:00"/>
    <x v="1"/>
  </r>
  <r>
    <x v="2730"/>
    <x v="0"/>
    <n v="35"/>
    <x v="1"/>
    <x v="3"/>
    <x v="0"/>
    <n v="12.1"/>
    <n v="7"/>
    <x v="3"/>
    <n v="4"/>
    <x v="1"/>
    <n v="50500"/>
    <n v="5400"/>
    <n v="55900"/>
    <s v="B"/>
    <d v="2013-12-10T00:00:00"/>
    <x v="0"/>
  </r>
  <r>
    <x v="2731"/>
    <x v="0"/>
    <n v="46"/>
    <x v="1"/>
    <x v="7"/>
    <x v="1"/>
    <n v="10.199999999999999"/>
    <n v="7"/>
    <x v="4"/>
    <n v="2"/>
    <x v="0"/>
    <n v="82100"/>
    <n v="9200"/>
    <n v="91300"/>
    <s v="D"/>
    <d v="2015-10-12T00:00:00"/>
    <x v="1"/>
  </r>
  <r>
    <x v="2732"/>
    <x v="0"/>
    <n v="41"/>
    <x v="4"/>
    <x v="14"/>
    <x v="2"/>
    <n v="10.5"/>
    <n v="4.9000000000000004"/>
    <x v="4"/>
    <n v="3"/>
    <x v="0"/>
    <n v="111700"/>
    <n v="10100"/>
    <n v="121800"/>
    <s v="E"/>
    <d v="2015-06-20T00:00:00"/>
    <x v="2"/>
  </r>
  <r>
    <x v="2733"/>
    <x v="0"/>
    <n v="42"/>
    <x v="1"/>
    <x v="3"/>
    <x v="2"/>
    <n v="7"/>
    <n v="2.8"/>
    <x v="2"/>
    <n v="3"/>
    <x v="0"/>
    <n v="80400"/>
    <n v="8400"/>
    <n v="88800"/>
    <s v="D"/>
    <d v="2019-01-08T00:00:00"/>
    <x v="2"/>
  </r>
  <r>
    <x v="2734"/>
    <x v="0"/>
    <n v="38"/>
    <x v="2"/>
    <x v="11"/>
    <x v="1"/>
    <n v="10.7"/>
    <n v="8.4"/>
    <x v="4"/>
    <n v="4"/>
    <x v="0"/>
    <n v="112100"/>
    <n v="5800"/>
    <n v="117900"/>
    <s v="E"/>
    <d v="2015-05-02T00:00:00"/>
    <x v="1"/>
  </r>
  <r>
    <x v="2735"/>
    <x v="1"/>
    <n v="28"/>
    <x v="2"/>
    <x v="18"/>
    <x v="2"/>
    <n v="6.1"/>
    <n v="5.8"/>
    <x v="2"/>
    <n v="4"/>
    <x v="0"/>
    <n v="80300"/>
    <n v="7900"/>
    <n v="88200"/>
    <s v="D"/>
    <d v="2019-12-01T00:00:00"/>
    <x v="2"/>
  </r>
  <r>
    <x v="2736"/>
    <x v="0"/>
    <n v="29"/>
    <x v="1"/>
    <x v="7"/>
    <x v="1"/>
    <n v="6.6"/>
    <n v="2.7"/>
    <x v="2"/>
    <n v="2"/>
    <x v="0"/>
    <n v="72100"/>
    <n v="6200"/>
    <n v="78300"/>
    <s v="C"/>
    <d v="2019-05-13T00:00:00"/>
    <x v="1"/>
  </r>
  <r>
    <x v="2737"/>
    <x v="0"/>
    <n v="32"/>
    <x v="1"/>
    <x v="10"/>
    <x v="3"/>
    <n v="7.7"/>
    <n v="5.9"/>
    <x v="2"/>
    <n v="4"/>
    <x v="2"/>
    <n v="99600"/>
    <n v="6800"/>
    <n v="106400"/>
    <s v="D"/>
    <d v="2018-04-20T00:00:00"/>
    <x v="3"/>
  </r>
  <r>
    <x v="2738"/>
    <x v="0"/>
    <n v="21"/>
    <x v="4"/>
    <x v="6"/>
    <x v="1"/>
    <n v="7.8"/>
    <n v="5.7"/>
    <x v="2"/>
    <n v="3"/>
    <x v="1"/>
    <n v="48900"/>
    <n v="6000"/>
    <n v="54900"/>
    <s v="A"/>
    <d v="2018-03-15T00:00:00"/>
    <x v="1"/>
  </r>
  <r>
    <x v="2739"/>
    <x v="1"/>
    <n v="24"/>
    <x v="4"/>
    <x v="8"/>
    <x v="1"/>
    <n v="1.2"/>
    <n v="0.9"/>
    <x v="0"/>
    <n v="4"/>
    <x v="0"/>
    <n v="84400"/>
    <n v="12400"/>
    <n v="96800"/>
    <s v="D"/>
    <d v="2024-10-20T00:00:00"/>
    <x v="1"/>
  </r>
  <r>
    <x v="2740"/>
    <x v="0"/>
    <n v="37"/>
    <x v="1"/>
    <x v="10"/>
    <x v="1"/>
    <n v="11.4"/>
    <n v="6.9"/>
    <x v="4"/>
    <n v="3"/>
    <x v="2"/>
    <n v="87900"/>
    <n v="7600"/>
    <n v="95500"/>
    <s v="D"/>
    <d v="2014-08-20T00:00:00"/>
    <x v="1"/>
  </r>
  <r>
    <x v="2741"/>
    <x v="1"/>
    <n v="38"/>
    <x v="2"/>
    <x v="11"/>
    <x v="1"/>
    <n v="3.9"/>
    <n v="1.3"/>
    <x v="1"/>
    <n v="4"/>
    <x v="2"/>
    <n v="80600"/>
    <n v="5700"/>
    <n v="86300"/>
    <s v="D"/>
    <d v="2022-01-31T00:00:00"/>
    <x v="1"/>
  </r>
  <r>
    <x v="2742"/>
    <x v="1"/>
    <n v="36"/>
    <x v="5"/>
    <x v="9"/>
    <x v="0"/>
    <n v="10.8"/>
    <n v="6"/>
    <x v="4"/>
    <n v="5"/>
    <x v="0"/>
    <n v="101000"/>
    <n v="12100"/>
    <n v="113100"/>
    <s v="E"/>
    <d v="2015-02-27T00:00:00"/>
    <x v="0"/>
  </r>
  <r>
    <x v="2743"/>
    <x v="0"/>
    <n v="36"/>
    <x v="1"/>
    <x v="3"/>
    <x v="1"/>
    <n v="13.6"/>
    <n v="7.2"/>
    <x v="3"/>
    <n v="3"/>
    <x v="0"/>
    <n v="90500"/>
    <n v="9000"/>
    <n v="99500"/>
    <s v="D"/>
    <d v="2012-05-24T00:00:00"/>
    <x v="1"/>
  </r>
  <r>
    <x v="2744"/>
    <x v="0"/>
    <n v="34"/>
    <x v="2"/>
    <x v="4"/>
    <x v="3"/>
    <n v="11.1"/>
    <n v="8.5"/>
    <x v="4"/>
    <n v="4"/>
    <x v="0"/>
    <n v="80500"/>
    <n v="3700"/>
    <n v="84200"/>
    <s v="D"/>
    <d v="2014-12-09T00:00:00"/>
    <x v="3"/>
  </r>
  <r>
    <x v="2745"/>
    <x v="1"/>
    <n v="50"/>
    <x v="3"/>
    <x v="5"/>
    <x v="1"/>
    <n v="6.2"/>
    <n v="4.5"/>
    <x v="2"/>
    <n v="3"/>
    <x v="0"/>
    <n v="72300"/>
    <n v="3700"/>
    <n v="76000"/>
    <s v="C"/>
    <d v="2019-10-15T00:00:00"/>
    <x v="1"/>
  </r>
  <r>
    <x v="2746"/>
    <x v="0"/>
    <n v="44"/>
    <x v="0"/>
    <x v="0"/>
    <x v="2"/>
    <n v="12.2"/>
    <n v="8.5"/>
    <x v="3"/>
    <n v="3"/>
    <x v="0"/>
    <n v="102100"/>
    <n v="9600"/>
    <n v="111700"/>
    <s v="E"/>
    <d v="2013-11-06T00:00:00"/>
    <x v="2"/>
  </r>
  <r>
    <x v="2747"/>
    <x v="0"/>
    <n v="39"/>
    <x v="4"/>
    <x v="16"/>
    <x v="1"/>
    <n v="5"/>
    <n v="2.1"/>
    <x v="1"/>
    <n v="4"/>
    <x v="0"/>
    <n v="92600"/>
    <n v="7700"/>
    <n v="100300"/>
    <s v="D"/>
    <d v="2021-01-03T00:00:00"/>
    <x v="1"/>
  </r>
  <r>
    <x v="2748"/>
    <x v="0"/>
    <n v="32"/>
    <x v="5"/>
    <x v="9"/>
    <x v="0"/>
    <n v="9.9"/>
    <n v="7.7"/>
    <x v="4"/>
    <n v="3"/>
    <x v="0"/>
    <n v="93700"/>
    <n v="12800"/>
    <n v="106500"/>
    <s v="D"/>
    <d v="2016-02-11T00:00:00"/>
    <x v="0"/>
  </r>
  <r>
    <x v="2749"/>
    <x v="0"/>
    <n v="37"/>
    <x v="3"/>
    <x v="13"/>
    <x v="1"/>
    <n v="13.8"/>
    <n v="10.3"/>
    <x v="3"/>
    <n v="3"/>
    <x v="0"/>
    <n v="95100"/>
    <n v="5600"/>
    <n v="100700"/>
    <s v="D"/>
    <d v="2012-03-22T00:00:00"/>
    <x v="1"/>
  </r>
  <r>
    <x v="2750"/>
    <x v="1"/>
    <n v="43"/>
    <x v="3"/>
    <x v="5"/>
    <x v="1"/>
    <n v="4"/>
    <n v="2.6"/>
    <x v="1"/>
    <n v="3"/>
    <x v="0"/>
    <n v="60200"/>
    <n v="3800"/>
    <n v="64000"/>
    <s v="B"/>
    <d v="2022-01-13T00:00:00"/>
    <x v="1"/>
  </r>
  <r>
    <x v="2751"/>
    <x v="0"/>
    <n v="30"/>
    <x v="1"/>
    <x v="10"/>
    <x v="2"/>
    <n v="13.5"/>
    <n v="10.5"/>
    <x v="3"/>
    <n v="4"/>
    <x v="0"/>
    <n v="127800"/>
    <n v="11400"/>
    <n v="139200"/>
    <s v="E"/>
    <d v="2012-07-06T00:00:00"/>
    <x v="2"/>
  </r>
  <r>
    <x v="2752"/>
    <x v="1"/>
    <n v="51"/>
    <x v="0"/>
    <x v="0"/>
    <x v="1"/>
    <n v="1.8"/>
    <n v="1.8"/>
    <x v="0"/>
    <n v="3"/>
    <x v="0"/>
    <n v="89400"/>
    <n v="6900"/>
    <n v="96300"/>
    <s v="D"/>
    <d v="2024-03-31T00:00:00"/>
    <x v="1"/>
  </r>
  <r>
    <x v="2753"/>
    <x v="0"/>
    <n v="44"/>
    <x v="5"/>
    <x v="17"/>
    <x v="0"/>
    <n v="12.9"/>
    <n v="9.6"/>
    <x v="3"/>
    <n v="4"/>
    <x v="0"/>
    <n v="120200"/>
    <n v="11100"/>
    <n v="131300"/>
    <s v="E"/>
    <d v="2013-02-14T00:00:00"/>
    <x v="0"/>
  </r>
  <r>
    <x v="2754"/>
    <x v="1"/>
    <n v="41"/>
    <x v="4"/>
    <x v="16"/>
    <x v="1"/>
    <n v="8.8000000000000007"/>
    <n v="5.9"/>
    <x v="2"/>
    <n v="2"/>
    <x v="0"/>
    <n v="91200"/>
    <n v="9600"/>
    <n v="100800"/>
    <s v="D"/>
    <d v="2017-03-17T00:00:00"/>
    <x v="1"/>
  </r>
  <r>
    <x v="2755"/>
    <x v="0"/>
    <n v="34"/>
    <x v="3"/>
    <x v="12"/>
    <x v="1"/>
    <n v="2.2999999999999998"/>
    <n v="2.2999999999999998"/>
    <x v="0"/>
    <n v="2"/>
    <x v="1"/>
    <n v="35700"/>
    <n v="2500"/>
    <n v="38200"/>
    <s v="A"/>
    <d v="2023-09-14T00:00:00"/>
    <x v="1"/>
  </r>
  <r>
    <x v="2756"/>
    <x v="0"/>
    <n v="38"/>
    <x v="0"/>
    <x v="2"/>
    <x v="1"/>
    <n v="2.2000000000000002"/>
    <n v="0"/>
    <x v="0"/>
    <n v="4"/>
    <x v="0"/>
    <n v="63900"/>
    <n v="5000"/>
    <n v="68900"/>
    <s v="B"/>
    <d v="2023-10-21T00:00:00"/>
    <x v="1"/>
  </r>
  <r>
    <x v="2757"/>
    <x v="0"/>
    <n v="37"/>
    <x v="4"/>
    <x v="14"/>
    <x v="1"/>
    <n v="2.8"/>
    <n v="1.1000000000000001"/>
    <x v="0"/>
    <n v="2"/>
    <x v="2"/>
    <n v="81600"/>
    <n v="5800"/>
    <n v="87400"/>
    <s v="D"/>
    <d v="2023-03-17T00:00:00"/>
    <x v="1"/>
  </r>
  <r>
    <x v="2758"/>
    <x v="0"/>
    <n v="40"/>
    <x v="5"/>
    <x v="17"/>
    <x v="1"/>
    <n v="9.5"/>
    <n v="6.3"/>
    <x v="4"/>
    <n v="3"/>
    <x v="0"/>
    <n v="115500"/>
    <n v="18200"/>
    <n v="133700"/>
    <s v="E"/>
    <d v="2016-07-03T00:00:00"/>
    <x v="1"/>
  </r>
  <r>
    <x v="2759"/>
    <x v="0"/>
    <n v="21"/>
    <x v="2"/>
    <x v="4"/>
    <x v="2"/>
    <n v="1.7"/>
    <n v="0"/>
    <x v="0"/>
    <n v="3"/>
    <x v="0"/>
    <n v="83600"/>
    <n v="5200"/>
    <n v="88800"/>
    <s v="D"/>
    <d v="2024-04-06T00:00:00"/>
    <x v="2"/>
  </r>
  <r>
    <x v="2760"/>
    <x v="1"/>
    <n v="28"/>
    <x v="5"/>
    <x v="9"/>
    <x v="0"/>
    <n v="12"/>
    <n v="5.9"/>
    <x v="3"/>
    <n v="3"/>
    <x v="0"/>
    <n v="95900"/>
    <n v="9600"/>
    <n v="105500"/>
    <s v="D"/>
    <d v="2014-01-04T00:00:00"/>
    <x v="0"/>
  </r>
  <r>
    <x v="2761"/>
    <x v="0"/>
    <n v="43"/>
    <x v="2"/>
    <x v="11"/>
    <x v="2"/>
    <n v="5.9"/>
    <n v="2"/>
    <x v="1"/>
    <n v="4"/>
    <x v="0"/>
    <n v="99800"/>
    <n v="4000"/>
    <n v="103800"/>
    <s v="D"/>
    <d v="2020-02-13T00:00:00"/>
    <x v="2"/>
  </r>
  <r>
    <x v="2762"/>
    <x v="0"/>
    <n v="37"/>
    <x v="4"/>
    <x v="14"/>
    <x v="1"/>
    <n v="5.4"/>
    <n v="1.1000000000000001"/>
    <x v="1"/>
    <n v="4"/>
    <x v="0"/>
    <n v="103400"/>
    <n v="8400"/>
    <n v="111800"/>
    <s v="E"/>
    <d v="2020-08-09T00:00:00"/>
    <x v="1"/>
  </r>
  <r>
    <x v="2763"/>
    <x v="0"/>
    <n v="33"/>
    <x v="2"/>
    <x v="11"/>
    <x v="1"/>
    <n v="10.1"/>
    <n v="7"/>
    <x v="4"/>
    <n v="3"/>
    <x v="0"/>
    <n v="113100"/>
    <n v="9100"/>
    <n v="122200"/>
    <s v="E"/>
    <d v="2015-11-13T00:00:00"/>
    <x v="1"/>
  </r>
  <r>
    <x v="2764"/>
    <x v="0"/>
    <n v="44"/>
    <x v="5"/>
    <x v="17"/>
    <x v="0"/>
    <n v="8.6"/>
    <n v="6.5"/>
    <x v="2"/>
    <n v="3"/>
    <x v="0"/>
    <n v="82200"/>
    <n v="12700"/>
    <n v="94900"/>
    <s v="D"/>
    <d v="2017-05-20T00:00:00"/>
    <x v="0"/>
  </r>
  <r>
    <x v="2765"/>
    <x v="1"/>
    <n v="44"/>
    <x v="0"/>
    <x v="1"/>
    <x v="1"/>
    <n v="2.8"/>
    <n v="2.5"/>
    <x v="0"/>
    <n v="3"/>
    <x v="0"/>
    <n v="70600"/>
    <n v="4000"/>
    <n v="74600"/>
    <s v="C"/>
    <d v="2023-03-01T00:00:00"/>
    <x v="1"/>
  </r>
  <r>
    <x v="2766"/>
    <x v="0"/>
    <n v="33"/>
    <x v="1"/>
    <x v="10"/>
    <x v="1"/>
    <n v="9.5"/>
    <n v="5.2"/>
    <x v="4"/>
    <n v="3"/>
    <x v="0"/>
    <n v="90100"/>
    <n v="4200"/>
    <n v="94300"/>
    <s v="D"/>
    <d v="2016-06-28T00:00:00"/>
    <x v="1"/>
  </r>
  <r>
    <x v="2767"/>
    <x v="0"/>
    <n v="35"/>
    <x v="0"/>
    <x v="0"/>
    <x v="3"/>
    <n v="5.5"/>
    <n v="5.5"/>
    <x v="1"/>
    <n v="3"/>
    <x v="0"/>
    <n v="111200"/>
    <n v="12200"/>
    <n v="123400"/>
    <s v="E"/>
    <d v="2020-07-03T00:00:00"/>
    <x v="3"/>
  </r>
  <r>
    <x v="2768"/>
    <x v="1"/>
    <n v="26"/>
    <x v="3"/>
    <x v="12"/>
    <x v="0"/>
    <n v="7.1"/>
    <n v="2.6"/>
    <x v="2"/>
    <n v="4"/>
    <x v="0"/>
    <n v="64000"/>
    <n v="5500"/>
    <n v="69500"/>
    <s v="B"/>
    <d v="2018-11-13T00:00:00"/>
    <x v="0"/>
  </r>
  <r>
    <x v="2769"/>
    <x v="0"/>
    <n v="30"/>
    <x v="1"/>
    <x v="10"/>
    <x v="1"/>
    <n v="4.3"/>
    <n v="2"/>
    <x v="1"/>
    <n v="2"/>
    <x v="0"/>
    <n v="93400"/>
    <n v="8100"/>
    <n v="101500"/>
    <s v="D"/>
    <d v="2021-09-05T00:00:00"/>
    <x v="1"/>
  </r>
  <r>
    <x v="2770"/>
    <x v="1"/>
    <n v="46"/>
    <x v="3"/>
    <x v="12"/>
    <x v="2"/>
    <n v="3"/>
    <n v="2.2000000000000002"/>
    <x v="1"/>
    <n v="4"/>
    <x v="0"/>
    <n v="68900"/>
    <n v="4100"/>
    <n v="73000"/>
    <s v="C"/>
    <d v="2023-01-19T00:00:00"/>
    <x v="2"/>
  </r>
  <r>
    <x v="2771"/>
    <x v="0"/>
    <n v="27"/>
    <x v="0"/>
    <x v="0"/>
    <x v="1"/>
    <n v="1"/>
    <n v="0"/>
    <x v="0"/>
    <n v="3"/>
    <x v="0"/>
    <n v="87400"/>
    <n v="4500"/>
    <n v="91900"/>
    <s v="D"/>
    <d v="2024-12-15T00:00:00"/>
    <x v="1"/>
  </r>
  <r>
    <x v="2772"/>
    <x v="1"/>
    <n v="32"/>
    <x v="2"/>
    <x v="18"/>
    <x v="2"/>
    <n v="3.8"/>
    <n v="2.2999999999999998"/>
    <x v="1"/>
    <n v="1"/>
    <x v="1"/>
    <n v="38900"/>
    <n v="2000"/>
    <n v="40900"/>
    <s v="A"/>
    <d v="2022-03-15T00:00:00"/>
    <x v="2"/>
  </r>
  <r>
    <x v="2773"/>
    <x v="0"/>
    <n v="26"/>
    <x v="1"/>
    <x v="10"/>
    <x v="2"/>
    <n v="8.6999999999999993"/>
    <n v="8.4"/>
    <x v="2"/>
    <n v="3"/>
    <x v="0"/>
    <n v="111400"/>
    <n v="4900"/>
    <n v="116300"/>
    <s v="E"/>
    <d v="2017-04-08T00:00:00"/>
    <x v="2"/>
  </r>
  <r>
    <x v="2774"/>
    <x v="0"/>
    <n v="31"/>
    <x v="4"/>
    <x v="6"/>
    <x v="1"/>
    <n v="13.5"/>
    <n v="8.1"/>
    <x v="3"/>
    <n v="3"/>
    <x v="0"/>
    <n v="77300"/>
    <n v="10400"/>
    <n v="87700"/>
    <s v="C"/>
    <d v="2012-07-11T00:00:00"/>
    <x v="1"/>
  </r>
  <r>
    <x v="2775"/>
    <x v="1"/>
    <n v="45"/>
    <x v="1"/>
    <x v="3"/>
    <x v="2"/>
    <n v="3.9"/>
    <n v="1.5"/>
    <x v="1"/>
    <n v="3"/>
    <x v="0"/>
    <n v="79900"/>
    <n v="6900"/>
    <n v="86800"/>
    <s v="C"/>
    <d v="2022-02-06T00:00:00"/>
    <x v="2"/>
  </r>
  <r>
    <x v="2776"/>
    <x v="0"/>
    <n v="37"/>
    <x v="1"/>
    <x v="7"/>
    <x v="0"/>
    <n v="10.5"/>
    <n v="6.4"/>
    <x v="4"/>
    <n v="5"/>
    <x v="0"/>
    <n v="92100"/>
    <n v="7400"/>
    <n v="99500"/>
    <s v="D"/>
    <d v="2015-06-15T00:00:00"/>
    <x v="0"/>
  </r>
  <r>
    <x v="2777"/>
    <x v="0"/>
    <n v="28"/>
    <x v="4"/>
    <x v="6"/>
    <x v="1"/>
    <n v="9.8000000000000007"/>
    <n v="7.2"/>
    <x v="4"/>
    <n v="4"/>
    <x v="0"/>
    <n v="75200"/>
    <n v="9900"/>
    <n v="85100"/>
    <s v="C"/>
    <d v="2016-03-16T00:00:00"/>
    <x v="1"/>
  </r>
  <r>
    <x v="2778"/>
    <x v="0"/>
    <n v="40"/>
    <x v="1"/>
    <x v="3"/>
    <x v="1"/>
    <n v="5.3"/>
    <n v="2.6"/>
    <x v="1"/>
    <n v="4"/>
    <x v="0"/>
    <n v="80500"/>
    <n v="3400"/>
    <n v="83900"/>
    <s v="D"/>
    <d v="2020-08-27T00:00:00"/>
    <x v="1"/>
  </r>
  <r>
    <x v="2779"/>
    <x v="0"/>
    <n v="40"/>
    <x v="4"/>
    <x v="8"/>
    <x v="2"/>
    <n v="7"/>
    <n v="7"/>
    <x v="2"/>
    <n v="3"/>
    <x v="1"/>
    <n v="59100"/>
    <n v="4700"/>
    <n v="63800"/>
    <s v="B"/>
    <d v="2019-01-17T00:00:00"/>
    <x v="2"/>
  </r>
  <r>
    <x v="2780"/>
    <x v="0"/>
    <n v="33"/>
    <x v="1"/>
    <x v="10"/>
    <x v="1"/>
    <n v="8.9"/>
    <n v="7.2"/>
    <x v="2"/>
    <n v="3"/>
    <x v="2"/>
    <n v="87600"/>
    <n v="4200"/>
    <n v="91800"/>
    <s v="D"/>
    <d v="2017-01-24T00:00:00"/>
    <x v="1"/>
  </r>
  <r>
    <x v="2781"/>
    <x v="1"/>
    <n v="45"/>
    <x v="4"/>
    <x v="8"/>
    <x v="2"/>
    <n v="12.5"/>
    <n v="6.9"/>
    <x v="3"/>
    <n v="3"/>
    <x v="0"/>
    <n v="84700"/>
    <n v="11600"/>
    <n v="96300"/>
    <s v="D"/>
    <d v="2013-07-12T00:00:00"/>
    <x v="2"/>
  </r>
  <r>
    <x v="2782"/>
    <x v="0"/>
    <n v="34"/>
    <x v="4"/>
    <x v="14"/>
    <x v="1"/>
    <n v="6.1"/>
    <n v="5.7"/>
    <x v="2"/>
    <n v="1"/>
    <x v="2"/>
    <n v="90400"/>
    <n v="5900"/>
    <n v="96300"/>
    <s v="D"/>
    <d v="2019-12-13T00:00:00"/>
    <x v="1"/>
  </r>
  <r>
    <x v="2783"/>
    <x v="1"/>
    <n v="25"/>
    <x v="1"/>
    <x v="10"/>
    <x v="2"/>
    <n v="10.8"/>
    <n v="4.0999999999999996"/>
    <x v="4"/>
    <n v="4"/>
    <x v="2"/>
    <n v="88300"/>
    <n v="5500"/>
    <n v="93800"/>
    <s v="D"/>
    <d v="2015-03-14T00:00:00"/>
    <x v="2"/>
  </r>
  <r>
    <x v="2784"/>
    <x v="1"/>
    <n v="32"/>
    <x v="0"/>
    <x v="1"/>
    <x v="2"/>
    <n v="2.9"/>
    <n v="1.3"/>
    <x v="0"/>
    <n v="4"/>
    <x v="0"/>
    <n v="87100"/>
    <n v="7700"/>
    <n v="94800"/>
    <s v="D"/>
    <d v="2023-01-31T00:00:00"/>
    <x v="2"/>
  </r>
  <r>
    <x v="2785"/>
    <x v="0"/>
    <n v="26"/>
    <x v="0"/>
    <x v="2"/>
    <x v="1"/>
    <n v="4.5999999999999996"/>
    <n v="2.1"/>
    <x v="1"/>
    <n v="2"/>
    <x v="2"/>
    <n v="51700"/>
    <n v="4200"/>
    <n v="55900"/>
    <s v="B"/>
    <d v="2021-05-11T00:00:00"/>
    <x v="1"/>
  </r>
  <r>
    <x v="2786"/>
    <x v="0"/>
    <n v="28"/>
    <x v="5"/>
    <x v="9"/>
    <x v="1"/>
    <n v="1.6"/>
    <n v="0.6"/>
    <x v="0"/>
    <n v="3"/>
    <x v="0"/>
    <n v="86700"/>
    <n v="10800"/>
    <n v="97500"/>
    <s v="D"/>
    <d v="2024-05-29T00:00:00"/>
    <x v="1"/>
  </r>
  <r>
    <x v="2787"/>
    <x v="1"/>
    <n v="29"/>
    <x v="5"/>
    <x v="9"/>
    <x v="2"/>
    <n v="6.1"/>
    <n v="3.4"/>
    <x v="2"/>
    <n v="5"/>
    <x v="0"/>
    <n v="92900"/>
    <n v="14400"/>
    <n v="107300"/>
    <s v="D"/>
    <d v="2019-12-02T00:00:00"/>
    <x v="2"/>
  </r>
  <r>
    <x v="2788"/>
    <x v="0"/>
    <n v="39"/>
    <x v="2"/>
    <x v="18"/>
    <x v="1"/>
    <n v="3.1"/>
    <n v="1.4"/>
    <x v="1"/>
    <n v="4"/>
    <x v="0"/>
    <n v="72000"/>
    <n v="4200"/>
    <n v="76200"/>
    <s v="C"/>
    <d v="2022-11-13T00:00:00"/>
    <x v="1"/>
  </r>
  <r>
    <x v="2789"/>
    <x v="0"/>
    <n v="49"/>
    <x v="3"/>
    <x v="5"/>
    <x v="1"/>
    <n v="3.6"/>
    <n v="2.1"/>
    <x v="1"/>
    <n v="3"/>
    <x v="0"/>
    <n v="78800"/>
    <n v="4200"/>
    <n v="83000"/>
    <s v="C"/>
    <d v="2022-05-18T00:00:00"/>
    <x v="1"/>
  </r>
  <r>
    <x v="2790"/>
    <x v="0"/>
    <n v="30"/>
    <x v="2"/>
    <x v="4"/>
    <x v="2"/>
    <n v="8"/>
    <n v="3.9"/>
    <x v="2"/>
    <n v="3"/>
    <x v="0"/>
    <n v="80600"/>
    <n v="6500"/>
    <n v="87100"/>
    <s v="D"/>
    <d v="2018-01-13T00:00:00"/>
    <x v="2"/>
  </r>
  <r>
    <x v="2791"/>
    <x v="1"/>
    <n v="34"/>
    <x v="0"/>
    <x v="2"/>
    <x v="2"/>
    <n v="13.8"/>
    <n v="7.7"/>
    <x v="3"/>
    <n v="4"/>
    <x v="0"/>
    <n v="87800"/>
    <n v="4600"/>
    <n v="92400"/>
    <s v="D"/>
    <d v="2012-03-08T00:00:00"/>
    <x v="2"/>
  </r>
  <r>
    <x v="2792"/>
    <x v="0"/>
    <n v="51"/>
    <x v="3"/>
    <x v="12"/>
    <x v="2"/>
    <n v="9"/>
    <n v="6.8"/>
    <x v="4"/>
    <n v="3"/>
    <x v="0"/>
    <n v="72000"/>
    <n v="4100"/>
    <n v="76100"/>
    <s v="C"/>
    <d v="2017-01-14T00:00:00"/>
    <x v="2"/>
  </r>
  <r>
    <x v="2793"/>
    <x v="1"/>
    <n v="38"/>
    <x v="0"/>
    <x v="2"/>
    <x v="0"/>
    <n v="10.5"/>
    <n v="6.6"/>
    <x v="4"/>
    <n v="5"/>
    <x v="0"/>
    <n v="79700"/>
    <n v="5700"/>
    <n v="85400"/>
    <s v="C"/>
    <d v="2015-06-16T00:00:00"/>
    <x v="0"/>
  </r>
  <r>
    <x v="2794"/>
    <x v="0"/>
    <n v="37"/>
    <x v="5"/>
    <x v="15"/>
    <x v="2"/>
    <n v="2"/>
    <n v="1.6"/>
    <x v="0"/>
    <n v="3"/>
    <x v="0"/>
    <n v="60300"/>
    <n v="11600"/>
    <n v="71900"/>
    <s v="B"/>
    <d v="2023-12-25T00:00:00"/>
    <x v="2"/>
  </r>
  <r>
    <x v="2795"/>
    <x v="1"/>
    <n v="34"/>
    <x v="0"/>
    <x v="1"/>
    <x v="1"/>
    <n v="11"/>
    <n v="6.5"/>
    <x v="4"/>
    <n v="2"/>
    <x v="1"/>
    <n v="49000"/>
    <n v="5700"/>
    <n v="54700"/>
    <s v="A"/>
    <d v="2015-01-03T00:00:00"/>
    <x v="1"/>
  </r>
  <r>
    <x v="2796"/>
    <x v="1"/>
    <n v="38"/>
    <x v="4"/>
    <x v="8"/>
    <x v="2"/>
    <n v="11.3"/>
    <n v="7.6"/>
    <x v="4"/>
    <n v="3"/>
    <x v="0"/>
    <n v="89700"/>
    <n v="5600"/>
    <n v="95300"/>
    <s v="D"/>
    <d v="2014-08-29T00:00:00"/>
    <x v="2"/>
  </r>
  <r>
    <x v="2797"/>
    <x v="0"/>
    <n v="37"/>
    <x v="3"/>
    <x v="5"/>
    <x v="2"/>
    <n v="12.9"/>
    <n v="8.9"/>
    <x v="3"/>
    <n v="2"/>
    <x v="2"/>
    <n v="76400"/>
    <n v="3900"/>
    <n v="80300"/>
    <s v="C"/>
    <d v="2013-02-06T00:00:00"/>
    <x v="2"/>
  </r>
  <r>
    <x v="2798"/>
    <x v="0"/>
    <n v="34"/>
    <x v="1"/>
    <x v="7"/>
    <x v="3"/>
    <n v="6.1"/>
    <n v="5.3"/>
    <x v="2"/>
    <n v="5"/>
    <x v="1"/>
    <n v="52900"/>
    <n v="3900"/>
    <n v="56800"/>
    <s v="B"/>
    <d v="2019-11-11T00:00:00"/>
    <x v="3"/>
  </r>
  <r>
    <x v="2799"/>
    <x v="0"/>
    <n v="35"/>
    <x v="1"/>
    <x v="10"/>
    <x v="1"/>
    <n v="2.4"/>
    <n v="0.4"/>
    <x v="0"/>
    <n v="4"/>
    <x v="0"/>
    <n v="101800"/>
    <n v="10300"/>
    <n v="112100"/>
    <s v="E"/>
    <d v="2023-08-18T00:00:00"/>
    <x v="1"/>
  </r>
  <r>
    <x v="2800"/>
    <x v="1"/>
    <n v="42"/>
    <x v="1"/>
    <x v="3"/>
    <x v="2"/>
    <n v="7.2"/>
    <n v="4.2"/>
    <x v="2"/>
    <n v="4"/>
    <x v="0"/>
    <n v="87800"/>
    <n v="5500"/>
    <n v="93300"/>
    <s v="D"/>
    <d v="2018-10-19T00:00:00"/>
    <x v="2"/>
  </r>
  <r>
    <x v="2801"/>
    <x v="0"/>
    <n v="38"/>
    <x v="1"/>
    <x v="10"/>
    <x v="1"/>
    <n v="2.5"/>
    <n v="2.5"/>
    <x v="0"/>
    <n v="5"/>
    <x v="0"/>
    <n v="88900"/>
    <n v="10200"/>
    <n v="99100"/>
    <s v="D"/>
    <d v="2023-07-09T00:00:00"/>
    <x v="1"/>
  </r>
  <r>
    <x v="2802"/>
    <x v="1"/>
    <n v="45"/>
    <x v="3"/>
    <x v="13"/>
    <x v="1"/>
    <n v="11"/>
    <n v="6.8"/>
    <x v="4"/>
    <n v="2"/>
    <x v="0"/>
    <n v="97900"/>
    <n v="7500"/>
    <n v="105400"/>
    <s v="D"/>
    <d v="2015-01-01T00:00:00"/>
    <x v="1"/>
  </r>
  <r>
    <x v="2803"/>
    <x v="0"/>
    <n v="32"/>
    <x v="0"/>
    <x v="2"/>
    <x v="2"/>
    <n v="13.4"/>
    <n v="10.199999999999999"/>
    <x v="3"/>
    <n v="4"/>
    <x v="2"/>
    <n v="74200"/>
    <n v="4900"/>
    <n v="79100"/>
    <s v="C"/>
    <d v="2012-08-04T00:00:00"/>
    <x v="2"/>
  </r>
  <r>
    <x v="2804"/>
    <x v="0"/>
    <n v="33"/>
    <x v="0"/>
    <x v="0"/>
    <x v="2"/>
    <n v="10.3"/>
    <n v="6.5"/>
    <x v="4"/>
    <n v="3"/>
    <x v="0"/>
    <n v="128300"/>
    <n v="12500"/>
    <n v="140800"/>
    <s v="E"/>
    <d v="2015-08-29T00:00:00"/>
    <x v="2"/>
  </r>
  <r>
    <x v="2805"/>
    <x v="1"/>
    <n v="34"/>
    <x v="3"/>
    <x v="5"/>
    <x v="1"/>
    <n v="13.6"/>
    <n v="7.5"/>
    <x v="3"/>
    <n v="3"/>
    <x v="0"/>
    <n v="80300"/>
    <n v="7100"/>
    <n v="87400"/>
    <s v="D"/>
    <d v="2012-06-11T00:00:00"/>
    <x v="1"/>
  </r>
  <r>
    <x v="2806"/>
    <x v="1"/>
    <n v="40"/>
    <x v="3"/>
    <x v="13"/>
    <x v="0"/>
    <n v="12"/>
    <n v="7.5"/>
    <x v="3"/>
    <n v="3"/>
    <x v="0"/>
    <n v="107200"/>
    <n v="4600"/>
    <n v="111800"/>
    <s v="E"/>
    <d v="2014-01-13T00:00:00"/>
    <x v="0"/>
  </r>
  <r>
    <x v="2807"/>
    <x v="0"/>
    <n v="50"/>
    <x v="3"/>
    <x v="13"/>
    <x v="3"/>
    <n v="9.3000000000000007"/>
    <n v="4.8"/>
    <x v="4"/>
    <n v="3"/>
    <x v="0"/>
    <n v="110600"/>
    <n v="7900"/>
    <n v="118500"/>
    <s v="E"/>
    <d v="2016-09-22T00:00:00"/>
    <x v="3"/>
  </r>
  <r>
    <x v="2808"/>
    <x v="1"/>
    <n v="44"/>
    <x v="0"/>
    <x v="0"/>
    <x v="1"/>
    <n v="10.5"/>
    <n v="6.9"/>
    <x v="4"/>
    <n v="3"/>
    <x v="2"/>
    <n v="91300"/>
    <n v="9100"/>
    <n v="100400"/>
    <s v="D"/>
    <d v="2015-07-17T00:00:00"/>
    <x v="1"/>
  </r>
  <r>
    <x v="2809"/>
    <x v="1"/>
    <n v="37"/>
    <x v="2"/>
    <x v="4"/>
    <x v="1"/>
    <n v="13.6"/>
    <n v="8.1"/>
    <x v="3"/>
    <n v="4"/>
    <x v="0"/>
    <n v="79300"/>
    <n v="5000"/>
    <n v="84300"/>
    <s v="C"/>
    <d v="2012-05-11T00:00:00"/>
    <x v="1"/>
  </r>
  <r>
    <x v="2810"/>
    <x v="0"/>
    <n v="28"/>
    <x v="2"/>
    <x v="18"/>
    <x v="1"/>
    <n v="4.5999999999999996"/>
    <n v="0"/>
    <x v="1"/>
    <n v="2"/>
    <x v="0"/>
    <n v="61800"/>
    <n v="3700"/>
    <n v="65500"/>
    <s v="B"/>
    <d v="2021-06-05T00:00:00"/>
    <x v="1"/>
  </r>
  <r>
    <x v="2811"/>
    <x v="0"/>
    <n v="28"/>
    <x v="1"/>
    <x v="3"/>
    <x v="1"/>
    <n v="11"/>
    <n v="7.1"/>
    <x v="4"/>
    <n v="4"/>
    <x v="0"/>
    <n v="83900"/>
    <n v="8900"/>
    <n v="92800"/>
    <s v="D"/>
    <d v="2014-12-24T00:00:00"/>
    <x v="1"/>
  </r>
  <r>
    <x v="2812"/>
    <x v="0"/>
    <n v="26"/>
    <x v="0"/>
    <x v="0"/>
    <x v="1"/>
    <n v="6.5"/>
    <n v="2.7"/>
    <x v="2"/>
    <n v="3"/>
    <x v="1"/>
    <n v="56700"/>
    <n v="2600"/>
    <n v="59300"/>
    <s v="B"/>
    <d v="2019-07-11T00:00:00"/>
    <x v="1"/>
  </r>
  <r>
    <x v="2813"/>
    <x v="0"/>
    <n v="39"/>
    <x v="5"/>
    <x v="17"/>
    <x v="1"/>
    <n v="13"/>
    <n v="9.3000000000000007"/>
    <x v="3"/>
    <n v="3"/>
    <x v="0"/>
    <n v="111600"/>
    <n v="18500"/>
    <n v="130100"/>
    <s v="E"/>
    <d v="2012-12-22T00:00:00"/>
    <x v="1"/>
  </r>
  <r>
    <x v="2814"/>
    <x v="0"/>
    <n v="35"/>
    <x v="5"/>
    <x v="15"/>
    <x v="1"/>
    <n v="9.4"/>
    <n v="6.5"/>
    <x v="4"/>
    <n v="3"/>
    <x v="0"/>
    <n v="61300"/>
    <n v="6200"/>
    <n v="67500"/>
    <s v="B"/>
    <d v="2016-07-28T00:00:00"/>
    <x v="1"/>
  </r>
  <r>
    <x v="2815"/>
    <x v="0"/>
    <n v="39"/>
    <x v="0"/>
    <x v="0"/>
    <x v="2"/>
    <n v="11.1"/>
    <n v="7.8"/>
    <x v="4"/>
    <n v="3"/>
    <x v="0"/>
    <n v="108300"/>
    <n v="5300"/>
    <n v="113600"/>
    <s v="E"/>
    <d v="2014-11-13T00:00:00"/>
    <x v="2"/>
  </r>
  <r>
    <x v="2816"/>
    <x v="1"/>
    <n v="44"/>
    <x v="4"/>
    <x v="16"/>
    <x v="0"/>
    <n v="1.5"/>
    <n v="1.5"/>
    <x v="0"/>
    <n v="2"/>
    <x v="0"/>
    <n v="73200"/>
    <n v="8200"/>
    <n v="81400"/>
    <s v="C"/>
    <d v="2024-07-19T00:00:00"/>
    <x v="0"/>
  </r>
  <r>
    <x v="2817"/>
    <x v="1"/>
    <n v="35"/>
    <x v="3"/>
    <x v="13"/>
    <x v="1"/>
    <n v="6.2"/>
    <n v="4.5"/>
    <x v="2"/>
    <n v="3"/>
    <x v="0"/>
    <n v="100300"/>
    <n v="8000"/>
    <n v="108300"/>
    <s v="E"/>
    <d v="2019-11-04T00:00:00"/>
    <x v="1"/>
  </r>
  <r>
    <x v="2818"/>
    <x v="0"/>
    <n v="39"/>
    <x v="1"/>
    <x v="10"/>
    <x v="1"/>
    <n v="12.2"/>
    <n v="10.199999999999999"/>
    <x v="3"/>
    <n v="3"/>
    <x v="0"/>
    <n v="104700"/>
    <n v="11500"/>
    <n v="116200"/>
    <s v="E"/>
    <d v="2013-10-09T00:00:00"/>
    <x v="1"/>
  </r>
  <r>
    <x v="2819"/>
    <x v="0"/>
    <n v="36"/>
    <x v="0"/>
    <x v="2"/>
    <x v="1"/>
    <n v="10.9"/>
    <n v="6.3"/>
    <x v="4"/>
    <n v="3"/>
    <x v="0"/>
    <n v="75700"/>
    <n v="8200"/>
    <n v="83900"/>
    <s v="C"/>
    <d v="2015-02-19T00:00:00"/>
    <x v="1"/>
  </r>
  <r>
    <x v="2820"/>
    <x v="1"/>
    <n v="44"/>
    <x v="5"/>
    <x v="17"/>
    <x v="2"/>
    <n v="11.6"/>
    <n v="9.4"/>
    <x v="4"/>
    <n v="3"/>
    <x v="0"/>
    <n v="105600"/>
    <n v="9900"/>
    <n v="115500"/>
    <s v="E"/>
    <d v="2014-06-02T00:00:00"/>
    <x v="2"/>
  </r>
  <r>
    <x v="2821"/>
    <x v="0"/>
    <n v="38"/>
    <x v="0"/>
    <x v="0"/>
    <x v="0"/>
    <n v="3.6"/>
    <n v="2.6"/>
    <x v="1"/>
    <n v="3"/>
    <x v="0"/>
    <n v="104300"/>
    <n v="9600"/>
    <n v="113900"/>
    <s v="E"/>
    <d v="2022-06-10T00:00:00"/>
    <x v="0"/>
  </r>
  <r>
    <x v="2822"/>
    <x v="0"/>
    <n v="42"/>
    <x v="5"/>
    <x v="9"/>
    <x v="2"/>
    <n v="7.8"/>
    <n v="6.9"/>
    <x v="2"/>
    <n v="2"/>
    <x v="0"/>
    <n v="96100"/>
    <n v="16200"/>
    <n v="112300"/>
    <s v="D"/>
    <d v="2018-03-18T00:00:00"/>
    <x v="2"/>
  </r>
  <r>
    <x v="2823"/>
    <x v="0"/>
    <n v="37"/>
    <x v="2"/>
    <x v="4"/>
    <x v="2"/>
    <n v="7.4"/>
    <n v="3.9"/>
    <x v="2"/>
    <n v="2"/>
    <x v="0"/>
    <n v="78000"/>
    <n v="5100"/>
    <n v="83100"/>
    <s v="C"/>
    <d v="2018-07-30T00:00:00"/>
    <x v="2"/>
  </r>
  <r>
    <x v="2824"/>
    <x v="0"/>
    <n v="40"/>
    <x v="4"/>
    <x v="6"/>
    <x v="2"/>
    <n v="11.2"/>
    <n v="7.5"/>
    <x v="4"/>
    <n v="4"/>
    <x v="0"/>
    <n v="90500"/>
    <n v="6100"/>
    <n v="96600"/>
    <s v="D"/>
    <d v="2014-10-03T00:00:00"/>
    <x v="2"/>
  </r>
  <r>
    <x v="2825"/>
    <x v="0"/>
    <n v="25"/>
    <x v="3"/>
    <x v="13"/>
    <x v="1"/>
    <n v="5.7"/>
    <n v="4.3"/>
    <x v="1"/>
    <n v="4"/>
    <x v="0"/>
    <n v="95600"/>
    <n v="8400"/>
    <n v="104000"/>
    <s v="D"/>
    <d v="2020-05-02T00:00:00"/>
    <x v="1"/>
  </r>
  <r>
    <x v="2826"/>
    <x v="0"/>
    <n v="35"/>
    <x v="3"/>
    <x v="13"/>
    <x v="0"/>
    <n v="7"/>
    <n v="5.0999999999999996"/>
    <x v="2"/>
    <n v="4"/>
    <x v="0"/>
    <n v="105100"/>
    <n v="7100"/>
    <n v="112200"/>
    <s v="E"/>
    <d v="2019-01-17T00:00:00"/>
    <x v="0"/>
  </r>
  <r>
    <x v="2827"/>
    <x v="1"/>
    <n v="30"/>
    <x v="4"/>
    <x v="8"/>
    <x v="1"/>
    <n v="13.2"/>
    <n v="7.5"/>
    <x v="3"/>
    <n v="1"/>
    <x v="2"/>
    <n v="73300"/>
    <n v="8600"/>
    <n v="81900"/>
    <s v="C"/>
    <d v="2012-11-01T00:00:00"/>
    <x v="1"/>
  </r>
  <r>
    <x v="2828"/>
    <x v="1"/>
    <n v="28"/>
    <x v="3"/>
    <x v="12"/>
    <x v="1"/>
    <n v="8.9"/>
    <n v="7.2"/>
    <x v="2"/>
    <n v="4"/>
    <x v="1"/>
    <n v="48700"/>
    <n v="1600"/>
    <n v="50300"/>
    <s v="A"/>
    <d v="2017-01-30T00:00:00"/>
    <x v="1"/>
  </r>
  <r>
    <x v="2829"/>
    <x v="1"/>
    <n v="38"/>
    <x v="1"/>
    <x v="3"/>
    <x v="1"/>
    <n v="9.6999999999999993"/>
    <n v="7.4"/>
    <x v="4"/>
    <n v="4"/>
    <x v="2"/>
    <n v="79400"/>
    <n v="4700"/>
    <n v="84100"/>
    <s v="C"/>
    <d v="2016-05-02T00:00:00"/>
    <x v="1"/>
  </r>
  <r>
    <x v="2830"/>
    <x v="1"/>
    <n v="37"/>
    <x v="4"/>
    <x v="14"/>
    <x v="2"/>
    <n v="1.7"/>
    <n v="0.7"/>
    <x v="0"/>
    <n v="4"/>
    <x v="1"/>
    <n v="69300"/>
    <n v="9900"/>
    <n v="79200"/>
    <s v="C"/>
    <d v="2024-04-18T00:00:00"/>
    <x v="2"/>
  </r>
  <r>
    <x v="2831"/>
    <x v="0"/>
    <n v="40"/>
    <x v="4"/>
    <x v="8"/>
    <x v="1"/>
    <n v="11.7"/>
    <n v="8.1"/>
    <x v="4"/>
    <n v="3"/>
    <x v="0"/>
    <n v="89200"/>
    <n v="8100"/>
    <n v="97300"/>
    <s v="D"/>
    <d v="2014-04-28T00:00:00"/>
    <x v="1"/>
  </r>
  <r>
    <x v="2832"/>
    <x v="0"/>
    <n v="38"/>
    <x v="4"/>
    <x v="8"/>
    <x v="3"/>
    <n v="8.9"/>
    <n v="5.8"/>
    <x v="2"/>
    <n v="4"/>
    <x v="0"/>
    <n v="98400"/>
    <n v="11400"/>
    <n v="109800"/>
    <s v="D"/>
    <d v="2017-01-25T00:00:00"/>
    <x v="3"/>
  </r>
  <r>
    <x v="2833"/>
    <x v="0"/>
    <n v="27"/>
    <x v="5"/>
    <x v="17"/>
    <x v="2"/>
    <n v="3.8"/>
    <n v="3.6"/>
    <x v="1"/>
    <n v="4"/>
    <x v="0"/>
    <n v="109100"/>
    <n v="17700"/>
    <n v="126800"/>
    <s v="E"/>
    <d v="2022-03-22T00:00:00"/>
    <x v="2"/>
  </r>
  <r>
    <x v="2834"/>
    <x v="0"/>
    <n v="39"/>
    <x v="3"/>
    <x v="13"/>
    <x v="1"/>
    <n v="13"/>
    <n v="7.5"/>
    <x v="3"/>
    <n v="4"/>
    <x v="0"/>
    <n v="110100"/>
    <n v="4200"/>
    <n v="114300"/>
    <s v="E"/>
    <d v="2013-01-11T00:00:00"/>
    <x v="1"/>
  </r>
  <r>
    <x v="2835"/>
    <x v="0"/>
    <n v="21"/>
    <x v="3"/>
    <x v="12"/>
    <x v="1"/>
    <n v="7.6"/>
    <n v="5.0999999999999996"/>
    <x v="2"/>
    <n v="4"/>
    <x v="0"/>
    <n v="70700"/>
    <n v="3700"/>
    <n v="74400"/>
    <s v="C"/>
    <d v="2018-06-02T00:00:00"/>
    <x v="1"/>
  </r>
  <r>
    <x v="2836"/>
    <x v="1"/>
    <n v="45"/>
    <x v="3"/>
    <x v="5"/>
    <x v="0"/>
    <n v="1"/>
    <n v="1"/>
    <x v="0"/>
    <n v="2"/>
    <x v="0"/>
    <n v="63700"/>
    <n v="4900"/>
    <n v="68600"/>
    <s v="B"/>
    <d v="2024-12-18T00:00:00"/>
    <x v="0"/>
  </r>
  <r>
    <x v="2837"/>
    <x v="0"/>
    <n v="45"/>
    <x v="3"/>
    <x v="5"/>
    <x v="2"/>
    <n v="1.1000000000000001"/>
    <n v="0.6"/>
    <x v="0"/>
    <n v="3"/>
    <x v="0"/>
    <n v="70400"/>
    <n v="2400"/>
    <n v="72800"/>
    <s v="C"/>
    <d v="2024-11-22T00:00:00"/>
    <x v="2"/>
  </r>
  <r>
    <x v="2838"/>
    <x v="1"/>
    <n v="39"/>
    <x v="0"/>
    <x v="2"/>
    <x v="1"/>
    <n v="10.3"/>
    <n v="4.5"/>
    <x v="4"/>
    <n v="3"/>
    <x v="1"/>
    <n v="41900"/>
    <n v="5300"/>
    <n v="47200"/>
    <s v="A"/>
    <d v="2015-08-30T00:00:00"/>
    <x v="1"/>
  </r>
  <r>
    <x v="2839"/>
    <x v="0"/>
    <n v="36"/>
    <x v="0"/>
    <x v="1"/>
    <x v="1"/>
    <n v="4.8"/>
    <n v="3.3"/>
    <x v="1"/>
    <n v="1"/>
    <x v="0"/>
    <n v="80200"/>
    <n v="6000"/>
    <n v="86200"/>
    <s v="D"/>
    <d v="2021-03-18T00:00:00"/>
    <x v="1"/>
  </r>
  <r>
    <x v="2840"/>
    <x v="1"/>
    <n v="25"/>
    <x v="5"/>
    <x v="9"/>
    <x v="3"/>
    <n v="3.6"/>
    <n v="3.2"/>
    <x v="1"/>
    <n v="5"/>
    <x v="0"/>
    <n v="101900"/>
    <n v="15700"/>
    <n v="117600"/>
    <s v="E"/>
    <d v="2022-05-22T00:00:00"/>
    <x v="3"/>
  </r>
  <r>
    <x v="2841"/>
    <x v="0"/>
    <n v="26"/>
    <x v="2"/>
    <x v="11"/>
    <x v="1"/>
    <n v="5.8"/>
    <n v="5.3"/>
    <x v="1"/>
    <n v="1"/>
    <x v="0"/>
    <n v="114200"/>
    <n v="8400"/>
    <n v="122600"/>
    <s v="E"/>
    <d v="2020-02-28T00:00:00"/>
    <x v="1"/>
  </r>
  <r>
    <x v="2842"/>
    <x v="0"/>
    <n v="51"/>
    <x v="5"/>
    <x v="9"/>
    <x v="2"/>
    <n v="9"/>
    <n v="6.7"/>
    <x v="4"/>
    <n v="3"/>
    <x v="0"/>
    <n v="118700"/>
    <n v="9300"/>
    <n v="128000"/>
    <s v="E"/>
    <d v="2017-01-19T00:00:00"/>
    <x v="2"/>
  </r>
  <r>
    <x v="2843"/>
    <x v="0"/>
    <n v="32"/>
    <x v="1"/>
    <x v="3"/>
    <x v="2"/>
    <n v="5.9"/>
    <n v="4.0999999999999996"/>
    <x v="1"/>
    <n v="3"/>
    <x v="0"/>
    <n v="83300"/>
    <n v="7900"/>
    <n v="91200"/>
    <s v="D"/>
    <d v="2020-02-18T00:00:00"/>
    <x v="2"/>
  </r>
  <r>
    <x v="2844"/>
    <x v="0"/>
    <n v="38"/>
    <x v="1"/>
    <x v="7"/>
    <x v="1"/>
    <n v="10.3"/>
    <n v="9.1"/>
    <x v="4"/>
    <n v="3"/>
    <x v="0"/>
    <n v="84100"/>
    <n v="8100"/>
    <n v="92200"/>
    <s v="D"/>
    <d v="2015-09-08T00:00:00"/>
    <x v="1"/>
  </r>
  <r>
    <x v="2845"/>
    <x v="1"/>
    <n v="39"/>
    <x v="5"/>
    <x v="17"/>
    <x v="2"/>
    <n v="7"/>
    <n v="5.6"/>
    <x v="2"/>
    <n v="4"/>
    <x v="0"/>
    <n v="112800"/>
    <n v="17600"/>
    <n v="130400"/>
    <s v="E"/>
    <d v="2018-12-22T00:00:00"/>
    <x v="2"/>
  </r>
  <r>
    <x v="2846"/>
    <x v="0"/>
    <n v="36"/>
    <x v="1"/>
    <x v="7"/>
    <x v="2"/>
    <n v="11"/>
    <n v="7.4"/>
    <x v="4"/>
    <n v="3"/>
    <x v="0"/>
    <n v="88100"/>
    <n v="6200"/>
    <n v="94300"/>
    <s v="D"/>
    <d v="2015-01-18T00:00:00"/>
    <x v="2"/>
  </r>
  <r>
    <x v="2847"/>
    <x v="0"/>
    <n v="22"/>
    <x v="2"/>
    <x v="11"/>
    <x v="3"/>
    <n v="9.4"/>
    <n v="6.2"/>
    <x v="4"/>
    <n v="3"/>
    <x v="0"/>
    <n v="125600"/>
    <n v="6900"/>
    <n v="132500"/>
    <s v="E"/>
    <d v="2016-07-23T00:00:00"/>
    <x v="3"/>
  </r>
  <r>
    <x v="2848"/>
    <x v="1"/>
    <n v="38"/>
    <x v="5"/>
    <x v="9"/>
    <x v="2"/>
    <n v="10.4"/>
    <n v="7.7"/>
    <x v="4"/>
    <n v="4"/>
    <x v="0"/>
    <n v="102300"/>
    <n v="14000"/>
    <n v="116300"/>
    <s v="E"/>
    <d v="2015-08-01T00:00:00"/>
    <x v="2"/>
  </r>
  <r>
    <x v="2849"/>
    <x v="0"/>
    <n v="33"/>
    <x v="4"/>
    <x v="16"/>
    <x v="3"/>
    <n v="13.1"/>
    <n v="7.1"/>
    <x v="3"/>
    <n v="4"/>
    <x v="0"/>
    <n v="111400"/>
    <n v="15500"/>
    <n v="126900"/>
    <s v="E"/>
    <d v="2012-11-27T00:00:00"/>
    <x v="3"/>
  </r>
  <r>
    <x v="2850"/>
    <x v="0"/>
    <n v="48"/>
    <x v="2"/>
    <x v="4"/>
    <x v="1"/>
    <n v="7.8"/>
    <n v="6.2"/>
    <x v="2"/>
    <n v="2"/>
    <x v="0"/>
    <n v="74600"/>
    <n v="4400"/>
    <n v="79000"/>
    <s v="C"/>
    <d v="2018-03-19T00:00:00"/>
    <x v="1"/>
  </r>
  <r>
    <x v="2851"/>
    <x v="1"/>
    <n v="33"/>
    <x v="1"/>
    <x v="7"/>
    <x v="1"/>
    <n v="10"/>
    <n v="8.6999999999999993"/>
    <x v="4"/>
    <n v="4"/>
    <x v="0"/>
    <n v="87300"/>
    <n v="7800"/>
    <n v="95100"/>
    <s v="D"/>
    <d v="2015-12-24T00:00:00"/>
    <x v="1"/>
  </r>
  <r>
    <x v="2852"/>
    <x v="1"/>
    <n v="31"/>
    <x v="5"/>
    <x v="15"/>
    <x v="0"/>
    <n v="2.2999999999999998"/>
    <n v="0"/>
    <x v="0"/>
    <n v="4"/>
    <x v="0"/>
    <n v="56500"/>
    <n v="6400"/>
    <n v="62900"/>
    <s v="B"/>
    <d v="2023-09-01T00:00:00"/>
    <x v="0"/>
  </r>
  <r>
    <x v="2853"/>
    <x v="1"/>
    <n v="45"/>
    <x v="5"/>
    <x v="15"/>
    <x v="3"/>
    <n v="9"/>
    <n v="4.4000000000000004"/>
    <x v="4"/>
    <n v="2"/>
    <x v="0"/>
    <n v="72100"/>
    <n v="10800"/>
    <n v="82900"/>
    <s v="C"/>
    <d v="2016-12-23T00:00:00"/>
    <x v="3"/>
  </r>
  <r>
    <x v="2854"/>
    <x v="0"/>
    <n v="30"/>
    <x v="2"/>
    <x v="11"/>
    <x v="1"/>
    <n v="13.7"/>
    <n v="8.8000000000000007"/>
    <x v="3"/>
    <n v="3"/>
    <x v="0"/>
    <n v="108900"/>
    <n v="4300"/>
    <n v="113200"/>
    <s v="E"/>
    <d v="2012-04-02T00:00:00"/>
    <x v="1"/>
  </r>
  <r>
    <x v="2855"/>
    <x v="0"/>
    <n v="24"/>
    <x v="5"/>
    <x v="17"/>
    <x v="1"/>
    <n v="5.6"/>
    <n v="5"/>
    <x v="1"/>
    <n v="3"/>
    <x v="0"/>
    <n v="101700"/>
    <n v="19000"/>
    <n v="120700"/>
    <s v="E"/>
    <d v="2020-05-26T00:00:00"/>
    <x v="1"/>
  </r>
  <r>
    <x v="2856"/>
    <x v="1"/>
    <n v="29"/>
    <x v="1"/>
    <x v="7"/>
    <x v="2"/>
    <n v="6.3"/>
    <n v="3.2"/>
    <x v="2"/>
    <n v="3"/>
    <x v="0"/>
    <n v="82900"/>
    <n v="8700"/>
    <n v="91600"/>
    <s v="D"/>
    <d v="2019-09-24T00:00:00"/>
    <x v="2"/>
  </r>
  <r>
    <x v="2857"/>
    <x v="1"/>
    <n v="33"/>
    <x v="5"/>
    <x v="15"/>
    <x v="1"/>
    <n v="5.9"/>
    <n v="5.5"/>
    <x v="1"/>
    <n v="3"/>
    <x v="0"/>
    <n v="57800"/>
    <n v="5000"/>
    <n v="62800"/>
    <s v="B"/>
    <d v="2020-02-08T00:00:00"/>
    <x v="1"/>
  </r>
  <r>
    <x v="2858"/>
    <x v="1"/>
    <n v="38"/>
    <x v="2"/>
    <x v="18"/>
    <x v="0"/>
    <n v="12.6"/>
    <n v="9.3000000000000007"/>
    <x v="3"/>
    <n v="1"/>
    <x v="0"/>
    <n v="61400"/>
    <n v="3900"/>
    <n v="65300"/>
    <s v="B"/>
    <d v="2013-06-06T00:00:00"/>
    <x v="0"/>
  </r>
  <r>
    <x v="2859"/>
    <x v="0"/>
    <n v="42"/>
    <x v="0"/>
    <x v="1"/>
    <x v="1"/>
    <n v="7.5"/>
    <n v="5.5"/>
    <x v="2"/>
    <n v="3"/>
    <x v="0"/>
    <n v="71300"/>
    <n v="4300"/>
    <n v="75600"/>
    <s v="C"/>
    <d v="2018-07-02T00:00:00"/>
    <x v="1"/>
  </r>
  <r>
    <x v="2860"/>
    <x v="0"/>
    <n v="38"/>
    <x v="0"/>
    <x v="1"/>
    <x v="2"/>
    <n v="11.4"/>
    <n v="5.9"/>
    <x v="4"/>
    <n v="3"/>
    <x v="0"/>
    <n v="77800"/>
    <n v="3800"/>
    <n v="81600"/>
    <s v="C"/>
    <d v="2014-08-07T00:00:00"/>
    <x v="2"/>
  </r>
  <r>
    <x v="2861"/>
    <x v="1"/>
    <n v="37"/>
    <x v="4"/>
    <x v="16"/>
    <x v="2"/>
    <n v="4.2"/>
    <n v="1.8"/>
    <x v="1"/>
    <n v="4"/>
    <x v="0"/>
    <n v="91500"/>
    <n v="9200"/>
    <n v="100700"/>
    <s v="D"/>
    <d v="2021-10-04T00:00:00"/>
    <x v="2"/>
  </r>
  <r>
    <x v="2862"/>
    <x v="0"/>
    <n v="30"/>
    <x v="2"/>
    <x v="11"/>
    <x v="1"/>
    <n v="10"/>
    <n v="7"/>
    <x v="4"/>
    <n v="3"/>
    <x v="0"/>
    <n v="101600"/>
    <n v="5100"/>
    <n v="106700"/>
    <s v="E"/>
    <d v="2015-12-16T00:00:00"/>
    <x v="1"/>
  </r>
  <r>
    <x v="2863"/>
    <x v="0"/>
    <n v="50"/>
    <x v="0"/>
    <x v="2"/>
    <x v="2"/>
    <n v="1.8"/>
    <n v="1.8"/>
    <x v="0"/>
    <n v="3"/>
    <x v="2"/>
    <n v="51000"/>
    <n v="5400"/>
    <n v="56400"/>
    <s v="B"/>
    <d v="2024-02-29T00:00:00"/>
    <x v="2"/>
  </r>
  <r>
    <x v="2864"/>
    <x v="0"/>
    <n v="21"/>
    <x v="1"/>
    <x v="7"/>
    <x v="1"/>
    <n v="3.7"/>
    <n v="2.1"/>
    <x v="1"/>
    <n v="3"/>
    <x v="0"/>
    <n v="67800"/>
    <n v="7200"/>
    <n v="75000"/>
    <s v="C"/>
    <d v="2022-04-16T00:00:00"/>
    <x v="1"/>
  </r>
  <r>
    <x v="2865"/>
    <x v="0"/>
    <n v="26"/>
    <x v="4"/>
    <x v="16"/>
    <x v="2"/>
    <n v="6"/>
    <n v="4.0999999999999996"/>
    <x v="2"/>
    <n v="3"/>
    <x v="0"/>
    <n v="105500"/>
    <n v="14700"/>
    <n v="120200"/>
    <s v="E"/>
    <d v="2020-01-18T00:00:00"/>
    <x v="2"/>
  </r>
  <r>
    <x v="2866"/>
    <x v="0"/>
    <n v="41"/>
    <x v="2"/>
    <x v="18"/>
    <x v="2"/>
    <n v="9.4"/>
    <n v="7.7"/>
    <x v="4"/>
    <n v="2"/>
    <x v="2"/>
    <n v="62400"/>
    <n v="4300"/>
    <n v="66700"/>
    <s v="B"/>
    <d v="2016-08-23T00:00:00"/>
    <x v="2"/>
  </r>
  <r>
    <x v="2867"/>
    <x v="1"/>
    <n v="29"/>
    <x v="3"/>
    <x v="12"/>
    <x v="1"/>
    <n v="1.9"/>
    <n v="0.8"/>
    <x v="0"/>
    <n v="3"/>
    <x v="0"/>
    <n v="62700"/>
    <n v="4400"/>
    <n v="67100"/>
    <s v="B"/>
    <d v="2024-02-17T00:00:00"/>
    <x v="1"/>
  </r>
  <r>
    <x v="2868"/>
    <x v="1"/>
    <n v="41"/>
    <x v="3"/>
    <x v="13"/>
    <x v="2"/>
    <n v="4.3"/>
    <n v="2.2000000000000002"/>
    <x v="1"/>
    <n v="3"/>
    <x v="0"/>
    <n v="101000"/>
    <n v="5200"/>
    <n v="106200"/>
    <s v="E"/>
    <d v="2021-09-20T00:00:00"/>
    <x v="2"/>
  </r>
  <r>
    <x v="2869"/>
    <x v="1"/>
    <n v="33"/>
    <x v="0"/>
    <x v="1"/>
    <x v="2"/>
    <n v="1.5"/>
    <n v="1.5"/>
    <x v="0"/>
    <n v="4"/>
    <x v="0"/>
    <n v="80700"/>
    <n v="9700"/>
    <n v="90400"/>
    <s v="D"/>
    <d v="2024-06-15T00:00:00"/>
    <x v="2"/>
  </r>
  <r>
    <x v="2870"/>
    <x v="1"/>
    <n v="32"/>
    <x v="0"/>
    <x v="2"/>
    <x v="2"/>
    <n v="3.3"/>
    <n v="2.1"/>
    <x v="1"/>
    <n v="4"/>
    <x v="1"/>
    <n v="37900"/>
    <n v="4900"/>
    <n v="42800"/>
    <s v="A"/>
    <d v="2022-09-05T00:00:00"/>
    <x v="2"/>
  </r>
  <r>
    <x v="2871"/>
    <x v="0"/>
    <n v="33"/>
    <x v="3"/>
    <x v="13"/>
    <x v="2"/>
    <n v="6.4"/>
    <n v="5.2"/>
    <x v="2"/>
    <n v="5"/>
    <x v="1"/>
    <n v="57300"/>
    <n v="2800"/>
    <n v="60100"/>
    <s v="B"/>
    <d v="2019-07-23T00:00:00"/>
    <x v="2"/>
  </r>
  <r>
    <x v="2872"/>
    <x v="0"/>
    <n v="34"/>
    <x v="3"/>
    <x v="12"/>
    <x v="2"/>
    <n v="9.8000000000000007"/>
    <n v="5.8"/>
    <x v="4"/>
    <n v="5"/>
    <x v="0"/>
    <n v="92400"/>
    <n v="6800"/>
    <n v="99200"/>
    <s v="D"/>
    <d v="2016-03-28T00:00:00"/>
    <x v="2"/>
  </r>
  <r>
    <x v="2873"/>
    <x v="1"/>
    <n v="52"/>
    <x v="0"/>
    <x v="2"/>
    <x v="1"/>
    <n v="13.9"/>
    <n v="9.1"/>
    <x v="3"/>
    <n v="4"/>
    <x v="0"/>
    <n v="82400"/>
    <n v="8000"/>
    <n v="90400"/>
    <s v="D"/>
    <d v="2012-02-02T00:00:00"/>
    <x v="1"/>
  </r>
  <r>
    <x v="2874"/>
    <x v="1"/>
    <n v="31"/>
    <x v="2"/>
    <x v="18"/>
    <x v="2"/>
    <n v="6.7"/>
    <n v="3.6"/>
    <x v="2"/>
    <n v="3"/>
    <x v="0"/>
    <n v="63400"/>
    <n v="4300"/>
    <n v="67700"/>
    <s v="B"/>
    <d v="2019-04-29T00:00:00"/>
    <x v="2"/>
  </r>
  <r>
    <x v="2875"/>
    <x v="1"/>
    <n v="33"/>
    <x v="4"/>
    <x v="8"/>
    <x v="2"/>
    <n v="10.4"/>
    <n v="6.3"/>
    <x v="4"/>
    <n v="4"/>
    <x v="0"/>
    <n v="80100"/>
    <n v="9800"/>
    <n v="89900"/>
    <s v="D"/>
    <d v="2015-08-21T00:00:00"/>
    <x v="2"/>
  </r>
  <r>
    <x v="2876"/>
    <x v="1"/>
    <n v="37"/>
    <x v="4"/>
    <x v="6"/>
    <x v="2"/>
    <n v="11"/>
    <n v="6.1"/>
    <x v="4"/>
    <n v="1"/>
    <x v="0"/>
    <n v="80400"/>
    <n v="7700"/>
    <n v="88100"/>
    <s v="D"/>
    <d v="2014-12-28T00:00:00"/>
    <x v="2"/>
  </r>
  <r>
    <x v="2877"/>
    <x v="1"/>
    <n v="27"/>
    <x v="0"/>
    <x v="2"/>
    <x v="0"/>
    <n v="1.4"/>
    <n v="0"/>
    <x v="0"/>
    <n v="3"/>
    <x v="0"/>
    <n v="56300"/>
    <n v="2900"/>
    <n v="59200"/>
    <s v="B"/>
    <d v="2024-08-04T00:00:00"/>
    <x v="0"/>
  </r>
  <r>
    <x v="2878"/>
    <x v="1"/>
    <n v="40"/>
    <x v="0"/>
    <x v="0"/>
    <x v="1"/>
    <n v="7.9"/>
    <n v="5.8"/>
    <x v="2"/>
    <n v="5"/>
    <x v="0"/>
    <n v="115100"/>
    <n v="8300"/>
    <n v="123400"/>
    <s v="E"/>
    <d v="2018-01-26T00:00:00"/>
    <x v="1"/>
  </r>
  <r>
    <x v="2879"/>
    <x v="1"/>
    <n v="37"/>
    <x v="3"/>
    <x v="13"/>
    <x v="1"/>
    <n v="3.1"/>
    <n v="3.1"/>
    <x v="1"/>
    <n v="3"/>
    <x v="0"/>
    <n v="91000"/>
    <n v="3200"/>
    <n v="94200"/>
    <s v="D"/>
    <d v="2022-12-09T00:00:00"/>
    <x v="1"/>
  </r>
  <r>
    <x v="2880"/>
    <x v="1"/>
    <n v="36"/>
    <x v="0"/>
    <x v="2"/>
    <x v="1"/>
    <n v="11.2"/>
    <n v="6.7"/>
    <x v="4"/>
    <n v="4"/>
    <x v="0"/>
    <n v="69400"/>
    <n v="5600"/>
    <n v="75000"/>
    <s v="C"/>
    <d v="2014-10-27T00:00:00"/>
    <x v="1"/>
  </r>
  <r>
    <x v="2881"/>
    <x v="1"/>
    <n v="41"/>
    <x v="1"/>
    <x v="3"/>
    <x v="1"/>
    <n v="12.7"/>
    <n v="7.9"/>
    <x v="3"/>
    <n v="3"/>
    <x v="2"/>
    <n v="61800"/>
    <n v="7200"/>
    <n v="69000"/>
    <s v="B"/>
    <d v="2013-04-25T00:00:00"/>
    <x v="1"/>
  </r>
  <r>
    <x v="2882"/>
    <x v="0"/>
    <n v="25"/>
    <x v="2"/>
    <x v="18"/>
    <x v="2"/>
    <n v="8.1"/>
    <n v="6.4"/>
    <x v="2"/>
    <n v="3"/>
    <x v="0"/>
    <n v="72300"/>
    <n v="7200"/>
    <n v="79500"/>
    <s v="C"/>
    <d v="2017-11-08T00:00:00"/>
    <x v="2"/>
  </r>
  <r>
    <x v="2883"/>
    <x v="1"/>
    <n v="40"/>
    <x v="3"/>
    <x v="12"/>
    <x v="1"/>
    <n v="2.9"/>
    <n v="2.9"/>
    <x v="0"/>
    <n v="1"/>
    <x v="0"/>
    <n v="69400"/>
    <n v="5500"/>
    <n v="74900"/>
    <s v="C"/>
    <d v="2023-02-24T00:00:00"/>
    <x v="1"/>
  </r>
  <r>
    <x v="2884"/>
    <x v="0"/>
    <n v="36"/>
    <x v="4"/>
    <x v="6"/>
    <x v="1"/>
    <n v="13.3"/>
    <n v="9.5"/>
    <x v="3"/>
    <n v="3"/>
    <x v="0"/>
    <n v="84400"/>
    <n v="9200"/>
    <n v="93600"/>
    <s v="D"/>
    <d v="2012-08-31T00:00:00"/>
    <x v="1"/>
  </r>
  <r>
    <x v="2885"/>
    <x v="1"/>
    <n v="25"/>
    <x v="5"/>
    <x v="17"/>
    <x v="1"/>
    <n v="7.7"/>
    <n v="4.7"/>
    <x v="2"/>
    <n v="5"/>
    <x v="2"/>
    <n v="86800"/>
    <n v="7800"/>
    <n v="94600"/>
    <s v="D"/>
    <d v="2018-04-24T00:00:00"/>
    <x v="1"/>
  </r>
  <r>
    <x v="2886"/>
    <x v="1"/>
    <n v="38"/>
    <x v="2"/>
    <x v="4"/>
    <x v="2"/>
    <n v="9.4"/>
    <n v="6.2"/>
    <x v="4"/>
    <n v="3"/>
    <x v="0"/>
    <n v="96500"/>
    <n v="5100"/>
    <n v="101600"/>
    <s v="D"/>
    <d v="2016-08-15T00:00:00"/>
    <x v="2"/>
  </r>
  <r>
    <x v="2887"/>
    <x v="0"/>
    <n v="38"/>
    <x v="4"/>
    <x v="14"/>
    <x v="0"/>
    <n v="6.5"/>
    <n v="3.4"/>
    <x v="2"/>
    <n v="3"/>
    <x v="0"/>
    <n v="104200"/>
    <n v="7300"/>
    <n v="111500"/>
    <s v="E"/>
    <d v="2019-06-27T00:00:00"/>
    <x v="0"/>
  </r>
  <r>
    <x v="2888"/>
    <x v="1"/>
    <n v="53"/>
    <x v="3"/>
    <x v="5"/>
    <x v="1"/>
    <n v="6.9"/>
    <n v="3.3"/>
    <x v="2"/>
    <n v="5"/>
    <x v="0"/>
    <n v="91300"/>
    <n v="5800"/>
    <n v="97100"/>
    <s v="D"/>
    <d v="2019-02-14T00:00:00"/>
    <x v="1"/>
  </r>
  <r>
    <x v="2889"/>
    <x v="0"/>
    <n v="34"/>
    <x v="0"/>
    <x v="0"/>
    <x v="2"/>
    <n v="8.4"/>
    <n v="6.3"/>
    <x v="2"/>
    <n v="4"/>
    <x v="0"/>
    <n v="109500"/>
    <n v="11000"/>
    <n v="120500"/>
    <s v="E"/>
    <d v="2017-07-22T00:00:00"/>
    <x v="2"/>
  </r>
  <r>
    <x v="2890"/>
    <x v="1"/>
    <n v="36"/>
    <x v="4"/>
    <x v="8"/>
    <x v="1"/>
    <n v="2.7"/>
    <n v="2.7"/>
    <x v="0"/>
    <n v="3"/>
    <x v="0"/>
    <n v="82000"/>
    <n v="6400"/>
    <n v="88400"/>
    <s v="D"/>
    <d v="2023-04-24T00:00:00"/>
    <x v="1"/>
  </r>
  <r>
    <x v="2891"/>
    <x v="0"/>
    <n v="36"/>
    <x v="4"/>
    <x v="8"/>
    <x v="1"/>
    <n v="4.3"/>
    <n v="1.4"/>
    <x v="1"/>
    <n v="3"/>
    <x v="0"/>
    <n v="71400"/>
    <n v="9500"/>
    <n v="80900"/>
    <s v="C"/>
    <d v="2021-08-27T00:00:00"/>
    <x v="1"/>
  </r>
  <r>
    <x v="2892"/>
    <x v="0"/>
    <n v="30"/>
    <x v="0"/>
    <x v="1"/>
    <x v="2"/>
    <n v="6.7"/>
    <n v="4.7"/>
    <x v="2"/>
    <n v="2"/>
    <x v="0"/>
    <n v="80500"/>
    <n v="7000"/>
    <n v="87500"/>
    <s v="D"/>
    <d v="2019-04-07T00:00:00"/>
    <x v="2"/>
  </r>
  <r>
    <x v="2893"/>
    <x v="0"/>
    <n v="38"/>
    <x v="4"/>
    <x v="16"/>
    <x v="1"/>
    <n v="12.7"/>
    <n v="6.3"/>
    <x v="3"/>
    <n v="3"/>
    <x v="0"/>
    <n v="99800"/>
    <n v="9200"/>
    <n v="109000"/>
    <s v="D"/>
    <d v="2013-05-01T00:00:00"/>
    <x v="1"/>
  </r>
  <r>
    <x v="2894"/>
    <x v="0"/>
    <n v="21"/>
    <x v="1"/>
    <x v="3"/>
    <x v="1"/>
    <n v="3.8"/>
    <n v="0.4"/>
    <x v="1"/>
    <n v="4"/>
    <x v="2"/>
    <n v="63600"/>
    <n v="7600"/>
    <n v="71200"/>
    <s v="B"/>
    <d v="2022-03-27T00:00:00"/>
    <x v="1"/>
  </r>
  <r>
    <x v="2895"/>
    <x v="1"/>
    <n v="27"/>
    <x v="5"/>
    <x v="9"/>
    <x v="0"/>
    <n v="2.1"/>
    <n v="0"/>
    <x v="0"/>
    <n v="3"/>
    <x v="2"/>
    <n v="72300"/>
    <n v="6900"/>
    <n v="79200"/>
    <s v="C"/>
    <d v="2023-12-13T00:00:00"/>
    <x v="0"/>
  </r>
  <r>
    <x v="2896"/>
    <x v="1"/>
    <n v="45"/>
    <x v="4"/>
    <x v="14"/>
    <x v="1"/>
    <n v="5.3"/>
    <n v="4.7"/>
    <x v="1"/>
    <n v="4"/>
    <x v="2"/>
    <n v="83800"/>
    <n v="8300"/>
    <n v="92100"/>
    <s v="D"/>
    <d v="2020-09-07T00:00:00"/>
    <x v="1"/>
  </r>
  <r>
    <x v="2897"/>
    <x v="1"/>
    <n v="37"/>
    <x v="1"/>
    <x v="7"/>
    <x v="2"/>
    <n v="4.5"/>
    <n v="3"/>
    <x v="1"/>
    <n v="5"/>
    <x v="0"/>
    <n v="80700"/>
    <n v="5900"/>
    <n v="86600"/>
    <s v="D"/>
    <d v="2021-06-30T00:00:00"/>
    <x v="2"/>
  </r>
  <r>
    <x v="2898"/>
    <x v="0"/>
    <n v="39"/>
    <x v="2"/>
    <x v="4"/>
    <x v="1"/>
    <n v="8.3000000000000007"/>
    <n v="4.3"/>
    <x v="2"/>
    <n v="3"/>
    <x v="0"/>
    <n v="75200"/>
    <n v="7200"/>
    <n v="82400"/>
    <s v="C"/>
    <d v="2017-10-01T00:00:00"/>
    <x v="1"/>
  </r>
  <r>
    <x v="2899"/>
    <x v="0"/>
    <n v="24"/>
    <x v="3"/>
    <x v="5"/>
    <x v="1"/>
    <n v="6.2"/>
    <n v="2.9"/>
    <x v="2"/>
    <n v="1"/>
    <x v="1"/>
    <n v="41100"/>
    <n v="2700"/>
    <n v="43800"/>
    <s v="A"/>
    <d v="2019-10-09T00:00:00"/>
    <x v="1"/>
  </r>
  <r>
    <x v="2900"/>
    <x v="1"/>
    <n v="38"/>
    <x v="4"/>
    <x v="6"/>
    <x v="2"/>
    <n v="12.5"/>
    <n v="8.8000000000000007"/>
    <x v="3"/>
    <n v="3"/>
    <x v="0"/>
    <n v="91100"/>
    <n v="7600"/>
    <n v="98700"/>
    <s v="D"/>
    <d v="2013-06-18T00:00:00"/>
    <x v="2"/>
  </r>
  <r>
    <x v="2901"/>
    <x v="0"/>
    <n v="38"/>
    <x v="4"/>
    <x v="14"/>
    <x v="1"/>
    <n v="10.3"/>
    <n v="5.6"/>
    <x v="4"/>
    <n v="3"/>
    <x v="0"/>
    <n v="104700"/>
    <n v="11500"/>
    <n v="116200"/>
    <s v="E"/>
    <d v="2015-09-28T00:00:00"/>
    <x v="1"/>
  </r>
  <r>
    <x v="2902"/>
    <x v="1"/>
    <n v="53"/>
    <x v="0"/>
    <x v="0"/>
    <x v="2"/>
    <n v="2.9"/>
    <n v="2.2000000000000002"/>
    <x v="0"/>
    <n v="4"/>
    <x v="0"/>
    <n v="100100"/>
    <n v="8000"/>
    <n v="108100"/>
    <s v="E"/>
    <d v="2023-02-23T00:00:00"/>
    <x v="2"/>
  </r>
  <r>
    <x v="2903"/>
    <x v="1"/>
    <n v="43"/>
    <x v="1"/>
    <x v="7"/>
    <x v="2"/>
    <n v="6.3"/>
    <n v="3.4"/>
    <x v="2"/>
    <n v="3"/>
    <x v="1"/>
    <n v="43500"/>
    <n v="2100"/>
    <n v="45600"/>
    <s v="A"/>
    <d v="2019-09-04T00:00:00"/>
    <x v="2"/>
  </r>
  <r>
    <x v="2904"/>
    <x v="0"/>
    <n v="36"/>
    <x v="2"/>
    <x v="4"/>
    <x v="1"/>
    <n v="9.3000000000000007"/>
    <n v="6"/>
    <x v="4"/>
    <n v="3"/>
    <x v="1"/>
    <n v="52800"/>
    <n v="4300"/>
    <n v="57100"/>
    <s v="B"/>
    <d v="2016-09-24T00:00:00"/>
    <x v="1"/>
  </r>
  <r>
    <x v="2905"/>
    <x v="1"/>
    <n v="42"/>
    <x v="3"/>
    <x v="5"/>
    <x v="2"/>
    <n v="11.1"/>
    <n v="7.3"/>
    <x v="4"/>
    <n v="3"/>
    <x v="0"/>
    <n v="82400"/>
    <n v="5900"/>
    <n v="88300"/>
    <s v="D"/>
    <d v="2014-11-24T00:00:00"/>
    <x v="2"/>
  </r>
  <r>
    <x v="2906"/>
    <x v="0"/>
    <n v="40"/>
    <x v="3"/>
    <x v="13"/>
    <x v="0"/>
    <n v="12"/>
    <n v="6.4"/>
    <x v="3"/>
    <n v="1"/>
    <x v="0"/>
    <n v="114900"/>
    <n v="6000"/>
    <n v="120900"/>
    <s v="E"/>
    <d v="2013-12-23T00:00:00"/>
    <x v="0"/>
  </r>
  <r>
    <x v="2907"/>
    <x v="0"/>
    <n v="24"/>
    <x v="0"/>
    <x v="2"/>
    <x v="0"/>
    <n v="6.1"/>
    <n v="4.5999999999999996"/>
    <x v="2"/>
    <n v="3"/>
    <x v="1"/>
    <n v="34800"/>
    <n v="1900"/>
    <n v="36700"/>
    <s v="A"/>
    <d v="2019-11-14T00:00:00"/>
    <x v="0"/>
  </r>
  <r>
    <x v="2908"/>
    <x v="1"/>
    <n v="38"/>
    <x v="0"/>
    <x v="1"/>
    <x v="1"/>
    <n v="2.2999999999999998"/>
    <n v="2.2000000000000002"/>
    <x v="0"/>
    <n v="4"/>
    <x v="0"/>
    <n v="70600"/>
    <n v="9000"/>
    <n v="79600"/>
    <s v="C"/>
    <d v="2023-09-24T00:00:00"/>
    <x v="1"/>
  </r>
  <r>
    <x v="2909"/>
    <x v="1"/>
    <n v="27"/>
    <x v="1"/>
    <x v="10"/>
    <x v="1"/>
    <n v="7.4"/>
    <n v="4.4000000000000004"/>
    <x v="2"/>
    <n v="4"/>
    <x v="0"/>
    <n v="109900"/>
    <n v="11400"/>
    <n v="121300"/>
    <s v="E"/>
    <d v="2018-08-17T00:00:00"/>
    <x v="1"/>
  </r>
  <r>
    <x v="2910"/>
    <x v="0"/>
    <n v="28"/>
    <x v="4"/>
    <x v="16"/>
    <x v="2"/>
    <n v="13.2"/>
    <n v="11.4"/>
    <x v="3"/>
    <n v="4"/>
    <x v="0"/>
    <n v="100700"/>
    <n v="5800"/>
    <n v="106500"/>
    <s v="E"/>
    <d v="2012-10-08T00:00:00"/>
    <x v="2"/>
  </r>
  <r>
    <x v="2911"/>
    <x v="1"/>
    <n v="50"/>
    <x v="0"/>
    <x v="2"/>
    <x v="2"/>
    <n v="5.5"/>
    <n v="4.4000000000000004"/>
    <x v="1"/>
    <n v="3"/>
    <x v="0"/>
    <n v="71000"/>
    <n v="7300"/>
    <n v="78300"/>
    <s v="C"/>
    <d v="2020-07-10T00:00:00"/>
    <x v="2"/>
  </r>
  <r>
    <x v="2912"/>
    <x v="1"/>
    <n v="33"/>
    <x v="3"/>
    <x v="13"/>
    <x v="0"/>
    <n v="2.8"/>
    <n v="2"/>
    <x v="0"/>
    <n v="4"/>
    <x v="0"/>
    <n v="97400"/>
    <n v="6700"/>
    <n v="104100"/>
    <s v="D"/>
    <d v="2023-03-31T00:00:00"/>
    <x v="0"/>
  </r>
  <r>
    <x v="2913"/>
    <x v="1"/>
    <n v="27"/>
    <x v="2"/>
    <x v="4"/>
    <x v="2"/>
    <n v="11.1"/>
    <n v="7.4"/>
    <x v="4"/>
    <n v="3"/>
    <x v="1"/>
    <n v="52100"/>
    <n v="5400"/>
    <n v="57500"/>
    <s v="B"/>
    <d v="2014-12-02T00:00:00"/>
    <x v="2"/>
  </r>
  <r>
    <x v="2914"/>
    <x v="1"/>
    <n v="45"/>
    <x v="0"/>
    <x v="2"/>
    <x v="2"/>
    <n v="10.5"/>
    <n v="5.6"/>
    <x v="4"/>
    <n v="3"/>
    <x v="2"/>
    <n v="55800"/>
    <n v="3600"/>
    <n v="59400"/>
    <s v="B"/>
    <d v="2015-06-17T00:00:00"/>
    <x v="2"/>
  </r>
  <r>
    <x v="2915"/>
    <x v="0"/>
    <n v="51"/>
    <x v="3"/>
    <x v="13"/>
    <x v="1"/>
    <n v="9.6999999999999993"/>
    <n v="5.4"/>
    <x v="4"/>
    <n v="4"/>
    <x v="0"/>
    <n v="101400"/>
    <n v="8000"/>
    <n v="109400"/>
    <s v="E"/>
    <d v="2016-04-08T00:00:00"/>
    <x v="1"/>
  </r>
  <r>
    <x v="2916"/>
    <x v="1"/>
    <n v="34"/>
    <x v="1"/>
    <x v="7"/>
    <x v="1"/>
    <n v="3.7"/>
    <n v="1.5"/>
    <x v="1"/>
    <n v="3"/>
    <x v="0"/>
    <n v="72000"/>
    <n v="6000"/>
    <n v="78000"/>
    <s v="C"/>
    <d v="2022-04-05T00:00:00"/>
    <x v="1"/>
  </r>
  <r>
    <x v="2917"/>
    <x v="0"/>
    <n v="25"/>
    <x v="5"/>
    <x v="17"/>
    <x v="2"/>
    <n v="7"/>
    <n v="1.9"/>
    <x v="2"/>
    <n v="3"/>
    <x v="0"/>
    <n v="104000"/>
    <n v="15100"/>
    <n v="119100"/>
    <s v="E"/>
    <d v="2019-01-01T00:00:00"/>
    <x v="2"/>
  </r>
  <r>
    <x v="2918"/>
    <x v="0"/>
    <n v="31"/>
    <x v="5"/>
    <x v="17"/>
    <x v="1"/>
    <n v="1.7"/>
    <n v="1.7"/>
    <x v="0"/>
    <n v="3"/>
    <x v="0"/>
    <n v="108200"/>
    <n v="16100"/>
    <n v="124300"/>
    <s v="E"/>
    <d v="2024-04-10T00:00:00"/>
    <x v="1"/>
  </r>
  <r>
    <x v="2919"/>
    <x v="1"/>
    <n v="37"/>
    <x v="3"/>
    <x v="12"/>
    <x v="1"/>
    <n v="3.3"/>
    <n v="2.7"/>
    <x v="1"/>
    <n v="4"/>
    <x v="0"/>
    <n v="57800"/>
    <n v="3600"/>
    <n v="61400"/>
    <s v="B"/>
    <d v="2022-09-18T00:00:00"/>
    <x v="1"/>
  </r>
  <r>
    <x v="2920"/>
    <x v="0"/>
    <n v="33"/>
    <x v="2"/>
    <x v="4"/>
    <x v="2"/>
    <n v="4.2"/>
    <n v="2.7"/>
    <x v="1"/>
    <n v="5"/>
    <x v="0"/>
    <n v="77900"/>
    <n v="8100"/>
    <n v="86000"/>
    <s v="C"/>
    <d v="2021-10-04T00:00:00"/>
    <x v="2"/>
  </r>
  <r>
    <x v="2921"/>
    <x v="1"/>
    <n v="39"/>
    <x v="1"/>
    <x v="7"/>
    <x v="2"/>
    <n v="5.5"/>
    <n v="3.7"/>
    <x v="1"/>
    <n v="3"/>
    <x v="0"/>
    <n v="84200"/>
    <n v="4500"/>
    <n v="88700"/>
    <s v="D"/>
    <d v="2020-07-05T00:00:00"/>
    <x v="2"/>
  </r>
  <r>
    <x v="2922"/>
    <x v="0"/>
    <n v="36"/>
    <x v="5"/>
    <x v="15"/>
    <x v="1"/>
    <n v="4.8"/>
    <n v="3.3"/>
    <x v="1"/>
    <n v="1"/>
    <x v="2"/>
    <n v="54500"/>
    <n v="8200"/>
    <n v="62700"/>
    <s v="B"/>
    <d v="2021-03-08T00:00:00"/>
    <x v="1"/>
  </r>
  <r>
    <x v="2923"/>
    <x v="0"/>
    <n v="51"/>
    <x v="2"/>
    <x v="11"/>
    <x v="2"/>
    <n v="11.8"/>
    <n v="8.6"/>
    <x v="4"/>
    <n v="3"/>
    <x v="0"/>
    <n v="117800"/>
    <n v="12400"/>
    <n v="130200"/>
    <s v="E"/>
    <d v="2014-03-14T00:00:00"/>
    <x v="2"/>
  </r>
  <r>
    <x v="2924"/>
    <x v="0"/>
    <n v="33"/>
    <x v="0"/>
    <x v="1"/>
    <x v="2"/>
    <n v="7.2"/>
    <n v="4.9000000000000004"/>
    <x v="2"/>
    <n v="1"/>
    <x v="0"/>
    <n v="68000"/>
    <n v="6200"/>
    <n v="74200"/>
    <s v="C"/>
    <d v="2018-10-04T00:00:00"/>
    <x v="2"/>
  </r>
  <r>
    <x v="2925"/>
    <x v="1"/>
    <n v="38"/>
    <x v="4"/>
    <x v="8"/>
    <x v="1"/>
    <n v="1.7"/>
    <n v="0"/>
    <x v="0"/>
    <n v="3"/>
    <x v="2"/>
    <n v="57700"/>
    <n v="5200"/>
    <n v="62900"/>
    <s v="B"/>
    <d v="2024-04-11T00:00:00"/>
    <x v="1"/>
  </r>
  <r>
    <x v="2926"/>
    <x v="0"/>
    <n v="35"/>
    <x v="5"/>
    <x v="17"/>
    <x v="2"/>
    <n v="10.1"/>
    <n v="6.1"/>
    <x v="4"/>
    <n v="4"/>
    <x v="1"/>
    <n v="78100"/>
    <n v="7500"/>
    <n v="85600"/>
    <s v="C"/>
    <d v="2015-12-13T00:00:00"/>
    <x v="2"/>
  </r>
  <r>
    <x v="2927"/>
    <x v="0"/>
    <n v="33"/>
    <x v="3"/>
    <x v="5"/>
    <x v="1"/>
    <n v="5.5"/>
    <n v="4"/>
    <x v="1"/>
    <n v="3"/>
    <x v="0"/>
    <n v="78000"/>
    <n v="4900"/>
    <n v="82900"/>
    <s v="C"/>
    <d v="2020-07-04T00:00:00"/>
    <x v="1"/>
  </r>
  <r>
    <x v="2928"/>
    <x v="1"/>
    <n v="38"/>
    <x v="1"/>
    <x v="3"/>
    <x v="2"/>
    <n v="4.5999999999999996"/>
    <n v="2.9"/>
    <x v="1"/>
    <n v="3"/>
    <x v="0"/>
    <n v="82900"/>
    <n v="4700"/>
    <n v="87600"/>
    <s v="D"/>
    <d v="2021-05-24T00:00:00"/>
    <x v="2"/>
  </r>
  <r>
    <x v="2929"/>
    <x v="1"/>
    <n v="34"/>
    <x v="1"/>
    <x v="7"/>
    <x v="0"/>
    <n v="7"/>
    <n v="3.6"/>
    <x v="2"/>
    <n v="3"/>
    <x v="2"/>
    <n v="65600"/>
    <n v="5200"/>
    <n v="70800"/>
    <s v="C"/>
    <d v="2018-12-29T00:00:00"/>
    <x v="0"/>
  </r>
  <r>
    <x v="2930"/>
    <x v="1"/>
    <n v="42"/>
    <x v="2"/>
    <x v="4"/>
    <x v="2"/>
    <n v="11.3"/>
    <n v="6.7"/>
    <x v="4"/>
    <n v="4"/>
    <x v="0"/>
    <n v="89600"/>
    <n v="7500"/>
    <n v="97100"/>
    <s v="D"/>
    <d v="2014-09-18T00:00:00"/>
    <x v="2"/>
  </r>
  <r>
    <x v="2931"/>
    <x v="1"/>
    <n v="29"/>
    <x v="1"/>
    <x v="10"/>
    <x v="3"/>
    <n v="7.1"/>
    <n v="4.9000000000000004"/>
    <x v="2"/>
    <n v="2"/>
    <x v="0"/>
    <n v="103800"/>
    <n v="9200"/>
    <n v="113000"/>
    <s v="E"/>
    <d v="2018-12-11T00:00:00"/>
    <x v="3"/>
  </r>
  <r>
    <x v="2932"/>
    <x v="1"/>
    <n v="37"/>
    <x v="2"/>
    <x v="4"/>
    <x v="2"/>
    <n v="10.5"/>
    <n v="7"/>
    <x v="4"/>
    <n v="3"/>
    <x v="0"/>
    <n v="82700"/>
    <n v="7900"/>
    <n v="90600"/>
    <s v="D"/>
    <d v="2015-07-01T00:00:00"/>
    <x v="2"/>
  </r>
  <r>
    <x v="2933"/>
    <x v="0"/>
    <n v="32"/>
    <x v="5"/>
    <x v="15"/>
    <x v="2"/>
    <n v="9.1999999999999993"/>
    <n v="5.9"/>
    <x v="4"/>
    <n v="4"/>
    <x v="0"/>
    <n v="67500"/>
    <n v="7000"/>
    <n v="74500"/>
    <s v="C"/>
    <d v="2016-10-16T00:00:00"/>
    <x v="2"/>
  </r>
  <r>
    <x v="2934"/>
    <x v="1"/>
    <n v="23"/>
    <x v="2"/>
    <x v="4"/>
    <x v="0"/>
    <n v="10.1"/>
    <n v="8.6999999999999993"/>
    <x v="4"/>
    <n v="4"/>
    <x v="0"/>
    <n v="82100"/>
    <n v="3700"/>
    <n v="85800"/>
    <s v="D"/>
    <d v="2015-11-14T00:00:00"/>
    <x v="0"/>
  </r>
  <r>
    <x v="2935"/>
    <x v="1"/>
    <n v="27"/>
    <x v="5"/>
    <x v="15"/>
    <x v="1"/>
    <n v="6.1"/>
    <n v="4.3"/>
    <x v="2"/>
    <n v="2"/>
    <x v="0"/>
    <n v="68000"/>
    <n v="5700"/>
    <n v="73700"/>
    <s v="C"/>
    <d v="2019-12-13T00:00:00"/>
    <x v="1"/>
  </r>
  <r>
    <x v="2936"/>
    <x v="0"/>
    <n v="46"/>
    <x v="2"/>
    <x v="18"/>
    <x v="2"/>
    <n v="2"/>
    <n v="0.7"/>
    <x v="0"/>
    <n v="2"/>
    <x v="0"/>
    <n v="66900"/>
    <n v="5300"/>
    <n v="72200"/>
    <s v="C"/>
    <d v="2023-12-18T00:00:00"/>
    <x v="2"/>
  </r>
  <r>
    <x v="2937"/>
    <x v="1"/>
    <n v="25"/>
    <x v="0"/>
    <x v="2"/>
    <x v="1"/>
    <n v="9.9"/>
    <n v="6.8"/>
    <x v="4"/>
    <n v="2"/>
    <x v="1"/>
    <n v="39000"/>
    <n v="4400"/>
    <n v="43400"/>
    <s v="A"/>
    <d v="2016-01-25T00:00:00"/>
    <x v="1"/>
  </r>
  <r>
    <x v="2938"/>
    <x v="1"/>
    <n v="30"/>
    <x v="5"/>
    <x v="9"/>
    <x v="1"/>
    <n v="8.6"/>
    <n v="4.0999999999999996"/>
    <x v="2"/>
    <n v="4"/>
    <x v="0"/>
    <n v="103100"/>
    <n v="11600"/>
    <n v="114700"/>
    <s v="E"/>
    <d v="2017-06-05T00:00:00"/>
    <x v="1"/>
  </r>
  <r>
    <x v="2939"/>
    <x v="0"/>
    <n v="39"/>
    <x v="3"/>
    <x v="13"/>
    <x v="3"/>
    <n v="1.5"/>
    <n v="1.5"/>
    <x v="0"/>
    <n v="1"/>
    <x v="0"/>
    <n v="101000"/>
    <n v="4400"/>
    <n v="105400"/>
    <s v="E"/>
    <d v="2024-06-28T00:00:00"/>
    <x v="3"/>
  </r>
  <r>
    <x v="2940"/>
    <x v="1"/>
    <n v="27"/>
    <x v="3"/>
    <x v="13"/>
    <x v="1"/>
    <n v="9.1999999999999993"/>
    <n v="6.2"/>
    <x v="4"/>
    <n v="2"/>
    <x v="0"/>
    <n v="97500"/>
    <n v="5800"/>
    <n v="103300"/>
    <s v="D"/>
    <d v="2016-11-06T00:00:00"/>
    <x v="1"/>
  </r>
  <r>
    <x v="2941"/>
    <x v="1"/>
    <n v="28"/>
    <x v="4"/>
    <x v="8"/>
    <x v="0"/>
    <n v="13.1"/>
    <n v="8.6999999999999993"/>
    <x v="3"/>
    <n v="3"/>
    <x v="0"/>
    <n v="89900"/>
    <n v="4800"/>
    <n v="94700"/>
    <s v="D"/>
    <d v="2012-11-17T00:00:00"/>
    <x v="0"/>
  </r>
  <r>
    <x v="2942"/>
    <x v="0"/>
    <n v="36"/>
    <x v="2"/>
    <x v="11"/>
    <x v="1"/>
    <n v="2.2999999999999998"/>
    <n v="0.1"/>
    <x v="0"/>
    <n v="2"/>
    <x v="0"/>
    <n v="88500"/>
    <n v="9200"/>
    <n v="97700"/>
    <s v="D"/>
    <d v="2023-09-10T00:00:00"/>
    <x v="1"/>
  </r>
  <r>
    <x v="2943"/>
    <x v="0"/>
    <n v="32"/>
    <x v="1"/>
    <x v="3"/>
    <x v="1"/>
    <n v="4"/>
    <n v="4"/>
    <x v="1"/>
    <n v="4"/>
    <x v="0"/>
    <n v="75100"/>
    <n v="4400"/>
    <n v="79500"/>
    <s v="C"/>
    <d v="2022-01-06T00:00:00"/>
    <x v="1"/>
  </r>
  <r>
    <x v="2944"/>
    <x v="0"/>
    <n v="38"/>
    <x v="5"/>
    <x v="15"/>
    <x v="1"/>
    <n v="5.4"/>
    <n v="3"/>
    <x v="1"/>
    <n v="3"/>
    <x v="1"/>
    <n v="37300"/>
    <n v="4800"/>
    <n v="42100"/>
    <s v="A"/>
    <d v="2020-08-17T00:00:00"/>
    <x v="1"/>
  </r>
  <r>
    <x v="2945"/>
    <x v="1"/>
    <n v="40"/>
    <x v="0"/>
    <x v="2"/>
    <x v="2"/>
    <n v="12.9"/>
    <n v="9.1999999999999993"/>
    <x v="3"/>
    <n v="4"/>
    <x v="0"/>
    <n v="69500"/>
    <n v="6000"/>
    <n v="75500"/>
    <s v="C"/>
    <d v="2013-02-21T00:00:00"/>
    <x v="2"/>
  </r>
  <r>
    <x v="2946"/>
    <x v="1"/>
    <n v="28"/>
    <x v="2"/>
    <x v="11"/>
    <x v="1"/>
    <n v="5.4"/>
    <n v="3.3"/>
    <x v="1"/>
    <n v="3"/>
    <x v="0"/>
    <n v="103800"/>
    <n v="6100"/>
    <n v="109900"/>
    <s v="E"/>
    <d v="2020-07-26T00:00:00"/>
    <x v="1"/>
  </r>
  <r>
    <x v="2947"/>
    <x v="1"/>
    <n v="43"/>
    <x v="2"/>
    <x v="18"/>
    <x v="2"/>
    <n v="9.4"/>
    <n v="6.6"/>
    <x v="4"/>
    <n v="1"/>
    <x v="0"/>
    <n v="73800"/>
    <n v="3800"/>
    <n v="77600"/>
    <s v="C"/>
    <d v="2016-07-30T00:00:00"/>
    <x v="2"/>
  </r>
  <r>
    <x v="2948"/>
    <x v="1"/>
    <n v="33"/>
    <x v="4"/>
    <x v="6"/>
    <x v="2"/>
    <n v="12.6"/>
    <n v="6.9"/>
    <x v="3"/>
    <n v="3"/>
    <x v="1"/>
    <n v="52600"/>
    <n v="7200"/>
    <n v="59800"/>
    <s v="B"/>
    <d v="2013-05-14T00:00:00"/>
    <x v="2"/>
  </r>
  <r>
    <x v="2949"/>
    <x v="1"/>
    <n v="34"/>
    <x v="3"/>
    <x v="13"/>
    <x v="2"/>
    <n v="4.2"/>
    <n v="1.5"/>
    <x v="1"/>
    <n v="4"/>
    <x v="0"/>
    <n v="98200"/>
    <n v="3800"/>
    <n v="102000"/>
    <s v="D"/>
    <d v="2021-11-03T00:00:00"/>
    <x v="2"/>
  </r>
  <r>
    <x v="2950"/>
    <x v="0"/>
    <n v="31"/>
    <x v="0"/>
    <x v="0"/>
    <x v="2"/>
    <n v="12.6"/>
    <n v="7.9"/>
    <x v="3"/>
    <n v="5"/>
    <x v="0"/>
    <n v="109300"/>
    <n v="13600"/>
    <n v="122900"/>
    <s v="E"/>
    <d v="2013-05-11T00:00:00"/>
    <x v="2"/>
  </r>
  <r>
    <x v="2951"/>
    <x v="1"/>
    <n v="34"/>
    <x v="5"/>
    <x v="9"/>
    <x v="1"/>
    <n v="11.5"/>
    <n v="7.6"/>
    <x v="4"/>
    <n v="4"/>
    <x v="0"/>
    <n v="107500"/>
    <n v="20600"/>
    <n v="128100"/>
    <s v="E"/>
    <d v="2014-07-07T00:00:00"/>
    <x v="1"/>
  </r>
  <r>
    <x v="2952"/>
    <x v="0"/>
    <n v="42"/>
    <x v="4"/>
    <x v="8"/>
    <x v="1"/>
    <n v="7.8"/>
    <n v="4.7"/>
    <x v="2"/>
    <n v="4"/>
    <x v="0"/>
    <n v="80500"/>
    <n v="5300"/>
    <n v="85800"/>
    <s v="D"/>
    <d v="2018-03-25T00:00:00"/>
    <x v="1"/>
  </r>
  <r>
    <x v="2953"/>
    <x v="1"/>
    <n v="45"/>
    <x v="1"/>
    <x v="10"/>
    <x v="1"/>
    <n v="5.2"/>
    <n v="0.5"/>
    <x v="1"/>
    <n v="2"/>
    <x v="0"/>
    <n v="108100"/>
    <n v="12400"/>
    <n v="120500"/>
    <s v="E"/>
    <d v="2020-10-09T00:00:00"/>
    <x v="1"/>
  </r>
  <r>
    <x v="2954"/>
    <x v="1"/>
    <n v="36"/>
    <x v="0"/>
    <x v="2"/>
    <x v="1"/>
    <n v="3.8"/>
    <n v="3.8"/>
    <x v="1"/>
    <n v="3"/>
    <x v="2"/>
    <n v="55600"/>
    <n v="5600"/>
    <n v="61200"/>
    <s v="B"/>
    <d v="2022-03-27T00:00:00"/>
    <x v="1"/>
  </r>
  <r>
    <x v="2955"/>
    <x v="0"/>
    <n v="23"/>
    <x v="2"/>
    <x v="11"/>
    <x v="1"/>
    <n v="2.4"/>
    <n v="0.8"/>
    <x v="0"/>
    <n v="4"/>
    <x v="0"/>
    <n v="91200"/>
    <n v="9100"/>
    <n v="100300"/>
    <s v="D"/>
    <d v="2023-08-01T00:00:00"/>
    <x v="1"/>
  </r>
  <r>
    <x v="2956"/>
    <x v="1"/>
    <n v="23"/>
    <x v="0"/>
    <x v="0"/>
    <x v="1"/>
    <n v="11.5"/>
    <n v="7.4"/>
    <x v="4"/>
    <n v="3"/>
    <x v="2"/>
    <n v="88400"/>
    <n v="8800"/>
    <n v="97200"/>
    <s v="D"/>
    <d v="2014-06-23T00:00:00"/>
    <x v="1"/>
  </r>
  <r>
    <x v="2957"/>
    <x v="0"/>
    <n v="33"/>
    <x v="5"/>
    <x v="15"/>
    <x v="1"/>
    <n v="7.3"/>
    <n v="2.6"/>
    <x v="2"/>
    <n v="3"/>
    <x v="0"/>
    <n v="59900"/>
    <n v="4800"/>
    <n v="64700"/>
    <s v="B"/>
    <d v="2018-09-18T00:00:00"/>
    <x v="1"/>
  </r>
  <r>
    <x v="2958"/>
    <x v="1"/>
    <n v="21"/>
    <x v="2"/>
    <x v="18"/>
    <x v="1"/>
    <n v="11.7"/>
    <n v="7"/>
    <x v="4"/>
    <n v="4"/>
    <x v="0"/>
    <n v="75400"/>
    <n v="3700"/>
    <n v="79100"/>
    <s v="C"/>
    <d v="2014-04-07T00:00:00"/>
    <x v="1"/>
  </r>
  <r>
    <x v="2959"/>
    <x v="1"/>
    <n v="39"/>
    <x v="3"/>
    <x v="12"/>
    <x v="1"/>
    <n v="9.9"/>
    <n v="5.9"/>
    <x v="4"/>
    <n v="1"/>
    <x v="0"/>
    <n v="69400"/>
    <n v="5400"/>
    <n v="74800"/>
    <s v="C"/>
    <d v="2016-01-28T00:00:00"/>
    <x v="1"/>
  </r>
  <r>
    <x v="2960"/>
    <x v="0"/>
    <n v="40"/>
    <x v="3"/>
    <x v="5"/>
    <x v="1"/>
    <n v="12.1"/>
    <n v="9.6"/>
    <x v="3"/>
    <n v="3"/>
    <x v="0"/>
    <n v="78300"/>
    <n v="3000"/>
    <n v="81300"/>
    <s v="C"/>
    <d v="2013-11-17T00:00:00"/>
    <x v="1"/>
  </r>
  <r>
    <x v="2961"/>
    <x v="1"/>
    <n v="29"/>
    <x v="5"/>
    <x v="9"/>
    <x v="1"/>
    <n v="12.4"/>
    <n v="8.1999999999999993"/>
    <x v="3"/>
    <n v="3"/>
    <x v="0"/>
    <n v="102100"/>
    <n v="17000"/>
    <n v="119100"/>
    <s v="E"/>
    <d v="2013-08-15T00:00:00"/>
    <x v="1"/>
  </r>
  <r>
    <x v="2962"/>
    <x v="1"/>
    <n v="27"/>
    <x v="5"/>
    <x v="17"/>
    <x v="2"/>
    <n v="10.5"/>
    <n v="6.2"/>
    <x v="4"/>
    <n v="5"/>
    <x v="1"/>
    <n v="63900"/>
    <n v="11600"/>
    <n v="75500"/>
    <s v="B"/>
    <d v="2015-07-13T00:00:00"/>
    <x v="2"/>
  </r>
  <r>
    <x v="2963"/>
    <x v="1"/>
    <n v="43"/>
    <x v="0"/>
    <x v="2"/>
    <x v="0"/>
    <n v="13.1"/>
    <n v="6.3"/>
    <x v="3"/>
    <n v="3"/>
    <x v="0"/>
    <n v="65700"/>
    <n v="6700"/>
    <n v="72400"/>
    <s v="C"/>
    <d v="2012-12-09T00:00:00"/>
    <x v="0"/>
  </r>
  <r>
    <x v="2964"/>
    <x v="1"/>
    <n v="21"/>
    <x v="0"/>
    <x v="1"/>
    <x v="0"/>
    <n v="12.7"/>
    <n v="7.2"/>
    <x v="3"/>
    <n v="3"/>
    <x v="0"/>
    <n v="84200"/>
    <n v="5800"/>
    <n v="90000"/>
    <s v="D"/>
    <d v="2013-04-11T00:00:00"/>
    <x v="0"/>
  </r>
  <r>
    <x v="2965"/>
    <x v="0"/>
    <n v="30"/>
    <x v="5"/>
    <x v="9"/>
    <x v="1"/>
    <n v="12.8"/>
    <n v="9.9"/>
    <x v="3"/>
    <n v="3"/>
    <x v="0"/>
    <n v="112600"/>
    <n v="21700"/>
    <n v="134300"/>
    <s v="E"/>
    <d v="2013-03-10T00:00:00"/>
    <x v="1"/>
  </r>
  <r>
    <x v="2966"/>
    <x v="0"/>
    <n v="34"/>
    <x v="5"/>
    <x v="17"/>
    <x v="1"/>
    <n v="2.2999999999999998"/>
    <n v="2.1"/>
    <x v="0"/>
    <n v="4"/>
    <x v="0"/>
    <n v="103700"/>
    <n v="14500"/>
    <n v="118200"/>
    <s v="E"/>
    <d v="2023-09-10T00:00:00"/>
    <x v="1"/>
  </r>
  <r>
    <x v="2967"/>
    <x v="1"/>
    <n v="31"/>
    <x v="5"/>
    <x v="15"/>
    <x v="1"/>
    <n v="4.9000000000000004"/>
    <n v="1.5"/>
    <x v="1"/>
    <n v="3"/>
    <x v="0"/>
    <n v="63300"/>
    <n v="4600"/>
    <n v="67900"/>
    <s v="B"/>
    <d v="2021-02-01T00:00:00"/>
    <x v="1"/>
  </r>
  <r>
    <x v="2968"/>
    <x v="1"/>
    <n v="32"/>
    <x v="4"/>
    <x v="16"/>
    <x v="2"/>
    <n v="9.6"/>
    <n v="8.3000000000000007"/>
    <x v="4"/>
    <n v="3"/>
    <x v="0"/>
    <n v="106600"/>
    <n v="7000"/>
    <n v="113600"/>
    <s v="E"/>
    <d v="2016-06-07T00:00:00"/>
    <x v="2"/>
  </r>
  <r>
    <x v="2969"/>
    <x v="1"/>
    <n v="40"/>
    <x v="3"/>
    <x v="5"/>
    <x v="1"/>
    <n v="2.5"/>
    <n v="1.2"/>
    <x v="0"/>
    <n v="4"/>
    <x v="0"/>
    <n v="75300"/>
    <n v="6300"/>
    <n v="81600"/>
    <s v="C"/>
    <d v="2023-07-06T00:00:00"/>
    <x v="1"/>
  </r>
  <r>
    <x v="2970"/>
    <x v="0"/>
    <n v="42"/>
    <x v="1"/>
    <x v="3"/>
    <x v="1"/>
    <n v="11"/>
    <n v="10.1"/>
    <x v="4"/>
    <n v="3"/>
    <x v="0"/>
    <n v="79900"/>
    <n v="6000"/>
    <n v="85900"/>
    <s v="C"/>
    <d v="2014-12-30T00:00:00"/>
    <x v="1"/>
  </r>
  <r>
    <x v="2971"/>
    <x v="1"/>
    <n v="34"/>
    <x v="3"/>
    <x v="13"/>
    <x v="3"/>
    <n v="12"/>
    <n v="6.5"/>
    <x v="3"/>
    <n v="2"/>
    <x v="0"/>
    <n v="113800"/>
    <n v="5500"/>
    <n v="119300"/>
    <s v="E"/>
    <d v="2013-12-19T00:00:00"/>
    <x v="3"/>
  </r>
  <r>
    <x v="2972"/>
    <x v="1"/>
    <n v="36"/>
    <x v="3"/>
    <x v="13"/>
    <x v="1"/>
    <n v="1.9"/>
    <n v="0.4"/>
    <x v="0"/>
    <n v="5"/>
    <x v="0"/>
    <n v="95300"/>
    <n v="4500"/>
    <n v="99800"/>
    <s v="D"/>
    <d v="2024-02-25T00:00:00"/>
    <x v="1"/>
  </r>
  <r>
    <x v="2973"/>
    <x v="1"/>
    <n v="34"/>
    <x v="1"/>
    <x v="3"/>
    <x v="3"/>
    <n v="13.5"/>
    <n v="6.7"/>
    <x v="3"/>
    <n v="3"/>
    <x v="0"/>
    <n v="81500"/>
    <n v="8000"/>
    <n v="89500"/>
    <s v="D"/>
    <d v="2012-06-18T00:00:00"/>
    <x v="3"/>
  </r>
  <r>
    <x v="2974"/>
    <x v="0"/>
    <n v="39"/>
    <x v="3"/>
    <x v="5"/>
    <x v="3"/>
    <n v="2.2999999999999998"/>
    <n v="1.9"/>
    <x v="0"/>
    <n v="3"/>
    <x v="0"/>
    <n v="81400"/>
    <n v="6500"/>
    <n v="87900"/>
    <s v="D"/>
    <d v="2023-10-01T00:00:00"/>
    <x v="3"/>
  </r>
  <r>
    <x v="2975"/>
    <x v="0"/>
    <n v="24"/>
    <x v="2"/>
    <x v="4"/>
    <x v="1"/>
    <n v="1.2"/>
    <n v="1.2"/>
    <x v="0"/>
    <n v="5"/>
    <x v="0"/>
    <n v="78300"/>
    <n v="7800"/>
    <n v="86100"/>
    <s v="C"/>
    <d v="2024-11-06T00:00:00"/>
    <x v="1"/>
  </r>
  <r>
    <x v="2976"/>
    <x v="0"/>
    <n v="41"/>
    <x v="3"/>
    <x v="12"/>
    <x v="1"/>
    <n v="4"/>
    <n v="2.5"/>
    <x v="1"/>
    <n v="2"/>
    <x v="0"/>
    <n v="61900"/>
    <n v="5100"/>
    <n v="67000"/>
    <s v="B"/>
    <d v="2022-01-02T00:00:00"/>
    <x v="1"/>
  </r>
  <r>
    <x v="2977"/>
    <x v="1"/>
    <n v="46"/>
    <x v="1"/>
    <x v="3"/>
    <x v="0"/>
    <n v="11.9"/>
    <n v="7.6"/>
    <x v="4"/>
    <n v="3"/>
    <x v="0"/>
    <n v="80300"/>
    <n v="5000"/>
    <n v="85300"/>
    <s v="D"/>
    <d v="2014-02-23T00:00:00"/>
    <x v="0"/>
  </r>
  <r>
    <x v="2978"/>
    <x v="0"/>
    <n v="36"/>
    <x v="4"/>
    <x v="8"/>
    <x v="1"/>
    <n v="13.3"/>
    <n v="8.6999999999999993"/>
    <x v="3"/>
    <n v="2"/>
    <x v="0"/>
    <n v="88400"/>
    <n v="10000"/>
    <n v="98400"/>
    <s v="D"/>
    <d v="2012-09-10T00:00:00"/>
    <x v="1"/>
  </r>
  <r>
    <x v="2979"/>
    <x v="0"/>
    <n v="35"/>
    <x v="2"/>
    <x v="11"/>
    <x v="2"/>
    <n v="10.9"/>
    <n v="5.5"/>
    <x v="4"/>
    <n v="4"/>
    <x v="0"/>
    <n v="115200"/>
    <n v="8500"/>
    <n v="123700"/>
    <s v="E"/>
    <d v="2015-01-29T00:00:00"/>
    <x v="2"/>
  </r>
  <r>
    <x v="2980"/>
    <x v="0"/>
    <n v="43"/>
    <x v="0"/>
    <x v="1"/>
    <x v="2"/>
    <n v="9.5"/>
    <n v="4.5"/>
    <x v="4"/>
    <n v="3"/>
    <x v="1"/>
    <n v="48400"/>
    <n v="4800"/>
    <n v="53200"/>
    <s v="A"/>
    <d v="2016-07-07T00:00:00"/>
    <x v="2"/>
  </r>
  <r>
    <x v="2981"/>
    <x v="1"/>
    <n v="40"/>
    <x v="0"/>
    <x v="1"/>
    <x v="1"/>
    <n v="8.6999999999999993"/>
    <n v="6"/>
    <x v="2"/>
    <n v="3"/>
    <x v="0"/>
    <n v="76900"/>
    <n v="5100"/>
    <n v="82000"/>
    <s v="C"/>
    <d v="2017-04-24T00:00:00"/>
    <x v="1"/>
  </r>
  <r>
    <x v="2982"/>
    <x v="0"/>
    <n v="51"/>
    <x v="3"/>
    <x v="13"/>
    <x v="2"/>
    <n v="6.7"/>
    <n v="5.8"/>
    <x v="2"/>
    <n v="5"/>
    <x v="0"/>
    <n v="94000"/>
    <n v="5700"/>
    <n v="99700"/>
    <s v="D"/>
    <d v="2019-04-06T00:00:00"/>
    <x v="2"/>
  </r>
  <r>
    <x v="2983"/>
    <x v="1"/>
    <n v="24"/>
    <x v="3"/>
    <x v="12"/>
    <x v="1"/>
    <n v="2.9"/>
    <n v="1.6"/>
    <x v="0"/>
    <n v="3"/>
    <x v="0"/>
    <n v="71900"/>
    <n v="3400"/>
    <n v="75300"/>
    <s v="C"/>
    <d v="2023-01-27T00:00:00"/>
    <x v="1"/>
  </r>
  <r>
    <x v="2984"/>
    <x v="0"/>
    <n v="29"/>
    <x v="1"/>
    <x v="3"/>
    <x v="1"/>
    <n v="10.7"/>
    <n v="8.4"/>
    <x v="4"/>
    <n v="5"/>
    <x v="2"/>
    <n v="78700"/>
    <n v="5000"/>
    <n v="83700"/>
    <s v="C"/>
    <d v="2015-04-30T00:00:00"/>
    <x v="1"/>
  </r>
  <r>
    <x v="2985"/>
    <x v="0"/>
    <n v="33"/>
    <x v="3"/>
    <x v="13"/>
    <x v="1"/>
    <n v="10"/>
    <n v="5.6"/>
    <x v="4"/>
    <n v="3"/>
    <x v="1"/>
    <n v="61000"/>
    <n v="4100"/>
    <n v="65100"/>
    <s v="B"/>
    <d v="2015-12-30T00:00:00"/>
    <x v="1"/>
  </r>
  <r>
    <x v="2986"/>
    <x v="1"/>
    <n v="27"/>
    <x v="5"/>
    <x v="9"/>
    <x v="2"/>
    <n v="4.8"/>
    <n v="3.6"/>
    <x v="1"/>
    <n v="4"/>
    <x v="0"/>
    <n v="91100"/>
    <n v="8500"/>
    <n v="99600"/>
    <s v="D"/>
    <d v="2021-03-20T00:00:00"/>
    <x v="2"/>
  </r>
  <r>
    <x v="2987"/>
    <x v="0"/>
    <n v="23"/>
    <x v="3"/>
    <x v="5"/>
    <x v="2"/>
    <n v="10.4"/>
    <n v="4.4000000000000004"/>
    <x v="4"/>
    <n v="4"/>
    <x v="0"/>
    <n v="96800"/>
    <n v="8100"/>
    <n v="104900"/>
    <s v="D"/>
    <d v="2015-07-27T00:00:00"/>
    <x v="2"/>
  </r>
  <r>
    <x v="2988"/>
    <x v="0"/>
    <n v="50"/>
    <x v="0"/>
    <x v="1"/>
    <x v="2"/>
    <n v="3"/>
    <n v="2.2999999999999998"/>
    <x v="1"/>
    <n v="3"/>
    <x v="0"/>
    <n v="70800"/>
    <n v="4500"/>
    <n v="75300"/>
    <s v="C"/>
    <d v="2023-01-19T00:00:00"/>
    <x v="2"/>
  </r>
  <r>
    <x v="2989"/>
    <x v="1"/>
    <n v="44"/>
    <x v="0"/>
    <x v="0"/>
    <x v="1"/>
    <n v="8.9"/>
    <n v="6.3"/>
    <x v="2"/>
    <n v="3"/>
    <x v="0"/>
    <n v="118100"/>
    <n v="7300"/>
    <n v="125400"/>
    <s v="E"/>
    <d v="2017-02-23T00:00:00"/>
    <x v="1"/>
  </r>
  <r>
    <x v="2990"/>
    <x v="0"/>
    <n v="38"/>
    <x v="5"/>
    <x v="9"/>
    <x v="2"/>
    <n v="8.3000000000000007"/>
    <n v="3.2"/>
    <x v="2"/>
    <n v="3"/>
    <x v="0"/>
    <n v="103400"/>
    <n v="13000"/>
    <n v="116400"/>
    <s v="E"/>
    <d v="2017-09-13T00:00:00"/>
    <x v="2"/>
  </r>
  <r>
    <x v="2991"/>
    <x v="1"/>
    <n v="42"/>
    <x v="3"/>
    <x v="12"/>
    <x v="1"/>
    <n v="2.5"/>
    <n v="0.2"/>
    <x v="0"/>
    <n v="4"/>
    <x v="0"/>
    <n v="67700"/>
    <n v="3000"/>
    <n v="70700"/>
    <s v="C"/>
    <d v="2023-06-26T00:00:00"/>
    <x v="1"/>
  </r>
  <r>
    <x v="2992"/>
    <x v="0"/>
    <n v="31"/>
    <x v="2"/>
    <x v="18"/>
    <x v="2"/>
    <n v="5.3"/>
    <n v="4.8"/>
    <x v="1"/>
    <n v="3"/>
    <x v="0"/>
    <n v="66100"/>
    <n v="3700"/>
    <n v="69800"/>
    <s v="C"/>
    <d v="2020-09-02T00:00:00"/>
    <x v="2"/>
  </r>
  <r>
    <x v="2993"/>
    <x v="0"/>
    <n v="35"/>
    <x v="1"/>
    <x v="10"/>
    <x v="1"/>
    <n v="13.4"/>
    <n v="8.5"/>
    <x v="3"/>
    <n v="4"/>
    <x v="0"/>
    <n v="114900"/>
    <n v="8400"/>
    <n v="123300"/>
    <s v="E"/>
    <d v="2012-08-17T00:00:00"/>
    <x v="1"/>
  </r>
  <r>
    <x v="2994"/>
    <x v="0"/>
    <n v="34"/>
    <x v="3"/>
    <x v="13"/>
    <x v="2"/>
    <n v="3"/>
    <n v="2.5"/>
    <x v="1"/>
    <n v="2"/>
    <x v="0"/>
    <n v="102900"/>
    <n v="8200"/>
    <n v="111100"/>
    <s v="E"/>
    <d v="2022-12-26T00:00:00"/>
    <x v="2"/>
  </r>
  <r>
    <x v="2995"/>
    <x v="1"/>
    <n v="29"/>
    <x v="4"/>
    <x v="14"/>
    <x v="2"/>
    <n v="5.0999999999999996"/>
    <n v="0.9"/>
    <x v="1"/>
    <n v="3"/>
    <x v="0"/>
    <n v="102900"/>
    <n v="8200"/>
    <n v="111100"/>
    <s v="E"/>
    <d v="2020-11-11T00:00:00"/>
    <x v="2"/>
  </r>
  <r>
    <x v="2996"/>
    <x v="0"/>
    <n v="36"/>
    <x v="5"/>
    <x v="15"/>
    <x v="2"/>
    <n v="3.8"/>
    <n v="2.8"/>
    <x v="1"/>
    <n v="4"/>
    <x v="0"/>
    <n v="61000"/>
    <n v="7400"/>
    <n v="68400"/>
    <s v="B"/>
    <d v="2022-03-29T00:00:00"/>
    <x v="2"/>
  </r>
  <r>
    <x v="2997"/>
    <x v="0"/>
    <n v="23"/>
    <x v="3"/>
    <x v="12"/>
    <x v="4"/>
    <n v="6.9"/>
    <n v="3.9"/>
    <x v="2"/>
    <n v="3"/>
    <x v="1"/>
    <n v="38700"/>
    <n v="2400"/>
    <n v="41100"/>
    <s v="A"/>
    <d v="2019-02-08T00:00:00"/>
    <x v="4"/>
  </r>
  <r>
    <x v="2998"/>
    <x v="1"/>
    <n v="35"/>
    <x v="3"/>
    <x v="12"/>
    <x v="1"/>
    <n v="9.1999999999999993"/>
    <n v="5.7"/>
    <x v="4"/>
    <n v="4"/>
    <x v="0"/>
    <n v="76700"/>
    <n v="4000"/>
    <n v="80700"/>
    <s v="C"/>
    <d v="2016-10-16T00:00:00"/>
    <x v="1"/>
  </r>
  <r>
    <x v="2999"/>
    <x v="0"/>
    <n v="27"/>
    <x v="4"/>
    <x v="14"/>
    <x v="1"/>
    <n v="13.2"/>
    <n v="7.4"/>
    <x v="3"/>
    <n v="4"/>
    <x v="0"/>
    <n v="118500"/>
    <n v="11300"/>
    <n v="129800"/>
    <s v="E"/>
    <d v="2012-10-23T00:00:00"/>
    <x v="1"/>
  </r>
  <r>
    <x v="3000"/>
    <x v="0"/>
    <n v="31"/>
    <x v="2"/>
    <x v="4"/>
    <x v="2"/>
    <n v="11.5"/>
    <n v="6.5"/>
    <x v="4"/>
    <n v="3"/>
    <x v="0"/>
    <n v="95900"/>
    <n v="8100"/>
    <n v="104000"/>
    <s v="D"/>
    <d v="2014-06-16T00:00:00"/>
    <x v="2"/>
  </r>
  <r>
    <x v="3001"/>
    <x v="0"/>
    <n v="21"/>
    <x v="0"/>
    <x v="0"/>
    <x v="1"/>
    <n v="2.9"/>
    <n v="2.1"/>
    <x v="0"/>
    <n v="2"/>
    <x v="0"/>
    <n v="91000"/>
    <n v="10300"/>
    <n v="101300"/>
    <s v="D"/>
    <d v="2023-01-23T00:00:00"/>
    <x v="1"/>
  </r>
  <r>
    <x v="3002"/>
    <x v="1"/>
    <n v="21"/>
    <x v="3"/>
    <x v="5"/>
    <x v="1"/>
    <n v="8.6999999999999993"/>
    <n v="7"/>
    <x v="2"/>
    <n v="3"/>
    <x v="0"/>
    <n v="75600"/>
    <n v="2700"/>
    <n v="78300"/>
    <s v="C"/>
    <d v="2017-04-28T00:00:00"/>
    <x v="1"/>
  </r>
  <r>
    <x v="3003"/>
    <x v="0"/>
    <n v="37"/>
    <x v="1"/>
    <x v="7"/>
    <x v="0"/>
    <n v="2.2999999999999998"/>
    <n v="1"/>
    <x v="0"/>
    <n v="5"/>
    <x v="0"/>
    <n v="66800"/>
    <n v="5200"/>
    <n v="72000"/>
    <s v="C"/>
    <d v="2023-09-28T00:00:00"/>
    <x v="0"/>
  </r>
  <r>
    <x v="3004"/>
    <x v="1"/>
    <n v="33"/>
    <x v="0"/>
    <x v="0"/>
    <x v="2"/>
    <n v="6.8"/>
    <n v="2.9"/>
    <x v="2"/>
    <n v="4"/>
    <x v="0"/>
    <n v="118900"/>
    <n v="8100"/>
    <n v="127000"/>
    <s v="E"/>
    <d v="2019-03-25T00:00:00"/>
    <x v="2"/>
  </r>
  <r>
    <x v="3005"/>
    <x v="1"/>
    <n v="52"/>
    <x v="5"/>
    <x v="17"/>
    <x v="1"/>
    <n v="11.3"/>
    <n v="7.7"/>
    <x v="4"/>
    <n v="4"/>
    <x v="0"/>
    <n v="101900"/>
    <n v="18300"/>
    <n v="120200"/>
    <s v="E"/>
    <d v="2014-09-03T00:00:00"/>
    <x v="1"/>
  </r>
  <r>
    <x v="3006"/>
    <x v="0"/>
    <n v="45"/>
    <x v="4"/>
    <x v="14"/>
    <x v="1"/>
    <n v="7"/>
    <n v="3.8"/>
    <x v="2"/>
    <n v="4"/>
    <x v="0"/>
    <n v="122900"/>
    <n v="9600"/>
    <n v="132500"/>
    <s v="E"/>
    <d v="2019-01-13T00:00:00"/>
    <x v="1"/>
  </r>
  <r>
    <x v="3007"/>
    <x v="1"/>
    <n v="38"/>
    <x v="2"/>
    <x v="18"/>
    <x v="3"/>
    <n v="1.7"/>
    <n v="1.6"/>
    <x v="0"/>
    <n v="5"/>
    <x v="0"/>
    <n v="71400"/>
    <n v="4000"/>
    <n v="75400"/>
    <s v="C"/>
    <d v="2024-04-12T00:00:00"/>
    <x v="3"/>
  </r>
  <r>
    <x v="3008"/>
    <x v="1"/>
    <n v="48"/>
    <x v="2"/>
    <x v="18"/>
    <x v="2"/>
    <n v="12.7"/>
    <n v="6.4"/>
    <x v="3"/>
    <n v="3"/>
    <x v="0"/>
    <n v="84300"/>
    <n v="7400"/>
    <n v="91700"/>
    <s v="D"/>
    <d v="2013-04-05T00:00:00"/>
    <x v="2"/>
  </r>
  <r>
    <x v="3009"/>
    <x v="0"/>
    <n v="33"/>
    <x v="1"/>
    <x v="10"/>
    <x v="0"/>
    <n v="3.3"/>
    <n v="2.6"/>
    <x v="1"/>
    <n v="2"/>
    <x v="0"/>
    <n v="108000"/>
    <n v="9900"/>
    <n v="117900"/>
    <s v="E"/>
    <d v="2022-09-16T00:00:00"/>
    <x v="0"/>
  </r>
  <r>
    <x v="3010"/>
    <x v="0"/>
    <n v="28"/>
    <x v="3"/>
    <x v="5"/>
    <x v="1"/>
    <n v="13.4"/>
    <n v="9.3000000000000007"/>
    <x v="3"/>
    <n v="3"/>
    <x v="1"/>
    <n v="54100"/>
    <n v="2200"/>
    <n v="56300"/>
    <s v="B"/>
    <d v="2012-07-29T00:00:00"/>
    <x v="1"/>
  </r>
  <r>
    <x v="3011"/>
    <x v="0"/>
    <n v="33"/>
    <x v="1"/>
    <x v="7"/>
    <x v="3"/>
    <n v="3.8"/>
    <n v="2.5"/>
    <x v="1"/>
    <n v="3"/>
    <x v="0"/>
    <n v="88700"/>
    <n v="5700"/>
    <n v="94400"/>
    <s v="D"/>
    <d v="2022-03-13T00:00:00"/>
    <x v="3"/>
  </r>
  <r>
    <x v="3012"/>
    <x v="0"/>
    <n v="35"/>
    <x v="4"/>
    <x v="16"/>
    <x v="2"/>
    <n v="1.9"/>
    <n v="0.4"/>
    <x v="0"/>
    <n v="4"/>
    <x v="1"/>
    <n v="54500"/>
    <n v="2900"/>
    <n v="57400"/>
    <s v="B"/>
    <d v="2024-02-03T00:00:00"/>
    <x v="2"/>
  </r>
  <r>
    <x v="3013"/>
    <x v="0"/>
    <n v="28"/>
    <x v="3"/>
    <x v="12"/>
    <x v="2"/>
    <n v="7.5"/>
    <n v="6.7"/>
    <x v="2"/>
    <n v="2"/>
    <x v="2"/>
    <n v="64500"/>
    <n v="3700"/>
    <n v="68200"/>
    <s v="B"/>
    <d v="2018-07-02T00:00:00"/>
    <x v="2"/>
  </r>
  <r>
    <x v="3014"/>
    <x v="1"/>
    <n v="45"/>
    <x v="3"/>
    <x v="13"/>
    <x v="1"/>
    <n v="13.2"/>
    <n v="9.6999999999999993"/>
    <x v="3"/>
    <n v="3"/>
    <x v="0"/>
    <n v="102500"/>
    <n v="7400"/>
    <n v="109900"/>
    <s v="E"/>
    <d v="2012-10-03T00:00:00"/>
    <x v="1"/>
  </r>
  <r>
    <x v="3015"/>
    <x v="0"/>
    <n v="37"/>
    <x v="4"/>
    <x v="8"/>
    <x v="1"/>
    <n v="10.3"/>
    <n v="7.7"/>
    <x v="4"/>
    <n v="3"/>
    <x v="0"/>
    <n v="88300"/>
    <n v="10900"/>
    <n v="99200"/>
    <s v="D"/>
    <d v="2015-08-29T00:00:00"/>
    <x v="1"/>
  </r>
  <r>
    <x v="3016"/>
    <x v="0"/>
    <n v="36"/>
    <x v="3"/>
    <x v="5"/>
    <x v="3"/>
    <n v="3.1"/>
    <n v="3.1"/>
    <x v="1"/>
    <n v="4"/>
    <x v="1"/>
    <n v="46800"/>
    <n v="2500"/>
    <n v="49300"/>
    <s v="A"/>
    <d v="2022-11-14T00:00:00"/>
    <x v="3"/>
  </r>
  <r>
    <x v="3017"/>
    <x v="1"/>
    <n v="39"/>
    <x v="4"/>
    <x v="8"/>
    <x v="1"/>
    <n v="2.6"/>
    <n v="2.6"/>
    <x v="0"/>
    <n v="2"/>
    <x v="0"/>
    <n v="76800"/>
    <n v="10900"/>
    <n v="87700"/>
    <s v="C"/>
    <d v="2023-05-31T00:00:00"/>
    <x v="1"/>
  </r>
  <r>
    <x v="3018"/>
    <x v="0"/>
    <n v="39"/>
    <x v="0"/>
    <x v="0"/>
    <x v="1"/>
    <n v="11.8"/>
    <n v="7.3"/>
    <x v="4"/>
    <n v="3"/>
    <x v="0"/>
    <n v="105800"/>
    <n v="10400"/>
    <n v="116200"/>
    <s v="E"/>
    <d v="2014-03-15T00:00:00"/>
    <x v="1"/>
  </r>
  <r>
    <x v="3019"/>
    <x v="1"/>
    <n v="51"/>
    <x v="0"/>
    <x v="2"/>
    <x v="0"/>
    <n v="10.199999999999999"/>
    <n v="7.7"/>
    <x v="4"/>
    <n v="5"/>
    <x v="2"/>
    <n v="54600"/>
    <n v="6600"/>
    <n v="61200"/>
    <s v="B"/>
    <d v="2015-10-03T00:00:00"/>
    <x v="0"/>
  </r>
  <r>
    <x v="3020"/>
    <x v="1"/>
    <n v="32"/>
    <x v="2"/>
    <x v="18"/>
    <x v="1"/>
    <n v="1.9"/>
    <n v="0.9"/>
    <x v="0"/>
    <n v="4"/>
    <x v="0"/>
    <n v="55100"/>
    <n v="2800"/>
    <n v="57900"/>
    <s v="B"/>
    <d v="2024-01-21T00:00:00"/>
    <x v="1"/>
  </r>
  <r>
    <x v="3021"/>
    <x v="1"/>
    <n v="35"/>
    <x v="4"/>
    <x v="16"/>
    <x v="2"/>
    <n v="7.9"/>
    <n v="5"/>
    <x v="2"/>
    <n v="3"/>
    <x v="0"/>
    <n v="105600"/>
    <n v="6700"/>
    <n v="112300"/>
    <s v="E"/>
    <d v="2018-02-01T00:00:00"/>
    <x v="2"/>
  </r>
  <r>
    <x v="3022"/>
    <x v="0"/>
    <n v="43"/>
    <x v="0"/>
    <x v="0"/>
    <x v="2"/>
    <n v="5.9"/>
    <n v="3.4"/>
    <x v="1"/>
    <n v="4"/>
    <x v="0"/>
    <n v="90100"/>
    <n v="7800"/>
    <n v="97900"/>
    <s v="D"/>
    <d v="2020-02-23T00:00:00"/>
    <x v="2"/>
  </r>
  <r>
    <x v="3023"/>
    <x v="0"/>
    <n v="27"/>
    <x v="3"/>
    <x v="13"/>
    <x v="2"/>
    <n v="8.5"/>
    <n v="7.8"/>
    <x v="2"/>
    <n v="3"/>
    <x v="0"/>
    <n v="109900"/>
    <n v="3700"/>
    <n v="113600"/>
    <s v="E"/>
    <d v="2017-07-14T00:00:00"/>
    <x v="2"/>
  </r>
  <r>
    <x v="3024"/>
    <x v="0"/>
    <n v="28"/>
    <x v="2"/>
    <x v="4"/>
    <x v="2"/>
    <n v="3.9"/>
    <n v="2"/>
    <x v="1"/>
    <n v="3"/>
    <x v="0"/>
    <n v="72000"/>
    <n v="5300"/>
    <n v="77300"/>
    <s v="C"/>
    <d v="2022-01-21T00:00:00"/>
    <x v="2"/>
  </r>
  <r>
    <x v="3025"/>
    <x v="1"/>
    <n v="40"/>
    <x v="5"/>
    <x v="17"/>
    <x v="1"/>
    <n v="13.8"/>
    <n v="9.5"/>
    <x v="3"/>
    <n v="3"/>
    <x v="1"/>
    <n v="69400"/>
    <n v="8300"/>
    <n v="77700"/>
    <s v="C"/>
    <d v="2012-03-12T00:00:00"/>
    <x v="1"/>
  </r>
  <r>
    <x v="3026"/>
    <x v="0"/>
    <n v="33"/>
    <x v="4"/>
    <x v="8"/>
    <x v="3"/>
    <n v="8"/>
    <n v="4.7"/>
    <x v="2"/>
    <n v="3"/>
    <x v="0"/>
    <n v="100500"/>
    <n v="7200"/>
    <n v="107700"/>
    <s v="E"/>
    <d v="2017-12-23T00:00:00"/>
    <x v="3"/>
  </r>
  <r>
    <x v="3027"/>
    <x v="1"/>
    <n v="33"/>
    <x v="2"/>
    <x v="4"/>
    <x v="2"/>
    <n v="8.6999999999999993"/>
    <n v="5.6"/>
    <x v="2"/>
    <n v="3"/>
    <x v="0"/>
    <n v="83400"/>
    <n v="7500"/>
    <n v="90900"/>
    <s v="D"/>
    <d v="2017-04-24T00:00:00"/>
    <x v="2"/>
  </r>
  <r>
    <x v="3028"/>
    <x v="1"/>
    <n v="43"/>
    <x v="3"/>
    <x v="5"/>
    <x v="0"/>
    <n v="11.6"/>
    <n v="6.2"/>
    <x v="4"/>
    <n v="2"/>
    <x v="0"/>
    <n v="71100"/>
    <n v="2900"/>
    <n v="74000"/>
    <s v="C"/>
    <d v="2014-05-24T00:00:00"/>
    <x v="0"/>
  </r>
  <r>
    <x v="3029"/>
    <x v="1"/>
    <n v="38"/>
    <x v="0"/>
    <x v="0"/>
    <x v="1"/>
    <n v="13.2"/>
    <n v="8.3000000000000007"/>
    <x v="3"/>
    <n v="4"/>
    <x v="0"/>
    <n v="125100"/>
    <n v="7400"/>
    <n v="132500"/>
    <s v="E"/>
    <d v="2012-10-14T00:00:00"/>
    <x v="1"/>
  </r>
  <r>
    <x v="3030"/>
    <x v="0"/>
    <n v="34"/>
    <x v="1"/>
    <x v="10"/>
    <x v="2"/>
    <n v="12.6"/>
    <n v="9"/>
    <x v="3"/>
    <n v="3"/>
    <x v="0"/>
    <n v="131600"/>
    <n v="14500"/>
    <n v="146100"/>
    <s v="E"/>
    <d v="2013-05-16T00:00:00"/>
    <x v="2"/>
  </r>
  <r>
    <x v="3031"/>
    <x v="1"/>
    <n v="21"/>
    <x v="0"/>
    <x v="2"/>
    <x v="2"/>
    <n v="8.9"/>
    <n v="6.4"/>
    <x v="2"/>
    <n v="5"/>
    <x v="0"/>
    <n v="64800"/>
    <n v="3700"/>
    <n v="68500"/>
    <s v="B"/>
    <d v="2017-02-15T00:00:00"/>
    <x v="2"/>
  </r>
  <r>
    <x v="3032"/>
    <x v="0"/>
    <n v="36"/>
    <x v="2"/>
    <x v="11"/>
    <x v="1"/>
    <n v="6.3"/>
    <n v="6.1"/>
    <x v="2"/>
    <n v="2"/>
    <x v="2"/>
    <n v="83400"/>
    <n v="4300"/>
    <n v="87700"/>
    <s v="D"/>
    <d v="2019-09-10T00:00:00"/>
    <x v="1"/>
  </r>
  <r>
    <x v="3033"/>
    <x v="0"/>
    <n v="48"/>
    <x v="0"/>
    <x v="1"/>
    <x v="1"/>
    <n v="8.8000000000000007"/>
    <n v="7.8"/>
    <x v="2"/>
    <n v="5"/>
    <x v="0"/>
    <n v="96100"/>
    <n v="5400"/>
    <n v="101500"/>
    <s v="D"/>
    <d v="2017-03-29T00:00:00"/>
    <x v="1"/>
  </r>
  <r>
    <x v="3034"/>
    <x v="0"/>
    <n v="30"/>
    <x v="4"/>
    <x v="16"/>
    <x v="1"/>
    <n v="6.4"/>
    <n v="3.3"/>
    <x v="2"/>
    <n v="4"/>
    <x v="0"/>
    <n v="106800"/>
    <n v="10400"/>
    <n v="117200"/>
    <s v="E"/>
    <d v="2019-07-31T00:00:00"/>
    <x v="1"/>
  </r>
  <r>
    <x v="3035"/>
    <x v="0"/>
    <n v="41"/>
    <x v="2"/>
    <x v="4"/>
    <x v="0"/>
    <n v="2.2999999999999998"/>
    <n v="0"/>
    <x v="0"/>
    <n v="3"/>
    <x v="0"/>
    <n v="67100"/>
    <n v="7000"/>
    <n v="74100"/>
    <s v="C"/>
    <d v="2023-09-30T00:00:00"/>
    <x v="0"/>
  </r>
  <r>
    <x v="3036"/>
    <x v="1"/>
    <n v="32"/>
    <x v="5"/>
    <x v="15"/>
    <x v="2"/>
    <n v="12.5"/>
    <n v="7.3"/>
    <x v="3"/>
    <n v="1"/>
    <x v="0"/>
    <n v="68500"/>
    <n v="12400"/>
    <n v="80900"/>
    <s v="C"/>
    <d v="2013-07-06T00:00:00"/>
    <x v="2"/>
  </r>
  <r>
    <x v="3037"/>
    <x v="0"/>
    <n v="33"/>
    <x v="0"/>
    <x v="2"/>
    <x v="0"/>
    <n v="8.1999999999999993"/>
    <n v="7"/>
    <x v="2"/>
    <n v="5"/>
    <x v="0"/>
    <n v="56900"/>
    <n v="2600"/>
    <n v="59500"/>
    <s v="B"/>
    <d v="2017-10-19T00:00:00"/>
    <x v="0"/>
  </r>
  <r>
    <x v="3038"/>
    <x v="1"/>
    <n v="30"/>
    <x v="5"/>
    <x v="17"/>
    <x v="1"/>
    <n v="8.5"/>
    <n v="4.5"/>
    <x v="2"/>
    <n v="5"/>
    <x v="0"/>
    <n v="102300"/>
    <n v="17900"/>
    <n v="120200"/>
    <s v="E"/>
    <d v="2017-06-27T00:00:00"/>
    <x v="1"/>
  </r>
  <r>
    <x v="3039"/>
    <x v="0"/>
    <n v="35"/>
    <x v="2"/>
    <x v="11"/>
    <x v="2"/>
    <n v="13.1"/>
    <n v="8.1"/>
    <x v="3"/>
    <n v="5"/>
    <x v="0"/>
    <n v="102300"/>
    <n v="9900"/>
    <n v="112200"/>
    <s v="E"/>
    <d v="2012-11-07T00:00:00"/>
    <x v="2"/>
  </r>
  <r>
    <x v="3040"/>
    <x v="1"/>
    <n v="43"/>
    <x v="0"/>
    <x v="2"/>
    <x v="1"/>
    <n v="11.3"/>
    <n v="5.6"/>
    <x v="4"/>
    <n v="3"/>
    <x v="0"/>
    <n v="74700"/>
    <n v="7900"/>
    <n v="82600"/>
    <s v="C"/>
    <d v="2014-08-31T00:00:00"/>
    <x v="1"/>
  </r>
  <r>
    <x v="3041"/>
    <x v="0"/>
    <n v="35"/>
    <x v="3"/>
    <x v="5"/>
    <x v="1"/>
    <n v="7.1"/>
    <n v="2.6"/>
    <x v="2"/>
    <n v="3"/>
    <x v="2"/>
    <n v="69600"/>
    <n v="2400"/>
    <n v="72000"/>
    <s v="C"/>
    <d v="2018-12-13T00:00:00"/>
    <x v="1"/>
  </r>
  <r>
    <x v="3042"/>
    <x v="1"/>
    <n v="24"/>
    <x v="1"/>
    <x v="3"/>
    <x v="1"/>
    <n v="4.4000000000000004"/>
    <n v="1.1000000000000001"/>
    <x v="1"/>
    <n v="2"/>
    <x v="0"/>
    <n v="74300"/>
    <n v="5700"/>
    <n v="80000"/>
    <s v="C"/>
    <d v="2021-07-23T00:00:00"/>
    <x v="1"/>
  </r>
  <r>
    <x v="3043"/>
    <x v="0"/>
    <n v="23"/>
    <x v="1"/>
    <x v="3"/>
    <x v="0"/>
    <n v="9.1999999999999993"/>
    <n v="5.4"/>
    <x v="4"/>
    <n v="3"/>
    <x v="0"/>
    <n v="80400"/>
    <n v="5500"/>
    <n v="85900"/>
    <s v="D"/>
    <d v="2016-10-07T00:00:00"/>
    <x v="0"/>
  </r>
  <r>
    <x v="3044"/>
    <x v="0"/>
    <n v="44"/>
    <x v="4"/>
    <x v="16"/>
    <x v="1"/>
    <n v="7.3"/>
    <n v="3.2"/>
    <x v="2"/>
    <n v="3"/>
    <x v="0"/>
    <n v="87100"/>
    <n v="6600"/>
    <n v="93700"/>
    <s v="D"/>
    <d v="2018-09-26T00:00:00"/>
    <x v="1"/>
  </r>
  <r>
    <x v="3045"/>
    <x v="0"/>
    <n v="35"/>
    <x v="4"/>
    <x v="14"/>
    <x v="2"/>
    <n v="6.2"/>
    <n v="2.8"/>
    <x v="2"/>
    <n v="4"/>
    <x v="0"/>
    <n v="120200"/>
    <n v="11200"/>
    <n v="131400"/>
    <s v="E"/>
    <d v="2019-10-05T00:00:00"/>
    <x v="2"/>
  </r>
  <r>
    <x v="3046"/>
    <x v="1"/>
    <n v="29"/>
    <x v="5"/>
    <x v="9"/>
    <x v="2"/>
    <n v="8.6999999999999993"/>
    <n v="5.6"/>
    <x v="2"/>
    <n v="5"/>
    <x v="0"/>
    <n v="114500"/>
    <n v="23300"/>
    <n v="137800"/>
    <s v="E"/>
    <d v="2017-05-07T00:00:00"/>
    <x v="2"/>
  </r>
  <r>
    <x v="3047"/>
    <x v="1"/>
    <n v="33"/>
    <x v="1"/>
    <x v="3"/>
    <x v="1"/>
    <n v="9.5"/>
    <n v="4.7"/>
    <x v="4"/>
    <n v="3"/>
    <x v="0"/>
    <n v="82100"/>
    <n v="9300"/>
    <n v="91400"/>
    <s v="D"/>
    <d v="2016-07-05T00:00:00"/>
    <x v="1"/>
  </r>
  <r>
    <x v="3048"/>
    <x v="1"/>
    <n v="35"/>
    <x v="5"/>
    <x v="9"/>
    <x v="0"/>
    <n v="11"/>
    <n v="7"/>
    <x v="4"/>
    <n v="4"/>
    <x v="1"/>
    <n v="66200"/>
    <n v="5400"/>
    <n v="71600"/>
    <s v="C"/>
    <d v="2014-12-15T00:00:00"/>
    <x v="0"/>
  </r>
  <r>
    <x v="3049"/>
    <x v="1"/>
    <n v="41"/>
    <x v="0"/>
    <x v="2"/>
    <x v="1"/>
    <n v="2.8"/>
    <n v="2.8"/>
    <x v="0"/>
    <n v="3"/>
    <x v="0"/>
    <n v="60300"/>
    <n v="5900"/>
    <n v="66200"/>
    <s v="B"/>
    <d v="2023-03-24T00:00:00"/>
    <x v="1"/>
  </r>
  <r>
    <x v="3050"/>
    <x v="1"/>
    <n v="31"/>
    <x v="4"/>
    <x v="14"/>
    <x v="1"/>
    <n v="9"/>
    <n v="4.5"/>
    <x v="4"/>
    <n v="3"/>
    <x v="1"/>
    <n v="64400"/>
    <n v="6900"/>
    <n v="71300"/>
    <s v="B"/>
    <d v="2016-12-30T00:00:00"/>
    <x v="1"/>
  </r>
  <r>
    <x v="3051"/>
    <x v="1"/>
    <n v="35"/>
    <x v="1"/>
    <x v="7"/>
    <x v="2"/>
    <n v="1.5"/>
    <n v="0.9"/>
    <x v="0"/>
    <n v="5"/>
    <x v="2"/>
    <n v="70100"/>
    <n v="7600"/>
    <n v="77700"/>
    <s v="C"/>
    <d v="2024-07-17T00:00:00"/>
    <x v="2"/>
  </r>
  <r>
    <x v="3052"/>
    <x v="0"/>
    <n v="34"/>
    <x v="0"/>
    <x v="0"/>
    <x v="1"/>
    <n v="1.4"/>
    <n v="1.4"/>
    <x v="0"/>
    <n v="2"/>
    <x v="2"/>
    <n v="73600"/>
    <n v="9300"/>
    <n v="82900"/>
    <s v="C"/>
    <d v="2024-07-28T00:00:00"/>
    <x v="1"/>
  </r>
  <r>
    <x v="3053"/>
    <x v="0"/>
    <n v="40"/>
    <x v="0"/>
    <x v="1"/>
    <x v="2"/>
    <n v="5.6"/>
    <n v="2.1"/>
    <x v="1"/>
    <n v="3"/>
    <x v="0"/>
    <n v="84200"/>
    <n v="10100"/>
    <n v="94300"/>
    <s v="D"/>
    <d v="2020-05-30T00:00:00"/>
    <x v="2"/>
  </r>
  <r>
    <x v="3054"/>
    <x v="0"/>
    <n v="21"/>
    <x v="2"/>
    <x v="11"/>
    <x v="0"/>
    <n v="5.0999999999999996"/>
    <n v="2.1"/>
    <x v="1"/>
    <n v="3"/>
    <x v="0"/>
    <n v="81300"/>
    <n v="6500"/>
    <n v="87800"/>
    <s v="D"/>
    <d v="2020-11-27T00:00:00"/>
    <x v="0"/>
  </r>
  <r>
    <x v="3055"/>
    <x v="1"/>
    <n v="32"/>
    <x v="1"/>
    <x v="7"/>
    <x v="2"/>
    <n v="13.4"/>
    <n v="6.9"/>
    <x v="3"/>
    <n v="3"/>
    <x v="0"/>
    <n v="89200"/>
    <n v="6200"/>
    <n v="95400"/>
    <s v="D"/>
    <d v="2012-08-02T00:00:00"/>
    <x v="2"/>
  </r>
  <r>
    <x v="3056"/>
    <x v="1"/>
    <n v="38"/>
    <x v="2"/>
    <x v="4"/>
    <x v="1"/>
    <n v="3.1"/>
    <n v="3.1"/>
    <x v="1"/>
    <n v="3"/>
    <x v="0"/>
    <n v="77000"/>
    <n v="4400"/>
    <n v="81400"/>
    <s v="C"/>
    <d v="2022-12-12T00:00:00"/>
    <x v="1"/>
  </r>
  <r>
    <x v="3057"/>
    <x v="0"/>
    <n v="30"/>
    <x v="5"/>
    <x v="15"/>
    <x v="1"/>
    <n v="8.1"/>
    <n v="5.7"/>
    <x v="2"/>
    <n v="4"/>
    <x v="0"/>
    <n v="69300"/>
    <n v="13500"/>
    <n v="82800"/>
    <s v="C"/>
    <d v="2017-12-12T00:00:00"/>
    <x v="1"/>
  </r>
  <r>
    <x v="3058"/>
    <x v="1"/>
    <n v="21"/>
    <x v="3"/>
    <x v="5"/>
    <x v="1"/>
    <n v="8.9"/>
    <n v="5.4"/>
    <x v="2"/>
    <n v="4"/>
    <x v="0"/>
    <n v="85800"/>
    <n v="7600"/>
    <n v="93400"/>
    <s v="D"/>
    <d v="2017-01-28T00:00:00"/>
    <x v="1"/>
  </r>
  <r>
    <x v="3059"/>
    <x v="1"/>
    <n v="33"/>
    <x v="3"/>
    <x v="13"/>
    <x v="0"/>
    <n v="11.1"/>
    <n v="8.8000000000000007"/>
    <x v="4"/>
    <n v="3"/>
    <x v="0"/>
    <n v="114300"/>
    <n v="7700"/>
    <n v="122000"/>
    <s v="E"/>
    <d v="2014-12-06T00:00:00"/>
    <x v="0"/>
  </r>
  <r>
    <x v="3060"/>
    <x v="1"/>
    <n v="35"/>
    <x v="3"/>
    <x v="5"/>
    <x v="0"/>
    <n v="3.7"/>
    <n v="2.5"/>
    <x v="1"/>
    <n v="3"/>
    <x v="0"/>
    <n v="69200"/>
    <n v="3000"/>
    <n v="72200"/>
    <s v="C"/>
    <d v="2022-04-06T00:00:00"/>
    <x v="0"/>
  </r>
  <r>
    <x v="3061"/>
    <x v="1"/>
    <n v="42"/>
    <x v="3"/>
    <x v="13"/>
    <x v="2"/>
    <n v="13.3"/>
    <n v="7.3"/>
    <x v="3"/>
    <n v="3"/>
    <x v="0"/>
    <n v="10860"/>
    <n v="9100"/>
    <n v="19960"/>
    <s v="A"/>
    <d v="2012-09-28T00:00:00"/>
    <x v="2"/>
  </r>
  <r>
    <x v="3062"/>
    <x v="0"/>
    <n v="43"/>
    <x v="3"/>
    <x v="13"/>
    <x v="2"/>
    <n v="8.5"/>
    <n v="4.8"/>
    <x v="2"/>
    <n v="3"/>
    <x v="0"/>
    <n v="110800"/>
    <n v="9400"/>
    <n v="120200"/>
    <s v="E"/>
    <d v="2017-07-15T00:00:00"/>
    <x v="2"/>
  </r>
  <r>
    <x v="3063"/>
    <x v="1"/>
    <n v="44"/>
    <x v="3"/>
    <x v="13"/>
    <x v="1"/>
    <n v="4.2"/>
    <m/>
    <x v="1"/>
    <n v="3"/>
    <x v="0"/>
    <n v="100200"/>
    <n v="3400"/>
    <n v="103600"/>
    <s v="E"/>
    <d v="2021-10-11T00:00:00"/>
    <x v="1"/>
  </r>
  <r>
    <x v="3064"/>
    <x v="1"/>
    <n v="32"/>
    <x v="5"/>
    <x v="17"/>
    <x v="3"/>
    <n v="11.7"/>
    <n v="7.4"/>
    <x v="4"/>
    <n v="3"/>
    <x v="0"/>
    <n v="113300"/>
    <n v="21900"/>
    <n v="135200"/>
    <s v="E"/>
    <d v="2014-04-23T00:00:00"/>
    <x v="3"/>
  </r>
  <r>
    <x v="3065"/>
    <x v="1"/>
    <n v="43"/>
    <x v="5"/>
    <x v="9"/>
    <x v="3"/>
    <n v="12.3"/>
    <n v="9.6999999999999993"/>
    <x v="3"/>
    <n v="4"/>
    <x v="0"/>
    <n v="133300"/>
    <n v="22500"/>
    <n v="155800"/>
    <s v="E"/>
    <d v="2013-09-23T00:00:00"/>
    <x v="3"/>
  </r>
  <r>
    <x v="3066"/>
    <x v="1"/>
    <n v="39"/>
    <x v="1"/>
    <x v="7"/>
    <x v="2"/>
    <n v="6.2"/>
    <n v="3.6"/>
    <x v="2"/>
    <n v="3"/>
    <x v="0"/>
    <n v="83900"/>
    <n v="3600"/>
    <n v="87500"/>
    <s v="D"/>
    <d v="2019-11-07T00:00:00"/>
    <x v="2"/>
  </r>
  <r>
    <x v="3067"/>
    <x v="0"/>
    <n v="21"/>
    <x v="4"/>
    <x v="16"/>
    <x v="2"/>
    <n v="7.2"/>
    <n v="2.4"/>
    <x v="2"/>
    <n v="3"/>
    <x v="0"/>
    <n v="105500"/>
    <n v="8200"/>
    <n v="113700"/>
    <s v="E"/>
    <d v="2018-10-07T00:00:00"/>
    <x v="2"/>
  </r>
  <r>
    <x v="3068"/>
    <x v="0"/>
    <n v="37"/>
    <x v="2"/>
    <x v="11"/>
    <x v="1"/>
    <n v="12.4"/>
    <n v="9.5"/>
    <x v="3"/>
    <n v="4"/>
    <x v="0"/>
    <n v="113700"/>
    <n v="6300"/>
    <n v="120000"/>
    <s v="E"/>
    <d v="2013-08-16T00:00:00"/>
    <x v="1"/>
  </r>
  <r>
    <x v="3069"/>
    <x v="0"/>
    <n v="21"/>
    <x v="3"/>
    <x v="12"/>
    <x v="1"/>
    <n v="2.2999999999999998"/>
    <n v="0.6"/>
    <x v="0"/>
    <n v="2"/>
    <x v="0"/>
    <n v="62600"/>
    <n v="5100"/>
    <n v="67700"/>
    <s v="B"/>
    <d v="2023-09-20T00:00:00"/>
    <x v="1"/>
  </r>
  <r>
    <x v="3070"/>
    <x v="1"/>
    <n v="48"/>
    <x v="4"/>
    <x v="16"/>
    <x v="1"/>
    <n v="11.6"/>
    <n v="8"/>
    <x v="4"/>
    <n v="4"/>
    <x v="0"/>
    <n v="106100"/>
    <n v="9200"/>
    <n v="115300"/>
    <s v="E"/>
    <d v="2014-06-11T00:00:00"/>
    <x v="1"/>
  </r>
  <r>
    <x v="3071"/>
    <x v="0"/>
    <n v="35"/>
    <x v="0"/>
    <x v="2"/>
    <x v="0"/>
    <n v="2.2000000000000002"/>
    <n v="0.5"/>
    <x v="0"/>
    <n v="3"/>
    <x v="0"/>
    <n v="59000"/>
    <n v="4400"/>
    <n v="63400"/>
    <s v="B"/>
    <d v="2023-10-14T00:00:00"/>
    <x v="0"/>
  </r>
  <r>
    <x v="3072"/>
    <x v="0"/>
    <n v="30"/>
    <x v="1"/>
    <x v="3"/>
    <x v="2"/>
    <n v="9.3000000000000007"/>
    <n v="5.3"/>
    <x v="4"/>
    <n v="3"/>
    <x v="0"/>
    <n v="81000"/>
    <n v="4500"/>
    <n v="85500"/>
    <s v="D"/>
    <d v="2016-09-05T00:00:00"/>
    <x v="2"/>
  </r>
  <r>
    <x v="3073"/>
    <x v="0"/>
    <n v="25"/>
    <x v="2"/>
    <x v="4"/>
    <x v="1"/>
    <n v="5.5"/>
    <n v="2.2000000000000002"/>
    <x v="1"/>
    <n v="2"/>
    <x v="0"/>
    <n v="78400"/>
    <n v="3600"/>
    <n v="82000"/>
    <s v="C"/>
    <d v="2020-06-23T00:00:00"/>
    <x v="1"/>
  </r>
  <r>
    <x v="3074"/>
    <x v="0"/>
    <n v="43"/>
    <x v="4"/>
    <x v="8"/>
    <x v="2"/>
    <n v="7"/>
    <n v="2.9"/>
    <x v="2"/>
    <n v="5"/>
    <x v="0"/>
    <n v="94800"/>
    <n v="12300"/>
    <n v="107100"/>
    <s v="D"/>
    <d v="2019-01-05T00:00:00"/>
    <x v="2"/>
  </r>
  <r>
    <x v="3075"/>
    <x v="1"/>
    <n v="40"/>
    <x v="0"/>
    <x v="0"/>
    <x v="1"/>
    <n v="9"/>
    <n v="5.6"/>
    <x v="4"/>
    <n v="4"/>
    <x v="2"/>
    <n v="84400"/>
    <n v="4800"/>
    <n v="89200"/>
    <s v="D"/>
    <d v="2017-01-08T00:00:00"/>
    <x v="1"/>
  </r>
  <r>
    <x v="3076"/>
    <x v="1"/>
    <n v="39"/>
    <x v="1"/>
    <x v="10"/>
    <x v="1"/>
    <n v="3.3"/>
    <n v="0.8"/>
    <x v="1"/>
    <n v="2"/>
    <x v="1"/>
    <n v="56500"/>
    <n v="3700"/>
    <n v="60200"/>
    <s v="B"/>
    <d v="2022-09-29T00:00:00"/>
    <x v="1"/>
  </r>
  <r>
    <x v="3077"/>
    <x v="0"/>
    <n v="44"/>
    <x v="5"/>
    <x v="9"/>
    <x v="2"/>
    <n v="2.2999999999999998"/>
    <n v="1.2"/>
    <x v="0"/>
    <n v="4"/>
    <x v="0"/>
    <n v="112500"/>
    <n v="8900"/>
    <n v="121400"/>
    <s v="E"/>
    <d v="2023-09-10T00:00:00"/>
    <x v="2"/>
  </r>
  <r>
    <x v="3078"/>
    <x v="1"/>
    <n v="21"/>
    <x v="2"/>
    <x v="18"/>
    <x v="1"/>
    <n v="2.9"/>
    <n v="0"/>
    <x v="0"/>
    <n v="3"/>
    <x v="0"/>
    <n v="59600"/>
    <n v="5400"/>
    <n v="65000"/>
    <s v="B"/>
    <d v="2023-02-24T00:00:00"/>
    <x v="1"/>
  </r>
  <r>
    <x v="3079"/>
    <x v="0"/>
    <n v="38"/>
    <x v="1"/>
    <x v="3"/>
    <x v="2"/>
    <n v="11.1"/>
    <n v="4.4000000000000004"/>
    <x v="4"/>
    <n v="3"/>
    <x v="1"/>
    <n v="57000"/>
    <n v="6400"/>
    <n v="63400"/>
    <s v="B"/>
    <d v="2014-11-28T00:00:00"/>
    <x v="2"/>
  </r>
  <r>
    <x v="3080"/>
    <x v="1"/>
    <n v="38"/>
    <x v="1"/>
    <x v="3"/>
    <x v="2"/>
    <n v="11.5"/>
    <n v="6.1"/>
    <x v="4"/>
    <n v="4"/>
    <x v="1"/>
    <n v="54500"/>
    <n v="6100"/>
    <n v="60600"/>
    <s v="B"/>
    <d v="2014-06-17T00:00:00"/>
    <x v="2"/>
  </r>
  <r>
    <x v="3081"/>
    <x v="1"/>
    <n v="39"/>
    <x v="1"/>
    <x v="3"/>
    <x v="2"/>
    <n v="11.3"/>
    <n v="8.4"/>
    <x v="4"/>
    <n v="4"/>
    <x v="0"/>
    <n v="96100"/>
    <n v="7700"/>
    <n v="103800"/>
    <s v="D"/>
    <d v="2014-08-27T00:00:00"/>
    <x v="2"/>
  </r>
  <r>
    <x v="3082"/>
    <x v="0"/>
    <n v="36"/>
    <x v="2"/>
    <x v="18"/>
    <x v="1"/>
    <n v="4.7"/>
    <n v="4"/>
    <x v="1"/>
    <n v="3"/>
    <x v="0"/>
    <n v="62800"/>
    <n v="5200"/>
    <n v="68000"/>
    <s v="B"/>
    <d v="2021-04-28T00:00:00"/>
    <x v="1"/>
  </r>
  <r>
    <x v="3083"/>
    <x v="0"/>
    <n v="29"/>
    <x v="5"/>
    <x v="17"/>
    <x v="1"/>
    <n v="2"/>
    <n v="0"/>
    <x v="0"/>
    <n v="5"/>
    <x v="2"/>
    <n v="74500"/>
    <n v="13200"/>
    <n v="87700"/>
    <s v="C"/>
    <d v="2024-01-01T00:00:00"/>
    <x v="1"/>
  </r>
  <r>
    <x v="3084"/>
    <x v="0"/>
    <n v="21"/>
    <x v="2"/>
    <x v="11"/>
    <x v="1"/>
    <n v="4.2"/>
    <n v="3.8"/>
    <x v="1"/>
    <n v="1"/>
    <x v="0"/>
    <n v="97900"/>
    <n v="3600"/>
    <n v="101500"/>
    <s v="D"/>
    <d v="2021-10-02T00:00:00"/>
    <x v="1"/>
  </r>
  <r>
    <x v="3085"/>
    <x v="1"/>
    <n v="37"/>
    <x v="3"/>
    <x v="12"/>
    <x v="2"/>
    <n v="9"/>
    <n v="5.5"/>
    <x v="4"/>
    <n v="2"/>
    <x v="0"/>
    <n v="84500"/>
    <n v="4700"/>
    <n v="89200"/>
    <s v="D"/>
    <d v="2016-12-24T00:00:00"/>
    <x v="2"/>
  </r>
  <r>
    <x v="3086"/>
    <x v="1"/>
    <n v="24"/>
    <x v="3"/>
    <x v="13"/>
    <x v="2"/>
    <n v="11.8"/>
    <n v="7.1"/>
    <x v="4"/>
    <n v="4"/>
    <x v="0"/>
    <n v="112500"/>
    <n v="9100"/>
    <n v="121600"/>
    <s v="E"/>
    <d v="2014-03-28T00:00:00"/>
    <x v="2"/>
  </r>
  <r>
    <x v="3087"/>
    <x v="0"/>
    <n v="50"/>
    <x v="4"/>
    <x v="8"/>
    <x v="0"/>
    <n v="7.1"/>
    <n v="5.3"/>
    <x v="2"/>
    <n v="2"/>
    <x v="0"/>
    <n v="74400"/>
    <n v="11100"/>
    <n v="85500"/>
    <s v="C"/>
    <d v="2018-12-03T00:00:00"/>
    <x v="0"/>
  </r>
  <r>
    <x v="3088"/>
    <x v="1"/>
    <n v="33"/>
    <x v="1"/>
    <x v="10"/>
    <x v="2"/>
    <n v="12.6"/>
    <n v="9.3000000000000007"/>
    <x v="3"/>
    <n v="3"/>
    <x v="2"/>
    <n v="106700"/>
    <n v="9500"/>
    <n v="116200"/>
    <s v="E"/>
    <d v="2013-06-01T00:00:00"/>
    <x v="2"/>
  </r>
  <r>
    <x v="3089"/>
    <x v="1"/>
    <n v="34"/>
    <x v="3"/>
    <x v="13"/>
    <x v="1"/>
    <n v="9.1"/>
    <n v="7.6"/>
    <x v="4"/>
    <n v="4"/>
    <x v="0"/>
    <n v="104500"/>
    <n v="6500"/>
    <n v="111000"/>
    <s v="E"/>
    <d v="2016-12-07T00:00:00"/>
    <x v="1"/>
  </r>
  <r>
    <x v="3090"/>
    <x v="0"/>
    <n v="50"/>
    <x v="5"/>
    <x v="9"/>
    <x v="1"/>
    <n v="2.2999999999999998"/>
    <n v="2.2999999999999998"/>
    <x v="0"/>
    <n v="3"/>
    <x v="0"/>
    <n v="86000"/>
    <n v="14300"/>
    <n v="100300"/>
    <s v="D"/>
    <d v="2023-08-30T00:00:00"/>
    <x v="1"/>
  </r>
  <r>
    <x v="3091"/>
    <x v="0"/>
    <n v="28"/>
    <x v="3"/>
    <x v="5"/>
    <x v="2"/>
    <n v="8.6"/>
    <n v="6.8"/>
    <x v="2"/>
    <n v="4"/>
    <x v="0"/>
    <n v="94200"/>
    <n v="6100"/>
    <n v="100300"/>
    <s v="D"/>
    <d v="2017-05-23T00:00:00"/>
    <x v="2"/>
  </r>
  <r>
    <x v="3092"/>
    <x v="0"/>
    <n v="29"/>
    <x v="5"/>
    <x v="15"/>
    <x v="0"/>
    <n v="5.6"/>
    <n v="4.5"/>
    <x v="1"/>
    <n v="5"/>
    <x v="0"/>
    <n v="68500"/>
    <n v="14400"/>
    <n v="82900"/>
    <s v="C"/>
    <d v="2020-05-23T00:00:00"/>
    <x v="0"/>
  </r>
  <r>
    <x v="3093"/>
    <x v="0"/>
    <n v="28"/>
    <x v="0"/>
    <x v="0"/>
    <x v="1"/>
    <n v="6.7"/>
    <n v="5.3"/>
    <x v="2"/>
    <n v="4"/>
    <x v="0"/>
    <n v="106900"/>
    <n v="9900"/>
    <n v="116800"/>
    <s v="E"/>
    <d v="2019-05-02T00:00:00"/>
    <x v="1"/>
  </r>
  <r>
    <x v="3094"/>
    <x v="1"/>
    <n v="21"/>
    <x v="0"/>
    <x v="1"/>
    <x v="0"/>
    <n v="11.7"/>
    <n v="6.3"/>
    <x v="4"/>
    <n v="4"/>
    <x v="0"/>
    <n v="70600"/>
    <n v="7500"/>
    <n v="78100"/>
    <s v="C"/>
    <d v="2014-04-04T00:00:00"/>
    <x v="0"/>
  </r>
  <r>
    <x v="3095"/>
    <x v="0"/>
    <n v="43"/>
    <x v="1"/>
    <x v="7"/>
    <x v="0"/>
    <n v="3.8"/>
    <n v="2.7"/>
    <x v="1"/>
    <n v="3"/>
    <x v="0"/>
    <n v="67600"/>
    <n v="4800"/>
    <n v="72400"/>
    <s v="C"/>
    <d v="2022-03-13T00:00:00"/>
    <x v="0"/>
  </r>
  <r>
    <x v="3096"/>
    <x v="0"/>
    <n v="23"/>
    <x v="1"/>
    <x v="7"/>
    <x v="1"/>
    <n v="2.8"/>
    <n v="2.8"/>
    <x v="0"/>
    <n v="3"/>
    <x v="2"/>
    <n v="61400"/>
    <n v="7100"/>
    <n v="68500"/>
    <s v="B"/>
    <d v="2023-03-29T00:00:00"/>
    <x v="1"/>
  </r>
  <r>
    <x v="3097"/>
    <x v="0"/>
    <n v="30"/>
    <x v="2"/>
    <x v="18"/>
    <x v="3"/>
    <n v="7.3"/>
    <n v="7"/>
    <x v="2"/>
    <n v="4"/>
    <x v="0"/>
    <n v="81500"/>
    <n v="5300"/>
    <n v="86800"/>
    <s v="D"/>
    <d v="2018-08-30T00:00:00"/>
    <x v="3"/>
  </r>
  <r>
    <x v="3098"/>
    <x v="1"/>
    <n v="43"/>
    <x v="3"/>
    <x v="12"/>
    <x v="1"/>
    <n v="11.1"/>
    <n v="7.1"/>
    <x v="4"/>
    <n v="1"/>
    <x v="0"/>
    <n v="63100"/>
    <n v="4600"/>
    <n v="67700"/>
    <s v="B"/>
    <d v="2014-12-07T00:00:00"/>
    <x v="1"/>
  </r>
  <r>
    <x v="3099"/>
    <x v="0"/>
    <n v="44"/>
    <x v="5"/>
    <x v="9"/>
    <x v="1"/>
    <n v="7.3"/>
    <n v="6.2"/>
    <x v="2"/>
    <n v="3"/>
    <x v="0"/>
    <n v="102500"/>
    <n v="12800"/>
    <n v="115300"/>
    <s v="E"/>
    <d v="2018-09-01T00:00:00"/>
    <x v="1"/>
  </r>
  <r>
    <x v="3100"/>
    <x v="0"/>
    <n v="33"/>
    <x v="2"/>
    <x v="11"/>
    <x v="0"/>
    <n v="14"/>
    <n v="8.9"/>
    <x v="3"/>
    <n v="3"/>
    <x v="0"/>
    <n v="108900"/>
    <n v="7800"/>
    <n v="116700"/>
    <s v="E"/>
    <d v="2012-01-09T00:00:00"/>
    <x v="0"/>
  </r>
  <r>
    <x v="3101"/>
    <x v="0"/>
    <n v="21"/>
    <x v="4"/>
    <x v="8"/>
    <x v="1"/>
    <n v="11.9"/>
    <n v="7.3"/>
    <x v="4"/>
    <n v="4"/>
    <x v="0"/>
    <n v="98100"/>
    <n v="9500"/>
    <n v="107600"/>
    <s v="D"/>
    <d v="2014-02-20T00:00:00"/>
    <x v="1"/>
  </r>
  <r>
    <x v="3102"/>
    <x v="1"/>
    <n v="29"/>
    <x v="3"/>
    <x v="5"/>
    <x v="0"/>
    <n v="6.1"/>
    <n v="4"/>
    <x v="2"/>
    <n v="1"/>
    <x v="0"/>
    <n v="80900"/>
    <n v="5600"/>
    <n v="86500"/>
    <s v="D"/>
    <d v="2019-11-08T00:00:00"/>
    <x v="0"/>
  </r>
  <r>
    <x v="3103"/>
    <x v="0"/>
    <n v="53"/>
    <x v="5"/>
    <x v="15"/>
    <x v="0"/>
    <n v="7.1"/>
    <n v="6.2"/>
    <x v="2"/>
    <n v="2"/>
    <x v="0"/>
    <n v="64500"/>
    <n v="5700"/>
    <n v="70200"/>
    <s v="B"/>
    <d v="2018-11-28T00:00:00"/>
    <x v="0"/>
  </r>
  <r>
    <x v="3104"/>
    <x v="1"/>
    <n v="47"/>
    <x v="0"/>
    <x v="2"/>
    <x v="2"/>
    <n v="7"/>
    <n v="5.4"/>
    <x v="2"/>
    <n v="3"/>
    <x v="0"/>
    <n v="76200"/>
    <n v="10200"/>
    <n v="86400"/>
    <s v="C"/>
    <d v="2019-01-06T00:00:00"/>
    <x v="2"/>
  </r>
  <r>
    <x v="3105"/>
    <x v="0"/>
    <n v="21"/>
    <x v="0"/>
    <x v="1"/>
    <x v="3"/>
    <n v="10.199999999999999"/>
    <n v="8.3000000000000007"/>
    <x v="4"/>
    <n v="4"/>
    <x v="0"/>
    <n v="100500"/>
    <n v="5500"/>
    <n v="106000"/>
    <s v="E"/>
    <d v="2015-10-13T00:00:00"/>
    <x v="3"/>
  </r>
  <r>
    <x v="3106"/>
    <x v="1"/>
    <n v="49"/>
    <x v="3"/>
    <x v="13"/>
    <x v="2"/>
    <n v="5.0999999999999996"/>
    <n v="3.6"/>
    <x v="1"/>
    <n v="1"/>
    <x v="0"/>
    <n v="98300"/>
    <n v="8600"/>
    <n v="106900"/>
    <s v="D"/>
    <d v="2020-11-21T00:00:00"/>
    <x v="2"/>
  </r>
  <r>
    <x v="3107"/>
    <x v="1"/>
    <n v="44"/>
    <x v="2"/>
    <x v="11"/>
    <x v="3"/>
    <n v="7.4"/>
    <n v="4.8"/>
    <x v="2"/>
    <n v="3"/>
    <x v="1"/>
    <n v="70200"/>
    <n v="4800"/>
    <n v="75000"/>
    <s v="C"/>
    <d v="2018-08-18T00:00:00"/>
    <x v="3"/>
  </r>
  <r>
    <x v="3108"/>
    <x v="1"/>
    <n v="40"/>
    <x v="2"/>
    <x v="18"/>
    <x v="1"/>
    <n v="4.2"/>
    <n v="3.4"/>
    <x v="1"/>
    <n v="4"/>
    <x v="0"/>
    <n v="75600"/>
    <n v="6100"/>
    <n v="81700"/>
    <s v="C"/>
    <d v="2021-10-11T00:00:00"/>
    <x v="1"/>
  </r>
  <r>
    <x v="3109"/>
    <x v="1"/>
    <n v="34"/>
    <x v="4"/>
    <x v="6"/>
    <x v="1"/>
    <n v="10.1"/>
    <n v="6.8"/>
    <x v="4"/>
    <n v="5"/>
    <x v="0"/>
    <n v="69300"/>
    <n v="3700"/>
    <n v="73000"/>
    <s v="C"/>
    <d v="2015-12-02T00:00:00"/>
    <x v="1"/>
  </r>
  <r>
    <x v="3110"/>
    <x v="1"/>
    <n v="33"/>
    <x v="1"/>
    <x v="3"/>
    <x v="2"/>
    <n v="8.5"/>
    <n v="8.5"/>
    <x v="2"/>
    <n v="3"/>
    <x v="0"/>
    <n v="78000"/>
    <n v="7700"/>
    <n v="85700"/>
    <s v="C"/>
    <d v="2017-07-03T00:00:00"/>
    <x v="2"/>
  </r>
  <r>
    <x v="3111"/>
    <x v="0"/>
    <n v="31"/>
    <x v="1"/>
    <x v="10"/>
    <x v="2"/>
    <n v="1.2"/>
    <n v="1.1000000000000001"/>
    <x v="0"/>
    <n v="4"/>
    <x v="0"/>
    <n v="183600"/>
    <n v="11400"/>
    <n v="195000"/>
    <s v="E"/>
    <d v="2024-10-07T00:00:00"/>
    <x v="2"/>
  </r>
  <r>
    <x v="3112"/>
    <x v="0"/>
    <n v="29"/>
    <x v="0"/>
    <x v="1"/>
    <x v="0"/>
    <n v="5.2"/>
    <n v="3"/>
    <x v="1"/>
    <n v="3"/>
    <x v="0"/>
    <n v="69500"/>
    <n v="8200"/>
    <n v="77700"/>
    <s v="C"/>
    <d v="2020-11-01T00:00:00"/>
    <x v="0"/>
  </r>
  <r>
    <x v="3113"/>
    <x v="0"/>
    <n v="32"/>
    <x v="0"/>
    <x v="0"/>
    <x v="2"/>
    <n v="4.0999999999999996"/>
    <n v="3.1"/>
    <x v="1"/>
    <n v="4"/>
    <x v="0"/>
    <n v="100400"/>
    <n v="12200"/>
    <n v="112600"/>
    <s v="E"/>
    <d v="2021-12-11T00:00:00"/>
    <x v="2"/>
  </r>
  <r>
    <x v="3114"/>
    <x v="0"/>
    <n v="29"/>
    <x v="1"/>
    <x v="10"/>
    <x v="1"/>
    <n v="9"/>
    <n v="6.3"/>
    <x v="4"/>
    <n v="2"/>
    <x v="2"/>
    <n v="82800"/>
    <n v="5900"/>
    <n v="88700"/>
    <s v="D"/>
    <d v="2016-12-27T00:00:00"/>
    <x v="1"/>
  </r>
  <r>
    <x v="3115"/>
    <x v="0"/>
    <n v="37"/>
    <x v="2"/>
    <x v="18"/>
    <x v="2"/>
    <n v="9.5"/>
    <n v="6.2"/>
    <x v="4"/>
    <n v="5"/>
    <x v="0"/>
    <n v="86400"/>
    <n v="3700"/>
    <n v="90100"/>
    <s v="D"/>
    <d v="2016-06-30T00:00:00"/>
    <x v="2"/>
  </r>
  <r>
    <x v="3116"/>
    <x v="1"/>
    <n v="37"/>
    <x v="1"/>
    <x v="10"/>
    <x v="1"/>
    <n v="12.2"/>
    <n v="6"/>
    <x v="3"/>
    <n v="4"/>
    <x v="0"/>
    <n v="119500"/>
    <n v="9300"/>
    <n v="128800"/>
    <s v="E"/>
    <d v="2013-10-06T00:00:00"/>
    <x v="1"/>
  </r>
  <r>
    <x v="3117"/>
    <x v="1"/>
    <n v="40"/>
    <x v="0"/>
    <x v="2"/>
    <x v="1"/>
    <n v="8"/>
    <n v="5.8"/>
    <x v="2"/>
    <n v="3"/>
    <x v="2"/>
    <n v="56600"/>
    <n v="4000"/>
    <n v="60600"/>
    <s v="B"/>
    <d v="2018-01-03T00:00:00"/>
    <x v="1"/>
  </r>
  <r>
    <x v="3118"/>
    <x v="0"/>
    <n v="34"/>
    <x v="5"/>
    <x v="15"/>
    <x v="1"/>
    <n v="3.1"/>
    <n v="2"/>
    <x v="1"/>
    <n v="3"/>
    <x v="0"/>
    <n v="53800"/>
    <n v="6900"/>
    <n v="60700"/>
    <s v="B"/>
    <d v="2022-11-17T00:00:00"/>
    <x v="1"/>
  </r>
  <r>
    <x v="3119"/>
    <x v="0"/>
    <n v="25"/>
    <x v="0"/>
    <x v="2"/>
    <x v="1"/>
    <n v="13.9"/>
    <n v="6.9"/>
    <x v="3"/>
    <n v="4"/>
    <x v="0"/>
    <n v="72400"/>
    <n v="5400"/>
    <n v="77800"/>
    <s v="C"/>
    <d v="2012-01-21T00:00:00"/>
    <x v="1"/>
  </r>
  <r>
    <x v="3120"/>
    <x v="0"/>
    <n v="32"/>
    <x v="4"/>
    <x v="14"/>
    <x v="1"/>
    <n v="7.3"/>
    <n v="3.3"/>
    <x v="2"/>
    <n v="3"/>
    <x v="0"/>
    <n v="88100"/>
    <n v="13100"/>
    <n v="101200"/>
    <s v="D"/>
    <d v="2018-09-18T00:00:00"/>
    <x v="1"/>
  </r>
  <r>
    <x v="3121"/>
    <x v="1"/>
    <n v="30"/>
    <x v="1"/>
    <x v="10"/>
    <x v="2"/>
    <n v="11.6"/>
    <n v="6.5"/>
    <x v="4"/>
    <n v="3"/>
    <x v="0"/>
    <n v="125800"/>
    <n v="9900"/>
    <n v="135700"/>
    <s v="E"/>
    <d v="2014-05-21T00:00:00"/>
    <x v="2"/>
  </r>
  <r>
    <x v="3122"/>
    <x v="0"/>
    <n v="36"/>
    <x v="2"/>
    <x v="18"/>
    <x v="1"/>
    <n v="5.4"/>
    <n v="3.3"/>
    <x v="1"/>
    <n v="4"/>
    <x v="0"/>
    <n v="68100"/>
    <n v="6000"/>
    <n v="74100"/>
    <s v="C"/>
    <d v="2020-08-24T00:00:00"/>
    <x v="1"/>
  </r>
  <r>
    <x v="3123"/>
    <x v="0"/>
    <n v="36"/>
    <x v="5"/>
    <x v="9"/>
    <x v="2"/>
    <n v="1.8"/>
    <n v="0.6"/>
    <x v="0"/>
    <n v="2"/>
    <x v="0"/>
    <n v="108500"/>
    <n v="11200"/>
    <n v="119700"/>
    <s v="E"/>
    <d v="2024-03-08T00:00:00"/>
    <x v="2"/>
  </r>
  <r>
    <x v="3124"/>
    <x v="0"/>
    <n v="51"/>
    <x v="4"/>
    <x v="14"/>
    <x v="1"/>
    <n v="5.7"/>
    <n v="4.5"/>
    <x v="1"/>
    <n v="4"/>
    <x v="0"/>
    <n v="111900"/>
    <n v="10100"/>
    <n v="122000"/>
    <s v="E"/>
    <d v="2020-04-14T00:00:00"/>
    <x v="1"/>
  </r>
  <r>
    <x v="3125"/>
    <x v="1"/>
    <n v="51"/>
    <x v="3"/>
    <x v="12"/>
    <x v="2"/>
    <n v="7.9"/>
    <n v="5.7"/>
    <x v="2"/>
    <n v="4"/>
    <x v="0"/>
    <n v="73800"/>
    <n v="3500"/>
    <n v="77300"/>
    <s v="C"/>
    <d v="2018-02-19T00:00:00"/>
    <x v="2"/>
  </r>
  <r>
    <x v="3126"/>
    <x v="1"/>
    <n v="39"/>
    <x v="0"/>
    <x v="1"/>
    <x v="1"/>
    <n v="10.6"/>
    <n v="6.6"/>
    <x v="4"/>
    <n v="3"/>
    <x v="0"/>
    <n v="83900"/>
    <n v="5300"/>
    <n v="89200"/>
    <s v="D"/>
    <d v="2015-06-13T00:00:00"/>
    <x v="1"/>
  </r>
  <r>
    <x v="3127"/>
    <x v="0"/>
    <n v="44"/>
    <x v="4"/>
    <x v="8"/>
    <x v="0"/>
    <n v="10.199999999999999"/>
    <n v="6.5"/>
    <x v="4"/>
    <n v="4"/>
    <x v="0"/>
    <n v="83200"/>
    <n v="10400"/>
    <n v="93600"/>
    <s v="D"/>
    <d v="2015-10-06T00:00:00"/>
    <x v="0"/>
  </r>
  <r>
    <x v="3128"/>
    <x v="0"/>
    <n v="48"/>
    <x v="4"/>
    <x v="8"/>
    <x v="1"/>
    <n v="10.9"/>
    <n v="7.2"/>
    <x v="4"/>
    <n v="3"/>
    <x v="0"/>
    <n v="84200"/>
    <n v="11000"/>
    <n v="95200"/>
    <s v="D"/>
    <d v="2015-02-02T00:00:00"/>
    <x v="1"/>
  </r>
  <r>
    <x v="3129"/>
    <x v="0"/>
    <n v="30"/>
    <x v="3"/>
    <x v="5"/>
    <x v="2"/>
    <n v="10.8"/>
    <n v="6.2"/>
    <x v="4"/>
    <n v="3"/>
    <x v="0"/>
    <n v="90600"/>
    <n v="5200"/>
    <n v="95800"/>
    <s v="D"/>
    <d v="2015-03-05T00:00:00"/>
    <x v="2"/>
  </r>
  <r>
    <x v="3130"/>
    <x v="1"/>
    <n v="30"/>
    <x v="4"/>
    <x v="16"/>
    <x v="0"/>
    <n v="5.9"/>
    <n v="5.9"/>
    <x v="1"/>
    <n v="3"/>
    <x v="0"/>
    <n v="98500"/>
    <n v="10000"/>
    <n v="108500"/>
    <s v="D"/>
    <d v="2020-02-02T00:00:00"/>
    <x v="0"/>
  </r>
  <r>
    <x v="3131"/>
    <x v="0"/>
    <n v="21"/>
    <x v="2"/>
    <x v="18"/>
    <x v="2"/>
    <n v="8.6999999999999993"/>
    <n v="3.4"/>
    <x v="2"/>
    <n v="3"/>
    <x v="0"/>
    <n v="63300"/>
    <n v="4000"/>
    <n v="67300"/>
    <s v="B"/>
    <d v="2017-04-23T00:00:00"/>
    <x v="2"/>
  </r>
  <r>
    <x v="3132"/>
    <x v="0"/>
    <n v="36"/>
    <x v="2"/>
    <x v="18"/>
    <x v="1"/>
    <n v="9.9"/>
    <n v="5"/>
    <x v="4"/>
    <n v="3"/>
    <x v="0"/>
    <n v="79800"/>
    <n v="7400"/>
    <n v="87200"/>
    <s v="C"/>
    <d v="2016-02-21T00:00:00"/>
    <x v="1"/>
  </r>
  <r>
    <x v="3133"/>
    <x v="1"/>
    <n v="35"/>
    <x v="1"/>
    <x v="10"/>
    <x v="1"/>
    <n v="6"/>
    <n v="4.3"/>
    <x v="2"/>
    <n v="3"/>
    <x v="2"/>
    <n v="86300"/>
    <n v="5400"/>
    <n v="91700"/>
    <s v="D"/>
    <d v="2020-01-10T00:00:00"/>
    <x v="1"/>
  </r>
  <r>
    <x v="3134"/>
    <x v="0"/>
    <n v="37"/>
    <x v="4"/>
    <x v="16"/>
    <x v="1"/>
    <n v="11.3"/>
    <n v="6.9"/>
    <x v="4"/>
    <n v="4"/>
    <x v="0"/>
    <n v="113300"/>
    <n v="16400"/>
    <n v="129700"/>
    <s v="E"/>
    <d v="2014-09-16T00:00:00"/>
    <x v="1"/>
  </r>
  <r>
    <x v="3135"/>
    <x v="0"/>
    <n v="28"/>
    <x v="0"/>
    <x v="1"/>
    <x v="1"/>
    <n v="12.3"/>
    <n v="6.3"/>
    <x v="3"/>
    <n v="3"/>
    <x v="0"/>
    <n v="90300"/>
    <n v="11800"/>
    <n v="102100"/>
    <s v="D"/>
    <d v="2013-10-01T00:00:00"/>
    <x v="1"/>
  </r>
  <r>
    <x v="3136"/>
    <x v="1"/>
    <n v="26"/>
    <x v="4"/>
    <x v="14"/>
    <x v="1"/>
    <n v="11.9"/>
    <n v="9.3000000000000007"/>
    <x v="4"/>
    <n v="3"/>
    <x v="0"/>
    <n v="128000"/>
    <n v="14100"/>
    <n v="142100"/>
    <s v="E"/>
    <d v="2014-02-11T00:00:00"/>
    <x v="1"/>
  </r>
  <r>
    <x v="3137"/>
    <x v="0"/>
    <n v="21"/>
    <x v="1"/>
    <x v="3"/>
    <x v="0"/>
    <n v="4"/>
    <n v="3.5"/>
    <x v="1"/>
    <n v="3"/>
    <x v="0"/>
    <n v="77200"/>
    <n v="5400"/>
    <n v="82600"/>
    <s v="C"/>
    <d v="2021-12-20T00:00:00"/>
    <x v="0"/>
  </r>
  <r>
    <x v="3138"/>
    <x v="1"/>
    <n v="33"/>
    <x v="3"/>
    <x v="12"/>
    <x v="1"/>
    <n v="9.8000000000000007"/>
    <n v="6.5"/>
    <x v="4"/>
    <n v="4"/>
    <x v="0"/>
    <n v="73900"/>
    <n v="4800"/>
    <n v="78700"/>
    <s v="C"/>
    <d v="2016-03-30T00:00:00"/>
    <x v="1"/>
  </r>
  <r>
    <x v="3139"/>
    <x v="0"/>
    <n v="34"/>
    <x v="4"/>
    <x v="14"/>
    <x v="2"/>
    <n v="8.1999999999999993"/>
    <n v="3.5"/>
    <x v="2"/>
    <n v="3"/>
    <x v="0"/>
    <n v="117200"/>
    <n v="10200"/>
    <n v="127400"/>
    <s v="E"/>
    <d v="2017-10-05T00:00:00"/>
    <x v="2"/>
  </r>
  <r>
    <x v="3140"/>
    <x v="1"/>
    <n v="30"/>
    <x v="5"/>
    <x v="17"/>
    <x v="1"/>
    <n v="2.4"/>
    <n v="1.9"/>
    <x v="0"/>
    <n v="3"/>
    <x v="0"/>
    <n v="102000"/>
    <n v="8500"/>
    <n v="110500"/>
    <s v="E"/>
    <d v="2023-08-17T00:00:00"/>
    <x v="1"/>
  </r>
  <r>
    <x v="3141"/>
    <x v="0"/>
    <n v="51"/>
    <x v="5"/>
    <x v="15"/>
    <x v="1"/>
    <n v="6.7"/>
    <n v="2.8"/>
    <x v="2"/>
    <n v="4"/>
    <x v="0"/>
    <n v="68400"/>
    <n v="14300"/>
    <n v="82700"/>
    <s v="C"/>
    <d v="2019-04-17T00:00:00"/>
    <x v="1"/>
  </r>
  <r>
    <x v="3142"/>
    <x v="1"/>
    <n v="45"/>
    <x v="2"/>
    <x v="11"/>
    <x v="1"/>
    <n v="6.6"/>
    <n v="5.9"/>
    <x v="2"/>
    <n v="4"/>
    <x v="0"/>
    <n v="95500"/>
    <n v="3400"/>
    <n v="98900"/>
    <s v="D"/>
    <d v="2019-05-18T00:00:00"/>
    <x v="1"/>
  </r>
  <r>
    <x v="3143"/>
    <x v="0"/>
    <n v="29"/>
    <x v="4"/>
    <x v="14"/>
    <x v="1"/>
    <n v="8.1"/>
    <n v="5.8"/>
    <x v="2"/>
    <n v="3"/>
    <x v="0"/>
    <n v="101100"/>
    <n v="6200"/>
    <n v="107300"/>
    <s v="E"/>
    <d v="2017-11-29T00:00:00"/>
    <x v="1"/>
  </r>
  <r>
    <x v="3144"/>
    <x v="0"/>
    <n v="28"/>
    <x v="5"/>
    <x v="15"/>
    <x v="2"/>
    <n v="13"/>
    <n v="11.1"/>
    <x v="3"/>
    <n v="3"/>
    <x v="0"/>
    <n v="79000"/>
    <n v="9600"/>
    <n v="88600"/>
    <s v="C"/>
    <d v="2012-12-27T00:00:00"/>
    <x v="2"/>
  </r>
  <r>
    <x v="3145"/>
    <x v="0"/>
    <n v="28"/>
    <x v="2"/>
    <x v="11"/>
    <x v="0"/>
    <n v="1.4"/>
    <n v="0.8"/>
    <x v="0"/>
    <n v="3"/>
    <x v="0"/>
    <n v="93300"/>
    <n v="9200"/>
    <n v="102500"/>
    <s v="D"/>
    <d v="2024-07-30T00:00:00"/>
    <x v="0"/>
  </r>
  <r>
    <x v="3146"/>
    <x v="1"/>
    <n v="28"/>
    <x v="4"/>
    <x v="8"/>
    <x v="0"/>
    <n v="5.9"/>
    <n v="4.2"/>
    <x v="1"/>
    <n v="4"/>
    <x v="2"/>
    <n v="63100"/>
    <n v="4100"/>
    <n v="67200"/>
    <s v="B"/>
    <d v="2020-01-22T00:00:00"/>
    <x v="0"/>
  </r>
  <r>
    <x v="3147"/>
    <x v="1"/>
    <n v="35"/>
    <x v="0"/>
    <x v="1"/>
    <x v="2"/>
    <n v="5.9"/>
    <n v="3.7"/>
    <x v="1"/>
    <n v="4"/>
    <x v="0"/>
    <n v="86800"/>
    <n v="10800"/>
    <n v="97600"/>
    <s v="D"/>
    <d v="2020-02-10T00:00:00"/>
    <x v="2"/>
  </r>
  <r>
    <x v="3148"/>
    <x v="0"/>
    <n v="34"/>
    <x v="1"/>
    <x v="7"/>
    <x v="1"/>
    <n v="1.3"/>
    <n v="0.6"/>
    <x v="0"/>
    <n v="4"/>
    <x v="1"/>
    <n v="52500"/>
    <n v="3400"/>
    <n v="55900"/>
    <s v="B"/>
    <d v="2024-09-23T00:00:00"/>
    <x v="1"/>
  </r>
  <r>
    <x v="3149"/>
    <x v="0"/>
    <n v="36"/>
    <x v="0"/>
    <x v="2"/>
    <x v="2"/>
    <n v="1.8"/>
    <n v="0"/>
    <x v="0"/>
    <n v="4"/>
    <x v="0"/>
    <n v="70100"/>
    <n v="9200"/>
    <n v="79300"/>
    <s v="C"/>
    <d v="2024-03-25T00:00:00"/>
    <x v="2"/>
  </r>
  <r>
    <x v="3150"/>
    <x v="0"/>
    <n v="21"/>
    <x v="2"/>
    <x v="11"/>
    <x v="2"/>
    <n v="12.8"/>
    <n v="7.7"/>
    <x v="3"/>
    <n v="4"/>
    <x v="0"/>
    <n v="108100"/>
    <n v="8100"/>
    <n v="116200"/>
    <s v="E"/>
    <d v="2013-03-31T00:00:00"/>
    <x v="2"/>
  </r>
  <r>
    <x v="3151"/>
    <x v="0"/>
    <n v="49"/>
    <x v="4"/>
    <x v="14"/>
    <x v="1"/>
    <n v="3.7"/>
    <n v="1.8"/>
    <x v="1"/>
    <n v="3"/>
    <x v="1"/>
    <n v="62500"/>
    <n v="8300"/>
    <n v="70800"/>
    <s v="B"/>
    <d v="2022-04-15T00:00:00"/>
    <x v="1"/>
  </r>
  <r>
    <x v="3152"/>
    <x v="0"/>
    <n v="30"/>
    <x v="0"/>
    <x v="2"/>
    <x v="1"/>
    <n v="1.7"/>
    <n v="1.7"/>
    <x v="0"/>
    <n v="3"/>
    <x v="0"/>
    <n v="54300"/>
    <n v="5900"/>
    <n v="60200"/>
    <s v="B"/>
    <d v="2024-04-20T00:00:00"/>
    <x v="1"/>
  </r>
  <r>
    <x v="3153"/>
    <x v="0"/>
    <n v="47"/>
    <x v="3"/>
    <x v="5"/>
    <x v="1"/>
    <n v="9.4"/>
    <n v="6.5"/>
    <x v="4"/>
    <n v="3"/>
    <x v="1"/>
    <n v="48700"/>
    <n v="2600"/>
    <n v="51300"/>
    <s v="A"/>
    <d v="2016-08-04T00:00:00"/>
    <x v="1"/>
  </r>
  <r>
    <x v="3154"/>
    <x v="1"/>
    <n v="21"/>
    <x v="4"/>
    <x v="16"/>
    <x v="3"/>
    <n v="4.9000000000000004"/>
    <n v="2.7"/>
    <x v="1"/>
    <n v="3"/>
    <x v="0"/>
    <n v="93200"/>
    <n v="13400"/>
    <n v="106600"/>
    <s v="D"/>
    <d v="2021-02-18T00:00:00"/>
    <x v="3"/>
  </r>
  <r>
    <x v="3155"/>
    <x v="0"/>
    <n v="37"/>
    <x v="5"/>
    <x v="17"/>
    <x v="1"/>
    <n v="13.1"/>
    <n v="8.1"/>
    <x v="3"/>
    <n v="3"/>
    <x v="0"/>
    <n v="95300"/>
    <n v="7500"/>
    <n v="102800"/>
    <s v="D"/>
    <d v="2012-11-16T00:00:00"/>
    <x v="1"/>
  </r>
  <r>
    <x v="3156"/>
    <x v="1"/>
    <n v="38"/>
    <x v="0"/>
    <x v="1"/>
    <x v="1"/>
    <n v="12.5"/>
    <n v="7.1"/>
    <x v="3"/>
    <n v="3"/>
    <x v="0"/>
    <n v="77000"/>
    <n v="3700"/>
    <n v="80700"/>
    <s v="C"/>
    <d v="2013-07-19T00:00:00"/>
    <x v="1"/>
  </r>
  <r>
    <x v="3157"/>
    <x v="1"/>
    <n v="38"/>
    <x v="2"/>
    <x v="11"/>
    <x v="0"/>
    <n v="8.5"/>
    <n v="5.0999999999999996"/>
    <x v="2"/>
    <n v="4"/>
    <x v="0"/>
    <n v="96100"/>
    <n v="9100"/>
    <n v="105200"/>
    <s v="D"/>
    <d v="2017-06-17T00:00:00"/>
    <x v="0"/>
  </r>
  <r>
    <x v="3158"/>
    <x v="1"/>
    <n v="23"/>
    <x v="5"/>
    <x v="9"/>
    <x v="2"/>
    <n v="13.8"/>
    <n v="7.2"/>
    <x v="3"/>
    <n v="2"/>
    <x v="0"/>
    <n v="116100"/>
    <n v="11700"/>
    <n v="127800"/>
    <s v="E"/>
    <d v="2012-03-10T00:00:00"/>
    <x v="2"/>
  </r>
  <r>
    <x v="3159"/>
    <x v="1"/>
    <n v="24"/>
    <x v="2"/>
    <x v="4"/>
    <x v="1"/>
    <n v="12.3"/>
    <n v="8.1999999999999993"/>
    <x v="3"/>
    <n v="1"/>
    <x v="1"/>
    <n v="48100"/>
    <n v="2100"/>
    <n v="50200"/>
    <s v="A"/>
    <d v="2013-09-23T00:00:00"/>
    <x v="1"/>
  </r>
  <r>
    <x v="3160"/>
    <x v="0"/>
    <n v="41"/>
    <x v="5"/>
    <x v="9"/>
    <x v="4"/>
    <n v="10.199999999999999"/>
    <n v="5.6"/>
    <x v="4"/>
    <n v="3"/>
    <x v="1"/>
    <n v="64700"/>
    <n v="9600"/>
    <n v="74300"/>
    <s v="B"/>
    <d v="2015-11-07T00:00:00"/>
    <x v="4"/>
  </r>
  <r>
    <x v="3161"/>
    <x v="0"/>
    <n v="51"/>
    <x v="0"/>
    <x v="0"/>
    <x v="3"/>
    <n v="7.4"/>
    <n v="3.9"/>
    <x v="2"/>
    <n v="5"/>
    <x v="0"/>
    <n v="99000"/>
    <n v="8900"/>
    <n v="107900"/>
    <s v="D"/>
    <d v="2018-08-17T00:00:00"/>
    <x v="3"/>
  </r>
  <r>
    <x v="3162"/>
    <x v="0"/>
    <n v="26"/>
    <x v="5"/>
    <x v="9"/>
    <x v="2"/>
    <n v="7.8"/>
    <n v="3.9"/>
    <x v="2"/>
    <n v="3"/>
    <x v="0"/>
    <n v="105400"/>
    <n v="19100"/>
    <n v="124500"/>
    <s v="E"/>
    <d v="2018-03-09T00:00:00"/>
    <x v="2"/>
  </r>
  <r>
    <x v="3163"/>
    <x v="1"/>
    <n v="34"/>
    <x v="4"/>
    <x v="8"/>
    <x v="1"/>
    <n v="5"/>
    <n v="4.2"/>
    <x v="1"/>
    <n v="3"/>
    <x v="0"/>
    <n v="85100"/>
    <n v="10100"/>
    <n v="95200"/>
    <s v="D"/>
    <d v="2020-12-14T00:00:00"/>
    <x v="1"/>
  </r>
  <r>
    <x v="3164"/>
    <x v="0"/>
    <n v="45"/>
    <x v="2"/>
    <x v="18"/>
    <x v="1"/>
    <n v="10.8"/>
    <n v="6.1"/>
    <x v="4"/>
    <n v="4"/>
    <x v="0"/>
    <n v="84400"/>
    <n v="6600"/>
    <n v="91000"/>
    <s v="D"/>
    <d v="2015-03-25T00:00:00"/>
    <x v="1"/>
  </r>
  <r>
    <x v="3165"/>
    <x v="1"/>
    <n v="42"/>
    <x v="4"/>
    <x v="8"/>
    <x v="2"/>
    <n v="6.7"/>
    <n v="4.5999999999999996"/>
    <x v="2"/>
    <n v="3"/>
    <x v="0"/>
    <n v="90100"/>
    <n v="11100"/>
    <n v="101200"/>
    <s v="D"/>
    <d v="2019-05-07T00:00:00"/>
    <x v="2"/>
  </r>
  <r>
    <x v="3166"/>
    <x v="0"/>
    <n v="49"/>
    <x v="5"/>
    <x v="17"/>
    <x v="1"/>
    <n v="12.4"/>
    <n v="7.9"/>
    <x v="3"/>
    <n v="4"/>
    <x v="2"/>
    <n v="104400"/>
    <n v="8000"/>
    <n v="112400"/>
    <s v="E"/>
    <d v="2013-07-29T00:00:00"/>
    <x v="1"/>
  </r>
  <r>
    <x v="3167"/>
    <x v="0"/>
    <n v="50"/>
    <x v="1"/>
    <x v="7"/>
    <x v="2"/>
    <n v="6.4"/>
    <n v="1.4"/>
    <x v="2"/>
    <n v="3"/>
    <x v="0"/>
    <n v="93400"/>
    <n v="10900"/>
    <n v="104300"/>
    <s v="D"/>
    <d v="2019-08-03T00:00:00"/>
    <x v="2"/>
  </r>
  <r>
    <x v="3168"/>
    <x v="0"/>
    <n v="32"/>
    <x v="0"/>
    <x v="2"/>
    <x v="1"/>
    <n v="12.3"/>
    <n v="8.1"/>
    <x v="3"/>
    <n v="4"/>
    <x v="0"/>
    <n v="81400"/>
    <n v="10600"/>
    <n v="92000"/>
    <s v="D"/>
    <d v="2013-09-07T00:00:00"/>
    <x v="1"/>
  </r>
  <r>
    <x v="3169"/>
    <x v="0"/>
    <n v="26"/>
    <x v="1"/>
    <x v="7"/>
    <x v="1"/>
    <n v="2.2000000000000002"/>
    <n v="1.6"/>
    <x v="0"/>
    <n v="4"/>
    <x v="1"/>
    <n v="53300"/>
    <n v="3100"/>
    <n v="56400"/>
    <s v="B"/>
    <d v="2023-10-07T00:00:00"/>
    <x v="1"/>
  </r>
  <r>
    <x v="3170"/>
    <x v="1"/>
    <n v="39"/>
    <x v="1"/>
    <x v="7"/>
    <x v="2"/>
    <n v="12.4"/>
    <n v="8.9"/>
    <x v="3"/>
    <n v="4"/>
    <x v="0"/>
    <n v="94900"/>
    <n v="4600"/>
    <n v="99500"/>
    <s v="D"/>
    <d v="2013-07-29T00:00:00"/>
    <x v="2"/>
  </r>
  <r>
    <x v="3171"/>
    <x v="0"/>
    <n v="24"/>
    <x v="3"/>
    <x v="12"/>
    <x v="2"/>
    <n v="2.2000000000000002"/>
    <n v="0"/>
    <x v="0"/>
    <n v="5"/>
    <x v="0"/>
    <n v="70200"/>
    <n v="2900"/>
    <n v="73100"/>
    <s v="C"/>
    <d v="2023-11-07T00:00:00"/>
    <x v="2"/>
  </r>
  <r>
    <x v="3172"/>
    <x v="0"/>
    <n v="45"/>
    <x v="3"/>
    <x v="12"/>
    <x v="1"/>
    <n v="8"/>
    <n v="7.1"/>
    <x v="2"/>
    <n v="3"/>
    <x v="0"/>
    <n v="78200"/>
    <n v="4900"/>
    <n v="83100"/>
    <s v="C"/>
    <d v="2017-12-20T00:00:00"/>
    <x v="1"/>
  </r>
  <r>
    <x v="3173"/>
    <x v="1"/>
    <n v="55"/>
    <x v="1"/>
    <x v="3"/>
    <x v="1"/>
    <n v="8.4"/>
    <n v="3.8"/>
    <x v="2"/>
    <n v="5"/>
    <x v="0"/>
    <n v="81700"/>
    <n v="4200"/>
    <n v="85900"/>
    <s v="D"/>
    <d v="2017-08-02T00:00:00"/>
    <x v="1"/>
  </r>
  <r>
    <x v="3174"/>
    <x v="1"/>
    <n v="38"/>
    <x v="2"/>
    <x v="18"/>
    <x v="1"/>
    <n v="2.4"/>
    <n v="1.5"/>
    <x v="0"/>
    <n v="3"/>
    <x v="0"/>
    <n v="59100"/>
    <n v="6000"/>
    <n v="65100"/>
    <s v="B"/>
    <d v="2023-08-21T00:00:00"/>
    <x v="1"/>
  </r>
  <r>
    <x v="3175"/>
    <x v="0"/>
    <n v="36"/>
    <x v="3"/>
    <x v="5"/>
    <x v="2"/>
    <n v="1.1000000000000001"/>
    <n v="1.1000000000000001"/>
    <x v="0"/>
    <n v="4"/>
    <x v="0"/>
    <n v="66700"/>
    <n v="2500"/>
    <n v="69200"/>
    <s v="C"/>
    <d v="2024-11-17T00:00:00"/>
    <x v="2"/>
  </r>
  <r>
    <x v="3176"/>
    <x v="0"/>
    <n v="37"/>
    <x v="0"/>
    <x v="1"/>
    <x v="1"/>
    <n v="10.6"/>
    <n v="7.7"/>
    <x v="4"/>
    <n v="4"/>
    <x v="0"/>
    <n v="83400"/>
    <n v="8800"/>
    <n v="92200"/>
    <s v="D"/>
    <d v="2015-05-27T00:00:00"/>
    <x v="1"/>
  </r>
  <r>
    <x v="3177"/>
    <x v="0"/>
    <n v="41"/>
    <x v="2"/>
    <x v="18"/>
    <x v="1"/>
    <n v="2.2000000000000002"/>
    <n v="1.1000000000000001"/>
    <x v="0"/>
    <n v="4"/>
    <x v="1"/>
    <n v="40600"/>
    <n v="3700"/>
    <n v="44300"/>
    <s v="A"/>
    <d v="2023-11-07T00:00:00"/>
    <x v="1"/>
  </r>
  <r>
    <x v="3178"/>
    <x v="0"/>
    <n v="37"/>
    <x v="4"/>
    <x v="14"/>
    <x v="1"/>
    <n v="13.6"/>
    <n v="12.6"/>
    <x v="3"/>
    <n v="2"/>
    <x v="0"/>
    <n v="109700"/>
    <n v="14500"/>
    <n v="124200"/>
    <s v="E"/>
    <d v="2012-05-28T00:00:00"/>
    <x v="1"/>
  </r>
  <r>
    <x v="3179"/>
    <x v="0"/>
    <n v="28"/>
    <x v="3"/>
    <x v="12"/>
    <x v="1"/>
    <n v="13.2"/>
    <n v="7.3"/>
    <x v="3"/>
    <n v="3"/>
    <x v="1"/>
    <n v="41800"/>
    <n v="2200"/>
    <n v="44000"/>
    <s v="A"/>
    <d v="2012-10-07T00:00:00"/>
    <x v="1"/>
  </r>
  <r>
    <x v="3180"/>
    <x v="0"/>
    <n v="26"/>
    <x v="0"/>
    <x v="2"/>
    <x v="1"/>
    <n v="10.199999999999999"/>
    <n v="8.4"/>
    <x v="4"/>
    <n v="3"/>
    <x v="0"/>
    <n v="69600"/>
    <n v="8700"/>
    <n v="78300"/>
    <s v="C"/>
    <d v="2015-10-23T00:00:00"/>
    <x v="1"/>
  </r>
  <r>
    <x v="3181"/>
    <x v="0"/>
    <n v="34"/>
    <x v="1"/>
    <x v="3"/>
    <x v="1"/>
    <n v="9.6999999999999993"/>
    <n v="4.0999999999999996"/>
    <x v="4"/>
    <n v="4"/>
    <x v="0"/>
    <n v="85700"/>
    <n v="6500"/>
    <n v="92200"/>
    <s v="D"/>
    <d v="2016-05-05T00:00:00"/>
    <x v="1"/>
  </r>
  <r>
    <x v="3182"/>
    <x v="1"/>
    <n v="34"/>
    <x v="5"/>
    <x v="17"/>
    <x v="0"/>
    <n v="9.1999999999999993"/>
    <n v="5.2"/>
    <x v="4"/>
    <n v="2"/>
    <x v="0"/>
    <n v="93900"/>
    <n v="18500"/>
    <n v="112400"/>
    <s v="D"/>
    <d v="2016-11-02T00:00:00"/>
    <x v="0"/>
  </r>
  <r>
    <x v="3183"/>
    <x v="0"/>
    <n v="42"/>
    <x v="2"/>
    <x v="11"/>
    <x v="3"/>
    <n v="5.6"/>
    <n v="4.0999999999999996"/>
    <x v="1"/>
    <n v="3"/>
    <x v="0"/>
    <n v="93600"/>
    <n v="4200"/>
    <n v="97800"/>
    <s v="D"/>
    <d v="2020-06-12T00:00:00"/>
    <x v="3"/>
  </r>
  <r>
    <x v="3184"/>
    <x v="0"/>
    <n v="36"/>
    <x v="4"/>
    <x v="16"/>
    <x v="0"/>
    <n v="7.2"/>
    <n v="3.6"/>
    <x v="2"/>
    <n v="4"/>
    <x v="0"/>
    <n v="101400"/>
    <n v="7600"/>
    <n v="109000"/>
    <s v="E"/>
    <d v="2018-10-16T00:00:00"/>
    <x v="0"/>
  </r>
  <r>
    <x v="3185"/>
    <x v="0"/>
    <n v="21"/>
    <x v="4"/>
    <x v="14"/>
    <x v="2"/>
    <n v="9.8000000000000007"/>
    <n v="6.9"/>
    <x v="4"/>
    <n v="4"/>
    <x v="0"/>
    <n v="93900"/>
    <n v="13600"/>
    <n v="107500"/>
    <s v="D"/>
    <d v="2016-03-22T00:00:00"/>
    <x v="2"/>
  </r>
  <r>
    <x v="3186"/>
    <x v="0"/>
    <n v="34"/>
    <x v="3"/>
    <x v="12"/>
    <x v="1"/>
    <n v="8.5"/>
    <n v="4.7"/>
    <x v="2"/>
    <n v="3"/>
    <x v="2"/>
    <n v="59300"/>
    <n v="5200"/>
    <n v="64500"/>
    <s v="B"/>
    <d v="2017-07-07T00:00:00"/>
    <x v="1"/>
  </r>
  <r>
    <x v="3187"/>
    <x v="1"/>
    <n v="21"/>
    <x v="0"/>
    <x v="2"/>
    <x v="2"/>
    <n v="10.5"/>
    <n v="9.5"/>
    <x v="4"/>
    <n v="4"/>
    <x v="0"/>
    <n v="77700"/>
    <n v="5700"/>
    <n v="83400"/>
    <s v="C"/>
    <d v="2015-06-28T00:00:00"/>
    <x v="2"/>
  </r>
  <r>
    <x v="3188"/>
    <x v="1"/>
    <n v="32"/>
    <x v="2"/>
    <x v="18"/>
    <x v="2"/>
    <n v="1.6"/>
    <n v="1.6"/>
    <x v="0"/>
    <n v="2"/>
    <x v="2"/>
    <n v="61800"/>
    <n v="2200"/>
    <n v="64000"/>
    <s v="B"/>
    <d v="2024-05-28T00:00:00"/>
    <x v="2"/>
  </r>
  <r>
    <x v="3189"/>
    <x v="1"/>
    <n v="23"/>
    <x v="1"/>
    <x v="3"/>
    <x v="2"/>
    <n v="8.4"/>
    <n v="4.0999999999999996"/>
    <x v="2"/>
    <n v="3"/>
    <x v="0"/>
    <n v="86100"/>
    <n v="10200"/>
    <n v="96300"/>
    <s v="D"/>
    <d v="2017-08-14T00:00:00"/>
    <x v="2"/>
  </r>
  <r>
    <x v="3190"/>
    <x v="1"/>
    <n v="53"/>
    <x v="3"/>
    <x v="5"/>
    <x v="1"/>
    <n v="8.3000000000000007"/>
    <n v="5.7"/>
    <x v="2"/>
    <n v="3"/>
    <x v="0"/>
    <n v="74800"/>
    <n v="2400"/>
    <n v="77200"/>
    <s v="C"/>
    <d v="2017-09-15T00:00:00"/>
    <x v="1"/>
  </r>
  <r>
    <x v="3191"/>
    <x v="1"/>
    <n v="42"/>
    <x v="4"/>
    <x v="6"/>
    <x v="1"/>
    <n v="3.3"/>
    <n v="1.1000000000000001"/>
    <x v="1"/>
    <n v="4"/>
    <x v="0"/>
    <n v="65800"/>
    <n v="6500"/>
    <n v="72300"/>
    <s v="C"/>
    <d v="2022-09-01T00:00:00"/>
    <x v="1"/>
  </r>
  <r>
    <x v="3192"/>
    <x v="0"/>
    <n v="38"/>
    <x v="5"/>
    <x v="9"/>
    <x v="2"/>
    <n v="5.4"/>
    <n v="5.4"/>
    <x v="1"/>
    <n v="5"/>
    <x v="0"/>
    <n v="107800"/>
    <n v="22100"/>
    <n v="129900"/>
    <s v="E"/>
    <d v="2020-07-29T00:00:00"/>
    <x v="2"/>
  </r>
  <r>
    <x v="3193"/>
    <x v="1"/>
    <n v="37"/>
    <x v="2"/>
    <x v="4"/>
    <x v="1"/>
    <n v="10.7"/>
    <n v="6.8"/>
    <x v="4"/>
    <n v="3"/>
    <x v="0"/>
    <n v="76100"/>
    <n v="5100"/>
    <n v="81200"/>
    <s v="C"/>
    <d v="2015-04-17T00:00:00"/>
    <x v="1"/>
  </r>
  <r>
    <x v="3194"/>
    <x v="1"/>
    <n v="40"/>
    <x v="2"/>
    <x v="4"/>
    <x v="2"/>
    <n v="1.1000000000000001"/>
    <n v="0"/>
    <x v="0"/>
    <n v="4"/>
    <x v="2"/>
    <n v="62400"/>
    <n v="3000"/>
    <n v="65400"/>
    <s v="B"/>
    <d v="2024-11-29T00:00:00"/>
    <x v="2"/>
  </r>
  <r>
    <x v="3195"/>
    <x v="1"/>
    <n v="27"/>
    <x v="4"/>
    <x v="6"/>
    <x v="1"/>
    <n v="8.3000000000000007"/>
    <n v="8.3000000000000007"/>
    <x v="2"/>
    <n v="3"/>
    <x v="0"/>
    <n v="82100"/>
    <n v="10600"/>
    <n v="92700"/>
    <s v="D"/>
    <d v="2017-09-13T00:00:00"/>
    <x v="1"/>
  </r>
  <r>
    <x v="3196"/>
    <x v="0"/>
    <n v="24"/>
    <x v="0"/>
    <x v="1"/>
    <x v="1"/>
    <n v="4.9000000000000004"/>
    <n v="2.6"/>
    <x v="1"/>
    <n v="2"/>
    <x v="1"/>
    <n v="46200"/>
    <n v="3900"/>
    <n v="50100"/>
    <s v="A"/>
    <d v="2021-02-23T00:00:00"/>
    <x v="1"/>
  </r>
  <r>
    <x v="3197"/>
    <x v="0"/>
    <n v="33"/>
    <x v="2"/>
    <x v="11"/>
    <x v="0"/>
    <n v="13.5"/>
    <n v="8.8000000000000007"/>
    <x v="3"/>
    <n v="4"/>
    <x v="0"/>
    <n v="117100"/>
    <n v="5600"/>
    <n v="122700"/>
    <s v="E"/>
    <d v="2012-07-06T00:00:00"/>
    <x v="0"/>
  </r>
  <r>
    <x v="3198"/>
    <x v="1"/>
    <n v="40"/>
    <x v="5"/>
    <x v="15"/>
    <x v="1"/>
    <n v="8.1999999999999993"/>
    <n v="7.2"/>
    <x v="2"/>
    <n v="3"/>
    <x v="0"/>
    <n v="66800"/>
    <n v="13000"/>
    <n v="79800"/>
    <s v="C"/>
    <d v="2017-10-30T00:00:00"/>
    <x v="1"/>
  </r>
  <r>
    <x v="3199"/>
    <x v="1"/>
    <n v="21"/>
    <x v="4"/>
    <x v="14"/>
    <x v="3"/>
    <n v="12.3"/>
    <n v="10.1"/>
    <x v="3"/>
    <n v="3"/>
    <x v="1"/>
    <n v="83600"/>
    <n v="7300"/>
    <n v="90900"/>
    <s v="D"/>
    <d v="2013-09-07T00:00:00"/>
    <x v="3"/>
  </r>
  <r>
    <x v="3200"/>
    <x v="1"/>
    <n v="38"/>
    <x v="0"/>
    <x v="0"/>
    <x v="2"/>
    <n v="3.6"/>
    <n v="1.5"/>
    <x v="1"/>
    <n v="2"/>
    <x v="0"/>
    <n v="102300"/>
    <n v="5900"/>
    <n v="108200"/>
    <s v="E"/>
    <d v="2022-05-23T00:00:00"/>
    <x v="2"/>
  </r>
  <r>
    <x v="3201"/>
    <x v="0"/>
    <n v="25"/>
    <x v="4"/>
    <x v="8"/>
    <x v="1"/>
    <n v="2.9"/>
    <n v="0.1"/>
    <x v="0"/>
    <n v="3"/>
    <x v="0"/>
    <n v="78300"/>
    <n v="11500"/>
    <n v="89800"/>
    <s v="C"/>
    <d v="2023-01-31T00:00:00"/>
    <x v="1"/>
  </r>
  <r>
    <x v="3202"/>
    <x v="1"/>
    <n v="21"/>
    <x v="4"/>
    <x v="6"/>
    <x v="1"/>
    <n v="1.5"/>
    <n v="1.5"/>
    <x v="0"/>
    <n v="2"/>
    <x v="0"/>
    <n v="68300"/>
    <n v="7100"/>
    <n v="75400"/>
    <s v="C"/>
    <d v="2024-06-26T00:00:00"/>
    <x v="1"/>
  </r>
  <r>
    <x v="3203"/>
    <x v="1"/>
    <n v="26"/>
    <x v="0"/>
    <x v="1"/>
    <x v="0"/>
    <n v="9.1"/>
    <n v="5.3"/>
    <x v="4"/>
    <n v="3"/>
    <x v="0"/>
    <n v="80300"/>
    <n v="8500"/>
    <n v="88800"/>
    <s v="D"/>
    <d v="2016-11-28T00:00:00"/>
    <x v="0"/>
  </r>
  <r>
    <x v="3204"/>
    <x v="1"/>
    <n v="31"/>
    <x v="0"/>
    <x v="1"/>
    <x v="0"/>
    <n v="1.9"/>
    <n v="0.6"/>
    <x v="0"/>
    <n v="3"/>
    <x v="1"/>
    <n v="40700"/>
    <n v="5000"/>
    <n v="45700"/>
    <s v="A"/>
    <d v="2024-01-31T00:00:00"/>
    <x v="0"/>
  </r>
  <r>
    <x v="3205"/>
    <x v="0"/>
    <n v="32"/>
    <x v="3"/>
    <x v="13"/>
    <x v="2"/>
    <n v="11.1"/>
    <n v="7"/>
    <x v="4"/>
    <n v="3"/>
    <x v="0"/>
    <n v="103300"/>
    <n v="8500"/>
    <n v="111800"/>
    <s v="E"/>
    <d v="2014-11-09T00:00:00"/>
    <x v="2"/>
  </r>
  <r>
    <x v="3206"/>
    <x v="1"/>
    <n v="28"/>
    <x v="2"/>
    <x v="4"/>
    <x v="1"/>
    <n v="11.3"/>
    <n v="5.7"/>
    <x v="4"/>
    <n v="3"/>
    <x v="0"/>
    <n v="89000"/>
    <n v="5200"/>
    <n v="94200"/>
    <s v="D"/>
    <d v="2014-09-26T00:00:00"/>
    <x v="1"/>
  </r>
  <r>
    <x v="3207"/>
    <x v="0"/>
    <n v="52"/>
    <x v="1"/>
    <x v="7"/>
    <x v="1"/>
    <n v="3"/>
    <n v="2.2000000000000002"/>
    <x v="1"/>
    <n v="3"/>
    <x v="2"/>
    <n v="75500"/>
    <n v="7900"/>
    <n v="83400"/>
    <s v="C"/>
    <d v="2023-01-07T00:00:00"/>
    <x v="1"/>
  </r>
  <r>
    <x v="3208"/>
    <x v="1"/>
    <n v="50"/>
    <x v="1"/>
    <x v="7"/>
    <x v="1"/>
    <n v="4.2"/>
    <n v="0.6"/>
    <x v="1"/>
    <n v="4"/>
    <x v="0"/>
    <n v="77300"/>
    <n v="3700"/>
    <n v="81000"/>
    <s v="C"/>
    <d v="2021-11-05T00:00:00"/>
    <x v="1"/>
  </r>
  <r>
    <x v="3209"/>
    <x v="0"/>
    <n v="33"/>
    <x v="0"/>
    <x v="2"/>
    <x v="1"/>
    <n v="9.8000000000000007"/>
    <n v="5.8"/>
    <x v="4"/>
    <n v="4"/>
    <x v="0"/>
    <n v="81300"/>
    <n v="5800"/>
    <n v="87100"/>
    <s v="D"/>
    <d v="2016-03-01T00:00:00"/>
    <x v="1"/>
  </r>
  <r>
    <x v="3210"/>
    <x v="1"/>
    <n v="40"/>
    <x v="3"/>
    <x v="12"/>
    <x v="3"/>
    <n v="9.1"/>
    <n v="5.8"/>
    <x v="4"/>
    <n v="5"/>
    <x v="0"/>
    <n v="75600"/>
    <n v="3200"/>
    <n v="78800"/>
    <s v="C"/>
    <d v="2016-11-09T00:00:00"/>
    <x v="3"/>
  </r>
  <r>
    <x v="3211"/>
    <x v="1"/>
    <n v="28"/>
    <x v="5"/>
    <x v="17"/>
    <x v="1"/>
    <n v="8"/>
    <n v="5.5"/>
    <x v="2"/>
    <n v="2"/>
    <x v="0"/>
    <n v="99700"/>
    <n v="11400"/>
    <n v="111100"/>
    <s v="D"/>
    <d v="2018-01-09T00:00:00"/>
    <x v="1"/>
  </r>
  <r>
    <x v="3212"/>
    <x v="0"/>
    <n v="34"/>
    <x v="5"/>
    <x v="17"/>
    <x v="1"/>
    <n v="5.3"/>
    <n v="3.6"/>
    <x v="1"/>
    <n v="3"/>
    <x v="0"/>
    <n v="91900"/>
    <n v="14200"/>
    <n v="106100"/>
    <s v="D"/>
    <d v="2020-09-12T00:00:00"/>
    <x v="1"/>
  </r>
  <r>
    <x v="3213"/>
    <x v="1"/>
    <n v="24"/>
    <x v="2"/>
    <x v="11"/>
    <x v="1"/>
    <n v="9.4"/>
    <n v="6.1"/>
    <x v="4"/>
    <n v="2"/>
    <x v="2"/>
    <n v="90100"/>
    <n v="6800"/>
    <n v="96900"/>
    <s v="D"/>
    <d v="2016-07-23T00:00:00"/>
    <x v="1"/>
  </r>
  <r>
    <x v="3214"/>
    <x v="0"/>
    <n v="34"/>
    <x v="3"/>
    <x v="12"/>
    <x v="2"/>
    <n v="4.8"/>
    <n v="4"/>
    <x v="1"/>
    <n v="4"/>
    <x v="0"/>
    <n v="63200"/>
    <n v="2000"/>
    <n v="65200"/>
    <s v="B"/>
    <d v="2021-02-26T00:00:00"/>
    <x v="2"/>
  </r>
  <r>
    <x v="3215"/>
    <x v="1"/>
    <n v="43"/>
    <x v="0"/>
    <x v="2"/>
    <x v="2"/>
    <n v="6.5"/>
    <n v="4.5"/>
    <x v="2"/>
    <n v="3"/>
    <x v="0"/>
    <n v="74800"/>
    <n v="7300"/>
    <n v="82100"/>
    <s v="C"/>
    <d v="2019-07-08T00:00:00"/>
    <x v="2"/>
  </r>
  <r>
    <x v="3216"/>
    <x v="0"/>
    <n v="36"/>
    <x v="1"/>
    <x v="10"/>
    <x v="2"/>
    <n v="3.9"/>
    <n v="2.4"/>
    <x v="1"/>
    <n v="3"/>
    <x v="0"/>
    <n v="92000"/>
    <n v="6300"/>
    <n v="98300"/>
    <s v="D"/>
    <d v="2022-01-26T00:00:00"/>
    <x v="2"/>
  </r>
  <r>
    <x v="3217"/>
    <x v="1"/>
    <n v="37"/>
    <x v="0"/>
    <x v="0"/>
    <x v="2"/>
    <n v="4.2"/>
    <n v="2.1"/>
    <x v="1"/>
    <n v="3"/>
    <x v="0"/>
    <n v="99200"/>
    <n v="12000"/>
    <n v="111200"/>
    <s v="D"/>
    <d v="2021-11-06T00:00:00"/>
    <x v="2"/>
  </r>
  <r>
    <x v="3218"/>
    <x v="1"/>
    <n v="30"/>
    <x v="5"/>
    <x v="17"/>
    <x v="1"/>
    <n v="9.5"/>
    <n v="6.3"/>
    <x v="4"/>
    <n v="3"/>
    <x v="1"/>
    <n v="64400"/>
    <n v="6100"/>
    <n v="70500"/>
    <s v="B"/>
    <d v="2016-06-14T00:00:00"/>
    <x v="1"/>
  </r>
  <r>
    <x v="3219"/>
    <x v="1"/>
    <n v="33"/>
    <x v="5"/>
    <x v="9"/>
    <x v="1"/>
    <n v="4.5"/>
    <n v="4.5"/>
    <x v="1"/>
    <n v="3"/>
    <x v="0"/>
    <n v="86200"/>
    <n v="16500"/>
    <n v="102700"/>
    <s v="D"/>
    <d v="2021-06-20T00:00:00"/>
    <x v="1"/>
  </r>
  <r>
    <x v="3220"/>
    <x v="0"/>
    <n v="27"/>
    <x v="0"/>
    <x v="1"/>
    <x v="1"/>
    <n v="1.5"/>
    <n v="1.5"/>
    <x v="0"/>
    <n v="3"/>
    <x v="0"/>
    <n v="64300"/>
    <n v="7900"/>
    <n v="72200"/>
    <s v="B"/>
    <d v="2024-07-11T00:00:00"/>
    <x v="1"/>
  </r>
  <r>
    <x v="3221"/>
    <x v="1"/>
    <n v="34"/>
    <x v="0"/>
    <x v="1"/>
    <x v="1"/>
    <n v="1.1000000000000001"/>
    <n v="0.3"/>
    <x v="0"/>
    <n v="3"/>
    <x v="0"/>
    <n v="82200"/>
    <n v="5600"/>
    <n v="87800"/>
    <s v="D"/>
    <d v="2024-11-25T00:00:00"/>
    <x v="1"/>
  </r>
  <r>
    <x v="3222"/>
    <x v="0"/>
    <n v="31"/>
    <x v="3"/>
    <x v="13"/>
    <x v="2"/>
    <n v="5.3"/>
    <n v="3.5"/>
    <x v="1"/>
    <n v="3"/>
    <x v="0"/>
    <n v="94100"/>
    <n v="5200"/>
    <n v="99300"/>
    <s v="D"/>
    <d v="2020-09-24T00:00:00"/>
    <x v="2"/>
  </r>
  <r>
    <x v="3223"/>
    <x v="0"/>
    <n v="44"/>
    <x v="4"/>
    <x v="14"/>
    <x v="2"/>
    <n v="12.4"/>
    <n v="9.8000000000000007"/>
    <x v="3"/>
    <n v="3"/>
    <x v="2"/>
    <n v="94600"/>
    <n v="5400"/>
    <n v="100000"/>
    <s v="D"/>
    <d v="2013-08-03T00:00:00"/>
    <x v="2"/>
  </r>
  <r>
    <x v="3224"/>
    <x v="0"/>
    <n v="42"/>
    <x v="1"/>
    <x v="3"/>
    <x v="3"/>
    <n v="10.199999999999999"/>
    <n v="6"/>
    <x v="4"/>
    <n v="2"/>
    <x v="1"/>
    <n v="48700"/>
    <n v="3600"/>
    <n v="52300"/>
    <s v="A"/>
    <d v="2015-10-21T00:00:00"/>
    <x v="3"/>
  </r>
  <r>
    <x v="3225"/>
    <x v="0"/>
    <n v="28"/>
    <x v="1"/>
    <x v="3"/>
    <x v="1"/>
    <n v="5.4"/>
    <n v="4.0999999999999996"/>
    <x v="1"/>
    <n v="3"/>
    <x v="0"/>
    <n v="80200"/>
    <n v="6400"/>
    <n v="86600"/>
    <s v="D"/>
    <d v="2020-08-15T00:00:00"/>
    <x v="1"/>
  </r>
  <r>
    <x v="3226"/>
    <x v="0"/>
    <n v="39"/>
    <x v="1"/>
    <x v="3"/>
    <x v="2"/>
    <n v="4.5999999999999996"/>
    <n v="4.5999999999999996"/>
    <x v="1"/>
    <n v="2"/>
    <x v="0"/>
    <n v="84800"/>
    <n v="4300"/>
    <n v="89100"/>
    <s v="D"/>
    <d v="2021-05-27T00:00:00"/>
    <x v="2"/>
  </r>
  <r>
    <x v="3227"/>
    <x v="1"/>
    <n v="31"/>
    <x v="1"/>
    <x v="10"/>
    <x v="1"/>
    <n v="10.5"/>
    <n v="8.6"/>
    <x v="4"/>
    <n v="4"/>
    <x v="0"/>
    <n v="115700"/>
    <n v="12600"/>
    <n v="128300"/>
    <s v="E"/>
    <d v="2015-07-13T00:00:00"/>
    <x v="1"/>
  </r>
  <r>
    <x v="3228"/>
    <x v="1"/>
    <n v="26"/>
    <x v="4"/>
    <x v="8"/>
    <x v="1"/>
    <n v="9.5"/>
    <n v="6.9"/>
    <x v="4"/>
    <n v="2"/>
    <x v="0"/>
    <n v="82400"/>
    <n v="9000"/>
    <n v="91400"/>
    <s v="D"/>
    <d v="2016-06-17T00:00:00"/>
    <x v="1"/>
  </r>
  <r>
    <x v="3229"/>
    <x v="1"/>
    <n v="30"/>
    <x v="2"/>
    <x v="4"/>
    <x v="2"/>
    <n v="6"/>
    <n v="4.7"/>
    <x v="2"/>
    <n v="3"/>
    <x v="0"/>
    <n v="87600"/>
    <n v="3900"/>
    <n v="91500"/>
    <s v="D"/>
    <d v="2019-12-19T00:00:00"/>
    <x v="2"/>
  </r>
  <r>
    <x v="3230"/>
    <x v="1"/>
    <n v="31"/>
    <x v="0"/>
    <x v="0"/>
    <x v="2"/>
    <n v="1.5"/>
    <n v="0.5"/>
    <x v="0"/>
    <n v="4"/>
    <x v="0"/>
    <n v="87600"/>
    <n v="9200"/>
    <n v="96800"/>
    <s v="D"/>
    <d v="2024-06-17T00:00:00"/>
    <x v="2"/>
  </r>
  <r>
    <x v="3231"/>
    <x v="0"/>
    <n v="26"/>
    <x v="0"/>
    <x v="1"/>
    <x v="1"/>
    <n v="11.3"/>
    <n v="8.3000000000000007"/>
    <x v="4"/>
    <n v="3"/>
    <x v="0"/>
    <n v="87700"/>
    <n v="5300"/>
    <n v="93000"/>
    <s v="D"/>
    <d v="2014-09-21T00:00:00"/>
    <x v="1"/>
  </r>
  <r>
    <x v="3232"/>
    <x v="1"/>
    <n v="34"/>
    <x v="2"/>
    <x v="18"/>
    <x v="1"/>
    <n v="7.2"/>
    <n v="3.9"/>
    <x v="2"/>
    <n v="2"/>
    <x v="0"/>
    <n v="63100"/>
    <n v="2500"/>
    <n v="65600"/>
    <s v="B"/>
    <d v="2018-10-24T00:00:00"/>
    <x v="1"/>
  </r>
  <r>
    <x v="3233"/>
    <x v="0"/>
    <n v="22"/>
    <x v="5"/>
    <x v="17"/>
    <x v="1"/>
    <n v="2.1"/>
    <n v="2.1"/>
    <x v="0"/>
    <n v="2"/>
    <x v="0"/>
    <n v="100300"/>
    <n v="8100"/>
    <n v="108400"/>
    <s v="E"/>
    <d v="2023-11-28T00:00:00"/>
    <x v="1"/>
  </r>
  <r>
    <x v="3234"/>
    <x v="0"/>
    <n v="39"/>
    <x v="1"/>
    <x v="7"/>
    <x v="1"/>
    <n v="13.7"/>
    <n v="10.6"/>
    <x v="3"/>
    <n v="3"/>
    <x v="1"/>
    <n v="54600"/>
    <n v="6200"/>
    <n v="60800"/>
    <s v="B"/>
    <d v="2012-04-25T00:00:00"/>
    <x v="1"/>
  </r>
  <r>
    <x v="3235"/>
    <x v="0"/>
    <n v="39"/>
    <x v="4"/>
    <x v="8"/>
    <x v="1"/>
    <n v="11"/>
    <n v="8"/>
    <x v="4"/>
    <n v="4"/>
    <x v="0"/>
    <n v="87800"/>
    <n v="9500"/>
    <n v="97300"/>
    <s v="D"/>
    <d v="2015-01-05T00:00:00"/>
    <x v="1"/>
  </r>
  <r>
    <x v="3236"/>
    <x v="1"/>
    <n v="31"/>
    <x v="5"/>
    <x v="9"/>
    <x v="3"/>
    <n v="7.6"/>
    <n v="5.5"/>
    <x v="2"/>
    <n v="4"/>
    <x v="0"/>
    <n v="101300"/>
    <n v="9800"/>
    <n v="111100"/>
    <s v="E"/>
    <d v="2018-05-31T00:00:00"/>
    <x v="3"/>
  </r>
  <r>
    <x v="3237"/>
    <x v="0"/>
    <n v="21"/>
    <x v="0"/>
    <x v="1"/>
    <x v="0"/>
    <n v="1.3"/>
    <n v="0"/>
    <x v="0"/>
    <n v="3"/>
    <x v="0"/>
    <n v="64700"/>
    <n v="5400"/>
    <n v="70100"/>
    <s v="B"/>
    <d v="2024-08-31T00:00:00"/>
    <x v="0"/>
  </r>
  <r>
    <x v="3238"/>
    <x v="0"/>
    <n v="21"/>
    <x v="0"/>
    <x v="1"/>
    <x v="3"/>
    <n v="12.9"/>
    <n v="11.6"/>
    <x v="3"/>
    <n v="4"/>
    <x v="2"/>
    <n v="78100"/>
    <n v="8400"/>
    <n v="86500"/>
    <s v="C"/>
    <d v="2013-02-08T00:00:00"/>
    <x v="3"/>
  </r>
  <r>
    <x v="3239"/>
    <x v="1"/>
    <n v="36"/>
    <x v="1"/>
    <x v="7"/>
    <x v="2"/>
    <n v="7.6"/>
    <n v="4.2"/>
    <x v="2"/>
    <n v="3"/>
    <x v="0"/>
    <n v="81000"/>
    <n v="4000"/>
    <n v="85000"/>
    <s v="D"/>
    <d v="2018-06-13T00:00:00"/>
    <x v="2"/>
  </r>
  <r>
    <x v="3240"/>
    <x v="0"/>
    <n v="32"/>
    <x v="1"/>
    <x v="7"/>
    <x v="3"/>
    <n v="7.6"/>
    <n v="4.4000000000000004"/>
    <x v="2"/>
    <n v="2"/>
    <x v="2"/>
    <n v="69700"/>
    <n v="5800"/>
    <n v="75500"/>
    <s v="C"/>
    <d v="2018-05-29T00:00:00"/>
    <x v="3"/>
  </r>
  <r>
    <x v="3241"/>
    <x v="1"/>
    <n v="36"/>
    <x v="3"/>
    <x v="12"/>
    <x v="1"/>
    <n v="10.8"/>
    <n v="7.9"/>
    <x v="4"/>
    <n v="4"/>
    <x v="2"/>
    <n v="58500"/>
    <n v="2600"/>
    <n v="61100"/>
    <s v="B"/>
    <d v="2015-03-18T00:00:00"/>
    <x v="1"/>
  </r>
  <r>
    <x v="3242"/>
    <x v="1"/>
    <n v="33"/>
    <x v="5"/>
    <x v="15"/>
    <x v="1"/>
    <n v="6.5"/>
    <n v="3.1"/>
    <x v="2"/>
    <n v="4"/>
    <x v="0"/>
    <n v="64600"/>
    <n v="12700"/>
    <n v="77300"/>
    <s v="B"/>
    <d v="2019-06-15T00:00:00"/>
    <x v="1"/>
  </r>
  <r>
    <x v="3243"/>
    <x v="1"/>
    <n v="41"/>
    <x v="0"/>
    <x v="2"/>
    <x v="1"/>
    <n v="3"/>
    <n v="3"/>
    <x v="1"/>
    <n v="3"/>
    <x v="0"/>
    <n v="63700"/>
    <n v="8100"/>
    <n v="71800"/>
    <s v="B"/>
    <d v="2023-01-04T00:00:00"/>
    <x v="1"/>
  </r>
  <r>
    <x v="3244"/>
    <x v="0"/>
    <n v="37"/>
    <x v="0"/>
    <x v="2"/>
    <x v="1"/>
    <n v="9.6"/>
    <n v="6.6"/>
    <x v="4"/>
    <n v="3"/>
    <x v="0"/>
    <n v="71400"/>
    <n v="3700"/>
    <n v="75100"/>
    <s v="C"/>
    <d v="2016-05-10T00:00:00"/>
    <x v="1"/>
  </r>
  <r>
    <x v="3245"/>
    <x v="1"/>
    <n v="42"/>
    <x v="2"/>
    <x v="4"/>
    <x v="2"/>
    <n v="5.7"/>
    <n v="5.7"/>
    <x v="1"/>
    <n v="3"/>
    <x v="0"/>
    <n v="77400"/>
    <n v="7800"/>
    <n v="85200"/>
    <s v="C"/>
    <d v="2020-05-03T00:00:00"/>
    <x v="2"/>
  </r>
  <r>
    <x v="3246"/>
    <x v="1"/>
    <n v="38"/>
    <x v="4"/>
    <x v="16"/>
    <x v="1"/>
    <n v="7"/>
    <n v="3.4"/>
    <x v="2"/>
    <n v="3"/>
    <x v="0"/>
    <n v="106700"/>
    <n v="7600"/>
    <n v="114300"/>
    <s v="E"/>
    <d v="2019-01-19T00:00:00"/>
    <x v="1"/>
  </r>
  <r>
    <x v="3247"/>
    <x v="0"/>
    <n v="29"/>
    <x v="5"/>
    <x v="15"/>
    <x v="2"/>
    <n v="10.6"/>
    <n v="7.3"/>
    <x v="4"/>
    <n v="3"/>
    <x v="1"/>
    <n v="46200"/>
    <n v="5200"/>
    <n v="51400"/>
    <s v="A"/>
    <d v="2015-05-23T00:00:00"/>
    <x v="2"/>
  </r>
  <r>
    <x v="3248"/>
    <x v="0"/>
    <n v="30"/>
    <x v="5"/>
    <x v="9"/>
    <x v="1"/>
    <n v="3"/>
    <n v="2.5"/>
    <x v="1"/>
    <n v="5"/>
    <x v="1"/>
    <n v="60700"/>
    <n v="12300"/>
    <n v="73000"/>
    <s v="B"/>
    <d v="2022-12-20T00:00:00"/>
    <x v="1"/>
  </r>
  <r>
    <x v="3249"/>
    <x v="0"/>
    <n v="27"/>
    <x v="4"/>
    <x v="8"/>
    <x v="0"/>
    <n v="12.8"/>
    <n v="7.5"/>
    <x v="3"/>
    <n v="2"/>
    <x v="0"/>
    <n v="70600"/>
    <n v="3800"/>
    <n v="74400"/>
    <s v="C"/>
    <d v="2013-03-28T00:00:00"/>
    <x v="0"/>
  </r>
  <r>
    <x v="3250"/>
    <x v="0"/>
    <n v="36"/>
    <x v="3"/>
    <x v="5"/>
    <x v="2"/>
    <n v="1.9"/>
    <n v="1.9"/>
    <x v="0"/>
    <n v="1"/>
    <x v="0"/>
    <n v="75200"/>
    <n v="3100"/>
    <n v="78300"/>
    <s v="C"/>
    <d v="2024-01-23T00:00:00"/>
    <x v="2"/>
  </r>
  <r>
    <x v="3251"/>
    <x v="1"/>
    <n v="34"/>
    <x v="1"/>
    <x v="10"/>
    <x v="1"/>
    <n v="11.2"/>
    <n v="8"/>
    <x v="4"/>
    <n v="3"/>
    <x v="0"/>
    <n v="109800"/>
    <n v="8800"/>
    <n v="118600"/>
    <s v="E"/>
    <d v="2014-10-25T00:00:00"/>
    <x v="1"/>
  </r>
  <r>
    <x v="3252"/>
    <x v="1"/>
    <n v="50"/>
    <x v="0"/>
    <x v="0"/>
    <x v="2"/>
    <n v="6.1"/>
    <n v="5.8"/>
    <x v="2"/>
    <n v="3"/>
    <x v="0"/>
    <n v="94800"/>
    <n v="9700"/>
    <n v="104500"/>
    <s v="D"/>
    <d v="2019-11-28T00:00:00"/>
    <x v="2"/>
  </r>
  <r>
    <x v="3253"/>
    <x v="0"/>
    <n v="25"/>
    <x v="5"/>
    <x v="17"/>
    <x v="2"/>
    <n v="8.4"/>
    <n v="6.1"/>
    <x v="2"/>
    <n v="4"/>
    <x v="0"/>
    <n v="126000"/>
    <n v="8900"/>
    <n v="134900"/>
    <s v="E"/>
    <d v="2017-08-15T00:00:00"/>
    <x v="2"/>
  </r>
  <r>
    <x v="3254"/>
    <x v="0"/>
    <n v="33"/>
    <x v="3"/>
    <x v="13"/>
    <x v="0"/>
    <n v="2.9"/>
    <n v="1.5"/>
    <x v="0"/>
    <n v="4"/>
    <x v="0"/>
    <n v="97100"/>
    <n v="6500"/>
    <n v="103600"/>
    <s v="D"/>
    <d v="2023-01-25T00:00:00"/>
    <x v="0"/>
  </r>
  <r>
    <x v="3255"/>
    <x v="1"/>
    <n v="40"/>
    <x v="2"/>
    <x v="4"/>
    <x v="1"/>
    <n v="2.2999999999999998"/>
    <n v="0.6"/>
    <x v="0"/>
    <n v="3"/>
    <x v="0"/>
    <n v="69500"/>
    <n v="2500"/>
    <n v="72000"/>
    <s v="C"/>
    <d v="2023-09-24T00:00:00"/>
    <x v="1"/>
  </r>
  <r>
    <x v="3256"/>
    <x v="1"/>
    <n v="36"/>
    <x v="0"/>
    <x v="1"/>
    <x v="2"/>
    <n v="13"/>
    <n v="8.4"/>
    <x v="3"/>
    <n v="3"/>
    <x v="0"/>
    <n v="80200"/>
    <n v="6100"/>
    <n v="86300"/>
    <s v="D"/>
    <d v="2013-01-18T00:00:00"/>
    <x v="2"/>
  </r>
  <r>
    <x v="3257"/>
    <x v="0"/>
    <n v="30"/>
    <x v="2"/>
    <x v="18"/>
    <x v="1"/>
    <n v="2.6"/>
    <n v="1.8"/>
    <x v="0"/>
    <n v="3"/>
    <x v="0"/>
    <n v="58100"/>
    <n v="5800"/>
    <n v="63900"/>
    <s v="B"/>
    <d v="2023-05-14T00:00:00"/>
    <x v="1"/>
  </r>
  <r>
    <x v="3258"/>
    <x v="1"/>
    <n v="36"/>
    <x v="3"/>
    <x v="5"/>
    <x v="1"/>
    <n v="3.5"/>
    <n v="3.1"/>
    <x v="1"/>
    <n v="2"/>
    <x v="0"/>
    <n v="75600"/>
    <n v="3200"/>
    <n v="78800"/>
    <s v="C"/>
    <d v="2022-06-21T00:00:00"/>
    <x v="1"/>
  </r>
  <r>
    <x v="3259"/>
    <x v="0"/>
    <n v="28"/>
    <x v="4"/>
    <x v="16"/>
    <x v="3"/>
    <n v="7.2"/>
    <n v="4.0999999999999996"/>
    <x v="2"/>
    <n v="2"/>
    <x v="0"/>
    <n v="101300"/>
    <n v="8600"/>
    <n v="109900"/>
    <s v="E"/>
    <d v="2018-10-15T00:00:00"/>
    <x v="3"/>
  </r>
  <r>
    <x v="3260"/>
    <x v="0"/>
    <n v="46"/>
    <x v="3"/>
    <x v="13"/>
    <x v="0"/>
    <n v="10.6"/>
    <n v="8.1999999999999993"/>
    <x v="4"/>
    <n v="3"/>
    <x v="0"/>
    <n v="95500"/>
    <n v="5500"/>
    <n v="101000"/>
    <s v="D"/>
    <d v="2015-06-03T00:00:00"/>
    <x v="0"/>
  </r>
  <r>
    <x v="3261"/>
    <x v="0"/>
    <n v="39"/>
    <x v="2"/>
    <x v="4"/>
    <x v="0"/>
    <n v="8.9"/>
    <n v="6.8"/>
    <x v="2"/>
    <n v="3"/>
    <x v="0"/>
    <n v="73400"/>
    <n v="5900"/>
    <n v="79300"/>
    <s v="C"/>
    <d v="2017-02-17T00:00:00"/>
    <x v="0"/>
  </r>
  <r>
    <x v="3262"/>
    <x v="1"/>
    <n v="34"/>
    <x v="2"/>
    <x v="4"/>
    <x v="1"/>
    <n v="5.0999999999999996"/>
    <n v="5.0999999999999996"/>
    <x v="1"/>
    <n v="3"/>
    <x v="0"/>
    <n v="72900"/>
    <n v="6200"/>
    <n v="79100"/>
    <s v="C"/>
    <d v="2020-11-18T00:00:00"/>
    <x v="1"/>
  </r>
  <r>
    <x v="3263"/>
    <x v="0"/>
    <n v="28"/>
    <x v="2"/>
    <x v="11"/>
    <x v="2"/>
    <n v="5.9"/>
    <n v="3.7"/>
    <x v="1"/>
    <n v="4"/>
    <x v="0"/>
    <n v="99700"/>
    <n v="5100"/>
    <n v="104800"/>
    <s v="D"/>
    <d v="2020-02-05T00:00:00"/>
    <x v="2"/>
  </r>
  <r>
    <x v="3264"/>
    <x v="1"/>
    <n v="35"/>
    <x v="3"/>
    <x v="5"/>
    <x v="1"/>
    <n v="3.7"/>
    <n v="3.7"/>
    <x v="1"/>
    <n v="4"/>
    <x v="0"/>
    <n v="66500"/>
    <n v="5400"/>
    <n v="71900"/>
    <s v="C"/>
    <d v="2022-04-18T00:00:00"/>
    <x v="1"/>
  </r>
  <r>
    <x v="3265"/>
    <x v="1"/>
    <n v="32"/>
    <x v="5"/>
    <x v="15"/>
    <x v="2"/>
    <n v="5.8"/>
    <n v="3"/>
    <x v="1"/>
    <n v="3"/>
    <x v="0"/>
    <n v="73400"/>
    <n v="7200"/>
    <n v="80600"/>
    <s v="C"/>
    <d v="2020-03-09T00:00:00"/>
    <x v="2"/>
  </r>
  <r>
    <x v="3266"/>
    <x v="1"/>
    <n v="34"/>
    <x v="5"/>
    <x v="17"/>
    <x v="2"/>
    <n v="11.6"/>
    <n v="7.3"/>
    <x v="4"/>
    <n v="4"/>
    <x v="0"/>
    <n v="119800"/>
    <n v="18500"/>
    <n v="138300"/>
    <s v="E"/>
    <d v="2014-05-17T00:00:00"/>
    <x v="2"/>
  </r>
  <r>
    <x v="3267"/>
    <x v="1"/>
    <n v="56"/>
    <x v="5"/>
    <x v="9"/>
    <x v="2"/>
    <n v="1.7"/>
    <n v="0.7"/>
    <x v="0"/>
    <n v="3"/>
    <x v="0"/>
    <n v="94900"/>
    <n v="11900"/>
    <n v="106800"/>
    <s v="D"/>
    <d v="2024-04-23T00:00:00"/>
    <x v="2"/>
  </r>
  <r>
    <x v="3268"/>
    <x v="1"/>
    <n v="41"/>
    <x v="3"/>
    <x v="13"/>
    <x v="1"/>
    <n v="12"/>
    <n v="6.6"/>
    <x v="3"/>
    <n v="3"/>
    <x v="0"/>
    <n v="95100"/>
    <n v="6000"/>
    <n v="101100"/>
    <s v="D"/>
    <d v="2014-01-06T00:00:00"/>
    <x v="1"/>
  </r>
  <r>
    <x v="3269"/>
    <x v="1"/>
    <n v="32"/>
    <x v="1"/>
    <x v="10"/>
    <x v="4"/>
    <n v="1.8"/>
    <n v="1.8"/>
    <x v="0"/>
    <n v="4"/>
    <x v="0"/>
    <n v="103500"/>
    <n v="4500"/>
    <n v="108000"/>
    <s v="E"/>
    <d v="2024-03-03T00:00:00"/>
    <x v="4"/>
  </r>
  <r>
    <x v="3270"/>
    <x v="1"/>
    <n v="33"/>
    <x v="3"/>
    <x v="13"/>
    <x v="2"/>
    <n v="10"/>
    <n v="7"/>
    <x v="4"/>
    <n v="2"/>
    <x v="0"/>
    <n v="98400"/>
    <n v="7000"/>
    <n v="105400"/>
    <s v="D"/>
    <d v="2016-01-12T00:00:00"/>
    <x v="2"/>
  </r>
  <r>
    <x v="3271"/>
    <x v="1"/>
    <n v="30"/>
    <x v="2"/>
    <x v="4"/>
    <x v="2"/>
    <n v="10.3"/>
    <n v="6.5"/>
    <x v="4"/>
    <n v="2"/>
    <x v="0"/>
    <n v="76400"/>
    <n v="6600"/>
    <n v="83000"/>
    <s v="C"/>
    <d v="2015-09-13T00:00:00"/>
    <x v="2"/>
  </r>
  <r>
    <x v="3272"/>
    <x v="1"/>
    <n v="32"/>
    <x v="2"/>
    <x v="11"/>
    <x v="1"/>
    <n v="6.6"/>
    <n v="5.2"/>
    <x v="2"/>
    <n v="4"/>
    <x v="0"/>
    <n v="105200"/>
    <n v="8200"/>
    <n v="113400"/>
    <s v="E"/>
    <d v="2019-05-31T00:00:00"/>
    <x v="1"/>
  </r>
  <r>
    <x v="3273"/>
    <x v="0"/>
    <n v="21"/>
    <x v="5"/>
    <x v="17"/>
    <x v="2"/>
    <n v="11.6"/>
    <n v="7.3"/>
    <x v="4"/>
    <n v="3"/>
    <x v="0"/>
    <n v="111600"/>
    <n v="17100"/>
    <n v="128700"/>
    <s v="E"/>
    <d v="2014-05-22T00:00:00"/>
    <x v="2"/>
  </r>
  <r>
    <x v="3274"/>
    <x v="1"/>
    <n v="34"/>
    <x v="0"/>
    <x v="0"/>
    <x v="2"/>
    <n v="9.1"/>
    <n v="6.5"/>
    <x v="4"/>
    <n v="3"/>
    <x v="0"/>
    <n v="118700"/>
    <n v="13900"/>
    <n v="132600"/>
    <s v="E"/>
    <d v="2016-11-12T00:00:00"/>
    <x v="2"/>
  </r>
  <r>
    <x v="3275"/>
    <x v="0"/>
    <n v="36"/>
    <x v="3"/>
    <x v="5"/>
    <x v="1"/>
    <n v="4.3"/>
    <n v="3.2"/>
    <x v="1"/>
    <n v="3"/>
    <x v="1"/>
    <n v="43900"/>
    <n v="2800"/>
    <n v="46700"/>
    <s v="A"/>
    <d v="2021-09-28T00:00:00"/>
    <x v="1"/>
  </r>
  <r>
    <x v="3276"/>
    <x v="0"/>
    <n v="37"/>
    <x v="1"/>
    <x v="3"/>
    <x v="2"/>
    <n v="2.2999999999999998"/>
    <n v="1.8"/>
    <x v="0"/>
    <n v="4"/>
    <x v="0"/>
    <n v="80900"/>
    <n v="6200"/>
    <n v="87100"/>
    <s v="D"/>
    <d v="2023-08-31T00:00:00"/>
    <x v="2"/>
  </r>
  <r>
    <x v="3277"/>
    <x v="0"/>
    <n v="38"/>
    <x v="3"/>
    <x v="12"/>
    <x v="1"/>
    <n v="9.3000000000000007"/>
    <n v="5.8"/>
    <x v="4"/>
    <n v="3"/>
    <x v="2"/>
    <n v="67000"/>
    <n v="2300"/>
    <n v="69300"/>
    <s v="C"/>
    <d v="2016-09-25T00:00:00"/>
    <x v="1"/>
  </r>
  <r>
    <x v="3278"/>
    <x v="1"/>
    <n v="35"/>
    <x v="5"/>
    <x v="9"/>
    <x v="2"/>
    <n v="11.4"/>
    <n v="7"/>
    <x v="4"/>
    <n v="5"/>
    <x v="1"/>
    <n v="74200"/>
    <n v="13300"/>
    <n v="87500"/>
    <s v="C"/>
    <d v="2014-07-27T00:00:00"/>
    <x v="2"/>
  </r>
  <r>
    <x v="3279"/>
    <x v="0"/>
    <n v="54"/>
    <x v="5"/>
    <x v="9"/>
    <x v="1"/>
    <n v="12"/>
    <n v="7.5"/>
    <x v="3"/>
    <n v="3"/>
    <x v="0"/>
    <n v="105400"/>
    <n v="16100"/>
    <n v="121500"/>
    <s v="E"/>
    <d v="2013-12-22T00:00:00"/>
    <x v="1"/>
  </r>
  <r>
    <x v="3280"/>
    <x v="1"/>
    <n v="36"/>
    <x v="1"/>
    <x v="3"/>
    <x v="1"/>
    <n v="1.7"/>
    <n v="1.7"/>
    <x v="0"/>
    <n v="4"/>
    <x v="0"/>
    <n v="55700"/>
    <n v="4400"/>
    <n v="60100"/>
    <s v="B"/>
    <d v="2024-04-14T00:00:00"/>
    <x v="1"/>
  </r>
  <r>
    <x v="3281"/>
    <x v="1"/>
    <n v="33"/>
    <x v="4"/>
    <x v="14"/>
    <x v="1"/>
    <n v="6.1"/>
    <n v="3.1"/>
    <x v="2"/>
    <n v="3"/>
    <x v="0"/>
    <n v="94500"/>
    <n v="11000"/>
    <n v="105500"/>
    <s v="D"/>
    <d v="2019-12-11T00:00:00"/>
    <x v="1"/>
  </r>
  <r>
    <x v="3282"/>
    <x v="0"/>
    <n v="42"/>
    <x v="3"/>
    <x v="13"/>
    <x v="1"/>
    <n v="4.5"/>
    <n v="2.2999999999999998"/>
    <x v="1"/>
    <n v="4"/>
    <x v="0"/>
    <n v="97600"/>
    <n v="7900"/>
    <n v="105500"/>
    <s v="D"/>
    <d v="2021-06-17T00:00:00"/>
    <x v="1"/>
  </r>
  <r>
    <x v="3283"/>
    <x v="1"/>
    <n v="36"/>
    <x v="2"/>
    <x v="11"/>
    <x v="2"/>
    <n v="10.9"/>
    <n v="6.9"/>
    <x v="4"/>
    <n v="4"/>
    <x v="0"/>
    <n v="107300"/>
    <n v="11200"/>
    <n v="118500"/>
    <s v="E"/>
    <d v="2015-01-23T00:00:00"/>
    <x v="2"/>
  </r>
  <r>
    <x v="3284"/>
    <x v="0"/>
    <n v="53"/>
    <x v="5"/>
    <x v="17"/>
    <x v="1"/>
    <n v="1.9"/>
    <n v="1.5"/>
    <x v="0"/>
    <n v="2"/>
    <x v="0"/>
    <n v="98500"/>
    <n v="9500"/>
    <n v="108000"/>
    <s v="D"/>
    <d v="2024-02-04T00:00:00"/>
    <x v="1"/>
  </r>
  <r>
    <x v="3285"/>
    <x v="0"/>
    <n v="36"/>
    <x v="4"/>
    <x v="16"/>
    <x v="1"/>
    <n v="13.6"/>
    <n v="9.1"/>
    <x v="3"/>
    <n v="2"/>
    <x v="2"/>
    <n v="84100"/>
    <n v="6200"/>
    <n v="90300"/>
    <s v="D"/>
    <d v="2012-06-11T00:00:00"/>
    <x v="1"/>
  </r>
  <r>
    <x v="3286"/>
    <x v="1"/>
    <n v="39"/>
    <x v="4"/>
    <x v="14"/>
    <x v="2"/>
    <n v="12.7"/>
    <n v="7.2"/>
    <x v="3"/>
    <n v="3"/>
    <x v="2"/>
    <n v="94700"/>
    <n v="5800"/>
    <n v="100500"/>
    <s v="D"/>
    <d v="2013-04-03T00:00:00"/>
    <x v="2"/>
  </r>
  <r>
    <x v="3287"/>
    <x v="1"/>
    <n v="32"/>
    <x v="5"/>
    <x v="15"/>
    <x v="3"/>
    <n v="2.2000000000000002"/>
    <n v="1.6"/>
    <x v="0"/>
    <n v="4"/>
    <x v="0"/>
    <n v="73600"/>
    <n v="9800"/>
    <n v="83400"/>
    <s v="C"/>
    <d v="2023-11-05T00:00:00"/>
    <x v="3"/>
  </r>
  <r>
    <x v="3288"/>
    <x v="0"/>
    <n v="45"/>
    <x v="3"/>
    <x v="12"/>
    <x v="1"/>
    <n v="5.5"/>
    <n v="2.2000000000000002"/>
    <x v="1"/>
    <n v="2"/>
    <x v="0"/>
    <n v="64800"/>
    <n v="5100"/>
    <n v="69900"/>
    <s v="B"/>
    <d v="2020-07-08T00:00:00"/>
    <x v="1"/>
  </r>
  <r>
    <x v="3289"/>
    <x v="1"/>
    <n v="41"/>
    <x v="5"/>
    <x v="9"/>
    <x v="2"/>
    <n v="6.1"/>
    <n v="3.4"/>
    <x v="2"/>
    <n v="4"/>
    <x v="0"/>
    <n v="86900"/>
    <n v="18200"/>
    <n v="105100"/>
    <s v="D"/>
    <d v="2019-12-07T00:00:00"/>
    <x v="2"/>
  </r>
  <r>
    <x v="3290"/>
    <x v="1"/>
    <n v="37"/>
    <x v="0"/>
    <x v="1"/>
    <x v="1"/>
    <n v="4"/>
    <n v="4"/>
    <x v="1"/>
    <n v="3"/>
    <x v="0"/>
    <n v="74900"/>
    <n v="3600"/>
    <n v="78500"/>
    <s v="C"/>
    <d v="2022-01-04T00:00:00"/>
    <x v="1"/>
  </r>
  <r>
    <x v="3291"/>
    <x v="0"/>
    <n v="47"/>
    <x v="1"/>
    <x v="3"/>
    <x v="2"/>
    <n v="2.2999999999999998"/>
    <n v="0"/>
    <x v="0"/>
    <n v="3"/>
    <x v="0"/>
    <n v="65800"/>
    <n v="3200"/>
    <n v="69000"/>
    <s v="C"/>
    <d v="2023-08-30T00:00:00"/>
    <x v="2"/>
  </r>
  <r>
    <x v="3292"/>
    <x v="1"/>
    <n v="25"/>
    <x v="4"/>
    <x v="8"/>
    <x v="1"/>
    <n v="1.3"/>
    <n v="1.3"/>
    <x v="0"/>
    <n v="3"/>
    <x v="1"/>
    <n v="45500"/>
    <n v="2800"/>
    <n v="48300"/>
    <s v="A"/>
    <d v="2024-09-03T00:00:00"/>
    <x v="1"/>
  </r>
  <r>
    <x v="3293"/>
    <x v="0"/>
    <n v="45"/>
    <x v="3"/>
    <x v="13"/>
    <x v="2"/>
    <n v="10.6"/>
    <n v="7.5"/>
    <x v="4"/>
    <n v="4"/>
    <x v="0"/>
    <n v="102700"/>
    <n v="5700"/>
    <n v="108400"/>
    <s v="E"/>
    <d v="2015-05-10T00:00:00"/>
    <x v="2"/>
  </r>
  <r>
    <x v="3294"/>
    <x v="1"/>
    <n v="53"/>
    <x v="4"/>
    <x v="6"/>
    <x v="1"/>
    <n v="8.3000000000000007"/>
    <n v="5.0999999999999996"/>
    <x v="2"/>
    <n v="5"/>
    <x v="0"/>
    <n v="73800"/>
    <n v="5700"/>
    <n v="79500"/>
    <s v="C"/>
    <d v="2017-08-28T00:00:00"/>
    <x v="1"/>
  </r>
  <r>
    <x v="3295"/>
    <x v="1"/>
    <n v="36"/>
    <x v="2"/>
    <x v="11"/>
    <x v="1"/>
    <n v="3.4"/>
    <n v="0.7"/>
    <x v="1"/>
    <n v="3"/>
    <x v="0"/>
    <n v="100000"/>
    <n v="4500"/>
    <n v="104500"/>
    <s v="E"/>
    <d v="2022-08-11T00:00:00"/>
    <x v="1"/>
  </r>
  <r>
    <x v="3296"/>
    <x v="1"/>
    <n v="38"/>
    <x v="3"/>
    <x v="5"/>
    <x v="2"/>
    <n v="1.1000000000000001"/>
    <n v="0.9"/>
    <x v="0"/>
    <n v="4"/>
    <x v="0"/>
    <n v="73100"/>
    <n v="6500"/>
    <n v="79600"/>
    <s v="C"/>
    <d v="2024-11-17T00:00:00"/>
    <x v="2"/>
  </r>
  <r>
    <x v="3297"/>
    <x v="0"/>
    <n v="34"/>
    <x v="4"/>
    <x v="6"/>
    <x v="3"/>
    <n v="7.6"/>
    <n v="3.6"/>
    <x v="2"/>
    <n v="1"/>
    <x v="0"/>
    <n v="80500"/>
    <n v="11300"/>
    <n v="91800"/>
    <s v="D"/>
    <d v="2018-06-09T00:00:00"/>
    <x v="3"/>
  </r>
  <r>
    <x v="3298"/>
    <x v="0"/>
    <n v="33"/>
    <x v="4"/>
    <x v="16"/>
    <x v="1"/>
    <n v="13.9"/>
    <n v="8.5"/>
    <x v="3"/>
    <n v="3"/>
    <x v="0"/>
    <n v="107500"/>
    <n v="7900"/>
    <n v="115400"/>
    <s v="E"/>
    <d v="2012-02-14T00:00:00"/>
    <x v="1"/>
  </r>
  <r>
    <x v="3299"/>
    <x v="1"/>
    <n v="45"/>
    <x v="2"/>
    <x v="11"/>
    <x v="1"/>
    <n v="11.2"/>
    <n v="6.1"/>
    <x v="4"/>
    <n v="2"/>
    <x v="0"/>
    <n v="114200"/>
    <n v="6600"/>
    <n v="120800"/>
    <s v="E"/>
    <d v="2014-11-04T00:00:00"/>
    <x v="1"/>
  </r>
  <r>
    <x v="3300"/>
    <x v="0"/>
    <n v="28"/>
    <x v="4"/>
    <x v="14"/>
    <x v="1"/>
    <n v="12.2"/>
    <n v="8.1"/>
    <x v="3"/>
    <n v="4"/>
    <x v="0"/>
    <n v="104300"/>
    <n v="11100"/>
    <n v="115400"/>
    <s v="E"/>
    <d v="2013-11-02T00:00:00"/>
    <x v="1"/>
  </r>
  <r>
    <x v="3301"/>
    <x v="0"/>
    <n v="37"/>
    <x v="0"/>
    <x v="0"/>
    <x v="1"/>
    <n v="2.6"/>
    <n v="1.5"/>
    <x v="0"/>
    <n v="4"/>
    <x v="0"/>
    <n v="102700"/>
    <n v="11500"/>
    <n v="114200"/>
    <s v="E"/>
    <d v="2023-05-10T00:00:00"/>
    <x v="1"/>
  </r>
  <r>
    <x v="3302"/>
    <x v="1"/>
    <n v="22"/>
    <x v="2"/>
    <x v="11"/>
    <x v="2"/>
    <n v="13.6"/>
    <n v="8.5"/>
    <x v="3"/>
    <n v="4"/>
    <x v="0"/>
    <n v="127800"/>
    <n v="5800"/>
    <n v="133600"/>
    <s v="E"/>
    <d v="2012-05-20T00:00:00"/>
    <x v="2"/>
  </r>
  <r>
    <x v="3303"/>
    <x v="0"/>
    <n v="39"/>
    <x v="4"/>
    <x v="6"/>
    <x v="0"/>
    <n v="3.9"/>
    <n v="1.3"/>
    <x v="1"/>
    <n v="3"/>
    <x v="0"/>
    <n v="69400"/>
    <n v="5500"/>
    <n v="74900"/>
    <s v="C"/>
    <d v="2022-01-21T00:00:00"/>
    <x v="0"/>
  </r>
  <r>
    <x v="3304"/>
    <x v="0"/>
    <n v="35"/>
    <x v="3"/>
    <x v="13"/>
    <x v="1"/>
    <n v="10.9"/>
    <n v="8.9"/>
    <x v="4"/>
    <n v="3"/>
    <x v="1"/>
    <n v="58300"/>
    <n v="3800"/>
    <n v="62100"/>
    <s v="B"/>
    <d v="2015-02-06T00:00:00"/>
    <x v="1"/>
  </r>
  <r>
    <x v="3305"/>
    <x v="0"/>
    <n v="26"/>
    <x v="4"/>
    <x v="16"/>
    <x v="3"/>
    <n v="5.4"/>
    <n v="3.6"/>
    <x v="1"/>
    <n v="4"/>
    <x v="0"/>
    <n v="88200"/>
    <n v="4800"/>
    <n v="93000"/>
    <s v="D"/>
    <d v="2020-08-10T00:00:00"/>
    <x v="3"/>
  </r>
  <r>
    <x v="3306"/>
    <x v="1"/>
    <n v="21"/>
    <x v="4"/>
    <x v="14"/>
    <x v="0"/>
    <n v="7"/>
    <n v="3.4"/>
    <x v="2"/>
    <n v="4"/>
    <x v="0"/>
    <n v="119100"/>
    <n v="13400"/>
    <n v="132500"/>
    <s v="E"/>
    <d v="2018-12-30T00:00:00"/>
    <x v="0"/>
  </r>
  <r>
    <x v="3307"/>
    <x v="1"/>
    <n v="24"/>
    <x v="3"/>
    <x v="5"/>
    <x v="3"/>
    <n v="11.1"/>
    <n v="7.7"/>
    <x v="4"/>
    <n v="3"/>
    <x v="2"/>
    <n v="63200"/>
    <n v="2200"/>
    <n v="65400"/>
    <s v="B"/>
    <d v="2014-11-13T00:00:00"/>
    <x v="3"/>
  </r>
  <r>
    <x v="3308"/>
    <x v="1"/>
    <n v="38"/>
    <x v="5"/>
    <x v="17"/>
    <x v="3"/>
    <n v="13.9"/>
    <n v="7.8"/>
    <x v="3"/>
    <n v="3"/>
    <x v="0"/>
    <n v="113200"/>
    <n v="22100"/>
    <n v="135300"/>
    <s v="E"/>
    <d v="2012-02-18T00:00:00"/>
    <x v="3"/>
  </r>
  <r>
    <x v="3309"/>
    <x v="0"/>
    <n v="29"/>
    <x v="2"/>
    <x v="4"/>
    <x v="2"/>
    <n v="3.8"/>
    <n v="3.1"/>
    <x v="1"/>
    <n v="5"/>
    <x v="0"/>
    <n v="91400"/>
    <n v="9500"/>
    <n v="100900"/>
    <s v="D"/>
    <d v="2022-03-05T00:00:00"/>
    <x v="2"/>
  </r>
  <r>
    <x v="3310"/>
    <x v="1"/>
    <n v="29"/>
    <x v="3"/>
    <x v="13"/>
    <x v="2"/>
    <n v="10.4"/>
    <n v="8.3000000000000007"/>
    <x v="4"/>
    <n v="5"/>
    <x v="2"/>
    <n v="85400"/>
    <n v="6500"/>
    <n v="91900"/>
    <s v="D"/>
    <d v="2015-07-29T00:00:00"/>
    <x v="2"/>
  </r>
  <r>
    <x v="3311"/>
    <x v="0"/>
    <n v="37"/>
    <x v="3"/>
    <x v="12"/>
    <x v="3"/>
    <n v="9.3000000000000007"/>
    <n v="4.9000000000000004"/>
    <x v="4"/>
    <n v="4"/>
    <x v="0"/>
    <n v="82500"/>
    <n v="6100"/>
    <n v="88600"/>
    <s v="D"/>
    <d v="2016-09-04T00:00:00"/>
    <x v="3"/>
  </r>
  <r>
    <x v="3312"/>
    <x v="0"/>
    <n v="43"/>
    <x v="3"/>
    <x v="5"/>
    <x v="2"/>
    <n v="6.7"/>
    <n v="6.3"/>
    <x v="2"/>
    <n v="2"/>
    <x v="0"/>
    <n v="74700"/>
    <n v="3300"/>
    <n v="78000"/>
    <s v="C"/>
    <d v="2019-04-23T00:00:00"/>
    <x v="2"/>
  </r>
  <r>
    <x v="3313"/>
    <x v="0"/>
    <n v="28"/>
    <x v="2"/>
    <x v="18"/>
    <x v="1"/>
    <n v="4.7"/>
    <n v="0"/>
    <x v="1"/>
    <n v="3"/>
    <x v="0"/>
    <n v="61600"/>
    <n v="4000"/>
    <n v="65600"/>
    <s v="B"/>
    <d v="2021-05-02T00:00:00"/>
    <x v="1"/>
  </r>
  <r>
    <x v="3314"/>
    <x v="1"/>
    <n v="42"/>
    <x v="3"/>
    <x v="5"/>
    <x v="1"/>
    <n v="7.5"/>
    <n v="2.6"/>
    <x v="2"/>
    <n v="2"/>
    <x v="0"/>
    <n v="69000"/>
    <n v="2500"/>
    <n v="71500"/>
    <s v="C"/>
    <d v="2018-07-14T00:00:00"/>
    <x v="1"/>
  </r>
  <r>
    <x v="3315"/>
    <x v="0"/>
    <n v="31"/>
    <x v="1"/>
    <x v="10"/>
    <x v="3"/>
    <n v="12.1"/>
    <n v="9.4"/>
    <x v="3"/>
    <n v="2"/>
    <x v="0"/>
    <n v="89100"/>
    <n v="6700"/>
    <n v="95800"/>
    <s v="D"/>
    <d v="2013-12-03T00:00:00"/>
    <x v="3"/>
  </r>
  <r>
    <x v="3316"/>
    <x v="1"/>
    <n v="44"/>
    <x v="2"/>
    <x v="11"/>
    <x v="0"/>
    <n v="5.4"/>
    <n v="2.4"/>
    <x v="1"/>
    <n v="3"/>
    <x v="0"/>
    <n v="106700"/>
    <n v="8200"/>
    <n v="114900"/>
    <s v="E"/>
    <d v="2020-07-28T00:00:00"/>
    <x v="0"/>
  </r>
  <r>
    <x v="3317"/>
    <x v="1"/>
    <n v="29"/>
    <x v="2"/>
    <x v="4"/>
    <x v="2"/>
    <n v="7.5"/>
    <n v="3"/>
    <x v="2"/>
    <n v="4"/>
    <x v="0"/>
    <n v="88400"/>
    <n v="3400"/>
    <n v="91800"/>
    <s v="D"/>
    <d v="2018-07-20T00:00:00"/>
    <x v="2"/>
  </r>
  <r>
    <x v="3318"/>
    <x v="1"/>
    <n v="45"/>
    <x v="4"/>
    <x v="8"/>
    <x v="1"/>
    <n v="1.3"/>
    <n v="1.3"/>
    <x v="0"/>
    <n v="4"/>
    <x v="1"/>
    <n v="41100"/>
    <n v="4600"/>
    <n v="45700"/>
    <s v="A"/>
    <d v="2024-09-08T00:00:00"/>
    <x v="1"/>
  </r>
  <r>
    <x v="3319"/>
    <x v="0"/>
    <n v="33"/>
    <x v="0"/>
    <x v="2"/>
    <x v="1"/>
    <n v="11.3"/>
    <n v="7.8"/>
    <x v="4"/>
    <n v="2"/>
    <x v="0"/>
    <n v="68300"/>
    <n v="3900"/>
    <n v="72200"/>
    <s v="C"/>
    <d v="2014-08-30T00:00:00"/>
    <x v="1"/>
  </r>
  <r>
    <x v="3320"/>
    <x v="0"/>
    <n v="32"/>
    <x v="4"/>
    <x v="16"/>
    <x v="3"/>
    <n v="4.4000000000000004"/>
    <n v="2.8"/>
    <x v="1"/>
    <n v="3"/>
    <x v="0"/>
    <n v="96100"/>
    <n v="12000"/>
    <n v="108100"/>
    <s v="D"/>
    <d v="2021-07-30T00:00:00"/>
    <x v="3"/>
  </r>
  <r>
    <x v="3321"/>
    <x v="1"/>
    <n v="34"/>
    <x v="4"/>
    <x v="6"/>
    <x v="4"/>
    <n v="12.5"/>
    <n v="8.1999999999999993"/>
    <x v="3"/>
    <n v="2"/>
    <x v="0"/>
    <n v="76200"/>
    <n v="8400"/>
    <n v="84600"/>
    <s v="C"/>
    <d v="2013-06-23T00:00:00"/>
    <x v="4"/>
  </r>
  <r>
    <x v="3322"/>
    <x v="1"/>
    <n v="22"/>
    <x v="1"/>
    <x v="7"/>
    <x v="2"/>
    <n v="1.4"/>
    <n v="1"/>
    <x v="0"/>
    <n v="3"/>
    <x v="0"/>
    <n v="72700"/>
    <n v="7600"/>
    <n v="80300"/>
    <s v="C"/>
    <d v="2024-07-23T00:00:00"/>
    <x v="2"/>
  </r>
  <r>
    <x v="3323"/>
    <x v="0"/>
    <n v="49"/>
    <x v="5"/>
    <x v="17"/>
    <x v="3"/>
    <n v="13.4"/>
    <n v="9.3000000000000007"/>
    <x v="3"/>
    <n v="3"/>
    <x v="0"/>
    <n v="138700"/>
    <n v="26400"/>
    <n v="165100"/>
    <s v="E"/>
    <d v="2012-08-10T00:00:00"/>
    <x v="3"/>
  </r>
  <r>
    <x v="3324"/>
    <x v="0"/>
    <n v="24"/>
    <x v="4"/>
    <x v="8"/>
    <x v="2"/>
    <n v="3.9"/>
    <n v="2.2999999999999998"/>
    <x v="1"/>
    <n v="3"/>
    <x v="0"/>
    <n v="78100"/>
    <n v="4700"/>
    <n v="82800"/>
    <s v="C"/>
    <d v="2022-02-22T00:00:00"/>
    <x v="2"/>
  </r>
  <r>
    <x v="3325"/>
    <x v="0"/>
    <n v="24"/>
    <x v="2"/>
    <x v="11"/>
    <x v="1"/>
    <n v="10.199999999999999"/>
    <n v="7.1"/>
    <x v="4"/>
    <n v="3"/>
    <x v="0"/>
    <n v="110700"/>
    <n v="6400"/>
    <n v="117100"/>
    <s v="E"/>
    <d v="2015-10-05T00:00:00"/>
    <x v="1"/>
  </r>
  <r>
    <x v="3326"/>
    <x v="1"/>
    <n v="35"/>
    <x v="5"/>
    <x v="17"/>
    <x v="2"/>
    <n v="8.5"/>
    <n v="5.8"/>
    <x v="2"/>
    <n v="3"/>
    <x v="0"/>
    <n v="114600"/>
    <n v="13200"/>
    <n v="127800"/>
    <s v="E"/>
    <d v="2017-06-23T00:00:00"/>
    <x v="2"/>
  </r>
  <r>
    <x v="3327"/>
    <x v="0"/>
    <n v="32"/>
    <x v="4"/>
    <x v="8"/>
    <x v="1"/>
    <n v="2.1"/>
    <n v="0.7"/>
    <x v="0"/>
    <n v="5"/>
    <x v="0"/>
    <n v="73700"/>
    <n v="9500"/>
    <n v="83200"/>
    <s v="C"/>
    <d v="2023-11-20T00:00:00"/>
    <x v="1"/>
  </r>
  <r>
    <x v="3328"/>
    <x v="1"/>
    <n v="51"/>
    <x v="1"/>
    <x v="3"/>
    <x v="1"/>
    <n v="1.5"/>
    <n v="0.9"/>
    <x v="0"/>
    <n v="1"/>
    <x v="0"/>
    <n v="63300"/>
    <n v="3500"/>
    <n v="66800"/>
    <s v="B"/>
    <d v="2024-07-05T00:00:00"/>
    <x v="1"/>
  </r>
  <r>
    <x v="3329"/>
    <x v="0"/>
    <n v="36"/>
    <x v="5"/>
    <x v="17"/>
    <x v="1"/>
    <n v="3.2"/>
    <n v="3.2"/>
    <x v="1"/>
    <n v="3"/>
    <x v="0"/>
    <n v="89600"/>
    <n v="16000"/>
    <n v="105600"/>
    <s v="D"/>
    <d v="2022-10-13T00:00:00"/>
    <x v="1"/>
  </r>
  <r>
    <x v="3330"/>
    <x v="0"/>
    <n v="40"/>
    <x v="4"/>
    <x v="14"/>
    <x v="3"/>
    <n v="7"/>
    <n v="4.5999999999999996"/>
    <x v="2"/>
    <n v="5"/>
    <x v="0"/>
    <n v="116400"/>
    <n v="13100"/>
    <n v="129500"/>
    <s v="E"/>
    <d v="2018-12-31T00:00:00"/>
    <x v="3"/>
  </r>
  <r>
    <x v="3331"/>
    <x v="0"/>
    <n v="43"/>
    <x v="3"/>
    <x v="5"/>
    <x v="1"/>
    <n v="6.4"/>
    <n v="3"/>
    <x v="2"/>
    <n v="4"/>
    <x v="0"/>
    <n v="75700"/>
    <n v="4400"/>
    <n v="80100"/>
    <s v="C"/>
    <d v="2019-08-20T00:00:00"/>
    <x v="1"/>
  </r>
  <r>
    <x v="3332"/>
    <x v="1"/>
    <n v="40"/>
    <x v="5"/>
    <x v="15"/>
    <x v="1"/>
    <n v="3"/>
    <n v="2.5"/>
    <x v="1"/>
    <n v="3"/>
    <x v="0"/>
    <n v="59000"/>
    <n v="6000"/>
    <n v="65000"/>
    <s v="B"/>
    <d v="2023-01-15T00:00:00"/>
    <x v="1"/>
  </r>
  <r>
    <x v="3333"/>
    <x v="0"/>
    <n v="38"/>
    <x v="3"/>
    <x v="5"/>
    <x v="2"/>
    <n v="12.5"/>
    <n v="8.1"/>
    <x v="3"/>
    <n v="4"/>
    <x v="1"/>
    <n v="60900"/>
    <n v="5400"/>
    <n v="66300"/>
    <s v="B"/>
    <d v="2013-07-18T00:00:00"/>
    <x v="2"/>
  </r>
  <r>
    <x v="3334"/>
    <x v="0"/>
    <n v="38"/>
    <x v="2"/>
    <x v="11"/>
    <x v="1"/>
    <n v="12.1"/>
    <n v="9.1999999999999993"/>
    <x v="3"/>
    <n v="4"/>
    <x v="0"/>
    <n v="107600"/>
    <n v="11200"/>
    <n v="118800"/>
    <s v="E"/>
    <d v="2013-12-01T00:00:00"/>
    <x v="1"/>
  </r>
  <r>
    <x v="3335"/>
    <x v="1"/>
    <n v="28"/>
    <x v="3"/>
    <x v="5"/>
    <x v="1"/>
    <n v="9.6"/>
    <n v="6"/>
    <x v="4"/>
    <n v="4"/>
    <x v="0"/>
    <n v="90200"/>
    <n v="4800"/>
    <n v="95000"/>
    <s v="D"/>
    <d v="2016-05-11T00:00:00"/>
    <x v="1"/>
  </r>
  <r>
    <x v="3336"/>
    <x v="0"/>
    <n v="27"/>
    <x v="2"/>
    <x v="11"/>
    <x v="2"/>
    <n v="8.9"/>
    <n v="4.9000000000000004"/>
    <x v="2"/>
    <n v="4"/>
    <x v="0"/>
    <n v="92200"/>
    <n v="4300"/>
    <n v="96500"/>
    <s v="D"/>
    <d v="2017-02-11T00:00:00"/>
    <x v="2"/>
  </r>
  <r>
    <x v="3337"/>
    <x v="1"/>
    <n v="37"/>
    <x v="5"/>
    <x v="17"/>
    <x v="1"/>
    <n v="4.8"/>
    <n v="3.4"/>
    <x v="1"/>
    <n v="3"/>
    <x v="0"/>
    <n v="96100"/>
    <n v="10000"/>
    <n v="106100"/>
    <s v="D"/>
    <d v="2021-03-17T00:00:00"/>
    <x v="1"/>
  </r>
  <r>
    <x v="3338"/>
    <x v="1"/>
    <n v="33"/>
    <x v="2"/>
    <x v="11"/>
    <x v="2"/>
    <n v="7.1"/>
    <n v="5.6"/>
    <x v="2"/>
    <n v="3"/>
    <x v="0"/>
    <n v="104300"/>
    <n v="10300"/>
    <n v="114600"/>
    <s v="E"/>
    <d v="2018-12-03T00:00:00"/>
    <x v="2"/>
  </r>
  <r>
    <x v="3339"/>
    <x v="0"/>
    <n v="42"/>
    <x v="3"/>
    <x v="13"/>
    <x v="0"/>
    <n v="11.8"/>
    <n v="8.6999999999999993"/>
    <x v="4"/>
    <n v="4"/>
    <x v="0"/>
    <n v="113100"/>
    <n v="10000"/>
    <n v="123100"/>
    <s v="E"/>
    <d v="2014-03-29T00:00:00"/>
    <x v="0"/>
  </r>
  <r>
    <x v="3340"/>
    <x v="1"/>
    <n v="28"/>
    <x v="0"/>
    <x v="1"/>
    <x v="1"/>
    <n v="13.9"/>
    <n v="11.1"/>
    <x v="3"/>
    <n v="4"/>
    <x v="0"/>
    <n v="87600"/>
    <n v="5600"/>
    <n v="93200"/>
    <s v="D"/>
    <d v="2012-02-13T00:00:00"/>
    <x v="1"/>
  </r>
  <r>
    <x v="3341"/>
    <x v="1"/>
    <n v="43"/>
    <x v="5"/>
    <x v="9"/>
    <x v="1"/>
    <n v="8.9"/>
    <n v="6.4"/>
    <x v="2"/>
    <n v="3"/>
    <x v="0"/>
    <n v="100600"/>
    <n v="19700"/>
    <n v="120300"/>
    <s v="E"/>
    <d v="2017-02-10T00:00:00"/>
    <x v="1"/>
  </r>
  <r>
    <x v="3342"/>
    <x v="0"/>
    <n v="33"/>
    <x v="0"/>
    <x v="2"/>
    <x v="2"/>
    <n v="2"/>
    <n v="2"/>
    <x v="0"/>
    <n v="3"/>
    <x v="0"/>
    <n v="80500"/>
    <n v="10400"/>
    <n v="90900"/>
    <s v="D"/>
    <d v="2024-01-02T00:00:00"/>
    <x v="2"/>
  </r>
  <r>
    <x v="3343"/>
    <x v="1"/>
    <n v="26"/>
    <x v="4"/>
    <x v="16"/>
    <x v="2"/>
    <n v="8"/>
    <n v="5.9"/>
    <x v="2"/>
    <n v="4"/>
    <x v="0"/>
    <n v="98900"/>
    <n v="14800"/>
    <n v="113700"/>
    <s v="D"/>
    <d v="2017-12-14T00:00:00"/>
    <x v="2"/>
  </r>
  <r>
    <x v="3344"/>
    <x v="0"/>
    <n v="54"/>
    <x v="4"/>
    <x v="6"/>
    <x v="1"/>
    <n v="10.6"/>
    <n v="7.6"/>
    <x v="4"/>
    <n v="5"/>
    <x v="0"/>
    <n v="83200"/>
    <n v="10300"/>
    <n v="93500"/>
    <s v="D"/>
    <d v="2015-06-14T00:00:00"/>
    <x v="1"/>
  </r>
  <r>
    <x v="3345"/>
    <x v="0"/>
    <n v="41"/>
    <x v="5"/>
    <x v="9"/>
    <x v="1"/>
    <n v="13.2"/>
    <n v="8.4"/>
    <x v="3"/>
    <n v="4"/>
    <x v="0"/>
    <n v="114000"/>
    <n v="14200"/>
    <n v="128200"/>
    <s v="E"/>
    <d v="2012-10-23T00:00:00"/>
    <x v="1"/>
  </r>
  <r>
    <x v="3346"/>
    <x v="0"/>
    <n v="44"/>
    <x v="5"/>
    <x v="15"/>
    <x v="1"/>
    <n v="4.0999999999999996"/>
    <n v="0.4"/>
    <x v="1"/>
    <n v="3"/>
    <x v="0"/>
    <n v="59700"/>
    <n v="12300"/>
    <n v="72000"/>
    <s v="B"/>
    <d v="2021-12-07T00:00:00"/>
    <x v="1"/>
  </r>
  <r>
    <x v="3347"/>
    <x v="0"/>
    <n v="45"/>
    <x v="5"/>
    <x v="9"/>
    <x v="2"/>
    <n v="8.1"/>
    <n v="6.5"/>
    <x v="2"/>
    <n v="3"/>
    <x v="0"/>
    <n v="93600"/>
    <n v="14700"/>
    <n v="108300"/>
    <s v="D"/>
    <d v="2017-12-02T00:00:00"/>
    <x v="2"/>
  </r>
  <r>
    <x v="3348"/>
    <x v="1"/>
    <n v="38"/>
    <x v="5"/>
    <x v="17"/>
    <x v="1"/>
    <n v="1.5"/>
    <n v="1.5"/>
    <x v="0"/>
    <n v="3"/>
    <x v="0"/>
    <n v="96200"/>
    <n v="8700"/>
    <n v="104900"/>
    <s v="D"/>
    <d v="2024-06-14T00:00:00"/>
    <x v="1"/>
  </r>
  <r>
    <x v="3349"/>
    <x v="1"/>
    <n v="42"/>
    <x v="4"/>
    <x v="16"/>
    <x v="0"/>
    <n v="13.4"/>
    <n v="9.1"/>
    <x v="3"/>
    <n v="3"/>
    <x v="0"/>
    <n v="93600"/>
    <n v="12600"/>
    <n v="106200"/>
    <s v="D"/>
    <d v="2012-08-02T00:00:00"/>
    <x v="0"/>
  </r>
  <r>
    <x v="3350"/>
    <x v="0"/>
    <n v="44"/>
    <x v="1"/>
    <x v="10"/>
    <x v="1"/>
    <n v="11.9"/>
    <m/>
    <x v="4"/>
    <n v="3"/>
    <x v="1"/>
    <n v="59400"/>
    <n v="4900"/>
    <n v="64300"/>
    <s v="B"/>
    <d v="2014-02-07T00:00:00"/>
    <x v="1"/>
  </r>
  <r>
    <x v="3351"/>
    <x v="1"/>
    <n v="31"/>
    <x v="5"/>
    <x v="15"/>
    <x v="3"/>
    <n v="3.3"/>
    <n v="1.7"/>
    <x v="1"/>
    <n v="4"/>
    <x v="1"/>
    <n v="42900"/>
    <n v="7400"/>
    <n v="50300"/>
    <s v="A"/>
    <d v="2022-09-12T00:00:00"/>
    <x v="3"/>
  </r>
  <r>
    <x v="3352"/>
    <x v="0"/>
    <n v="25"/>
    <x v="5"/>
    <x v="17"/>
    <x v="1"/>
    <n v="12.3"/>
    <n v="10"/>
    <x v="3"/>
    <n v="2"/>
    <x v="2"/>
    <n v="78600"/>
    <n v="12100"/>
    <n v="90700"/>
    <s v="C"/>
    <d v="2013-09-08T00:00:00"/>
    <x v="1"/>
  </r>
  <r>
    <x v="3353"/>
    <x v="1"/>
    <n v="32"/>
    <x v="0"/>
    <x v="2"/>
    <x v="1"/>
    <n v="3.6"/>
    <n v="3.6"/>
    <x v="1"/>
    <n v="4"/>
    <x v="1"/>
    <n v="38000"/>
    <n v="5000"/>
    <n v="43000"/>
    <s v="A"/>
    <d v="2022-06-06T00:00:00"/>
    <x v="1"/>
  </r>
  <r>
    <x v="3354"/>
    <x v="0"/>
    <n v="30"/>
    <x v="0"/>
    <x v="0"/>
    <x v="1"/>
    <n v="7.6"/>
    <n v="4.8"/>
    <x v="2"/>
    <n v="3"/>
    <x v="0"/>
    <n v="111400"/>
    <n v="8200"/>
    <n v="119600"/>
    <s v="E"/>
    <d v="2018-06-13T00:00:00"/>
    <x v="1"/>
  </r>
  <r>
    <x v="3355"/>
    <x v="1"/>
    <n v="21"/>
    <x v="1"/>
    <x v="7"/>
    <x v="2"/>
    <n v="3.8"/>
    <n v="3.8"/>
    <x v="1"/>
    <n v="2"/>
    <x v="0"/>
    <n v="90400"/>
    <n v="10800"/>
    <n v="101200"/>
    <s v="D"/>
    <d v="2022-03-20T00:00:00"/>
    <x v="2"/>
  </r>
  <r>
    <x v="3356"/>
    <x v="1"/>
    <n v="39"/>
    <x v="4"/>
    <x v="8"/>
    <x v="3"/>
    <n v="9.1999999999999993"/>
    <n v="6.1"/>
    <x v="4"/>
    <n v="4"/>
    <x v="0"/>
    <n v="97900"/>
    <n v="13300"/>
    <n v="111200"/>
    <s v="D"/>
    <d v="2016-10-29T00:00:00"/>
    <x v="3"/>
  </r>
  <r>
    <x v="3357"/>
    <x v="1"/>
    <n v="34"/>
    <x v="2"/>
    <x v="4"/>
    <x v="2"/>
    <n v="2.2999999999999998"/>
    <n v="2.2999999999999998"/>
    <x v="0"/>
    <n v="3"/>
    <x v="0"/>
    <n v="63200"/>
    <n v="5200"/>
    <n v="68400"/>
    <s v="B"/>
    <d v="2023-09-23T00:00:00"/>
    <x v="2"/>
  </r>
  <r>
    <x v="3358"/>
    <x v="1"/>
    <n v="35"/>
    <x v="3"/>
    <x v="12"/>
    <x v="3"/>
    <n v="8"/>
    <n v="3.1"/>
    <x v="2"/>
    <n v="3"/>
    <x v="0"/>
    <n v="75000"/>
    <n v="3800"/>
    <n v="78800"/>
    <s v="C"/>
    <d v="2017-12-17T00:00:00"/>
    <x v="3"/>
  </r>
  <r>
    <x v="3359"/>
    <x v="0"/>
    <n v="48"/>
    <x v="3"/>
    <x v="13"/>
    <x v="1"/>
    <n v="3.1"/>
    <n v="1.3"/>
    <x v="1"/>
    <n v="4"/>
    <x v="0"/>
    <n v="102600"/>
    <n v="6500"/>
    <n v="109100"/>
    <s v="E"/>
    <d v="2022-12-05T00:00:00"/>
    <x v="1"/>
  </r>
  <r>
    <x v="3360"/>
    <x v="1"/>
    <n v="33"/>
    <x v="2"/>
    <x v="18"/>
    <x v="1"/>
    <n v="5.9"/>
    <n v="4.4000000000000004"/>
    <x v="1"/>
    <n v="3"/>
    <x v="0"/>
    <n v="73800"/>
    <n v="6400"/>
    <n v="80200"/>
    <s v="C"/>
    <d v="2020-01-25T00:00:00"/>
    <x v="1"/>
  </r>
  <r>
    <x v="3361"/>
    <x v="1"/>
    <n v="43"/>
    <x v="3"/>
    <x v="5"/>
    <x v="1"/>
    <n v="6.3"/>
    <n v="5.2"/>
    <x v="2"/>
    <n v="3"/>
    <x v="0"/>
    <n v="77800"/>
    <n v="5300"/>
    <n v="83100"/>
    <s v="C"/>
    <d v="2019-09-25T00:00:00"/>
    <x v="1"/>
  </r>
  <r>
    <x v="3362"/>
    <x v="0"/>
    <n v="47"/>
    <x v="1"/>
    <x v="10"/>
    <x v="2"/>
    <n v="8.4"/>
    <n v="4.4000000000000004"/>
    <x v="2"/>
    <n v="3"/>
    <x v="1"/>
    <n v="66800"/>
    <n v="6800"/>
    <n v="73600"/>
    <s v="C"/>
    <d v="2017-07-27T00:00:00"/>
    <x v="2"/>
  </r>
  <r>
    <x v="3363"/>
    <x v="1"/>
    <n v="37"/>
    <x v="0"/>
    <x v="0"/>
    <x v="1"/>
    <n v="2.2999999999999998"/>
    <n v="2.2999999999999998"/>
    <x v="0"/>
    <n v="3"/>
    <x v="0"/>
    <n v="88400"/>
    <n v="5200"/>
    <n v="93600"/>
    <s v="D"/>
    <d v="2023-10-01T00:00:00"/>
    <x v="1"/>
  </r>
  <r>
    <x v="3364"/>
    <x v="0"/>
    <n v="53"/>
    <x v="4"/>
    <x v="6"/>
    <x v="3"/>
    <n v="10.8"/>
    <n v="10.1"/>
    <x v="4"/>
    <n v="3"/>
    <x v="0"/>
    <n v="87400"/>
    <n v="9700"/>
    <n v="97100"/>
    <s v="D"/>
    <d v="2015-03-29T00:00:00"/>
    <x v="3"/>
  </r>
  <r>
    <x v="3365"/>
    <x v="0"/>
    <n v="38"/>
    <x v="0"/>
    <x v="1"/>
    <x v="2"/>
    <n v="8.4"/>
    <n v="5.4"/>
    <x v="2"/>
    <n v="1"/>
    <x v="0"/>
    <n v="72000"/>
    <n v="8600"/>
    <n v="80600"/>
    <s v="C"/>
    <d v="2017-07-31T00:00:00"/>
    <x v="2"/>
  </r>
  <r>
    <x v="3366"/>
    <x v="0"/>
    <n v="47"/>
    <x v="1"/>
    <x v="3"/>
    <x v="3"/>
    <n v="3"/>
    <n v="0.9"/>
    <x v="1"/>
    <n v="3"/>
    <x v="0"/>
    <n v="87900"/>
    <n v="7000"/>
    <n v="94900"/>
    <s v="D"/>
    <d v="2023-01-09T00:00:00"/>
    <x v="3"/>
  </r>
  <r>
    <x v="3367"/>
    <x v="0"/>
    <n v="40"/>
    <x v="4"/>
    <x v="6"/>
    <x v="1"/>
    <n v="8.5"/>
    <n v="5.0999999999999996"/>
    <x v="2"/>
    <n v="4"/>
    <x v="0"/>
    <n v="80100"/>
    <n v="7100"/>
    <n v="87200"/>
    <s v="D"/>
    <d v="2017-06-29T00:00:00"/>
    <x v="1"/>
  </r>
  <r>
    <x v="3368"/>
    <x v="0"/>
    <n v="40"/>
    <x v="4"/>
    <x v="6"/>
    <x v="1"/>
    <n v="12.9"/>
    <n v="7.9"/>
    <x v="3"/>
    <n v="2"/>
    <x v="0"/>
    <n v="68500"/>
    <n v="6100"/>
    <n v="74600"/>
    <s v="C"/>
    <d v="2013-02-04T00:00:00"/>
    <x v="1"/>
  </r>
  <r>
    <x v="3369"/>
    <x v="0"/>
    <n v="39"/>
    <x v="3"/>
    <x v="12"/>
    <x v="0"/>
    <n v="4.3"/>
    <n v="4.0999999999999996"/>
    <x v="1"/>
    <n v="3"/>
    <x v="0"/>
    <n v="63400"/>
    <n v="3900"/>
    <n v="67300"/>
    <s v="B"/>
    <d v="2021-09-14T00:00:00"/>
    <x v="0"/>
  </r>
  <r>
    <x v="3370"/>
    <x v="1"/>
    <n v="35"/>
    <x v="3"/>
    <x v="13"/>
    <x v="2"/>
    <n v="11.5"/>
    <n v="7.5"/>
    <x v="4"/>
    <n v="3"/>
    <x v="2"/>
    <n v="94700"/>
    <n v="5300"/>
    <n v="100000"/>
    <s v="D"/>
    <d v="2014-07-17T00:00:00"/>
    <x v="2"/>
  </r>
  <r>
    <x v="3371"/>
    <x v="0"/>
    <n v="41"/>
    <x v="0"/>
    <x v="0"/>
    <x v="1"/>
    <n v="13.3"/>
    <n v="9.6999999999999993"/>
    <x v="3"/>
    <n v="3"/>
    <x v="0"/>
    <n v="108400"/>
    <n v="9900"/>
    <n v="118300"/>
    <s v="E"/>
    <d v="2012-09-16T00:00:00"/>
    <x v="1"/>
  </r>
  <r>
    <x v="3372"/>
    <x v="1"/>
    <n v="29"/>
    <x v="1"/>
    <x v="10"/>
    <x v="0"/>
    <n v="10.199999999999999"/>
    <n v="7.3"/>
    <x v="4"/>
    <n v="2"/>
    <x v="0"/>
    <n v="101800"/>
    <n v="10600"/>
    <n v="112400"/>
    <s v="E"/>
    <d v="2015-10-08T00:00:00"/>
    <x v="0"/>
  </r>
  <r>
    <x v="3373"/>
    <x v="0"/>
    <n v="31"/>
    <x v="4"/>
    <x v="16"/>
    <x v="2"/>
    <n v="8.3000000000000007"/>
    <n v="7.9"/>
    <x v="2"/>
    <n v="3"/>
    <x v="1"/>
    <n v="67900"/>
    <n v="9500"/>
    <n v="77400"/>
    <s v="C"/>
    <d v="2017-09-13T00:00:00"/>
    <x v="2"/>
  </r>
  <r>
    <x v="3374"/>
    <x v="0"/>
    <n v="22"/>
    <x v="1"/>
    <x v="3"/>
    <x v="2"/>
    <n v="8.1"/>
    <n v="6.5"/>
    <x v="2"/>
    <n v="1"/>
    <x v="1"/>
    <n v="50700"/>
    <n v="2200"/>
    <n v="52900"/>
    <s v="B"/>
    <d v="2017-11-12T00:00:00"/>
    <x v="2"/>
  </r>
  <r>
    <x v="3375"/>
    <x v="1"/>
    <n v="27"/>
    <x v="3"/>
    <x v="13"/>
    <x v="2"/>
    <n v="7.1"/>
    <n v="4.7"/>
    <x v="2"/>
    <n v="4"/>
    <x v="0"/>
    <n v="108600"/>
    <n v="6700"/>
    <n v="115300"/>
    <s v="E"/>
    <d v="2018-11-10T00:00:00"/>
    <x v="2"/>
  </r>
  <r>
    <x v="3376"/>
    <x v="0"/>
    <n v="33"/>
    <x v="5"/>
    <x v="15"/>
    <x v="2"/>
    <n v="9.5"/>
    <n v="5.7"/>
    <x v="4"/>
    <n v="4"/>
    <x v="0"/>
    <n v="68500"/>
    <n v="11300"/>
    <n v="79800"/>
    <s v="C"/>
    <d v="2016-06-23T00:00:00"/>
    <x v="2"/>
  </r>
  <r>
    <x v="3377"/>
    <x v="0"/>
    <n v="40"/>
    <x v="4"/>
    <x v="16"/>
    <x v="0"/>
    <n v="7.4"/>
    <n v="6"/>
    <x v="2"/>
    <n v="4"/>
    <x v="0"/>
    <n v="97700"/>
    <n v="5000"/>
    <n v="102700"/>
    <s v="D"/>
    <d v="2018-08-15T00:00:00"/>
    <x v="0"/>
  </r>
  <r>
    <x v="3378"/>
    <x v="1"/>
    <n v="41"/>
    <x v="3"/>
    <x v="12"/>
    <x v="2"/>
    <n v="9.3000000000000007"/>
    <n v="3.1"/>
    <x v="4"/>
    <n v="4"/>
    <x v="0"/>
    <n v="68800"/>
    <n v="4600"/>
    <n v="73400"/>
    <s v="C"/>
    <d v="2016-09-14T00:00:00"/>
    <x v="2"/>
  </r>
  <r>
    <x v="3379"/>
    <x v="0"/>
    <n v="48"/>
    <x v="4"/>
    <x v="8"/>
    <x v="2"/>
    <n v="4.9000000000000004"/>
    <n v="3.1"/>
    <x v="1"/>
    <n v="4"/>
    <x v="0"/>
    <n v="95800"/>
    <n v="8800"/>
    <n v="104600"/>
    <s v="D"/>
    <d v="2021-01-28T00:00:00"/>
    <x v="2"/>
  </r>
  <r>
    <x v="3380"/>
    <x v="0"/>
    <n v="32"/>
    <x v="5"/>
    <x v="9"/>
    <x v="0"/>
    <n v="11.3"/>
    <n v="7.4"/>
    <x v="4"/>
    <n v="4"/>
    <x v="0"/>
    <n v="99400"/>
    <n v="16000"/>
    <n v="115400"/>
    <s v="D"/>
    <d v="2014-09-08T00:00:00"/>
    <x v="0"/>
  </r>
  <r>
    <x v="3381"/>
    <x v="0"/>
    <n v="34"/>
    <x v="4"/>
    <x v="16"/>
    <x v="1"/>
    <n v="2.5"/>
    <n v="2.5"/>
    <x v="0"/>
    <n v="4"/>
    <x v="0"/>
    <n v="93200"/>
    <n v="13500"/>
    <n v="106700"/>
    <s v="D"/>
    <d v="2023-06-26T00:00:00"/>
    <x v="1"/>
  </r>
  <r>
    <x v="3382"/>
    <x v="1"/>
    <n v="29"/>
    <x v="0"/>
    <x v="1"/>
    <x v="2"/>
    <n v="7.9"/>
    <n v="3.2"/>
    <x v="2"/>
    <n v="4"/>
    <x v="0"/>
    <n v="82600"/>
    <n v="11100"/>
    <n v="93700"/>
    <s v="D"/>
    <d v="2018-02-02T00:00:00"/>
    <x v="2"/>
  </r>
  <r>
    <x v="3383"/>
    <x v="0"/>
    <n v="21"/>
    <x v="1"/>
    <x v="7"/>
    <x v="1"/>
    <n v="3.1"/>
    <n v="0"/>
    <x v="1"/>
    <n v="4"/>
    <x v="0"/>
    <n v="76300"/>
    <n v="6300"/>
    <n v="82600"/>
    <s v="C"/>
    <d v="2022-12-10T00:00:00"/>
    <x v="1"/>
  </r>
  <r>
    <x v="3384"/>
    <x v="0"/>
    <n v="43"/>
    <x v="2"/>
    <x v="11"/>
    <x v="0"/>
    <n v="8"/>
    <n v="6.2"/>
    <x v="2"/>
    <n v="3"/>
    <x v="0"/>
    <n v="104800"/>
    <n v="5500"/>
    <n v="110300"/>
    <s v="E"/>
    <d v="2017-12-28T00:00:00"/>
    <x v="0"/>
  </r>
  <r>
    <x v="3385"/>
    <x v="1"/>
    <n v="34"/>
    <x v="5"/>
    <x v="15"/>
    <x v="1"/>
    <n v="9.6999999999999993"/>
    <n v="7"/>
    <x v="4"/>
    <n v="4"/>
    <x v="0"/>
    <n v="72100"/>
    <n v="11500"/>
    <n v="83600"/>
    <s v="C"/>
    <d v="2016-05-01T00:00:00"/>
    <x v="1"/>
  </r>
  <r>
    <x v="3386"/>
    <x v="1"/>
    <n v="48"/>
    <x v="2"/>
    <x v="18"/>
    <x v="3"/>
    <n v="9.9"/>
    <n v="7.2"/>
    <x v="4"/>
    <n v="3"/>
    <x v="0"/>
    <n v="74300"/>
    <n v="4900"/>
    <n v="79200"/>
    <s v="C"/>
    <d v="2016-02-06T00:00:00"/>
    <x v="3"/>
  </r>
  <r>
    <x v="3387"/>
    <x v="0"/>
    <n v="44"/>
    <x v="0"/>
    <x v="1"/>
    <x v="2"/>
    <n v="5.3"/>
    <n v="5.3"/>
    <x v="1"/>
    <n v="3"/>
    <x v="0"/>
    <n v="77700"/>
    <n v="3500"/>
    <n v="81200"/>
    <s v="C"/>
    <d v="2020-09-28T00:00:00"/>
    <x v="2"/>
  </r>
  <r>
    <x v="3388"/>
    <x v="1"/>
    <n v="38"/>
    <x v="5"/>
    <x v="9"/>
    <x v="3"/>
    <n v="9.1999999999999993"/>
    <n v="6.7"/>
    <x v="4"/>
    <n v="4"/>
    <x v="0"/>
    <n v="101600"/>
    <n v="11300"/>
    <n v="112900"/>
    <s v="E"/>
    <d v="2016-10-23T00:00:00"/>
    <x v="3"/>
  </r>
  <r>
    <x v="3389"/>
    <x v="0"/>
    <n v="45"/>
    <x v="3"/>
    <x v="13"/>
    <x v="2"/>
    <n v="2.9"/>
    <n v="1.3"/>
    <x v="0"/>
    <n v="4"/>
    <x v="2"/>
    <n v="86500"/>
    <n v="5700"/>
    <n v="92200"/>
    <s v="D"/>
    <d v="2023-02-11T00:00:00"/>
    <x v="2"/>
  </r>
  <r>
    <x v="3390"/>
    <x v="1"/>
    <n v="29"/>
    <x v="3"/>
    <x v="5"/>
    <x v="2"/>
    <n v="9"/>
    <n v="6.5"/>
    <x v="4"/>
    <n v="3"/>
    <x v="0"/>
    <n v="89800"/>
    <n v="4000"/>
    <n v="93800"/>
    <s v="D"/>
    <d v="2017-01-11T00:00:00"/>
    <x v="2"/>
  </r>
  <r>
    <x v="3391"/>
    <x v="1"/>
    <n v="40"/>
    <x v="1"/>
    <x v="7"/>
    <x v="1"/>
    <n v="4.5"/>
    <n v="3.2"/>
    <x v="1"/>
    <n v="4"/>
    <x v="0"/>
    <n v="72100"/>
    <n v="3400"/>
    <n v="75500"/>
    <s v="C"/>
    <d v="2021-06-25T00:00:00"/>
    <x v="1"/>
  </r>
  <r>
    <x v="3392"/>
    <x v="1"/>
    <n v="30"/>
    <x v="3"/>
    <x v="12"/>
    <x v="1"/>
    <n v="5.2"/>
    <n v="4.2"/>
    <x v="1"/>
    <n v="1"/>
    <x v="0"/>
    <n v="64200"/>
    <n v="3000"/>
    <n v="67200"/>
    <s v="B"/>
    <d v="2020-10-28T00:00:00"/>
    <x v="1"/>
  </r>
  <r>
    <x v="3393"/>
    <x v="1"/>
    <n v="33"/>
    <x v="5"/>
    <x v="9"/>
    <x v="2"/>
    <n v="12.2"/>
    <n v="7.8"/>
    <x v="3"/>
    <n v="3"/>
    <x v="0"/>
    <n v="108000"/>
    <n v="21700"/>
    <n v="129700"/>
    <s v="E"/>
    <d v="2013-10-27T00:00:00"/>
    <x v="2"/>
  </r>
  <r>
    <x v="3394"/>
    <x v="0"/>
    <n v="21"/>
    <x v="4"/>
    <x v="8"/>
    <x v="1"/>
    <n v="7.9"/>
    <n v="4.2"/>
    <x v="2"/>
    <n v="3"/>
    <x v="1"/>
    <n v="52500"/>
    <n v="7800"/>
    <n v="60300"/>
    <s v="B"/>
    <d v="2018-01-27T00:00:00"/>
    <x v="1"/>
  </r>
  <r>
    <x v="3395"/>
    <x v="0"/>
    <n v="40"/>
    <x v="5"/>
    <x v="9"/>
    <x v="1"/>
    <n v="13.4"/>
    <n v="8.8000000000000007"/>
    <x v="3"/>
    <n v="3"/>
    <x v="0"/>
    <n v="104700"/>
    <n v="20800"/>
    <n v="125500"/>
    <s v="E"/>
    <d v="2012-07-30T00:00:00"/>
    <x v="1"/>
  </r>
  <r>
    <x v="3396"/>
    <x v="0"/>
    <n v="34"/>
    <x v="0"/>
    <x v="1"/>
    <x v="1"/>
    <n v="1.9"/>
    <n v="1.3"/>
    <x v="0"/>
    <n v="2"/>
    <x v="0"/>
    <n v="58300"/>
    <n v="5700"/>
    <n v="64000"/>
    <s v="B"/>
    <d v="2024-02-01T00:00:00"/>
    <x v="1"/>
  </r>
  <r>
    <x v="3397"/>
    <x v="1"/>
    <n v="32"/>
    <x v="3"/>
    <x v="5"/>
    <x v="2"/>
    <n v="3.5"/>
    <n v="0.8"/>
    <x v="1"/>
    <n v="2"/>
    <x v="2"/>
    <n v="57600"/>
    <n v="2300"/>
    <n v="59900"/>
    <s v="B"/>
    <d v="2022-06-30T00:00:00"/>
    <x v="2"/>
  </r>
  <r>
    <x v="3398"/>
    <x v="0"/>
    <n v="28"/>
    <x v="3"/>
    <x v="5"/>
    <x v="2"/>
    <n v="13.3"/>
    <n v="8.5"/>
    <x v="3"/>
    <n v="4"/>
    <x v="0"/>
    <n v="93900"/>
    <n v="7400"/>
    <n v="101300"/>
    <s v="D"/>
    <d v="2012-09-30T00:00:00"/>
    <x v="2"/>
  </r>
  <r>
    <x v="3399"/>
    <x v="1"/>
    <n v="24"/>
    <x v="0"/>
    <x v="0"/>
    <x v="1"/>
    <n v="3.3"/>
    <n v="3.1"/>
    <x v="1"/>
    <n v="3"/>
    <x v="1"/>
    <n v="60500"/>
    <n v="5300"/>
    <n v="65800"/>
    <s v="B"/>
    <d v="2022-08-27T00:00:00"/>
    <x v="1"/>
  </r>
  <r>
    <x v="3400"/>
    <x v="1"/>
    <n v="31"/>
    <x v="3"/>
    <x v="5"/>
    <x v="3"/>
    <n v="10.9"/>
    <n v="7.7"/>
    <x v="4"/>
    <n v="3"/>
    <x v="0"/>
    <n v="85300"/>
    <n v="5900"/>
    <n v="91200"/>
    <s v="D"/>
    <d v="2015-01-21T00:00:00"/>
    <x v="3"/>
  </r>
  <r>
    <x v="3401"/>
    <x v="1"/>
    <n v="30"/>
    <x v="5"/>
    <x v="9"/>
    <x v="1"/>
    <n v="1.4"/>
    <n v="1.1000000000000001"/>
    <x v="0"/>
    <n v="4"/>
    <x v="0"/>
    <n v="100600"/>
    <n v="19500"/>
    <n v="120100"/>
    <s v="E"/>
    <d v="2024-08-06T00:00:00"/>
    <x v="1"/>
  </r>
  <r>
    <x v="3402"/>
    <x v="1"/>
    <n v="40"/>
    <x v="5"/>
    <x v="9"/>
    <x v="2"/>
    <n v="7"/>
    <n v="3.3"/>
    <x v="2"/>
    <n v="4"/>
    <x v="0"/>
    <n v="92100"/>
    <n v="10600"/>
    <n v="102700"/>
    <s v="D"/>
    <d v="2018-12-15T00:00:00"/>
    <x v="2"/>
  </r>
  <r>
    <x v="3403"/>
    <x v="1"/>
    <n v="43"/>
    <x v="1"/>
    <x v="7"/>
    <x v="2"/>
    <n v="8.4"/>
    <n v="5.7"/>
    <x v="2"/>
    <n v="3"/>
    <x v="2"/>
    <n v="63700"/>
    <n v="5900"/>
    <n v="69600"/>
    <s v="B"/>
    <d v="2017-08-10T00:00:00"/>
    <x v="2"/>
  </r>
  <r>
    <x v="3404"/>
    <x v="1"/>
    <n v="31"/>
    <x v="1"/>
    <x v="7"/>
    <x v="1"/>
    <n v="2.2999999999999998"/>
    <n v="0.6"/>
    <x v="0"/>
    <n v="3"/>
    <x v="1"/>
    <n v="44000"/>
    <n v="3000"/>
    <n v="47000"/>
    <s v="A"/>
    <d v="2023-09-25T00:00:00"/>
    <x v="1"/>
  </r>
  <r>
    <x v="3405"/>
    <x v="0"/>
    <n v="34"/>
    <x v="1"/>
    <x v="10"/>
    <x v="1"/>
    <n v="8.1999999999999993"/>
    <n v="4.2"/>
    <x v="2"/>
    <n v="3"/>
    <x v="0"/>
    <n v="113300"/>
    <n v="11000"/>
    <n v="124300"/>
    <s v="E"/>
    <d v="2017-10-17T00:00:00"/>
    <x v="1"/>
  </r>
  <r>
    <x v="3406"/>
    <x v="0"/>
    <n v="47"/>
    <x v="2"/>
    <x v="11"/>
    <x v="1"/>
    <n v="9.5"/>
    <n v="9.1"/>
    <x v="4"/>
    <n v="3"/>
    <x v="0"/>
    <n v="88200"/>
    <n v="5600"/>
    <n v="93800"/>
    <s v="D"/>
    <d v="2016-06-23T00:00:00"/>
    <x v="1"/>
  </r>
  <r>
    <x v="3407"/>
    <x v="0"/>
    <n v="33"/>
    <x v="3"/>
    <x v="13"/>
    <x v="2"/>
    <n v="12.8"/>
    <n v="8.1999999999999993"/>
    <x v="3"/>
    <n v="4"/>
    <x v="0"/>
    <n v="117100"/>
    <n v="8400"/>
    <n v="125500"/>
    <s v="E"/>
    <d v="2013-03-17T00:00:00"/>
    <x v="2"/>
  </r>
  <r>
    <x v="3408"/>
    <x v="0"/>
    <n v="44"/>
    <x v="3"/>
    <x v="13"/>
    <x v="1"/>
    <n v="12.6"/>
    <n v="8.9"/>
    <x v="3"/>
    <n v="5"/>
    <x v="0"/>
    <n v="106200"/>
    <n v="7000"/>
    <n v="113200"/>
    <s v="E"/>
    <d v="2013-05-15T00:00:00"/>
    <x v="1"/>
  </r>
  <r>
    <x v="3409"/>
    <x v="0"/>
    <n v="33"/>
    <x v="4"/>
    <x v="14"/>
    <x v="1"/>
    <n v="4.7"/>
    <n v="2.7"/>
    <x v="1"/>
    <n v="3"/>
    <x v="0"/>
    <n v="113500"/>
    <n v="16500"/>
    <n v="130000"/>
    <s v="E"/>
    <d v="2021-04-05T00:00:00"/>
    <x v="1"/>
  </r>
  <r>
    <x v="3410"/>
    <x v="1"/>
    <n v="40"/>
    <x v="1"/>
    <x v="7"/>
    <x v="1"/>
    <n v="9.6"/>
    <n v="5.2"/>
    <x v="4"/>
    <n v="5"/>
    <x v="2"/>
    <n v="76800"/>
    <n v="4900"/>
    <n v="81700"/>
    <s v="C"/>
    <d v="2016-05-26T00:00:00"/>
    <x v="1"/>
  </r>
  <r>
    <x v="3411"/>
    <x v="0"/>
    <n v="43"/>
    <x v="2"/>
    <x v="4"/>
    <x v="1"/>
    <n v="1.7"/>
    <n v="0.5"/>
    <x v="0"/>
    <n v="5"/>
    <x v="0"/>
    <n v="63800"/>
    <n v="4400"/>
    <n v="68200"/>
    <s v="B"/>
    <d v="2024-04-22T00:00:00"/>
    <x v="1"/>
  </r>
  <r>
    <x v="3412"/>
    <x v="1"/>
    <n v="40"/>
    <x v="4"/>
    <x v="16"/>
    <x v="0"/>
    <n v="11"/>
    <n v="8.1999999999999993"/>
    <x v="4"/>
    <n v="3"/>
    <x v="0"/>
    <n v="99900"/>
    <n v="11700"/>
    <n v="111600"/>
    <s v="D"/>
    <d v="2015-01-05T00:00:00"/>
    <x v="0"/>
  </r>
  <r>
    <x v="3413"/>
    <x v="0"/>
    <n v="44"/>
    <x v="2"/>
    <x v="18"/>
    <x v="1"/>
    <n v="3.1"/>
    <n v="0.9"/>
    <x v="1"/>
    <n v="4"/>
    <x v="0"/>
    <n v="66100"/>
    <n v="6700"/>
    <n v="72800"/>
    <s v="C"/>
    <d v="2022-11-08T00:00:00"/>
    <x v="1"/>
  </r>
  <r>
    <x v="3414"/>
    <x v="1"/>
    <n v="23"/>
    <x v="3"/>
    <x v="5"/>
    <x v="1"/>
    <n v="6.7"/>
    <n v="2.6"/>
    <x v="2"/>
    <n v="4"/>
    <x v="0"/>
    <n v="72600"/>
    <n v="3400"/>
    <n v="76000"/>
    <s v="C"/>
    <d v="2019-04-14T00:00:00"/>
    <x v="1"/>
  </r>
  <r>
    <x v="3415"/>
    <x v="1"/>
    <n v="42"/>
    <x v="5"/>
    <x v="15"/>
    <x v="4"/>
    <n v="10.6"/>
    <n v="4.8"/>
    <x v="4"/>
    <n v="5"/>
    <x v="0"/>
    <n v="65100"/>
    <n v="8700"/>
    <n v="73800"/>
    <s v="C"/>
    <d v="2015-05-12T00:00:00"/>
    <x v="4"/>
  </r>
  <r>
    <x v="3416"/>
    <x v="0"/>
    <n v="28"/>
    <x v="0"/>
    <x v="1"/>
    <x v="1"/>
    <n v="7.7"/>
    <n v="4.9000000000000004"/>
    <x v="2"/>
    <n v="3"/>
    <x v="0"/>
    <n v="79100"/>
    <n v="5200"/>
    <n v="84300"/>
    <s v="C"/>
    <d v="2018-04-13T00:00:00"/>
    <x v="1"/>
  </r>
  <r>
    <x v="3417"/>
    <x v="0"/>
    <n v="33"/>
    <x v="5"/>
    <x v="9"/>
    <x v="1"/>
    <n v="13.8"/>
    <n v="8.8000000000000007"/>
    <x v="3"/>
    <n v="3"/>
    <x v="0"/>
    <n v="98400"/>
    <n v="19800"/>
    <n v="118200"/>
    <s v="D"/>
    <d v="2012-04-01T00:00:00"/>
    <x v="1"/>
  </r>
  <r>
    <x v="3418"/>
    <x v="0"/>
    <n v="33"/>
    <x v="4"/>
    <x v="8"/>
    <x v="3"/>
    <n v="9.1999999999999993"/>
    <n v="3.1"/>
    <x v="4"/>
    <n v="4"/>
    <x v="0"/>
    <n v="90000"/>
    <n v="10300"/>
    <n v="100300"/>
    <s v="D"/>
    <d v="2016-10-29T00:00:00"/>
    <x v="3"/>
  </r>
  <r>
    <x v="3419"/>
    <x v="0"/>
    <n v="30"/>
    <x v="1"/>
    <x v="7"/>
    <x v="1"/>
    <n v="6"/>
    <n v="4.9000000000000004"/>
    <x v="2"/>
    <n v="4"/>
    <x v="0"/>
    <n v="80000"/>
    <n v="6300"/>
    <n v="86300"/>
    <s v="D"/>
    <d v="2020-01-13T00:00:00"/>
    <x v="1"/>
  </r>
  <r>
    <x v="3420"/>
    <x v="0"/>
    <n v="23"/>
    <x v="5"/>
    <x v="9"/>
    <x v="1"/>
    <n v="1.4"/>
    <n v="1.4"/>
    <x v="0"/>
    <n v="5"/>
    <x v="1"/>
    <n v="65400"/>
    <n v="6500"/>
    <n v="71900"/>
    <s v="C"/>
    <d v="2024-08-09T00:00:00"/>
    <x v="1"/>
  </r>
  <r>
    <x v="3421"/>
    <x v="0"/>
    <n v="36"/>
    <x v="2"/>
    <x v="4"/>
    <x v="1"/>
    <n v="2.7"/>
    <n v="1.9"/>
    <x v="0"/>
    <n v="4"/>
    <x v="0"/>
    <n v="71900"/>
    <n v="6100"/>
    <n v="78000"/>
    <s v="C"/>
    <d v="2023-04-10T00:00:00"/>
    <x v="1"/>
  </r>
  <r>
    <x v="3422"/>
    <x v="1"/>
    <n v="39"/>
    <x v="0"/>
    <x v="2"/>
    <x v="1"/>
    <n v="12.2"/>
    <n v="5.9"/>
    <x v="3"/>
    <n v="2"/>
    <x v="0"/>
    <n v="72100"/>
    <n v="6300"/>
    <n v="78400"/>
    <s v="C"/>
    <d v="2013-10-27T00:00:00"/>
    <x v="1"/>
  </r>
  <r>
    <x v="3423"/>
    <x v="1"/>
    <n v="51"/>
    <x v="0"/>
    <x v="2"/>
    <x v="1"/>
    <n v="11.3"/>
    <n v="8.1999999999999993"/>
    <x v="4"/>
    <n v="3"/>
    <x v="1"/>
    <n v="47300"/>
    <n v="6200"/>
    <n v="53500"/>
    <s v="A"/>
    <d v="2014-08-27T00:00:00"/>
    <x v="1"/>
  </r>
  <r>
    <x v="3424"/>
    <x v="1"/>
    <n v="37"/>
    <x v="2"/>
    <x v="18"/>
    <x v="2"/>
    <n v="11.4"/>
    <n v="8"/>
    <x v="4"/>
    <n v="2"/>
    <x v="0"/>
    <n v="78800"/>
    <n v="6200"/>
    <n v="85000"/>
    <s v="C"/>
    <d v="2014-08-01T00:00:00"/>
    <x v="2"/>
  </r>
  <r>
    <x v="3425"/>
    <x v="0"/>
    <n v="31"/>
    <x v="3"/>
    <x v="13"/>
    <x v="2"/>
    <n v="4.3"/>
    <n v="4.3"/>
    <x v="1"/>
    <n v="3"/>
    <x v="0"/>
    <n v="104400"/>
    <n v="7600"/>
    <n v="112000"/>
    <s v="E"/>
    <d v="2021-09-09T00:00:00"/>
    <x v="2"/>
  </r>
  <r>
    <x v="3426"/>
    <x v="1"/>
    <n v="35"/>
    <x v="1"/>
    <x v="7"/>
    <x v="2"/>
    <n v="13.2"/>
    <n v="8.1999999999999993"/>
    <x v="3"/>
    <n v="3"/>
    <x v="1"/>
    <n v="61300"/>
    <n v="5100"/>
    <n v="66400"/>
    <s v="B"/>
    <d v="2012-10-14T00:00:00"/>
    <x v="2"/>
  </r>
  <r>
    <x v="3427"/>
    <x v="1"/>
    <n v="30"/>
    <x v="5"/>
    <x v="17"/>
    <x v="0"/>
    <n v="13"/>
    <n v="11.3"/>
    <x v="3"/>
    <n v="3"/>
    <x v="0"/>
    <n v="107100"/>
    <n v="17100"/>
    <n v="124200"/>
    <s v="E"/>
    <d v="2013-01-10T00:00:00"/>
    <x v="0"/>
  </r>
  <r>
    <x v="3428"/>
    <x v="0"/>
    <n v="46"/>
    <x v="1"/>
    <x v="3"/>
    <x v="1"/>
    <n v="8.4"/>
    <n v="4.0999999999999996"/>
    <x v="2"/>
    <n v="3"/>
    <x v="0"/>
    <n v="74200"/>
    <n v="3900"/>
    <n v="78100"/>
    <s v="C"/>
    <d v="2017-08-12T00:00:00"/>
    <x v="1"/>
  </r>
  <r>
    <x v="3429"/>
    <x v="1"/>
    <n v="25"/>
    <x v="4"/>
    <x v="8"/>
    <x v="3"/>
    <n v="10.1"/>
    <n v="6.6"/>
    <x v="4"/>
    <n v="3"/>
    <x v="0"/>
    <n v="108600"/>
    <n v="12300"/>
    <n v="120900"/>
    <s v="E"/>
    <d v="2015-11-30T00:00:00"/>
    <x v="3"/>
  </r>
  <r>
    <x v="3430"/>
    <x v="1"/>
    <n v="34"/>
    <x v="3"/>
    <x v="13"/>
    <x v="2"/>
    <n v="7.3"/>
    <n v="5.7"/>
    <x v="2"/>
    <n v="3"/>
    <x v="0"/>
    <n v="109900"/>
    <n v="7000"/>
    <n v="116900"/>
    <s v="E"/>
    <d v="2018-10-01T00:00:00"/>
    <x v="2"/>
  </r>
  <r>
    <x v="3431"/>
    <x v="0"/>
    <n v="31"/>
    <x v="3"/>
    <x v="5"/>
    <x v="1"/>
    <n v="2.8"/>
    <n v="2.8"/>
    <x v="0"/>
    <n v="3"/>
    <x v="0"/>
    <n v="76700"/>
    <n v="6600"/>
    <n v="83300"/>
    <s v="C"/>
    <d v="2023-03-22T00:00:00"/>
    <x v="1"/>
  </r>
  <r>
    <x v="3432"/>
    <x v="0"/>
    <n v="28"/>
    <x v="2"/>
    <x v="11"/>
    <x v="1"/>
    <n v="3.2"/>
    <n v="2.9"/>
    <x v="1"/>
    <n v="4"/>
    <x v="0"/>
    <n v="106300"/>
    <n v="9700"/>
    <n v="116000"/>
    <s v="E"/>
    <d v="2022-10-15T00:00:00"/>
    <x v="1"/>
  </r>
  <r>
    <x v="3433"/>
    <x v="1"/>
    <n v="33"/>
    <x v="1"/>
    <x v="10"/>
    <x v="2"/>
    <n v="7.5"/>
    <n v="5.3"/>
    <x v="2"/>
    <n v="4"/>
    <x v="0"/>
    <n v="116400"/>
    <n v="13300"/>
    <n v="129700"/>
    <s v="E"/>
    <d v="2018-06-18T00:00:00"/>
    <x v="2"/>
  </r>
  <r>
    <x v="3434"/>
    <x v="1"/>
    <n v="44"/>
    <x v="0"/>
    <x v="0"/>
    <x v="2"/>
    <n v="7"/>
    <n v="5.8"/>
    <x v="2"/>
    <n v="3"/>
    <x v="1"/>
    <n v="60600"/>
    <n v="4600"/>
    <n v="65200"/>
    <s v="B"/>
    <d v="2018-12-24T00:00:00"/>
    <x v="2"/>
  </r>
  <r>
    <x v="3435"/>
    <x v="0"/>
    <n v="46"/>
    <x v="3"/>
    <x v="13"/>
    <x v="2"/>
    <n v="6.1"/>
    <n v="4.8"/>
    <x v="2"/>
    <n v="3"/>
    <x v="0"/>
    <n v="108400"/>
    <n v="8500"/>
    <n v="116900"/>
    <s v="E"/>
    <d v="2019-11-10T00:00:00"/>
    <x v="2"/>
  </r>
  <r>
    <x v="3436"/>
    <x v="1"/>
    <n v="31"/>
    <x v="1"/>
    <x v="3"/>
    <x v="2"/>
    <n v="9.4"/>
    <n v="5.8"/>
    <x v="4"/>
    <n v="4"/>
    <x v="0"/>
    <n v="92400"/>
    <n v="5600"/>
    <n v="98000"/>
    <s v="D"/>
    <d v="2016-08-12T00:00:00"/>
    <x v="2"/>
  </r>
  <r>
    <x v="3437"/>
    <x v="0"/>
    <n v="30"/>
    <x v="5"/>
    <x v="17"/>
    <x v="3"/>
    <n v="5.3"/>
    <n v="4.8"/>
    <x v="1"/>
    <n v="3"/>
    <x v="0"/>
    <n v="92300"/>
    <n v="16300"/>
    <n v="108600"/>
    <s v="D"/>
    <d v="2020-09-06T00:00:00"/>
    <x v="3"/>
  </r>
  <r>
    <x v="3438"/>
    <x v="1"/>
    <n v="38"/>
    <x v="1"/>
    <x v="7"/>
    <x v="0"/>
    <n v="13.5"/>
    <n v="10"/>
    <x v="3"/>
    <n v="1"/>
    <x v="0"/>
    <n v="76900"/>
    <n v="8800"/>
    <n v="85700"/>
    <s v="C"/>
    <d v="2012-07-05T00:00:00"/>
    <x v="0"/>
  </r>
  <r>
    <x v="3439"/>
    <x v="1"/>
    <n v="33"/>
    <x v="2"/>
    <x v="11"/>
    <x v="1"/>
    <n v="11.7"/>
    <n v="7.8"/>
    <x v="4"/>
    <n v="3"/>
    <x v="0"/>
    <n v="108500"/>
    <n v="8400"/>
    <n v="116900"/>
    <s v="E"/>
    <d v="2014-04-27T00:00:00"/>
    <x v="1"/>
  </r>
  <r>
    <x v="3440"/>
    <x v="1"/>
    <n v="33"/>
    <x v="5"/>
    <x v="15"/>
    <x v="2"/>
    <n v="10.5"/>
    <n v="6.3"/>
    <x v="4"/>
    <n v="3"/>
    <x v="0"/>
    <n v="83100"/>
    <n v="8100"/>
    <n v="91200"/>
    <s v="D"/>
    <d v="2015-07-07T00:00:00"/>
    <x v="2"/>
  </r>
  <r>
    <x v="3441"/>
    <x v="1"/>
    <n v="39"/>
    <x v="3"/>
    <x v="13"/>
    <x v="1"/>
    <n v="10.1"/>
    <n v="7.2"/>
    <x v="4"/>
    <n v="2"/>
    <x v="0"/>
    <n v="100700"/>
    <n v="6200"/>
    <n v="106900"/>
    <s v="E"/>
    <d v="2015-11-13T00:00:00"/>
    <x v="1"/>
  </r>
  <r>
    <x v="3442"/>
    <x v="1"/>
    <n v="44"/>
    <x v="1"/>
    <x v="10"/>
    <x v="2"/>
    <n v="4.0999999999999996"/>
    <n v="1.8"/>
    <x v="1"/>
    <n v="5"/>
    <x v="2"/>
    <n v="90700"/>
    <n v="7000"/>
    <n v="97700"/>
    <s v="D"/>
    <d v="2021-12-02T00:00:00"/>
    <x v="2"/>
  </r>
  <r>
    <x v="3443"/>
    <x v="1"/>
    <n v="24"/>
    <x v="5"/>
    <x v="9"/>
    <x v="1"/>
    <n v="9.8000000000000007"/>
    <n v="6.9"/>
    <x v="4"/>
    <n v="2"/>
    <x v="0"/>
    <n v="116500"/>
    <n v="13000"/>
    <n v="129500"/>
    <s v="E"/>
    <d v="2016-02-26T00:00:00"/>
    <x v="1"/>
  </r>
  <r>
    <x v="3444"/>
    <x v="0"/>
    <n v="21"/>
    <x v="2"/>
    <x v="4"/>
    <x v="0"/>
    <n v="6.3"/>
    <n v="5.3"/>
    <x v="2"/>
    <n v="5"/>
    <x v="2"/>
    <n v="63600"/>
    <n v="4000"/>
    <n v="67600"/>
    <s v="B"/>
    <d v="2019-09-27T00:00:00"/>
    <x v="0"/>
  </r>
  <r>
    <x v="3445"/>
    <x v="0"/>
    <n v="26"/>
    <x v="0"/>
    <x v="2"/>
    <x v="1"/>
    <n v="13.2"/>
    <n v="7.5"/>
    <x v="3"/>
    <n v="3"/>
    <x v="2"/>
    <n v="62000"/>
    <n v="4800"/>
    <n v="66800"/>
    <s v="B"/>
    <d v="2012-10-23T00:00:00"/>
    <x v="1"/>
  </r>
  <r>
    <x v="3446"/>
    <x v="1"/>
    <n v="32"/>
    <x v="1"/>
    <x v="7"/>
    <x v="2"/>
    <n v="8.1"/>
    <n v="4.7"/>
    <x v="2"/>
    <n v="4"/>
    <x v="0"/>
    <n v="95700"/>
    <n v="7100"/>
    <n v="102800"/>
    <s v="D"/>
    <d v="2017-12-13T00:00:00"/>
    <x v="2"/>
  </r>
  <r>
    <x v="3447"/>
    <x v="0"/>
    <n v="38"/>
    <x v="4"/>
    <x v="8"/>
    <x v="1"/>
    <n v="7.9"/>
    <n v="7.7"/>
    <x v="2"/>
    <n v="4"/>
    <x v="0"/>
    <n v="74700"/>
    <n v="8800"/>
    <n v="83500"/>
    <s v="C"/>
    <d v="2018-01-27T00:00:00"/>
    <x v="1"/>
  </r>
  <r>
    <x v="3448"/>
    <x v="1"/>
    <n v="29"/>
    <x v="5"/>
    <x v="9"/>
    <x v="0"/>
    <n v="13.2"/>
    <n v="9"/>
    <x v="3"/>
    <n v="3"/>
    <x v="0"/>
    <n v="107000"/>
    <n v="9800"/>
    <n v="116800"/>
    <s v="E"/>
    <d v="2012-10-20T00:00:00"/>
    <x v="0"/>
  </r>
  <r>
    <x v="3449"/>
    <x v="0"/>
    <n v="43"/>
    <x v="0"/>
    <x v="2"/>
    <x v="2"/>
    <n v="6.1"/>
    <n v="4.9000000000000004"/>
    <x v="2"/>
    <n v="4"/>
    <x v="1"/>
    <n v="42900"/>
    <n v="2900"/>
    <n v="45800"/>
    <s v="A"/>
    <d v="2019-11-19T00:00:00"/>
    <x v="2"/>
  </r>
  <r>
    <x v="3450"/>
    <x v="1"/>
    <n v="21"/>
    <x v="5"/>
    <x v="15"/>
    <x v="0"/>
    <n v="9"/>
    <n v="6"/>
    <x v="4"/>
    <n v="3"/>
    <x v="0"/>
    <n v="55500"/>
    <n v="4200"/>
    <n v="59700"/>
    <s v="B"/>
    <d v="2016-12-20T00:00:00"/>
    <x v="0"/>
  </r>
  <r>
    <x v="3451"/>
    <x v="1"/>
    <n v="22"/>
    <x v="2"/>
    <x v="4"/>
    <x v="2"/>
    <n v="6.5"/>
    <n v="2.7"/>
    <x v="2"/>
    <n v="3"/>
    <x v="0"/>
    <n v="81300"/>
    <n v="6400"/>
    <n v="87700"/>
    <s v="D"/>
    <d v="2019-07-10T00:00:00"/>
    <x v="2"/>
  </r>
  <r>
    <x v="3452"/>
    <x v="0"/>
    <n v="30"/>
    <x v="1"/>
    <x v="10"/>
    <x v="1"/>
    <n v="3.1"/>
    <n v="1.6"/>
    <x v="1"/>
    <n v="5"/>
    <x v="0"/>
    <n v="110200"/>
    <n v="13100"/>
    <n v="123300"/>
    <s v="E"/>
    <d v="2022-11-08T00:00:00"/>
    <x v="1"/>
  </r>
  <r>
    <x v="3453"/>
    <x v="1"/>
    <n v="38"/>
    <x v="4"/>
    <x v="6"/>
    <x v="2"/>
    <n v="5.5"/>
    <n v="5.2"/>
    <x v="1"/>
    <n v="3"/>
    <x v="0"/>
    <n v="78800"/>
    <n v="8400"/>
    <n v="87200"/>
    <s v="C"/>
    <d v="2020-07-18T00:00:00"/>
    <x v="2"/>
  </r>
  <r>
    <x v="3454"/>
    <x v="1"/>
    <n v="38"/>
    <x v="5"/>
    <x v="15"/>
    <x v="0"/>
    <n v="7.5"/>
    <n v="5.4"/>
    <x v="2"/>
    <n v="3"/>
    <x v="0"/>
    <n v="61000"/>
    <n v="12500"/>
    <n v="73500"/>
    <s v="B"/>
    <d v="2018-07-20T00:00:00"/>
    <x v="0"/>
  </r>
  <r>
    <x v="3455"/>
    <x v="1"/>
    <n v="41"/>
    <x v="0"/>
    <x v="2"/>
    <x v="2"/>
    <n v="9.5"/>
    <n v="5.8"/>
    <x v="4"/>
    <n v="3"/>
    <x v="0"/>
    <n v="81200"/>
    <n v="10400"/>
    <n v="91600"/>
    <s v="D"/>
    <d v="2016-06-22T00:00:00"/>
    <x v="2"/>
  </r>
  <r>
    <x v="3456"/>
    <x v="1"/>
    <n v="35"/>
    <x v="1"/>
    <x v="3"/>
    <x v="2"/>
    <n v="7.8"/>
    <n v="4"/>
    <x v="2"/>
    <n v="1"/>
    <x v="0"/>
    <n v="84300"/>
    <n v="7100"/>
    <n v="91400"/>
    <s v="D"/>
    <d v="2018-03-18T00:00:00"/>
    <x v="2"/>
  </r>
  <r>
    <x v="3457"/>
    <x v="1"/>
    <n v="50"/>
    <x v="3"/>
    <x v="13"/>
    <x v="1"/>
    <n v="5.4"/>
    <n v="3.6"/>
    <x v="1"/>
    <n v="3"/>
    <x v="0"/>
    <n v="97700"/>
    <n v="7600"/>
    <n v="105300"/>
    <s v="D"/>
    <d v="2020-07-27T00:00:00"/>
    <x v="1"/>
  </r>
  <r>
    <x v="3458"/>
    <x v="0"/>
    <n v="35"/>
    <x v="0"/>
    <x v="1"/>
    <x v="1"/>
    <n v="11.5"/>
    <n v="6.4"/>
    <x v="4"/>
    <n v="2"/>
    <x v="0"/>
    <n v="77800"/>
    <n v="10100"/>
    <n v="87900"/>
    <s v="C"/>
    <d v="2014-07-11T00:00:00"/>
    <x v="1"/>
  </r>
  <r>
    <x v="3459"/>
    <x v="0"/>
    <n v="34"/>
    <x v="5"/>
    <x v="17"/>
    <x v="1"/>
    <n v="2.4"/>
    <n v="0.7"/>
    <x v="0"/>
    <n v="3"/>
    <x v="2"/>
    <n v="77700"/>
    <n v="6200"/>
    <n v="83900"/>
    <s v="C"/>
    <d v="2023-08-13T00:00:00"/>
    <x v="1"/>
  </r>
  <r>
    <x v="3460"/>
    <x v="0"/>
    <n v="32"/>
    <x v="4"/>
    <x v="6"/>
    <x v="1"/>
    <n v="10.7"/>
    <n v="6.5"/>
    <x v="4"/>
    <n v="2"/>
    <x v="0"/>
    <n v="78900"/>
    <n v="11500"/>
    <n v="90400"/>
    <s v="C"/>
    <d v="2015-04-10T00:00:00"/>
    <x v="1"/>
  </r>
  <r>
    <x v="3461"/>
    <x v="0"/>
    <n v="54"/>
    <x v="5"/>
    <x v="9"/>
    <x v="1"/>
    <n v="8.1999999999999993"/>
    <n v="5.2"/>
    <x v="2"/>
    <n v="3"/>
    <x v="2"/>
    <n v="78800"/>
    <n v="14700"/>
    <n v="93500"/>
    <s v="C"/>
    <d v="2017-10-05T00:00:00"/>
    <x v="1"/>
  </r>
  <r>
    <x v="3462"/>
    <x v="0"/>
    <n v="41"/>
    <x v="2"/>
    <x v="18"/>
    <x v="1"/>
    <n v="1.7"/>
    <n v="0"/>
    <x v="0"/>
    <n v="3"/>
    <x v="0"/>
    <n v="61100"/>
    <n v="3200"/>
    <n v="64300"/>
    <s v="B"/>
    <d v="2024-04-12T00:00:00"/>
    <x v="1"/>
  </r>
  <r>
    <x v="3463"/>
    <x v="1"/>
    <n v="24"/>
    <x v="3"/>
    <x v="12"/>
    <x v="0"/>
    <n v="13.4"/>
    <n v="9.3000000000000007"/>
    <x v="3"/>
    <n v="3"/>
    <x v="1"/>
    <n v="47700"/>
    <n v="1800"/>
    <n v="49500"/>
    <s v="A"/>
    <d v="2012-08-07T00:00:00"/>
    <x v="0"/>
  </r>
  <r>
    <x v="3464"/>
    <x v="0"/>
    <n v="36"/>
    <x v="2"/>
    <x v="18"/>
    <x v="3"/>
    <n v="8.9"/>
    <n v="4.3"/>
    <x v="2"/>
    <n v="3"/>
    <x v="0"/>
    <n v="82400"/>
    <n v="8200"/>
    <n v="90600"/>
    <s v="D"/>
    <d v="2017-02-19T00:00:00"/>
    <x v="3"/>
  </r>
  <r>
    <x v="3465"/>
    <x v="0"/>
    <n v="36"/>
    <x v="4"/>
    <x v="6"/>
    <x v="0"/>
    <n v="3.8"/>
    <n v="0.8"/>
    <x v="1"/>
    <n v="5"/>
    <x v="0"/>
    <n v="67900"/>
    <n v="7200"/>
    <n v="75100"/>
    <s v="C"/>
    <d v="2022-03-14T00:00:00"/>
    <x v="0"/>
  </r>
  <r>
    <x v="3466"/>
    <x v="0"/>
    <n v="34"/>
    <x v="1"/>
    <x v="3"/>
    <x v="1"/>
    <n v="6.2"/>
    <n v="1.1000000000000001"/>
    <x v="2"/>
    <n v="2"/>
    <x v="0"/>
    <n v="84600"/>
    <n v="8800"/>
    <n v="93400"/>
    <s v="D"/>
    <d v="2019-11-05T00:00:00"/>
    <x v="1"/>
  </r>
  <r>
    <x v="3467"/>
    <x v="0"/>
    <n v="29"/>
    <x v="5"/>
    <x v="17"/>
    <x v="3"/>
    <n v="13"/>
    <n v="9.6"/>
    <x v="3"/>
    <n v="4"/>
    <x v="1"/>
    <n v="73900"/>
    <n v="8000"/>
    <n v="81900"/>
    <s v="C"/>
    <d v="2013-01-11T00:00:00"/>
    <x v="3"/>
  </r>
  <r>
    <x v="3468"/>
    <x v="1"/>
    <n v="30"/>
    <x v="1"/>
    <x v="3"/>
    <x v="1"/>
    <n v="7.6"/>
    <n v="4.5"/>
    <x v="2"/>
    <n v="3"/>
    <x v="0"/>
    <n v="72200"/>
    <n v="4700"/>
    <n v="76900"/>
    <s v="C"/>
    <d v="2018-05-14T00:00:00"/>
    <x v="1"/>
  </r>
  <r>
    <x v="3469"/>
    <x v="0"/>
    <n v="44"/>
    <x v="5"/>
    <x v="17"/>
    <x v="1"/>
    <n v="13.7"/>
    <n v="7.4"/>
    <x v="3"/>
    <n v="3"/>
    <x v="0"/>
    <n v="97200"/>
    <n v="14700"/>
    <n v="111900"/>
    <s v="D"/>
    <d v="2012-04-29T00:00:00"/>
    <x v="1"/>
  </r>
  <r>
    <x v="3470"/>
    <x v="0"/>
    <n v="30"/>
    <x v="2"/>
    <x v="11"/>
    <x v="0"/>
    <n v="12.6"/>
    <n v="6"/>
    <x v="3"/>
    <n v="4"/>
    <x v="0"/>
    <n v="92700"/>
    <n v="7600"/>
    <n v="100300"/>
    <s v="D"/>
    <d v="2013-06-11T00:00:00"/>
    <x v="0"/>
  </r>
  <r>
    <x v="3471"/>
    <x v="0"/>
    <n v="31"/>
    <x v="5"/>
    <x v="15"/>
    <x v="1"/>
    <n v="8.5"/>
    <n v="5.4"/>
    <x v="2"/>
    <n v="1"/>
    <x v="0"/>
    <n v="63900"/>
    <n v="7000"/>
    <n v="70900"/>
    <s v="B"/>
    <d v="2017-07-11T00:00:00"/>
    <x v="1"/>
  </r>
  <r>
    <x v="3472"/>
    <x v="0"/>
    <n v="36"/>
    <x v="4"/>
    <x v="14"/>
    <x v="1"/>
    <n v="6.8"/>
    <n v="3.8"/>
    <x v="2"/>
    <n v="3"/>
    <x v="0"/>
    <n v="125700"/>
    <n v="11400"/>
    <n v="137100"/>
    <s v="E"/>
    <d v="2019-03-15T00:00:00"/>
    <x v="1"/>
  </r>
  <r>
    <x v="3473"/>
    <x v="0"/>
    <n v="28"/>
    <x v="3"/>
    <x v="5"/>
    <x v="1"/>
    <n v="11.8"/>
    <n v="7.4"/>
    <x v="4"/>
    <n v="3"/>
    <x v="0"/>
    <n v="91700"/>
    <n v="6100"/>
    <n v="97800"/>
    <s v="D"/>
    <d v="2014-03-01T00:00:00"/>
    <x v="1"/>
  </r>
  <r>
    <x v="3474"/>
    <x v="1"/>
    <n v="37"/>
    <x v="0"/>
    <x v="0"/>
    <x v="1"/>
    <n v="7.2"/>
    <n v="2.8"/>
    <x v="2"/>
    <n v="2"/>
    <x v="0"/>
    <n v="101000"/>
    <n v="8100"/>
    <n v="109100"/>
    <s v="E"/>
    <d v="2018-11-02T00:00:00"/>
    <x v="1"/>
  </r>
  <r>
    <x v="3475"/>
    <x v="0"/>
    <n v="32"/>
    <x v="0"/>
    <x v="2"/>
    <x v="1"/>
    <n v="3.5"/>
    <n v="1.7"/>
    <x v="1"/>
    <n v="4"/>
    <x v="0"/>
    <n v="58300"/>
    <n v="3500"/>
    <n v="61800"/>
    <s v="B"/>
    <d v="2022-06-16T00:00:00"/>
    <x v="1"/>
  </r>
  <r>
    <x v="3476"/>
    <x v="0"/>
    <n v="28"/>
    <x v="3"/>
    <x v="12"/>
    <x v="1"/>
    <n v="8.4"/>
    <n v="5.9"/>
    <x v="2"/>
    <n v="3"/>
    <x v="0"/>
    <n v="73000"/>
    <n v="2200"/>
    <n v="75200"/>
    <s v="C"/>
    <d v="2017-08-15T00:00:00"/>
    <x v="1"/>
  </r>
  <r>
    <x v="3477"/>
    <x v="0"/>
    <n v="42"/>
    <x v="5"/>
    <x v="9"/>
    <x v="0"/>
    <n v="8.4"/>
    <n v="5.5"/>
    <x v="2"/>
    <n v="3"/>
    <x v="0"/>
    <n v="91000"/>
    <n v="18300"/>
    <n v="109300"/>
    <s v="D"/>
    <d v="2017-08-23T00:00:00"/>
    <x v="0"/>
  </r>
  <r>
    <x v="3478"/>
    <x v="0"/>
    <n v="30"/>
    <x v="3"/>
    <x v="13"/>
    <x v="2"/>
    <n v="7.9"/>
    <n v="5.5"/>
    <x v="2"/>
    <n v="3"/>
    <x v="0"/>
    <n v="91500"/>
    <n v="7500"/>
    <n v="99000"/>
    <s v="D"/>
    <d v="2018-02-09T00:00:00"/>
    <x v="2"/>
  </r>
  <r>
    <x v="3479"/>
    <x v="1"/>
    <n v="35"/>
    <x v="5"/>
    <x v="9"/>
    <x v="1"/>
    <n v="12.4"/>
    <n v="7.6"/>
    <x v="3"/>
    <n v="3"/>
    <x v="0"/>
    <n v="86900"/>
    <n v="10500"/>
    <n v="97400"/>
    <s v="D"/>
    <d v="2013-08-08T00:00:00"/>
    <x v="1"/>
  </r>
  <r>
    <x v="3480"/>
    <x v="0"/>
    <n v="25"/>
    <x v="0"/>
    <x v="1"/>
    <x v="1"/>
    <n v="9.5"/>
    <n v="6"/>
    <x v="4"/>
    <n v="3"/>
    <x v="0"/>
    <n v="78300"/>
    <n v="10000"/>
    <n v="88300"/>
    <s v="C"/>
    <d v="2016-06-29T00:00:00"/>
    <x v="1"/>
  </r>
  <r>
    <x v="3481"/>
    <x v="0"/>
    <n v="34"/>
    <x v="0"/>
    <x v="1"/>
    <x v="2"/>
    <n v="3.4"/>
    <n v="3"/>
    <x v="1"/>
    <n v="1"/>
    <x v="0"/>
    <n v="58300"/>
    <n v="7000"/>
    <n v="65300"/>
    <s v="B"/>
    <d v="2022-08-16T00:00:00"/>
    <x v="2"/>
  </r>
  <r>
    <x v="3482"/>
    <x v="0"/>
    <n v="32"/>
    <x v="4"/>
    <x v="8"/>
    <x v="1"/>
    <n v="4"/>
    <n v="0.7"/>
    <x v="1"/>
    <n v="2"/>
    <x v="2"/>
    <n v="69900"/>
    <n v="10100"/>
    <n v="80000"/>
    <s v="C"/>
    <d v="2021-12-31T00:00:00"/>
    <x v="1"/>
  </r>
  <r>
    <x v="3483"/>
    <x v="0"/>
    <n v="35"/>
    <x v="3"/>
    <x v="12"/>
    <x v="2"/>
    <n v="12.9"/>
    <n v="8.3000000000000007"/>
    <x v="3"/>
    <n v="4"/>
    <x v="0"/>
    <n v="80500"/>
    <n v="4900"/>
    <n v="85400"/>
    <s v="D"/>
    <d v="2013-01-28T00:00:00"/>
    <x v="2"/>
  </r>
  <r>
    <x v="3484"/>
    <x v="1"/>
    <n v="33"/>
    <x v="2"/>
    <x v="11"/>
    <x v="2"/>
    <n v="4.3"/>
    <n v="2.2000000000000002"/>
    <x v="1"/>
    <n v="4"/>
    <x v="0"/>
    <n v="86200"/>
    <n v="5500"/>
    <n v="91700"/>
    <s v="D"/>
    <d v="2021-09-28T00:00:00"/>
    <x v="2"/>
  </r>
  <r>
    <x v="3485"/>
    <x v="0"/>
    <n v="32"/>
    <x v="3"/>
    <x v="5"/>
    <x v="1"/>
    <n v="1.5"/>
    <n v="1.5"/>
    <x v="0"/>
    <n v="2"/>
    <x v="0"/>
    <n v="65000"/>
    <n v="3500"/>
    <n v="68500"/>
    <s v="C"/>
    <d v="2024-06-14T00:00:00"/>
    <x v="1"/>
  </r>
  <r>
    <x v="3486"/>
    <x v="0"/>
    <n v="46"/>
    <x v="4"/>
    <x v="16"/>
    <x v="1"/>
    <n v="4.4000000000000004"/>
    <n v="3.1"/>
    <x v="1"/>
    <n v="3"/>
    <x v="0"/>
    <n v="83000"/>
    <n v="5100"/>
    <n v="88100"/>
    <s v="D"/>
    <d v="2021-08-15T00:00:00"/>
    <x v="1"/>
  </r>
  <r>
    <x v="3487"/>
    <x v="0"/>
    <n v="29"/>
    <x v="4"/>
    <x v="8"/>
    <x v="1"/>
    <n v="2.7"/>
    <n v="1.7"/>
    <x v="0"/>
    <n v="4"/>
    <x v="0"/>
    <n v="85100"/>
    <n v="9100"/>
    <n v="94200"/>
    <s v="D"/>
    <d v="2023-04-06T00:00:00"/>
    <x v="1"/>
  </r>
  <r>
    <x v="3488"/>
    <x v="1"/>
    <n v="47"/>
    <x v="1"/>
    <x v="10"/>
    <x v="2"/>
    <n v="1.6"/>
    <n v="1.6"/>
    <x v="0"/>
    <n v="2"/>
    <x v="0"/>
    <n v="96000"/>
    <n v="8600"/>
    <n v="104600"/>
    <s v="D"/>
    <d v="2024-05-13T00:00:00"/>
    <x v="2"/>
  </r>
  <r>
    <x v="3489"/>
    <x v="0"/>
    <n v="43"/>
    <x v="0"/>
    <x v="1"/>
    <x v="1"/>
    <n v="12.2"/>
    <n v="8"/>
    <x v="3"/>
    <n v="3"/>
    <x v="1"/>
    <n v="55000"/>
    <n v="6700"/>
    <n v="61700"/>
    <s v="B"/>
    <d v="2013-10-18T00:00:00"/>
    <x v="1"/>
  </r>
  <r>
    <x v="3490"/>
    <x v="1"/>
    <n v="36"/>
    <x v="2"/>
    <x v="18"/>
    <x v="2"/>
    <n v="11.2"/>
    <n v="7.8"/>
    <x v="4"/>
    <n v="3"/>
    <x v="0"/>
    <n v="73300"/>
    <n v="2600"/>
    <n v="75900"/>
    <s v="C"/>
    <d v="2014-10-13T00:00:00"/>
    <x v="2"/>
  </r>
  <r>
    <x v="3491"/>
    <x v="0"/>
    <n v="26"/>
    <x v="3"/>
    <x v="12"/>
    <x v="1"/>
    <n v="10"/>
    <n v="7.8"/>
    <x v="4"/>
    <n v="4"/>
    <x v="0"/>
    <n v="78100"/>
    <n v="3100"/>
    <n v="81200"/>
    <s v="C"/>
    <d v="2015-12-17T00:00:00"/>
    <x v="1"/>
  </r>
  <r>
    <x v="3492"/>
    <x v="1"/>
    <n v="35"/>
    <x v="0"/>
    <x v="1"/>
    <x v="2"/>
    <n v="7.2"/>
    <n v="5.4"/>
    <x v="2"/>
    <n v="4"/>
    <x v="0"/>
    <n v="91900"/>
    <n v="6500"/>
    <n v="98400"/>
    <s v="D"/>
    <d v="2018-10-23T00:00:00"/>
    <x v="2"/>
  </r>
  <r>
    <x v="3493"/>
    <x v="0"/>
    <n v="54"/>
    <x v="0"/>
    <x v="0"/>
    <x v="2"/>
    <n v="9.5"/>
    <n v="6.5"/>
    <x v="4"/>
    <n v="2"/>
    <x v="0"/>
    <n v="121400"/>
    <n v="16000"/>
    <n v="137400"/>
    <s v="E"/>
    <d v="2016-07-11T00:00:00"/>
    <x v="2"/>
  </r>
  <r>
    <x v="3494"/>
    <x v="0"/>
    <n v="30"/>
    <x v="3"/>
    <x v="5"/>
    <x v="2"/>
    <n v="9.4"/>
    <n v="4.5999999999999996"/>
    <x v="4"/>
    <n v="2"/>
    <x v="0"/>
    <n v="86400"/>
    <n v="7000"/>
    <n v="93400"/>
    <s v="D"/>
    <d v="2016-08-12T00:00:00"/>
    <x v="2"/>
  </r>
  <r>
    <x v="3495"/>
    <x v="0"/>
    <n v="46"/>
    <x v="3"/>
    <x v="12"/>
    <x v="2"/>
    <n v="2.2000000000000002"/>
    <n v="2.2000000000000002"/>
    <x v="0"/>
    <n v="4"/>
    <x v="0"/>
    <n v="66500"/>
    <n v="5600"/>
    <n v="72100"/>
    <s v="C"/>
    <d v="2023-10-16T00:00:00"/>
    <x v="2"/>
  </r>
  <r>
    <x v="3496"/>
    <x v="1"/>
    <n v="40"/>
    <x v="4"/>
    <x v="14"/>
    <x v="0"/>
    <n v="6.3"/>
    <n v="5.0999999999999996"/>
    <x v="2"/>
    <n v="3"/>
    <x v="0"/>
    <n v="100500"/>
    <n v="7600"/>
    <n v="108100"/>
    <s v="E"/>
    <d v="2019-09-09T00:00:00"/>
    <x v="0"/>
  </r>
  <r>
    <x v="3497"/>
    <x v="0"/>
    <n v="32"/>
    <x v="4"/>
    <x v="16"/>
    <x v="1"/>
    <n v="13.6"/>
    <n v="9.3000000000000007"/>
    <x v="3"/>
    <n v="4"/>
    <x v="0"/>
    <n v="117300"/>
    <n v="15300"/>
    <n v="132600"/>
    <s v="E"/>
    <d v="2012-06-10T00:00:00"/>
    <x v="1"/>
  </r>
  <r>
    <x v="3498"/>
    <x v="0"/>
    <n v="39"/>
    <x v="1"/>
    <x v="3"/>
    <x v="1"/>
    <n v="2.9"/>
    <n v="2.5"/>
    <x v="0"/>
    <n v="3"/>
    <x v="0"/>
    <n v="68200"/>
    <n v="8000"/>
    <n v="76200"/>
    <s v="C"/>
    <d v="2023-01-23T00:00:00"/>
    <x v="1"/>
  </r>
  <r>
    <x v="3499"/>
    <x v="1"/>
    <n v="26"/>
    <x v="0"/>
    <x v="2"/>
    <x v="3"/>
    <n v="8.1999999999999993"/>
    <n v="6.2"/>
    <x v="2"/>
    <n v="4"/>
    <x v="0"/>
    <n v="81200"/>
    <n v="4500"/>
    <n v="85700"/>
    <s v="D"/>
    <d v="2017-11-03T00:00:00"/>
    <x v="3"/>
  </r>
  <r>
    <x v="3500"/>
    <x v="0"/>
    <n v="24"/>
    <x v="1"/>
    <x v="7"/>
    <x v="0"/>
    <n v="11.5"/>
    <n v="6.7"/>
    <x v="4"/>
    <n v="3"/>
    <x v="2"/>
    <n v="66800"/>
    <n v="3400"/>
    <n v="70200"/>
    <s v="C"/>
    <d v="2014-07-07T00:00:00"/>
    <x v="0"/>
  </r>
  <r>
    <x v="3501"/>
    <x v="0"/>
    <n v="44"/>
    <x v="0"/>
    <x v="2"/>
    <x v="1"/>
    <n v="7.5"/>
    <n v="6.1"/>
    <x v="2"/>
    <n v="3"/>
    <x v="1"/>
    <n v="42900"/>
    <n v="5500"/>
    <n v="48400"/>
    <s v="A"/>
    <d v="2018-06-19T00:00:00"/>
    <x v="1"/>
  </r>
  <r>
    <x v="3502"/>
    <x v="0"/>
    <n v="44"/>
    <x v="1"/>
    <x v="7"/>
    <x v="1"/>
    <n v="7.9"/>
    <n v="6.1"/>
    <x v="2"/>
    <n v="3"/>
    <x v="0"/>
    <n v="75800"/>
    <n v="6900"/>
    <n v="82700"/>
    <s v="C"/>
    <d v="2018-02-01T00:00:00"/>
    <x v="1"/>
  </r>
  <r>
    <x v="3503"/>
    <x v="0"/>
    <n v="21"/>
    <x v="2"/>
    <x v="18"/>
    <x v="1"/>
    <n v="10.8"/>
    <n v="8"/>
    <x v="4"/>
    <n v="4"/>
    <x v="0"/>
    <n v="75600"/>
    <n v="3100"/>
    <n v="78700"/>
    <s v="C"/>
    <d v="2015-03-26T00:00:00"/>
    <x v="1"/>
  </r>
  <r>
    <x v="3504"/>
    <x v="1"/>
    <n v="30"/>
    <x v="5"/>
    <x v="15"/>
    <x v="1"/>
    <n v="11.3"/>
    <n v="7.2"/>
    <x v="4"/>
    <n v="3"/>
    <x v="0"/>
    <n v="65600"/>
    <n v="6900"/>
    <n v="72500"/>
    <s v="C"/>
    <d v="2014-09-10T00:00:00"/>
    <x v="1"/>
  </r>
  <r>
    <x v="3505"/>
    <x v="1"/>
    <n v="36"/>
    <x v="4"/>
    <x v="16"/>
    <x v="1"/>
    <n v="8.6"/>
    <n v="6.8"/>
    <x v="2"/>
    <n v="3"/>
    <x v="0"/>
    <n v="102700"/>
    <n v="11700"/>
    <n v="114400"/>
    <s v="E"/>
    <d v="2017-05-24T00:00:00"/>
    <x v="1"/>
  </r>
  <r>
    <x v="3506"/>
    <x v="0"/>
    <n v="38"/>
    <x v="5"/>
    <x v="17"/>
    <x v="2"/>
    <n v="2.2000000000000002"/>
    <n v="1.7"/>
    <x v="0"/>
    <n v="3"/>
    <x v="2"/>
    <n v="76400"/>
    <n v="6500"/>
    <n v="82900"/>
    <s v="C"/>
    <d v="2023-10-04T00:00:00"/>
    <x v="2"/>
  </r>
  <r>
    <x v="3507"/>
    <x v="1"/>
    <n v="29"/>
    <x v="1"/>
    <x v="7"/>
    <x v="0"/>
    <n v="1.2"/>
    <n v="1.2"/>
    <x v="0"/>
    <n v="3"/>
    <x v="0"/>
    <n v="73400"/>
    <n v="6700"/>
    <n v="80100"/>
    <s v="C"/>
    <d v="2024-10-30T00:00:00"/>
    <x v="0"/>
  </r>
  <r>
    <x v="3508"/>
    <x v="1"/>
    <n v="21"/>
    <x v="2"/>
    <x v="4"/>
    <x v="1"/>
    <n v="7.3"/>
    <n v="4"/>
    <x v="2"/>
    <n v="2"/>
    <x v="0"/>
    <n v="80100"/>
    <n v="7400"/>
    <n v="87500"/>
    <s v="D"/>
    <d v="2018-09-21T00:00:00"/>
    <x v="1"/>
  </r>
  <r>
    <x v="3509"/>
    <x v="1"/>
    <n v="30"/>
    <x v="3"/>
    <x v="12"/>
    <x v="0"/>
    <n v="4.2"/>
    <n v="1.8"/>
    <x v="1"/>
    <n v="3"/>
    <x v="1"/>
    <n v="37100"/>
    <n v="1800"/>
    <n v="38900"/>
    <s v="A"/>
    <d v="2021-10-29T00:00:00"/>
    <x v="0"/>
  </r>
  <r>
    <x v="3510"/>
    <x v="0"/>
    <n v="35"/>
    <x v="0"/>
    <x v="2"/>
    <x v="3"/>
    <n v="2.5"/>
    <n v="0"/>
    <x v="0"/>
    <n v="3"/>
    <x v="2"/>
    <n v="57500"/>
    <n v="6000"/>
    <n v="63500"/>
    <s v="B"/>
    <d v="2023-07-18T00:00:00"/>
    <x v="3"/>
  </r>
  <r>
    <x v="3511"/>
    <x v="0"/>
    <n v="40"/>
    <x v="1"/>
    <x v="10"/>
    <x v="0"/>
    <n v="8"/>
    <n v="5.5"/>
    <x v="2"/>
    <n v="1"/>
    <x v="0"/>
    <n v="97000"/>
    <n v="8400"/>
    <n v="105400"/>
    <s v="D"/>
    <d v="2017-12-19T00:00:00"/>
    <x v="0"/>
  </r>
  <r>
    <x v="3512"/>
    <x v="1"/>
    <n v="23"/>
    <x v="2"/>
    <x v="4"/>
    <x v="1"/>
    <n v="12.4"/>
    <n v="6.4"/>
    <x v="3"/>
    <n v="3"/>
    <x v="0"/>
    <n v="101200"/>
    <n v="4500"/>
    <n v="105700"/>
    <s v="E"/>
    <d v="2013-08-01T00:00:00"/>
    <x v="1"/>
  </r>
  <r>
    <x v="3513"/>
    <x v="0"/>
    <n v="38"/>
    <x v="5"/>
    <x v="15"/>
    <x v="4"/>
    <n v="11.4"/>
    <n v="7.7"/>
    <x v="4"/>
    <n v="4"/>
    <x v="0"/>
    <n v="80500"/>
    <n v="16300"/>
    <n v="96800"/>
    <s v="D"/>
    <d v="2014-07-24T00:00:00"/>
    <x v="4"/>
  </r>
  <r>
    <x v="3514"/>
    <x v="1"/>
    <n v="39"/>
    <x v="0"/>
    <x v="1"/>
    <x v="2"/>
    <n v="8.4"/>
    <n v="5.8"/>
    <x v="2"/>
    <n v="3"/>
    <x v="0"/>
    <n v="82000"/>
    <n v="4600"/>
    <n v="86600"/>
    <s v="D"/>
    <d v="2017-08-24T00:00:00"/>
    <x v="2"/>
  </r>
  <r>
    <x v="3515"/>
    <x v="0"/>
    <n v="35"/>
    <x v="1"/>
    <x v="3"/>
    <x v="1"/>
    <n v="6.1"/>
    <n v="1.6"/>
    <x v="2"/>
    <n v="4"/>
    <x v="2"/>
    <n v="65300"/>
    <n v="4900"/>
    <n v="70200"/>
    <s v="C"/>
    <d v="2019-12-09T00:00:00"/>
    <x v="1"/>
  </r>
  <r>
    <x v="3516"/>
    <x v="1"/>
    <n v="44"/>
    <x v="3"/>
    <x v="12"/>
    <x v="2"/>
    <n v="9.5"/>
    <n v="5.9"/>
    <x v="4"/>
    <n v="1"/>
    <x v="0"/>
    <n v="77500"/>
    <n v="3400"/>
    <n v="80900"/>
    <s v="C"/>
    <d v="2016-06-23T00:00:00"/>
    <x v="2"/>
  </r>
  <r>
    <x v="3517"/>
    <x v="1"/>
    <n v="42"/>
    <x v="3"/>
    <x v="12"/>
    <x v="1"/>
    <n v="12.5"/>
    <n v="6"/>
    <x v="3"/>
    <n v="3"/>
    <x v="0"/>
    <n v="73400"/>
    <n v="2900"/>
    <n v="76300"/>
    <s v="C"/>
    <d v="2013-06-20T00:00:00"/>
    <x v="1"/>
  </r>
  <r>
    <x v="3518"/>
    <x v="0"/>
    <n v="41"/>
    <x v="0"/>
    <x v="1"/>
    <x v="3"/>
    <n v="13.8"/>
    <n v="9.6"/>
    <x v="3"/>
    <n v="4"/>
    <x v="0"/>
    <n v="88500"/>
    <n v="4700"/>
    <n v="93200"/>
    <s v="D"/>
    <d v="2012-03-25T00:00:00"/>
    <x v="3"/>
  </r>
  <r>
    <x v="3519"/>
    <x v="1"/>
    <n v="43"/>
    <x v="1"/>
    <x v="10"/>
    <x v="2"/>
    <n v="7"/>
    <n v="4.9000000000000004"/>
    <x v="2"/>
    <n v="1"/>
    <x v="0"/>
    <n v="102900"/>
    <n v="9600"/>
    <n v="112500"/>
    <s v="E"/>
    <d v="2019-01-12T00:00:00"/>
    <x v="2"/>
  </r>
  <r>
    <x v="3520"/>
    <x v="0"/>
    <n v="32"/>
    <x v="0"/>
    <x v="2"/>
    <x v="1"/>
    <n v="2.2999999999999998"/>
    <n v="2.2999999999999998"/>
    <x v="0"/>
    <n v="3"/>
    <x v="0"/>
    <n v="59200"/>
    <n v="7400"/>
    <n v="66600"/>
    <s v="B"/>
    <d v="2023-09-03T00:00:00"/>
    <x v="1"/>
  </r>
  <r>
    <x v="3521"/>
    <x v="1"/>
    <n v="33"/>
    <x v="1"/>
    <x v="10"/>
    <x v="2"/>
    <n v="7.2"/>
    <n v="3.6"/>
    <x v="2"/>
    <n v="4"/>
    <x v="0"/>
    <n v="104500"/>
    <n v="11600"/>
    <n v="116100"/>
    <s v="E"/>
    <d v="2018-11-03T00:00:00"/>
    <x v="2"/>
  </r>
  <r>
    <x v="3522"/>
    <x v="1"/>
    <n v="33"/>
    <x v="1"/>
    <x v="10"/>
    <x v="2"/>
    <n v="10.5"/>
    <n v="5.6"/>
    <x v="4"/>
    <n v="4"/>
    <x v="0"/>
    <n v="106200"/>
    <n v="8400"/>
    <n v="114600"/>
    <s v="E"/>
    <d v="2015-06-26T00:00:00"/>
    <x v="2"/>
  </r>
  <r>
    <x v="3523"/>
    <x v="1"/>
    <n v="34"/>
    <x v="2"/>
    <x v="4"/>
    <x v="1"/>
    <n v="13.5"/>
    <n v="9"/>
    <x v="3"/>
    <n v="2"/>
    <x v="0"/>
    <n v="86500"/>
    <n v="6500"/>
    <n v="93000"/>
    <s v="D"/>
    <d v="2012-06-29T00:00:00"/>
    <x v="1"/>
  </r>
  <r>
    <x v="3524"/>
    <x v="1"/>
    <n v="46"/>
    <x v="2"/>
    <x v="11"/>
    <x v="2"/>
    <n v="6.6"/>
    <n v="6.6"/>
    <x v="2"/>
    <n v="4"/>
    <x v="0"/>
    <n v="106400"/>
    <n v="7000"/>
    <n v="113400"/>
    <s v="E"/>
    <d v="2019-06-12T00:00:00"/>
    <x v="2"/>
  </r>
  <r>
    <x v="3525"/>
    <x v="0"/>
    <n v="35"/>
    <x v="4"/>
    <x v="14"/>
    <x v="3"/>
    <n v="5.8"/>
    <n v="2.6"/>
    <x v="1"/>
    <n v="3"/>
    <x v="2"/>
    <n v="94900"/>
    <n v="5300"/>
    <n v="100200"/>
    <s v="D"/>
    <d v="2020-04-01T00:00:00"/>
    <x v="3"/>
  </r>
  <r>
    <x v="3526"/>
    <x v="0"/>
    <n v="37"/>
    <x v="0"/>
    <x v="0"/>
    <x v="0"/>
    <n v="5.3"/>
    <n v="3.9"/>
    <x v="1"/>
    <n v="4"/>
    <x v="1"/>
    <n v="60300"/>
    <n v="5400"/>
    <n v="65700"/>
    <s v="B"/>
    <d v="2020-08-27T00:00:00"/>
    <x v="0"/>
  </r>
  <r>
    <x v="3527"/>
    <x v="0"/>
    <n v="45"/>
    <x v="2"/>
    <x v="18"/>
    <x v="1"/>
    <n v="12"/>
    <n v="7.8"/>
    <x v="3"/>
    <n v="4"/>
    <x v="0"/>
    <n v="75500"/>
    <n v="2700"/>
    <n v="78200"/>
    <s v="C"/>
    <d v="2013-12-24T00:00:00"/>
    <x v="1"/>
  </r>
  <r>
    <x v="3528"/>
    <x v="1"/>
    <n v="43"/>
    <x v="0"/>
    <x v="1"/>
    <x v="1"/>
    <n v="6"/>
    <n v="5"/>
    <x v="2"/>
    <n v="3"/>
    <x v="0"/>
    <n v="84300"/>
    <n v="7100"/>
    <n v="91400"/>
    <s v="D"/>
    <d v="2019-12-27T00:00:00"/>
    <x v="1"/>
  </r>
  <r>
    <x v="3529"/>
    <x v="0"/>
    <n v="36"/>
    <x v="3"/>
    <x v="12"/>
    <x v="2"/>
    <n v="11"/>
    <n v="8"/>
    <x v="4"/>
    <n v="4"/>
    <x v="0"/>
    <n v="79400"/>
    <n v="6700"/>
    <n v="86100"/>
    <s v="C"/>
    <d v="2015-01-08T00:00:00"/>
    <x v="2"/>
  </r>
  <r>
    <x v="3530"/>
    <x v="1"/>
    <n v="36"/>
    <x v="5"/>
    <x v="15"/>
    <x v="2"/>
    <n v="13.5"/>
    <n v="7.8"/>
    <x v="3"/>
    <n v="3"/>
    <x v="0"/>
    <n v="82400"/>
    <n v="7600"/>
    <n v="90000"/>
    <s v="D"/>
    <d v="2012-06-18T00:00:00"/>
    <x v="2"/>
  </r>
  <r>
    <x v="3531"/>
    <x v="1"/>
    <n v="40"/>
    <x v="1"/>
    <x v="7"/>
    <x v="1"/>
    <n v="2"/>
    <n v="0.9"/>
    <x v="0"/>
    <n v="3"/>
    <x v="0"/>
    <n v="72100"/>
    <n v="5400"/>
    <n v="77500"/>
    <s v="C"/>
    <d v="2024-01-12T00:00:00"/>
    <x v="1"/>
  </r>
  <r>
    <x v="3532"/>
    <x v="1"/>
    <n v="40"/>
    <x v="0"/>
    <x v="1"/>
    <x v="2"/>
    <n v="5.4"/>
    <n v="2.8"/>
    <x v="1"/>
    <n v="4"/>
    <x v="0"/>
    <n v="78300"/>
    <n v="10400"/>
    <n v="88700"/>
    <s v="C"/>
    <d v="2020-08-24T00:00:00"/>
    <x v="2"/>
  </r>
  <r>
    <x v="3533"/>
    <x v="0"/>
    <n v="47"/>
    <x v="4"/>
    <x v="16"/>
    <x v="2"/>
    <n v="10.5"/>
    <n v="6.4"/>
    <x v="4"/>
    <n v="4"/>
    <x v="0"/>
    <n v="106700"/>
    <n v="12800"/>
    <n v="119500"/>
    <s v="E"/>
    <d v="2015-07-18T00:00:00"/>
    <x v="2"/>
  </r>
  <r>
    <x v="3534"/>
    <x v="1"/>
    <n v="39"/>
    <x v="3"/>
    <x v="12"/>
    <x v="1"/>
    <n v="7.9"/>
    <n v="4.7"/>
    <x v="2"/>
    <n v="4"/>
    <x v="0"/>
    <n v="84300"/>
    <n v="2700"/>
    <n v="87000"/>
    <s v="D"/>
    <d v="2018-02-24T00:00:00"/>
    <x v="1"/>
  </r>
  <r>
    <x v="3535"/>
    <x v="1"/>
    <n v="30"/>
    <x v="3"/>
    <x v="12"/>
    <x v="2"/>
    <n v="5.0999999999999996"/>
    <n v="3.8"/>
    <x v="1"/>
    <n v="3"/>
    <x v="0"/>
    <n v="70400"/>
    <n v="5400"/>
    <n v="75800"/>
    <s v="C"/>
    <d v="2020-11-11T00:00:00"/>
    <x v="2"/>
  </r>
  <r>
    <x v="3536"/>
    <x v="0"/>
    <n v="51"/>
    <x v="1"/>
    <x v="7"/>
    <x v="1"/>
    <n v="6"/>
    <n v="3.8"/>
    <x v="2"/>
    <n v="3"/>
    <x v="0"/>
    <n v="79800"/>
    <n v="3900"/>
    <n v="83700"/>
    <s v="C"/>
    <d v="2020-01-03T00:00:00"/>
    <x v="1"/>
  </r>
  <r>
    <x v="3537"/>
    <x v="0"/>
    <n v="39"/>
    <x v="0"/>
    <x v="0"/>
    <x v="2"/>
    <n v="11.6"/>
    <n v="7.6"/>
    <x v="4"/>
    <n v="3"/>
    <x v="0"/>
    <n v="102900"/>
    <n v="7900"/>
    <n v="110800"/>
    <s v="E"/>
    <d v="2014-05-14T00:00:00"/>
    <x v="2"/>
  </r>
  <r>
    <x v="3538"/>
    <x v="1"/>
    <n v="28"/>
    <x v="0"/>
    <x v="0"/>
    <x v="2"/>
    <n v="1.9"/>
    <n v="1.3"/>
    <x v="0"/>
    <n v="4"/>
    <x v="0"/>
    <n v="111700"/>
    <n v="5300"/>
    <n v="117000"/>
    <s v="E"/>
    <d v="2024-02-12T00:00:00"/>
    <x v="2"/>
  </r>
  <r>
    <x v="3539"/>
    <x v="0"/>
    <n v="47"/>
    <x v="4"/>
    <x v="8"/>
    <x v="3"/>
    <n v="3.8"/>
    <n v="2.2000000000000002"/>
    <x v="1"/>
    <n v="3"/>
    <x v="0"/>
    <n v="81400"/>
    <n v="7400"/>
    <n v="88800"/>
    <s v="D"/>
    <d v="2022-03-14T00:00:00"/>
    <x v="3"/>
  </r>
  <r>
    <x v="3540"/>
    <x v="0"/>
    <n v="36"/>
    <x v="2"/>
    <x v="18"/>
    <x v="1"/>
    <n v="2.5"/>
    <n v="2.5"/>
    <x v="0"/>
    <n v="5"/>
    <x v="0"/>
    <n v="64900"/>
    <n v="2700"/>
    <n v="67600"/>
    <s v="B"/>
    <d v="2023-07-19T00:00:00"/>
    <x v="1"/>
  </r>
  <r>
    <x v="3541"/>
    <x v="0"/>
    <n v="45"/>
    <x v="4"/>
    <x v="14"/>
    <x v="2"/>
    <n v="7.1"/>
    <n v="4.9000000000000004"/>
    <x v="2"/>
    <n v="3"/>
    <x v="0"/>
    <n v="123200"/>
    <n v="14800"/>
    <n v="138000"/>
    <s v="E"/>
    <d v="2018-11-22T00:00:00"/>
    <x v="2"/>
  </r>
  <r>
    <x v="3542"/>
    <x v="0"/>
    <n v="29"/>
    <x v="3"/>
    <x v="13"/>
    <x v="1"/>
    <n v="14"/>
    <n v="9"/>
    <x v="3"/>
    <n v="5"/>
    <x v="0"/>
    <n v="123400"/>
    <n v="4700"/>
    <n v="128100"/>
    <s v="E"/>
    <d v="2012-01-17T00:00:00"/>
    <x v="1"/>
  </r>
  <r>
    <x v="3543"/>
    <x v="1"/>
    <n v="21"/>
    <x v="4"/>
    <x v="14"/>
    <x v="2"/>
    <n v="4.3"/>
    <n v="3"/>
    <x v="1"/>
    <n v="4"/>
    <x v="0"/>
    <n v="109800"/>
    <n v="8900"/>
    <n v="118700"/>
    <s v="E"/>
    <d v="2021-09-27T00:00:00"/>
    <x v="2"/>
  </r>
  <r>
    <x v="3544"/>
    <x v="1"/>
    <n v="41"/>
    <x v="0"/>
    <x v="2"/>
    <x v="2"/>
    <n v="6.8"/>
    <n v="5.2"/>
    <x v="2"/>
    <n v="5"/>
    <x v="0"/>
    <n v="73800"/>
    <n v="5800"/>
    <n v="79600"/>
    <s v="C"/>
    <d v="2019-03-21T00:00:00"/>
    <x v="2"/>
  </r>
  <r>
    <x v="3545"/>
    <x v="1"/>
    <n v="41"/>
    <x v="1"/>
    <x v="10"/>
    <x v="1"/>
    <n v="9.6"/>
    <n v="5.8"/>
    <x v="4"/>
    <n v="3"/>
    <x v="0"/>
    <n v="101700"/>
    <n v="5300"/>
    <n v="107000"/>
    <s v="E"/>
    <d v="2016-05-19T00:00:00"/>
    <x v="1"/>
  </r>
  <r>
    <x v="3546"/>
    <x v="0"/>
    <n v="38"/>
    <x v="4"/>
    <x v="16"/>
    <x v="1"/>
    <n v="13.6"/>
    <n v="9.9"/>
    <x v="3"/>
    <n v="3"/>
    <x v="1"/>
    <n v="59900"/>
    <n v="3400"/>
    <n v="63300"/>
    <s v="B"/>
    <d v="2012-06-04T00:00:00"/>
    <x v="1"/>
  </r>
  <r>
    <x v="3547"/>
    <x v="0"/>
    <n v="37"/>
    <x v="4"/>
    <x v="14"/>
    <x v="2"/>
    <n v="8.9"/>
    <n v="6.6"/>
    <x v="2"/>
    <n v="4"/>
    <x v="1"/>
    <n v="73500"/>
    <n v="10300"/>
    <n v="83800"/>
    <s v="C"/>
    <d v="2017-01-26T00:00:00"/>
    <x v="2"/>
  </r>
  <r>
    <x v="3548"/>
    <x v="1"/>
    <n v="42"/>
    <x v="0"/>
    <x v="2"/>
    <x v="1"/>
    <n v="2.1"/>
    <n v="0.3"/>
    <x v="0"/>
    <n v="3"/>
    <x v="0"/>
    <n v="66500"/>
    <n v="6100"/>
    <n v="72600"/>
    <s v="C"/>
    <d v="2023-11-14T00:00:00"/>
    <x v="1"/>
  </r>
  <r>
    <x v="3549"/>
    <x v="1"/>
    <n v="26"/>
    <x v="0"/>
    <x v="2"/>
    <x v="1"/>
    <n v="2.2000000000000002"/>
    <n v="2.2000000000000002"/>
    <x v="0"/>
    <n v="1"/>
    <x v="0"/>
    <n v="53300"/>
    <n v="3000"/>
    <n v="56300"/>
    <s v="B"/>
    <d v="2023-10-05T00:00:00"/>
    <x v="1"/>
  </r>
  <r>
    <x v="3550"/>
    <x v="0"/>
    <n v="34"/>
    <x v="3"/>
    <x v="13"/>
    <x v="1"/>
    <n v="10"/>
    <n v="7.5"/>
    <x v="4"/>
    <n v="3"/>
    <x v="0"/>
    <n v="112200"/>
    <n v="9800"/>
    <n v="122000"/>
    <s v="E"/>
    <d v="2015-12-17T00:00:00"/>
    <x v="1"/>
  </r>
  <r>
    <x v="3551"/>
    <x v="1"/>
    <n v="42"/>
    <x v="4"/>
    <x v="14"/>
    <x v="1"/>
    <n v="8.1"/>
    <n v="3.8"/>
    <x v="2"/>
    <n v="2"/>
    <x v="0"/>
    <n v="115200"/>
    <n v="15500"/>
    <n v="130700"/>
    <s v="E"/>
    <d v="2017-11-27T00:00:00"/>
    <x v="1"/>
  </r>
  <r>
    <x v="3552"/>
    <x v="0"/>
    <n v="36"/>
    <x v="5"/>
    <x v="15"/>
    <x v="1"/>
    <n v="3.9"/>
    <n v="2"/>
    <x v="1"/>
    <n v="3"/>
    <x v="0"/>
    <n v="60900"/>
    <n v="8400"/>
    <n v="69300"/>
    <s v="B"/>
    <d v="2022-02-14T00:00:00"/>
    <x v="1"/>
  </r>
  <r>
    <x v="3553"/>
    <x v="0"/>
    <n v="37"/>
    <x v="4"/>
    <x v="16"/>
    <x v="2"/>
    <n v="1.3"/>
    <n v="0.3"/>
    <x v="0"/>
    <n v="3"/>
    <x v="1"/>
    <n v="64800"/>
    <n v="8500"/>
    <n v="73300"/>
    <s v="B"/>
    <d v="2024-08-26T00:00:00"/>
    <x v="2"/>
  </r>
  <r>
    <x v="3554"/>
    <x v="0"/>
    <n v="33"/>
    <x v="2"/>
    <x v="11"/>
    <x v="0"/>
    <n v="9.8000000000000007"/>
    <n v="7.5"/>
    <x v="4"/>
    <n v="4"/>
    <x v="0"/>
    <n v="100600"/>
    <n v="7400"/>
    <n v="108000"/>
    <s v="E"/>
    <d v="2016-03-29T00:00:00"/>
    <x v="0"/>
  </r>
  <r>
    <x v="3555"/>
    <x v="0"/>
    <n v="42"/>
    <x v="1"/>
    <x v="10"/>
    <x v="1"/>
    <n v="6.2"/>
    <n v="2"/>
    <x v="2"/>
    <n v="4"/>
    <x v="0"/>
    <n v="104300"/>
    <n v="10300"/>
    <n v="114600"/>
    <s v="E"/>
    <d v="2019-10-11T00:00:00"/>
    <x v="1"/>
  </r>
  <r>
    <x v="3556"/>
    <x v="1"/>
    <n v="42"/>
    <x v="0"/>
    <x v="2"/>
    <x v="2"/>
    <n v="12.5"/>
    <n v="6.9"/>
    <x v="3"/>
    <n v="3"/>
    <x v="2"/>
    <n v="63700"/>
    <n v="5700"/>
    <n v="69400"/>
    <s v="B"/>
    <d v="2013-07-16T00:00:00"/>
    <x v="2"/>
  </r>
  <r>
    <x v="3557"/>
    <x v="1"/>
    <n v="50"/>
    <x v="3"/>
    <x v="13"/>
    <x v="2"/>
    <n v="12.1"/>
    <n v="7.9"/>
    <x v="3"/>
    <n v="3"/>
    <x v="0"/>
    <n v="119100"/>
    <n v="6700"/>
    <n v="125800"/>
    <s v="E"/>
    <d v="2013-11-30T00:00:00"/>
    <x v="2"/>
  </r>
  <r>
    <x v="3558"/>
    <x v="0"/>
    <n v="34"/>
    <x v="1"/>
    <x v="3"/>
    <x v="1"/>
    <n v="10.1"/>
    <n v="6.7"/>
    <x v="4"/>
    <n v="3"/>
    <x v="0"/>
    <n v="83100"/>
    <n v="5700"/>
    <n v="88800"/>
    <s v="D"/>
    <d v="2015-11-25T00:00:00"/>
    <x v="1"/>
  </r>
  <r>
    <x v="3559"/>
    <x v="0"/>
    <n v="38"/>
    <x v="1"/>
    <x v="3"/>
    <x v="1"/>
    <n v="9.8000000000000007"/>
    <n v="8.3000000000000007"/>
    <x v="4"/>
    <n v="4"/>
    <x v="2"/>
    <n v="64600"/>
    <n v="4300"/>
    <n v="68900"/>
    <s v="B"/>
    <d v="2016-03-13T00:00:00"/>
    <x v="1"/>
  </r>
  <r>
    <x v="3560"/>
    <x v="0"/>
    <n v="30"/>
    <x v="0"/>
    <x v="1"/>
    <x v="1"/>
    <n v="7.9"/>
    <n v="5.8"/>
    <x v="2"/>
    <n v="3"/>
    <x v="0"/>
    <n v="80900"/>
    <n v="3700"/>
    <n v="84600"/>
    <s v="D"/>
    <d v="2018-01-24T00:00:00"/>
    <x v="1"/>
  </r>
  <r>
    <x v="3561"/>
    <x v="0"/>
    <n v="30"/>
    <x v="5"/>
    <x v="15"/>
    <x v="1"/>
    <n v="8.6"/>
    <n v="5.4"/>
    <x v="2"/>
    <n v="2"/>
    <x v="0"/>
    <n v="65700"/>
    <n v="10400"/>
    <n v="76100"/>
    <s v="C"/>
    <d v="2017-05-09T00:00:00"/>
    <x v="1"/>
  </r>
  <r>
    <x v="3562"/>
    <x v="0"/>
    <n v="49"/>
    <x v="5"/>
    <x v="9"/>
    <x v="2"/>
    <n v="5.3"/>
    <n v="3.4"/>
    <x v="1"/>
    <n v="4"/>
    <x v="0"/>
    <n v="105900"/>
    <n v="21300"/>
    <n v="127200"/>
    <s v="E"/>
    <d v="2020-08-31T00:00:00"/>
    <x v="2"/>
  </r>
  <r>
    <x v="3563"/>
    <x v="0"/>
    <n v="35"/>
    <x v="1"/>
    <x v="10"/>
    <x v="0"/>
    <n v="1.4"/>
    <n v="0"/>
    <x v="0"/>
    <n v="4"/>
    <x v="0"/>
    <n v="87100"/>
    <n v="4400"/>
    <n v="91500"/>
    <s v="D"/>
    <d v="2024-08-03T00:00:00"/>
    <x v="0"/>
  </r>
  <r>
    <x v="3564"/>
    <x v="1"/>
    <n v="43"/>
    <x v="5"/>
    <x v="9"/>
    <x v="2"/>
    <n v="8.6"/>
    <n v="3.5"/>
    <x v="2"/>
    <n v="2"/>
    <x v="0"/>
    <n v="93600"/>
    <n v="10100"/>
    <n v="103700"/>
    <s v="D"/>
    <d v="2017-05-13T00:00:00"/>
    <x v="2"/>
  </r>
  <r>
    <x v="3565"/>
    <x v="0"/>
    <n v="36"/>
    <x v="5"/>
    <x v="9"/>
    <x v="2"/>
    <n v="13.2"/>
    <n v="7.5"/>
    <x v="3"/>
    <n v="2"/>
    <x v="0"/>
    <n v="111700"/>
    <n v="10600"/>
    <n v="122300"/>
    <s v="E"/>
    <d v="2012-10-09T00:00:00"/>
    <x v="2"/>
  </r>
  <r>
    <x v="3566"/>
    <x v="0"/>
    <n v="39"/>
    <x v="0"/>
    <x v="0"/>
    <x v="0"/>
    <n v="13.5"/>
    <n v="8.9"/>
    <x v="3"/>
    <n v="3"/>
    <x v="0"/>
    <n v="96400"/>
    <n v="4700"/>
    <n v="101100"/>
    <s v="D"/>
    <d v="2012-06-29T00:00:00"/>
    <x v="0"/>
  </r>
  <r>
    <x v="3567"/>
    <x v="1"/>
    <n v="40"/>
    <x v="5"/>
    <x v="17"/>
    <x v="3"/>
    <n v="4.4000000000000004"/>
    <n v="4.3"/>
    <x v="1"/>
    <n v="3"/>
    <x v="0"/>
    <n v="110600"/>
    <n v="19200"/>
    <n v="129800"/>
    <s v="E"/>
    <d v="2021-08-06T00:00:00"/>
    <x v="3"/>
  </r>
  <r>
    <x v="3568"/>
    <x v="1"/>
    <n v="43"/>
    <x v="5"/>
    <x v="9"/>
    <x v="1"/>
    <n v="1.2"/>
    <n v="0"/>
    <x v="0"/>
    <n v="3"/>
    <x v="0"/>
    <n v="74600"/>
    <n v="14400"/>
    <n v="89000"/>
    <s v="C"/>
    <d v="2024-10-26T00:00:00"/>
    <x v="1"/>
  </r>
  <r>
    <x v="3569"/>
    <x v="1"/>
    <n v="33"/>
    <x v="3"/>
    <x v="5"/>
    <x v="2"/>
    <n v="3.6"/>
    <n v="2.6"/>
    <x v="1"/>
    <n v="3"/>
    <x v="0"/>
    <n v="74900"/>
    <n v="5200"/>
    <n v="80100"/>
    <s v="C"/>
    <d v="2022-05-12T00:00:00"/>
    <x v="2"/>
  </r>
  <r>
    <x v="3570"/>
    <x v="0"/>
    <n v="38"/>
    <x v="5"/>
    <x v="17"/>
    <x v="1"/>
    <n v="5.8"/>
    <n v="3.2"/>
    <x v="1"/>
    <n v="3"/>
    <x v="2"/>
    <n v="79400"/>
    <n v="14200"/>
    <n v="93600"/>
    <s v="C"/>
    <d v="2020-03-18T00:00:00"/>
    <x v="1"/>
  </r>
  <r>
    <x v="3571"/>
    <x v="0"/>
    <n v="36"/>
    <x v="4"/>
    <x v="14"/>
    <x v="1"/>
    <n v="3.6"/>
    <n v="1.6"/>
    <x v="1"/>
    <n v="4"/>
    <x v="0"/>
    <n v="102300"/>
    <n v="6900"/>
    <n v="109200"/>
    <s v="E"/>
    <d v="2022-05-15T00:00:00"/>
    <x v="1"/>
  </r>
  <r>
    <x v="3572"/>
    <x v="1"/>
    <n v="38"/>
    <x v="5"/>
    <x v="17"/>
    <x v="1"/>
    <n v="6.4"/>
    <n v="6.4"/>
    <x v="2"/>
    <n v="3"/>
    <x v="0"/>
    <n v="103300"/>
    <n v="9700"/>
    <n v="113000"/>
    <s v="E"/>
    <d v="2019-08-03T00:00:00"/>
    <x v="1"/>
  </r>
  <r>
    <x v="3573"/>
    <x v="1"/>
    <n v="26"/>
    <x v="2"/>
    <x v="18"/>
    <x v="0"/>
    <n v="9.1"/>
    <n v="6.2"/>
    <x v="4"/>
    <n v="3"/>
    <x v="0"/>
    <n v="73900"/>
    <n v="6300"/>
    <n v="80200"/>
    <s v="C"/>
    <d v="2016-11-20T00:00:00"/>
    <x v="0"/>
  </r>
  <r>
    <x v="3574"/>
    <x v="1"/>
    <n v="45"/>
    <x v="3"/>
    <x v="13"/>
    <x v="1"/>
    <n v="8.1"/>
    <n v="4.3"/>
    <x v="2"/>
    <n v="5"/>
    <x v="0"/>
    <n v="114000"/>
    <n v="8700"/>
    <n v="122700"/>
    <s v="E"/>
    <d v="2017-11-13T00:00:00"/>
    <x v="1"/>
  </r>
  <r>
    <x v="3575"/>
    <x v="0"/>
    <n v="27"/>
    <x v="0"/>
    <x v="0"/>
    <x v="1"/>
    <n v="3.7"/>
    <n v="3.7"/>
    <x v="1"/>
    <n v="3"/>
    <x v="0"/>
    <n v="95700"/>
    <n v="5200"/>
    <n v="100900"/>
    <s v="D"/>
    <d v="2022-04-30T00:00:00"/>
    <x v="1"/>
  </r>
  <r>
    <x v="3576"/>
    <x v="0"/>
    <n v="39"/>
    <x v="5"/>
    <x v="17"/>
    <x v="1"/>
    <n v="9.1999999999999993"/>
    <n v="4.7"/>
    <x v="4"/>
    <n v="5"/>
    <x v="0"/>
    <n v="116200"/>
    <n v="23700"/>
    <n v="139900"/>
    <s v="E"/>
    <d v="2016-10-26T00:00:00"/>
    <x v="1"/>
  </r>
  <r>
    <x v="3577"/>
    <x v="0"/>
    <n v="38"/>
    <x v="5"/>
    <x v="9"/>
    <x v="1"/>
    <n v="2.1"/>
    <n v="1.1000000000000001"/>
    <x v="0"/>
    <n v="4"/>
    <x v="0"/>
    <n v="81600"/>
    <n v="9700"/>
    <n v="91300"/>
    <s v="D"/>
    <d v="2023-12-11T00:00:00"/>
    <x v="1"/>
  </r>
  <r>
    <x v="3578"/>
    <x v="0"/>
    <n v="38"/>
    <x v="5"/>
    <x v="17"/>
    <x v="1"/>
    <n v="12.1"/>
    <n v="8.5"/>
    <x v="3"/>
    <n v="3"/>
    <x v="0"/>
    <n v="98000"/>
    <n v="19500"/>
    <n v="117500"/>
    <s v="D"/>
    <d v="2013-11-26T00:00:00"/>
    <x v="1"/>
  </r>
  <r>
    <x v="3579"/>
    <x v="1"/>
    <n v="39"/>
    <x v="2"/>
    <x v="18"/>
    <x v="1"/>
    <n v="2.2000000000000002"/>
    <n v="2.2000000000000002"/>
    <x v="0"/>
    <n v="4"/>
    <x v="0"/>
    <n v="66200"/>
    <n v="5600"/>
    <n v="71800"/>
    <s v="C"/>
    <d v="2023-10-24T00:00:00"/>
    <x v="1"/>
  </r>
  <r>
    <x v="3580"/>
    <x v="1"/>
    <n v="34"/>
    <x v="4"/>
    <x v="14"/>
    <x v="1"/>
    <n v="4.3"/>
    <n v="0.8"/>
    <x v="1"/>
    <n v="2"/>
    <x v="0"/>
    <n v="89200"/>
    <n v="6500"/>
    <n v="95700"/>
    <s v="D"/>
    <d v="2021-08-30T00:00:00"/>
    <x v="1"/>
  </r>
  <r>
    <x v="3581"/>
    <x v="1"/>
    <n v="34"/>
    <x v="2"/>
    <x v="11"/>
    <x v="1"/>
    <n v="10.7"/>
    <n v="6.6"/>
    <x v="4"/>
    <n v="3"/>
    <x v="0"/>
    <n v="107200"/>
    <n v="10400"/>
    <n v="117600"/>
    <s v="E"/>
    <d v="2015-04-24T00:00:00"/>
    <x v="1"/>
  </r>
  <r>
    <x v="3582"/>
    <x v="1"/>
    <n v="40"/>
    <x v="4"/>
    <x v="14"/>
    <x v="0"/>
    <n v="1.2"/>
    <n v="0"/>
    <x v="0"/>
    <n v="4"/>
    <x v="0"/>
    <n v="99600"/>
    <n v="7400"/>
    <n v="107000"/>
    <s v="D"/>
    <d v="2024-10-05T00:00:00"/>
    <x v="0"/>
  </r>
  <r>
    <x v="3583"/>
    <x v="1"/>
    <n v="31"/>
    <x v="0"/>
    <x v="1"/>
    <x v="1"/>
    <n v="8.9"/>
    <n v="7.3"/>
    <x v="2"/>
    <n v="3"/>
    <x v="0"/>
    <n v="78900"/>
    <n v="9500"/>
    <n v="88400"/>
    <s v="C"/>
    <d v="2017-01-22T00:00:00"/>
    <x v="1"/>
  </r>
  <r>
    <x v="3584"/>
    <x v="1"/>
    <n v="21"/>
    <x v="1"/>
    <x v="7"/>
    <x v="2"/>
    <n v="6.6"/>
    <n v="2.8"/>
    <x v="2"/>
    <n v="4"/>
    <x v="0"/>
    <n v="91100"/>
    <n v="5800"/>
    <n v="96900"/>
    <s v="D"/>
    <d v="2019-05-30T00:00:00"/>
    <x v="2"/>
  </r>
  <r>
    <x v="3585"/>
    <x v="1"/>
    <n v="35"/>
    <x v="3"/>
    <x v="12"/>
    <x v="1"/>
    <n v="8.8000000000000007"/>
    <n v="7"/>
    <x v="2"/>
    <n v="4"/>
    <x v="0"/>
    <n v="58300"/>
    <n v="3700"/>
    <n v="62000"/>
    <s v="B"/>
    <d v="2017-03-05T00:00:00"/>
    <x v="1"/>
  </r>
  <r>
    <x v="3586"/>
    <x v="1"/>
    <n v="36"/>
    <x v="2"/>
    <x v="18"/>
    <x v="2"/>
    <n v="9.5"/>
    <n v="8.1999999999999993"/>
    <x v="4"/>
    <n v="3"/>
    <x v="0"/>
    <n v="74300"/>
    <n v="5900"/>
    <n v="80200"/>
    <s v="C"/>
    <d v="2016-07-08T00:00:00"/>
    <x v="2"/>
  </r>
  <r>
    <x v="3587"/>
    <x v="1"/>
    <n v="33"/>
    <x v="5"/>
    <x v="9"/>
    <x v="1"/>
    <n v="9.6999999999999993"/>
    <n v="4.5"/>
    <x v="4"/>
    <n v="4"/>
    <x v="0"/>
    <n v="105100"/>
    <n v="16600"/>
    <n v="121700"/>
    <s v="E"/>
    <d v="2016-04-27T00:00:00"/>
    <x v="1"/>
  </r>
  <r>
    <x v="3588"/>
    <x v="1"/>
    <n v="40"/>
    <x v="0"/>
    <x v="1"/>
    <x v="2"/>
    <n v="4.5999999999999996"/>
    <n v="3.8"/>
    <x v="1"/>
    <n v="4"/>
    <x v="1"/>
    <n v="46800"/>
    <n v="5400"/>
    <n v="52200"/>
    <s v="A"/>
    <d v="2021-06-04T00:00:00"/>
    <x v="2"/>
  </r>
  <r>
    <x v="3589"/>
    <x v="1"/>
    <n v="45"/>
    <x v="3"/>
    <x v="12"/>
    <x v="1"/>
    <n v="5.6"/>
    <n v="3.9"/>
    <x v="1"/>
    <n v="3"/>
    <x v="2"/>
    <n v="60300"/>
    <n v="4300"/>
    <n v="64600"/>
    <s v="B"/>
    <d v="2020-05-10T00:00:00"/>
    <x v="1"/>
  </r>
  <r>
    <x v="3590"/>
    <x v="0"/>
    <n v="34"/>
    <x v="1"/>
    <x v="3"/>
    <x v="0"/>
    <n v="12.1"/>
    <n v="7.6"/>
    <x v="3"/>
    <n v="4"/>
    <x v="0"/>
    <n v="88200"/>
    <n v="7300"/>
    <n v="95500"/>
    <s v="D"/>
    <d v="2013-11-19T00:00:00"/>
    <x v="0"/>
  </r>
  <r>
    <x v="3591"/>
    <x v="1"/>
    <n v="24"/>
    <x v="0"/>
    <x v="1"/>
    <x v="1"/>
    <n v="5.5"/>
    <n v="4.0999999999999996"/>
    <x v="1"/>
    <n v="3"/>
    <x v="1"/>
    <n v="42800"/>
    <n v="5100"/>
    <n v="47900"/>
    <s v="A"/>
    <d v="2020-07-17T00:00:00"/>
    <x v="1"/>
  </r>
  <r>
    <x v="3592"/>
    <x v="0"/>
    <n v="48"/>
    <x v="1"/>
    <x v="10"/>
    <x v="0"/>
    <n v="7.1"/>
    <n v="4.2"/>
    <x v="2"/>
    <n v="3"/>
    <x v="0"/>
    <n v="102100"/>
    <n v="9900"/>
    <n v="112000"/>
    <s v="E"/>
    <d v="2018-11-20T00:00:00"/>
    <x v="0"/>
  </r>
  <r>
    <x v="3593"/>
    <x v="1"/>
    <n v="34"/>
    <x v="3"/>
    <x v="5"/>
    <x v="2"/>
    <n v="2.2999999999999998"/>
    <n v="2.2999999999999998"/>
    <x v="0"/>
    <n v="3"/>
    <x v="1"/>
    <n v="49000"/>
    <n v="3200"/>
    <n v="52200"/>
    <s v="A"/>
    <d v="2023-08-27T00:00:00"/>
    <x v="2"/>
  </r>
  <r>
    <x v="3594"/>
    <x v="1"/>
    <n v="38"/>
    <x v="4"/>
    <x v="14"/>
    <x v="1"/>
    <n v="2.5"/>
    <n v="1.4"/>
    <x v="0"/>
    <n v="5"/>
    <x v="0"/>
    <n v="91900"/>
    <n v="8500"/>
    <n v="100400"/>
    <s v="D"/>
    <d v="2023-06-25T00:00:00"/>
    <x v="1"/>
  </r>
  <r>
    <x v="3595"/>
    <x v="0"/>
    <n v="40"/>
    <x v="3"/>
    <x v="5"/>
    <x v="2"/>
    <n v="10.8"/>
    <n v="7"/>
    <x v="4"/>
    <n v="3"/>
    <x v="0"/>
    <n v="85900"/>
    <n v="6300"/>
    <n v="92200"/>
    <s v="D"/>
    <d v="2015-03-13T00:00:00"/>
    <x v="2"/>
  </r>
  <r>
    <x v="3596"/>
    <x v="0"/>
    <n v="45"/>
    <x v="0"/>
    <x v="1"/>
    <x v="0"/>
    <n v="2.5"/>
    <n v="2.4"/>
    <x v="0"/>
    <n v="4"/>
    <x v="1"/>
    <n v="41300"/>
    <n v="4700"/>
    <n v="46000"/>
    <s v="A"/>
    <d v="2023-07-10T00:00:00"/>
    <x v="0"/>
  </r>
  <r>
    <x v="3597"/>
    <x v="0"/>
    <n v="40"/>
    <x v="3"/>
    <x v="5"/>
    <x v="2"/>
    <n v="7.4"/>
    <n v="5.4"/>
    <x v="2"/>
    <n v="4"/>
    <x v="2"/>
    <n v="73100"/>
    <n v="3100"/>
    <n v="76200"/>
    <s v="C"/>
    <d v="2018-07-21T00:00:00"/>
    <x v="2"/>
  </r>
  <r>
    <x v="3598"/>
    <x v="0"/>
    <n v="41"/>
    <x v="1"/>
    <x v="7"/>
    <x v="1"/>
    <n v="12.9"/>
    <n v="7"/>
    <x v="3"/>
    <n v="4"/>
    <x v="0"/>
    <n v="91100"/>
    <n v="7600"/>
    <n v="98700"/>
    <s v="D"/>
    <d v="2013-02-18T00:00:00"/>
    <x v="1"/>
  </r>
  <r>
    <x v="3599"/>
    <x v="0"/>
    <n v="33"/>
    <x v="0"/>
    <x v="0"/>
    <x v="2"/>
    <n v="3.1"/>
    <n v="0"/>
    <x v="1"/>
    <n v="3"/>
    <x v="0"/>
    <n v="102900"/>
    <n v="9000"/>
    <n v="111900"/>
    <s v="E"/>
    <d v="2022-11-08T00:00:00"/>
    <x v="2"/>
  </r>
  <r>
    <x v="3600"/>
    <x v="1"/>
    <n v="47"/>
    <x v="3"/>
    <x v="13"/>
    <x v="1"/>
    <n v="6.2"/>
    <n v="3.5"/>
    <x v="2"/>
    <n v="3"/>
    <x v="0"/>
    <n v="104000"/>
    <n v="6900"/>
    <n v="110900"/>
    <s v="E"/>
    <d v="2019-10-14T00:00:00"/>
    <x v="1"/>
  </r>
  <r>
    <x v="3601"/>
    <x v="0"/>
    <n v="43"/>
    <x v="5"/>
    <x v="15"/>
    <x v="3"/>
    <n v="9"/>
    <n v="6.7"/>
    <x v="4"/>
    <n v="3"/>
    <x v="0"/>
    <n v="71300"/>
    <n v="9400"/>
    <n v="80700"/>
    <s v="C"/>
    <d v="2016-12-31T00:00:00"/>
    <x v="3"/>
  </r>
  <r>
    <x v="3602"/>
    <x v="0"/>
    <n v="33"/>
    <x v="4"/>
    <x v="6"/>
    <x v="1"/>
    <n v="6.7"/>
    <n v="6.7"/>
    <x v="2"/>
    <n v="4"/>
    <x v="2"/>
    <n v="55000"/>
    <n v="4500"/>
    <n v="59500"/>
    <s v="B"/>
    <d v="2019-04-25T00:00:00"/>
    <x v="1"/>
  </r>
  <r>
    <x v="3603"/>
    <x v="1"/>
    <n v="23"/>
    <x v="4"/>
    <x v="14"/>
    <x v="2"/>
    <n v="12.1"/>
    <n v="8.6999999999999993"/>
    <x v="3"/>
    <n v="5"/>
    <x v="0"/>
    <n v="117300"/>
    <n v="8400"/>
    <n v="125700"/>
    <s v="E"/>
    <d v="2013-11-30T00:00:00"/>
    <x v="2"/>
  </r>
  <r>
    <x v="3604"/>
    <x v="1"/>
    <n v="46"/>
    <x v="4"/>
    <x v="8"/>
    <x v="2"/>
    <n v="6.3"/>
    <n v="3.9"/>
    <x v="2"/>
    <n v="3"/>
    <x v="0"/>
    <n v="82800"/>
    <n v="10600"/>
    <n v="93400"/>
    <s v="D"/>
    <d v="2019-09-17T00:00:00"/>
    <x v="2"/>
  </r>
  <r>
    <x v="3605"/>
    <x v="1"/>
    <n v="39"/>
    <x v="5"/>
    <x v="15"/>
    <x v="1"/>
    <n v="10.9"/>
    <n v="9.5"/>
    <x v="4"/>
    <n v="4"/>
    <x v="2"/>
    <n v="68700"/>
    <n v="5200"/>
    <n v="73900"/>
    <s v="C"/>
    <d v="2015-02-19T00:00:00"/>
    <x v="1"/>
  </r>
  <r>
    <x v="3606"/>
    <x v="1"/>
    <n v="35"/>
    <x v="0"/>
    <x v="0"/>
    <x v="3"/>
    <n v="1.1000000000000001"/>
    <n v="0"/>
    <x v="0"/>
    <n v="3"/>
    <x v="1"/>
    <n v="73000"/>
    <n v="5000"/>
    <n v="78000"/>
    <s v="C"/>
    <d v="2024-12-08T00:00:00"/>
    <x v="3"/>
  </r>
  <r>
    <x v="3607"/>
    <x v="0"/>
    <n v="35"/>
    <x v="4"/>
    <x v="6"/>
    <x v="1"/>
    <n v="10.199999999999999"/>
    <n v="6.8"/>
    <x v="4"/>
    <n v="4"/>
    <x v="0"/>
    <n v="72400"/>
    <n v="10800"/>
    <n v="83200"/>
    <s v="C"/>
    <d v="2015-10-17T00:00:00"/>
    <x v="1"/>
  </r>
  <r>
    <x v="3608"/>
    <x v="1"/>
    <n v="37"/>
    <x v="1"/>
    <x v="3"/>
    <x v="2"/>
    <n v="5.9"/>
    <n v="4"/>
    <x v="1"/>
    <n v="5"/>
    <x v="0"/>
    <n v="84200"/>
    <n v="5300"/>
    <n v="89500"/>
    <s v="D"/>
    <d v="2020-02-01T00:00:00"/>
    <x v="2"/>
  </r>
  <r>
    <x v="3609"/>
    <x v="0"/>
    <n v="39"/>
    <x v="0"/>
    <x v="1"/>
    <x v="2"/>
    <n v="10.8"/>
    <n v="8.1999999999999993"/>
    <x v="4"/>
    <n v="3"/>
    <x v="0"/>
    <n v="94100"/>
    <n v="6400"/>
    <n v="100500"/>
    <s v="D"/>
    <d v="2015-03-29T00:00:00"/>
    <x v="2"/>
  </r>
  <r>
    <x v="3610"/>
    <x v="1"/>
    <n v="25"/>
    <x v="1"/>
    <x v="7"/>
    <x v="0"/>
    <n v="3.4"/>
    <n v="2.7"/>
    <x v="1"/>
    <n v="3"/>
    <x v="0"/>
    <n v="66300"/>
    <n v="4700"/>
    <n v="71000"/>
    <s v="C"/>
    <d v="2022-08-14T00:00:00"/>
    <x v="0"/>
  </r>
  <r>
    <x v="3611"/>
    <x v="0"/>
    <n v="21"/>
    <x v="0"/>
    <x v="1"/>
    <x v="2"/>
    <n v="2.5"/>
    <n v="1.5"/>
    <x v="0"/>
    <n v="3"/>
    <x v="0"/>
    <n v="77500"/>
    <n v="9900"/>
    <n v="87400"/>
    <s v="C"/>
    <d v="2023-07-11T00:00:00"/>
    <x v="2"/>
  </r>
  <r>
    <x v="3612"/>
    <x v="1"/>
    <n v="41"/>
    <x v="3"/>
    <x v="13"/>
    <x v="3"/>
    <n v="6.6"/>
    <n v="5.2"/>
    <x v="2"/>
    <n v="3"/>
    <x v="0"/>
    <n v="96100"/>
    <n v="7900"/>
    <n v="104000"/>
    <s v="D"/>
    <d v="2019-05-20T00:00:00"/>
    <x v="3"/>
  </r>
  <r>
    <x v="3613"/>
    <x v="0"/>
    <n v="31"/>
    <x v="2"/>
    <x v="11"/>
    <x v="1"/>
    <n v="13.8"/>
    <n v="9"/>
    <x v="3"/>
    <n v="3"/>
    <x v="0"/>
    <n v="91300"/>
    <n v="3400"/>
    <n v="94700"/>
    <s v="D"/>
    <d v="2012-03-23T00:00:00"/>
    <x v="1"/>
  </r>
  <r>
    <x v="3614"/>
    <x v="1"/>
    <n v="42"/>
    <x v="5"/>
    <x v="9"/>
    <x v="1"/>
    <n v="10.5"/>
    <m/>
    <x v="4"/>
    <n v="4"/>
    <x v="0"/>
    <n v="110500"/>
    <n v="21200"/>
    <n v="131700"/>
    <s v="E"/>
    <d v="2015-07-01T00:00:00"/>
    <x v="1"/>
  </r>
  <r>
    <x v="3615"/>
    <x v="0"/>
    <n v="37"/>
    <x v="5"/>
    <x v="15"/>
    <x v="1"/>
    <n v="9.3000000000000007"/>
    <n v="6.8"/>
    <x v="4"/>
    <n v="3"/>
    <x v="0"/>
    <n v="63700"/>
    <n v="4700"/>
    <n v="68400"/>
    <s v="B"/>
    <d v="2016-09-01T00:00:00"/>
    <x v="1"/>
  </r>
  <r>
    <x v="3616"/>
    <x v="1"/>
    <n v="23"/>
    <x v="5"/>
    <x v="15"/>
    <x v="2"/>
    <n v="10.3"/>
    <n v="6.1"/>
    <x v="4"/>
    <n v="4"/>
    <x v="2"/>
    <n v="66000"/>
    <n v="10400"/>
    <n v="76400"/>
    <s v="C"/>
    <d v="2015-08-28T00:00:00"/>
    <x v="2"/>
  </r>
  <r>
    <x v="3617"/>
    <x v="1"/>
    <n v="50"/>
    <x v="4"/>
    <x v="6"/>
    <x v="1"/>
    <n v="6.8"/>
    <n v="2.2000000000000002"/>
    <x v="2"/>
    <n v="3"/>
    <x v="0"/>
    <n v="69300"/>
    <n v="8800"/>
    <n v="78100"/>
    <s v="C"/>
    <d v="2019-03-17T00:00:00"/>
    <x v="1"/>
  </r>
  <r>
    <x v="3618"/>
    <x v="0"/>
    <n v="39"/>
    <x v="5"/>
    <x v="15"/>
    <x v="0"/>
    <n v="5.9"/>
    <n v="2.9"/>
    <x v="1"/>
    <n v="5"/>
    <x v="0"/>
    <n v="67300"/>
    <n v="12100"/>
    <n v="79400"/>
    <s v="C"/>
    <d v="2020-02-22T00:00:00"/>
    <x v="0"/>
  </r>
  <r>
    <x v="3619"/>
    <x v="1"/>
    <n v="32"/>
    <x v="3"/>
    <x v="5"/>
    <x v="1"/>
    <n v="3.8"/>
    <n v="2.9"/>
    <x v="1"/>
    <n v="2"/>
    <x v="0"/>
    <n v="78000"/>
    <n v="4600"/>
    <n v="82600"/>
    <s v="C"/>
    <d v="2022-02-27T00:00:00"/>
    <x v="1"/>
  </r>
  <r>
    <x v="3620"/>
    <x v="0"/>
    <n v="44"/>
    <x v="0"/>
    <x v="1"/>
    <x v="1"/>
    <n v="10.9"/>
    <n v="5.8"/>
    <x v="4"/>
    <n v="3"/>
    <x v="0"/>
    <n v="79700"/>
    <n v="7600"/>
    <n v="87300"/>
    <s v="C"/>
    <d v="2015-01-29T00:00:00"/>
    <x v="1"/>
  </r>
  <r>
    <x v="3621"/>
    <x v="1"/>
    <n v="31"/>
    <x v="3"/>
    <x v="5"/>
    <x v="1"/>
    <n v="6.9"/>
    <n v="4"/>
    <x v="2"/>
    <n v="3"/>
    <x v="0"/>
    <n v="73800"/>
    <n v="6400"/>
    <n v="80200"/>
    <s v="C"/>
    <d v="2019-02-18T00:00:00"/>
    <x v="1"/>
  </r>
  <r>
    <x v="3622"/>
    <x v="1"/>
    <n v="50"/>
    <x v="0"/>
    <x v="0"/>
    <x v="1"/>
    <n v="9.1"/>
    <n v="6.1"/>
    <x v="4"/>
    <n v="3"/>
    <x v="0"/>
    <n v="94800"/>
    <n v="7100"/>
    <n v="101900"/>
    <s v="D"/>
    <d v="2016-11-26T00:00:00"/>
    <x v="1"/>
  </r>
  <r>
    <x v="3623"/>
    <x v="0"/>
    <n v="40"/>
    <x v="2"/>
    <x v="4"/>
    <x v="1"/>
    <n v="10.5"/>
    <n v="6.4"/>
    <x v="4"/>
    <n v="4"/>
    <x v="2"/>
    <n v="60500"/>
    <n v="4200"/>
    <n v="64700"/>
    <s v="B"/>
    <d v="2015-06-27T00:00:00"/>
    <x v="1"/>
  </r>
  <r>
    <x v="3624"/>
    <x v="0"/>
    <n v="34"/>
    <x v="0"/>
    <x v="0"/>
    <x v="1"/>
    <n v="12.2"/>
    <n v="9.8000000000000007"/>
    <x v="3"/>
    <n v="4"/>
    <x v="0"/>
    <n v="101600"/>
    <n v="8000"/>
    <n v="109600"/>
    <s v="E"/>
    <d v="2013-10-20T00:00:00"/>
    <x v="1"/>
  </r>
  <r>
    <x v="3625"/>
    <x v="0"/>
    <n v="47"/>
    <x v="2"/>
    <x v="4"/>
    <x v="1"/>
    <n v="3.1"/>
    <n v="2"/>
    <x v="1"/>
    <n v="4"/>
    <x v="0"/>
    <n v="75600"/>
    <n v="7100"/>
    <n v="82700"/>
    <s v="C"/>
    <d v="2022-11-18T00:00:00"/>
    <x v="1"/>
  </r>
  <r>
    <x v="3626"/>
    <x v="0"/>
    <n v="40"/>
    <x v="4"/>
    <x v="8"/>
    <x v="0"/>
    <n v="12.3"/>
    <n v="9.9"/>
    <x v="3"/>
    <n v="2"/>
    <x v="0"/>
    <n v="78700"/>
    <n v="10200"/>
    <n v="88900"/>
    <s v="C"/>
    <d v="2013-08-28T00:00:00"/>
    <x v="0"/>
  </r>
  <r>
    <x v="3627"/>
    <x v="1"/>
    <n v="38"/>
    <x v="2"/>
    <x v="18"/>
    <x v="1"/>
    <n v="1.5"/>
    <n v="0"/>
    <x v="0"/>
    <n v="2"/>
    <x v="0"/>
    <n v="63500"/>
    <n v="4200"/>
    <n v="67700"/>
    <s v="B"/>
    <d v="2024-06-17T00:00:00"/>
    <x v="1"/>
  </r>
  <r>
    <x v="3628"/>
    <x v="0"/>
    <n v="45"/>
    <x v="2"/>
    <x v="4"/>
    <x v="1"/>
    <n v="5.7"/>
    <n v="5.7"/>
    <x v="1"/>
    <n v="1"/>
    <x v="0"/>
    <n v="78800"/>
    <n v="4700"/>
    <n v="83500"/>
    <s v="C"/>
    <d v="2020-04-10T00:00:00"/>
    <x v="1"/>
  </r>
  <r>
    <x v="3629"/>
    <x v="1"/>
    <n v="32"/>
    <x v="1"/>
    <x v="3"/>
    <x v="1"/>
    <n v="3.4"/>
    <n v="2.1"/>
    <x v="1"/>
    <n v="5"/>
    <x v="0"/>
    <n v="73500"/>
    <n v="4500"/>
    <n v="78000"/>
    <s v="C"/>
    <d v="2022-07-24T00:00:00"/>
    <x v="1"/>
  </r>
  <r>
    <x v="3630"/>
    <x v="1"/>
    <n v="39"/>
    <x v="3"/>
    <x v="13"/>
    <x v="2"/>
    <n v="13.3"/>
    <n v="8.3000000000000007"/>
    <x v="3"/>
    <n v="3"/>
    <x v="0"/>
    <n v="121600"/>
    <n v="4500"/>
    <n v="126100"/>
    <s v="E"/>
    <d v="2012-09-17T00:00:00"/>
    <x v="2"/>
  </r>
  <r>
    <x v="3631"/>
    <x v="0"/>
    <n v="34"/>
    <x v="1"/>
    <x v="3"/>
    <x v="2"/>
    <n v="7.5"/>
    <n v="5.5"/>
    <x v="2"/>
    <n v="4"/>
    <x v="0"/>
    <n v="78900"/>
    <n v="8600"/>
    <n v="87500"/>
    <s v="C"/>
    <d v="2018-07-12T00:00:00"/>
    <x v="2"/>
  </r>
  <r>
    <x v="3632"/>
    <x v="0"/>
    <n v="34"/>
    <x v="1"/>
    <x v="3"/>
    <x v="0"/>
    <n v="8.3000000000000007"/>
    <n v="5.7"/>
    <x v="2"/>
    <n v="3"/>
    <x v="0"/>
    <n v="73200"/>
    <n v="3200"/>
    <n v="76400"/>
    <s v="C"/>
    <d v="2017-08-30T00:00:00"/>
    <x v="0"/>
  </r>
  <r>
    <x v="3633"/>
    <x v="0"/>
    <n v="36"/>
    <x v="0"/>
    <x v="2"/>
    <x v="0"/>
    <n v="11.7"/>
    <n v="9.1999999999999993"/>
    <x v="4"/>
    <n v="3"/>
    <x v="0"/>
    <n v="65900"/>
    <n v="6800"/>
    <n v="72700"/>
    <s v="C"/>
    <d v="2014-04-28T00:00:00"/>
    <x v="0"/>
  </r>
  <r>
    <x v="3634"/>
    <x v="0"/>
    <n v="39"/>
    <x v="4"/>
    <x v="14"/>
    <x v="1"/>
    <n v="12.2"/>
    <n v="8.8000000000000007"/>
    <x v="3"/>
    <n v="4"/>
    <x v="0"/>
    <n v="103600"/>
    <n v="7500"/>
    <n v="111100"/>
    <s v="E"/>
    <d v="2013-10-15T00:00:00"/>
    <x v="1"/>
  </r>
  <r>
    <x v="3635"/>
    <x v="1"/>
    <n v="26"/>
    <x v="1"/>
    <x v="3"/>
    <x v="0"/>
    <n v="11.1"/>
    <n v="5"/>
    <x v="4"/>
    <n v="4"/>
    <x v="0"/>
    <n v="76400"/>
    <n v="5100"/>
    <n v="81500"/>
    <s v="C"/>
    <d v="2014-11-22T00:00:00"/>
    <x v="0"/>
  </r>
  <r>
    <x v="3636"/>
    <x v="1"/>
    <n v="46"/>
    <x v="2"/>
    <x v="11"/>
    <x v="2"/>
    <n v="12"/>
    <n v="7.3"/>
    <x v="3"/>
    <n v="4"/>
    <x v="0"/>
    <n v="102400"/>
    <n v="9400"/>
    <n v="111800"/>
    <s v="E"/>
    <d v="2014-01-07T00:00:00"/>
    <x v="2"/>
  </r>
  <r>
    <x v="3637"/>
    <x v="1"/>
    <n v="37"/>
    <x v="5"/>
    <x v="17"/>
    <x v="1"/>
    <n v="5.2"/>
    <n v="2.2999999999999998"/>
    <x v="1"/>
    <n v="3"/>
    <x v="1"/>
    <n v="59000"/>
    <n v="6200"/>
    <n v="65200"/>
    <s v="B"/>
    <d v="2020-10-11T00:00:00"/>
    <x v="1"/>
  </r>
  <r>
    <x v="3638"/>
    <x v="0"/>
    <n v="32"/>
    <x v="4"/>
    <x v="14"/>
    <x v="1"/>
    <n v="12.4"/>
    <n v="8.6"/>
    <x v="3"/>
    <n v="3"/>
    <x v="0"/>
    <n v="115600"/>
    <n v="8600"/>
    <n v="124200"/>
    <s v="E"/>
    <d v="2013-08-09T00:00:00"/>
    <x v="1"/>
  </r>
  <r>
    <x v="3639"/>
    <x v="0"/>
    <n v="33"/>
    <x v="0"/>
    <x v="2"/>
    <x v="3"/>
    <n v="10.3"/>
    <n v="5.9"/>
    <x v="4"/>
    <n v="5"/>
    <x v="0"/>
    <n v="71700"/>
    <n v="3500"/>
    <n v="75200"/>
    <s v="C"/>
    <d v="2015-08-30T00:00:00"/>
    <x v="3"/>
  </r>
  <r>
    <x v="3640"/>
    <x v="1"/>
    <n v="45"/>
    <x v="5"/>
    <x v="9"/>
    <x v="3"/>
    <n v="6.6"/>
    <n v="5.9"/>
    <x v="2"/>
    <n v="4"/>
    <x v="2"/>
    <n v="100900"/>
    <n v="10600"/>
    <n v="111500"/>
    <s v="E"/>
    <d v="2019-05-26T00:00:00"/>
    <x v="3"/>
  </r>
  <r>
    <x v="3641"/>
    <x v="0"/>
    <n v="37"/>
    <x v="2"/>
    <x v="18"/>
    <x v="2"/>
    <n v="13.3"/>
    <n v="8.5"/>
    <x v="3"/>
    <n v="3"/>
    <x v="0"/>
    <n v="81600"/>
    <n v="5500"/>
    <n v="87100"/>
    <s v="D"/>
    <d v="2012-09-18T00:00:00"/>
    <x v="2"/>
  </r>
  <r>
    <x v="3642"/>
    <x v="1"/>
    <n v="44"/>
    <x v="2"/>
    <x v="18"/>
    <x v="2"/>
    <n v="8.3000000000000007"/>
    <n v="4.7"/>
    <x v="2"/>
    <n v="3"/>
    <x v="2"/>
    <n v="63000"/>
    <n v="2900"/>
    <n v="65900"/>
    <s v="B"/>
    <d v="2017-09-06T00:00:00"/>
    <x v="2"/>
  </r>
  <r>
    <x v="3643"/>
    <x v="1"/>
    <n v="39"/>
    <x v="5"/>
    <x v="15"/>
    <x v="1"/>
    <n v="3.5"/>
    <n v="3.5"/>
    <x v="1"/>
    <n v="2"/>
    <x v="1"/>
    <n v="34700"/>
    <n v="2800"/>
    <n v="37500"/>
    <s v="A"/>
    <d v="2022-07-02T00:00:00"/>
    <x v="1"/>
  </r>
  <r>
    <x v="3644"/>
    <x v="0"/>
    <n v="25"/>
    <x v="2"/>
    <x v="18"/>
    <x v="2"/>
    <n v="9.1"/>
    <n v="6.5"/>
    <x v="4"/>
    <n v="3"/>
    <x v="0"/>
    <n v="85400"/>
    <n v="6900"/>
    <n v="92300"/>
    <s v="D"/>
    <d v="2016-11-09T00:00:00"/>
    <x v="2"/>
  </r>
  <r>
    <x v="3645"/>
    <x v="1"/>
    <n v="34"/>
    <x v="2"/>
    <x v="4"/>
    <x v="2"/>
    <n v="7.4"/>
    <n v="3.6"/>
    <x v="2"/>
    <n v="3"/>
    <x v="0"/>
    <n v="84100"/>
    <n v="4300"/>
    <n v="88400"/>
    <s v="D"/>
    <d v="2018-07-23T00:00:00"/>
    <x v="2"/>
  </r>
  <r>
    <x v="3646"/>
    <x v="1"/>
    <n v="21"/>
    <x v="0"/>
    <x v="0"/>
    <x v="2"/>
    <n v="8.1999999999999993"/>
    <n v="4.2"/>
    <x v="2"/>
    <n v="4"/>
    <x v="0"/>
    <n v="105000"/>
    <n v="7000"/>
    <n v="112000"/>
    <s v="E"/>
    <d v="2017-10-22T00:00:00"/>
    <x v="2"/>
  </r>
  <r>
    <x v="3647"/>
    <x v="1"/>
    <n v="36"/>
    <x v="5"/>
    <x v="17"/>
    <x v="2"/>
    <n v="3.7"/>
    <n v="3.7"/>
    <x v="1"/>
    <n v="3"/>
    <x v="1"/>
    <n v="72200"/>
    <n v="12700"/>
    <n v="84900"/>
    <s v="C"/>
    <d v="2022-04-22T00:00:00"/>
    <x v="2"/>
  </r>
  <r>
    <x v="3648"/>
    <x v="1"/>
    <n v="36"/>
    <x v="2"/>
    <x v="11"/>
    <x v="2"/>
    <n v="2.9"/>
    <n v="2.4"/>
    <x v="0"/>
    <n v="3"/>
    <x v="0"/>
    <n v="104500"/>
    <n v="10700"/>
    <n v="115200"/>
    <s v="E"/>
    <d v="2023-02-20T00:00:00"/>
    <x v="2"/>
  </r>
  <r>
    <x v="3649"/>
    <x v="1"/>
    <n v="46"/>
    <x v="5"/>
    <x v="17"/>
    <x v="1"/>
    <n v="12.5"/>
    <n v="11.2"/>
    <x v="3"/>
    <n v="4"/>
    <x v="1"/>
    <n v="73500"/>
    <n v="5400"/>
    <n v="78900"/>
    <s v="C"/>
    <d v="2013-07-13T00:00:00"/>
    <x v="1"/>
  </r>
  <r>
    <x v="3650"/>
    <x v="0"/>
    <n v="39"/>
    <x v="3"/>
    <x v="13"/>
    <x v="2"/>
    <n v="8.6"/>
    <n v="7.2"/>
    <x v="2"/>
    <n v="3"/>
    <x v="1"/>
    <n v="67700"/>
    <n v="3500"/>
    <n v="71200"/>
    <s v="C"/>
    <d v="2017-05-12T00:00:00"/>
    <x v="2"/>
  </r>
  <r>
    <x v="3651"/>
    <x v="0"/>
    <n v="29"/>
    <x v="3"/>
    <x v="5"/>
    <x v="2"/>
    <n v="9.3000000000000007"/>
    <n v="6.5"/>
    <x v="4"/>
    <n v="3"/>
    <x v="0"/>
    <n v="81900"/>
    <n v="5400"/>
    <n v="87300"/>
    <s v="D"/>
    <d v="2016-09-17T00:00:00"/>
    <x v="2"/>
  </r>
  <r>
    <x v="3652"/>
    <x v="0"/>
    <n v="35"/>
    <x v="0"/>
    <x v="1"/>
    <x v="3"/>
    <n v="3"/>
    <n v="1.3"/>
    <x v="1"/>
    <n v="4"/>
    <x v="0"/>
    <n v="78300"/>
    <n v="8600"/>
    <n v="86900"/>
    <s v="C"/>
    <d v="2023-01-01T00:00:00"/>
    <x v="3"/>
  </r>
  <r>
    <x v="3653"/>
    <x v="1"/>
    <n v="32"/>
    <x v="3"/>
    <x v="5"/>
    <x v="2"/>
    <n v="8.9"/>
    <n v="7.1"/>
    <x v="2"/>
    <n v="3"/>
    <x v="0"/>
    <n v="68700"/>
    <n v="5300"/>
    <n v="74000"/>
    <s v="C"/>
    <d v="2017-01-27T00:00:00"/>
    <x v="2"/>
  </r>
  <r>
    <x v="3654"/>
    <x v="0"/>
    <n v="36"/>
    <x v="0"/>
    <x v="2"/>
    <x v="3"/>
    <n v="3.2"/>
    <n v="3.2"/>
    <x v="1"/>
    <n v="4"/>
    <x v="0"/>
    <n v="78500"/>
    <n v="7700"/>
    <n v="86200"/>
    <s v="C"/>
    <d v="2022-10-06T00:00:00"/>
    <x v="3"/>
  </r>
  <r>
    <x v="3655"/>
    <x v="0"/>
    <n v="37"/>
    <x v="2"/>
    <x v="4"/>
    <x v="1"/>
    <n v="3.6"/>
    <n v="3.6"/>
    <x v="1"/>
    <n v="3"/>
    <x v="0"/>
    <n v="76900"/>
    <n v="5100"/>
    <n v="82000"/>
    <s v="C"/>
    <d v="2022-05-09T00:00:00"/>
    <x v="1"/>
  </r>
  <r>
    <x v="3656"/>
    <x v="1"/>
    <n v="43"/>
    <x v="0"/>
    <x v="1"/>
    <x v="2"/>
    <n v="7.3"/>
    <n v="2.5"/>
    <x v="2"/>
    <n v="4"/>
    <x v="0"/>
    <n v="86900"/>
    <n v="8500"/>
    <n v="95400"/>
    <s v="D"/>
    <d v="2018-09-18T00:00:00"/>
    <x v="2"/>
  </r>
  <r>
    <x v="3657"/>
    <x v="0"/>
    <n v="38"/>
    <x v="5"/>
    <x v="17"/>
    <x v="2"/>
    <n v="3.1"/>
    <n v="1.4"/>
    <x v="1"/>
    <n v="3"/>
    <x v="0"/>
    <n v="99800"/>
    <n v="20400"/>
    <n v="120200"/>
    <s v="D"/>
    <d v="2022-11-18T00:00:00"/>
    <x v="2"/>
  </r>
  <r>
    <x v="3658"/>
    <x v="0"/>
    <n v="33"/>
    <x v="3"/>
    <x v="12"/>
    <x v="3"/>
    <n v="4.5"/>
    <n v="0.3"/>
    <x v="1"/>
    <n v="4"/>
    <x v="0"/>
    <n v="82600"/>
    <n v="3200"/>
    <n v="85800"/>
    <s v="D"/>
    <d v="2021-07-06T00:00:00"/>
    <x v="3"/>
  </r>
  <r>
    <x v="3659"/>
    <x v="0"/>
    <n v="52"/>
    <x v="5"/>
    <x v="17"/>
    <x v="1"/>
    <n v="5.7"/>
    <n v="4.5999999999999996"/>
    <x v="1"/>
    <n v="4"/>
    <x v="2"/>
    <n v="81300"/>
    <n v="6700"/>
    <n v="88000"/>
    <s v="D"/>
    <d v="2020-04-04T00:00:00"/>
    <x v="1"/>
  </r>
  <r>
    <x v="3660"/>
    <x v="1"/>
    <n v="33"/>
    <x v="5"/>
    <x v="17"/>
    <x v="0"/>
    <n v="8.1999999999999993"/>
    <n v="6.1"/>
    <x v="2"/>
    <n v="3"/>
    <x v="0"/>
    <n v="93900"/>
    <n v="13500"/>
    <n v="107400"/>
    <s v="D"/>
    <d v="2017-10-20T00:00:00"/>
    <x v="0"/>
  </r>
  <r>
    <x v="3661"/>
    <x v="0"/>
    <n v="30"/>
    <x v="4"/>
    <x v="8"/>
    <x v="2"/>
    <n v="3.3"/>
    <n v="1.5"/>
    <x v="1"/>
    <n v="3"/>
    <x v="0"/>
    <n v="83500"/>
    <n v="8300"/>
    <n v="91800"/>
    <s v="D"/>
    <d v="2022-09-24T00:00:00"/>
    <x v="2"/>
  </r>
  <r>
    <x v="3662"/>
    <x v="0"/>
    <n v="36"/>
    <x v="4"/>
    <x v="16"/>
    <x v="1"/>
    <n v="11"/>
    <n v="8.6999999999999993"/>
    <x v="4"/>
    <n v="4"/>
    <x v="0"/>
    <n v="108000"/>
    <n v="11100"/>
    <n v="119100"/>
    <s v="E"/>
    <d v="2014-12-24T00:00:00"/>
    <x v="1"/>
  </r>
  <r>
    <x v="3663"/>
    <x v="1"/>
    <n v="34"/>
    <x v="5"/>
    <x v="15"/>
    <x v="1"/>
    <n v="1.9"/>
    <n v="0"/>
    <x v="0"/>
    <n v="3"/>
    <x v="0"/>
    <n v="52000"/>
    <n v="5100"/>
    <n v="57100"/>
    <s v="B"/>
    <d v="2024-02-19T00:00:00"/>
    <x v="1"/>
  </r>
  <r>
    <x v="3664"/>
    <x v="1"/>
    <n v="23"/>
    <x v="5"/>
    <x v="9"/>
    <x v="1"/>
    <n v="13.1"/>
    <n v="8.9"/>
    <x v="3"/>
    <n v="3"/>
    <x v="0"/>
    <n v="108600"/>
    <n v="8800"/>
    <n v="117400"/>
    <s v="E"/>
    <d v="2012-11-23T00:00:00"/>
    <x v="1"/>
  </r>
  <r>
    <x v="3665"/>
    <x v="1"/>
    <n v="32"/>
    <x v="3"/>
    <x v="12"/>
    <x v="2"/>
    <n v="11.6"/>
    <n v="6"/>
    <x v="4"/>
    <n v="3"/>
    <x v="0"/>
    <n v="86100"/>
    <n v="3300"/>
    <n v="89400"/>
    <s v="D"/>
    <d v="2014-06-02T00:00:00"/>
    <x v="2"/>
  </r>
  <r>
    <x v="3666"/>
    <x v="1"/>
    <n v="36"/>
    <x v="4"/>
    <x v="16"/>
    <x v="2"/>
    <n v="4.3"/>
    <n v="4.3"/>
    <x v="1"/>
    <n v="5"/>
    <x v="0"/>
    <n v="103600"/>
    <n v="7100"/>
    <n v="110700"/>
    <s v="E"/>
    <d v="2021-08-29T00:00:00"/>
    <x v="2"/>
  </r>
  <r>
    <x v="3667"/>
    <x v="1"/>
    <n v="45"/>
    <x v="4"/>
    <x v="14"/>
    <x v="2"/>
    <n v="13.7"/>
    <n v="6.8"/>
    <x v="3"/>
    <n v="3"/>
    <x v="0"/>
    <n v="129500"/>
    <n v="10000"/>
    <n v="139500"/>
    <s v="E"/>
    <d v="2012-04-30T00:00:00"/>
    <x v="2"/>
  </r>
  <r>
    <x v="3668"/>
    <x v="1"/>
    <n v="36"/>
    <x v="2"/>
    <x v="11"/>
    <x v="2"/>
    <n v="8.4"/>
    <n v="5"/>
    <x v="2"/>
    <n v="2"/>
    <x v="0"/>
    <n v="108700"/>
    <n v="9500"/>
    <n v="118200"/>
    <s v="E"/>
    <d v="2017-08-12T00:00:00"/>
    <x v="2"/>
  </r>
  <r>
    <x v="3669"/>
    <x v="0"/>
    <n v="30"/>
    <x v="3"/>
    <x v="5"/>
    <x v="2"/>
    <n v="13.3"/>
    <n v="10.7"/>
    <x v="3"/>
    <n v="3"/>
    <x v="1"/>
    <n v="60400"/>
    <n v="3000"/>
    <n v="63400"/>
    <s v="B"/>
    <d v="2012-10-01T00:00:00"/>
    <x v="2"/>
  </r>
  <r>
    <x v="3670"/>
    <x v="0"/>
    <n v="36"/>
    <x v="0"/>
    <x v="2"/>
    <x v="2"/>
    <n v="3.5"/>
    <n v="2.1"/>
    <x v="1"/>
    <n v="3"/>
    <x v="0"/>
    <n v="66300"/>
    <n v="4500"/>
    <n v="70800"/>
    <s v="C"/>
    <d v="2022-06-22T00:00:00"/>
    <x v="2"/>
  </r>
  <r>
    <x v="3671"/>
    <x v="0"/>
    <n v="25"/>
    <x v="2"/>
    <x v="4"/>
    <x v="1"/>
    <n v="6.3"/>
    <n v="2.6"/>
    <x v="2"/>
    <n v="3"/>
    <x v="0"/>
    <n v="80600"/>
    <n v="4200"/>
    <n v="84800"/>
    <s v="D"/>
    <d v="2019-09-27T00:00:00"/>
    <x v="1"/>
  </r>
  <r>
    <x v="3672"/>
    <x v="1"/>
    <n v="53"/>
    <x v="0"/>
    <x v="1"/>
    <x v="2"/>
    <n v="8.6"/>
    <n v="4.5"/>
    <x v="2"/>
    <n v="3"/>
    <x v="0"/>
    <n v="94800"/>
    <n v="4600"/>
    <n v="99400"/>
    <s v="D"/>
    <d v="2017-06-04T00:00:00"/>
    <x v="2"/>
  </r>
  <r>
    <x v="3673"/>
    <x v="1"/>
    <n v="38"/>
    <x v="4"/>
    <x v="16"/>
    <x v="2"/>
    <n v="9.5"/>
    <n v="7.1"/>
    <x v="4"/>
    <n v="4"/>
    <x v="1"/>
    <n v="69000"/>
    <n v="5400"/>
    <n v="74400"/>
    <s v="C"/>
    <d v="2016-06-20T00:00:00"/>
    <x v="2"/>
  </r>
  <r>
    <x v="3674"/>
    <x v="1"/>
    <n v="26"/>
    <x v="1"/>
    <x v="7"/>
    <x v="2"/>
    <n v="5.7"/>
    <n v="3.1"/>
    <x v="1"/>
    <n v="5"/>
    <x v="0"/>
    <n v="85800"/>
    <n v="7700"/>
    <n v="93500"/>
    <s v="D"/>
    <d v="2020-04-11T00:00:00"/>
    <x v="2"/>
  </r>
  <r>
    <x v="3675"/>
    <x v="0"/>
    <n v="31"/>
    <x v="2"/>
    <x v="18"/>
    <x v="1"/>
    <n v="12.1"/>
    <n v="7.6"/>
    <x v="3"/>
    <n v="3"/>
    <x v="0"/>
    <n v="64800"/>
    <n v="2900"/>
    <n v="67700"/>
    <s v="B"/>
    <d v="2013-11-24T00:00:00"/>
    <x v="1"/>
  </r>
  <r>
    <x v="3676"/>
    <x v="1"/>
    <n v="28"/>
    <x v="1"/>
    <x v="7"/>
    <x v="1"/>
    <n v="12.7"/>
    <n v="8.3000000000000007"/>
    <x v="3"/>
    <n v="4"/>
    <x v="0"/>
    <n v="84600"/>
    <n v="8800"/>
    <n v="93400"/>
    <s v="D"/>
    <d v="2013-04-24T00:00:00"/>
    <x v="1"/>
  </r>
  <r>
    <x v="3677"/>
    <x v="0"/>
    <n v="27"/>
    <x v="4"/>
    <x v="8"/>
    <x v="1"/>
    <n v="8.6"/>
    <n v="5.9"/>
    <x v="2"/>
    <n v="3"/>
    <x v="0"/>
    <n v="88200"/>
    <n v="8100"/>
    <n v="96300"/>
    <s v="D"/>
    <d v="2017-06-02T00:00:00"/>
    <x v="1"/>
  </r>
  <r>
    <x v="3678"/>
    <x v="1"/>
    <n v="24"/>
    <x v="1"/>
    <x v="3"/>
    <x v="3"/>
    <n v="12.2"/>
    <n v="9.1"/>
    <x v="3"/>
    <n v="2"/>
    <x v="0"/>
    <n v="81000"/>
    <n v="7100"/>
    <n v="88100"/>
    <s v="D"/>
    <d v="2013-10-18T00:00:00"/>
    <x v="3"/>
  </r>
  <r>
    <x v="3679"/>
    <x v="1"/>
    <n v="21"/>
    <x v="0"/>
    <x v="1"/>
    <x v="2"/>
    <n v="7.5"/>
    <n v="3.7"/>
    <x v="2"/>
    <n v="2"/>
    <x v="0"/>
    <n v="72600"/>
    <n v="9200"/>
    <n v="81800"/>
    <s v="C"/>
    <d v="2018-07-16T00:00:00"/>
    <x v="2"/>
  </r>
  <r>
    <x v="3680"/>
    <x v="0"/>
    <n v="38"/>
    <x v="4"/>
    <x v="8"/>
    <x v="1"/>
    <n v="5"/>
    <n v="3.2"/>
    <x v="1"/>
    <n v="3"/>
    <x v="0"/>
    <n v="89100"/>
    <n v="10600"/>
    <n v="99700"/>
    <s v="D"/>
    <d v="2021-01-12T00:00:00"/>
    <x v="1"/>
  </r>
  <r>
    <x v="3681"/>
    <x v="1"/>
    <n v="38"/>
    <x v="3"/>
    <x v="12"/>
    <x v="2"/>
    <n v="11.8"/>
    <n v="7.2"/>
    <x v="4"/>
    <n v="3"/>
    <x v="0"/>
    <n v="73800"/>
    <n v="2700"/>
    <n v="76500"/>
    <s v="C"/>
    <d v="2014-03-03T00:00:00"/>
    <x v="2"/>
  </r>
  <r>
    <x v="3682"/>
    <x v="1"/>
    <n v="22"/>
    <x v="4"/>
    <x v="8"/>
    <x v="3"/>
    <n v="7.1"/>
    <n v="4.2"/>
    <x v="2"/>
    <n v="3"/>
    <x v="0"/>
    <n v="91100"/>
    <n v="6000"/>
    <n v="97100"/>
    <s v="D"/>
    <d v="2018-12-11T00:00:00"/>
    <x v="3"/>
  </r>
  <r>
    <x v="3683"/>
    <x v="1"/>
    <n v="41"/>
    <x v="1"/>
    <x v="3"/>
    <x v="2"/>
    <n v="4.9000000000000004"/>
    <n v="1.4"/>
    <x v="1"/>
    <n v="3"/>
    <x v="0"/>
    <n v="89200"/>
    <n v="4500"/>
    <n v="93700"/>
    <s v="D"/>
    <d v="2021-02-13T00:00:00"/>
    <x v="2"/>
  </r>
  <r>
    <x v="3684"/>
    <x v="0"/>
    <n v="42"/>
    <x v="5"/>
    <x v="15"/>
    <x v="1"/>
    <n v="4.3"/>
    <n v="2.4"/>
    <x v="1"/>
    <n v="4"/>
    <x v="0"/>
    <n v="68900"/>
    <n v="13900"/>
    <n v="82800"/>
    <s v="C"/>
    <d v="2021-09-04T00:00:00"/>
    <x v="1"/>
  </r>
  <r>
    <x v="3685"/>
    <x v="0"/>
    <n v="37"/>
    <x v="1"/>
    <x v="10"/>
    <x v="2"/>
    <n v="8.6999999999999993"/>
    <n v="5"/>
    <x v="2"/>
    <n v="5"/>
    <x v="0"/>
    <n v="116500"/>
    <n v="6700"/>
    <n v="123200"/>
    <s v="E"/>
    <d v="2017-04-07T00:00:00"/>
    <x v="2"/>
  </r>
  <r>
    <x v="3686"/>
    <x v="1"/>
    <n v="39"/>
    <x v="3"/>
    <x v="13"/>
    <x v="0"/>
    <n v="8.5"/>
    <n v="4.5"/>
    <x v="2"/>
    <n v="1"/>
    <x v="0"/>
    <n v="87500"/>
    <n v="7800"/>
    <n v="95300"/>
    <s v="D"/>
    <d v="2017-07-18T00:00:00"/>
    <x v="0"/>
  </r>
  <r>
    <x v="3687"/>
    <x v="0"/>
    <n v="45"/>
    <x v="2"/>
    <x v="18"/>
    <x v="0"/>
    <n v="3.4"/>
    <n v="1.9"/>
    <x v="1"/>
    <n v="3"/>
    <x v="0"/>
    <n v="63200"/>
    <n v="4100"/>
    <n v="67300"/>
    <s v="B"/>
    <d v="2022-08-15T00:00:00"/>
    <x v="0"/>
  </r>
  <r>
    <x v="3688"/>
    <x v="1"/>
    <n v="21"/>
    <x v="1"/>
    <x v="3"/>
    <x v="1"/>
    <n v="9.4"/>
    <n v="5.8"/>
    <x v="4"/>
    <n v="3"/>
    <x v="0"/>
    <n v="96400"/>
    <n v="4300"/>
    <n v="100700"/>
    <s v="D"/>
    <d v="2016-07-31T00:00:00"/>
    <x v="1"/>
  </r>
  <r>
    <x v="3689"/>
    <x v="1"/>
    <n v="36"/>
    <x v="3"/>
    <x v="12"/>
    <x v="2"/>
    <n v="3.1"/>
    <n v="1.8"/>
    <x v="1"/>
    <n v="4"/>
    <x v="0"/>
    <n v="64400"/>
    <n v="2300"/>
    <n v="66700"/>
    <s v="B"/>
    <d v="2022-11-22T00:00:00"/>
    <x v="2"/>
  </r>
  <r>
    <x v="3690"/>
    <x v="1"/>
    <n v="41"/>
    <x v="4"/>
    <x v="8"/>
    <x v="2"/>
    <n v="11.7"/>
    <n v="8.9"/>
    <x v="4"/>
    <n v="4"/>
    <x v="0"/>
    <n v="93400"/>
    <n v="10600"/>
    <n v="104000"/>
    <s v="D"/>
    <d v="2014-04-11T00:00:00"/>
    <x v="2"/>
  </r>
  <r>
    <x v="3691"/>
    <x v="1"/>
    <n v="40"/>
    <x v="1"/>
    <x v="3"/>
    <x v="1"/>
    <n v="1.5"/>
    <n v="1.1000000000000001"/>
    <x v="0"/>
    <n v="3"/>
    <x v="0"/>
    <n v="61900"/>
    <n v="4600"/>
    <n v="66500"/>
    <s v="B"/>
    <d v="2024-07-16T00:00:00"/>
    <x v="1"/>
  </r>
  <r>
    <x v="3692"/>
    <x v="1"/>
    <n v="39"/>
    <x v="4"/>
    <x v="8"/>
    <x v="1"/>
    <n v="4"/>
    <n v="2.6"/>
    <x v="1"/>
    <n v="3"/>
    <x v="2"/>
    <n v="67400"/>
    <n v="6900"/>
    <n v="74300"/>
    <s v="C"/>
    <d v="2022-01-07T00:00:00"/>
    <x v="1"/>
  </r>
  <r>
    <x v="3693"/>
    <x v="0"/>
    <n v="54"/>
    <x v="3"/>
    <x v="12"/>
    <x v="1"/>
    <n v="12"/>
    <n v="6.7"/>
    <x v="3"/>
    <n v="5"/>
    <x v="0"/>
    <n v="70200"/>
    <n v="4700"/>
    <n v="74900"/>
    <s v="C"/>
    <d v="2013-12-19T00:00:00"/>
    <x v="1"/>
  </r>
  <r>
    <x v="3694"/>
    <x v="1"/>
    <n v="28"/>
    <x v="3"/>
    <x v="5"/>
    <x v="2"/>
    <n v="11.1"/>
    <n v="7"/>
    <x v="4"/>
    <n v="3"/>
    <x v="0"/>
    <n v="94400"/>
    <n v="4700"/>
    <n v="99100"/>
    <s v="D"/>
    <d v="2014-12-11T00:00:00"/>
    <x v="2"/>
  </r>
  <r>
    <x v="3695"/>
    <x v="1"/>
    <n v="39"/>
    <x v="4"/>
    <x v="14"/>
    <x v="3"/>
    <n v="8.6"/>
    <n v="4.7"/>
    <x v="2"/>
    <n v="4"/>
    <x v="0"/>
    <n v="123200"/>
    <n v="12000"/>
    <n v="135200"/>
    <s v="E"/>
    <d v="2017-06-11T00:00:00"/>
    <x v="3"/>
  </r>
  <r>
    <x v="3696"/>
    <x v="0"/>
    <n v="33"/>
    <x v="4"/>
    <x v="6"/>
    <x v="2"/>
    <n v="4.9000000000000004"/>
    <n v="0.7"/>
    <x v="1"/>
    <n v="3"/>
    <x v="0"/>
    <n v="79300"/>
    <n v="11400"/>
    <n v="90700"/>
    <s v="C"/>
    <d v="2021-02-03T00:00:00"/>
    <x v="2"/>
  </r>
  <r>
    <x v="3697"/>
    <x v="1"/>
    <n v="40"/>
    <x v="4"/>
    <x v="8"/>
    <x v="1"/>
    <n v="11.2"/>
    <n v="7.2"/>
    <x v="4"/>
    <n v="4"/>
    <x v="0"/>
    <n v="108000"/>
    <n v="9300"/>
    <n v="117300"/>
    <s v="E"/>
    <d v="2014-10-31T00:00:00"/>
    <x v="1"/>
  </r>
  <r>
    <x v="3698"/>
    <x v="0"/>
    <n v="35"/>
    <x v="5"/>
    <x v="17"/>
    <x v="0"/>
    <n v="5.9"/>
    <n v="2.4"/>
    <x v="1"/>
    <n v="4"/>
    <x v="2"/>
    <n v="79000"/>
    <n v="8600"/>
    <n v="87600"/>
    <s v="C"/>
    <d v="2020-01-31T00:00:00"/>
    <x v="0"/>
  </r>
  <r>
    <x v="3699"/>
    <x v="0"/>
    <n v="42"/>
    <x v="1"/>
    <x v="3"/>
    <x v="2"/>
    <n v="4.2"/>
    <n v="2.8"/>
    <x v="1"/>
    <n v="3"/>
    <x v="0"/>
    <n v="91900"/>
    <n v="5900"/>
    <n v="97800"/>
    <s v="D"/>
    <d v="2021-10-19T00:00:00"/>
    <x v="2"/>
  </r>
  <r>
    <x v="3700"/>
    <x v="1"/>
    <n v="45"/>
    <x v="4"/>
    <x v="6"/>
    <x v="1"/>
    <n v="5.2"/>
    <n v="5"/>
    <x v="1"/>
    <n v="3"/>
    <x v="0"/>
    <n v="69100"/>
    <n v="6800"/>
    <n v="75900"/>
    <s v="C"/>
    <d v="2020-10-27T00:00:00"/>
    <x v="1"/>
  </r>
  <r>
    <x v="3701"/>
    <x v="0"/>
    <n v="33"/>
    <x v="1"/>
    <x v="7"/>
    <x v="1"/>
    <n v="8.6"/>
    <n v="7.6"/>
    <x v="2"/>
    <n v="4"/>
    <x v="0"/>
    <n v="73600"/>
    <n v="4600"/>
    <n v="78200"/>
    <s v="C"/>
    <d v="2017-05-26T00:00:00"/>
    <x v="1"/>
  </r>
  <r>
    <x v="3702"/>
    <x v="0"/>
    <n v="42"/>
    <x v="0"/>
    <x v="1"/>
    <x v="0"/>
    <n v="8.6999999999999993"/>
    <n v="3.9"/>
    <x v="2"/>
    <n v="5"/>
    <x v="0"/>
    <n v="74400"/>
    <n v="9300"/>
    <n v="83700"/>
    <s v="C"/>
    <d v="2017-04-30T00:00:00"/>
    <x v="0"/>
  </r>
  <r>
    <x v="3703"/>
    <x v="0"/>
    <n v="30"/>
    <x v="1"/>
    <x v="3"/>
    <x v="2"/>
    <n v="3.4"/>
    <n v="3.3"/>
    <x v="1"/>
    <n v="3"/>
    <x v="0"/>
    <n v="74300"/>
    <n v="8300"/>
    <n v="82600"/>
    <s v="C"/>
    <d v="2022-08-14T00:00:00"/>
    <x v="2"/>
  </r>
  <r>
    <x v="3704"/>
    <x v="0"/>
    <n v="25"/>
    <x v="4"/>
    <x v="14"/>
    <x v="0"/>
    <n v="6.2"/>
    <n v="4.2"/>
    <x v="2"/>
    <n v="4"/>
    <x v="0"/>
    <n v="109200"/>
    <n v="6000"/>
    <n v="115200"/>
    <s v="E"/>
    <d v="2019-10-31T00:00:00"/>
    <x v="0"/>
  </r>
  <r>
    <x v="3705"/>
    <x v="0"/>
    <n v="37"/>
    <x v="4"/>
    <x v="16"/>
    <x v="1"/>
    <n v="9.6"/>
    <n v="5.5"/>
    <x v="4"/>
    <n v="3"/>
    <x v="0"/>
    <n v="104300"/>
    <n v="8400"/>
    <n v="112700"/>
    <s v="E"/>
    <d v="2016-06-01T00:00:00"/>
    <x v="1"/>
  </r>
  <r>
    <x v="3706"/>
    <x v="1"/>
    <n v="35"/>
    <x v="5"/>
    <x v="9"/>
    <x v="1"/>
    <n v="4"/>
    <n v="1.6"/>
    <x v="1"/>
    <n v="3"/>
    <x v="0"/>
    <n v="109900"/>
    <n v="7900"/>
    <n v="117800"/>
    <s v="E"/>
    <d v="2021-12-16T00:00:00"/>
    <x v="1"/>
  </r>
  <r>
    <x v="3707"/>
    <x v="0"/>
    <n v="41"/>
    <x v="1"/>
    <x v="3"/>
    <x v="2"/>
    <n v="4.2"/>
    <n v="0.9"/>
    <x v="1"/>
    <n v="3"/>
    <x v="0"/>
    <n v="81000"/>
    <n v="5800"/>
    <n v="86800"/>
    <s v="D"/>
    <d v="2021-10-08T00:00:00"/>
    <x v="2"/>
  </r>
  <r>
    <x v="3708"/>
    <x v="0"/>
    <n v="30"/>
    <x v="2"/>
    <x v="11"/>
    <x v="1"/>
    <n v="7.3"/>
    <n v="5.9"/>
    <x v="2"/>
    <n v="3"/>
    <x v="0"/>
    <n v="105700"/>
    <n v="5900"/>
    <n v="111600"/>
    <s v="E"/>
    <d v="2018-09-23T00:00:00"/>
    <x v="1"/>
  </r>
  <r>
    <x v="3709"/>
    <x v="0"/>
    <n v="21"/>
    <x v="0"/>
    <x v="2"/>
    <x v="0"/>
    <n v="4.0999999999999996"/>
    <n v="0.9"/>
    <x v="1"/>
    <n v="2"/>
    <x v="0"/>
    <n v="52100"/>
    <n v="3000"/>
    <n v="55100"/>
    <s v="B"/>
    <d v="2021-11-25T00:00:00"/>
    <x v="0"/>
  </r>
  <r>
    <x v="3710"/>
    <x v="0"/>
    <n v="34"/>
    <x v="3"/>
    <x v="13"/>
    <x v="1"/>
    <n v="7.1"/>
    <n v="2.9"/>
    <x v="2"/>
    <n v="3"/>
    <x v="0"/>
    <n v="120600"/>
    <n v="6800"/>
    <n v="127400"/>
    <s v="E"/>
    <d v="2018-11-24T00:00:00"/>
    <x v="1"/>
  </r>
  <r>
    <x v="3711"/>
    <x v="1"/>
    <n v="21"/>
    <x v="3"/>
    <x v="12"/>
    <x v="0"/>
    <n v="5.2"/>
    <n v="3.9"/>
    <x v="1"/>
    <n v="4"/>
    <x v="1"/>
    <n v="38400"/>
    <n v="2100"/>
    <n v="40500"/>
    <s v="A"/>
    <d v="2020-10-07T00:00:00"/>
    <x v="0"/>
  </r>
  <r>
    <x v="3712"/>
    <x v="1"/>
    <n v="35"/>
    <x v="5"/>
    <x v="9"/>
    <x v="1"/>
    <n v="5"/>
    <n v="2.7"/>
    <x v="1"/>
    <n v="3"/>
    <x v="0"/>
    <n v="96300"/>
    <n v="8300"/>
    <n v="104600"/>
    <s v="D"/>
    <d v="2021-01-18T00:00:00"/>
    <x v="1"/>
  </r>
  <r>
    <x v="3713"/>
    <x v="0"/>
    <n v="28"/>
    <x v="4"/>
    <x v="14"/>
    <x v="2"/>
    <n v="2.7"/>
    <n v="2.2000000000000002"/>
    <x v="0"/>
    <n v="5"/>
    <x v="2"/>
    <n v="92500"/>
    <n v="10600"/>
    <n v="103100"/>
    <s v="D"/>
    <d v="2023-04-05T00:00:00"/>
    <x v="2"/>
  </r>
  <r>
    <x v="3714"/>
    <x v="1"/>
    <n v="46"/>
    <x v="4"/>
    <x v="6"/>
    <x v="2"/>
    <n v="12.9"/>
    <n v="8.9"/>
    <x v="3"/>
    <n v="3"/>
    <x v="0"/>
    <n v="91900"/>
    <n v="10100"/>
    <n v="102000"/>
    <s v="D"/>
    <d v="2013-02-06T00:00:00"/>
    <x v="2"/>
  </r>
  <r>
    <x v="3715"/>
    <x v="1"/>
    <n v="40"/>
    <x v="3"/>
    <x v="12"/>
    <x v="1"/>
    <n v="6.6"/>
    <n v="4.2"/>
    <x v="2"/>
    <n v="4"/>
    <x v="2"/>
    <n v="52000"/>
    <n v="2300"/>
    <n v="54300"/>
    <s v="B"/>
    <d v="2019-05-12T00:00:00"/>
    <x v="1"/>
  </r>
  <r>
    <x v="3716"/>
    <x v="0"/>
    <n v="27"/>
    <x v="3"/>
    <x v="13"/>
    <x v="1"/>
    <n v="11.3"/>
    <n v="8.1"/>
    <x v="4"/>
    <n v="4"/>
    <x v="0"/>
    <n v="99900"/>
    <n v="7100"/>
    <n v="107000"/>
    <s v="D"/>
    <d v="2014-08-29T00:00:00"/>
    <x v="1"/>
  </r>
  <r>
    <x v="3717"/>
    <x v="0"/>
    <n v="39"/>
    <x v="1"/>
    <x v="3"/>
    <x v="2"/>
    <n v="1.1000000000000001"/>
    <n v="0.3"/>
    <x v="0"/>
    <n v="1"/>
    <x v="0"/>
    <n v="73100"/>
    <n v="4700"/>
    <n v="77800"/>
    <s v="C"/>
    <d v="2024-12-03T00:00:00"/>
    <x v="2"/>
  </r>
  <r>
    <x v="3718"/>
    <x v="1"/>
    <n v="37"/>
    <x v="3"/>
    <x v="13"/>
    <x v="1"/>
    <n v="2.9"/>
    <n v="2"/>
    <x v="0"/>
    <n v="3"/>
    <x v="0"/>
    <n v="98700"/>
    <n v="5300"/>
    <n v="104000"/>
    <s v="D"/>
    <m/>
    <x v="1"/>
  </r>
  <r>
    <x v="3719"/>
    <x v="1"/>
    <n v="40"/>
    <x v="0"/>
    <x v="0"/>
    <x v="3"/>
    <n v="3.8"/>
    <n v="2"/>
    <x v="1"/>
    <n v="4"/>
    <x v="0"/>
    <n v="114300"/>
    <n v="11400"/>
    <n v="125700"/>
    <s v="E"/>
    <d v="2022-03-04T00:00:00"/>
    <x v="3"/>
  </r>
  <r>
    <x v="3720"/>
    <x v="0"/>
    <n v="30"/>
    <x v="5"/>
    <x v="17"/>
    <x v="2"/>
    <n v="1"/>
    <n v="0.7"/>
    <x v="0"/>
    <n v="3"/>
    <x v="0"/>
    <n v="86700"/>
    <n v="11500"/>
    <n v="98200"/>
    <s v="D"/>
    <d v="2024-12-21T00:00:00"/>
    <x v="2"/>
  </r>
  <r>
    <x v="3721"/>
    <x v="0"/>
    <n v="38"/>
    <x v="2"/>
    <x v="18"/>
    <x v="0"/>
    <n v="8.1"/>
    <n v="7.1"/>
    <x v="2"/>
    <n v="3"/>
    <x v="0"/>
    <n v="62800"/>
    <n v="6300"/>
    <n v="69100"/>
    <s v="B"/>
    <d v="2017-12-01T00:00:00"/>
    <x v="0"/>
  </r>
  <r>
    <x v="3722"/>
    <x v="0"/>
    <n v="39"/>
    <x v="4"/>
    <x v="14"/>
    <x v="2"/>
    <n v="6.8"/>
    <n v="5"/>
    <x v="2"/>
    <n v="3"/>
    <x v="0"/>
    <n v="106100"/>
    <n v="5700"/>
    <n v="111800"/>
    <s v="E"/>
    <d v="2019-04-01T00:00:00"/>
    <x v="2"/>
  </r>
  <r>
    <x v="3723"/>
    <x v="0"/>
    <n v="35"/>
    <x v="5"/>
    <x v="17"/>
    <x v="1"/>
    <n v="5.3"/>
    <n v="2.7"/>
    <x v="1"/>
    <n v="1"/>
    <x v="0"/>
    <n v="75000"/>
    <n v="15600"/>
    <n v="90600"/>
    <s v="C"/>
    <d v="2020-09-28T00:00:00"/>
    <x v="1"/>
  </r>
  <r>
    <x v="3724"/>
    <x v="1"/>
    <n v="34"/>
    <x v="0"/>
    <x v="0"/>
    <x v="2"/>
    <n v="3.2"/>
    <n v="1.4"/>
    <x v="1"/>
    <n v="3"/>
    <x v="0"/>
    <n v="108300"/>
    <n v="6800"/>
    <n v="115100"/>
    <s v="E"/>
    <d v="2022-10-13T00:00:00"/>
    <x v="2"/>
  </r>
  <r>
    <x v="3725"/>
    <x v="1"/>
    <n v="47"/>
    <x v="0"/>
    <x v="1"/>
    <x v="2"/>
    <n v="5.3"/>
    <n v="5.3"/>
    <x v="1"/>
    <n v="4"/>
    <x v="0"/>
    <n v="83300"/>
    <n v="5200"/>
    <n v="88500"/>
    <s v="D"/>
    <d v="2020-09-27T00:00:00"/>
    <x v="2"/>
  </r>
  <r>
    <x v="3726"/>
    <x v="0"/>
    <n v="30"/>
    <x v="0"/>
    <x v="0"/>
    <x v="2"/>
    <n v="13.7"/>
    <m/>
    <x v="3"/>
    <n v="2"/>
    <x v="0"/>
    <n v="114900"/>
    <n v="9600"/>
    <n v="124500"/>
    <s v="E"/>
    <d v="2012-04-22T00:00:00"/>
    <x v="2"/>
  </r>
  <r>
    <x v="3727"/>
    <x v="1"/>
    <n v="32"/>
    <x v="2"/>
    <x v="4"/>
    <x v="3"/>
    <n v="8.9"/>
    <n v="8.5"/>
    <x v="2"/>
    <n v="4"/>
    <x v="0"/>
    <n v="81500"/>
    <n v="5200"/>
    <n v="86700"/>
    <s v="D"/>
    <d v="2017-02-14T00:00:00"/>
    <x v="3"/>
  </r>
  <r>
    <x v="3728"/>
    <x v="1"/>
    <n v="41"/>
    <x v="2"/>
    <x v="18"/>
    <x v="1"/>
    <n v="2.6"/>
    <n v="2.2999999999999998"/>
    <x v="0"/>
    <n v="5"/>
    <x v="0"/>
    <n v="66800"/>
    <n v="3800"/>
    <n v="70600"/>
    <s v="C"/>
    <d v="2023-05-27T00:00:00"/>
    <x v="1"/>
  </r>
  <r>
    <x v="3729"/>
    <x v="0"/>
    <n v="40"/>
    <x v="1"/>
    <x v="3"/>
    <x v="0"/>
    <n v="8"/>
    <n v="4.0999999999999996"/>
    <x v="2"/>
    <n v="4"/>
    <x v="0"/>
    <n v="78200"/>
    <n v="7200"/>
    <n v="85400"/>
    <s v="C"/>
    <d v="2017-12-18T00:00:00"/>
    <x v="0"/>
  </r>
  <r>
    <x v="3730"/>
    <x v="1"/>
    <n v="42"/>
    <x v="2"/>
    <x v="11"/>
    <x v="1"/>
    <n v="2.1"/>
    <n v="0"/>
    <x v="0"/>
    <n v="3"/>
    <x v="0"/>
    <n v="113000"/>
    <n v="8100"/>
    <n v="121100"/>
    <s v="E"/>
    <d v="2023-11-27T00:00:00"/>
    <x v="1"/>
  </r>
  <r>
    <x v="3731"/>
    <x v="1"/>
    <n v="43"/>
    <x v="2"/>
    <x v="4"/>
    <x v="2"/>
    <n v="4.5"/>
    <n v="2.1"/>
    <x v="1"/>
    <n v="3"/>
    <x v="0"/>
    <n v="78700"/>
    <n v="5500"/>
    <n v="84200"/>
    <s v="C"/>
    <d v="2021-06-27T00:00:00"/>
    <x v="2"/>
  </r>
  <r>
    <x v="3732"/>
    <x v="1"/>
    <n v="28"/>
    <x v="5"/>
    <x v="9"/>
    <x v="1"/>
    <n v="8.8000000000000007"/>
    <n v="6.2"/>
    <x v="2"/>
    <n v="3"/>
    <x v="0"/>
    <n v="110400"/>
    <n v="8500"/>
    <n v="118900"/>
    <s v="E"/>
    <d v="2017-03-08T00:00:00"/>
    <x v="1"/>
  </r>
  <r>
    <x v="3733"/>
    <x v="1"/>
    <n v="29"/>
    <x v="5"/>
    <x v="15"/>
    <x v="3"/>
    <n v="5.6"/>
    <n v="4.3"/>
    <x v="1"/>
    <n v="5"/>
    <x v="0"/>
    <n v="83000"/>
    <n v="15600"/>
    <n v="98600"/>
    <s v="D"/>
    <d v="2020-06-12T00:00:00"/>
    <x v="3"/>
  </r>
  <r>
    <x v="3734"/>
    <x v="1"/>
    <n v="35"/>
    <x v="5"/>
    <x v="15"/>
    <x v="0"/>
    <n v="3.8"/>
    <n v="2.2000000000000002"/>
    <x v="1"/>
    <n v="3"/>
    <x v="0"/>
    <n v="48600"/>
    <n v="9800"/>
    <n v="58400"/>
    <s v="A"/>
    <d v="2022-03-22T00:00:00"/>
    <x v="0"/>
  </r>
  <r>
    <x v="3735"/>
    <x v="0"/>
    <n v="26"/>
    <x v="2"/>
    <x v="18"/>
    <x v="2"/>
    <n v="7.5"/>
    <n v="6"/>
    <x v="2"/>
    <n v="2"/>
    <x v="0"/>
    <n v="79400"/>
    <n v="8300"/>
    <n v="87700"/>
    <s v="C"/>
    <d v="2018-06-25T00:00:00"/>
    <x v="2"/>
  </r>
  <r>
    <x v="3736"/>
    <x v="0"/>
    <n v="31"/>
    <x v="4"/>
    <x v="6"/>
    <x v="2"/>
    <n v="4.0999999999999996"/>
    <n v="3.4"/>
    <x v="1"/>
    <n v="4"/>
    <x v="0"/>
    <n v="83600"/>
    <n v="10000"/>
    <n v="93600"/>
    <s v="D"/>
    <d v="2021-12-10T00:00:00"/>
    <x v="2"/>
  </r>
  <r>
    <x v="3737"/>
    <x v="1"/>
    <n v="36"/>
    <x v="5"/>
    <x v="17"/>
    <x v="2"/>
    <n v="12.8"/>
    <n v="10.9"/>
    <x v="3"/>
    <n v="4"/>
    <x v="1"/>
    <n v="70800"/>
    <n v="9900"/>
    <n v="80700"/>
    <s v="C"/>
    <d v="2013-03-26T00:00:00"/>
    <x v="2"/>
  </r>
  <r>
    <x v="3738"/>
    <x v="0"/>
    <n v="32"/>
    <x v="3"/>
    <x v="5"/>
    <x v="1"/>
    <n v="6.5"/>
    <n v="2.2999999999999998"/>
    <x v="2"/>
    <n v="2"/>
    <x v="0"/>
    <n v="72700"/>
    <n v="5300"/>
    <n v="78000"/>
    <s v="C"/>
    <d v="2019-07-04T00:00:00"/>
    <x v="1"/>
  </r>
  <r>
    <x v="3739"/>
    <x v="1"/>
    <n v="34"/>
    <x v="4"/>
    <x v="16"/>
    <x v="2"/>
    <n v="1.6"/>
    <n v="0"/>
    <x v="0"/>
    <n v="4"/>
    <x v="0"/>
    <n v="85300"/>
    <n v="10800"/>
    <n v="96100"/>
    <s v="D"/>
    <d v="2024-05-27T00:00:00"/>
    <x v="2"/>
  </r>
  <r>
    <x v="3740"/>
    <x v="1"/>
    <n v="35"/>
    <x v="3"/>
    <x v="13"/>
    <x v="1"/>
    <n v="11.4"/>
    <n v="8.5"/>
    <x v="4"/>
    <n v="3"/>
    <x v="1"/>
    <n v="67400"/>
    <n v="3800"/>
    <n v="71200"/>
    <s v="C"/>
    <d v="2014-08-21T00:00:00"/>
    <x v="1"/>
  </r>
  <r>
    <x v="3741"/>
    <x v="1"/>
    <n v="33"/>
    <x v="4"/>
    <x v="8"/>
    <x v="1"/>
    <n v="3"/>
    <n v="1.5"/>
    <x v="1"/>
    <n v="4"/>
    <x v="0"/>
    <n v="71300"/>
    <n v="6300"/>
    <n v="77600"/>
    <s v="C"/>
    <d v="2023-01-05T00:00:00"/>
    <x v="1"/>
  </r>
  <r>
    <x v="3742"/>
    <x v="0"/>
    <n v="32"/>
    <x v="5"/>
    <x v="17"/>
    <x v="3"/>
    <n v="12.1"/>
    <n v="8"/>
    <x v="3"/>
    <n v="2"/>
    <x v="0"/>
    <n v="106300"/>
    <n v="7500"/>
    <n v="113800"/>
    <s v="E"/>
    <d v="2013-11-25T00:00:00"/>
    <x v="3"/>
  </r>
  <r>
    <x v="3743"/>
    <x v="1"/>
    <n v="43"/>
    <x v="3"/>
    <x v="13"/>
    <x v="2"/>
    <n v="8"/>
    <n v="2"/>
    <x v="2"/>
    <n v="4"/>
    <x v="0"/>
    <n v="103600"/>
    <n v="3600"/>
    <n v="107200"/>
    <s v="E"/>
    <d v="2018-01-16T00:00:00"/>
    <x v="2"/>
  </r>
  <r>
    <x v="3744"/>
    <x v="1"/>
    <n v="29"/>
    <x v="0"/>
    <x v="2"/>
    <x v="3"/>
    <n v="9.3000000000000007"/>
    <n v="5.6"/>
    <x v="4"/>
    <n v="3"/>
    <x v="0"/>
    <n v="77000"/>
    <n v="7400"/>
    <n v="84400"/>
    <s v="C"/>
    <d v="2016-09-03T00:00:00"/>
    <x v="3"/>
  </r>
  <r>
    <x v="3745"/>
    <x v="1"/>
    <n v="31"/>
    <x v="1"/>
    <x v="10"/>
    <x v="2"/>
    <n v="1.7"/>
    <n v="0"/>
    <x v="0"/>
    <n v="3"/>
    <x v="2"/>
    <n v="93100"/>
    <n v="10900"/>
    <n v="104000"/>
    <s v="D"/>
    <d v="2024-04-22T00:00:00"/>
    <x v="2"/>
  </r>
  <r>
    <x v="3746"/>
    <x v="1"/>
    <n v="43"/>
    <x v="4"/>
    <x v="8"/>
    <x v="1"/>
    <n v="13.9"/>
    <n v="9"/>
    <x v="3"/>
    <n v="3"/>
    <x v="0"/>
    <n v="102700"/>
    <n v="15100"/>
    <n v="117800"/>
    <s v="E"/>
    <d v="2012-01-30T00:00:00"/>
    <x v="1"/>
  </r>
  <r>
    <x v="3747"/>
    <x v="0"/>
    <n v="38"/>
    <x v="1"/>
    <x v="7"/>
    <x v="1"/>
    <n v="9.6999999999999993"/>
    <n v="8.1"/>
    <x v="4"/>
    <n v="3"/>
    <x v="0"/>
    <n v="84600"/>
    <n v="6400"/>
    <n v="91000"/>
    <s v="D"/>
    <d v="2016-04-14T00:00:00"/>
    <x v="1"/>
  </r>
  <r>
    <x v="3748"/>
    <x v="1"/>
    <n v="46"/>
    <x v="3"/>
    <x v="13"/>
    <x v="3"/>
    <n v="4.0999999999999996"/>
    <n v="3.1"/>
    <x v="1"/>
    <n v="3"/>
    <x v="0"/>
    <n v="106700"/>
    <n v="8000"/>
    <n v="114700"/>
    <s v="E"/>
    <d v="2021-12-03T00:00:00"/>
    <x v="3"/>
  </r>
  <r>
    <x v="3749"/>
    <x v="1"/>
    <n v="38"/>
    <x v="5"/>
    <x v="15"/>
    <x v="2"/>
    <n v="3"/>
    <n v="0.6"/>
    <x v="1"/>
    <n v="4"/>
    <x v="0"/>
    <n v="65600"/>
    <n v="8800"/>
    <n v="74400"/>
    <s v="C"/>
    <d v="2022-12-26T00:00:00"/>
    <x v="2"/>
  </r>
  <r>
    <x v="3750"/>
    <x v="1"/>
    <n v="29"/>
    <x v="1"/>
    <x v="7"/>
    <x v="1"/>
    <n v="2.1"/>
    <n v="1.8"/>
    <x v="0"/>
    <n v="4"/>
    <x v="0"/>
    <n v="69900"/>
    <n v="4300"/>
    <n v="74200"/>
    <s v="C"/>
    <d v="2023-11-25T00:00:00"/>
    <x v="1"/>
  </r>
  <r>
    <x v="3751"/>
    <x v="0"/>
    <n v="32"/>
    <x v="2"/>
    <x v="18"/>
    <x v="1"/>
    <n v="11"/>
    <n v="7.8"/>
    <x v="4"/>
    <n v="3"/>
    <x v="0"/>
    <n v="62400"/>
    <n v="5200"/>
    <n v="67600"/>
    <s v="B"/>
    <d v="2014-12-30T00:00:00"/>
    <x v="1"/>
  </r>
  <r>
    <x v="3752"/>
    <x v="0"/>
    <n v="37"/>
    <x v="2"/>
    <x v="11"/>
    <x v="0"/>
    <n v="13.8"/>
    <n v="9.8000000000000007"/>
    <x v="3"/>
    <n v="3"/>
    <x v="0"/>
    <n v="114000"/>
    <n v="9300"/>
    <n v="123300"/>
    <s v="E"/>
    <d v="2012-03-27T00:00:00"/>
    <x v="0"/>
  </r>
  <r>
    <x v="3753"/>
    <x v="0"/>
    <n v="27"/>
    <x v="1"/>
    <x v="7"/>
    <x v="2"/>
    <n v="7"/>
    <n v="5.3"/>
    <x v="2"/>
    <n v="3"/>
    <x v="0"/>
    <n v="87800"/>
    <n v="10100"/>
    <n v="97900"/>
    <s v="D"/>
    <d v="2018-12-15T00:00:00"/>
    <x v="2"/>
  </r>
  <r>
    <x v="3754"/>
    <x v="0"/>
    <n v="29"/>
    <x v="2"/>
    <x v="11"/>
    <x v="3"/>
    <n v="8.6"/>
    <n v="3.7"/>
    <x v="2"/>
    <n v="2"/>
    <x v="1"/>
    <n v="70500"/>
    <n v="3200"/>
    <n v="73700"/>
    <s v="C"/>
    <d v="2017-06-12T00:00:00"/>
    <x v="3"/>
  </r>
  <r>
    <x v="3755"/>
    <x v="1"/>
    <n v="24"/>
    <x v="2"/>
    <x v="18"/>
    <x v="0"/>
    <n v="1.7"/>
    <n v="1.7"/>
    <x v="0"/>
    <n v="5"/>
    <x v="0"/>
    <n v="62100"/>
    <n v="2300"/>
    <n v="64400"/>
    <s v="B"/>
    <d v="2024-04-24T00:00:00"/>
    <x v="0"/>
  </r>
  <r>
    <x v="3756"/>
    <x v="0"/>
    <n v="26"/>
    <x v="3"/>
    <x v="13"/>
    <x v="1"/>
    <n v="7.8"/>
    <n v="5.6"/>
    <x v="2"/>
    <n v="3"/>
    <x v="0"/>
    <n v="92500"/>
    <n v="8200"/>
    <n v="100700"/>
    <s v="D"/>
    <d v="2018-03-29T00:00:00"/>
    <x v="1"/>
  </r>
  <r>
    <x v="3757"/>
    <x v="1"/>
    <n v="32"/>
    <x v="1"/>
    <x v="3"/>
    <x v="0"/>
    <n v="13.9"/>
    <n v="8.5"/>
    <x v="3"/>
    <n v="4"/>
    <x v="0"/>
    <n v="76000"/>
    <n v="4900"/>
    <n v="80900"/>
    <s v="C"/>
    <d v="2012-02-15T00:00:00"/>
    <x v="0"/>
  </r>
  <r>
    <x v="3758"/>
    <x v="0"/>
    <n v="28"/>
    <x v="3"/>
    <x v="5"/>
    <x v="1"/>
    <n v="8.9"/>
    <n v="6.4"/>
    <x v="2"/>
    <n v="2"/>
    <x v="0"/>
    <n v="75000"/>
    <n v="2500"/>
    <n v="77500"/>
    <s v="C"/>
    <d v="2017-01-27T00:00:00"/>
    <x v="1"/>
  </r>
  <r>
    <x v="3759"/>
    <x v="0"/>
    <n v="43"/>
    <x v="5"/>
    <x v="15"/>
    <x v="1"/>
    <n v="3.6"/>
    <n v="3.1"/>
    <x v="1"/>
    <n v="3"/>
    <x v="0"/>
    <n v="57700"/>
    <n v="10500"/>
    <n v="68200"/>
    <s v="B"/>
    <d v="2022-05-10T00:00:00"/>
    <x v="1"/>
  </r>
  <r>
    <x v="3760"/>
    <x v="0"/>
    <n v="38"/>
    <x v="2"/>
    <x v="11"/>
    <x v="1"/>
    <n v="10"/>
    <n v="7.5"/>
    <x v="4"/>
    <n v="4"/>
    <x v="0"/>
    <n v="97700"/>
    <n v="5600"/>
    <n v="103300"/>
    <s v="D"/>
    <d v="2015-12-16T00:00:00"/>
    <x v="1"/>
  </r>
  <r>
    <x v="3761"/>
    <x v="1"/>
    <n v="28"/>
    <x v="5"/>
    <x v="17"/>
    <x v="2"/>
    <n v="3.3"/>
    <n v="1.4"/>
    <x v="1"/>
    <n v="3"/>
    <x v="0"/>
    <n v="89200"/>
    <n v="13200"/>
    <n v="102400"/>
    <s v="D"/>
    <d v="2022-09-05T00:00:00"/>
    <x v="2"/>
  </r>
  <r>
    <x v="3762"/>
    <x v="0"/>
    <n v="28"/>
    <x v="0"/>
    <x v="2"/>
    <x v="2"/>
    <n v="11.6"/>
    <n v="5.9"/>
    <x v="4"/>
    <n v="2"/>
    <x v="0"/>
    <n v="81600"/>
    <n v="8400"/>
    <n v="90000"/>
    <s v="D"/>
    <d v="2014-06-01T00:00:00"/>
    <x v="2"/>
  </r>
  <r>
    <x v="3763"/>
    <x v="1"/>
    <n v="29"/>
    <x v="5"/>
    <x v="17"/>
    <x v="1"/>
    <n v="11.4"/>
    <n v="7.1"/>
    <x v="4"/>
    <n v="4"/>
    <x v="0"/>
    <n v="117600"/>
    <n v="10000"/>
    <n v="127600"/>
    <s v="E"/>
    <d v="2014-07-29T00:00:00"/>
    <x v="1"/>
  </r>
  <r>
    <x v="3764"/>
    <x v="0"/>
    <n v="26"/>
    <x v="5"/>
    <x v="15"/>
    <x v="1"/>
    <n v="12.1"/>
    <n v="9.5"/>
    <x v="3"/>
    <n v="3"/>
    <x v="0"/>
    <n v="62400"/>
    <n v="10800"/>
    <n v="73200"/>
    <s v="B"/>
    <d v="2013-11-27T00:00:00"/>
    <x v="1"/>
  </r>
  <r>
    <x v="3765"/>
    <x v="0"/>
    <n v="30"/>
    <x v="3"/>
    <x v="5"/>
    <x v="2"/>
    <n v="1.4"/>
    <n v="1.4"/>
    <x v="0"/>
    <n v="2"/>
    <x v="0"/>
    <n v="68500"/>
    <n v="2400"/>
    <n v="70900"/>
    <s v="C"/>
    <d v="2024-07-25T00:00:00"/>
    <x v="2"/>
  </r>
  <r>
    <x v="3766"/>
    <x v="1"/>
    <n v="32"/>
    <x v="1"/>
    <x v="10"/>
    <x v="3"/>
    <n v="10.5"/>
    <n v="7.7"/>
    <x v="4"/>
    <n v="3"/>
    <x v="0"/>
    <n v="119600"/>
    <n v="13300"/>
    <n v="132900"/>
    <s v="E"/>
    <d v="2015-07-19T00:00:00"/>
    <x v="3"/>
  </r>
  <r>
    <x v="3767"/>
    <x v="0"/>
    <n v="36"/>
    <x v="3"/>
    <x v="5"/>
    <x v="0"/>
    <n v="13.6"/>
    <n v="9.1999999999999993"/>
    <x v="3"/>
    <n v="4"/>
    <x v="1"/>
    <n v="49800"/>
    <n v="3700"/>
    <n v="53500"/>
    <s v="A"/>
    <d v="2012-05-13T00:00:00"/>
    <x v="0"/>
  </r>
  <r>
    <x v="3768"/>
    <x v="1"/>
    <n v="36"/>
    <x v="0"/>
    <x v="1"/>
    <x v="2"/>
    <n v="12.3"/>
    <n v="6.6"/>
    <x v="3"/>
    <n v="1"/>
    <x v="0"/>
    <n v="75100"/>
    <n v="5200"/>
    <n v="80300"/>
    <s v="C"/>
    <d v="2013-08-27T00:00:00"/>
    <x v="2"/>
  </r>
  <r>
    <x v="3769"/>
    <x v="1"/>
    <n v="29"/>
    <x v="5"/>
    <x v="15"/>
    <x v="1"/>
    <n v="10.199999999999999"/>
    <n v="6.8"/>
    <x v="4"/>
    <n v="3"/>
    <x v="0"/>
    <n v="68200"/>
    <n v="13900"/>
    <n v="82100"/>
    <s v="C"/>
    <d v="2015-10-14T00:00:00"/>
    <x v="1"/>
  </r>
  <r>
    <x v="3770"/>
    <x v="1"/>
    <n v="37"/>
    <x v="2"/>
    <x v="4"/>
    <x v="1"/>
    <n v="9"/>
    <n v="7.3"/>
    <x v="4"/>
    <n v="2"/>
    <x v="0"/>
    <n v="81600"/>
    <n v="8500"/>
    <n v="90100"/>
    <s v="D"/>
    <d v="2017-01-06T00:00:00"/>
    <x v="1"/>
  </r>
  <r>
    <x v="3771"/>
    <x v="1"/>
    <n v="30"/>
    <x v="2"/>
    <x v="18"/>
    <x v="2"/>
    <n v="13.5"/>
    <n v="9.6999999999999993"/>
    <x v="3"/>
    <n v="5"/>
    <x v="0"/>
    <n v="79000"/>
    <n v="8200"/>
    <n v="87200"/>
    <s v="C"/>
    <d v="2012-06-22T00:00:00"/>
    <x v="2"/>
  </r>
  <r>
    <x v="3772"/>
    <x v="1"/>
    <n v="31"/>
    <x v="1"/>
    <x v="10"/>
    <x v="1"/>
    <n v="2.4"/>
    <n v="2.4"/>
    <x v="0"/>
    <n v="3"/>
    <x v="0"/>
    <n v="79300"/>
    <n v="9400"/>
    <n v="88700"/>
    <s v="C"/>
    <d v="2023-08-04T00:00:00"/>
    <x v="1"/>
  </r>
  <r>
    <x v="3773"/>
    <x v="0"/>
    <n v="44"/>
    <x v="2"/>
    <x v="18"/>
    <x v="0"/>
    <n v="2.6"/>
    <n v="0.7"/>
    <x v="0"/>
    <n v="4"/>
    <x v="1"/>
    <n v="43600"/>
    <n v="4100"/>
    <n v="47700"/>
    <s v="A"/>
    <d v="2023-05-15T00:00:00"/>
    <x v="0"/>
  </r>
  <r>
    <x v="3774"/>
    <x v="0"/>
    <n v="29"/>
    <x v="5"/>
    <x v="9"/>
    <x v="1"/>
    <n v="5.7"/>
    <n v="4.5999999999999996"/>
    <x v="1"/>
    <n v="4"/>
    <x v="0"/>
    <n v="93200"/>
    <n v="18500"/>
    <n v="111700"/>
    <s v="D"/>
    <d v="2020-04-07T00:00:00"/>
    <x v="1"/>
  </r>
  <r>
    <x v="3775"/>
    <x v="0"/>
    <n v="32"/>
    <x v="2"/>
    <x v="11"/>
    <x v="0"/>
    <n v="12.6"/>
    <n v="8.6"/>
    <x v="3"/>
    <n v="3"/>
    <x v="0"/>
    <n v="107600"/>
    <n v="10200"/>
    <n v="117800"/>
    <s v="E"/>
    <d v="2013-06-05T00:00:00"/>
    <x v="0"/>
  </r>
  <r>
    <x v="3776"/>
    <x v="0"/>
    <n v="28"/>
    <x v="1"/>
    <x v="7"/>
    <x v="2"/>
    <n v="2.1"/>
    <n v="1.2"/>
    <x v="0"/>
    <n v="4"/>
    <x v="0"/>
    <n v="77300"/>
    <n v="3300"/>
    <n v="80600"/>
    <s v="C"/>
    <d v="2023-11-20T00:00:00"/>
    <x v="2"/>
  </r>
  <r>
    <x v="3777"/>
    <x v="1"/>
    <n v="36"/>
    <x v="1"/>
    <x v="10"/>
    <x v="2"/>
    <n v="13.2"/>
    <n v="8.5"/>
    <x v="3"/>
    <n v="4"/>
    <x v="0"/>
    <n v="121700"/>
    <n v="13700"/>
    <n v="135400"/>
    <s v="E"/>
    <d v="2012-10-15T00:00:00"/>
    <x v="2"/>
  </r>
  <r>
    <x v="3778"/>
    <x v="0"/>
    <n v="38"/>
    <x v="4"/>
    <x v="6"/>
    <x v="1"/>
    <n v="5.8"/>
    <n v="4"/>
    <x v="1"/>
    <n v="3"/>
    <x v="0"/>
    <n v="71600"/>
    <n v="4200"/>
    <n v="75800"/>
    <s v="C"/>
    <d v="2020-03-02T00:00:00"/>
    <x v="1"/>
  </r>
  <r>
    <x v="3779"/>
    <x v="1"/>
    <n v="39"/>
    <x v="0"/>
    <x v="1"/>
    <x v="2"/>
    <n v="9.5"/>
    <n v="7.2"/>
    <x v="4"/>
    <n v="4"/>
    <x v="0"/>
    <n v="89300"/>
    <n v="5700"/>
    <n v="95000"/>
    <s v="D"/>
    <d v="2016-07-13T00:00:00"/>
    <x v="2"/>
  </r>
  <r>
    <x v="3780"/>
    <x v="1"/>
    <n v="36"/>
    <x v="1"/>
    <x v="3"/>
    <x v="1"/>
    <n v="13.9"/>
    <n v="9.5"/>
    <x v="3"/>
    <n v="4"/>
    <x v="0"/>
    <n v="83500"/>
    <n v="9000"/>
    <n v="92500"/>
    <s v="D"/>
    <d v="2012-01-25T00:00:00"/>
    <x v="1"/>
  </r>
  <r>
    <x v="3781"/>
    <x v="0"/>
    <n v="23"/>
    <x v="4"/>
    <x v="8"/>
    <x v="1"/>
    <n v="2.8"/>
    <n v="1.6"/>
    <x v="0"/>
    <n v="4"/>
    <x v="0"/>
    <n v="81400"/>
    <n v="7200"/>
    <n v="88600"/>
    <s v="D"/>
    <d v="2023-03-25T00:00:00"/>
    <x v="1"/>
  </r>
  <r>
    <x v="3782"/>
    <x v="1"/>
    <n v="26"/>
    <x v="2"/>
    <x v="18"/>
    <x v="1"/>
    <n v="2.9"/>
    <n v="2.9"/>
    <x v="0"/>
    <n v="4"/>
    <x v="0"/>
    <n v="56700"/>
    <n v="2900"/>
    <n v="59600"/>
    <s v="B"/>
    <d v="2023-02-08T00:00:00"/>
    <x v="1"/>
  </r>
  <r>
    <x v="3783"/>
    <x v="0"/>
    <n v="38"/>
    <x v="4"/>
    <x v="8"/>
    <x v="1"/>
    <n v="10.6"/>
    <n v="6.9"/>
    <x v="4"/>
    <n v="1"/>
    <x v="0"/>
    <n v="85200"/>
    <n v="6500"/>
    <n v="91700"/>
    <s v="D"/>
    <d v="2015-05-20T00:00:00"/>
    <x v="1"/>
  </r>
  <r>
    <x v="3784"/>
    <x v="1"/>
    <n v="23"/>
    <x v="0"/>
    <x v="2"/>
    <x v="0"/>
    <n v="13.7"/>
    <n v="9.4"/>
    <x v="3"/>
    <n v="3"/>
    <x v="0"/>
    <n v="64100"/>
    <n v="7200"/>
    <n v="71300"/>
    <s v="B"/>
    <d v="2012-04-15T00:00:00"/>
    <x v="0"/>
  </r>
  <r>
    <x v="3785"/>
    <x v="0"/>
    <n v="39"/>
    <x v="0"/>
    <x v="2"/>
    <x v="0"/>
    <n v="1.1000000000000001"/>
    <n v="0"/>
    <x v="0"/>
    <n v="3"/>
    <x v="0"/>
    <n v="54300"/>
    <n v="5900"/>
    <n v="60200"/>
    <s v="B"/>
    <d v="2024-11-30T00:00:00"/>
    <x v="0"/>
  </r>
  <r>
    <x v="3786"/>
    <x v="1"/>
    <n v="24"/>
    <x v="5"/>
    <x v="15"/>
    <x v="1"/>
    <n v="6.4"/>
    <n v="5.7"/>
    <x v="2"/>
    <n v="3"/>
    <x v="0"/>
    <n v="62900"/>
    <n v="12400"/>
    <n v="75300"/>
    <s v="B"/>
    <d v="2019-08-11T00:00:00"/>
    <x v="1"/>
  </r>
  <r>
    <x v="3787"/>
    <x v="1"/>
    <n v="29"/>
    <x v="2"/>
    <x v="18"/>
    <x v="2"/>
    <n v="11.9"/>
    <n v="9.5"/>
    <x v="4"/>
    <n v="4"/>
    <x v="0"/>
    <n v="78500"/>
    <n v="3300"/>
    <n v="81800"/>
    <s v="C"/>
    <d v="2014-01-29T00:00:00"/>
    <x v="2"/>
  </r>
  <r>
    <x v="3788"/>
    <x v="0"/>
    <n v="32"/>
    <x v="5"/>
    <x v="9"/>
    <x v="2"/>
    <n v="10.3"/>
    <n v="6.7"/>
    <x v="4"/>
    <n v="3"/>
    <x v="0"/>
    <n v="114100"/>
    <n v="9900"/>
    <n v="124000"/>
    <s v="E"/>
    <d v="2015-09-25T00:00:00"/>
    <x v="2"/>
  </r>
  <r>
    <x v="3789"/>
    <x v="0"/>
    <n v="21"/>
    <x v="5"/>
    <x v="15"/>
    <x v="0"/>
    <n v="6.8"/>
    <n v="4"/>
    <x v="2"/>
    <n v="3"/>
    <x v="0"/>
    <n v="64000"/>
    <n v="9900"/>
    <n v="73900"/>
    <s v="B"/>
    <d v="2019-03-14T00:00:00"/>
    <x v="0"/>
  </r>
  <r>
    <x v="3790"/>
    <x v="1"/>
    <n v="42"/>
    <x v="4"/>
    <x v="6"/>
    <x v="3"/>
    <n v="11.7"/>
    <n v="6.7"/>
    <x v="4"/>
    <n v="4"/>
    <x v="0"/>
    <n v="98500"/>
    <n v="7300"/>
    <n v="105800"/>
    <s v="D"/>
    <d v="2014-04-05T00:00:00"/>
    <x v="3"/>
  </r>
  <r>
    <x v="3791"/>
    <x v="1"/>
    <n v="37"/>
    <x v="4"/>
    <x v="14"/>
    <x v="2"/>
    <n v="4.3"/>
    <n v="4.2"/>
    <x v="1"/>
    <n v="5"/>
    <x v="0"/>
    <n v="110900"/>
    <n v="10100"/>
    <n v="121000"/>
    <s v="E"/>
    <d v="2021-09-10T00:00:00"/>
    <x v="2"/>
  </r>
  <r>
    <x v="3792"/>
    <x v="0"/>
    <n v="38"/>
    <x v="3"/>
    <x v="5"/>
    <x v="1"/>
    <n v="6.1"/>
    <n v="4.0999999999999996"/>
    <x v="2"/>
    <n v="5"/>
    <x v="0"/>
    <n v="69400"/>
    <n v="3000"/>
    <n v="72400"/>
    <s v="C"/>
    <d v="2019-11-16T00:00:00"/>
    <x v="1"/>
  </r>
  <r>
    <x v="3793"/>
    <x v="1"/>
    <n v="39"/>
    <x v="3"/>
    <x v="13"/>
    <x v="0"/>
    <n v="7.7"/>
    <n v="5.7"/>
    <x v="2"/>
    <n v="4"/>
    <x v="0"/>
    <n v="87500"/>
    <n v="3300"/>
    <n v="90800"/>
    <s v="D"/>
    <d v="2018-05-05T00:00:00"/>
    <x v="0"/>
  </r>
  <r>
    <x v="3794"/>
    <x v="1"/>
    <n v="34"/>
    <x v="1"/>
    <x v="7"/>
    <x v="3"/>
    <n v="10.4"/>
    <n v="8.1999999999999993"/>
    <x v="4"/>
    <n v="4"/>
    <x v="0"/>
    <n v="85700"/>
    <n v="7600"/>
    <n v="93300"/>
    <s v="D"/>
    <d v="2015-08-08T00:00:00"/>
    <x v="3"/>
  </r>
  <r>
    <x v="3795"/>
    <x v="1"/>
    <n v="48"/>
    <x v="0"/>
    <x v="1"/>
    <x v="2"/>
    <n v="7.2"/>
    <n v="3.6"/>
    <x v="2"/>
    <n v="5"/>
    <x v="0"/>
    <n v="79600"/>
    <n v="7200"/>
    <n v="86800"/>
    <s v="C"/>
    <d v="2018-10-02T00:00:00"/>
    <x v="2"/>
  </r>
  <r>
    <x v="3796"/>
    <x v="1"/>
    <n v="31"/>
    <x v="2"/>
    <x v="11"/>
    <x v="1"/>
    <n v="5.5"/>
    <n v="4.2"/>
    <x v="1"/>
    <n v="5"/>
    <x v="0"/>
    <n v="105600"/>
    <n v="4800"/>
    <n v="110400"/>
    <s v="E"/>
    <d v="2020-07-05T00:00:00"/>
    <x v="1"/>
  </r>
  <r>
    <x v="3797"/>
    <x v="1"/>
    <n v="49"/>
    <x v="1"/>
    <x v="7"/>
    <x v="2"/>
    <n v="1.2"/>
    <n v="0.3"/>
    <x v="0"/>
    <n v="3"/>
    <x v="0"/>
    <n v="81300"/>
    <n v="6200"/>
    <n v="87500"/>
    <s v="D"/>
    <d v="2024-11-06T00:00:00"/>
    <x v="2"/>
  </r>
  <r>
    <x v="3798"/>
    <x v="1"/>
    <n v="31"/>
    <x v="5"/>
    <x v="17"/>
    <x v="2"/>
    <n v="7.2"/>
    <n v="5.4"/>
    <x v="2"/>
    <n v="3"/>
    <x v="0"/>
    <n v="107000"/>
    <n v="10200"/>
    <n v="117200"/>
    <s v="E"/>
    <d v="2018-10-17T00:00:00"/>
    <x v="2"/>
  </r>
  <r>
    <x v="3799"/>
    <x v="1"/>
    <n v="44"/>
    <x v="0"/>
    <x v="0"/>
    <x v="2"/>
    <n v="11.6"/>
    <n v="9.3000000000000007"/>
    <x v="4"/>
    <n v="4"/>
    <x v="0"/>
    <n v="122500"/>
    <n v="9900"/>
    <n v="132400"/>
    <s v="E"/>
    <d v="2014-05-17T00:00:00"/>
    <x v="2"/>
  </r>
  <r>
    <x v="3800"/>
    <x v="1"/>
    <n v="21"/>
    <x v="3"/>
    <x v="5"/>
    <x v="0"/>
    <n v="5.5"/>
    <n v="4.4000000000000004"/>
    <x v="1"/>
    <n v="3"/>
    <x v="0"/>
    <n v="76900"/>
    <n v="5200"/>
    <n v="82100"/>
    <s v="C"/>
    <d v="2020-06-22T00:00:00"/>
    <x v="0"/>
  </r>
  <r>
    <x v="3801"/>
    <x v="1"/>
    <n v="50"/>
    <x v="2"/>
    <x v="18"/>
    <x v="1"/>
    <n v="2.8"/>
    <n v="2.2000000000000002"/>
    <x v="0"/>
    <n v="3"/>
    <x v="0"/>
    <n v="67400"/>
    <n v="3800"/>
    <n v="71200"/>
    <s v="C"/>
    <d v="2023-04-02T00:00:00"/>
    <x v="1"/>
  </r>
  <r>
    <x v="3802"/>
    <x v="1"/>
    <n v="42"/>
    <x v="5"/>
    <x v="9"/>
    <x v="0"/>
    <n v="7.5"/>
    <n v="5.0999999999999996"/>
    <x v="2"/>
    <n v="3"/>
    <x v="0"/>
    <n v="89100"/>
    <n v="15700"/>
    <n v="104800"/>
    <s v="D"/>
    <d v="2018-06-28T00:00:00"/>
    <x v="0"/>
  </r>
  <r>
    <x v="3803"/>
    <x v="0"/>
    <n v="24"/>
    <x v="4"/>
    <x v="8"/>
    <x v="1"/>
    <n v="1.6"/>
    <n v="0.1"/>
    <x v="0"/>
    <n v="3"/>
    <x v="0"/>
    <n v="76700"/>
    <n v="11300"/>
    <n v="88000"/>
    <s v="C"/>
    <d v="2024-06-13T00:00:00"/>
    <x v="1"/>
  </r>
  <r>
    <x v="3804"/>
    <x v="0"/>
    <n v="38"/>
    <x v="2"/>
    <x v="18"/>
    <x v="2"/>
    <n v="6.8"/>
    <n v="5.0999999999999996"/>
    <x v="2"/>
    <n v="3"/>
    <x v="2"/>
    <n v="62800"/>
    <n v="5100"/>
    <n v="67900"/>
    <s v="B"/>
    <d v="2019-03-12T00:00:00"/>
    <x v="2"/>
  </r>
  <r>
    <x v="3805"/>
    <x v="1"/>
    <n v="32"/>
    <x v="5"/>
    <x v="9"/>
    <x v="1"/>
    <n v="3.3"/>
    <n v="2.2999999999999998"/>
    <x v="1"/>
    <n v="4"/>
    <x v="2"/>
    <n v="75000"/>
    <n v="15700"/>
    <n v="90700"/>
    <s v="C"/>
    <d v="2022-09-11T00:00:00"/>
    <x v="1"/>
  </r>
  <r>
    <x v="3806"/>
    <x v="1"/>
    <n v="23"/>
    <x v="3"/>
    <x v="5"/>
    <x v="2"/>
    <n v="1.3"/>
    <n v="0"/>
    <x v="0"/>
    <n v="3"/>
    <x v="0"/>
    <n v="68300"/>
    <n v="3700"/>
    <n v="72000"/>
    <s v="C"/>
    <d v="2024-08-29T00:00:00"/>
    <x v="2"/>
  </r>
  <r>
    <x v="3807"/>
    <x v="1"/>
    <n v="36"/>
    <x v="1"/>
    <x v="7"/>
    <x v="1"/>
    <n v="2.7"/>
    <n v="2.7"/>
    <x v="0"/>
    <n v="4"/>
    <x v="2"/>
    <n v="57700"/>
    <n v="6600"/>
    <n v="64300"/>
    <s v="B"/>
    <d v="2023-04-12T00:00:00"/>
    <x v="1"/>
  </r>
  <r>
    <x v="3808"/>
    <x v="0"/>
    <n v="35"/>
    <x v="5"/>
    <x v="15"/>
    <x v="0"/>
    <n v="5.7"/>
    <n v="3.2"/>
    <x v="1"/>
    <n v="3"/>
    <x v="1"/>
    <n v="36200"/>
    <n v="2800"/>
    <n v="39000"/>
    <s v="A"/>
    <d v="2020-04-05T00:00:00"/>
    <x v="0"/>
  </r>
  <r>
    <x v="3809"/>
    <x v="0"/>
    <n v="47"/>
    <x v="5"/>
    <x v="9"/>
    <x v="1"/>
    <n v="9.6999999999999993"/>
    <n v="6.9"/>
    <x v="4"/>
    <n v="3"/>
    <x v="0"/>
    <n v="100700"/>
    <n v="18600"/>
    <n v="119300"/>
    <s v="E"/>
    <d v="2016-04-09T00:00:00"/>
    <x v="1"/>
  </r>
  <r>
    <x v="3810"/>
    <x v="1"/>
    <n v="28"/>
    <x v="3"/>
    <x v="12"/>
    <x v="1"/>
    <n v="10.7"/>
    <n v="6.6"/>
    <x v="4"/>
    <n v="4"/>
    <x v="0"/>
    <n v="83100"/>
    <n v="7400"/>
    <n v="90500"/>
    <s v="D"/>
    <d v="2015-04-11T00:00:00"/>
    <x v="1"/>
  </r>
  <r>
    <x v="3811"/>
    <x v="1"/>
    <n v="35"/>
    <x v="2"/>
    <x v="18"/>
    <x v="1"/>
    <n v="10.4"/>
    <n v="8.3000000000000007"/>
    <x v="4"/>
    <n v="5"/>
    <x v="0"/>
    <n v="70600"/>
    <n v="3500"/>
    <n v="74100"/>
    <s v="C"/>
    <d v="2015-08-18T00:00:00"/>
    <x v="1"/>
  </r>
  <r>
    <x v="3812"/>
    <x v="1"/>
    <n v="33"/>
    <x v="2"/>
    <x v="4"/>
    <x v="0"/>
    <n v="3.8"/>
    <n v="3.1"/>
    <x v="1"/>
    <n v="3"/>
    <x v="0"/>
    <n v="67500"/>
    <n v="5400"/>
    <n v="72900"/>
    <s v="C"/>
    <d v="2022-03-15T00:00:00"/>
    <x v="0"/>
  </r>
  <r>
    <x v="3813"/>
    <x v="1"/>
    <n v="26"/>
    <x v="0"/>
    <x v="0"/>
    <x v="1"/>
    <n v="7.4"/>
    <n v="4"/>
    <x v="2"/>
    <n v="3"/>
    <x v="0"/>
    <n v="104700"/>
    <n v="10100"/>
    <n v="114800"/>
    <s v="E"/>
    <d v="2018-07-25T00:00:00"/>
    <x v="1"/>
  </r>
  <r>
    <x v="3814"/>
    <x v="1"/>
    <n v="38"/>
    <x v="1"/>
    <x v="3"/>
    <x v="1"/>
    <n v="13.5"/>
    <n v="7.8"/>
    <x v="3"/>
    <n v="3"/>
    <x v="0"/>
    <n v="87500"/>
    <n v="7600"/>
    <n v="95100"/>
    <s v="D"/>
    <d v="2012-07-13T00:00:00"/>
    <x v="1"/>
  </r>
  <r>
    <x v="3815"/>
    <x v="0"/>
    <n v="45"/>
    <x v="2"/>
    <x v="11"/>
    <x v="0"/>
    <n v="11.4"/>
    <n v="7.8"/>
    <x v="4"/>
    <n v="3"/>
    <x v="0"/>
    <n v="117900"/>
    <n v="7700"/>
    <n v="125600"/>
    <s v="E"/>
    <d v="2014-07-24T00:00:00"/>
    <x v="0"/>
  </r>
  <r>
    <x v="3816"/>
    <x v="1"/>
    <n v="36"/>
    <x v="0"/>
    <x v="2"/>
    <x v="1"/>
    <n v="1.1000000000000001"/>
    <n v="0.4"/>
    <x v="0"/>
    <n v="3"/>
    <x v="0"/>
    <n v="64000"/>
    <n v="4000"/>
    <n v="68000"/>
    <s v="B"/>
    <d v="2024-11-07T00:00:00"/>
    <x v="1"/>
  </r>
  <r>
    <x v="3817"/>
    <x v="0"/>
    <n v="37"/>
    <x v="4"/>
    <x v="16"/>
    <x v="2"/>
    <n v="3.5"/>
    <n v="3.5"/>
    <x v="1"/>
    <n v="5"/>
    <x v="0"/>
    <n v="102900"/>
    <n v="12900"/>
    <n v="115800"/>
    <s v="E"/>
    <d v="2022-06-17T00:00:00"/>
    <x v="2"/>
  </r>
  <r>
    <x v="3818"/>
    <x v="0"/>
    <n v="29"/>
    <x v="0"/>
    <x v="0"/>
    <x v="2"/>
    <n v="5.9"/>
    <n v="3.9"/>
    <x v="1"/>
    <n v="4"/>
    <x v="0"/>
    <n v="91300"/>
    <n v="6400"/>
    <n v="97700"/>
    <s v="D"/>
    <d v="2020-02-09T00:00:00"/>
    <x v="2"/>
  </r>
  <r>
    <x v="3819"/>
    <x v="0"/>
    <n v="36"/>
    <x v="3"/>
    <x v="12"/>
    <x v="3"/>
    <n v="11.2"/>
    <n v="6.1"/>
    <x v="4"/>
    <n v="3"/>
    <x v="2"/>
    <n v="67600"/>
    <n v="3600"/>
    <n v="71200"/>
    <s v="C"/>
    <d v="2014-10-12T00:00:00"/>
    <x v="3"/>
  </r>
  <r>
    <x v="3820"/>
    <x v="1"/>
    <n v="27"/>
    <x v="4"/>
    <x v="16"/>
    <x v="2"/>
    <n v="8.1999999999999993"/>
    <n v="6.5"/>
    <x v="2"/>
    <n v="3"/>
    <x v="0"/>
    <n v="110700"/>
    <n v="5900"/>
    <n v="116600"/>
    <s v="E"/>
    <d v="2017-11-06T00:00:00"/>
    <x v="2"/>
  </r>
  <r>
    <x v="3821"/>
    <x v="0"/>
    <n v="38"/>
    <x v="1"/>
    <x v="3"/>
    <x v="2"/>
    <n v="10.9"/>
    <n v="8.1999999999999993"/>
    <x v="4"/>
    <n v="5"/>
    <x v="0"/>
    <n v="90500"/>
    <n v="7900"/>
    <n v="98400"/>
    <s v="D"/>
    <d v="2015-02-06T00:00:00"/>
    <x v="2"/>
  </r>
  <r>
    <x v="3822"/>
    <x v="1"/>
    <n v="54"/>
    <x v="3"/>
    <x v="5"/>
    <x v="2"/>
    <n v="8.4"/>
    <n v="4.2"/>
    <x v="2"/>
    <n v="4"/>
    <x v="0"/>
    <n v="96700"/>
    <n v="4200"/>
    <n v="100900"/>
    <s v="D"/>
    <d v="2017-07-21T00:00:00"/>
    <x v="2"/>
  </r>
  <r>
    <x v="3823"/>
    <x v="1"/>
    <n v="42"/>
    <x v="1"/>
    <x v="3"/>
    <x v="2"/>
    <n v="11.4"/>
    <n v="5.6"/>
    <x v="4"/>
    <n v="4"/>
    <x v="0"/>
    <n v="85500"/>
    <n v="10200"/>
    <n v="95700"/>
    <s v="D"/>
    <d v="2014-07-30T00:00:00"/>
    <x v="2"/>
  </r>
  <r>
    <x v="3824"/>
    <x v="1"/>
    <n v="30"/>
    <x v="4"/>
    <x v="6"/>
    <x v="1"/>
    <n v="8.8000000000000007"/>
    <n v="6.6"/>
    <x v="2"/>
    <n v="3"/>
    <x v="1"/>
    <n v="48500"/>
    <n v="6500"/>
    <n v="55000"/>
    <s v="A"/>
    <d v="2017-02-27T00:00:00"/>
    <x v="1"/>
  </r>
  <r>
    <x v="3825"/>
    <x v="1"/>
    <n v="43"/>
    <x v="5"/>
    <x v="9"/>
    <x v="1"/>
    <n v="10.199999999999999"/>
    <n v="7"/>
    <x v="4"/>
    <n v="4"/>
    <x v="0"/>
    <n v="102400"/>
    <n v="14400"/>
    <n v="116800"/>
    <s v="E"/>
    <d v="2015-10-21T00:00:00"/>
    <x v="1"/>
  </r>
  <r>
    <x v="3826"/>
    <x v="0"/>
    <n v="30"/>
    <x v="2"/>
    <x v="11"/>
    <x v="0"/>
    <n v="7"/>
    <n v="6.6"/>
    <x v="2"/>
    <n v="3"/>
    <x v="0"/>
    <n v="92400"/>
    <n v="6300"/>
    <n v="98700"/>
    <s v="D"/>
    <d v="2019-01-07T00:00:00"/>
    <x v="0"/>
  </r>
  <r>
    <x v="3827"/>
    <x v="0"/>
    <n v="34"/>
    <x v="4"/>
    <x v="6"/>
    <x v="1"/>
    <n v="10.5"/>
    <n v="5.6"/>
    <x v="4"/>
    <n v="4"/>
    <x v="0"/>
    <n v="82600"/>
    <n v="11400"/>
    <n v="94000"/>
    <s v="D"/>
    <d v="2015-06-26T00:00:00"/>
    <x v="1"/>
  </r>
  <r>
    <x v="3828"/>
    <x v="1"/>
    <n v="31"/>
    <x v="0"/>
    <x v="1"/>
    <x v="1"/>
    <n v="12.4"/>
    <n v="8.3000000000000007"/>
    <x v="3"/>
    <n v="3"/>
    <x v="0"/>
    <n v="77300"/>
    <n v="6300"/>
    <n v="83600"/>
    <s v="C"/>
    <d v="2013-08-09T00:00:00"/>
    <x v="1"/>
  </r>
  <r>
    <x v="3829"/>
    <x v="1"/>
    <n v="39"/>
    <x v="0"/>
    <x v="1"/>
    <x v="3"/>
    <n v="1.3"/>
    <n v="0.6"/>
    <x v="0"/>
    <n v="3"/>
    <x v="0"/>
    <n v="90300"/>
    <n v="11100"/>
    <n v="101400"/>
    <s v="D"/>
    <d v="2024-09-13T00:00:00"/>
    <x v="3"/>
  </r>
  <r>
    <x v="3830"/>
    <x v="1"/>
    <n v="34"/>
    <x v="4"/>
    <x v="14"/>
    <x v="0"/>
    <n v="9.1999999999999993"/>
    <n v="6.3"/>
    <x v="4"/>
    <n v="2"/>
    <x v="0"/>
    <n v="100500"/>
    <n v="9600"/>
    <n v="110100"/>
    <s v="E"/>
    <d v="2016-10-18T00:00:00"/>
    <x v="0"/>
  </r>
  <r>
    <x v="3831"/>
    <x v="1"/>
    <n v="27"/>
    <x v="3"/>
    <x v="5"/>
    <x v="1"/>
    <n v="4.2"/>
    <n v="1"/>
    <x v="1"/>
    <n v="3"/>
    <x v="1"/>
    <n v="48700"/>
    <n v="1900"/>
    <n v="50600"/>
    <s v="A"/>
    <d v="2021-10-16T00:00:00"/>
    <x v="1"/>
  </r>
  <r>
    <x v="3832"/>
    <x v="1"/>
    <n v="34"/>
    <x v="3"/>
    <x v="12"/>
    <x v="2"/>
    <n v="12.9"/>
    <n v="7.2"/>
    <x v="3"/>
    <n v="5"/>
    <x v="0"/>
    <n v="87200"/>
    <n v="6800"/>
    <n v="94000"/>
    <s v="D"/>
    <d v="2013-01-20T00:00:00"/>
    <x v="2"/>
  </r>
  <r>
    <x v="3833"/>
    <x v="0"/>
    <n v="40"/>
    <x v="3"/>
    <x v="5"/>
    <x v="1"/>
    <n v="8.6"/>
    <n v="6.6"/>
    <x v="2"/>
    <n v="4"/>
    <x v="1"/>
    <n v="51400"/>
    <n v="3300"/>
    <n v="54700"/>
    <s v="B"/>
    <d v="2017-05-13T00:00:00"/>
    <x v="1"/>
  </r>
  <r>
    <x v="3834"/>
    <x v="1"/>
    <n v="34"/>
    <x v="3"/>
    <x v="13"/>
    <x v="0"/>
    <n v="4.0999999999999996"/>
    <n v="4.0999999999999996"/>
    <x v="1"/>
    <n v="3"/>
    <x v="0"/>
    <n v="93400"/>
    <n v="6600"/>
    <n v="100000"/>
    <s v="D"/>
    <d v="2021-11-20T00:00:00"/>
    <x v="0"/>
  </r>
  <r>
    <x v="3835"/>
    <x v="0"/>
    <n v="30"/>
    <x v="2"/>
    <x v="4"/>
    <x v="2"/>
    <n v="6.5"/>
    <n v="4.5999999999999996"/>
    <x v="2"/>
    <n v="3"/>
    <x v="0"/>
    <n v="95000"/>
    <n v="4700"/>
    <n v="99700"/>
    <s v="D"/>
    <d v="2019-07-04T00:00:00"/>
    <x v="2"/>
  </r>
  <r>
    <x v="3836"/>
    <x v="0"/>
    <n v="38"/>
    <x v="4"/>
    <x v="8"/>
    <x v="0"/>
    <n v="10.4"/>
    <n v="5.5"/>
    <x v="4"/>
    <n v="3"/>
    <x v="0"/>
    <n v="76200"/>
    <n v="9900"/>
    <n v="86100"/>
    <s v="C"/>
    <d v="2015-08-11T00:00:00"/>
    <x v="0"/>
  </r>
  <r>
    <x v="3837"/>
    <x v="0"/>
    <n v="34"/>
    <x v="0"/>
    <x v="2"/>
    <x v="1"/>
    <n v="8.3000000000000007"/>
    <n v="4.8"/>
    <x v="2"/>
    <n v="4"/>
    <x v="0"/>
    <n v="75500"/>
    <n v="7300"/>
    <n v="82800"/>
    <s v="C"/>
    <d v="2017-09-28T00:00:00"/>
    <x v="1"/>
  </r>
  <r>
    <x v="3838"/>
    <x v="1"/>
    <n v="39"/>
    <x v="5"/>
    <x v="17"/>
    <x v="1"/>
    <n v="6.3"/>
    <n v="2.1"/>
    <x v="2"/>
    <n v="1"/>
    <x v="0"/>
    <n v="104400"/>
    <n v="14500"/>
    <n v="118900"/>
    <s v="E"/>
    <d v="2019-09-19T00:00:00"/>
    <x v="1"/>
  </r>
  <r>
    <x v="3839"/>
    <x v="1"/>
    <n v="26"/>
    <x v="4"/>
    <x v="6"/>
    <x v="1"/>
    <n v="1.4"/>
    <n v="1"/>
    <x v="0"/>
    <n v="4"/>
    <x v="2"/>
    <n v="64000"/>
    <n v="6700"/>
    <n v="70700"/>
    <s v="B"/>
    <d v="2024-08-21T00:00:00"/>
    <x v="1"/>
  </r>
  <r>
    <x v="3840"/>
    <x v="1"/>
    <n v="34"/>
    <x v="0"/>
    <x v="1"/>
    <x v="0"/>
    <n v="5.0999999999999996"/>
    <n v="3"/>
    <x v="1"/>
    <n v="3"/>
    <x v="0"/>
    <n v="70500"/>
    <n v="4900"/>
    <n v="75400"/>
    <s v="C"/>
    <d v="2020-11-17T00:00:00"/>
    <x v="0"/>
  </r>
  <r>
    <x v="3841"/>
    <x v="1"/>
    <n v="35"/>
    <x v="3"/>
    <x v="5"/>
    <x v="1"/>
    <n v="13.7"/>
    <n v="9.1"/>
    <x v="3"/>
    <n v="3"/>
    <x v="0"/>
    <n v="78700"/>
    <n v="3200"/>
    <n v="81900"/>
    <s v="C"/>
    <d v="2012-04-11T00:00:00"/>
    <x v="1"/>
  </r>
  <r>
    <x v="3842"/>
    <x v="1"/>
    <n v="35"/>
    <x v="1"/>
    <x v="10"/>
    <x v="1"/>
    <n v="9"/>
    <n v="7"/>
    <x v="4"/>
    <n v="3"/>
    <x v="0"/>
    <n v="98700"/>
    <n v="7900"/>
    <n v="106600"/>
    <s v="D"/>
    <d v="2017-01-15T00:00:00"/>
    <x v="1"/>
  </r>
  <r>
    <x v="3843"/>
    <x v="1"/>
    <n v="53"/>
    <x v="0"/>
    <x v="1"/>
    <x v="1"/>
    <n v="11.9"/>
    <n v="8.3000000000000007"/>
    <x v="4"/>
    <n v="3"/>
    <x v="0"/>
    <n v="73200"/>
    <n v="4400"/>
    <n v="77600"/>
    <s v="C"/>
    <d v="2014-02-19T00:00:00"/>
    <x v="1"/>
  </r>
  <r>
    <x v="3844"/>
    <x v="0"/>
    <n v="49"/>
    <x v="2"/>
    <x v="11"/>
    <x v="1"/>
    <n v="5.0999999999999996"/>
    <n v="0"/>
    <x v="1"/>
    <n v="4"/>
    <x v="0"/>
    <n v="102700"/>
    <n v="7300"/>
    <n v="110000"/>
    <s v="E"/>
    <d v="2020-11-29T00:00:00"/>
    <x v="1"/>
  </r>
  <r>
    <x v="3845"/>
    <x v="0"/>
    <n v="39"/>
    <x v="4"/>
    <x v="6"/>
    <x v="0"/>
    <n v="1.7"/>
    <n v="1.7"/>
    <x v="0"/>
    <n v="3"/>
    <x v="0"/>
    <n v="61500"/>
    <n v="8400"/>
    <n v="69900"/>
    <s v="B"/>
    <d v="2024-04-18T00:00:00"/>
    <x v="0"/>
  </r>
  <r>
    <x v="3846"/>
    <x v="1"/>
    <n v="46"/>
    <x v="1"/>
    <x v="7"/>
    <x v="1"/>
    <n v="1.8"/>
    <n v="1.8"/>
    <x v="0"/>
    <n v="3"/>
    <x v="1"/>
    <n v="50000"/>
    <n v="2100"/>
    <n v="52100"/>
    <s v="B"/>
    <d v="2024-02-27T00:00:00"/>
    <x v="1"/>
  </r>
  <r>
    <x v="3847"/>
    <x v="0"/>
    <n v="37"/>
    <x v="4"/>
    <x v="14"/>
    <x v="0"/>
    <n v="13.3"/>
    <n v="8.6"/>
    <x v="3"/>
    <n v="4"/>
    <x v="0"/>
    <n v="114000"/>
    <n v="17000"/>
    <n v="131000"/>
    <s v="E"/>
    <d v="2012-09-27T00:00:00"/>
    <x v="0"/>
  </r>
  <r>
    <x v="3848"/>
    <x v="1"/>
    <n v="37"/>
    <x v="0"/>
    <x v="0"/>
    <x v="2"/>
    <n v="13.3"/>
    <n v="8.9"/>
    <x v="3"/>
    <n v="3"/>
    <x v="0"/>
    <n v="126000"/>
    <n v="8100"/>
    <n v="134100"/>
    <s v="E"/>
    <d v="2012-09-17T00:00:00"/>
    <x v="2"/>
  </r>
  <r>
    <x v="3849"/>
    <x v="1"/>
    <n v="39"/>
    <x v="3"/>
    <x v="5"/>
    <x v="3"/>
    <n v="3.5"/>
    <n v="1.8"/>
    <x v="1"/>
    <n v="4"/>
    <x v="0"/>
    <n v="85200"/>
    <n v="4800"/>
    <n v="90000"/>
    <s v="D"/>
    <d v="2022-06-29T00:00:00"/>
    <x v="3"/>
  </r>
  <r>
    <x v="3850"/>
    <x v="0"/>
    <n v="32"/>
    <x v="1"/>
    <x v="10"/>
    <x v="1"/>
    <n v="4.0999999999999996"/>
    <n v="2"/>
    <x v="1"/>
    <n v="4"/>
    <x v="0"/>
    <n v="87000"/>
    <n v="4700"/>
    <n v="91700"/>
    <s v="D"/>
    <d v="2021-11-24T00:00:00"/>
    <x v="1"/>
  </r>
  <r>
    <x v="3851"/>
    <x v="0"/>
    <n v="35"/>
    <x v="1"/>
    <x v="10"/>
    <x v="2"/>
    <n v="4.0999999999999996"/>
    <n v="4.0999999999999996"/>
    <x v="1"/>
    <n v="3"/>
    <x v="0"/>
    <n v="106500"/>
    <n v="6600"/>
    <n v="113100"/>
    <s v="E"/>
    <d v="2021-11-22T00:00:00"/>
    <x v="2"/>
  </r>
  <r>
    <x v="3852"/>
    <x v="0"/>
    <n v="40"/>
    <x v="1"/>
    <x v="3"/>
    <x v="2"/>
    <n v="12.5"/>
    <n v="6.8"/>
    <x v="3"/>
    <n v="4"/>
    <x v="0"/>
    <n v="84600"/>
    <n v="10000"/>
    <n v="94600"/>
    <s v="D"/>
    <d v="2013-07-18T00:00:00"/>
    <x v="2"/>
  </r>
  <r>
    <x v="3853"/>
    <x v="1"/>
    <n v="29"/>
    <x v="1"/>
    <x v="7"/>
    <x v="1"/>
    <n v="3.3"/>
    <n v="0.8"/>
    <x v="1"/>
    <n v="3"/>
    <x v="0"/>
    <n v="78400"/>
    <n v="3900"/>
    <n v="82300"/>
    <s v="C"/>
    <d v="2022-08-28T00:00:00"/>
    <x v="1"/>
  </r>
  <r>
    <x v="3854"/>
    <x v="1"/>
    <n v="27"/>
    <x v="4"/>
    <x v="14"/>
    <x v="1"/>
    <n v="1.2"/>
    <n v="1.2"/>
    <x v="0"/>
    <n v="5"/>
    <x v="0"/>
    <n v="89000"/>
    <n v="11500"/>
    <n v="100500"/>
    <s v="D"/>
    <d v="2024-10-03T00:00:00"/>
    <x v="1"/>
  </r>
  <r>
    <x v="3855"/>
    <x v="0"/>
    <n v="42"/>
    <x v="2"/>
    <x v="18"/>
    <x v="1"/>
    <n v="6.2"/>
    <n v="6.2"/>
    <x v="2"/>
    <n v="1"/>
    <x v="0"/>
    <n v="70900"/>
    <n v="3200"/>
    <n v="74100"/>
    <s v="C"/>
    <d v="2019-10-18T00:00:00"/>
    <x v="1"/>
  </r>
  <r>
    <x v="3856"/>
    <x v="1"/>
    <n v="25"/>
    <x v="4"/>
    <x v="8"/>
    <x v="1"/>
    <n v="7.1"/>
    <n v="5.4"/>
    <x v="2"/>
    <n v="3"/>
    <x v="2"/>
    <n v="66000"/>
    <n v="9700"/>
    <n v="75700"/>
    <s v="C"/>
    <d v="2018-12-03T00:00:00"/>
    <x v="1"/>
  </r>
  <r>
    <x v="3857"/>
    <x v="0"/>
    <n v="30"/>
    <x v="4"/>
    <x v="6"/>
    <x v="2"/>
    <n v="6.9"/>
    <n v="3.9"/>
    <x v="2"/>
    <n v="1"/>
    <x v="0"/>
    <n v="78900"/>
    <n v="8400"/>
    <n v="87300"/>
    <s v="C"/>
    <d v="2019-01-31T00:00:00"/>
    <x v="2"/>
  </r>
  <r>
    <x v="3858"/>
    <x v="0"/>
    <n v="44"/>
    <x v="0"/>
    <x v="1"/>
    <x v="1"/>
    <n v="13"/>
    <n v="8.1999999999999993"/>
    <x v="3"/>
    <n v="3"/>
    <x v="0"/>
    <n v="93600"/>
    <n v="9100"/>
    <n v="102700"/>
    <s v="D"/>
    <d v="2012-12-26T00:00:00"/>
    <x v="1"/>
  </r>
  <r>
    <x v="3859"/>
    <x v="0"/>
    <n v="23"/>
    <x v="4"/>
    <x v="14"/>
    <x v="2"/>
    <n v="8.9"/>
    <n v="4.7"/>
    <x v="2"/>
    <n v="3"/>
    <x v="0"/>
    <n v="121800"/>
    <n v="10500"/>
    <n v="132300"/>
    <s v="E"/>
    <d v="2017-02-20T00:00:00"/>
    <x v="2"/>
  </r>
  <r>
    <x v="3860"/>
    <x v="0"/>
    <n v="43"/>
    <x v="5"/>
    <x v="15"/>
    <x v="2"/>
    <n v="5.2"/>
    <n v="3.4"/>
    <x v="1"/>
    <n v="3"/>
    <x v="0"/>
    <n v="68100"/>
    <n v="8900"/>
    <n v="77000"/>
    <s v="C"/>
    <d v="2020-10-24T00:00:00"/>
    <x v="2"/>
  </r>
  <r>
    <x v="3861"/>
    <x v="0"/>
    <n v="28"/>
    <x v="1"/>
    <x v="3"/>
    <x v="0"/>
    <n v="5.0999999999999996"/>
    <n v="2.4"/>
    <x v="1"/>
    <n v="3"/>
    <x v="0"/>
    <n v="61600"/>
    <n v="7000"/>
    <n v="68600"/>
    <s v="B"/>
    <d v="2020-11-07T00:00:00"/>
    <x v="0"/>
  </r>
  <r>
    <x v="3862"/>
    <x v="1"/>
    <n v="26"/>
    <x v="5"/>
    <x v="9"/>
    <x v="1"/>
    <n v="12.2"/>
    <n v="5.9"/>
    <x v="3"/>
    <n v="3"/>
    <x v="0"/>
    <n v="105100"/>
    <n v="9100"/>
    <n v="114200"/>
    <s v="E"/>
    <d v="2013-10-10T00:00:00"/>
    <x v="1"/>
  </r>
  <r>
    <x v="3863"/>
    <x v="0"/>
    <n v="30"/>
    <x v="2"/>
    <x v="18"/>
    <x v="2"/>
    <n v="7.2"/>
    <n v="2.6"/>
    <x v="2"/>
    <n v="4"/>
    <x v="1"/>
    <n v="52100"/>
    <n v="2800"/>
    <n v="54900"/>
    <s v="B"/>
    <d v="2018-10-26T00:00:00"/>
    <x v="2"/>
  </r>
  <r>
    <x v="3864"/>
    <x v="0"/>
    <n v="33"/>
    <x v="4"/>
    <x v="8"/>
    <x v="2"/>
    <n v="4.4000000000000004"/>
    <n v="4.2"/>
    <x v="1"/>
    <n v="3"/>
    <x v="0"/>
    <n v="74400"/>
    <n v="7200"/>
    <n v="81600"/>
    <s v="C"/>
    <d v="2021-07-21T00:00:00"/>
    <x v="2"/>
  </r>
  <r>
    <x v="3865"/>
    <x v="1"/>
    <n v="50"/>
    <x v="5"/>
    <x v="9"/>
    <x v="1"/>
    <n v="13.7"/>
    <n v="10.4"/>
    <x v="3"/>
    <n v="2"/>
    <x v="0"/>
    <n v="108700"/>
    <n v="22700"/>
    <n v="131400"/>
    <s v="E"/>
    <d v="2012-04-17T00:00:00"/>
    <x v="1"/>
  </r>
  <r>
    <x v="3866"/>
    <x v="1"/>
    <n v="25"/>
    <x v="4"/>
    <x v="6"/>
    <x v="2"/>
    <n v="6.2"/>
    <n v="4.3"/>
    <x v="2"/>
    <n v="3"/>
    <x v="0"/>
    <n v="81000"/>
    <n v="12000"/>
    <n v="93000"/>
    <s v="D"/>
    <d v="2019-10-22T00:00:00"/>
    <x v="2"/>
  </r>
  <r>
    <x v="3867"/>
    <x v="0"/>
    <n v="23"/>
    <x v="3"/>
    <x v="13"/>
    <x v="2"/>
    <n v="11.8"/>
    <n v="8.6999999999999993"/>
    <x v="4"/>
    <n v="3"/>
    <x v="0"/>
    <n v="122700"/>
    <n v="9100"/>
    <n v="131800"/>
    <s v="E"/>
    <d v="2014-03-11T00:00:00"/>
    <x v="2"/>
  </r>
  <r>
    <x v="3868"/>
    <x v="0"/>
    <n v="35"/>
    <x v="3"/>
    <x v="12"/>
    <x v="2"/>
    <n v="6.5"/>
    <n v="3.9"/>
    <x v="2"/>
    <n v="3"/>
    <x v="0"/>
    <n v="76300"/>
    <n v="4600"/>
    <n v="80900"/>
    <s v="C"/>
    <d v="2019-06-21T00:00:00"/>
    <x v="2"/>
  </r>
  <r>
    <x v="3869"/>
    <x v="0"/>
    <n v="36"/>
    <x v="1"/>
    <x v="7"/>
    <x v="1"/>
    <n v="6.9"/>
    <n v="3.9"/>
    <x v="2"/>
    <n v="3"/>
    <x v="0"/>
    <n v="71800"/>
    <n v="8400"/>
    <n v="80200"/>
    <s v="C"/>
    <d v="2019-02-15T00:00:00"/>
    <x v="1"/>
  </r>
  <r>
    <x v="3870"/>
    <x v="1"/>
    <n v="21"/>
    <x v="5"/>
    <x v="9"/>
    <x v="1"/>
    <n v="6.2"/>
    <n v="2.9"/>
    <x v="2"/>
    <n v="3"/>
    <x v="0"/>
    <n v="92200"/>
    <n v="10500"/>
    <n v="102700"/>
    <s v="D"/>
    <d v="2019-10-24T00:00:00"/>
    <x v="1"/>
  </r>
  <r>
    <x v="3871"/>
    <x v="0"/>
    <n v="33"/>
    <x v="2"/>
    <x v="11"/>
    <x v="1"/>
    <n v="6.4"/>
    <n v="5.8"/>
    <x v="2"/>
    <n v="3"/>
    <x v="0"/>
    <n v="101000"/>
    <n v="5000"/>
    <n v="106000"/>
    <s v="E"/>
    <d v="2019-08-12T00:00:00"/>
    <x v="1"/>
  </r>
  <r>
    <x v="3872"/>
    <x v="0"/>
    <n v="40"/>
    <x v="5"/>
    <x v="9"/>
    <x v="2"/>
    <n v="12.9"/>
    <n v="10"/>
    <x v="3"/>
    <n v="5"/>
    <x v="0"/>
    <n v="132400"/>
    <n v="16200"/>
    <n v="148600"/>
    <s v="E"/>
    <d v="2013-02-05T00:00:00"/>
    <x v="2"/>
  </r>
  <r>
    <x v="3873"/>
    <x v="1"/>
    <n v="41"/>
    <x v="3"/>
    <x v="12"/>
    <x v="0"/>
    <n v="8.3000000000000007"/>
    <n v="4"/>
    <x v="2"/>
    <n v="2"/>
    <x v="0"/>
    <n v="71000"/>
    <n v="3600"/>
    <n v="74600"/>
    <s v="C"/>
    <d v="2017-09-13T00:00:00"/>
    <x v="0"/>
  </r>
  <r>
    <x v="3874"/>
    <x v="1"/>
    <n v="34"/>
    <x v="3"/>
    <x v="13"/>
    <x v="2"/>
    <n v="5.3"/>
    <n v="3.2"/>
    <x v="1"/>
    <n v="4"/>
    <x v="0"/>
    <n v="106300"/>
    <n v="3400"/>
    <n v="109700"/>
    <s v="E"/>
    <d v="2020-09-06T00:00:00"/>
    <x v="2"/>
  </r>
  <r>
    <x v="3875"/>
    <x v="0"/>
    <n v="33"/>
    <x v="4"/>
    <x v="8"/>
    <x v="1"/>
    <n v="13.4"/>
    <n v="10"/>
    <x v="3"/>
    <n v="2"/>
    <x v="0"/>
    <n v="92000"/>
    <n v="10900"/>
    <n v="102900"/>
    <s v="D"/>
    <d v="2012-08-09T00:00:00"/>
    <x v="1"/>
  </r>
  <r>
    <x v="3876"/>
    <x v="1"/>
    <n v="29"/>
    <x v="4"/>
    <x v="14"/>
    <x v="0"/>
    <n v="13.6"/>
    <n v="7.7"/>
    <x v="3"/>
    <n v="2"/>
    <x v="1"/>
    <n v="66000"/>
    <n v="3700"/>
    <n v="69700"/>
    <s v="C"/>
    <d v="2012-05-22T00:00:00"/>
    <x v="0"/>
  </r>
  <r>
    <x v="3877"/>
    <x v="1"/>
    <n v="37"/>
    <x v="4"/>
    <x v="14"/>
    <x v="2"/>
    <n v="5.6"/>
    <n v="3.4"/>
    <x v="1"/>
    <n v="3"/>
    <x v="0"/>
    <n v="105600"/>
    <n v="12600"/>
    <n v="118200"/>
    <s v="E"/>
    <d v="2020-05-19T00:00:00"/>
    <x v="2"/>
  </r>
  <r>
    <x v="3878"/>
    <x v="1"/>
    <n v="24"/>
    <x v="1"/>
    <x v="7"/>
    <x v="0"/>
    <n v="3.2"/>
    <n v="2.4"/>
    <x v="1"/>
    <n v="3"/>
    <x v="0"/>
    <n v="73900"/>
    <n v="4800"/>
    <n v="78700"/>
    <s v="C"/>
    <d v="2022-10-02T00:00:00"/>
    <x v="0"/>
  </r>
  <r>
    <x v="3879"/>
    <x v="0"/>
    <n v="33"/>
    <x v="4"/>
    <x v="14"/>
    <x v="0"/>
    <n v="4.2"/>
    <n v="1.9"/>
    <x v="1"/>
    <n v="3"/>
    <x v="0"/>
    <n v="90500"/>
    <n v="11400"/>
    <n v="101900"/>
    <s v="D"/>
    <d v="2021-10-07T00:00:00"/>
    <x v="0"/>
  </r>
  <r>
    <x v="3880"/>
    <x v="1"/>
    <n v="41"/>
    <x v="1"/>
    <x v="10"/>
    <x v="1"/>
    <n v="5"/>
    <n v="3.5"/>
    <x v="1"/>
    <n v="4"/>
    <x v="2"/>
    <n v="84200"/>
    <n v="3600"/>
    <n v="87800"/>
    <s v="D"/>
    <d v="2020-12-18T00:00:00"/>
    <x v="1"/>
  </r>
  <r>
    <x v="3881"/>
    <x v="0"/>
    <n v="39"/>
    <x v="3"/>
    <x v="5"/>
    <x v="2"/>
    <n v="3.9"/>
    <n v="1.9"/>
    <x v="1"/>
    <n v="3"/>
    <x v="0"/>
    <n v="74500"/>
    <n v="2700"/>
    <n v="77200"/>
    <s v="C"/>
    <d v="2022-02-01T00:00:00"/>
    <x v="2"/>
  </r>
  <r>
    <x v="3882"/>
    <x v="0"/>
    <n v="30"/>
    <x v="2"/>
    <x v="4"/>
    <x v="2"/>
    <n v="8.3000000000000007"/>
    <n v="8.3000000000000007"/>
    <x v="2"/>
    <n v="3"/>
    <x v="0"/>
    <n v="85600"/>
    <n v="7900"/>
    <n v="93500"/>
    <s v="D"/>
    <d v="2017-09-26T00:00:00"/>
    <x v="2"/>
  </r>
  <r>
    <x v="3883"/>
    <x v="0"/>
    <n v="21"/>
    <x v="2"/>
    <x v="4"/>
    <x v="0"/>
    <n v="12.4"/>
    <n v="8.4"/>
    <x v="3"/>
    <n v="4"/>
    <x v="1"/>
    <n v="52500"/>
    <n v="5000"/>
    <n v="57500"/>
    <s v="B"/>
    <d v="2013-08-09T00:00:00"/>
    <x v="0"/>
  </r>
  <r>
    <x v="3884"/>
    <x v="1"/>
    <n v="41"/>
    <x v="2"/>
    <x v="18"/>
    <x v="1"/>
    <n v="2.8"/>
    <n v="0"/>
    <x v="0"/>
    <n v="1"/>
    <x v="0"/>
    <n v="63700"/>
    <n v="4000"/>
    <n v="67700"/>
    <s v="B"/>
    <d v="2023-03-31T00:00:00"/>
    <x v="1"/>
  </r>
  <r>
    <x v="3885"/>
    <x v="0"/>
    <n v="37"/>
    <x v="0"/>
    <x v="0"/>
    <x v="3"/>
    <n v="7.8"/>
    <n v="2.7"/>
    <x v="2"/>
    <n v="4"/>
    <x v="0"/>
    <n v="109200"/>
    <n v="8500"/>
    <n v="117700"/>
    <s v="E"/>
    <d v="2018-03-22T00:00:00"/>
    <x v="3"/>
  </r>
  <r>
    <x v="3886"/>
    <x v="0"/>
    <n v="36"/>
    <x v="2"/>
    <x v="11"/>
    <x v="1"/>
    <n v="8"/>
    <n v="4.2"/>
    <x v="2"/>
    <n v="3"/>
    <x v="0"/>
    <n v="98500"/>
    <n v="4000"/>
    <n v="102500"/>
    <s v="D"/>
    <d v="2017-12-21T00:00:00"/>
    <x v="1"/>
  </r>
  <r>
    <x v="3887"/>
    <x v="0"/>
    <n v="25"/>
    <x v="1"/>
    <x v="7"/>
    <x v="1"/>
    <n v="8.5"/>
    <n v="6"/>
    <x v="2"/>
    <n v="4"/>
    <x v="0"/>
    <n v="85700"/>
    <n v="6700"/>
    <n v="92400"/>
    <s v="D"/>
    <d v="2017-07-13T00:00:00"/>
    <x v="1"/>
  </r>
  <r>
    <x v="3888"/>
    <x v="0"/>
    <n v="29"/>
    <x v="3"/>
    <x v="5"/>
    <x v="2"/>
    <n v="3.7"/>
    <n v="2.7"/>
    <x v="1"/>
    <n v="4"/>
    <x v="0"/>
    <n v="83200"/>
    <n v="4100"/>
    <n v="87300"/>
    <s v="D"/>
    <d v="2022-04-23T00:00:00"/>
    <x v="2"/>
  </r>
  <r>
    <x v="3889"/>
    <x v="1"/>
    <n v="31"/>
    <x v="5"/>
    <x v="17"/>
    <x v="1"/>
    <n v="5.9"/>
    <n v="5"/>
    <x v="1"/>
    <n v="3"/>
    <x v="2"/>
    <n v="82700"/>
    <n v="8200"/>
    <n v="90900"/>
    <s v="D"/>
    <d v="2020-02-06T00:00:00"/>
    <x v="1"/>
  </r>
  <r>
    <x v="3890"/>
    <x v="1"/>
    <n v="26"/>
    <x v="3"/>
    <x v="12"/>
    <x v="1"/>
    <n v="14"/>
    <n v="10.1"/>
    <x v="3"/>
    <n v="3"/>
    <x v="1"/>
    <n v="51900"/>
    <n v="3200"/>
    <n v="55100"/>
    <s v="B"/>
    <d v="2012-01-13T00:00:00"/>
    <x v="1"/>
  </r>
  <r>
    <x v="3891"/>
    <x v="1"/>
    <n v="36"/>
    <x v="1"/>
    <x v="7"/>
    <x v="1"/>
    <n v="1.4"/>
    <n v="0"/>
    <x v="0"/>
    <n v="3"/>
    <x v="0"/>
    <n v="62500"/>
    <n v="6900"/>
    <n v="69400"/>
    <s v="B"/>
    <d v="2024-08-15T00:00:00"/>
    <x v="1"/>
  </r>
  <r>
    <x v="3892"/>
    <x v="1"/>
    <n v="21"/>
    <x v="5"/>
    <x v="15"/>
    <x v="2"/>
    <n v="12.4"/>
    <n v="7.2"/>
    <x v="3"/>
    <n v="2"/>
    <x v="0"/>
    <n v="75700"/>
    <n v="12300"/>
    <n v="88000"/>
    <s v="C"/>
    <d v="2013-08-07T00:00:00"/>
    <x v="2"/>
  </r>
  <r>
    <x v="3893"/>
    <x v="0"/>
    <n v="37"/>
    <x v="3"/>
    <x v="12"/>
    <x v="1"/>
    <n v="3.2"/>
    <n v="3.2"/>
    <x v="1"/>
    <n v="3"/>
    <x v="2"/>
    <n v="56700"/>
    <n v="3800"/>
    <n v="60500"/>
    <s v="B"/>
    <d v="2022-10-23T00:00:00"/>
    <x v="1"/>
  </r>
  <r>
    <x v="3894"/>
    <x v="1"/>
    <n v="41"/>
    <x v="1"/>
    <x v="3"/>
    <x v="1"/>
    <n v="10.1"/>
    <n v="4.0999999999999996"/>
    <x v="4"/>
    <n v="4"/>
    <x v="0"/>
    <n v="88200"/>
    <n v="8600"/>
    <n v="96800"/>
    <s v="D"/>
    <d v="2015-12-11T00:00:00"/>
    <x v="1"/>
  </r>
  <r>
    <x v="3895"/>
    <x v="0"/>
    <n v="43"/>
    <x v="3"/>
    <x v="12"/>
    <x v="1"/>
    <n v="4.7"/>
    <n v="0.6"/>
    <x v="1"/>
    <n v="3"/>
    <x v="0"/>
    <n v="62500"/>
    <n v="2500"/>
    <n v="65000"/>
    <s v="B"/>
    <d v="2021-05-03T00:00:00"/>
    <x v="1"/>
  </r>
  <r>
    <x v="3896"/>
    <x v="1"/>
    <n v="28"/>
    <x v="2"/>
    <x v="4"/>
    <x v="1"/>
    <n v="11.6"/>
    <n v="7.1"/>
    <x v="4"/>
    <n v="4"/>
    <x v="0"/>
    <n v="77100"/>
    <n v="6900"/>
    <n v="84000"/>
    <s v="C"/>
    <d v="2014-06-05T00:00:00"/>
    <x v="1"/>
  </r>
  <r>
    <x v="3897"/>
    <x v="1"/>
    <n v="28"/>
    <x v="1"/>
    <x v="10"/>
    <x v="2"/>
    <n v="5.5"/>
    <n v="4.4000000000000004"/>
    <x v="1"/>
    <n v="1"/>
    <x v="0"/>
    <n v="112300"/>
    <n v="10400"/>
    <n v="122700"/>
    <s v="E"/>
    <d v="2020-06-29T00:00:00"/>
    <x v="2"/>
  </r>
  <r>
    <x v="3898"/>
    <x v="0"/>
    <n v="38"/>
    <x v="0"/>
    <x v="0"/>
    <x v="1"/>
    <n v="10.199999999999999"/>
    <n v="5.8"/>
    <x v="4"/>
    <n v="3"/>
    <x v="0"/>
    <n v="98900"/>
    <n v="11600"/>
    <n v="110500"/>
    <s v="D"/>
    <d v="2015-10-15T00:00:00"/>
    <x v="1"/>
  </r>
  <r>
    <x v="3899"/>
    <x v="1"/>
    <n v="31"/>
    <x v="4"/>
    <x v="14"/>
    <x v="1"/>
    <n v="1.1000000000000001"/>
    <n v="1.1000000000000001"/>
    <x v="0"/>
    <n v="4"/>
    <x v="0"/>
    <n v="98300"/>
    <n v="11600"/>
    <n v="109900"/>
    <s v="D"/>
    <d v="2024-11-08T00:00:00"/>
    <x v="1"/>
  </r>
  <r>
    <x v="3900"/>
    <x v="0"/>
    <n v="35"/>
    <x v="1"/>
    <x v="10"/>
    <x v="2"/>
    <n v="4.8"/>
    <n v="4.4000000000000004"/>
    <x v="1"/>
    <n v="5"/>
    <x v="0"/>
    <n v="119400"/>
    <n v="6100"/>
    <n v="125500"/>
    <s v="E"/>
    <d v="2021-03-29T00:00:00"/>
    <x v="2"/>
  </r>
  <r>
    <x v="3901"/>
    <x v="0"/>
    <n v="37"/>
    <x v="1"/>
    <x v="10"/>
    <x v="2"/>
    <n v="6.2"/>
    <n v="6.1"/>
    <x v="2"/>
    <n v="3"/>
    <x v="2"/>
    <n v="73200"/>
    <n v="5200"/>
    <n v="78400"/>
    <s v="C"/>
    <d v="2019-10-15T00:00:00"/>
    <x v="2"/>
  </r>
  <r>
    <x v="3902"/>
    <x v="0"/>
    <n v="42"/>
    <x v="1"/>
    <x v="10"/>
    <x v="2"/>
    <n v="13.3"/>
    <n v="9"/>
    <x v="3"/>
    <n v="1"/>
    <x v="0"/>
    <n v="122400"/>
    <n v="12800"/>
    <n v="135200"/>
    <s v="E"/>
    <d v="2012-09-04T00:00:00"/>
    <x v="2"/>
  </r>
  <r>
    <x v="3903"/>
    <x v="0"/>
    <n v="35"/>
    <x v="5"/>
    <x v="15"/>
    <x v="2"/>
    <n v="5"/>
    <n v="3.9"/>
    <x v="1"/>
    <n v="5"/>
    <x v="0"/>
    <n v="61200"/>
    <n v="11500"/>
    <n v="72700"/>
    <s v="B"/>
    <d v="2021-01-16T00:00:00"/>
    <x v="2"/>
  </r>
  <r>
    <x v="3904"/>
    <x v="1"/>
    <n v="35"/>
    <x v="1"/>
    <x v="10"/>
    <x v="0"/>
    <n v="5"/>
    <n v="1.9"/>
    <x v="1"/>
    <n v="3"/>
    <x v="0"/>
    <n v="107300"/>
    <n v="5300"/>
    <n v="112600"/>
    <s v="E"/>
    <d v="2021-01-03T00:00:00"/>
    <x v="0"/>
  </r>
  <r>
    <x v="3905"/>
    <x v="1"/>
    <n v="30"/>
    <x v="1"/>
    <x v="7"/>
    <x v="1"/>
    <n v="5.5"/>
    <n v="2.7"/>
    <x v="1"/>
    <n v="3"/>
    <x v="2"/>
    <n v="68800"/>
    <n v="4700"/>
    <n v="73500"/>
    <s v="C"/>
    <d v="2020-07-03T00:00:00"/>
    <x v="1"/>
  </r>
  <r>
    <x v="3906"/>
    <x v="1"/>
    <n v="31"/>
    <x v="4"/>
    <x v="6"/>
    <x v="1"/>
    <n v="4.8"/>
    <n v="1.1000000000000001"/>
    <x v="1"/>
    <n v="4"/>
    <x v="0"/>
    <n v="68100"/>
    <n v="4700"/>
    <n v="72800"/>
    <s v="C"/>
    <d v="2021-03-10T00:00:00"/>
    <x v="1"/>
  </r>
  <r>
    <x v="3907"/>
    <x v="0"/>
    <n v="28"/>
    <x v="3"/>
    <x v="5"/>
    <x v="2"/>
    <n v="11.3"/>
    <n v="5.8"/>
    <x v="4"/>
    <n v="3"/>
    <x v="0"/>
    <n v="93300"/>
    <n v="4900"/>
    <n v="98200"/>
    <s v="D"/>
    <d v="2014-08-31T00:00:00"/>
    <x v="2"/>
  </r>
  <r>
    <x v="3908"/>
    <x v="0"/>
    <n v="45"/>
    <x v="4"/>
    <x v="8"/>
    <x v="2"/>
    <n v="9.3000000000000007"/>
    <n v="6.9"/>
    <x v="4"/>
    <n v="3"/>
    <x v="2"/>
    <n v="63800"/>
    <n v="7300"/>
    <n v="71100"/>
    <s v="B"/>
    <d v="2016-09-11T00:00:00"/>
    <x v="2"/>
  </r>
  <r>
    <x v="3909"/>
    <x v="1"/>
    <n v="26"/>
    <x v="3"/>
    <x v="13"/>
    <x v="1"/>
    <n v="1.3"/>
    <n v="0"/>
    <x v="0"/>
    <n v="4"/>
    <x v="0"/>
    <n v="85500"/>
    <n v="4400"/>
    <n v="89900"/>
    <s v="D"/>
    <d v="2024-09-26T00:00:00"/>
    <x v="1"/>
  </r>
  <r>
    <x v="3910"/>
    <x v="1"/>
    <n v="27"/>
    <x v="3"/>
    <x v="13"/>
    <x v="0"/>
    <n v="1.7"/>
    <n v="0"/>
    <x v="0"/>
    <n v="4"/>
    <x v="0"/>
    <n v="97600"/>
    <n v="5500"/>
    <n v="103100"/>
    <s v="D"/>
    <d v="2024-04-10T00:00:00"/>
    <x v="0"/>
  </r>
  <r>
    <x v="3911"/>
    <x v="0"/>
    <n v="26"/>
    <x v="2"/>
    <x v="4"/>
    <x v="2"/>
    <n v="6.4"/>
    <n v="5"/>
    <x v="2"/>
    <n v="3"/>
    <x v="0"/>
    <n v="82200"/>
    <n v="3700"/>
    <n v="85900"/>
    <s v="D"/>
    <d v="2019-08-19T00:00:00"/>
    <x v="2"/>
  </r>
  <r>
    <x v="3912"/>
    <x v="1"/>
    <n v="36"/>
    <x v="2"/>
    <x v="4"/>
    <x v="1"/>
    <n v="6"/>
    <n v="3.2"/>
    <x v="2"/>
    <n v="3"/>
    <x v="0"/>
    <n v="78600"/>
    <n v="7000"/>
    <n v="85600"/>
    <s v="C"/>
    <d v="2019-12-26T00:00:00"/>
    <x v="1"/>
  </r>
  <r>
    <x v="3913"/>
    <x v="1"/>
    <n v="34"/>
    <x v="3"/>
    <x v="5"/>
    <x v="2"/>
    <n v="2.2000000000000002"/>
    <n v="2.2000000000000002"/>
    <x v="0"/>
    <n v="3"/>
    <x v="0"/>
    <n v="72600"/>
    <n v="6400"/>
    <n v="79000"/>
    <s v="C"/>
    <d v="2023-10-12T00:00:00"/>
    <x v="2"/>
  </r>
  <r>
    <x v="3914"/>
    <x v="0"/>
    <n v="33"/>
    <x v="0"/>
    <x v="2"/>
    <x v="1"/>
    <n v="8.1999999999999993"/>
    <n v="5.8"/>
    <x v="2"/>
    <n v="3"/>
    <x v="1"/>
    <n v="44400"/>
    <n v="3400"/>
    <n v="47800"/>
    <s v="A"/>
    <d v="2017-10-17T00:00:00"/>
    <x v="1"/>
  </r>
  <r>
    <x v="3915"/>
    <x v="0"/>
    <n v="36"/>
    <x v="2"/>
    <x v="11"/>
    <x v="2"/>
    <n v="3.7"/>
    <n v="2.2999999999999998"/>
    <x v="1"/>
    <n v="3"/>
    <x v="0"/>
    <n v="103900"/>
    <n v="7600"/>
    <n v="111500"/>
    <s v="E"/>
    <d v="2022-04-03T00:00:00"/>
    <x v="2"/>
  </r>
  <r>
    <x v="3916"/>
    <x v="0"/>
    <n v="23"/>
    <x v="1"/>
    <x v="10"/>
    <x v="1"/>
    <n v="13.4"/>
    <n v="9"/>
    <x v="3"/>
    <n v="2"/>
    <x v="2"/>
    <n v="98500"/>
    <n v="6900"/>
    <n v="105400"/>
    <s v="D"/>
    <d v="2012-07-25T00:00:00"/>
    <x v="1"/>
  </r>
  <r>
    <x v="3917"/>
    <x v="1"/>
    <n v="51"/>
    <x v="4"/>
    <x v="14"/>
    <x v="2"/>
    <n v="6.5"/>
    <n v="6.5"/>
    <x v="2"/>
    <n v="3"/>
    <x v="0"/>
    <n v="125700"/>
    <n v="7800"/>
    <n v="133500"/>
    <s v="E"/>
    <d v="2019-06-29T00:00:00"/>
    <x v="2"/>
  </r>
  <r>
    <x v="3918"/>
    <x v="0"/>
    <n v="31"/>
    <x v="5"/>
    <x v="17"/>
    <x v="2"/>
    <n v="4.4000000000000004"/>
    <n v="3"/>
    <x v="1"/>
    <n v="3"/>
    <x v="0"/>
    <n v="99100"/>
    <n v="9100"/>
    <n v="108200"/>
    <s v="D"/>
    <d v="2021-08-26T00:00:00"/>
    <x v="2"/>
  </r>
  <r>
    <x v="3919"/>
    <x v="0"/>
    <n v="36"/>
    <x v="1"/>
    <x v="10"/>
    <x v="1"/>
    <n v="8"/>
    <n v="6.1"/>
    <x v="2"/>
    <n v="3"/>
    <x v="0"/>
    <n v="104600"/>
    <n v="4200"/>
    <n v="108800"/>
    <s v="E"/>
    <d v="2017-12-20T00:00:00"/>
    <x v="1"/>
  </r>
  <r>
    <x v="3920"/>
    <x v="1"/>
    <n v="45"/>
    <x v="2"/>
    <x v="11"/>
    <x v="2"/>
    <n v="4.5"/>
    <n v="3.4"/>
    <x v="1"/>
    <n v="2"/>
    <x v="0"/>
    <n v="106600"/>
    <n v="7400"/>
    <n v="114000"/>
    <s v="E"/>
    <d v="2021-06-30T00:00:00"/>
    <x v="2"/>
  </r>
  <r>
    <x v="3921"/>
    <x v="1"/>
    <n v="36"/>
    <x v="2"/>
    <x v="4"/>
    <x v="2"/>
    <n v="2.9"/>
    <n v="2.9"/>
    <x v="0"/>
    <n v="3"/>
    <x v="0"/>
    <n v="74100"/>
    <n v="5200"/>
    <n v="79300"/>
    <s v="C"/>
    <d v="2023-02-17T00:00:00"/>
    <x v="2"/>
  </r>
  <r>
    <x v="3922"/>
    <x v="0"/>
    <n v="42"/>
    <x v="5"/>
    <x v="15"/>
    <x v="1"/>
    <n v="5.3"/>
    <n v="2.4"/>
    <x v="1"/>
    <n v="3"/>
    <x v="0"/>
    <n v="63100"/>
    <n v="10600"/>
    <n v="73700"/>
    <s v="B"/>
    <d v="2020-09-28T00:00:00"/>
    <x v="1"/>
  </r>
  <r>
    <x v="3923"/>
    <x v="1"/>
    <n v="45"/>
    <x v="2"/>
    <x v="18"/>
    <x v="2"/>
    <n v="5.5"/>
    <n v="5.5"/>
    <x v="1"/>
    <n v="3"/>
    <x v="0"/>
    <n v="69900"/>
    <n v="6800"/>
    <n v="76700"/>
    <s v="C"/>
    <d v="2020-07-03T00:00:00"/>
    <x v="2"/>
  </r>
  <r>
    <x v="3924"/>
    <x v="1"/>
    <n v="44"/>
    <x v="4"/>
    <x v="6"/>
    <x v="3"/>
    <n v="9.1"/>
    <n v="5.8"/>
    <x v="4"/>
    <n v="3"/>
    <x v="1"/>
    <n v="54000"/>
    <n v="6000"/>
    <n v="60000"/>
    <s v="B"/>
    <d v="2016-11-10T00:00:00"/>
    <x v="3"/>
  </r>
  <r>
    <x v="3925"/>
    <x v="0"/>
    <n v="30"/>
    <x v="0"/>
    <x v="1"/>
    <x v="2"/>
    <n v="11.2"/>
    <n v="6.2"/>
    <x v="4"/>
    <n v="5"/>
    <x v="0"/>
    <n v="85700"/>
    <n v="6700"/>
    <n v="92400"/>
    <s v="D"/>
    <d v="2014-10-11T00:00:00"/>
    <x v="2"/>
  </r>
  <r>
    <x v="3926"/>
    <x v="0"/>
    <n v="44"/>
    <x v="2"/>
    <x v="18"/>
    <x v="1"/>
    <n v="3"/>
    <n v="3"/>
    <x v="1"/>
    <n v="5"/>
    <x v="0"/>
    <n v="73200"/>
    <n v="6100"/>
    <n v="79300"/>
    <s v="C"/>
    <d v="2022-12-16T00:00:00"/>
    <x v="1"/>
  </r>
  <r>
    <x v="3927"/>
    <x v="1"/>
    <n v="36"/>
    <x v="1"/>
    <x v="7"/>
    <x v="1"/>
    <n v="9.9"/>
    <n v="5.4"/>
    <x v="4"/>
    <n v="4"/>
    <x v="0"/>
    <n v="70900"/>
    <n v="7600"/>
    <n v="78500"/>
    <s v="C"/>
    <d v="2016-02-25T00:00:00"/>
    <x v="1"/>
  </r>
  <r>
    <x v="3928"/>
    <x v="1"/>
    <n v="25"/>
    <x v="2"/>
    <x v="18"/>
    <x v="0"/>
    <n v="3.8"/>
    <n v="2.8"/>
    <x v="1"/>
    <n v="4"/>
    <x v="0"/>
    <n v="67900"/>
    <n v="4100"/>
    <n v="72000"/>
    <s v="C"/>
    <d v="2022-03-08T00:00:00"/>
    <x v="0"/>
  </r>
  <r>
    <x v="3929"/>
    <x v="0"/>
    <n v="42"/>
    <x v="1"/>
    <x v="3"/>
    <x v="3"/>
    <n v="12.1"/>
    <n v="7.9"/>
    <x v="3"/>
    <n v="3"/>
    <x v="0"/>
    <n v="105500"/>
    <n v="9600"/>
    <n v="115100"/>
    <s v="E"/>
    <d v="2013-11-09T00:00:00"/>
    <x v="3"/>
  </r>
  <r>
    <x v="3930"/>
    <x v="1"/>
    <n v="40"/>
    <x v="3"/>
    <x v="13"/>
    <x v="2"/>
    <n v="8.6999999999999993"/>
    <n v="7.2"/>
    <x v="2"/>
    <n v="2"/>
    <x v="0"/>
    <n v="93800"/>
    <n v="5600"/>
    <n v="99400"/>
    <s v="D"/>
    <d v="2017-04-21T00:00:00"/>
    <x v="2"/>
  </r>
  <r>
    <x v="3931"/>
    <x v="1"/>
    <n v="37"/>
    <x v="0"/>
    <x v="0"/>
    <x v="1"/>
    <n v="9.5"/>
    <n v="4.5"/>
    <x v="4"/>
    <n v="5"/>
    <x v="0"/>
    <n v="99100"/>
    <n v="9500"/>
    <n v="108600"/>
    <s v="D"/>
    <d v="2016-06-25T00:00:00"/>
    <x v="1"/>
  </r>
  <r>
    <x v="3932"/>
    <x v="1"/>
    <n v="32"/>
    <x v="5"/>
    <x v="9"/>
    <x v="0"/>
    <n v="13.4"/>
    <n v="8.9"/>
    <x v="3"/>
    <n v="3"/>
    <x v="0"/>
    <n v="96200"/>
    <n v="11100"/>
    <n v="107300"/>
    <s v="D"/>
    <d v="2012-08-08T00:00:00"/>
    <x v="0"/>
  </r>
  <r>
    <x v="3933"/>
    <x v="1"/>
    <n v="23"/>
    <x v="5"/>
    <x v="9"/>
    <x v="1"/>
    <n v="6"/>
    <n v="6"/>
    <x v="2"/>
    <n v="3"/>
    <x v="0"/>
    <n v="115000"/>
    <n v="21600"/>
    <n v="136600"/>
    <s v="E"/>
    <d v="2019-12-24T00:00:00"/>
    <x v="1"/>
  </r>
  <r>
    <x v="3934"/>
    <x v="1"/>
    <n v="40"/>
    <x v="2"/>
    <x v="18"/>
    <x v="3"/>
    <n v="6.7"/>
    <n v="4.2"/>
    <x v="2"/>
    <n v="4"/>
    <x v="0"/>
    <n v="74500"/>
    <n v="7600"/>
    <n v="82100"/>
    <s v="C"/>
    <d v="2019-04-30T00:00:00"/>
    <x v="3"/>
  </r>
  <r>
    <x v="3935"/>
    <x v="0"/>
    <n v="42"/>
    <x v="0"/>
    <x v="1"/>
    <x v="1"/>
    <n v="1.2"/>
    <n v="0"/>
    <x v="0"/>
    <n v="3"/>
    <x v="1"/>
    <n v="45000"/>
    <n v="3500"/>
    <n v="48500"/>
    <s v="A"/>
    <d v="2024-10-13T00:00:00"/>
    <x v="1"/>
  </r>
  <r>
    <x v="3936"/>
    <x v="1"/>
    <n v="26"/>
    <x v="2"/>
    <x v="11"/>
    <x v="1"/>
    <n v="9.4"/>
    <n v="5.7"/>
    <x v="4"/>
    <n v="4"/>
    <x v="0"/>
    <n v="106000"/>
    <n v="4200"/>
    <n v="110200"/>
    <s v="E"/>
    <d v="2016-08-09T00:00:00"/>
    <x v="1"/>
  </r>
  <r>
    <x v="3937"/>
    <x v="1"/>
    <n v="43"/>
    <x v="0"/>
    <x v="2"/>
    <x v="2"/>
    <n v="8.9"/>
    <n v="5.3"/>
    <x v="2"/>
    <n v="2"/>
    <x v="0"/>
    <n v="83300"/>
    <n v="6400"/>
    <n v="89700"/>
    <s v="D"/>
    <d v="2017-01-27T00:00:00"/>
    <x v="2"/>
  </r>
  <r>
    <x v="3938"/>
    <x v="0"/>
    <n v="39"/>
    <x v="5"/>
    <x v="17"/>
    <x v="2"/>
    <n v="11.3"/>
    <n v="7.7"/>
    <x v="4"/>
    <n v="4"/>
    <x v="0"/>
    <n v="109700"/>
    <n v="9800"/>
    <n v="119500"/>
    <s v="E"/>
    <d v="2014-09-30T00:00:00"/>
    <x v="2"/>
  </r>
  <r>
    <x v="3939"/>
    <x v="1"/>
    <n v="41"/>
    <x v="5"/>
    <x v="9"/>
    <x v="3"/>
    <n v="8.6999999999999993"/>
    <n v="5.8"/>
    <x v="2"/>
    <n v="2"/>
    <x v="2"/>
    <n v="90300"/>
    <n v="16700"/>
    <n v="107000"/>
    <s v="D"/>
    <d v="2017-05-06T00:00:00"/>
    <x v="3"/>
  </r>
  <r>
    <x v="3940"/>
    <x v="0"/>
    <n v="47"/>
    <x v="5"/>
    <x v="17"/>
    <x v="1"/>
    <n v="4.9000000000000004"/>
    <n v="3.7"/>
    <x v="1"/>
    <n v="4"/>
    <x v="0"/>
    <n v="102600"/>
    <n v="19200"/>
    <n v="121800"/>
    <s v="E"/>
    <d v="2021-02-07T00:00:00"/>
    <x v="1"/>
  </r>
  <r>
    <x v="3941"/>
    <x v="0"/>
    <n v="29"/>
    <x v="4"/>
    <x v="14"/>
    <x v="1"/>
    <n v="6.8"/>
    <n v="5.3"/>
    <x v="2"/>
    <n v="2"/>
    <x v="2"/>
    <n v="87300"/>
    <n v="9000"/>
    <n v="96300"/>
    <s v="D"/>
    <d v="2019-03-01T00:00:00"/>
    <x v="1"/>
  </r>
  <r>
    <x v="3942"/>
    <x v="1"/>
    <n v="37"/>
    <x v="4"/>
    <x v="6"/>
    <x v="1"/>
    <n v="5.9"/>
    <n v="3.3"/>
    <x v="1"/>
    <n v="4"/>
    <x v="0"/>
    <n v="80900"/>
    <n v="9800"/>
    <n v="90700"/>
    <s v="D"/>
    <d v="2020-02-08T00:00:00"/>
    <x v="1"/>
  </r>
  <r>
    <x v="3943"/>
    <x v="0"/>
    <n v="21"/>
    <x v="0"/>
    <x v="2"/>
    <x v="3"/>
    <n v="5.9"/>
    <n v="1"/>
    <x v="1"/>
    <n v="3"/>
    <x v="0"/>
    <n v="75900"/>
    <n v="5500"/>
    <n v="81400"/>
    <s v="C"/>
    <d v="2020-02-13T00:00:00"/>
    <x v="3"/>
  </r>
  <r>
    <x v="3944"/>
    <x v="0"/>
    <n v="46"/>
    <x v="0"/>
    <x v="2"/>
    <x v="1"/>
    <n v="11.6"/>
    <n v="6.9"/>
    <x v="4"/>
    <n v="4"/>
    <x v="0"/>
    <n v="73900"/>
    <n v="3500"/>
    <n v="77400"/>
    <s v="C"/>
    <d v="2014-05-28T00:00:00"/>
    <x v="1"/>
  </r>
  <r>
    <x v="3945"/>
    <x v="0"/>
    <n v="43"/>
    <x v="2"/>
    <x v="4"/>
    <x v="2"/>
    <n v="9.4"/>
    <n v="5.0999999999999996"/>
    <x v="4"/>
    <n v="2"/>
    <x v="0"/>
    <n v="85700"/>
    <n v="3700"/>
    <n v="89400"/>
    <s v="D"/>
    <d v="2016-08-06T00:00:00"/>
    <x v="2"/>
  </r>
  <r>
    <x v="3946"/>
    <x v="1"/>
    <n v="21"/>
    <x v="5"/>
    <x v="17"/>
    <x v="2"/>
    <n v="4.9000000000000004"/>
    <n v="2.7"/>
    <x v="1"/>
    <n v="3"/>
    <x v="0"/>
    <n v="116700"/>
    <n v="16500"/>
    <n v="133200"/>
    <s v="E"/>
    <d v="2021-02-02T00:00:00"/>
    <x v="2"/>
  </r>
  <r>
    <x v="3947"/>
    <x v="0"/>
    <n v="37"/>
    <x v="0"/>
    <x v="1"/>
    <x v="1"/>
    <n v="2.5"/>
    <n v="0.5"/>
    <x v="0"/>
    <n v="3"/>
    <x v="0"/>
    <n v="72200"/>
    <n v="6500"/>
    <n v="78700"/>
    <s v="C"/>
    <d v="2023-06-19T00:00:00"/>
    <x v="1"/>
  </r>
  <r>
    <x v="3948"/>
    <x v="0"/>
    <n v="31"/>
    <x v="5"/>
    <x v="15"/>
    <x v="1"/>
    <n v="8.1"/>
    <n v="7.6"/>
    <x v="2"/>
    <n v="3"/>
    <x v="0"/>
    <n v="69300"/>
    <n v="8100"/>
    <n v="77400"/>
    <s v="C"/>
    <d v="2017-11-11T00:00:00"/>
    <x v="1"/>
  </r>
  <r>
    <x v="3949"/>
    <x v="0"/>
    <n v="39"/>
    <x v="5"/>
    <x v="15"/>
    <x v="2"/>
    <n v="4.5999999999999996"/>
    <n v="2.9"/>
    <x v="1"/>
    <n v="4"/>
    <x v="0"/>
    <n v="62400"/>
    <n v="12200"/>
    <n v="74600"/>
    <s v="B"/>
    <d v="2021-06-03T00:00:00"/>
    <x v="2"/>
  </r>
  <r>
    <x v="3950"/>
    <x v="0"/>
    <n v="34"/>
    <x v="4"/>
    <x v="16"/>
    <x v="0"/>
    <n v="8.6999999999999993"/>
    <n v="6.4"/>
    <x v="2"/>
    <n v="2"/>
    <x v="0"/>
    <n v="85200"/>
    <n v="7200"/>
    <n v="92400"/>
    <s v="D"/>
    <d v="2017-04-21T00:00:00"/>
    <x v="0"/>
  </r>
  <r>
    <x v="3951"/>
    <x v="0"/>
    <n v="34"/>
    <x v="3"/>
    <x v="12"/>
    <x v="1"/>
    <n v="2.7"/>
    <n v="2.7"/>
    <x v="0"/>
    <n v="4"/>
    <x v="0"/>
    <n v="68600"/>
    <n v="4100"/>
    <n v="72700"/>
    <s v="C"/>
    <d v="2023-05-05T00:00:00"/>
    <x v="1"/>
  </r>
  <r>
    <x v="3952"/>
    <x v="1"/>
    <n v="38"/>
    <x v="1"/>
    <x v="7"/>
    <x v="1"/>
    <n v="10.9"/>
    <n v="9.1"/>
    <x v="4"/>
    <n v="2"/>
    <x v="0"/>
    <n v="95200"/>
    <n v="8900"/>
    <n v="104100"/>
    <s v="D"/>
    <d v="2015-01-24T00:00:00"/>
    <x v="1"/>
  </r>
  <r>
    <x v="3953"/>
    <x v="0"/>
    <n v="32"/>
    <x v="0"/>
    <x v="1"/>
    <x v="2"/>
    <n v="13.9"/>
    <n v="8.4"/>
    <x v="3"/>
    <n v="3"/>
    <x v="0"/>
    <n v="79600"/>
    <n v="9700"/>
    <n v="89300"/>
    <s v="C"/>
    <d v="2012-01-25T00:00:00"/>
    <x v="2"/>
  </r>
  <r>
    <x v="3954"/>
    <x v="0"/>
    <n v="33"/>
    <x v="5"/>
    <x v="9"/>
    <x v="0"/>
    <n v="9.9"/>
    <n v="4.9000000000000004"/>
    <x v="4"/>
    <n v="4"/>
    <x v="1"/>
    <n v="69800"/>
    <n v="11200"/>
    <n v="81000"/>
    <s v="C"/>
    <d v="2016-02-09T00:00:00"/>
    <x v="0"/>
  </r>
  <r>
    <x v="3955"/>
    <x v="1"/>
    <n v="30"/>
    <x v="4"/>
    <x v="16"/>
    <x v="2"/>
    <n v="9.4"/>
    <n v="6.9"/>
    <x v="4"/>
    <n v="4"/>
    <x v="0"/>
    <n v="107000"/>
    <n v="9600"/>
    <n v="116600"/>
    <s v="E"/>
    <d v="2016-08-08T00:00:00"/>
    <x v="2"/>
  </r>
  <r>
    <x v="3956"/>
    <x v="1"/>
    <n v="44"/>
    <x v="0"/>
    <x v="2"/>
    <x v="2"/>
    <n v="3.5"/>
    <n v="0.7"/>
    <x v="1"/>
    <n v="3"/>
    <x v="0"/>
    <n v="59100"/>
    <n v="2700"/>
    <n v="61800"/>
    <s v="B"/>
    <d v="2022-06-28T00:00:00"/>
    <x v="2"/>
  </r>
  <r>
    <x v="3957"/>
    <x v="1"/>
    <n v="38"/>
    <x v="2"/>
    <x v="4"/>
    <x v="2"/>
    <n v="4.0999999999999996"/>
    <n v="3.1"/>
    <x v="1"/>
    <n v="4"/>
    <x v="0"/>
    <n v="66100"/>
    <n v="3200"/>
    <n v="69300"/>
    <s v="C"/>
    <d v="2021-12-04T00:00:00"/>
    <x v="2"/>
  </r>
  <r>
    <x v="3958"/>
    <x v="0"/>
    <n v="28"/>
    <x v="0"/>
    <x v="2"/>
    <x v="1"/>
    <n v="10"/>
    <n v="6.9"/>
    <x v="4"/>
    <n v="4"/>
    <x v="0"/>
    <n v="71100"/>
    <n v="8600"/>
    <n v="79700"/>
    <s v="C"/>
    <d v="2015-12-24T00:00:00"/>
    <x v="1"/>
  </r>
  <r>
    <x v="3959"/>
    <x v="1"/>
    <n v="26"/>
    <x v="1"/>
    <x v="7"/>
    <x v="1"/>
    <n v="6.2"/>
    <n v="3.9"/>
    <x v="2"/>
    <n v="4"/>
    <x v="0"/>
    <n v="74700"/>
    <n v="8000"/>
    <n v="82700"/>
    <s v="C"/>
    <d v="2019-10-04T00:00:00"/>
    <x v="1"/>
  </r>
  <r>
    <x v="3960"/>
    <x v="1"/>
    <n v="28"/>
    <x v="0"/>
    <x v="1"/>
    <x v="1"/>
    <n v="3.9"/>
    <n v="2.8"/>
    <x v="1"/>
    <n v="2"/>
    <x v="0"/>
    <n v="55900"/>
    <n v="2900"/>
    <n v="58800"/>
    <s v="B"/>
    <d v="2022-02-04T00:00:00"/>
    <x v="1"/>
  </r>
  <r>
    <x v="3961"/>
    <x v="0"/>
    <n v="30"/>
    <x v="2"/>
    <x v="18"/>
    <x v="1"/>
    <n v="9.6"/>
    <n v="5.3"/>
    <x v="4"/>
    <n v="3"/>
    <x v="0"/>
    <n v="70800"/>
    <n v="6600"/>
    <n v="77400"/>
    <s v="C"/>
    <d v="2016-06-12T00:00:00"/>
    <x v="1"/>
  </r>
  <r>
    <x v="3962"/>
    <x v="1"/>
    <n v="21"/>
    <x v="4"/>
    <x v="16"/>
    <x v="2"/>
    <n v="1.2"/>
    <n v="0"/>
    <x v="0"/>
    <n v="4"/>
    <x v="0"/>
    <n v="89100"/>
    <n v="8300"/>
    <n v="97400"/>
    <s v="D"/>
    <d v="2024-10-18T00:00:00"/>
    <x v="2"/>
  </r>
  <r>
    <x v="3963"/>
    <x v="1"/>
    <n v="37"/>
    <x v="1"/>
    <x v="3"/>
    <x v="1"/>
    <n v="13.3"/>
    <n v="9"/>
    <x v="3"/>
    <n v="4"/>
    <x v="0"/>
    <n v="86500"/>
    <n v="7600"/>
    <n v="94100"/>
    <s v="D"/>
    <d v="2012-09-27T00:00:00"/>
    <x v="1"/>
  </r>
  <r>
    <x v="3964"/>
    <x v="1"/>
    <n v="29"/>
    <x v="4"/>
    <x v="14"/>
    <x v="2"/>
    <n v="2.2999999999999998"/>
    <n v="0.9"/>
    <x v="0"/>
    <n v="3"/>
    <x v="0"/>
    <n v="100700"/>
    <n v="11400"/>
    <n v="112100"/>
    <s v="E"/>
    <d v="2023-09-07T00:00:00"/>
    <x v="2"/>
  </r>
  <r>
    <x v="3965"/>
    <x v="0"/>
    <n v="23"/>
    <x v="0"/>
    <x v="1"/>
    <x v="2"/>
    <n v="5.0999999999999996"/>
    <n v="3.3"/>
    <x v="1"/>
    <n v="3"/>
    <x v="2"/>
    <n v="62200"/>
    <n v="4300"/>
    <n v="66500"/>
    <s v="B"/>
    <d v="2020-11-16T00:00:00"/>
    <x v="2"/>
  </r>
  <r>
    <x v="3966"/>
    <x v="0"/>
    <n v="27"/>
    <x v="3"/>
    <x v="13"/>
    <x v="1"/>
    <n v="10.3"/>
    <n v="6.3"/>
    <x v="4"/>
    <n v="5"/>
    <x v="0"/>
    <n v="108900"/>
    <n v="6700"/>
    <n v="115600"/>
    <s v="E"/>
    <d v="2015-09-09T00:00:00"/>
    <x v="1"/>
  </r>
  <r>
    <x v="3967"/>
    <x v="0"/>
    <n v="33"/>
    <x v="5"/>
    <x v="9"/>
    <x v="2"/>
    <n v="7.8"/>
    <n v="1.7"/>
    <x v="2"/>
    <n v="4"/>
    <x v="1"/>
    <n v="61000"/>
    <n v="5300"/>
    <n v="66300"/>
    <s v="B"/>
    <d v="2018-03-26T00:00:00"/>
    <x v="2"/>
  </r>
  <r>
    <x v="3968"/>
    <x v="0"/>
    <n v="29"/>
    <x v="2"/>
    <x v="4"/>
    <x v="1"/>
    <n v="12.7"/>
    <n v="7.5"/>
    <x v="3"/>
    <n v="3"/>
    <x v="0"/>
    <n v="92800"/>
    <n v="8900"/>
    <n v="101700"/>
    <s v="D"/>
    <d v="2013-04-11T00:00:00"/>
    <x v="1"/>
  </r>
  <r>
    <x v="3969"/>
    <x v="1"/>
    <n v="27"/>
    <x v="5"/>
    <x v="15"/>
    <x v="2"/>
    <n v="2.2000000000000002"/>
    <n v="0"/>
    <x v="0"/>
    <n v="2"/>
    <x v="0"/>
    <n v="68300"/>
    <n v="13500"/>
    <n v="81800"/>
    <s v="C"/>
    <d v="2023-10-14T00:00:00"/>
    <x v="2"/>
  </r>
  <r>
    <x v="3970"/>
    <x v="1"/>
    <n v="35"/>
    <x v="5"/>
    <x v="15"/>
    <x v="1"/>
    <n v="9.1999999999999993"/>
    <n v="5.2"/>
    <x v="4"/>
    <n v="3"/>
    <x v="0"/>
    <n v="59100"/>
    <n v="9500"/>
    <n v="68600"/>
    <s v="B"/>
    <d v="2016-10-09T00:00:00"/>
    <x v="1"/>
  </r>
  <r>
    <x v="3971"/>
    <x v="0"/>
    <n v="51"/>
    <x v="0"/>
    <x v="1"/>
    <x v="1"/>
    <n v="2.4"/>
    <n v="1.4"/>
    <x v="0"/>
    <n v="4"/>
    <x v="2"/>
    <n v="61500"/>
    <n v="7700"/>
    <n v="69200"/>
    <s v="B"/>
    <d v="2023-08-11T00:00:00"/>
    <x v="1"/>
  </r>
  <r>
    <x v="3972"/>
    <x v="0"/>
    <n v="37"/>
    <x v="2"/>
    <x v="11"/>
    <x v="2"/>
    <n v="8.5"/>
    <n v="6"/>
    <x v="2"/>
    <n v="3"/>
    <x v="0"/>
    <n v="111700"/>
    <n v="11400"/>
    <n v="123100"/>
    <s v="E"/>
    <d v="2017-06-18T00:00:00"/>
    <x v="2"/>
  </r>
  <r>
    <x v="3973"/>
    <x v="1"/>
    <n v="27"/>
    <x v="2"/>
    <x v="11"/>
    <x v="1"/>
    <n v="10.9"/>
    <n v="9.3000000000000007"/>
    <x v="4"/>
    <n v="3"/>
    <x v="0"/>
    <n v="94800"/>
    <n v="7400"/>
    <n v="102200"/>
    <s v="D"/>
    <d v="2015-02-18T00:00:00"/>
    <x v="1"/>
  </r>
  <r>
    <x v="3974"/>
    <x v="1"/>
    <n v="42"/>
    <x v="1"/>
    <x v="3"/>
    <x v="3"/>
    <n v="5.6"/>
    <n v="4.3"/>
    <x v="1"/>
    <n v="3"/>
    <x v="0"/>
    <n v="71200"/>
    <n v="7100"/>
    <n v="78300"/>
    <s v="C"/>
    <d v="2020-05-21T00:00:00"/>
    <x v="3"/>
  </r>
  <r>
    <x v="3975"/>
    <x v="1"/>
    <n v="34"/>
    <x v="5"/>
    <x v="17"/>
    <x v="2"/>
    <n v="2.6"/>
    <n v="1.2"/>
    <x v="0"/>
    <n v="4"/>
    <x v="0"/>
    <n v="116900"/>
    <n v="18200"/>
    <n v="135100"/>
    <s v="E"/>
    <d v="2023-05-14T00:00:00"/>
    <x v="2"/>
  </r>
  <r>
    <x v="3976"/>
    <x v="0"/>
    <n v="40"/>
    <x v="2"/>
    <x v="4"/>
    <x v="1"/>
    <n v="11.6"/>
    <n v="5.3"/>
    <x v="4"/>
    <n v="3"/>
    <x v="0"/>
    <n v="77000"/>
    <n v="7000"/>
    <n v="84000"/>
    <s v="C"/>
    <d v="2014-06-03T00:00:00"/>
    <x v="1"/>
  </r>
  <r>
    <x v="3977"/>
    <x v="1"/>
    <n v="33"/>
    <x v="2"/>
    <x v="11"/>
    <x v="2"/>
    <n v="1.8"/>
    <n v="1.8"/>
    <x v="0"/>
    <n v="2"/>
    <x v="0"/>
    <n v="111700"/>
    <n v="6200"/>
    <n v="117900"/>
    <s v="E"/>
    <d v="2024-03-22T00:00:00"/>
    <x v="2"/>
  </r>
  <r>
    <x v="3978"/>
    <x v="1"/>
    <n v="40"/>
    <x v="5"/>
    <x v="15"/>
    <x v="2"/>
    <n v="9.3000000000000007"/>
    <n v="6.7"/>
    <x v="4"/>
    <n v="5"/>
    <x v="0"/>
    <n v="85700"/>
    <n v="9200"/>
    <n v="94900"/>
    <s v="D"/>
    <d v="2016-09-04T00:00:00"/>
    <x v="2"/>
  </r>
  <r>
    <x v="3979"/>
    <x v="1"/>
    <n v="46"/>
    <x v="1"/>
    <x v="3"/>
    <x v="2"/>
    <n v="1.6"/>
    <n v="1.6"/>
    <x v="0"/>
    <n v="3"/>
    <x v="0"/>
    <n v="76500"/>
    <n v="7600"/>
    <n v="84100"/>
    <s v="C"/>
    <d v="2024-06-03T00:00:00"/>
    <x v="2"/>
  </r>
  <r>
    <x v="3980"/>
    <x v="1"/>
    <n v="41"/>
    <x v="5"/>
    <x v="17"/>
    <x v="0"/>
    <n v="2.1"/>
    <n v="1.1000000000000001"/>
    <x v="0"/>
    <n v="3"/>
    <x v="0"/>
    <n v="83000"/>
    <n v="11300"/>
    <n v="94300"/>
    <s v="D"/>
    <d v="2023-11-25T00:00:00"/>
    <x v="0"/>
  </r>
  <r>
    <x v="3981"/>
    <x v="0"/>
    <n v="33"/>
    <x v="3"/>
    <x v="5"/>
    <x v="2"/>
    <n v="9.6"/>
    <n v="6"/>
    <x v="4"/>
    <n v="3"/>
    <x v="1"/>
    <n v="50300"/>
    <n v="1700"/>
    <n v="52000"/>
    <s v="B"/>
    <d v="2016-06-07T00:00:00"/>
    <x v="2"/>
  </r>
  <r>
    <x v="3982"/>
    <x v="1"/>
    <n v="41"/>
    <x v="1"/>
    <x v="3"/>
    <x v="2"/>
    <n v="6.3"/>
    <n v="2.6"/>
    <x v="2"/>
    <n v="3"/>
    <x v="0"/>
    <n v="78400"/>
    <n v="3500"/>
    <n v="81900"/>
    <s v="C"/>
    <d v="2019-09-08T00:00:00"/>
    <x v="2"/>
  </r>
  <r>
    <x v="3983"/>
    <x v="1"/>
    <n v="46"/>
    <x v="4"/>
    <x v="6"/>
    <x v="1"/>
    <n v="8.3000000000000007"/>
    <n v="5.5"/>
    <x v="2"/>
    <n v="3"/>
    <x v="0"/>
    <n v="77900"/>
    <n v="7500"/>
    <n v="85400"/>
    <s v="C"/>
    <d v="2017-09-29T00:00:00"/>
    <x v="1"/>
  </r>
  <r>
    <x v="3984"/>
    <x v="0"/>
    <n v="32"/>
    <x v="1"/>
    <x v="3"/>
    <x v="1"/>
    <n v="11.7"/>
    <n v="7.2"/>
    <x v="4"/>
    <n v="2"/>
    <x v="0"/>
    <n v="80000"/>
    <n v="9100"/>
    <n v="89100"/>
    <s v="D"/>
    <d v="2014-04-21T00:00:00"/>
    <x v="1"/>
  </r>
  <r>
    <x v="3985"/>
    <x v="0"/>
    <n v="32"/>
    <x v="2"/>
    <x v="11"/>
    <x v="2"/>
    <n v="6.4"/>
    <n v="6.3"/>
    <x v="2"/>
    <n v="4"/>
    <x v="0"/>
    <n v="121000"/>
    <n v="6400"/>
    <n v="127400"/>
    <s v="E"/>
    <d v="2019-08-20T00:00:00"/>
    <x v="2"/>
  </r>
  <r>
    <x v="3986"/>
    <x v="0"/>
    <n v="31"/>
    <x v="3"/>
    <x v="12"/>
    <x v="1"/>
    <n v="8.9"/>
    <n v="4.0999999999999996"/>
    <x v="2"/>
    <n v="4"/>
    <x v="2"/>
    <n v="62200"/>
    <n v="3200"/>
    <n v="65400"/>
    <s v="B"/>
    <d v="2017-01-20T00:00:00"/>
    <x v="1"/>
  </r>
  <r>
    <x v="3987"/>
    <x v="0"/>
    <n v="32"/>
    <x v="4"/>
    <x v="8"/>
    <x v="1"/>
    <n v="9.1"/>
    <n v="4.4000000000000004"/>
    <x v="4"/>
    <n v="4"/>
    <x v="0"/>
    <n v="81700"/>
    <n v="7300"/>
    <n v="89000"/>
    <s v="D"/>
    <d v="2016-11-11T00:00:00"/>
    <x v="1"/>
  </r>
  <r>
    <x v="3988"/>
    <x v="1"/>
    <n v="39"/>
    <x v="0"/>
    <x v="2"/>
    <x v="1"/>
    <n v="2.6"/>
    <n v="1.3"/>
    <x v="0"/>
    <n v="4"/>
    <x v="0"/>
    <n v="69300"/>
    <n v="5600"/>
    <n v="74900"/>
    <s v="C"/>
    <d v="2023-05-11T00:00:00"/>
    <x v="1"/>
  </r>
  <r>
    <x v="3989"/>
    <x v="1"/>
    <n v="36"/>
    <x v="3"/>
    <x v="5"/>
    <x v="1"/>
    <n v="8.4"/>
    <n v="3.8"/>
    <x v="2"/>
    <n v="4"/>
    <x v="2"/>
    <n v="63700"/>
    <n v="5500"/>
    <n v="69200"/>
    <s v="B"/>
    <d v="2017-08-06T00:00:00"/>
    <x v="1"/>
  </r>
  <r>
    <x v="3990"/>
    <x v="1"/>
    <n v="29"/>
    <x v="4"/>
    <x v="16"/>
    <x v="2"/>
    <n v="3.1"/>
    <n v="2"/>
    <x v="1"/>
    <n v="3"/>
    <x v="0"/>
    <n v="105500"/>
    <n v="5600"/>
    <n v="111100"/>
    <s v="E"/>
    <d v="2022-11-10T00:00:00"/>
    <x v="2"/>
  </r>
  <r>
    <x v="3991"/>
    <x v="1"/>
    <n v="39"/>
    <x v="4"/>
    <x v="16"/>
    <x v="1"/>
    <n v="4.2"/>
    <n v="2.5"/>
    <x v="1"/>
    <n v="4"/>
    <x v="0"/>
    <n v="89100"/>
    <n v="4600"/>
    <n v="93700"/>
    <s v="D"/>
    <d v="2021-10-07T00:00:00"/>
    <x v="1"/>
  </r>
  <r>
    <x v="3992"/>
    <x v="0"/>
    <n v="34"/>
    <x v="5"/>
    <x v="9"/>
    <x v="1"/>
    <n v="8.4"/>
    <n v="4.7"/>
    <x v="2"/>
    <n v="3"/>
    <x v="0"/>
    <n v="89700"/>
    <n v="16000"/>
    <n v="105700"/>
    <s v="D"/>
    <d v="2017-08-15T00:00:00"/>
    <x v="1"/>
  </r>
  <r>
    <x v="3993"/>
    <x v="1"/>
    <n v="37"/>
    <x v="2"/>
    <x v="18"/>
    <x v="1"/>
    <n v="14"/>
    <n v="8.5"/>
    <x v="3"/>
    <n v="3"/>
    <x v="0"/>
    <n v="90100"/>
    <n v="7300"/>
    <n v="97400"/>
    <s v="D"/>
    <d v="2012-01-19T00:00:00"/>
    <x v="1"/>
  </r>
  <r>
    <x v="3994"/>
    <x v="0"/>
    <n v="32"/>
    <x v="3"/>
    <x v="12"/>
    <x v="0"/>
    <n v="1.4"/>
    <n v="0.4"/>
    <x v="0"/>
    <n v="3"/>
    <x v="0"/>
    <n v="57600"/>
    <n v="4900"/>
    <n v="62500"/>
    <s v="B"/>
    <d v="2024-07-29T00:00:00"/>
    <x v="0"/>
  </r>
  <r>
    <x v="3995"/>
    <x v="0"/>
    <n v="29"/>
    <x v="5"/>
    <x v="17"/>
    <x v="2"/>
    <n v="6.8"/>
    <n v="1.6"/>
    <x v="2"/>
    <n v="3"/>
    <x v="0"/>
    <n v="118300"/>
    <n v="18400"/>
    <n v="136700"/>
    <s v="E"/>
    <d v="2019-03-15T00:00:00"/>
    <x v="2"/>
  </r>
  <r>
    <x v="3996"/>
    <x v="1"/>
    <n v="33"/>
    <x v="4"/>
    <x v="8"/>
    <x v="1"/>
    <n v="12.7"/>
    <n v="8.5"/>
    <x v="3"/>
    <n v="3"/>
    <x v="2"/>
    <n v="75900"/>
    <n v="6700"/>
    <n v="82600"/>
    <s v="C"/>
    <d v="2013-04-29T00:00:00"/>
    <x v="1"/>
  </r>
  <r>
    <x v="3997"/>
    <x v="1"/>
    <n v="46"/>
    <x v="3"/>
    <x v="12"/>
    <x v="2"/>
    <n v="9.1999999999999993"/>
    <n v="6.2"/>
    <x v="4"/>
    <n v="4"/>
    <x v="0"/>
    <n v="82300"/>
    <n v="4700"/>
    <n v="87000"/>
    <s v="D"/>
    <d v="2016-10-30T00:00:00"/>
    <x v="2"/>
  </r>
  <r>
    <x v="3998"/>
    <x v="1"/>
    <n v="37"/>
    <x v="5"/>
    <x v="9"/>
    <x v="2"/>
    <n v="8.1"/>
    <n v="6.2"/>
    <x v="2"/>
    <n v="3"/>
    <x v="1"/>
    <n v="68000"/>
    <n v="5500"/>
    <n v="73500"/>
    <s v="C"/>
    <d v="2017-11-08T00:00:00"/>
    <x v="2"/>
  </r>
  <r>
    <x v="3999"/>
    <x v="1"/>
    <n v="37"/>
    <x v="5"/>
    <x v="17"/>
    <x v="2"/>
    <n v="7.4"/>
    <n v="6.9"/>
    <x v="2"/>
    <n v="3"/>
    <x v="0"/>
    <n v="115500"/>
    <n v="20500"/>
    <n v="136000"/>
    <s v="E"/>
    <d v="2018-07-26T00:00:00"/>
    <x v="2"/>
  </r>
  <r>
    <x v="4000"/>
    <x v="0"/>
    <n v="51"/>
    <x v="2"/>
    <x v="18"/>
    <x v="1"/>
    <n v="6.5"/>
    <n v="4.0999999999999996"/>
    <x v="2"/>
    <n v="4"/>
    <x v="0"/>
    <n v="86000"/>
    <n v="7500"/>
    <n v="93500"/>
    <s v="D"/>
    <d v="2019-07-18T00:00:00"/>
    <x v="1"/>
  </r>
  <r>
    <x v="4001"/>
    <x v="1"/>
    <n v="32"/>
    <x v="1"/>
    <x v="3"/>
    <x v="2"/>
    <n v="1.2"/>
    <n v="1.2"/>
    <x v="0"/>
    <n v="3"/>
    <x v="0"/>
    <n v="74500"/>
    <n v="8100"/>
    <n v="82600"/>
    <s v="C"/>
    <d v="2024-10-19T00:00:00"/>
    <x v="2"/>
  </r>
  <r>
    <x v="4002"/>
    <x v="0"/>
    <n v="39"/>
    <x v="0"/>
    <x v="2"/>
    <x v="1"/>
    <n v="13.8"/>
    <n v="7.3"/>
    <x v="3"/>
    <n v="2"/>
    <x v="1"/>
    <n v="41100"/>
    <n v="2200"/>
    <n v="43300"/>
    <s v="A"/>
    <d v="2012-03-06T00:00:00"/>
    <x v="1"/>
  </r>
  <r>
    <x v="4003"/>
    <x v="1"/>
    <n v="21"/>
    <x v="5"/>
    <x v="17"/>
    <x v="2"/>
    <n v="1.7"/>
    <n v="1.7"/>
    <x v="0"/>
    <n v="3"/>
    <x v="0"/>
    <n v="87100"/>
    <n v="11300"/>
    <n v="98400"/>
    <s v="D"/>
    <d v="2024-04-22T00:00:00"/>
    <x v="2"/>
  </r>
  <r>
    <x v="4004"/>
    <x v="1"/>
    <n v="34"/>
    <x v="5"/>
    <x v="15"/>
    <x v="1"/>
    <n v="5.0999999999999996"/>
    <n v="4.2"/>
    <x v="1"/>
    <n v="4"/>
    <x v="0"/>
    <n v="65100"/>
    <n v="12000"/>
    <n v="77100"/>
    <s v="C"/>
    <d v="2020-11-29T00:00:00"/>
    <x v="1"/>
  </r>
  <r>
    <x v="4005"/>
    <x v="0"/>
    <n v="40"/>
    <x v="4"/>
    <x v="16"/>
    <x v="0"/>
    <n v="4.5999999999999996"/>
    <n v="1.7"/>
    <x v="1"/>
    <n v="4"/>
    <x v="0"/>
    <n v="107200"/>
    <n v="14900"/>
    <n v="122100"/>
    <s v="E"/>
    <d v="2021-05-24T00:00:00"/>
    <x v="0"/>
  </r>
  <r>
    <x v="4006"/>
    <x v="0"/>
    <n v="45"/>
    <x v="5"/>
    <x v="9"/>
    <x v="1"/>
    <n v="2.7"/>
    <n v="0"/>
    <x v="0"/>
    <n v="4"/>
    <x v="0"/>
    <n v="105400"/>
    <n v="8300"/>
    <n v="113700"/>
    <s v="E"/>
    <d v="2023-04-04T00:00:00"/>
    <x v="1"/>
  </r>
  <r>
    <x v="4007"/>
    <x v="1"/>
    <n v="35"/>
    <x v="1"/>
    <x v="3"/>
    <x v="1"/>
    <n v="1.9"/>
    <n v="1.9"/>
    <x v="0"/>
    <n v="4"/>
    <x v="0"/>
    <n v="79400"/>
    <n v="4300"/>
    <n v="83700"/>
    <s v="C"/>
    <d v="2024-02-18T00:00:00"/>
    <x v="1"/>
  </r>
  <r>
    <x v="4008"/>
    <x v="0"/>
    <n v="25"/>
    <x v="3"/>
    <x v="13"/>
    <x v="2"/>
    <n v="8.8000000000000007"/>
    <n v="3.4"/>
    <x v="2"/>
    <n v="3"/>
    <x v="0"/>
    <n v="101300"/>
    <n v="6400"/>
    <n v="107700"/>
    <s v="E"/>
    <d v="2017-03-20T00:00:00"/>
    <x v="2"/>
  </r>
  <r>
    <x v="4009"/>
    <x v="0"/>
    <n v="37"/>
    <x v="1"/>
    <x v="3"/>
    <x v="1"/>
    <n v="4.3"/>
    <n v="3.2"/>
    <x v="1"/>
    <n v="5"/>
    <x v="0"/>
    <n v="75200"/>
    <n v="5900"/>
    <n v="81100"/>
    <s v="C"/>
    <d v="2021-09-28T00:00:00"/>
    <x v="1"/>
  </r>
  <r>
    <x v="4010"/>
    <x v="0"/>
    <n v="40"/>
    <x v="3"/>
    <x v="12"/>
    <x v="1"/>
    <n v="14"/>
    <n v="9.5"/>
    <x v="3"/>
    <n v="3"/>
    <x v="0"/>
    <n v="74100"/>
    <n v="5900"/>
    <n v="80000"/>
    <s v="C"/>
    <d v="2012-01-17T00:00:00"/>
    <x v="1"/>
  </r>
  <r>
    <x v="4011"/>
    <x v="1"/>
    <n v="39"/>
    <x v="4"/>
    <x v="14"/>
    <x v="1"/>
    <n v="6.1"/>
    <n v="2.4"/>
    <x v="2"/>
    <n v="3"/>
    <x v="1"/>
    <n v="73100"/>
    <n v="7300"/>
    <n v="80400"/>
    <s v="C"/>
    <d v="2019-11-26T00:00:00"/>
    <x v="1"/>
  </r>
  <r>
    <x v="4012"/>
    <x v="0"/>
    <n v="34"/>
    <x v="1"/>
    <x v="3"/>
    <x v="2"/>
    <n v="3.6"/>
    <n v="0.3"/>
    <x v="1"/>
    <n v="3"/>
    <x v="0"/>
    <n v="86600"/>
    <n v="4100"/>
    <n v="90700"/>
    <s v="D"/>
    <d v="2022-05-21T00:00:00"/>
    <x v="2"/>
  </r>
  <r>
    <x v="4013"/>
    <x v="0"/>
    <n v="45"/>
    <x v="1"/>
    <x v="10"/>
    <x v="3"/>
    <n v="7.4"/>
    <n v="6.8"/>
    <x v="2"/>
    <n v="4"/>
    <x v="1"/>
    <n v="64800"/>
    <n v="2700"/>
    <n v="67500"/>
    <s v="B"/>
    <d v="2018-08-06T00:00:00"/>
    <x v="3"/>
  </r>
  <r>
    <x v="4014"/>
    <x v="0"/>
    <n v="39"/>
    <x v="3"/>
    <x v="12"/>
    <x v="1"/>
    <n v="7.6"/>
    <n v="5.0999999999999996"/>
    <x v="2"/>
    <n v="4"/>
    <x v="1"/>
    <n v="45400"/>
    <n v="1700"/>
    <n v="47100"/>
    <s v="A"/>
    <d v="2018-05-10T00:00:00"/>
    <x v="1"/>
  </r>
  <r>
    <x v="4015"/>
    <x v="1"/>
    <n v="41"/>
    <x v="0"/>
    <x v="2"/>
    <x v="3"/>
    <n v="8.6"/>
    <n v="6.2"/>
    <x v="2"/>
    <n v="4"/>
    <x v="0"/>
    <n v="75900"/>
    <n v="8100"/>
    <n v="84000"/>
    <s v="C"/>
    <d v="2017-05-28T00:00:00"/>
    <x v="3"/>
  </r>
  <r>
    <x v="4016"/>
    <x v="0"/>
    <n v="25"/>
    <x v="2"/>
    <x v="4"/>
    <x v="2"/>
    <n v="5.2"/>
    <n v="4.0999999999999996"/>
    <x v="1"/>
    <n v="3"/>
    <x v="1"/>
    <n v="53000"/>
    <n v="3400"/>
    <n v="56400"/>
    <s v="B"/>
    <d v="2020-10-25T00:00:00"/>
    <x v="2"/>
  </r>
  <r>
    <x v="4017"/>
    <x v="1"/>
    <n v="36"/>
    <x v="1"/>
    <x v="3"/>
    <x v="3"/>
    <n v="7.4"/>
    <n v="7.4"/>
    <x v="2"/>
    <n v="3"/>
    <x v="0"/>
    <n v="84800"/>
    <n v="4300"/>
    <n v="89100"/>
    <s v="D"/>
    <d v="2018-07-26T00:00:00"/>
    <x v="3"/>
  </r>
  <r>
    <x v="4018"/>
    <x v="0"/>
    <n v="24"/>
    <x v="0"/>
    <x v="0"/>
    <x v="3"/>
    <n v="3.6"/>
    <n v="3.6"/>
    <x v="1"/>
    <n v="2"/>
    <x v="0"/>
    <n v="100600"/>
    <n v="7000"/>
    <n v="107600"/>
    <s v="E"/>
    <d v="2022-05-12T00:00:00"/>
    <x v="3"/>
  </r>
  <r>
    <x v="4019"/>
    <x v="1"/>
    <n v="35"/>
    <x v="4"/>
    <x v="6"/>
    <x v="1"/>
    <n v="8.1"/>
    <n v="3.7"/>
    <x v="2"/>
    <n v="3"/>
    <x v="0"/>
    <n v="83900"/>
    <n v="4300"/>
    <n v="88200"/>
    <s v="D"/>
    <d v="2017-11-15T00:00:00"/>
    <x v="1"/>
  </r>
  <r>
    <x v="4020"/>
    <x v="1"/>
    <n v="38"/>
    <x v="5"/>
    <x v="15"/>
    <x v="1"/>
    <n v="5.4"/>
    <n v="4.3"/>
    <x v="1"/>
    <n v="3"/>
    <x v="0"/>
    <n v="60300"/>
    <n v="12600"/>
    <n v="72900"/>
    <s v="B"/>
    <d v="2020-08-01T00:00:00"/>
    <x v="1"/>
  </r>
  <r>
    <x v="4021"/>
    <x v="0"/>
    <n v="36"/>
    <x v="0"/>
    <x v="0"/>
    <x v="3"/>
    <n v="4.8"/>
    <n v="1.8"/>
    <x v="1"/>
    <n v="3"/>
    <x v="0"/>
    <n v="104600"/>
    <n v="8400"/>
    <n v="113000"/>
    <s v="E"/>
    <d v="2021-03-28T00:00:00"/>
    <x v="3"/>
  </r>
  <r>
    <x v="4022"/>
    <x v="0"/>
    <n v="49"/>
    <x v="4"/>
    <x v="14"/>
    <x v="2"/>
    <n v="5.9"/>
    <n v="5.6"/>
    <x v="1"/>
    <n v="3"/>
    <x v="0"/>
    <n v="117300"/>
    <n v="11000"/>
    <n v="128300"/>
    <s v="E"/>
    <d v="2020-02-10T00:00:00"/>
    <x v="2"/>
  </r>
  <r>
    <x v="4023"/>
    <x v="0"/>
    <n v="23"/>
    <x v="4"/>
    <x v="6"/>
    <x v="1"/>
    <n v="5.2"/>
    <n v="3.5"/>
    <x v="1"/>
    <n v="2"/>
    <x v="0"/>
    <n v="76900"/>
    <n v="11500"/>
    <n v="88400"/>
    <s v="C"/>
    <d v="2020-11-06T00:00:00"/>
    <x v="1"/>
  </r>
  <r>
    <x v="4024"/>
    <x v="1"/>
    <n v="34"/>
    <x v="4"/>
    <x v="6"/>
    <x v="2"/>
    <n v="1.8"/>
    <n v="0.9"/>
    <x v="0"/>
    <n v="3"/>
    <x v="0"/>
    <n v="68200"/>
    <n v="8100"/>
    <n v="76300"/>
    <s v="C"/>
    <d v="2024-03-07T00:00:00"/>
    <x v="2"/>
  </r>
  <r>
    <x v="4025"/>
    <x v="0"/>
    <n v="22"/>
    <x v="4"/>
    <x v="16"/>
    <x v="1"/>
    <n v="8"/>
    <n v="4.5"/>
    <x v="2"/>
    <n v="3"/>
    <x v="0"/>
    <n v="95500"/>
    <n v="7300"/>
    <n v="102800"/>
    <s v="D"/>
    <d v="2018-01-05T00:00:00"/>
    <x v="1"/>
  </r>
  <r>
    <x v="4026"/>
    <x v="1"/>
    <n v="50"/>
    <x v="5"/>
    <x v="15"/>
    <x v="2"/>
    <n v="8.5"/>
    <n v="8.5"/>
    <x v="2"/>
    <n v="3"/>
    <x v="0"/>
    <n v="79300"/>
    <n v="7100"/>
    <n v="86400"/>
    <s v="C"/>
    <d v="2017-07-04T00:00:00"/>
    <x v="2"/>
  </r>
  <r>
    <x v="4027"/>
    <x v="0"/>
    <n v="31"/>
    <x v="4"/>
    <x v="16"/>
    <x v="1"/>
    <n v="2.6"/>
    <n v="2.6"/>
    <x v="0"/>
    <n v="4"/>
    <x v="0"/>
    <n v="87700"/>
    <n v="8000"/>
    <n v="95700"/>
    <s v="D"/>
    <d v="2023-05-25T00:00:00"/>
    <x v="1"/>
  </r>
  <r>
    <x v="4028"/>
    <x v="0"/>
    <n v="37"/>
    <x v="1"/>
    <x v="10"/>
    <x v="1"/>
    <n v="7.9"/>
    <n v="7.4"/>
    <x v="2"/>
    <n v="2"/>
    <x v="0"/>
    <n v="95900"/>
    <n v="5100"/>
    <n v="101000"/>
    <s v="D"/>
    <d v="2018-01-31T00:00:00"/>
    <x v="1"/>
  </r>
  <r>
    <x v="4029"/>
    <x v="1"/>
    <n v="37"/>
    <x v="4"/>
    <x v="6"/>
    <x v="3"/>
    <n v="13.9"/>
    <n v="10.1"/>
    <x v="3"/>
    <n v="4"/>
    <x v="0"/>
    <n v="91900"/>
    <n v="12500"/>
    <n v="104400"/>
    <s v="D"/>
    <d v="2012-01-27T00:00:00"/>
    <x v="3"/>
  </r>
  <r>
    <x v="4030"/>
    <x v="0"/>
    <n v="23"/>
    <x v="3"/>
    <x v="12"/>
    <x v="2"/>
    <n v="10.1"/>
    <n v="6.3"/>
    <x v="4"/>
    <n v="4"/>
    <x v="0"/>
    <n v="78000"/>
    <n v="3000"/>
    <n v="81000"/>
    <s v="C"/>
    <d v="2015-11-18T00:00:00"/>
    <x v="2"/>
  </r>
  <r>
    <x v="4031"/>
    <x v="1"/>
    <n v="31"/>
    <x v="3"/>
    <x v="12"/>
    <x v="1"/>
    <n v="3.7"/>
    <n v="2.2000000000000002"/>
    <x v="1"/>
    <n v="2"/>
    <x v="1"/>
    <n v="47800"/>
    <n v="2800"/>
    <n v="50600"/>
    <s v="A"/>
    <d v="2022-04-03T00:00:00"/>
    <x v="1"/>
  </r>
  <r>
    <x v="4032"/>
    <x v="0"/>
    <n v="43"/>
    <x v="1"/>
    <x v="10"/>
    <x v="2"/>
    <n v="10.5"/>
    <n v="7"/>
    <x v="4"/>
    <m/>
    <x v="0"/>
    <n v="127200"/>
    <n v="14600"/>
    <n v="141800"/>
    <s v="E"/>
    <d v="2015-07-02T00:00:00"/>
    <x v="2"/>
  </r>
  <r>
    <x v="4033"/>
    <x v="0"/>
    <n v="45"/>
    <x v="2"/>
    <x v="11"/>
    <x v="1"/>
    <n v="4.7"/>
    <n v="3.9"/>
    <x v="1"/>
    <n v="2"/>
    <x v="0"/>
    <n v="108600"/>
    <n v="5100"/>
    <n v="113700"/>
    <s v="E"/>
    <d v="2021-04-06T00:00:00"/>
    <x v="1"/>
  </r>
  <r>
    <x v="4034"/>
    <x v="1"/>
    <n v="44"/>
    <x v="5"/>
    <x v="17"/>
    <x v="1"/>
    <n v="1.7"/>
    <n v="1.7"/>
    <x v="0"/>
    <n v="2"/>
    <x v="2"/>
    <n v="70800"/>
    <n v="9500"/>
    <n v="80300"/>
    <s v="C"/>
    <d v="2024-04-11T00:00:00"/>
    <x v="1"/>
  </r>
  <r>
    <x v="4035"/>
    <x v="1"/>
    <n v="39"/>
    <x v="0"/>
    <x v="0"/>
    <x v="2"/>
    <n v="2.9"/>
    <n v="2.2999999999999998"/>
    <x v="0"/>
    <n v="4"/>
    <x v="0"/>
    <n v="91200"/>
    <n v="6700"/>
    <n v="97900"/>
    <s v="D"/>
    <d v="2023-02-01T00:00:00"/>
    <x v="2"/>
  </r>
  <r>
    <x v="4036"/>
    <x v="0"/>
    <n v="33"/>
    <x v="0"/>
    <x v="0"/>
    <x v="2"/>
    <n v="10.8"/>
    <n v="7.1"/>
    <x v="4"/>
    <n v="4"/>
    <x v="1"/>
    <n v="65000"/>
    <n v="4900"/>
    <n v="69900"/>
    <s v="C"/>
    <d v="2015-03-25T00:00:00"/>
    <x v="2"/>
  </r>
  <r>
    <x v="4037"/>
    <x v="0"/>
    <n v="29"/>
    <x v="2"/>
    <x v="18"/>
    <x v="2"/>
    <n v="12"/>
    <n v="9.3000000000000007"/>
    <x v="3"/>
    <n v="3"/>
    <x v="0"/>
    <n v="72000"/>
    <n v="5500"/>
    <n v="77500"/>
    <s v="C"/>
    <d v="2013-12-22T00:00:00"/>
    <x v="2"/>
  </r>
  <r>
    <x v="4038"/>
    <x v="1"/>
    <n v="33"/>
    <x v="0"/>
    <x v="1"/>
    <x v="2"/>
    <n v="2"/>
    <n v="2"/>
    <x v="0"/>
    <n v="4"/>
    <x v="1"/>
    <n v="46800"/>
    <n v="6100"/>
    <n v="52900"/>
    <s v="A"/>
    <d v="2023-12-16T00:00:00"/>
    <x v="2"/>
  </r>
  <r>
    <x v="4039"/>
    <x v="0"/>
    <n v="22"/>
    <x v="3"/>
    <x v="12"/>
    <x v="1"/>
    <n v="1.5"/>
    <n v="1"/>
    <x v="0"/>
    <n v="5"/>
    <x v="0"/>
    <n v="61100"/>
    <n v="3300"/>
    <n v="64400"/>
    <s v="B"/>
    <d v="2024-06-25T00:00:00"/>
    <x v="1"/>
  </r>
  <r>
    <x v="4040"/>
    <x v="0"/>
    <n v="39"/>
    <x v="3"/>
    <x v="12"/>
    <x v="2"/>
    <n v="2.9"/>
    <n v="2.6"/>
    <x v="0"/>
    <n v="3"/>
    <x v="0"/>
    <n v="74400"/>
    <n v="5200"/>
    <n v="79600"/>
    <s v="C"/>
    <d v="2023-02-21T00:00:00"/>
    <x v="2"/>
  </r>
  <r>
    <x v="4041"/>
    <x v="0"/>
    <n v="21"/>
    <x v="2"/>
    <x v="11"/>
    <x v="1"/>
    <n v="9"/>
    <n v="6.2"/>
    <x v="4"/>
    <n v="5"/>
    <x v="0"/>
    <n v="96100"/>
    <n v="7600"/>
    <n v="103700"/>
    <s v="D"/>
    <d v="2017-01-17T00:00:00"/>
    <x v="1"/>
  </r>
  <r>
    <x v="4042"/>
    <x v="0"/>
    <n v="37"/>
    <x v="4"/>
    <x v="16"/>
    <x v="1"/>
    <n v="6.1"/>
    <n v="4.9000000000000004"/>
    <x v="2"/>
    <n v="2"/>
    <x v="0"/>
    <n v="92300"/>
    <n v="11400"/>
    <n v="103700"/>
    <s v="D"/>
    <d v="2019-12-01T00:00:00"/>
    <x v="1"/>
  </r>
  <r>
    <x v="4043"/>
    <x v="1"/>
    <n v="43"/>
    <x v="4"/>
    <x v="16"/>
    <x v="1"/>
    <n v="3.7"/>
    <n v="2.9"/>
    <x v="1"/>
    <n v="4"/>
    <x v="1"/>
    <n v="60900"/>
    <n v="4100"/>
    <n v="65000"/>
    <s v="B"/>
    <d v="2022-04-24T00:00:00"/>
    <x v="1"/>
  </r>
  <r>
    <x v="4044"/>
    <x v="0"/>
    <n v="25"/>
    <x v="5"/>
    <x v="17"/>
    <x v="1"/>
    <n v="12.7"/>
    <n v="8.6"/>
    <x v="3"/>
    <n v="3"/>
    <x v="0"/>
    <n v="113000"/>
    <n v="14300"/>
    <n v="127300"/>
    <s v="E"/>
    <d v="2013-04-14T00:00:00"/>
    <x v="1"/>
  </r>
  <r>
    <x v="4045"/>
    <x v="1"/>
    <n v="21"/>
    <x v="4"/>
    <x v="8"/>
    <x v="1"/>
    <n v="13.2"/>
    <n v="7.6"/>
    <x v="3"/>
    <n v="3"/>
    <x v="0"/>
    <n v="96900"/>
    <n v="9300"/>
    <n v="106200"/>
    <s v="D"/>
    <d v="2012-10-28T00:00:00"/>
    <x v="1"/>
  </r>
  <r>
    <x v="4046"/>
    <x v="1"/>
    <n v="33"/>
    <x v="0"/>
    <x v="0"/>
    <x v="2"/>
    <n v="5.2"/>
    <n v="3.8"/>
    <x v="1"/>
    <n v="3"/>
    <x v="0"/>
    <n v="94100"/>
    <n v="5300"/>
    <n v="99400"/>
    <s v="D"/>
    <d v="2020-10-15T00:00:00"/>
    <x v="2"/>
  </r>
  <r>
    <x v="4047"/>
    <x v="0"/>
    <n v="31"/>
    <x v="2"/>
    <x v="18"/>
    <x v="1"/>
    <n v="3.1"/>
    <n v="1.3"/>
    <x v="1"/>
    <n v="3"/>
    <x v="0"/>
    <n v="64300"/>
    <n v="5200"/>
    <n v="69500"/>
    <s v="B"/>
    <d v="2022-11-21T00:00:00"/>
    <x v="1"/>
  </r>
  <r>
    <x v="4048"/>
    <x v="0"/>
    <n v="26"/>
    <x v="1"/>
    <x v="3"/>
    <x v="2"/>
    <n v="5.0999999999999996"/>
    <n v="2.6"/>
    <x v="1"/>
    <n v="3"/>
    <x v="0"/>
    <n v="80500"/>
    <n v="8200"/>
    <n v="88700"/>
    <s v="D"/>
    <d v="2020-11-09T00:00:00"/>
    <x v="2"/>
  </r>
  <r>
    <x v="4049"/>
    <x v="1"/>
    <n v="34"/>
    <x v="0"/>
    <x v="0"/>
    <x v="1"/>
    <n v="10.4"/>
    <n v="5.3"/>
    <x v="4"/>
    <n v="2"/>
    <x v="0"/>
    <n v="116500"/>
    <n v="7400"/>
    <n v="123900"/>
    <s v="E"/>
    <d v="2015-08-10T00:00:00"/>
    <x v="1"/>
  </r>
  <r>
    <x v="4050"/>
    <x v="1"/>
    <n v="48"/>
    <x v="5"/>
    <x v="9"/>
    <x v="3"/>
    <n v="13.2"/>
    <n v="9.1999999999999993"/>
    <x v="3"/>
    <n v="3"/>
    <x v="0"/>
    <n v="116800"/>
    <n v="14800"/>
    <n v="131600"/>
    <s v="E"/>
    <d v="2012-10-20T00:00:00"/>
    <x v="3"/>
  </r>
  <r>
    <x v="4051"/>
    <x v="0"/>
    <n v="21"/>
    <x v="4"/>
    <x v="14"/>
    <x v="1"/>
    <n v="5.5"/>
    <n v="4.2"/>
    <x v="1"/>
    <n v="1"/>
    <x v="0"/>
    <n v="89100"/>
    <n v="8800"/>
    <n v="97900"/>
    <s v="D"/>
    <d v="2020-06-22T00:00:00"/>
    <x v="1"/>
  </r>
  <r>
    <x v="4052"/>
    <x v="0"/>
    <n v="27"/>
    <x v="5"/>
    <x v="15"/>
    <x v="1"/>
    <n v="9.4"/>
    <n v="4.4000000000000004"/>
    <x v="4"/>
    <n v="3"/>
    <x v="0"/>
    <n v="54600"/>
    <n v="5900"/>
    <n v="60500"/>
    <s v="B"/>
    <d v="2016-08-10T00:00:00"/>
    <x v="1"/>
  </r>
  <r>
    <x v="4053"/>
    <x v="0"/>
    <n v="58"/>
    <x v="3"/>
    <x v="12"/>
    <x v="2"/>
    <n v="6.8"/>
    <n v="5.3"/>
    <x v="2"/>
    <n v="3"/>
    <x v="0"/>
    <n v="74000"/>
    <n v="5400"/>
    <n v="79400"/>
    <s v="C"/>
    <d v="2019-03-20T00:00:00"/>
    <x v="2"/>
  </r>
  <r>
    <x v="4054"/>
    <x v="0"/>
    <n v="29"/>
    <x v="0"/>
    <x v="2"/>
    <x v="2"/>
    <n v="11.5"/>
    <n v="7.1"/>
    <x v="4"/>
    <n v="2"/>
    <x v="0"/>
    <n v="76500"/>
    <n v="8900"/>
    <n v="85400"/>
    <s v="C"/>
    <d v="2014-07-04T00:00:00"/>
    <x v="2"/>
  </r>
  <r>
    <x v="4055"/>
    <x v="0"/>
    <n v="33"/>
    <x v="1"/>
    <x v="7"/>
    <x v="1"/>
    <n v="2.5"/>
    <n v="0"/>
    <x v="0"/>
    <n v="3"/>
    <x v="0"/>
    <n v="66000"/>
    <n v="6400"/>
    <n v="72400"/>
    <s v="C"/>
    <d v="2023-07-09T00:00:00"/>
    <x v="1"/>
  </r>
  <r>
    <x v="4056"/>
    <x v="0"/>
    <n v="32"/>
    <x v="1"/>
    <x v="7"/>
    <x v="1"/>
    <n v="9.4"/>
    <n v="5.2"/>
    <x v="4"/>
    <n v="4"/>
    <x v="0"/>
    <n v="73100"/>
    <n v="4000"/>
    <n v="77100"/>
    <s v="C"/>
    <d v="2016-07-30T00:00:00"/>
    <x v="1"/>
  </r>
  <r>
    <x v="4057"/>
    <x v="1"/>
    <n v="21"/>
    <x v="0"/>
    <x v="1"/>
    <x v="2"/>
    <n v="7.1"/>
    <n v="7.1"/>
    <x v="2"/>
    <n v="2"/>
    <x v="0"/>
    <n v="80300"/>
    <n v="7100"/>
    <n v="87400"/>
    <s v="D"/>
    <d v="2018-12-10T00:00:00"/>
    <x v="2"/>
  </r>
  <r>
    <x v="4058"/>
    <x v="1"/>
    <n v="36"/>
    <x v="1"/>
    <x v="3"/>
    <x v="1"/>
    <n v="1.1000000000000001"/>
    <n v="0.4"/>
    <x v="0"/>
    <n v="1"/>
    <x v="0"/>
    <n v="77400"/>
    <n v="4100"/>
    <n v="81500"/>
    <s v="C"/>
    <d v="2024-12-09T00:00:00"/>
    <x v="1"/>
  </r>
  <r>
    <x v="4059"/>
    <x v="0"/>
    <n v="29"/>
    <x v="4"/>
    <x v="8"/>
    <x v="2"/>
    <n v="7.4"/>
    <n v="4.0999999999999996"/>
    <x v="2"/>
    <n v="3"/>
    <x v="0"/>
    <n v="76600"/>
    <n v="7400"/>
    <n v="84000"/>
    <s v="C"/>
    <d v="2018-08-26T00:00:00"/>
    <x v="2"/>
  </r>
  <r>
    <x v="4060"/>
    <x v="1"/>
    <n v="28"/>
    <x v="2"/>
    <x v="4"/>
    <x v="2"/>
    <n v="12.4"/>
    <n v="7.3"/>
    <x v="3"/>
    <n v="4"/>
    <x v="0"/>
    <n v="95600"/>
    <n v="5600"/>
    <n v="101200"/>
    <s v="D"/>
    <d v="2013-07-21T00:00:00"/>
    <x v="2"/>
  </r>
  <r>
    <x v="4061"/>
    <x v="0"/>
    <n v="25"/>
    <x v="2"/>
    <x v="4"/>
    <x v="1"/>
    <n v="13.8"/>
    <n v="8"/>
    <x v="3"/>
    <n v="3"/>
    <x v="2"/>
    <n v="76600"/>
    <n v="8000"/>
    <n v="84600"/>
    <s v="C"/>
    <d v="2012-04-01T00:00:00"/>
    <x v="1"/>
  </r>
  <r>
    <x v="4062"/>
    <x v="0"/>
    <n v="35"/>
    <x v="2"/>
    <x v="4"/>
    <x v="1"/>
    <n v="10.1"/>
    <n v="6.3"/>
    <x v="4"/>
    <n v="4"/>
    <x v="0"/>
    <n v="87500"/>
    <n v="6400"/>
    <n v="93900"/>
    <s v="D"/>
    <d v="2015-11-26T00:00:00"/>
    <x v="1"/>
  </r>
  <r>
    <x v="4063"/>
    <x v="0"/>
    <n v="41"/>
    <x v="5"/>
    <x v="9"/>
    <x v="2"/>
    <n v="3.5"/>
    <n v="1.8"/>
    <x v="1"/>
    <n v="4"/>
    <x v="0"/>
    <n v="93400"/>
    <n v="18600"/>
    <n v="112000"/>
    <s v="D"/>
    <d v="2022-07-08T00:00:00"/>
    <x v="2"/>
  </r>
  <r>
    <x v="4064"/>
    <x v="0"/>
    <n v="44"/>
    <x v="4"/>
    <x v="8"/>
    <x v="1"/>
    <n v="8.6999999999999993"/>
    <n v="3.4"/>
    <x v="2"/>
    <n v="3"/>
    <x v="0"/>
    <n v="77700"/>
    <n v="6700"/>
    <n v="84400"/>
    <s v="C"/>
    <d v="2017-04-20T00:00:00"/>
    <x v="1"/>
  </r>
  <r>
    <x v="4065"/>
    <x v="0"/>
    <n v="27"/>
    <x v="0"/>
    <x v="1"/>
    <x v="2"/>
    <n v="9.1999999999999993"/>
    <n v="5.0999999999999996"/>
    <x v="4"/>
    <n v="3"/>
    <x v="0"/>
    <n v="81800"/>
    <n v="8500"/>
    <n v="90300"/>
    <s v="D"/>
    <d v="2016-10-11T00:00:00"/>
    <x v="2"/>
  </r>
  <r>
    <x v="4066"/>
    <x v="0"/>
    <n v="41"/>
    <x v="0"/>
    <x v="0"/>
    <x v="1"/>
    <n v="10.4"/>
    <n v="8.5"/>
    <x v="4"/>
    <n v="2"/>
    <x v="0"/>
    <n v="95800"/>
    <n v="11200"/>
    <n v="107000"/>
    <s v="D"/>
    <d v="2015-08-15T00:00:00"/>
    <x v="1"/>
  </r>
  <r>
    <x v="4067"/>
    <x v="0"/>
    <n v="35"/>
    <x v="3"/>
    <x v="5"/>
    <x v="0"/>
    <n v="12.1"/>
    <n v="6.7"/>
    <x v="3"/>
    <n v="3"/>
    <x v="1"/>
    <n v="44900"/>
    <n v="2400"/>
    <n v="47300"/>
    <s v="A"/>
    <d v="2013-11-28T00:00:00"/>
    <x v="0"/>
  </r>
  <r>
    <x v="4068"/>
    <x v="0"/>
    <n v="24"/>
    <x v="1"/>
    <x v="3"/>
    <x v="0"/>
    <n v="8.8000000000000007"/>
    <n v="7.1"/>
    <x v="2"/>
    <n v="4"/>
    <x v="1"/>
    <n v="45500"/>
    <n v="4400"/>
    <n v="49900"/>
    <s v="A"/>
    <d v="2017-03-10T00:00:00"/>
    <x v="0"/>
  </r>
  <r>
    <x v="4069"/>
    <x v="0"/>
    <n v="37"/>
    <x v="3"/>
    <x v="12"/>
    <x v="2"/>
    <n v="12.1"/>
    <n v="8"/>
    <x v="3"/>
    <n v="4"/>
    <x v="0"/>
    <n v="85500"/>
    <n v="6000"/>
    <n v="91500"/>
    <s v="D"/>
    <d v="2013-11-24T00:00:00"/>
    <x v="2"/>
  </r>
  <r>
    <x v="4070"/>
    <x v="0"/>
    <n v="28"/>
    <x v="4"/>
    <x v="8"/>
    <x v="1"/>
    <n v="4.5999999999999996"/>
    <n v="3.5"/>
    <x v="1"/>
    <n v="3"/>
    <x v="0"/>
    <n v="73600"/>
    <n v="10900"/>
    <n v="84500"/>
    <s v="C"/>
    <d v="2021-06-12T00:00:00"/>
    <x v="1"/>
  </r>
  <r>
    <x v="4071"/>
    <x v="1"/>
    <n v="48"/>
    <x v="5"/>
    <x v="17"/>
    <x v="0"/>
    <n v="14"/>
    <n v="10.5"/>
    <x v="3"/>
    <n v="3"/>
    <x v="0"/>
    <n v="96600"/>
    <n v="17900"/>
    <n v="114500"/>
    <s v="D"/>
    <d v="2012-01-13T00:00:00"/>
    <x v="0"/>
  </r>
  <r>
    <x v="4072"/>
    <x v="0"/>
    <n v="34"/>
    <x v="0"/>
    <x v="0"/>
    <x v="2"/>
    <n v="11.4"/>
    <n v="7.4"/>
    <x v="4"/>
    <n v="3"/>
    <x v="0"/>
    <n v="110600"/>
    <n v="13700"/>
    <n v="124300"/>
    <s v="E"/>
    <d v="2014-08-16T00:00:00"/>
    <x v="2"/>
  </r>
  <r>
    <x v="4073"/>
    <x v="0"/>
    <n v="32"/>
    <x v="5"/>
    <x v="17"/>
    <x v="1"/>
    <n v="11.1"/>
    <n v="8.1999999999999993"/>
    <x v="4"/>
    <n v="4"/>
    <x v="2"/>
    <n v="95200"/>
    <n v="7100"/>
    <n v="102300"/>
    <s v="D"/>
    <d v="2014-11-15T00:00:00"/>
    <x v="1"/>
  </r>
  <r>
    <x v="4074"/>
    <x v="1"/>
    <n v="43"/>
    <x v="4"/>
    <x v="6"/>
    <x v="2"/>
    <n v="5.3"/>
    <n v="2.2999999999999998"/>
    <x v="1"/>
    <n v="4"/>
    <x v="0"/>
    <n v="78700"/>
    <n v="4500"/>
    <n v="83200"/>
    <s v="C"/>
    <d v="2020-09-04T00:00:00"/>
    <x v="2"/>
  </r>
  <r>
    <x v="4075"/>
    <x v="0"/>
    <n v="44"/>
    <x v="0"/>
    <x v="0"/>
    <x v="1"/>
    <n v="11.9"/>
    <n v="7.9"/>
    <x v="4"/>
    <n v="3"/>
    <x v="0"/>
    <n v="108600"/>
    <n v="6800"/>
    <n v="115400"/>
    <s v="E"/>
    <d v="2014-01-23T00:00:00"/>
    <x v="1"/>
  </r>
  <r>
    <x v="4076"/>
    <x v="0"/>
    <n v="27"/>
    <x v="0"/>
    <x v="0"/>
    <x v="1"/>
    <n v="7.5"/>
    <n v="6"/>
    <x v="2"/>
    <n v="3"/>
    <x v="0"/>
    <n v="100500"/>
    <n v="12700"/>
    <n v="113200"/>
    <s v="E"/>
    <d v="2018-07-01T00:00:00"/>
    <x v="1"/>
  </r>
  <r>
    <x v="4077"/>
    <x v="0"/>
    <n v="48"/>
    <x v="1"/>
    <x v="7"/>
    <x v="0"/>
    <n v="5.7"/>
    <n v="4.9000000000000004"/>
    <x v="1"/>
    <n v="3"/>
    <x v="0"/>
    <n v="78800"/>
    <n v="7100"/>
    <n v="85900"/>
    <s v="C"/>
    <d v="2020-05-07T00:00:00"/>
    <x v="0"/>
  </r>
  <r>
    <x v="4078"/>
    <x v="1"/>
    <n v="37"/>
    <x v="1"/>
    <x v="3"/>
    <x v="2"/>
    <n v="2.6"/>
    <n v="2.6"/>
    <x v="0"/>
    <n v="3"/>
    <x v="0"/>
    <n v="78300"/>
    <n v="4800"/>
    <n v="83100"/>
    <s v="C"/>
    <d v="2023-06-14T00:00:00"/>
    <x v="2"/>
  </r>
  <r>
    <x v="4079"/>
    <x v="0"/>
    <n v="44"/>
    <x v="0"/>
    <x v="1"/>
    <x v="1"/>
    <n v="6.4"/>
    <n v="4.0999999999999996"/>
    <x v="2"/>
    <n v="2"/>
    <x v="0"/>
    <n v="68200"/>
    <n v="8400"/>
    <n v="76600"/>
    <s v="C"/>
    <d v="2019-08-12T00:00:00"/>
    <x v="1"/>
  </r>
  <r>
    <x v="4080"/>
    <x v="1"/>
    <n v="31"/>
    <x v="0"/>
    <x v="1"/>
    <x v="3"/>
    <n v="12.8"/>
    <n v="10.6"/>
    <x v="3"/>
    <n v="3"/>
    <x v="0"/>
    <n v="97400"/>
    <n v="10100"/>
    <n v="107500"/>
    <s v="D"/>
    <d v="2013-03-16T00:00:00"/>
    <x v="3"/>
  </r>
  <r>
    <x v="4081"/>
    <x v="1"/>
    <n v="31"/>
    <x v="2"/>
    <x v="18"/>
    <x v="3"/>
    <n v="11.8"/>
    <n v="7.5"/>
    <x v="4"/>
    <n v="5"/>
    <x v="0"/>
    <n v="92100"/>
    <n v="6100"/>
    <n v="98200"/>
    <s v="D"/>
    <d v="2014-04-01T00:00:00"/>
    <x v="3"/>
  </r>
  <r>
    <x v="4082"/>
    <x v="0"/>
    <n v="34"/>
    <x v="2"/>
    <x v="18"/>
    <x v="2"/>
    <n v="5.7"/>
    <n v="5.4"/>
    <x v="1"/>
    <n v="3"/>
    <x v="0"/>
    <n v="77500"/>
    <n v="6900"/>
    <n v="84400"/>
    <s v="C"/>
    <d v="2020-05-02T00:00:00"/>
    <x v="2"/>
  </r>
  <r>
    <x v="4083"/>
    <x v="0"/>
    <n v="23"/>
    <x v="0"/>
    <x v="2"/>
    <x v="1"/>
    <n v="12"/>
    <n v="7.6"/>
    <x v="3"/>
    <n v="3"/>
    <x v="0"/>
    <n v="84600"/>
    <n v="9400"/>
    <n v="94000"/>
    <s v="D"/>
    <d v="2014-01-11T00:00:00"/>
    <x v="1"/>
  </r>
  <r>
    <x v="4084"/>
    <x v="0"/>
    <n v="29"/>
    <x v="0"/>
    <x v="2"/>
    <x v="1"/>
    <n v="1.5"/>
    <n v="0.7"/>
    <x v="0"/>
    <n v="3"/>
    <x v="0"/>
    <n v="69500"/>
    <n v="7900"/>
    <n v="77400"/>
    <s v="C"/>
    <d v="2024-07-14T00:00:00"/>
    <x v="1"/>
  </r>
  <r>
    <x v="4085"/>
    <x v="1"/>
    <n v="36"/>
    <x v="1"/>
    <x v="7"/>
    <x v="1"/>
    <n v="6.4"/>
    <n v="4.4000000000000004"/>
    <x v="2"/>
    <n v="2"/>
    <x v="0"/>
    <n v="77700"/>
    <n v="8800"/>
    <n v="86500"/>
    <s v="C"/>
    <d v="2019-08-02T00:00:00"/>
    <x v="1"/>
  </r>
  <r>
    <x v="4086"/>
    <x v="1"/>
    <n v="44"/>
    <x v="1"/>
    <x v="10"/>
    <x v="0"/>
    <n v="5.2"/>
    <n v="3.3"/>
    <x v="1"/>
    <n v="4"/>
    <x v="0"/>
    <n v="105500"/>
    <n v="7400"/>
    <n v="112900"/>
    <s v="E"/>
    <d v="2020-10-02T00:00:00"/>
    <x v="0"/>
  </r>
  <r>
    <x v="4087"/>
    <x v="0"/>
    <n v="42"/>
    <x v="1"/>
    <x v="3"/>
    <x v="1"/>
    <n v="10.8"/>
    <n v="8.9"/>
    <x v="4"/>
    <n v="4"/>
    <x v="0"/>
    <n v="80400"/>
    <n v="4900"/>
    <n v="85300"/>
    <s v="D"/>
    <d v="2015-03-20T00:00:00"/>
    <x v="1"/>
  </r>
  <r>
    <x v="4088"/>
    <x v="0"/>
    <n v="40"/>
    <x v="2"/>
    <x v="11"/>
    <x v="3"/>
    <n v="6.6"/>
    <n v="3.8"/>
    <x v="2"/>
    <n v="3"/>
    <x v="0"/>
    <n v="108200"/>
    <n v="6300"/>
    <n v="114500"/>
    <s v="E"/>
    <d v="2019-06-01T00:00:00"/>
    <x v="3"/>
  </r>
  <r>
    <x v="4089"/>
    <x v="1"/>
    <n v="29"/>
    <x v="0"/>
    <x v="2"/>
    <x v="1"/>
    <n v="7.8"/>
    <n v="5.0999999999999996"/>
    <x v="2"/>
    <n v="3"/>
    <x v="1"/>
    <n v="42200"/>
    <n v="3500"/>
    <n v="45700"/>
    <s v="A"/>
    <d v="2018-03-05T00:00:00"/>
    <x v="1"/>
  </r>
  <r>
    <x v="4090"/>
    <x v="0"/>
    <n v="39"/>
    <x v="3"/>
    <x v="5"/>
    <x v="1"/>
    <n v="11.8"/>
    <m/>
    <x v="4"/>
    <n v="3"/>
    <x v="1"/>
    <n v="43700"/>
    <n v="2600"/>
    <n v="46300"/>
    <s v="A"/>
    <d v="2014-03-12T00:00:00"/>
    <x v="1"/>
  </r>
  <r>
    <x v="4091"/>
    <x v="1"/>
    <n v="54"/>
    <x v="5"/>
    <x v="17"/>
    <x v="1"/>
    <n v="1.7"/>
    <n v="0"/>
    <x v="0"/>
    <n v="3"/>
    <x v="0"/>
    <n v="103900"/>
    <n v="20500"/>
    <n v="124400"/>
    <s v="E"/>
    <d v="2024-04-24T00:00:00"/>
    <x v="1"/>
  </r>
  <r>
    <x v="4092"/>
    <x v="0"/>
    <n v="30"/>
    <x v="0"/>
    <x v="1"/>
    <x v="0"/>
    <n v="10.5"/>
    <n v="6.7"/>
    <x v="4"/>
    <n v="3"/>
    <x v="0"/>
    <n v="78600"/>
    <n v="4300"/>
    <n v="82900"/>
    <s v="C"/>
    <d v="2015-06-22T00:00:00"/>
    <x v="0"/>
  </r>
  <r>
    <x v="4093"/>
    <x v="1"/>
    <n v="36"/>
    <x v="3"/>
    <x v="13"/>
    <x v="1"/>
    <n v="6.5"/>
    <n v="4.7"/>
    <x v="2"/>
    <n v="3"/>
    <x v="0"/>
    <n v="111400"/>
    <n v="6400"/>
    <n v="117800"/>
    <s v="E"/>
    <d v="2019-07-15T00:00:00"/>
    <x v="1"/>
  </r>
  <r>
    <x v="4094"/>
    <x v="1"/>
    <n v="32"/>
    <x v="4"/>
    <x v="14"/>
    <x v="0"/>
    <n v="3.5"/>
    <n v="2.2999999999999998"/>
    <x v="1"/>
    <n v="3"/>
    <x v="1"/>
    <n v="63400"/>
    <n v="3500"/>
    <n v="66900"/>
    <s v="B"/>
    <d v="2022-07-04T00:00:00"/>
    <x v="0"/>
  </r>
  <r>
    <x v="4095"/>
    <x v="1"/>
    <n v="25"/>
    <x v="4"/>
    <x v="6"/>
    <x v="1"/>
    <n v="10.199999999999999"/>
    <n v="6.3"/>
    <x v="4"/>
    <n v="5"/>
    <x v="0"/>
    <n v="91000"/>
    <n v="9200"/>
    <n v="100200"/>
    <s v="D"/>
    <d v="2015-11-07T00:00:00"/>
    <x v="1"/>
  </r>
  <r>
    <x v="4096"/>
    <x v="0"/>
    <n v="26"/>
    <x v="3"/>
    <x v="12"/>
    <x v="1"/>
    <n v="13.7"/>
    <n v="9.3000000000000007"/>
    <x v="3"/>
    <n v="1"/>
    <x v="0"/>
    <n v="71900"/>
    <n v="3400"/>
    <n v="75300"/>
    <s v="C"/>
    <d v="2012-04-24T00:00:00"/>
    <x v="1"/>
  </r>
  <r>
    <x v="4097"/>
    <x v="0"/>
    <n v="37"/>
    <x v="5"/>
    <x v="15"/>
    <x v="2"/>
    <n v="11.7"/>
    <n v="8.9"/>
    <x v="4"/>
    <n v="3"/>
    <x v="0"/>
    <n v="63700"/>
    <n v="11100"/>
    <n v="74800"/>
    <s v="B"/>
    <d v="2014-04-26T00:00:00"/>
    <x v="2"/>
  </r>
  <r>
    <x v="4098"/>
    <x v="1"/>
    <n v="36"/>
    <x v="1"/>
    <x v="3"/>
    <x v="1"/>
    <n v="6.7"/>
    <n v="3.7"/>
    <x v="2"/>
    <n v="3"/>
    <x v="0"/>
    <n v="82100"/>
    <n v="5200"/>
    <n v="87300"/>
    <s v="D"/>
    <d v="2019-04-07T00:00:00"/>
    <x v="1"/>
  </r>
  <r>
    <x v="4099"/>
    <x v="1"/>
    <n v="23"/>
    <x v="5"/>
    <x v="17"/>
    <x v="2"/>
    <n v="10.9"/>
    <n v="6.3"/>
    <x v="4"/>
    <n v="5"/>
    <x v="0"/>
    <n v="116900"/>
    <n v="20100"/>
    <n v="137000"/>
    <s v="E"/>
    <d v="2015-02-01T00:00:00"/>
    <x v="2"/>
  </r>
  <r>
    <x v="4100"/>
    <x v="0"/>
    <n v="33"/>
    <x v="0"/>
    <x v="1"/>
    <x v="1"/>
    <n v="12.5"/>
    <n v="11.5"/>
    <x v="3"/>
    <n v="3"/>
    <x v="0"/>
    <n v="81800"/>
    <n v="9500"/>
    <n v="91300"/>
    <s v="D"/>
    <d v="2013-07-07T00:00:00"/>
    <x v="1"/>
  </r>
  <r>
    <x v="4101"/>
    <x v="0"/>
    <n v="21"/>
    <x v="3"/>
    <x v="12"/>
    <x v="2"/>
    <n v="6"/>
    <n v="1.9"/>
    <x v="2"/>
    <n v="4"/>
    <x v="0"/>
    <n v="71800"/>
    <n v="3800"/>
    <n v="75600"/>
    <s v="C"/>
    <d v="2020-01-12T00:00:00"/>
    <x v="2"/>
  </r>
  <r>
    <x v="4102"/>
    <x v="1"/>
    <n v="33"/>
    <x v="5"/>
    <x v="17"/>
    <x v="1"/>
    <n v="9.9"/>
    <n v="6.1"/>
    <x v="4"/>
    <n v="3"/>
    <x v="0"/>
    <n v="95300"/>
    <n v="17100"/>
    <n v="112400"/>
    <s v="D"/>
    <d v="2016-02-18T00:00:00"/>
    <x v="1"/>
  </r>
  <r>
    <x v="4103"/>
    <x v="1"/>
    <n v="30"/>
    <x v="1"/>
    <x v="10"/>
    <x v="2"/>
    <n v="2.7"/>
    <n v="1.8"/>
    <x v="0"/>
    <n v="4"/>
    <x v="0"/>
    <n v="99000"/>
    <n v="11500"/>
    <n v="110500"/>
    <s v="D"/>
    <d v="2023-04-21T00:00:00"/>
    <x v="2"/>
  </r>
  <r>
    <x v="4104"/>
    <x v="1"/>
    <n v="38"/>
    <x v="1"/>
    <x v="3"/>
    <x v="2"/>
    <n v="2.4"/>
    <n v="2.4"/>
    <x v="0"/>
    <n v="3"/>
    <x v="0"/>
    <n v="85800"/>
    <n v="5700"/>
    <n v="91500"/>
    <s v="D"/>
    <d v="2023-07-31T00:00:00"/>
    <x v="2"/>
  </r>
  <r>
    <x v="4105"/>
    <x v="0"/>
    <n v="41"/>
    <x v="3"/>
    <x v="13"/>
    <x v="2"/>
    <n v="2.2999999999999998"/>
    <n v="0"/>
    <x v="0"/>
    <n v="4"/>
    <x v="0"/>
    <n v="110500"/>
    <n v="4300"/>
    <n v="114800"/>
    <s v="E"/>
    <d v="2023-09-25T00:00:00"/>
    <x v="2"/>
  </r>
  <r>
    <x v="4106"/>
    <x v="1"/>
    <n v="28"/>
    <x v="4"/>
    <x v="6"/>
    <x v="0"/>
    <n v="13.9"/>
    <n v="8.8000000000000007"/>
    <x v="3"/>
    <n v="3"/>
    <x v="0"/>
    <n v="63500"/>
    <n v="4100"/>
    <n v="67600"/>
    <s v="B"/>
    <d v="2012-02-22T00:00:00"/>
    <x v="0"/>
  </r>
  <r>
    <x v="4107"/>
    <x v="1"/>
    <n v="26"/>
    <x v="3"/>
    <x v="5"/>
    <x v="1"/>
    <n v="1.5"/>
    <n v="0"/>
    <x v="0"/>
    <n v="2"/>
    <x v="0"/>
    <n v="65600"/>
    <n v="5300"/>
    <n v="70900"/>
    <s v="C"/>
    <d v="2024-06-25T00:00:00"/>
    <x v="1"/>
  </r>
  <r>
    <x v="4108"/>
    <x v="0"/>
    <n v="38"/>
    <x v="0"/>
    <x v="1"/>
    <x v="2"/>
    <n v="7.9"/>
    <n v="4.8"/>
    <x v="2"/>
    <n v="3"/>
    <x v="0"/>
    <n v="81000"/>
    <n v="4800"/>
    <n v="85800"/>
    <s v="D"/>
    <d v="2018-02-20T00:00:00"/>
    <x v="2"/>
  </r>
  <r>
    <x v="4109"/>
    <x v="1"/>
    <n v="26"/>
    <x v="1"/>
    <x v="10"/>
    <x v="2"/>
    <n v="4.8"/>
    <n v="2.2000000000000002"/>
    <x v="1"/>
    <n v="3"/>
    <x v="0"/>
    <n v="105600"/>
    <n v="7400"/>
    <n v="113000"/>
    <s v="E"/>
    <d v="2021-03-04T00:00:00"/>
    <x v="2"/>
  </r>
  <r>
    <x v="4110"/>
    <x v="0"/>
    <n v="38"/>
    <x v="2"/>
    <x v="4"/>
    <x v="1"/>
    <n v="7.2"/>
    <n v="6.4"/>
    <x v="2"/>
    <n v="3"/>
    <x v="2"/>
    <n v="62300"/>
    <n v="2800"/>
    <n v="65100"/>
    <s v="B"/>
    <d v="2018-10-10T00:00:00"/>
    <x v="1"/>
  </r>
  <r>
    <x v="4111"/>
    <x v="0"/>
    <n v="34"/>
    <x v="1"/>
    <x v="7"/>
    <x v="2"/>
    <n v="3.5"/>
    <n v="1.4"/>
    <x v="1"/>
    <n v="4"/>
    <x v="0"/>
    <n v="70600"/>
    <n v="4300"/>
    <n v="74900"/>
    <s v="C"/>
    <d v="2022-06-23T00:00:00"/>
    <x v="2"/>
  </r>
  <r>
    <x v="4112"/>
    <x v="1"/>
    <n v="32"/>
    <x v="5"/>
    <x v="15"/>
    <x v="2"/>
    <n v="3.9"/>
    <n v="1.8"/>
    <x v="1"/>
    <n v="3"/>
    <x v="0"/>
    <n v="66200"/>
    <n v="8200"/>
    <n v="74400"/>
    <s v="C"/>
    <d v="2022-01-21T00:00:00"/>
    <x v="2"/>
  </r>
  <r>
    <x v="4113"/>
    <x v="1"/>
    <n v="33"/>
    <x v="3"/>
    <x v="5"/>
    <x v="2"/>
    <n v="2.5"/>
    <n v="0.8"/>
    <x v="0"/>
    <n v="2"/>
    <x v="1"/>
    <n v="42300"/>
    <n v="3300"/>
    <n v="45600"/>
    <s v="A"/>
    <d v="2023-07-07T00:00:00"/>
    <x v="2"/>
  </r>
  <r>
    <x v="4114"/>
    <x v="1"/>
    <n v="21"/>
    <x v="0"/>
    <x v="0"/>
    <x v="2"/>
    <n v="8"/>
    <n v="6.1"/>
    <x v="2"/>
    <n v="3"/>
    <x v="0"/>
    <n v="103700"/>
    <n v="10300"/>
    <n v="114000"/>
    <s v="E"/>
    <d v="2017-12-22T00:00:00"/>
    <x v="2"/>
  </r>
  <r>
    <x v="4115"/>
    <x v="1"/>
    <n v="22"/>
    <x v="2"/>
    <x v="11"/>
    <x v="0"/>
    <n v="7.9"/>
    <n v="4"/>
    <x v="2"/>
    <n v="3"/>
    <x v="0"/>
    <n v="93900"/>
    <n v="3400"/>
    <n v="97300"/>
    <s v="D"/>
    <d v="2018-02-03T00:00:00"/>
    <x v="0"/>
  </r>
  <r>
    <x v="4116"/>
    <x v="0"/>
    <n v="34"/>
    <x v="2"/>
    <x v="11"/>
    <x v="1"/>
    <n v="13.7"/>
    <n v="8.8000000000000007"/>
    <x v="3"/>
    <n v="3"/>
    <x v="0"/>
    <n v="102300"/>
    <n v="8800"/>
    <n v="111100"/>
    <s v="E"/>
    <d v="2012-05-08T00:00:00"/>
    <x v="1"/>
  </r>
  <r>
    <x v="4117"/>
    <x v="0"/>
    <n v="32"/>
    <x v="2"/>
    <x v="4"/>
    <x v="1"/>
    <n v="11.2"/>
    <n v="6.7"/>
    <x v="4"/>
    <n v="4"/>
    <x v="2"/>
    <n v="75000"/>
    <n v="7800"/>
    <n v="82800"/>
    <s v="C"/>
    <d v="2014-11-06T00:00:00"/>
    <x v="1"/>
  </r>
  <r>
    <x v="4118"/>
    <x v="1"/>
    <n v="40"/>
    <x v="5"/>
    <x v="15"/>
    <x v="1"/>
    <n v="8.3000000000000007"/>
    <n v="6.8"/>
    <x v="2"/>
    <n v="3"/>
    <x v="0"/>
    <n v="67300"/>
    <n v="13300"/>
    <n v="80600"/>
    <s v="C"/>
    <d v="2017-09-10T00:00:00"/>
    <x v="1"/>
  </r>
  <r>
    <x v="4119"/>
    <x v="1"/>
    <n v="43"/>
    <x v="4"/>
    <x v="14"/>
    <x v="1"/>
    <n v="6.7"/>
    <n v="4"/>
    <x v="2"/>
    <n v="5"/>
    <x v="2"/>
    <n v="91700"/>
    <n v="12900"/>
    <n v="104600"/>
    <s v="D"/>
    <d v="2019-05-03T00:00:00"/>
    <x v="1"/>
  </r>
  <r>
    <x v="4120"/>
    <x v="1"/>
    <n v="35"/>
    <x v="5"/>
    <x v="9"/>
    <x v="1"/>
    <n v="4.4000000000000004"/>
    <n v="2.7"/>
    <x v="1"/>
    <n v="3"/>
    <x v="0"/>
    <n v="89100"/>
    <n v="17300"/>
    <n v="106400"/>
    <s v="D"/>
    <d v="2021-08-06T00:00:00"/>
    <x v="1"/>
  </r>
  <r>
    <x v="4121"/>
    <x v="1"/>
    <n v="33"/>
    <x v="4"/>
    <x v="16"/>
    <x v="1"/>
    <n v="12.2"/>
    <n v="5.8"/>
    <x v="3"/>
    <n v="5"/>
    <x v="0"/>
    <n v="94000"/>
    <n v="5300"/>
    <n v="99300"/>
    <s v="D"/>
    <d v="2013-10-30T00:00:00"/>
    <x v="1"/>
  </r>
  <r>
    <x v="4122"/>
    <x v="1"/>
    <n v="28"/>
    <x v="0"/>
    <x v="2"/>
    <x v="1"/>
    <n v="11.7"/>
    <n v="7.1"/>
    <x v="4"/>
    <n v="3"/>
    <x v="0"/>
    <n v="72500"/>
    <n v="7300"/>
    <n v="79800"/>
    <s v="C"/>
    <d v="2014-04-07T00:00:00"/>
    <x v="1"/>
  </r>
  <r>
    <x v="4123"/>
    <x v="0"/>
    <n v="37"/>
    <x v="5"/>
    <x v="15"/>
    <x v="1"/>
    <n v="11.2"/>
    <n v="7.9"/>
    <x v="4"/>
    <n v="3"/>
    <x v="0"/>
    <n v="74700"/>
    <n v="6500"/>
    <n v="81200"/>
    <s v="C"/>
    <d v="2014-10-25T00:00:00"/>
    <x v="1"/>
  </r>
  <r>
    <x v="4124"/>
    <x v="0"/>
    <n v="33"/>
    <x v="3"/>
    <x v="13"/>
    <x v="2"/>
    <n v="4.0999999999999996"/>
    <n v="2.1"/>
    <x v="1"/>
    <n v="3"/>
    <x v="1"/>
    <n v="66600"/>
    <n v="5400"/>
    <n v="72000"/>
    <s v="C"/>
    <d v="2021-12-04T00:00:00"/>
    <x v="2"/>
  </r>
  <r>
    <x v="4125"/>
    <x v="0"/>
    <n v="46"/>
    <x v="3"/>
    <x v="13"/>
    <x v="1"/>
    <n v="6.8"/>
    <n v="6.1"/>
    <x v="2"/>
    <n v="4"/>
    <x v="0"/>
    <n v="91200"/>
    <n v="4400"/>
    <n v="95600"/>
    <s v="D"/>
    <d v="2019-03-16T00:00:00"/>
    <x v="1"/>
  </r>
  <r>
    <x v="4126"/>
    <x v="0"/>
    <n v="32"/>
    <x v="4"/>
    <x v="14"/>
    <x v="1"/>
    <n v="2.2000000000000002"/>
    <n v="2.1"/>
    <x v="0"/>
    <n v="3"/>
    <x v="0"/>
    <n v="87900"/>
    <n v="9400"/>
    <n v="97300"/>
    <s v="D"/>
    <d v="2023-10-14T00:00:00"/>
    <x v="1"/>
  </r>
  <r>
    <x v="4127"/>
    <x v="1"/>
    <n v="38"/>
    <x v="4"/>
    <x v="8"/>
    <x v="2"/>
    <n v="11.3"/>
    <n v="7.1"/>
    <x v="4"/>
    <n v="2"/>
    <x v="0"/>
    <n v="95200"/>
    <n v="5000"/>
    <n v="100200"/>
    <s v="D"/>
    <d v="2014-09-30T00:00:00"/>
    <x v="2"/>
  </r>
  <r>
    <x v="4128"/>
    <x v="1"/>
    <n v="32"/>
    <x v="1"/>
    <x v="3"/>
    <x v="1"/>
    <n v="1.8"/>
    <n v="1.8"/>
    <x v="0"/>
    <n v="4"/>
    <x v="2"/>
    <n v="65300"/>
    <n v="4900"/>
    <n v="70200"/>
    <s v="C"/>
    <d v="2024-03-05T00:00:00"/>
    <x v="1"/>
  </r>
  <r>
    <x v="4129"/>
    <x v="0"/>
    <n v="37"/>
    <x v="0"/>
    <x v="0"/>
    <x v="1"/>
    <n v="3.8"/>
    <n v="3.7"/>
    <x v="1"/>
    <n v="3"/>
    <x v="0"/>
    <n v="98600"/>
    <n v="9600"/>
    <n v="108200"/>
    <s v="D"/>
    <d v="2022-03-07T00:00:00"/>
    <x v="1"/>
  </r>
  <r>
    <x v="4130"/>
    <x v="1"/>
    <n v="25"/>
    <x v="4"/>
    <x v="8"/>
    <x v="1"/>
    <n v="13.1"/>
    <n v="7.7"/>
    <x v="3"/>
    <n v="3"/>
    <x v="1"/>
    <n v="51700"/>
    <n v="4600"/>
    <n v="56300"/>
    <s v="B"/>
    <d v="2012-12-10T00:00:00"/>
    <x v="1"/>
  </r>
  <r>
    <x v="4131"/>
    <x v="0"/>
    <n v="33"/>
    <x v="5"/>
    <x v="15"/>
    <x v="0"/>
    <n v="3.5"/>
    <n v="0"/>
    <x v="1"/>
    <n v="4"/>
    <x v="0"/>
    <n v="57500"/>
    <n v="6200"/>
    <n v="63700"/>
    <s v="B"/>
    <d v="2022-07-13T00:00:00"/>
    <x v="0"/>
  </r>
  <r>
    <x v="4132"/>
    <x v="0"/>
    <n v="32"/>
    <x v="5"/>
    <x v="9"/>
    <x v="0"/>
    <n v="13.3"/>
    <n v="7.4"/>
    <x v="3"/>
    <n v="3"/>
    <x v="0"/>
    <n v="100600"/>
    <n v="15000"/>
    <n v="115600"/>
    <s v="E"/>
    <d v="2012-08-26T00:00:00"/>
    <x v="0"/>
  </r>
  <r>
    <x v="4133"/>
    <x v="0"/>
    <n v="26"/>
    <x v="3"/>
    <x v="5"/>
    <x v="1"/>
    <n v="11.1"/>
    <n v="7"/>
    <x v="4"/>
    <n v="3"/>
    <x v="1"/>
    <n v="50400"/>
    <n v="3300"/>
    <n v="53700"/>
    <s v="B"/>
    <d v="2014-11-25T00:00:00"/>
    <x v="1"/>
  </r>
  <r>
    <x v="4134"/>
    <x v="0"/>
    <n v="48"/>
    <x v="1"/>
    <x v="7"/>
    <x v="1"/>
    <n v="7.2"/>
    <n v="4.7"/>
    <x v="2"/>
    <n v="3"/>
    <x v="0"/>
    <n v="82900"/>
    <n v="6000"/>
    <n v="88900"/>
    <s v="D"/>
    <d v="2018-11-03T00:00:00"/>
    <x v="1"/>
  </r>
  <r>
    <x v="4135"/>
    <x v="1"/>
    <n v="26"/>
    <x v="1"/>
    <x v="10"/>
    <x v="1"/>
    <n v="5.0999999999999996"/>
    <n v="5.0999999999999996"/>
    <x v="1"/>
    <n v="3"/>
    <x v="0"/>
    <n v="111900"/>
    <n v="9300"/>
    <n v="121200"/>
    <s v="E"/>
    <d v="2020-12-05T00:00:00"/>
    <x v="1"/>
  </r>
  <r>
    <x v="4136"/>
    <x v="1"/>
    <n v="26"/>
    <x v="1"/>
    <x v="10"/>
    <x v="1"/>
    <n v="8.8000000000000007"/>
    <n v="5"/>
    <x v="2"/>
    <n v="2"/>
    <x v="0"/>
    <n v="114400"/>
    <n v="7200"/>
    <n v="121600"/>
    <s v="E"/>
    <d v="2017-03-16T00:00:00"/>
    <x v="1"/>
  </r>
  <r>
    <x v="4137"/>
    <x v="1"/>
    <n v="40"/>
    <x v="2"/>
    <x v="18"/>
    <x v="2"/>
    <n v="6.5"/>
    <n v="2.9"/>
    <x v="2"/>
    <n v="3"/>
    <x v="1"/>
    <n v="45900"/>
    <n v="1600"/>
    <n v="47500"/>
    <s v="A"/>
    <d v="2019-07-04T00:00:00"/>
    <x v="2"/>
  </r>
  <r>
    <x v="4138"/>
    <x v="0"/>
    <n v="34"/>
    <x v="0"/>
    <x v="2"/>
    <x v="2"/>
    <n v="1.2"/>
    <n v="0"/>
    <x v="0"/>
    <n v="3"/>
    <x v="0"/>
    <n v="63000"/>
    <n v="4900"/>
    <n v="67900"/>
    <s v="B"/>
    <d v="2024-10-13T00:00:00"/>
    <x v="2"/>
  </r>
  <r>
    <x v="4139"/>
    <x v="1"/>
    <n v="26"/>
    <x v="1"/>
    <x v="10"/>
    <x v="2"/>
    <n v="11.3"/>
    <n v="7.4"/>
    <x v="4"/>
    <n v="2"/>
    <x v="2"/>
    <n v="84800"/>
    <n v="5400"/>
    <n v="90200"/>
    <s v="D"/>
    <d v="2014-09-20T00:00:00"/>
    <x v="2"/>
  </r>
  <r>
    <x v="4140"/>
    <x v="0"/>
    <n v="39"/>
    <x v="3"/>
    <x v="13"/>
    <x v="2"/>
    <n v="1.7"/>
    <n v="0.6"/>
    <x v="0"/>
    <n v="3"/>
    <x v="0"/>
    <n v="103100"/>
    <n v="6100"/>
    <n v="109200"/>
    <s v="E"/>
    <d v="2024-04-12T00:00:00"/>
    <x v="2"/>
  </r>
  <r>
    <x v="4141"/>
    <x v="1"/>
    <n v="40"/>
    <x v="1"/>
    <x v="10"/>
    <x v="2"/>
    <n v="5.2"/>
    <n v="5.0999999999999996"/>
    <x v="1"/>
    <n v="3"/>
    <x v="0"/>
    <n v="109900"/>
    <n v="11900"/>
    <n v="121800"/>
    <s v="E"/>
    <d v="2020-10-24T00:00:00"/>
    <x v="2"/>
  </r>
  <r>
    <x v="4142"/>
    <x v="1"/>
    <n v="51"/>
    <x v="1"/>
    <x v="3"/>
    <x v="2"/>
    <n v="13.1"/>
    <n v="10.199999999999999"/>
    <x v="3"/>
    <n v="3"/>
    <x v="0"/>
    <n v="91800"/>
    <n v="7600"/>
    <n v="99400"/>
    <s v="D"/>
    <d v="2012-12-06T00:00:00"/>
    <x v="2"/>
  </r>
  <r>
    <x v="4143"/>
    <x v="0"/>
    <n v="38"/>
    <x v="3"/>
    <x v="5"/>
    <x v="1"/>
    <n v="13.3"/>
    <n v="8.6999999999999993"/>
    <x v="3"/>
    <n v="3"/>
    <x v="0"/>
    <n v="83800"/>
    <n v="5600"/>
    <n v="89400"/>
    <s v="D"/>
    <d v="2012-09-03T00:00:00"/>
    <x v="1"/>
  </r>
  <r>
    <x v="4144"/>
    <x v="0"/>
    <n v="31"/>
    <x v="2"/>
    <x v="4"/>
    <x v="1"/>
    <n v="4.0999999999999996"/>
    <n v="2.6"/>
    <x v="1"/>
    <n v="5"/>
    <x v="0"/>
    <n v="68800"/>
    <n v="4700"/>
    <n v="73500"/>
    <s v="C"/>
    <d v="2021-11-16T00:00:00"/>
    <x v="1"/>
  </r>
  <r>
    <x v="4145"/>
    <x v="1"/>
    <n v="41"/>
    <x v="1"/>
    <x v="3"/>
    <x v="1"/>
    <n v="2"/>
    <n v="0"/>
    <x v="0"/>
    <n v="1"/>
    <x v="1"/>
    <n v="43500"/>
    <n v="2800"/>
    <n v="46300"/>
    <s v="A"/>
    <d v="2023-12-27T00:00:00"/>
    <x v="1"/>
  </r>
  <r>
    <x v="4146"/>
    <x v="0"/>
    <n v="37"/>
    <x v="4"/>
    <x v="14"/>
    <x v="1"/>
    <n v="2.9"/>
    <n v="0.9"/>
    <x v="0"/>
    <n v="3"/>
    <x v="0"/>
    <n v="111500"/>
    <n v="10400"/>
    <n v="121900"/>
    <s v="E"/>
    <d v="2023-02-10T00:00:00"/>
    <x v="1"/>
  </r>
  <r>
    <x v="4147"/>
    <x v="0"/>
    <n v="39"/>
    <x v="1"/>
    <x v="3"/>
    <x v="2"/>
    <n v="4.0999999999999996"/>
    <n v="3.8"/>
    <x v="1"/>
    <n v="3"/>
    <x v="0"/>
    <n v="84700"/>
    <n v="9900"/>
    <n v="94600"/>
    <s v="D"/>
    <d v="2021-11-21T00:00:00"/>
    <x v="2"/>
  </r>
  <r>
    <x v="4148"/>
    <x v="0"/>
    <n v="28"/>
    <x v="5"/>
    <x v="9"/>
    <x v="0"/>
    <n v="9.6"/>
    <n v="8.8000000000000007"/>
    <x v="4"/>
    <n v="3"/>
    <x v="0"/>
    <n v="99300"/>
    <n v="8600"/>
    <n v="107900"/>
    <s v="D"/>
    <d v="2016-05-16T00:00:00"/>
    <x v="0"/>
  </r>
  <r>
    <x v="4149"/>
    <x v="0"/>
    <n v="36"/>
    <x v="1"/>
    <x v="3"/>
    <x v="2"/>
    <n v="3.1"/>
    <n v="1.6"/>
    <x v="1"/>
    <n v="2"/>
    <x v="0"/>
    <n v="86800"/>
    <n v="5200"/>
    <n v="92000"/>
    <s v="D"/>
    <d v="2022-11-15T00:00:00"/>
    <x v="2"/>
  </r>
  <r>
    <x v="4150"/>
    <x v="0"/>
    <n v="37"/>
    <x v="0"/>
    <x v="1"/>
    <x v="1"/>
    <n v="2.8"/>
    <n v="2.2999999999999998"/>
    <x v="0"/>
    <n v="4"/>
    <x v="0"/>
    <n v="81400"/>
    <n v="10400"/>
    <n v="91800"/>
    <s v="D"/>
    <d v="2023-03-13T00:00:00"/>
    <x v="1"/>
  </r>
  <r>
    <x v="4151"/>
    <x v="1"/>
    <n v="39"/>
    <x v="0"/>
    <x v="0"/>
    <x v="1"/>
    <n v="9.5"/>
    <n v="5.4"/>
    <x v="4"/>
    <n v="4"/>
    <x v="0"/>
    <n v="108600"/>
    <n v="8700"/>
    <n v="117300"/>
    <s v="E"/>
    <d v="2016-06-29T00:00:00"/>
    <x v="1"/>
  </r>
  <r>
    <x v="4152"/>
    <x v="0"/>
    <n v="49"/>
    <x v="0"/>
    <x v="0"/>
    <x v="0"/>
    <n v="3.6"/>
    <n v="3.1"/>
    <x v="1"/>
    <n v="4"/>
    <x v="0"/>
    <n v="89400"/>
    <n v="10800"/>
    <n v="100200"/>
    <s v="D"/>
    <d v="2022-06-10T00:00:00"/>
    <x v="0"/>
  </r>
  <r>
    <x v="4153"/>
    <x v="1"/>
    <n v="45"/>
    <x v="5"/>
    <x v="15"/>
    <x v="2"/>
    <n v="3.6"/>
    <n v="2"/>
    <x v="1"/>
    <n v="3"/>
    <x v="0"/>
    <n v="55200"/>
    <n v="6600"/>
    <n v="61800"/>
    <s v="B"/>
    <d v="2022-05-09T00:00:00"/>
    <x v="2"/>
  </r>
  <r>
    <x v="4154"/>
    <x v="1"/>
    <n v="28"/>
    <x v="2"/>
    <x v="18"/>
    <x v="3"/>
    <n v="12"/>
    <n v="8.5"/>
    <x v="3"/>
    <n v="3"/>
    <x v="0"/>
    <n v="73500"/>
    <n v="7400"/>
    <n v="80900"/>
    <s v="C"/>
    <d v="2014-01-03T00:00:00"/>
    <x v="3"/>
  </r>
  <r>
    <x v="4155"/>
    <x v="1"/>
    <n v="38"/>
    <x v="1"/>
    <x v="10"/>
    <x v="1"/>
    <n v="11"/>
    <n v="8.3000000000000007"/>
    <x v="4"/>
    <n v="4"/>
    <x v="0"/>
    <n v="116900"/>
    <n v="5200"/>
    <n v="122100"/>
    <s v="E"/>
    <d v="2014-12-20T00:00:00"/>
    <x v="1"/>
  </r>
  <r>
    <x v="4156"/>
    <x v="1"/>
    <n v="30"/>
    <x v="1"/>
    <x v="7"/>
    <x v="1"/>
    <n v="10.199999999999999"/>
    <n v="7.1"/>
    <x v="4"/>
    <n v="4"/>
    <x v="0"/>
    <n v="84200"/>
    <n v="8900"/>
    <n v="93100"/>
    <s v="D"/>
    <d v="2015-10-10T00:00:00"/>
    <x v="1"/>
  </r>
  <r>
    <x v="4157"/>
    <x v="0"/>
    <n v="42"/>
    <x v="0"/>
    <x v="1"/>
    <x v="2"/>
    <n v="9.1999999999999993"/>
    <n v="5.8"/>
    <x v="4"/>
    <n v="4"/>
    <x v="2"/>
    <n v="62800"/>
    <n v="3700"/>
    <n v="66500"/>
    <s v="B"/>
    <d v="2016-10-30T00:00:00"/>
    <x v="2"/>
  </r>
  <r>
    <x v="4158"/>
    <x v="0"/>
    <n v="25"/>
    <x v="2"/>
    <x v="11"/>
    <x v="2"/>
    <n v="12.3"/>
    <n v="8.9"/>
    <x v="3"/>
    <n v="4"/>
    <x v="0"/>
    <n v="121400"/>
    <n v="10600"/>
    <n v="132000"/>
    <s v="E"/>
    <d v="2013-09-14T00:00:00"/>
    <x v="2"/>
  </r>
  <r>
    <x v="4159"/>
    <x v="1"/>
    <n v="29"/>
    <x v="1"/>
    <x v="3"/>
    <x v="1"/>
    <n v="6.5"/>
    <n v="5"/>
    <x v="2"/>
    <n v="1"/>
    <x v="0"/>
    <n v="67800"/>
    <n v="5400"/>
    <n v="73200"/>
    <s v="C"/>
    <d v="2019-07-06T00:00:00"/>
    <x v="1"/>
  </r>
  <r>
    <x v="4160"/>
    <x v="1"/>
    <n v="25"/>
    <x v="3"/>
    <x v="12"/>
    <x v="2"/>
    <n v="9"/>
    <n v="5.5"/>
    <x v="4"/>
    <n v="2"/>
    <x v="0"/>
    <n v="82600"/>
    <n v="4300"/>
    <n v="86900"/>
    <s v="D"/>
    <d v="2016-12-27T00:00:00"/>
    <x v="2"/>
  </r>
  <r>
    <x v="4161"/>
    <x v="0"/>
    <n v="27"/>
    <x v="0"/>
    <x v="0"/>
    <x v="1"/>
    <n v="7.1"/>
    <n v="5.4"/>
    <x v="2"/>
    <n v="5"/>
    <x v="0"/>
    <n v="100200"/>
    <n v="10300"/>
    <n v="110500"/>
    <s v="E"/>
    <d v="2018-12-07T00:00:00"/>
    <x v="1"/>
  </r>
  <r>
    <x v="4162"/>
    <x v="1"/>
    <n v="46"/>
    <x v="4"/>
    <x v="14"/>
    <x v="2"/>
    <n v="9.6"/>
    <n v="6.5"/>
    <x v="4"/>
    <n v="1"/>
    <x v="0"/>
    <n v="107700"/>
    <n v="13500"/>
    <n v="121200"/>
    <s v="E"/>
    <d v="2016-05-24T00:00:00"/>
    <x v="2"/>
  </r>
  <r>
    <x v="4163"/>
    <x v="0"/>
    <n v="25"/>
    <x v="4"/>
    <x v="8"/>
    <x v="1"/>
    <n v="7.5"/>
    <n v="4.9000000000000004"/>
    <x v="2"/>
    <n v="3"/>
    <x v="0"/>
    <n v="92700"/>
    <n v="9200"/>
    <n v="101900"/>
    <s v="D"/>
    <d v="2018-07-02T00:00:00"/>
    <x v="1"/>
  </r>
  <r>
    <x v="4164"/>
    <x v="1"/>
    <n v="25"/>
    <x v="3"/>
    <x v="13"/>
    <x v="2"/>
    <n v="11.4"/>
    <n v="6.7"/>
    <x v="4"/>
    <n v="2"/>
    <x v="1"/>
    <n v="64100"/>
    <n v="3700"/>
    <n v="67800"/>
    <s v="B"/>
    <d v="2014-07-31T00:00:00"/>
    <x v="2"/>
  </r>
  <r>
    <x v="4165"/>
    <x v="1"/>
    <n v="35"/>
    <x v="1"/>
    <x v="3"/>
    <x v="1"/>
    <n v="11.4"/>
    <n v="9.6"/>
    <x v="4"/>
    <n v="3"/>
    <x v="0"/>
    <n v="78000"/>
    <n v="8800"/>
    <n v="86800"/>
    <s v="C"/>
    <d v="2014-08-04T00:00:00"/>
    <x v="1"/>
  </r>
  <r>
    <x v="4166"/>
    <x v="0"/>
    <n v="38"/>
    <x v="3"/>
    <x v="5"/>
    <x v="0"/>
    <n v="4.2"/>
    <n v="4"/>
    <x v="1"/>
    <n v="5"/>
    <x v="0"/>
    <n v="73700"/>
    <n v="5500"/>
    <n v="79200"/>
    <s v="C"/>
    <d v="2021-10-26T00:00:00"/>
    <x v="0"/>
  </r>
  <r>
    <x v="4167"/>
    <x v="0"/>
    <n v="39"/>
    <x v="5"/>
    <x v="9"/>
    <x v="2"/>
    <n v="9.1"/>
    <n v="7.2"/>
    <x v="4"/>
    <n v="2"/>
    <x v="0"/>
    <n v="100300"/>
    <n v="12800"/>
    <n v="113100"/>
    <s v="E"/>
    <d v="2016-11-26T00:00:00"/>
    <x v="2"/>
  </r>
  <r>
    <x v="4168"/>
    <x v="0"/>
    <n v="21"/>
    <x v="0"/>
    <x v="0"/>
    <x v="2"/>
    <n v="11.2"/>
    <n v="8"/>
    <x v="4"/>
    <n v="4"/>
    <x v="0"/>
    <n v="102000"/>
    <n v="9700"/>
    <n v="111700"/>
    <s v="E"/>
    <d v="2014-11-05T00:00:00"/>
    <x v="2"/>
  </r>
  <r>
    <x v="4169"/>
    <x v="0"/>
    <n v="39"/>
    <x v="3"/>
    <x v="13"/>
    <x v="2"/>
    <n v="2.4"/>
    <n v="2"/>
    <x v="0"/>
    <n v="3"/>
    <x v="0"/>
    <n v="105800"/>
    <n v="5000"/>
    <n v="110800"/>
    <s v="E"/>
    <d v="2023-08-17T00:00:00"/>
    <x v="2"/>
  </r>
  <r>
    <x v="4170"/>
    <x v="1"/>
    <n v="58"/>
    <x v="0"/>
    <x v="2"/>
    <x v="2"/>
    <n v="11.4"/>
    <n v="6.9"/>
    <x v="4"/>
    <n v="4"/>
    <x v="1"/>
    <n v="46100"/>
    <n v="6200"/>
    <n v="52300"/>
    <s v="A"/>
    <d v="2014-08-15T00:00:00"/>
    <x v="2"/>
  </r>
  <r>
    <x v="4171"/>
    <x v="0"/>
    <n v="45"/>
    <x v="4"/>
    <x v="14"/>
    <x v="2"/>
    <n v="7.1"/>
    <n v="5.7"/>
    <x v="2"/>
    <n v="4"/>
    <x v="0"/>
    <n v="108500"/>
    <n v="13000"/>
    <n v="121500"/>
    <s v="E"/>
    <d v="2018-11-22T00:00:00"/>
    <x v="2"/>
  </r>
  <r>
    <x v="4172"/>
    <x v="1"/>
    <n v="27"/>
    <x v="4"/>
    <x v="16"/>
    <x v="2"/>
    <n v="11.5"/>
    <n v="6.9"/>
    <x v="4"/>
    <n v="4"/>
    <x v="0"/>
    <n v="110300"/>
    <n v="12800"/>
    <n v="123100"/>
    <s v="E"/>
    <d v="2014-07-11T00:00:00"/>
    <x v="2"/>
  </r>
  <r>
    <x v="4173"/>
    <x v="0"/>
    <n v="39"/>
    <x v="5"/>
    <x v="9"/>
    <x v="1"/>
    <n v="1.8"/>
    <n v="1.8"/>
    <x v="0"/>
    <n v="2"/>
    <x v="0"/>
    <n v="89500"/>
    <n v="10700"/>
    <n v="100200"/>
    <s v="D"/>
    <d v="2024-03-05T00:00:00"/>
    <x v="1"/>
  </r>
  <r>
    <x v="4174"/>
    <x v="0"/>
    <n v="21"/>
    <x v="2"/>
    <x v="4"/>
    <x v="1"/>
    <n v="7.7"/>
    <n v="4.8"/>
    <x v="2"/>
    <n v="3"/>
    <x v="0"/>
    <n v="86900"/>
    <n v="6900"/>
    <n v="93800"/>
    <s v="D"/>
    <d v="2018-04-28T00:00:00"/>
    <x v="1"/>
  </r>
  <r>
    <x v="4175"/>
    <x v="0"/>
    <n v="40"/>
    <x v="1"/>
    <x v="7"/>
    <x v="1"/>
    <n v="1.3"/>
    <n v="0"/>
    <x v="0"/>
    <n v="3"/>
    <x v="0"/>
    <n v="64200"/>
    <n v="3300"/>
    <n v="67500"/>
    <s v="B"/>
    <d v="2024-10-01T00:00:00"/>
    <x v="1"/>
  </r>
  <r>
    <x v="4176"/>
    <x v="1"/>
    <n v="31"/>
    <x v="3"/>
    <x v="5"/>
    <x v="1"/>
    <n v="12.5"/>
    <n v="9.1"/>
    <x v="3"/>
    <n v="1"/>
    <x v="0"/>
    <n v="79900"/>
    <n v="3000"/>
    <n v="82900"/>
    <s v="C"/>
    <d v="2013-07-05T00:00:00"/>
    <x v="1"/>
  </r>
  <r>
    <x v="4177"/>
    <x v="0"/>
    <n v="24"/>
    <x v="1"/>
    <x v="7"/>
    <x v="2"/>
    <n v="12.1"/>
    <n v="6.7"/>
    <x v="3"/>
    <n v="3"/>
    <x v="0"/>
    <n v="88000"/>
    <n v="10100"/>
    <n v="98100"/>
    <s v="D"/>
    <d v="2013-11-21T00:00:00"/>
    <x v="2"/>
  </r>
  <r>
    <x v="4178"/>
    <x v="1"/>
    <n v="28"/>
    <x v="0"/>
    <x v="0"/>
    <x v="2"/>
    <n v="12"/>
    <n v="8"/>
    <x v="3"/>
    <n v="3"/>
    <x v="0"/>
    <n v="131300"/>
    <n v="15800"/>
    <n v="147100"/>
    <s v="E"/>
    <d v="2014-01-19T00:00:00"/>
    <x v="2"/>
  </r>
  <r>
    <x v="4179"/>
    <x v="1"/>
    <n v="41"/>
    <x v="4"/>
    <x v="14"/>
    <x v="1"/>
    <n v="5.2"/>
    <n v="2.5"/>
    <x v="1"/>
    <n v="3"/>
    <x v="0"/>
    <n v="110900"/>
    <n v="14200"/>
    <n v="125100"/>
    <s v="E"/>
    <d v="2020-10-12T00:00:00"/>
    <x v="1"/>
  </r>
  <r>
    <x v="4180"/>
    <x v="0"/>
    <n v="34"/>
    <x v="5"/>
    <x v="9"/>
    <x v="2"/>
    <n v="8.4"/>
    <n v="4.9000000000000004"/>
    <x v="2"/>
    <n v="4"/>
    <x v="0"/>
    <n v="121100"/>
    <n v="17100"/>
    <n v="138200"/>
    <s v="E"/>
    <d v="2017-07-30T00:00:00"/>
    <x v="2"/>
  </r>
  <r>
    <x v="4181"/>
    <x v="0"/>
    <n v="34"/>
    <x v="0"/>
    <x v="2"/>
    <x v="1"/>
    <n v="4.9000000000000004"/>
    <n v="2.4"/>
    <x v="1"/>
    <n v="4"/>
    <x v="1"/>
    <n v="43500"/>
    <n v="5200"/>
    <n v="48700"/>
    <s v="A"/>
    <d v="2021-01-20T00:00:00"/>
    <x v="1"/>
  </r>
  <r>
    <x v="4182"/>
    <x v="0"/>
    <n v="24"/>
    <x v="0"/>
    <x v="1"/>
    <x v="2"/>
    <n v="3.3"/>
    <n v="1"/>
    <x v="1"/>
    <n v="4"/>
    <x v="0"/>
    <n v="84600"/>
    <n v="5300"/>
    <n v="89900"/>
    <s v="D"/>
    <d v="2022-09-17T00:00:00"/>
    <x v="2"/>
  </r>
  <r>
    <x v="4183"/>
    <x v="0"/>
    <n v="24"/>
    <x v="5"/>
    <x v="17"/>
    <x v="1"/>
    <n v="2.2999999999999998"/>
    <n v="2.2999999999999998"/>
    <x v="0"/>
    <n v="4"/>
    <x v="2"/>
    <n v="75700"/>
    <n v="13700"/>
    <n v="89400"/>
    <s v="C"/>
    <d v="2023-09-13T00:00:00"/>
    <x v="1"/>
  </r>
  <r>
    <x v="4184"/>
    <x v="1"/>
    <n v="26"/>
    <x v="3"/>
    <x v="5"/>
    <x v="1"/>
    <n v="2.7"/>
    <n v="1.9"/>
    <x v="0"/>
    <n v="3"/>
    <x v="0"/>
    <n v="64400"/>
    <n v="4300"/>
    <n v="68700"/>
    <s v="B"/>
    <d v="2023-04-03T00:00:00"/>
    <x v="1"/>
  </r>
  <r>
    <x v="4185"/>
    <x v="1"/>
    <n v="36"/>
    <x v="2"/>
    <x v="11"/>
    <x v="2"/>
    <n v="8.6"/>
    <n v="6.1"/>
    <x v="2"/>
    <n v="3"/>
    <x v="0"/>
    <n v="108600"/>
    <n v="8800"/>
    <n v="117400"/>
    <s v="E"/>
    <d v="2017-05-14T00:00:00"/>
    <x v="2"/>
  </r>
  <r>
    <x v="4186"/>
    <x v="0"/>
    <n v="29"/>
    <x v="0"/>
    <x v="1"/>
    <x v="1"/>
    <n v="11.9"/>
    <n v="5.2"/>
    <x v="4"/>
    <n v="3"/>
    <x v="0"/>
    <n v="89100"/>
    <n v="10400"/>
    <n v="99500"/>
    <s v="D"/>
    <d v="2014-02-03T00:00:00"/>
    <x v="1"/>
  </r>
  <r>
    <x v="4187"/>
    <x v="0"/>
    <n v="29"/>
    <x v="5"/>
    <x v="17"/>
    <x v="1"/>
    <n v="4.7"/>
    <n v="1.5"/>
    <x v="1"/>
    <n v="3"/>
    <x v="0"/>
    <n v="102800"/>
    <n v="7800"/>
    <n v="110600"/>
    <s v="E"/>
    <d v="2021-04-06T00:00:00"/>
    <x v="1"/>
  </r>
  <r>
    <x v="4188"/>
    <x v="1"/>
    <n v="28"/>
    <x v="3"/>
    <x v="12"/>
    <x v="2"/>
    <n v="1.3"/>
    <n v="1.3"/>
    <x v="0"/>
    <n v="3"/>
    <x v="2"/>
    <n v="57900"/>
    <n v="2800"/>
    <n v="60700"/>
    <s v="B"/>
    <d v="2024-09-17T00:00:00"/>
    <x v="2"/>
  </r>
  <r>
    <x v="4189"/>
    <x v="1"/>
    <n v="21"/>
    <x v="0"/>
    <x v="0"/>
    <x v="2"/>
    <n v="11.2"/>
    <n v="8.1"/>
    <x v="4"/>
    <n v="3"/>
    <x v="0"/>
    <n v="92200"/>
    <n v="4600"/>
    <n v="96800"/>
    <s v="D"/>
    <d v="2014-11-03T00:00:00"/>
    <x v="2"/>
  </r>
  <r>
    <x v="4190"/>
    <x v="0"/>
    <n v="32"/>
    <x v="1"/>
    <x v="10"/>
    <x v="0"/>
    <n v="12.7"/>
    <n v="7.3"/>
    <x v="3"/>
    <n v="4"/>
    <x v="0"/>
    <n v="111200"/>
    <n v="5300"/>
    <n v="116500"/>
    <s v="E"/>
    <d v="2013-04-17T00:00:00"/>
    <x v="0"/>
  </r>
  <r>
    <x v="4191"/>
    <x v="0"/>
    <n v="38"/>
    <x v="4"/>
    <x v="16"/>
    <x v="2"/>
    <n v="12.5"/>
    <n v="5.5"/>
    <x v="3"/>
    <n v="4"/>
    <x v="0"/>
    <n v="105600"/>
    <n v="8700"/>
    <n v="114300"/>
    <s v="E"/>
    <d v="2013-07-13T00:00:00"/>
    <x v="2"/>
  </r>
  <r>
    <x v="4192"/>
    <x v="0"/>
    <n v="39"/>
    <x v="4"/>
    <x v="8"/>
    <x v="0"/>
    <n v="2.5"/>
    <n v="2.5"/>
    <x v="0"/>
    <n v="4"/>
    <x v="0"/>
    <n v="76100"/>
    <n v="8900"/>
    <n v="85000"/>
    <s v="C"/>
    <d v="2023-06-30T00:00:00"/>
    <x v="0"/>
  </r>
  <r>
    <x v="4193"/>
    <x v="1"/>
    <n v="42"/>
    <x v="2"/>
    <x v="11"/>
    <x v="2"/>
    <n v="11.6"/>
    <n v="7.9"/>
    <x v="4"/>
    <n v="3"/>
    <x v="0"/>
    <n v="112800"/>
    <n v="10300"/>
    <n v="123100"/>
    <s v="E"/>
    <d v="2014-05-18T00:00:00"/>
    <x v="2"/>
  </r>
  <r>
    <x v="4194"/>
    <x v="1"/>
    <n v="54"/>
    <x v="2"/>
    <x v="4"/>
    <x v="1"/>
    <n v="9.4"/>
    <n v="4.4000000000000004"/>
    <x v="4"/>
    <n v="3"/>
    <x v="2"/>
    <n v="63500"/>
    <n v="5500"/>
    <n v="69000"/>
    <s v="B"/>
    <d v="2016-07-22T00:00:00"/>
    <x v="1"/>
  </r>
  <r>
    <x v="4195"/>
    <x v="1"/>
    <n v="34"/>
    <x v="4"/>
    <x v="8"/>
    <x v="3"/>
    <n v="3.5"/>
    <n v="2.6"/>
    <x v="1"/>
    <n v="4"/>
    <x v="0"/>
    <n v="93400"/>
    <n v="7600"/>
    <n v="101000"/>
    <s v="D"/>
    <d v="2022-06-17T00:00:00"/>
    <x v="3"/>
  </r>
  <r>
    <x v="4196"/>
    <x v="1"/>
    <n v="37"/>
    <x v="3"/>
    <x v="5"/>
    <x v="2"/>
    <n v="6.3"/>
    <n v="3.2"/>
    <x v="2"/>
    <n v="4"/>
    <x v="0"/>
    <n v="95100"/>
    <n v="6400"/>
    <n v="101500"/>
    <s v="D"/>
    <d v="2019-08-28T00:00:00"/>
    <x v="2"/>
  </r>
  <r>
    <x v="4197"/>
    <x v="1"/>
    <n v="28"/>
    <x v="0"/>
    <x v="0"/>
    <x v="1"/>
    <n v="13.1"/>
    <n v="9.1"/>
    <x v="3"/>
    <n v="2"/>
    <x v="0"/>
    <n v="108400"/>
    <n v="14200"/>
    <n v="122600"/>
    <s v="E"/>
    <d v="2012-11-11T00:00:00"/>
    <x v="1"/>
  </r>
  <r>
    <x v="4198"/>
    <x v="0"/>
    <n v="48"/>
    <x v="3"/>
    <x v="12"/>
    <x v="2"/>
    <n v="11"/>
    <n v="5.3"/>
    <x v="4"/>
    <n v="3"/>
    <x v="0"/>
    <n v="82500"/>
    <n v="2600"/>
    <n v="85100"/>
    <s v="D"/>
    <d v="2015-01-02T00:00:00"/>
    <x v="2"/>
  </r>
  <r>
    <x v="4199"/>
    <x v="0"/>
    <n v="36"/>
    <x v="2"/>
    <x v="4"/>
    <x v="2"/>
    <n v="5.4"/>
    <n v="4.9000000000000004"/>
    <x v="1"/>
    <n v="3"/>
    <x v="0"/>
    <n v="71800"/>
    <n v="6400"/>
    <n v="78200"/>
    <s v="C"/>
    <d v="2020-07-25T00:00:00"/>
    <x v="2"/>
  </r>
  <r>
    <x v="4200"/>
    <x v="0"/>
    <n v="39"/>
    <x v="4"/>
    <x v="16"/>
    <x v="1"/>
    <n v="7"/>
    <n v="2.8"/>
    <x v="2"/>
    <n v="1"/>
    <x v="1"/>
    <n v="60400"/>
    <n v="8400"/>
    <n v="68800"/>
    <s v="B"/>
    <d v="2019-01-15T00:00:00"/>
    <x v="1"/>
  </r>
  <r>
    <x v="4201"/>
    <x v="1"/>
    <n v="54"/>
    <x v="1"/>
    <x v="10"/>
    <x v="1"/>
    <n v="3.2"/>
    <n v="0.9"/>
    <x v="1"/>
    <n v="5"/>
    <x v="2"/>
    <n v="92400"/>
    <n v="9400"/>
    <n v="101800"/>
    <s v="D"/>
    <d v="2022-10-09T00:00:00"/>
    <x v="1"/>
  </r>
  <r>
    <x v="4202"/>
    <x v="1"/>
    <n v="24"/>
    <x v="0"/>
    <x v="1"/>
    <x v="1"/>
    <n v="13.2"/>
    <n v="7.2"/>
    <x v="3"/>
    <n v="4"/>
    <x v="0"/>
    <n v="89600"/>
    <n v="5600"/>
    <n v="95200"/>
    <s v="D"/>
    <d v="2012-10-13T00:00:00"/>
    <x v="1"/>
  </r>
  <r>
    <x v="4203"/>
    <x v="0"/>
    <n v="45"/>
    <x v="0"/>
    <x v="2"/>
    <x v="2"/>
    <n v="2.2000000000000002"/>
    <n v="1"/>
    <x v="0"/>
    <n v="4"/>
    <x v="2"/>
    <n v="63100"/>
    <n v="7600"/>
    <n v="70700"/>
    <s v="B"/>
    <d v="2023-11-07T00:00:00"/>
    <x v="2"/>
  </r>
  <r>
    <x v="4204"/>
    <x v="0"/>
    <n v="26"/>
    <x v="0"/>
    <x v="2"/>
    <x v="1"/>
    <n v="3.1"/>
    <n v="1"/>
    <x v="1"/>
    <n v="3"/>
    <x v="0"/>
    <n v="64000"/>
    <n v="5500"/>
    <n v="69500"/>
    <s v="B"/>
    <d v="2022-11-16T00:00:00"/>
    <x v="1"/>
  </r>
  <r>
    <x v="4205"/>
    <x v="1"/>
    <n v="41"/>
    <x v="1"/>
    <x v="7"/>
    <x v="2"/>
    <n v="6.8"/>
    <n v="4"/>
    <x v="2"/>
    <n v="4"/>
    <x v="1"/>
    <n v="50800"/>
    <n v="4800"/>
    <n v="55600"/>
    <s v="B"/>
    <d v="2019-03-03T00:00:00"/>
    <x v="2"/>
  </r>
  <r>
    <x v="4206"/>
    <x v="0"/>
    <n v="44"/>
    <x v="5"/>
    <x v="17"/>
    <x v="0"/>
    <n v="3.1"/>
    <n v="2.5"/>
    <x v="1"/>
    <n v="4"/>
    <x v="0"/>
    <n v="105200"/>
    <n v="10500"/>
    <n v="115700"/>
    <s v="E"/>
    <d v="2022-11-29T00:00:00"/>
    <x v="0"/>
  </r>
  <r>
    <x v="4207"/>
    <x v="0"/>
    <n v="42"/>
    <x v="1"/>
    <x v="10"/>
    <x v="1"/>
    <n v="8.8000000000000007"/>
    <n v="4.3"/>
    <x v="2"/>
    <n v="3"/>
    <x v="0"/>
    <n v="111500"/>
    <n v="7400"/>
    <n v="118900"/>
    <s v="E"/>
    <d v="2017-03-01T00:00:00"/>
    <x v="1"/>
  </r>
  <r>
    <x v="4208"/>
    <x v="1"/>
    <n v="30"/>
    <x v="4"/>
    <x v="14"/>
    <x v="1"/>
    <n v="11"/>
    <n v="7.6"/>
    <x v="4"/>
    <n v="3"/>
    <x v="0"/>
    <n v="115800"/>
    <n v="9100"/>
    <n v="124900"/>
    <s v="E"/>
    <d v="2014-12-14T00:00:00"/>
    <x v="1"/>
  </r>
  <r>
    <x v="4209"/>
    <x v="0"/>
    <n v="34"/>
    <x v="3"/>
    <x v="12"/>
    <x v="1"/>
    <n v="5.2"/>
    <n v="3.1"/>
    <x v="1"/>
    <n v="4"/>
    <x v="0"/>
    <n v="62600"/>
    <n v="3900"/>
    <n v="66500"/>
    <s v="B"/>
    <d v="2020-10-15T00:00:00"/>
    <x v="1"/>
  </r>
  <r>
    <x v="4210"/>
    <x v="0"/>
    <n v="38"/>
    <x v="0"/>
    <x v="1"/>
    <x v="1"/>
    <n v="6.8"/>
    <n v="2.2000000000000002"/>
    <x v="2"/>
    <n v="3"/>
    <x v="0"/>
    <n v="71200"/>
    <n v="8100"/>
    <n v="79300"/>
    <s v="C"/>
    <d v="2019-03-23T00:00:00"/>
    <x v="1"/>
  </r>
  <r>
    <x v="4211"/>
    <x v="1"/>
    <n v="52"/>
    <x v="1"/>
    <x v="10"/>
    <x v="1"/>
    <n v="8.1999999999999993"/>
    <n v="6.5"/>
    <x v="2"/>
    <n v="3"/>
    <x v="0"/>
    <n v="86700"/>
    <n v="6400"/>
    <n v="93100"/>
    <s v="D"/>
    <d v="2017-10-27T00:00:00"/>
    <x v="1"/>
  </r>
  <r>
    <x v="4212"/>
    <x v="0"/>
    <n v="36"/>
    <x v="4"/>
    <x v="8"/>
    <x v="1"/>
    <n v="13.7"/>
    <n v="9.8000000000000007"/>
    <x v="3"/>
    <n v="3"/>
    <x v="0"/>
    <n v="88900"/>
    <n v="7100"/>
    <n v="96000"/>
    <s v="D"/>
    <d v="2012-04-27T00:00:00"/>
    <x v="1"/>
  </r>
  <r>
    <x v="4213"/>
    <x v="1"/>
    <n v="45"/>
    <x v="4"/>
    <x v="14"/>
    <x v="1"/>
    <n v="8"/>
    <n v="5.4"/>
    <x v="2"/>
    <n v="3"/>
    <x v="0"/>
    <n v="116500"/>
    <n v="11400"/>
    <n v="127900"/>
    <s v="E"/>
    <d v="2017-12-21T00:00:00"/>
    <x v="1"/>
  </r>
  <r>
    <x v="4214"/>
    <x v="0"/>
    <n v="34"/>
    <x v="0"/>
    <x v="2"/>
    <x v="1"/>
    <n v="13.2"/>
    <n v="8"/>
    <x v="3"/>
    <n v="3"/>
    <x v="0"/>
    <n v="78000"/>
    <n v="6000"/>
    <n v="84000"/>
    <s v="C"/>
    <d v="2012-11-03T00:00:00"/>
    <x v="1"/>
  </r>
  <r>
    <x v="4215"/>
    <x v="1"/>
    <n v="32"/>
    <x v="0"/>
    <x v="1"/>
    <x v="1"/>
    <n v="4.2"/>
    <n v="3.9"/>
    <x v="1"/>
    <n v="3"/>
    <x v="0"/>
    <n v="65600"/>
    <n v="6700"/>
    <n v="72300"/>
    <s v="C"/>
    <d v="2021-10-28T00:00:00"/>
    <x v="1"/>
  </r>
  <r>
    <x v="4216"/>
    <x v="1"/>
    <n v="45"/>
    <x v="0"/>
    <x v="2"/>
    <x v="2"/>
    <n v="9.1999999999999993"/>
    <n v="6.5"/>
    <x v="4"/>
    <n v="3"/>
    <x v="2"/>
    <n v="62000"/>
    <n v="5000"/>
    <n v="67000"/>
    <s v="B"/>
    <d v="2016-10-28T00:00:00"/>
    <x v="2"/>
  </r>
  <r>
    <x v="4217"/>
    <x v="1"/>
    <n v="34"/>
    <x v="4"/>
    <x v="8"/>
    <x v="0"/>
    <n v="12.3"/>
    <n v="7.3"/>
    <x v="3"/>
    <n v="2"/>
    <x v="0"/>
    <n v="80200"/>
    <n v="9800"/>
    <n v="90000"/>
    <s v="D"/>
    <d v="2013-09-02T00:00:00"/>
    <x v="0"/>
  </r>
  <r>
    <x v="4218"/>
    <x v="1"/>
    <n v="41"/>
    <x v="1"/>
    <x v="3"/>
    <x v="0"/>
    <n v="5.7"/>
    <n v="3.6"/>
    <x v="1"/>
    <n v="3"/>
    <x v="0"/>
    <n v="61800"/>
    <n v="2500"/>
    <n v="64300"/>
    <s v="B"/>
    <d v="2020-04-26T00:00:00"/>
    <x v="0"/>
  </r>
  <r>
    <x v="4219"/>
    <x v="1"/>
    <n v="46"/>
    <x v="1"/>
    <x v="7"/>
    <x v="1"/>
    <n v="2.7"/>
    <n v="2.7"/>
    <x v="0"/>
    <n v="2"/>
    <x v="0"/>
    <n v="70000"/>
    <n v="4800"/>
    <n v="74800"/>
    <s v="C"/>
    <d v="2023-05-05T00:00:00"/>
    <x v="1"/>
  </r>
  <r>
    <x v="4220"/>
    <x v="0"/>
    <n v="45"/>
    <x v="1"/>
    <x v="3"/>
    <x v="2"/>
    <n v="12.3"/>
    <n v="5.9"/>
    <x v="3"/>
    <n v="2"/>
    <x v="0"/>
    <n v="87100"/>
    <n v="6400"/>
    <n v="93500"/>
    <s v="D"/>
    <d v="2013-09-19T00:00:00"/>
    <x v="2"/>
  </r>
  <r>
    <x v="4221"/>
    <x v="1"/>
    <n v="46"/>
    <x v="5"/>
    <x v="15"/>
    <x v="1"/>
    <n v="11"/>
    <n v="8.3000000000000007"/>
    <x v="4"/>
    <n v="4"/>
    <x v="1"/>
    <n v="47300"/>
    <n v="5100"/>
    <n v="52400"/>
    <s v="A"/>
    <d v="2015-01-18T00:00:00"/>
    <x v="1"/>
  </r>
  <r>
    <x v="4222"/>
    <x v="1"/>
    <n v="39"/>
    <x v="5"/>
    <x v="15"/>
    <x v="2"/>
    <n v="8.5"/>
    <n v="6.4"/>
    <x v="2"/>
    <n v="5"/>
    <x v="1"/>
    <n v="41700"/>
    <n v="5400"/>
    <n v="47100"/>
    <s v="A"/>
    <d v="2017-06-23T00:00:00"/>
    <x v="2"/>
  </r>
  <r>
    <x v="4223"/>
    <x v="1"/>
    <n v="35"/>
    <x v="0"/>
    <x v="0"/>
    <x v="1"/>
    <n v="10.3"/>
    <n v="6.3"/>
    <x v="4"/>
    <n v="3"/>
    <x v="0"/>
    <n v="99200"/>
    <n v="8400"/>
    <n v="107600"/>
    <s v="D"/>
    <d v="2015-09-01T00:00:00"/>
    <x v="1"/>
  </r>
  <r>
    <x v="4224"/>
    <x v="0"/>
    <n v="42"/>
    <x v="5"/>
    <x v="17"/>
    <x v="1"/>
    <n v="11.6"/>
    <n v="7.7"/>
    <x v="4"/>
    <n v="3"/>
    <x v="1"/>
    <n v="70100"/>
    <n v="10200"/>
    <n v="80300"/>
    <s v="C"/>
    <d v="2014-06-12T00:00:00"/>
    <x v="1"/>
  </r>
  <r>
    <x v="4225"/>
    <x v="1"/>
    <n v="29"/>
    <x v="3"/>
    <x v="5"/>
    <x v="1"/>
    <n v="6.2"/>
    <n v="4.4000000000000004"/>
    <x v="2"/>
    <n v="5"/>
    <x v="0"/>
    <n v="65400"/>
    <n v="4200"/>
    <n v="69600"/>
    <s v="C"/>
    <d v="2019-10-15T00:00:00"/>
    <x v="1"/>
  </r>
  <r>
    <x v="4226"/>
    <x v="0"/>
    <n v="35"/>
    <x v="4"/>
    <x v="14"/>
    <x v="1"/>
    <n v="2"/>
    <n v="0"/>
    <x v="0"/>
    <n v="4"/>
    <x v="2"/>
    <n v="85300"/>
    <n v="5500"/>
    <n v="90800"/>
    <s v="D"/>
    <d v="2023-12-29T00:00:00"/>
    <x v="1"/>
  </r>
  <r>
    <x v="4227"/>
    <x v="0"/>
    <n v="26"/>
    <x v="2"/>
    <x v="18"/>
    <x v="1"/>
    <n v="12.6"/>
    <n v="11"/>
    <x v="3"/>
    <n v="2"/>
    <x v="0"/>
    <n v="66600"/>
    <n v="2900"/>
    <n v="69500"/>
    <s v="C"/>
    <d v="2013-06-12T00:00:00"/>
    <x v="1"/>
  </r>
  <r>
    <x v="4228"/>
    <x v="0"/>
    <n v="33"/>
    <x v="2"/>
    <x v="18"/>
    <x v="1"/>
    <n v="9.4"/>
    <n v="7.1"/>
    <x v="4"/>
    <n v="2"/>
    <x v="1"/>
    <n v="44300"/>
    <n v="3300"/>
    <n v="47600"/>
    <s v="A"/>
    <d v="2016-08-08T00:00:00"/>
    <x v="1"/>
  </r>
  <r>
    <x v="4229"/>
    <x v="0"/>
    <n v="22"/>
    <x v="5"/>
    <x v="17"/>
    <x v="1"/>
    <n v="9.3000000000000007"/>
    <n v="5.2"/>
    <x v="4"/>
    <n v="3"/>
    <x v="0"/>
    <n v="114100"/>
    <n v="11100"/>
    <n v="125200"/>
    <s v="E"/>
    <d v="2016-09-16T00:00:00"/>
    <x v="1"/>
  </r>
  <r>
    <x v="4230"/>
    <x v="1"/>
    <n v="30"/>
    <x v="0"/>
    <x v="1"/>
    <x v="0"/>
    <n v="12.6"/>
    <n v="8"/>
    <x v="3"/>
    <n v="3"/>
    <x v="0"/>
    <n v="76800"/>
    <n v="9400"/>
    <n v="86200"/>
    <s v="C"/>
    <d v="2013-05-12T00:00:00"/>
    <x v="0"/>
  </r>
  <r>
    <x v="4231"/>
    <x v="0"/>
    <n v="50"/>
    <x v="2"/>
    <x v="18"/>
    <x v="2"/>
    <n v="8.6999999999999993"/>
    <n v="5"/>
    <x v="2"/>
    <n v="3"/>
    <x v="0"/>
    <n v="71600"/>
    <n v="7200"/>
    <n v="78800"/>
    <s v="C"/>
    <d v="2017-04-05T00:00:00"/>
    <x v="2"/>
  </r>
  <r>
    <x v="4232"/>
    <x v="1"/>
    <n v="41"/>
    <x v="4"/>
    <x v="6"/>
    <x v="2"/>
    <n v="2.8"/>
    <n v="1"/>
    <x v="0"/>
    <n v="4"/>
    <x v="0"/>
    <n v="72600"/>
    <n v="8900"/>
    <n v="81500"/>
    <s v="C"/>
    <d v="2023-03-27T00:00:00"/>
    <x v="2"/>
  </r>
  <r>
    <x v="4233"/>
    <x v="0"/>
    <n v="43"/>
    <x v="3"/>
    <x v="12"/>
    <x v="1"/>
    <n v="6.6"/>
    <n v="3.8"/>
    <x v="2"/>
    <n v="3"/>
    <x v="0"/>
    <n v="65100"/>
    <n v="5000"/>
    <n v="70100"/>
    <s v="C"/>
    <d v="2019-05-24T00:00:00"/>
    <x v="1"/>
  </r>
  <r>
    <x v="4234"/>
    <x v="1"/>
    <n v="63"/>
    <x v="3"/>
    <x v="13"/>
    <x v="2"/>
    <n v="3.3"/>
    <n v="3.3"/>
    <x v="1"/>
    <n v="3"/>
    <x v="0"/>
    <n v="102200"/>
    <n v="8800"/>
    <n v="111000"/>
    <s v="E"/>
    <d v="2022-09-26T00:00:00"/>
    <x v="2"/>
  </r>
  <r>
    <x v="4235"/>
    <x v="1"/>
    <n v="39"/>
    <x v="0"/>
    <x v="2"/>
    <x v="2"/>
    <n v="10.7"/>
    <n v="5.2"/>
    <x v="4"/>
    <n v="3"/>
    <x v="0"/>
    <n v="74000"/>
    <n v="8200"/>
    <n v="82200"/>
    <s v="C"/>
    <d v="2015-04-05T00:00:00"/>
    <x v="2"/>
  </r>
  <r>
    <x v="4236"/>
    <x v="0"/>
    <n v="38"/>
    <x v="1"/>
    <x v="10"/>
    <x v="2"/>
    <n v="5.9"/>
    <n v="5.0999999999999996"/>
    <x v="1"/>
    <n v="4"/>
    <x v="0"/>
    <n v="111600"/>
    <n v="10900"/>
    <n v="122500"/>
    <s v="E"/>
    <d v="2020-01-29T00:00:00"/>
    <x v="2"/>
  </r>
  <r>
    <x v="4237"/>
    <x v="1"/>
    <n v="34"/>
    <x v="1"/>
    <x v="3"/>
    <x v="2"/>
    <n v="10.8"/>
    <n v="5"/>
    <x v="4"/>
    <n v="4"/>
    <x v="0"/>
    <n v="90900"/>
    <n v="6500"/>
    <n v="97400"/>
    <s v="D"/>
    <d v="2015-03-05T00:00:00"/>
    <x v="2"/>
  </r>
  <r>
    <x v="4238"/>
    <x v="0"/>
    <n v="34"/>
    <x v="2"/>
    <x v="11"/>
    <x v="1"/>
    <n v="13.7"/>
    <n v="8.9"/>
    <x v="3"/>
    <n v="3"/>
    <x v="0"/>
    <n v="110500"/>
    <n v="8700"/>
    <n v="119200"/>
    <s v="E"/>
    <d v="2012-04-22T00:00:00"/>
    <x v="1"/>
  </r>
  <r>
    <x v="4239"/>
    <x v="0"/>
    <n v="40"/>
    <x v="0"/>
    <x v="1"/>
    <x v="2"/>
    <n v="8.8000000000000007"/>
    <n v="6.7"/>
    <x v="2"/>
    <n v="1"/>
    <x v="0"/>
    <n v="75100"/>
    <n v="5400"/>
    <n v="80500"/>
    <s v="C"/>
    <d v="2017-03-13T00:00:00"/>
    <x v="2"/>
  </r>
  <r>
    <x v="4240"/>
    <x v="1"/>
    <n v="32"/>
    <x v="5"/>
    <x v="9"/>
    <x v="1"/>
    <n v="6.3"/>
    <n v="5.8"/>
    <x v="2"/>
    <n v="5"/>
    <x v="0"/>
    <n v="105500"/>
    <n v="9600"/>
    <n v="115100"/>
    <s v="E"/>
    <d v="2019-09-15T00:00:00"/>
    <x v="1"/>
  </r>
  <r>
    <x v="4241"/>
    <x v="1"/>
    <n v="26"/>
    <x v="1"/>
    <x v="7"/>
    <x v="1"/>
    <n v="5.9"/>
    <n v="5"/>
    <x v="1"/>
    <n v="3"/>
    <x v="0"/>
    <n v="89100"/>
    <n v="5400"/>
    <n v="94500"/>
    <s v="D"/>
    <d v="2020-02-02T00:00:00"/>
    <x v="1"/>
  </r>
  <r>
    <x v="4242"/>
    <x v="1"/>
    <n v="43"/>
    <x v="4"/>
    <x v="14"/>
    <x v="1"/>
    <n v="9.6999999999999993"/>
    <n v="5.0999999999999996"/>
    <x v="4"/>
    <n v="3"/>
    <x v="2"/>
    <n v="87400"/>
    <n v="9500"/>
    <n v="96900"/>
    <s v="D"/>
    <d v="2016-04-24T00:00:00"/>
    <x v="1"/>
  </r>
  <r>
    <x v="4243"/>
    <x v="0"/>
    <n v="37"/>
    <x v="1"/>
    <x v="7"/>
    <x v="1"/>
    <n v="13.5"/>
    <n v="8.6999999999999993"/>
    <x v="3"/>
    <n v="3"/>
    <x v="0"/>
    <n v="98200"/>
    <n v="10700"/>
    <n v="108900"/>
    <s v="D"/>
    <d v="2012-06-15T00:00:00"/>
    <x v="1"/>
  </r>
  <r>
    <x v="4244"/>
    <x v="1"/>
    <n v="47"/>
    <x v="3"/>
    <x v="13"/>
    <x v="1"/>
    <n v="9.6"/>
    <n v="8.5"/>
    <x v="4"/>
    <n v="3"/>
    <x v="0"/>
    <n v="111200"/>
    <n v="4500"/>
    <n v="115700"/>
    <s v="E"/>
    <d v="2016-05-12T00:00:00"/>
    <x v="1"/>
  </r>
  <r>
    <x v="4245"/>
    <x v="0"/>
    <n v="38"/>
    <x v="2"/>
    <x v="18"/>
    <x v="2"/>
    <n v="1.2"/>
    <n v="0"/>
    <x v="0"/>
    <n v="3"/>
    <x v="0"/>
    <n v="63900"/>
    <n v="4900"/>
    <n v="68800"/>
    <s v="B"/>
    <d v="2024-10-13T00:00:00"/>
    <x v="2"/>
  </r>
  <r>
    <x v="4246"/>
    <x v="1"/>
    <n v="49"/>
    <x v="0"/>
    <x v="2"/>
    <x v="1"/>
    <n v="12.3"/>
    <n v="8.1999999999999993"/>
    <x v="3"/>
    <n v="4"/>
    <x v="0"/>
    <n v="80200"/>
    <n v="9600"/>
    <n v="89800"/>
    <s v="D"/>
    <d v="2013-08-31T00:00:00"/>
    <x v="1"/>
  </r>
  <r>
    <x v="4247"/>
    <x v="1"/>
    <n v="43"/>
    <x v="4"/>
    <x v="14"/>
    <x v="1"/>
    <n v="6"/>
    <n v="3.1"/>
    <x v="2"/>
    <n v="4"/>
    <x v="0"/>
    <n v="118900"/>
    <n v="11600"/>
    <n v="130500"/>
    <s v="E"/>
    <d v="2020-01-19T00:00:00"/>
    <x v="1"/>
  </r>
  <r>
    <x v="4248"/>
    <x v="1"/>
    <n v="34"/>
    <x v="1"/>
    <x v="7"/>
    <x v="3"/>
    <n v="10.8"/>
    <n v="8.3000000000000007"/>
    <x v="4"/>
    <n v="2"/>
    <x v="0"/>
    <n v="79400"/>
    <n v="4000"/>
    <n v="83400"/>
    <s v="C"/>
    <d v="2015-03-30T00:00:00"/>
    <x v="3"/>
  </r>
  <r>
    <x v="4249"/>
    <x v="0"/>
    <n v="42"/>
    <x v="3"/>
    <x v="13"/>
    <x v="1"/>
    <n v="11.1"/>
    <n v="3.9"/>
    <x v="4"/>
    <n v="3"/>
    <x v="0"/>
    <n v="107400"/>
    <n v="5100"/>
    <n v="112500"/>
    <s v="E"/>
    <d v="2014-11-28T00:00:00"/>
    <x v="1"/>
  </r>
  <r>
    <x v="4250"/>
    <x v="1"/>
    <n v="34"/>
    <x v="2"/>
    <x v="18"/>
    <x v="1"/>
    <n v="7.9"/>
    <n v="3"/>
    <x v="2"/>
    <n v="4"/>
    <x v="0"/>
    <n v="68200"/>
    <n v="2700"/>
    <n v="70900"/>
    <s v="C"/>
    <d v="2018-01-25T00:00:00"/>
    <x v="1"/>
  </r>
  <r>
    <x v="4251"/>
    <x v="1"/>
    <n v="34"/>
    <x v="1"/>
    <x v="10"/>
    <x v="1"/>
    <n v="6.6"/>
    <n v="4.2"/>
    <x v="2"/>
    <n v="3"/>
    <x v="0"/>
    <n v="97300"/>
    <n v="10800"/>
    <n v="108100"/>
    <s v="D"/>
    <d v="2019-06-06T00:00:00"/>
    <x v="1"/>
  </r>
  <r>
    <x v="4252"/>
    <x v="0"/>
    <n v="39"/>
    <x v="3"/>
    <x v="5"/>
    <x v="2"/>
    <n v="11.1"/>
    <n v="6.6"/>
    <x v="4"/>
    <n v="2"/>
    <x v="0"/>
    <n v="78200"/>
    <n v="2500"/>
    <n v="80700"/>
    <s v="C"/>
    <d v="2014-11-26T00:00:00"/>
    <x v="2"/>
  </r>
  <r>
    <x v="4253"/>
    <x v="1"/>
    <n v="29"/>
    <x v="1"/>
    <x v="7"/>
    <x v="1"/>
    <n v="3.9"/>
    <n v="2.4"/>
    <x v="1"/>
    <n v="3"/>
    <x v="0"/>
    <n v="77600"/>
    <n v="3700"/>
    <n v="81300"/>
    <s v="C"/>
    <d v="2022-01-24T00:00:00"/>
    <x v="1"/>
  </r>
  <r>
    <x v="4254"/>
    <x v="0"/>
    <n v="26"/>
    <x v="4"/>
    <x v="14"/>
    <x v="2"/>
    <n v="10"/>
    <n v="6.2"/>
    <x v="4"/>
    <n v="4"/>
    <x v="1"/>
    <n v="75900"/>
    <n v="8700"/>
    <n v="84600"/>
    <s v="C"/>
    <d v="2016-01-07T00:00:00"/>
    <x v="2"/>
  </r>
  <r>
    <x v="4255"/>
    <x v="1"/>
    <n v="55"/>
    <x v="0"/>
    <x v="1"/>
    <x v="2"/>
    <n v="11.4"/>
    <n v="6.1"/>
    <x v="4"/>
    <n v="3"/>
    <x v="1"/>
    <n v="47500"/>
    <n v="4800"/>
    <n v="52300"/>
    <s v="A"/>
    <d v="2014-07-29T00:00:00"/>
    <x v="2"/>
  </r>
  <r>
    <x v="4256"/>
    <x v="1"/>
    <n v="35"/>
    <x v="0"/>
    <x v="0"/>
    <x v="2"/>
    <n v="4.2"/>
    <n v="1.1000000000000001"/>
    <x v="1"/>
    <n v="3"/>
    <x v="0"/>
    <n v="108600"/>
    <n v="5600"/>
    <n v="114200"/>
    <s v="E"/>
    <d v="2021-10-25T00:00:00"/>
    <x v="2"/>
  </r>
  <r>
    <x v="4257"/>
    <x v="1"/>
    <n v="21"/>
    <x v="4"/>
    <x v="14"/>
    <x v="0"/>
    <n v="1.9"/>
    <n v="0.4"/>
    <x v="0"/>
    <n v="2"/>
    <x v="1"/>
    <n v="58000"/>
    <n v="3200"/>
    <n v="61200"/>
    <s v="B"/>
    <d v="2024-02-01T00:00:00"/>
    <x v="0"/>
  </r>
  <r>
    <x v="4258"/>
    <x v="0"/>
    <n v="30"/>
    <x v="5"/>
    <x v="9"/>
    <x v="2"/>
    <n v="13.2"/>
    <n v="8.8000000000000007"/>
    <x v="3"/>
    <n v="3"/>
    <x v="0"/>
    <n v="95600"/>
    <n v="12800"/>
    <n v="108400"/>
    <s v="D"/>
    <d v="2012-10-04T00:00:00"/>
    <x v="2"/>
  </r>
  <r>
    <x v="4259"/>
    <x v="1"/>
    <n v="33"/>
    <x v="0"/>
    <x v="2"/>
    <x v="1"/>
    <n v="6.1"/>
    <n v="5.5"/>
    <x v="2"/>
    <n v="5"/>
    <x v="0"/>
    <n v="75000"/>
    <n v="6400"/>
    <n v="81400"/>
    <s v="C"/>
    <d v="2019-11-23T00:00:00"/>
    <x v="1"/>
  </r>
  <r>
    <x v="4260"/>
    <x v="1"/>
    <n v="37"/>
    <x v="1"/>
    <x v="7"/>
    <x v="0"/>
    <n v="7.6"/>
    <n v="6.3"/>
    <x v="2"/>
    <n v="4"/>
    <x v="0"/>
    <n v="79500"/>
    <n v="9100"/>
    <n v="88600"/>
    <s v="C"/>
    <d v="2018-05-24T00:00:00"/>
    <x v="0"/>
  </r>
  <r>
    <x v="4261"/>
    <x v="0"/>
    <n v="40"/>
    <x v="4"/>
    <x v="16"/>
    <x v="1"/>
    <n v="9.9"/>
    <n v="4.3"/>
    <x v="4"/>
    <n v="2"/>
    <x v="1"/>
    <n v="61800"/>
    <n v="4800"/>
    <n v="66600"/>
    <s v="B"/>
    <d v="2016-01-22T00:00:00"/>
    <x v="1"/>
  </r>
  <r>
    <x v="4262"/>
    <x v="1"/>
    <n v="45"/>
    <x v="2"/>
    <x v="11"/>
    <x v="1"/>
    <n v="1.9"/>
    <m/>
    <x v="0"/>
    <n v="3"/>
    <x v="0"/>
    <n v="90700"/>
    <n v="8300"/>
    <n v="99000"/>
    <s v="D"/>
    <d v="2024-01-25T00:00:00"/>
    <x v="1"/>
  </r>
  <r>
    <x v="4263"/>
    <x v="1"/>
    <n v="34"/>
    <x v="5"/>
    <x v="15"/>
    <x v="1"/>
    <n v="1"/>
    <n v="1"/>
    <x v="0"/>
    <n v="2"/>
    <x v="0"/>
    <n v="60200"/>
    <n v="6300"/>
    <n v="66500"/>
    <s v="B"/>
    <d v="2024-12-24T00:00:00"/>
    <x v="1"/>
  </r>
  <r>
    <x v="4264"/>
    <x v="1"/>
    <n v="29"/>
    <x v="1"/>
    <x v="3"/>
    <x v="1"/>
    <n v="10"/>
    <n v="4.8"/>
    <x v="4"/>
    <n v="3"/>
    <x v="0"/>
    <n v="79400"/>
    <n v="8200"/>
    <n v="87600"/>
    <s v="C"/>
    <d v="2016-01-18T00:00:00"/>
    <x v="1"/>
  </r>
  <r>
    <x v="4265"/>
    <x v="1"/>
    <n v="38"/>
    <x v="2"/>
    <x v="4"/>
    <x v="4"/>
    <n v="5.2"/>
    <n v="3.7"/>
    <x v="1"/>
    <n v="3"/>
    <x v="1"/>
    <n v="45700"/>
    <n v="4400"/>
    <n v="50100"/>
    <s v="A"/>
    <d v="2020-10-07T00:00:00"/>
    <x v="4"/>
  </r>
  <r>
    <x v="4266"/>
    <x v="1"/>
    <n v="48"/>
    <x v="1"/>
    <x v="7"/>
    <x v="0"/>
    <n v="12.5"/>
    <n v="6.2"/>
    <x v="3"/>
    <n v="5"/>
    <x v="0"/>
    <n v="87300"/>
    <n v="4700"/>
    <n v="92000"/>
    <s v="D"/>
    <d v="2013-06-16T00:00:00"/>
    <x v="0"/>
  </r>
  <r>
    <x v="4267"/>
    <x v="1"/>
    <n v="29"/>
    <x v="4"/>
    <x v="6"/>
    <x v="2"/>
    <n v="11.4"/>
    <n v="8.4"/>
    <x v="4"/>
    <n v="2"/>
    <x v="0"/>
    <n v="74100"/>
    <n v="9100"/>
    <n v="83200"/>
    <s v="C"/>
    <d v="2014-08-12T00:00:00"/>
    <x v="2"/>
  </r>
  <r>
    <x v="4268"/>
    <x v="1"/>
    <n v="37"/>
    <x v="3"/>
    <x v="5"/>
    <x v="1"/>
    <n v="3.8"/>
    <n v="3.8"/>
    <x v="1"/>
    <n v="3"/>
    <x v="1"/>
    <n v="49900"/>
    <n v="1900"/>
    <n v="51800"/>
    <s v="A"/>
    <d v="2022-03-25T00:00:00"/>
    <x v="1"/>
  </r>
  <r>
    <x v="4269"/>
    <x v="1"/>
    <n v="38"/>
    <x v="4"/>
    <x v="6"/>
    <x v="1"/>
    <n v="1.1000000000000001"/>
    <n v="0.5"/>
    <x v="0"/>
    <n v="4"/>
    <x v="0"/>
    <n v="72500"/>
    <n v="8900"/>
    <n v="81400"/>
    <s v="C"/>
    <d v="2024-11-28T00:00:00"/>
    <x v="1"/>
  </r>
  <r>
    <x v="4270"/>
    <x v="1"/>
    <n v="30"/>
    <x v="3"/>
    <x v="13"/>
    <x v="2"/>
    <n v="3.3"/>
    <n v="2.4"/>
    <x v="1"/>
    <n v="3"/>
    <x v="0"/>
    <n v="90400"/>
    <n v="6800"/>
    <n v="97200"/>
    <s v="D"/>
    <d v="2022-09-28T00:00:00"/>
    <x v="2"/>
  </r>
  <r>
    <x v="4271"/>
    <x v="0"/>
    <n v="21"/>
    <x v="1"/>
    <x v="3"/>
    <x v="1"/>
    <n v="4.7"/>
    <n v="2.8"/>
    <x v="1"/>
    <n v="3"/>
    <x v="0"/>
    <n v="82400"/>
    <n v="9500"/>
    <n v="91900"/>
    <s v="D"/>
    <d v="2021-05-04T00:00:00"/>
    <x v="1"/>
  </r>
  <r>
    <x v="4272"/>
    <x v="1"/>
    <n v="43"/>
    <x v="3"/>
    <x v="13"/>
    <x v="0"/>
    <n v="8.6"/>
    <m/>
    <x v="2"/>
    <n v="3"/>
    <x v="0"/>
    <n v="99000"/>
    <n v="7300"/>
    <n v="106300"/>
    <s v="D"/>
    <d v="2017-06-01T00:00:00"/>
    <x v="0"/>
  </r>
  <r>
    <x v="4273"/>
    <x v="0"/>
    <n v="35"/>
    <x v="5"/>
    <x v="9"/>
    <x v="1"/>
    <n v="2.1"/>
    <n v="1.8"/>
    <x v="0"/>
    <n v="2"/>
    <x v="0"/>
    <n v="99600"/>
    <n v="9100"/>
    <n v="108700"/>
    <s v="D"/>
    <d v="2023-12-09T00:00:00"/>
    <x v="1"/>
  </r>
  <r>
    <x v="4274"/>
    <x v="1"/>
    <n v="27"/>
    <x v="1"/>
    <x v="7"/>
    <x v="2"/>
    <n v="6.8"/>
    <n v="5.2"/>
    <x v="2"/>
    <n v="4"/>
    <x v="0"/>
    <n v="78400"/>
    <n v="5300"/>
    <n v="83700"/>
    <s v="C"/>
    <d v="2019-03-02T00:00:00"/>
    <x v="2"/>
  </r>
  <r>
    <x v="4275"/>
    <x v="1"/>
    <n v="21"/>
    <x v="2"/>
    <x v="18"/>
    <x v="1"/>
    <n v="7.2"/>
    <n v="3.6"/>
    <x v="2"/>
    <n v="4"/>
    <x v="0"/>
    <n v="75500"/>
    <n v="3100"/>
    <n v="78600"/>
    <s v="C"/>
    <d v="2018-10-17T00:00:00"/>
    <x v="1"/>
  </r>
  <r>
    <x v="4276"/>
    <x v="0"/>
    <n v="37"/>
    <x v="5"/>
    <x v="17"/>
    <x v="2"/>
    <n v="12.1"/>
    <n v="8"/>
    <x v="3"/>
    <n v="4"/>
    <x v="0"/>
    <n v="99300"/>
    <n v="8100"/>
    <n v="107400"/>
    <s v="D"/>
    <d v="2013-12-09T00:00:00"/>
    <x v="2"/>
  </r>
  <r>
    <x v="4277"/>
    <x v="0"/>
    <n v="34"/>
    <x v="4"/>
    <x v="14"/>
    <x v="2"/>
    <n v="11.8"/>
    <n v="6.2"/>
    <x v="4"/>
    <n v="4"/>
    <x v="0"/>
    <n v="103400"/>
    <n v="11100"/>
    <n v="114500"/>
    <s v="E"/>
    <d v="2014-03-13T00:00:00"/>
    <x v="2"/>
  </r>
  <r>
    <x v="4278"/>
    <x v="0"/>
    <n v="35"/>
    <x v="4"/>
    <x v="8"/>
    <x v="0"/>
    <n v="5.6"/>
    <n v="4.5999999999999996"/>
    <x v="1"/>
    <n v="2"/>
    <x v="0"/>
    <n v="64400"/>
    <n v="3400"/>
    <n v="67800"/>
    <s v="B"/>
    <d v="2020-06-02T00:00:00"/>
    <x v="0"/>
  </r>
  <r>
    <x v="4279"/>
    <x v="1"/>
    <n v="40"/>
    <x v="1"/>
    <x v="3"/>
    <x v="1"/>
    <n v="10.7"/>
    <n v="6.5"/>
    <x v="4"/>
    <n v="4"/>
    <x v="0"/>
    <n v="83800"/>
    <n v="9800"/>
    <n v="93600"/>
    <s v="D"/>
    <d v="2015-04-16T00:00:00"/>
    <x v="1"/>
  </r>
  <r>
    <x v="4280"/>
    <x v="0"/>
    <n v="33"/>
    <x v="5"/>
    <x v="9"/>
    <x v="1"/>
    <n v="2.5"/>
    <n v="0.6"/>
    <x v="0"/>
    <n v="3"/>
    <x v="0"/>
    <n v="106200"/>
    <n v="9300"/>
    <n v="115500"/>
    <s v="E"/>
    <d v="2023-07-15T00:00:00"/>
    <x v="1"/>
  </r>
  <r>
    <x v="4281"/>
    <x v="0"/>
    <n v="35"/>
    <x v="5"/>
    <x v="15"/>
    <x v="4"/>
    <n v="12.7"/>
    <n v="8.4"/>
    <x v="3"/>
    <n v="4"/>
    <x v="1"/>
    <n v="43400"/>
    <n v="5900"/>
    <n v="49300"/>
    <s v="A"/>
    <d v="2013-04-15T00:00:00"/>
    <x v="4"/>
  </r>
  <r>
    <x v="4282"/>
    <x v="0"/>
    <n v="36"/>
    <x v="2"/>
    <x v="4"/>
    <x v="1"/>
    <n v="4.4000000000000004"/>
    <n v="4.4000000000000004"/>
    <x v="1"/>
    <n v="2"/>
    <x v="0"/>
    <n v="81400"/>
    <n v="7600"/>
    <n v="89000"/>
    <s v="D"/>
    <d v="2021-08-08T00:00:00"/>
    <x v="1"/>
  </r>
  <r>
    <x v="4283"/>
    <x v="0"/>
    <n v="47"/>
    <x v="1"/>
    <x v="7"/>
    <x v="2"/>
    <n v="3.2"/>
    <n v="3"/>
    <x v="1"/>
    <n v="3"/>
    <x v="0"/>
    <n v="85400"/>
    <n v="7300"/>
    <n v="92700"/>
    <s v="D"/>
    <d v="2022-10-20T00:00:00"/>
    <x v="2"/>
  </r>
  <r>
    <x v="4284"/>
    <x v="1"/>
    <n v="23"/>
    <x v="5"/>
    <x v="17"/>
    <x v="1"/>
    <n v="11.8"/>
    <n v="8.1"/>
    <x v="4"/>
    <n v="2"/>
    <x v="0"/>
    <n v="115600"/>
    <n v="15000"/>
    <n v="130600"/>
    <s v="E"/>
    <d v="2014-03-29T00:00:00"/>
    <x v="1"/>
  </r>
  <r>
    <x v="4285"/>
    <x v="0"/>
    <n v="52"/>
    <x v="3"/>
    <x v="13"/>
    <x v="2"/>
    <n v="13.1"/>
    <n v="9.8000000000000007"/>
    <x v="3"/>
    <n v="4"/>
    <x v="0"/>
    <n v="102600"/>
    <n v="5500"/>
    <n v="108100"/>
    <s v="E"/>
    <d v="2012-12-02T00:00:00"/>
    <x v="2"/>
  </r>
  <r>
    <x v="4286"/>
    <x v="0"/>
    <n v="37"/>
    <x v="1"/>
    <x v="3"/>
    <x v="1"/>
    <n v="3.1"/>
    <n v="0.5"/>
    <x v="1"/>
    <n v="4"/>
    <x v="0"/>
    <n v="83100"/>
    <n v="9100"/>
    <n v="92200"/>
    <s v="D"/>
    <d v="2022-12-03T00:00:00"/>
    <x v="1"/>
  </r>
  <r>
    <x v="4287"/>
    <x v="1"/>
    <n v="43"/>
    <x v="1"/>
    <x v="7"/>
    <x v="2"/>
    <n v="9.6"/>
    <n v="6.3"/>
    <x v="4"/>
    <n v="3"/>
    <x v="0"/>
    <n v="87900"/>
    <n v="8900"/>
    <n v="96800"/>
    <s v="D"/>
    <d v="2016-05-21T00:00:00"/>
    <x v="2"/>
  </r>
  <r>
    <x v="4288"/>
    <x v="0"/>
    <n v="45"/>
    <x v="3"/>
    <x v="12"/>
    <x v="1"/>
    <n v="7.9"/>
    <n v="5.4"/>
    <x v="2"/>
    <n v="3"/>
    <x v="2"/>
    <n v="60900"/>
    <n v="4300"/>
    <n v="65200"/>
    <s v="B"/>
    <d v="2018-02-12T00:00:00"/>
    <x v="1"/>
  </r>
  <r>
    <x v="4289"/>
    <x v="1"/>
    <n v="21"/>
    <x v="4"/>
    <x v="16"/>
    <x v="1"/>
    <n v="8.9"/>
    <n v="6.5"/>
    <x v="2"/>
    <n v="3"/>
    <x v="0"/>
    <n v="114500"/>
    <n v="10000"/>
    <n v="124500"/>
    <s v="E"/>
    <d v="2017-01-26T00:00:00"/>
    <x v="1"/>
  </r>
  <r>
    <x v="4290"/>
    <x v="0"/>
    <n v="32"/>
    <x v="0"/>
    <x v="1"/>
    <x v="1"/>
    <n v="11.4"/>
    <n v="8.1999999999999993"/>
    <x v="4"/>
    <n v="3"/>
    <x v="0"/>
    <n v="81600"/>
    <n v="5700"/>
    <n v="87300"/>
    <s v="D"/>
    <d v="2014-07-30T00:00:00"/>
    <x v="1"/>
  </r>
  <r>
    <x v="4291"/>
    <x v="1"/>
    <n v="33"/>
    <x v="2"/>
    <x v="18"/>
    <x v="1"/>
    <n v="6.6"/>
    <n v="4.0999999999999996"/>
    <x v="2"/>
    <n v="4"/>
    <x v="0"/>
    <n v="66800"/>
    <n v="3200"/>
    <n v="70000"/>
    <s v="C"/>
    <d v="2019-05-12T00:00:00"/>
    <x v="1"/>
  </r>
  <r>
    <x v="4292"/>
    <x v="1"/>
    <n v="31"/>
    <x v="0"/>
    <x v="2"/>
    <x v="0"/>
    <n v="1.8"/>
    <n v="1.8"/>
    <x v="0"/>
    <n v="3"/>
    <x v="0"/>
    <n v="55800"/>
    <n v="5700"/>
    <n v="61500"/>
    <s v="B"/>
    <d v="2024-02-29T00:00:00"/>
    <x v="0"/>
  </r>
  <r>
    <x v="4293"/>
    <x v="1"/>
    <n v="35"/>
    <x v="4"/>
    <x v="16"/>
    <x v="0"/>
    <n v="5.2"/>
    <n v="3.4"/>
    <x v="1"/>
    <n v="3"/>
    <x v="0"/>
    <n v="91200"/>
    <n v="7800"/>
    <n v="99000"/>
    <s v="D"/>
    <d v="2020-11-06T00:00:00"/>
    <x v="0"/>
  </r>
  <r>
    <x v="4294"/>
    <x v="1"/>
    <n v="34"/>
    <x v="2"/>
    <x v="11"/>
    <x v="1"/>
    <n v="10.5"/>
    <n v="7.6"/>
    <x v="4"/>
    <n v="3"/>
    <x v="0"/>
    <n v="101600"/>
    <n v="9600"/>
    <n v="111200"/>
    <s v="E"/>
    <d v="2015-06-16T00:00:00"/>
    <x v="1"/>
  </r>
  <r>
    <x v="4295"/>
    <x v="0"/>
    <n v="39"/>
    <x v="4"/>
    <x v="16"/>
    <x v="1"/>
    <n v="2.2000000000000002"/>
    <n v="1.3"/>
    <x v="0"/>
    <n v="3"/>
    <x v="0"/>
    <n v="91500"/>
    <n v="13400"/>
    <n v="104900"/>
    <s v="D"/>
    <d v="2023-10-28T00:00:00"/>
    <x v="1"/>
  </r>
  <r>
    <x v="4296"/>
    <x v="0"/>
    <n v="28"/>
    <x v="3"/>
    <x v="12"/>
    <x v="0"/>
    <n v="8.6"/>
    <n v="6.3"/>
    <x v="2"/>
    <n v="3"/>
    <x v="0"/>
    <n v="67300"/>
    <n v="5000"/>
    <n v="72300"/>
    <s v="C"/>
    <d v="2017-06-10T00:00:00"/>
    <x v="0"/>
  </r>
  <r>
    <x v="4297"/>
    <x v="1"/>
    <n v="43"/>
    <x v="4"/>
    <x v="14"/>
    <x v="1"/>
    <n v="7.9"/>
    <n v="4.9000000000000004"/>
    <x v="2"/>
    <n v="3"/>
    <x v="0"/>
    <n v="101400"/>
    <n v="9900"/>
    <n v="111300"/>
    <s v="E"/>
    <d v="2018-01-28T00:00:00"/>
    <x v="1"/>
  </r>
  <r>
    <x v="4298"/>
    <x v="1"/>
    <n v="34"/>
    <x v="4"/>
    <x v="14"/>
    <x v="2"/>
    <n v="7.9"/>
    <n v="3.6"/>
    <x v="2"/>
    <n v="2"/>
    <x v="0"/>
    <n v="108500"/>
    <n v="13600"/>
    <n v="122100"/>
    <s v="E"/>
    <d v="2018-01-25T00:00:00"/>
    <x v="2"/>
  </r>
  <r>
    <x v="4299"/>
    <x v="1"/>
    <n v="25"/>
    <x v="1"/>
    <x v="7"/>
    <x v="0"/>
    <n v="8.3000000000000007"/>
    <n v="3.7"/>
    <x v="2"/>
    <n v="3"/>
    <x v="0"/>
    <n v="82200"/>
    <n v="6300"/>
    <n v="88500"/>
    <s v="D"/>
    <d v="2017-09-28T00:00:00"/>
    <x v="0"/>
  </r>
  <r>
    <x v="4300"/>
    <x v="1"/>
    <n v="29"/>
    <x v="1"/>
    <x v="3"/>
    <x v="2"/>
    <n v="2.4"/>
    <n v="0.8"/>
    <x v="0"/>
    <n v="4"/>
    <x v="0"/>
    <n v="89500"/>
    <n v="5900"/>
    <n v="95400"/>
    <s v="D"/>
    <d v="2023-08-14T00:00:00"/>
    <x v="2"/>
  </r>
  <r>
    <x v="4301"/>
    <x v="1"/>
    <n v="44"/>
    <x v="5"/>
    <x v="15"/>
    <x v="2"/>
    <n v="3.5"/>
    <n v="0.3"/>
    <x v="1"/>
    <n v="4"/>
    <x v="0"/>
    <n v="70700"/>
    <n v="14300"/>
    <n v="85000"/>
    <s v="C"/>
    <d v="2022-07-02T00:00:00"/>
    <x v="2"/>
  </r>
  <r>
    <x v="4302"/>
    <x v="1"/>
    <n v="45"/>
    <x v="2"/>
    <x v="11"/>
    <x v="0"/>
    <n v="2.6"/>
    <n v="0.6"/>
    <x v="0"/>
    <n v="3"/>
    <x v="0"/>
    <n v="91900"/>
    <n v="4000"/>
    <n v="95900"/>
    <s v="D"/>
    <d v="2023-06-12T00:00:00"/>
    <x v="0"/>
  </r>
  <r>
    <x v="4303"/>
    <x v="0"/>
    <n v="33"/>
    <x v="5"/>
    <x v="17"/>
    <x v="1"/>
    <n v="3.2"/>
    <n v="1.1000000000000001"/>
    <x v="1"/>
    <n v="4"/>
    <x v="2"/>
    <n v="73200"/>
    <n v="10800"/>
    <n v="84000"/>
    <s v="C"/>
    <d v="2022-10-30T00:00:00"/>
    <x v="1"/>
  </r>
  <r>
    <x v="4304"/>
    <x v="0"/>
    <n v="24"/>
    <x v="4"/>
    <x v="6"/>
    <x v="1"/>
    <n v="12.1"/>
    <n v="9.6"/>
    <x v="3"/>
    <n v="4"/>
    <x v="0"/>
    <n v="88600"/>
    <n v="10500"/>
    <n v="99100"/>
    <s v="D"/>
    <d v="2013-11-13T00:00:00"/>
    <x v="1"/>
  </r>
  <r>
    <x v="4305"/>
    <x v="0"/>
    <n v="34"/>
    <x v="1"/>
    <x v="3"/>
    <x v="2"/>
    <n v="4.9000000000000004"/>
    <n v="4.0999999999999996"/>
    <x v="1"/>
    <n v="4"/>
    <x v="0"/>
    <n v="83400"/>
    <n v="9500"/>
    <n v="92900"/>
    <s v="D"/>
    <d v="2021-01-26T00:00:00"/>
    <x v="2"/>
  </r>
  <r>
    <x v="4306"/>
    <x v="1"/>
    <n v="34"/>
    <x v="0"/>
    <x v="2"/>
    <x v="1"/>
    <n v="8.9"/>
    <n v="3.8"/>
    <x v="2"/>
    <n v="2"/>
    <x v="0"/>
    <n v="76700"/>
    <n v="5600"/>
    <n v="82300"/>
    <s v="C"/>
    <d v="2017-02-01T00:00:00"/>
    <x v="1"/>
  </r>
  <r>
    <x v="4307"/>
    <x v="0"/>
    <n v="23"/>
    <x v="5"/>
    <x v="15"/>
    <x v="1"/>
    <n v="3.2"/>
    <n v="1.2"/>
    <x v="1"/>
    <n v="3"/>
    <x v="0"/>
    <n v="58400"/>
    <n v="9600"/>
    <n v="68000"/>
    <s v="B"/>
    <d v="2022-10-19T00:00:00"/>
    <x v="1"/>
  </r>
  <r>
    <x v="4308"/>
    <x v="0"/>
    <n v="32"/>
    <x v="5"/>
    <x v="17"/>
    <x v="2"/>
    <n v="1.7"/>
    <n v="0"/>
    <x v="0"/>
    <n v="3"/>
    <x v="0"/>
    <n v="86600"/>
    <n v="16800"/>
    <n v="103400"/>
    <s v="D"/>
    <d v="2024-04-25T00:00:00"/>
    <x v="2"/>
  </r>
  <r>
    <x v="4309"/>
    <x v="0"/>
    <n v="23"/>
    <x v="5"/>
    <x v="15"/>
    <x v="0"/>
    <n v="1.9"/>
    <n v="1.3"/>
    <x v="0"/>
    <n v="3"/>
    <x v="0"/>
    <n v="59900"/>
    <n v="7100"/>
    <n v="67000"/>
    <s v="B"/>
    <d v="2024-01-22T00:00:00"/>
    <x v="0"/>
  </r>
  <r>
    <x v="4310"/>
    <x v="1"/>
    <n v="33"/>
    <x v="3"/>
    <x v="13"/>
    <x v="2"/>
    <n v="10.1"/>
    <n v="5.4"/>
    <x v="4"/>
    <n v="3"/>
    <x v="1"/>
    <n v="68800"/>
    <n v="5900"/>
    <n v="74700"/>
    <s v="C"/>
    <d v="2015-11-17T00:00:00"/>
    <x v="2"/>
  </r>
  <r>
    <x v="4311"/>
    <x v="1"/>
    <n v="38"/>
    <x v="0"/>
    <x v="2"/>
    <x v="2"/>
    <n v="7.7"/>
    <n v="5.2"/>
    <x v="2"/>
    <n v="3"/>
    <x v="1"/>
    <n v="50200"/>
    <n v="3500"/>
    <n v="53700"/>
    <s v="B"/>
    <d v="2018-04-28T00:00:00"/>
    <x v="2"/>
  </r>
  <r>
    <x v="4312"/>
    <x v="0"/>
    <n v="39"/>
    <x v="1"/>
    <x v="7"/>
    <x v="2"/>
    <n v="6.3"/>
    <n v="3.8"/>
    <x v="2"/>
    <n v="3"/>
    <x v="0"/>
    <n v="74500"/>
    <n v="8600"/>
    <n v="83100"/>
    <s v="C"/>
    <d v="2019-09-01T00:00:00"/>
    <x v="2"/>
  </r>
  <r>
    <x v="4313"/>
    <x v="1"/>
    <n v="47"/>
    <x v="5"/>
    <x v="9"/>
    <x v="1"/>
    <n v="12.2"/>
    <n v="7.5"/>
    <x v="3"/>
    <n v="3"/>
    <x v="0"/>
    <n v="110600"/>
    <n v="19300"/>
    <n v="129900"/>
    <s v="E"/>
    <d v="2013-11-02T00:00:00"/>
    <x v="1"/>
  </r>
  <r>
    <x v="4314"/>
    <x v="0"/>
    <n v="21"/>
    <x v="1"/>
    <x v="3"/>
    <x v="1"/>
    <n v="8.6999999999999993"/>
    <n v="4.4000000000000004"/>
    <x v="2"/>
    <n v="4"/>
    <x v="0"/>
    <n v="64900"/>
    <n v="7000"/>
    <n v="71900"/>
    <s v="B"/>
    <d v="2017-04-11T00:00:00"/>
    <x v="1"/>
  </r>
  <r>
    <x v="4315"/>
    <x v="0"/>
    <n v="41"/>
    <x v="1"/>
    <x v="10"/>
    <x v="2"/>
    <n v="2"/>
    <n v="0.6"/>
    <x v="0"/>
    <n v="1"/>
    <x v="0"/>
    <n v="89000"/>
    <n v="4500"/>
    <n v="93500"/>
    <s v="D"/>
    <d v="2023-12-19T00:00:00"/>
    <x v="2"/>
  </r>
  <r>
    <x v="4316"/>
    <x v="1"/>
    <n v="37"/>
    <x v="3"/>
    <x v="5"/>
    <x v="1"/>
    <n v="13.7"/>
    <n v="8.9"/>
    <x v="3"/>
    <n v="4"/>
    <x v="0"/>
    <n v="29400"/>
    <n v="60800"/>
    <n v="90200"/>
    <s v="A"/>
    <d v="2012-04-15T00:00:00"/>
    <x v="1"/>
  </r>
  <r>
    <x v="4317"/>
    <x v="0"/>
    <n v="40"/>
    <x v="2"/>
    <x v="11"/>
    <x v="2"/>
    <n v="3.6"/>
    <n v="3.6"/>
    <x v="1"/>
    <n v="3"/>
    <x v="0"/>
    <n v="105700"/>
    <n v="10600"/>
    <n v="116300"/>
    <s v="E"/>
    <d v="2022-05-11T00:00:00"/>
    <x v="2"/>
  </r>
  <r>
    <x v="4318"/>
    <x v="1"/>
    <n v="40"/>
    <x v="1"/>
    <x v="10"/>
    <x v="2"/>
    <n v="12.1"/>
    <n v="7.6"/>
    <x v="3"/>
    <n v="3"/>
    <x v="0"/>
    <n v="122700"/>
    <n v="12600"/>
    <n v="135300"/>
    <s v="E"/>
    <d v="2013-12-04T00:00:00"/>
    <x v="2"/>
  </r>
  <r>
    <x v="4319"/>
    <x v="1"/>
    <n v="34"/>
    <x v="0"/>
    <x v="2"/>
    <x v="1"/>
    <n v="7.6"/>
    <n v="3.6"/>
    <x v="2"/>
    <n v="4"/>
    <x v="0"/>
    <n v="64100"/>
    <n v="5400"/>
    <n v="69500"/>
    <s v="B"/>
    <d v="2018-06-13T00:00:00"/>
    <x v="1"/>
  </r>
  <r>
    <x v="4320"/>
    <x v="1"/>
    <n v="34"/>
    <x v="5"/>
    <x v="15"/>
    <x v="1"/>
    <n v="8.6"/>
    <n v="7.5"/>
    <x v="2"/>
    <n v="4"/>
    <x v="0"/>
    <n v="63600"/>
    <n v="9000"/>
    <n v="72600"/>
    <s v="B"/>
    <d v="2017-06-04T00:00:00"/>
    <x v="1"/>
  </r>
  <r>
    <x v="4321"/>
    <x v="0"/>
    <n v="27"/>
    <x v="3"/>
    <x v="12"/>
    <x v="1"/>
    <n v="13.3"/>
    <n v="8.9"/>
    <x v="3"/>
    <n v="4"/>
    <x v="0"/>
    <n v="72400"/>
    <n v="2800"/>
    <n v="75200"/>
    <s v="C"/>
    <d v="2012-09-23T00:00:00"/>
    <x v="1"/>
  </r>
  <r>
    <x v="4322"/>
    <x v="1"/>
    <n v="39"/>
    <x v="3"/>
    <x v="5"/>
    <x v="1"/>
    <n v="13.6"/>
    <n v="9"/>
    <x v="3"/>
    <n v="3"/>
    <x v="0"/>
    <n v="77500"/>
    <n v="2700"/>
    <n v="80200"/>
    <s v="C"/>
    <d v="2012-06-10T00:00:00"/>
    <x v="1"/>
  </r>
  <r>
    <x v="4323"/>
    <x v="1"/>
    <n v="32"/>
    <x v="5"/>
    <x v="9"/>
    <x v="1"/>
    <n v="12"/>
    <n v="7.7"/>
    <x v="3"/>
    <n v="3"/>
    <x v="0"/>
    <n v="81100"/>
    <n v="14200"/>
    <n v="95300"/>
    <s v="D"/>
    <d v="2013-12-20T00:00:00"/>
    <x v="1"/>
  </r>
  <r>
    <x v="4324"/>
    <x v="0"/>
    <n v="27"/>
    <x v="0"/>
    <x v="1"/>
    <x v="1"/>
    <n v="6.8"/>
    <n v="5"/>
    <x v="2"/>
    <n v="4"/>
    <x v="0"/>
    <n v="81100"/>
    <n v="9700"/>
    <n v="90800"/>
    <s v="D"/>
    <d v="2019-03-11T00:00:00"/>
    <x v="1"/>
  </r>
  <r>
    <x v="4325"/>
    <x v="1"/>
    <n v="38"/>
    <x v="0"/>
    <x v="1"/>
    <x v="1"/>
    <n v="9.6"/>
    <n v="8.6"/>
    <x v="4"/>
    <n v="3"/>
    <x v="0"/>
    <n v="65500"/>
    <n v="8700"/>
    <n v="74200"/>
    <s v="C"/>
    <d v="2016-05-29T00:00:00"/>
    <x v="1"/>
  </r>
  <r>
    <x v="4326"/>
    <x v="0"/>
    <n v="38"/>
    <x v="5"/>
    <x v="15"/>
    <x v="1"/>
    <n v="1.3"/>
    <n v="0"/>
    <x v="0"/>
    <n v="4"/>
    <x v="0"/>
    <n v="55500"/>
    <n v="5300"/>
    <n v="60800"/>
    <s v="B"/>
    <d v="2024-09-22T00:00:00"/>
    <x v="1"/>
  </r>
  <r>
    <x v="4327"/>
    <x v="1"/>
    <n v="37"/>
    <x v="3"/>
    <x v="5"/>
    <x v="1"/>
    <n v="1.8"/>
    <n v="1.8"/>
    <x v="0"/>
    <n v="3"/>
    <x v="1"/>
    <n v="47400"/>
    <n v="1700"/>
    <n v="49100"/>
    <s v="A"/>
    <d v="2024-03-12T00:00:00"/>
    <x v="1"/>
  </r>
  <r>
    <x v="4328"/>
    <x v="0"/>
    <n v="41"/>
    <x v="2"/>
    <x v="18"/>
    <x v="2"/>
    <n v="12.5"/>
    <n v="8.9"/>
    <x v="3"/>
    <n v="3"/>
    <x v="0"/>
    <n v="78300"/>
    <n v="7200"/>
    <n v="85500"/>
    <s v="C"/>
    <d v="2013-07-07T00:00:00"/>
    <x v="2"/>
  </r>
  <r>
    <x v="4329"/>
    <x v="0"/>
    <n v="40"/>
    <x v="1"/>
    <x v="7"/>
    <x v="2"/>
    <n v="3.8"/>
    <n v="2.2000000000000002"/>
    <x v="1"/>
    <n v="3"/>
    <x v="0"/>
    <n v="80100"/>
    <n v="3400"/>
    <n v="83500"/>
    <s v="D"/>
    <d v="2022-03-21T00:00:00"/>
    <x v="2"/>
  </r>
  <r>
    <x v="4330"/>
    <x v="1"/>
    <n v="50"/>
    <x v="0"/>
    <x v="1"/>
    <x v="1"/>
    <n v="6.7"/>
    <n v="4.0999999999999996"/>
    <x v="2"/>
    <n v="4"/>
    <x v="1"/>
    <n v="43500"/>
    <n v="5800"/>
    <n v="49300"/>
    <s v="A"/>
    <d v="2019-04-28T00:00:00"/>
    <x v="1"/>
  </r>
  <r>
    <x v="4331"/>
    <x v="0"/>
    <n v="41"/>
    <x v="1"/>
    <x v="3"/>
    <x v="1"/>
    <n v="5.3"/>
    <n v="2.7"/>
    <x v="1"/>
    <n v="2"/>
    <x v="1"/>
    <n v="44800"/>
    <n v="4000"/>
    <n v="48800"/>
    <s v="A"/>
    <d v="2020-09-10T00:00:00"/>
    <x v="1"/>
  </r>
  <r>
    <x v="4332"/>
    <x v="0"/>
    <n v="34"/>
    <x v="5"/>
    <x v="17"/>
    <x v="1"/>
    <n v="13.9"/>
    <n v="10.6"/>
    <x v="3"/>
    <n v="4"/>
    <x v="2"/>
    <n v="88400"/>
    <n v="9800"/>
    <n v="98200"/>
    <s v="D"/>
    <d v="2012-01-28T00:00:00"/>
    <x v="1"/>
  </r>
  <r>
    <x v="4333"/>
    <x v="1"/>
    <n v="27"/>
    <x v="0"/>
    <x v="1"/>
    <x v="0"/>
    <n v="9.6"/>
    <n v="5.0999999999999996"/>
    <x v="4"/>
    <n v="3"/>
    <x v="0"/>
    <n v="77100"/>
    <n v="9100"/>
    <n v="86200"/>
    <s v="C"/>
    <d v="2016-05-25T00:00:00"/>
    <x v="0"/>
  </r>
  <r>
    <x v="4334"/>
    <x v="1"/>
    <n v="40"/>
    <x v="5"/>
    <x v="17"/>
    <x v="2"/>
    <n v="2.2999999999999998"/>
    <n v="1"/>
    <x v="0"/>
    <n v="3"/>
    <x v="0"/>
    <n v="92600"/>
    <n v="11500"/>
    <n v="104100"/>
    <s v="D"/>
    <d v="2023-09-29T00:00:00"/>
    <x v="2"/>
  </r>
  <r>
    <x v="4335"/>
    <x v="0"/>
    <n v="42"/>
    <x v="1"/>
    <x v="7"/>
    <x v="1"/>
    <n v="8.6999999999999993"/>
    <n v="5.5"/>
    <x v="2"/>
    <n v="3"/>
    <x v="1"/>
    <n v="51300"/>
    <n v="3900"/>
    <n v="55200"/>
    <s v="B"/>
    <d v="2017-04-20T00:00:00"/>
    <x v="1"/>
  </r>
  <r>
    <x v="4336"/>
    <x v="1"/>
    <n v="46"/>
    <x v="2"/>
    <x v="11"/>
    <x v="1"/>
    <n v="1.9"/>
    <n v="1.3"/>
    <x v="0"/>
    <n v="2"/>
    <x v="0"/>
    <n v="94800"/>
    <n v="3700"/>
    <n v="98500"/>
    <s v="D"/>
    <d v="2024-02-18T00:00:00"/>
    <x v="1"/>
  </r>
  <r>
    <x v="4337"/>
    <x v="1"/>
    <n v="27"/>
    <x v="0"/>
    <x v="2"/>
    <x v="3"/>
    <n v="1.2"/>
    <n v="1.2"/>
    <x v="0"/>
    <n v="2"/>
    <x v="0"/>
    <n v="72800"/>
    <n v="4100"/>
    <n v="76900"/>
    <s v="C"/>
    <d v="2024-10-30T00:00:00"/>
    <x v="3"/>
  </r>
  <r>
    <x v="4338"/>
    <x v="1"/>
    <n v="39"/>
    <x v="1"/>
    <x v="3"/>
    <x v="1"/>
    <n v="1.9"/>
    <n v="1.9"/>
    <x v="0"/>
    <n v="3"/>
    <x v="0"/>
    <n v="63000"/>
    <n v="4000"/>
    <n v="67000"/>
    <s v="B"/>
    <d v="2024-01-20T00:00:00"/>
    <x v="1"/>
  </r>
  <r>
    <x v="4339"/>
    <x v="0"/>
    <n v="41"/>
    <x v="5"/>
    <x v="17"/>
    <x v="1"/>
    <n v="13.2"/>
    <n v="9.1"/>
    <x v="3"/>
    <n v="4"/>
    <x v="1"/>
    <n v="68200"/>
    <n v="6000"/>
    <n v="74200"/>
    <s v="C"/>
    <d v="2012-10-09T00:00:00"/>
    <x v="1"/>
  </r>
  <r>
    <x v="4340"/>
    <x v="0"/>
    <n v="43"/>
    <x v="4"/>
    <x v="6"/>
    <x v="3"/>
    <n v="7.6"/>
    <n v="4.8"/>
    <x v="2"/>
    <n v="4"/>
    <x v="0"/>
    <n v="79200"/>
    <n v="11600"/>
    <n v="90800"/>
    <s v="C"/>
    <d v="2018-06-12T00:00:00"/>
    <x v="3"/>
  </r>
  <r>
    <x v="4341"/>
    <x v="1"/>
    <n v="44"/>
    <x v="0"/>
    <x v="2"/>
    <x v="2"/>
    <n v="7.2"/>
    <n v="3.3"/>
    <x v="2"/>
    <n v="3"/>
    <x v="0"/>
    <n v="69900"/>
    <n v="8300"/>
    <n v="78200"/>
    <s v="C"/>
    <d v="2018-10-23T00:00:00"/>
    <x v="2"/>
  </r>
  <r>
    <x v="4342"/>
    <x v="1"/>
    <n v="33"/>
    <x v="2"/>
    <x v="18"/>
    <x v="1"/>
    <n v="7"/>
    <n v="4.3"/>
    <x v="2"/>
    <n v="3"/>
    <x v="0"/>
    <n v="65400"/>
    <n v="5800"/>
    <n v="71200"/>
    <s v="C"/>
    <d v="2018-12-20T00:00:00"/>
    <x v="1"/>
  </r>
  <r>
    <x v="4343"/>
    <x v="1"/>
    <n v="38"/>
    <x v="0"/>
    <x v="1"/>
    <x v="1"/>
    <n v="11.9"/>
    <n v="7.3"/>
    <x v="4"/>
    <n v="3"/>
    <x v="0"/>
    <n v="91300"/>
    <n v="10800"/>
    <n v="102100"/>
    <s v="D"/>
    <d v="2014-01-25T00:00:00"/>
    <x v="1"/>
  </r>
  <r>
    <x v="4344"/>
    <x v="1"/>
    <n v="30"/>
    <x v="4"/>
    <x v="6"/>
    <x v="1"/>
    <n v="13.7"/>
    <n v="7.9"/>
    <x v="3"/>
    <n v="4"/>
    <x v="0"/>
    <n v="86700"/>
    <n v="7700"/>
    <n v="94400"/>
    <s v="D"/>
    <d v="2012-04-09T00:00:00"/>
    <x v="1"/>
  </r>
  <r>
    <x v="4345"/>
    <x v="1"/>
    <n v="30"/>
    <x v="0"/>
    <x v="1"/>
    <x v="1"/>
    <n v="4.5999999999999996"/>
    <n v="3.1"/>
    <x v="1"/>
    <n v="4"/>
    <x v="0"/>
    <n v="69400"/>
    <n v="5100"/>
    <n v="74500"/>
    <s v="C"/>
    <d v="2021-06-06T00:00:00"/>
    <x v="1"/>
  </r>
  <r>
    <x v="4346"/>
    <x v="0"/>
    <n v="38"/>
    <x v="5"/>
    <x v="15"/>
    <x v="2"/>
    <n v="7.6"/>
    <n v="6.4"/>
    <x v="2"/>
    <n v="2"/>
    <x v="0"/>
    <n v="65000"/>
    <n v="7700"/>
    <n v="72700"/>
    <s v="C"/>
    <d v="2018-05-15T00:00:00"/>
    <x v="2"/>
  </r>
  <r>
    <x v="4347"/>
    <x v="1"/>
    <n v="35"/>
    <x v="4"/>
    <x v="14"/>
    <x v="2"/>
    <n v="13.2"/>
    <n v="8.1"/>
    <x v="3"/>
    <n v="1"/>
    <x v="0"/>
    <n v="112800"/>
    <n v="8700"/>
    <n v="121500"/>
    <s v="E"/>
    <d v="2012-10-23T00:00:00"/>
    <x v="2"/>
  </r>
  <r>
    <x v="4348"/>
    <x v="1"/>
    <n v="28"/>
    <x v="3"/>
    <x v="5"/>
    <x v="1"/>
    <n v="9.6999999999999993"/>
    <n v="6.4"/>
    <x v="4"/>
    <n v="3"/>
    <x v="0"/>
    <n v="70500"/>
    <n v="5700"/>
    <n v="76200"/>
    <s v="C"/>
    <d v="2016-04-30T00:00:00"/>
    <x v="1"/>
  </r>
  <r>
    <x v="4349"/>
    <x v="0"/>
    <n v="32"/>
    <x v="4"/>
    <x v="8"/>
    <x v="0"/>
    <n v="5"/>
    <n v="4.5999999999999996"/>
    <x v="1"/>
    <n v="3"/>
    <x v="0"/>
    <n v="68000"/>
    <n v="5100"/>
    <n v="73100"/>
    <s v="C"/>
    <d v="2020-12-28T00:00:00"/>
    <x v="0"/>
  </r>
  <r>
    <x v="4350"/>
    <x v="0"/>
    <n v="43"/>
    <x v="0"/>
    <x v="2"/>
    <x v="1"/>
    <n v="2"/>
    <n v="0"/>
    <x v="0"/>
    <n v="3"/>
    <x v="0"/>
    <n v="59900"/>
    <n v="3600"/>
    <n v="63500"/>
    <s v="B"/>
    <d v="2023-12-25T00:00:00"/>
    <x v="1"/>
  </r>
  <r>
    <x v="4351"/>
    <x v="0"/>
    <n v="45"/>
    <x v="4"/>
    <x v="8"/>
    <x v="1"/>
    <n v="1.1000000000000001"/>
    <n v="0"/>
    <x v="0"/>
    <n v="4"/>
    <x v="2"/>
    <n v="62400"/>
    <n v="5300"/>
    <n v="67700"/>
    <s v="B"/>
    <d v="2024-11-20T00:00:00"/>
    <x v="1"/>
  </r>
  <r>
    <x v="4352"/>
    <x v="1"/>
    <n v="35"/>
    <x v="4"/>
    <x v="8"/>
    <x v="1"/>
    <n v="11.5"/>
    <n v="7.2"/>
    <x v="4"/>
    <n v="3"/>
    <x v="2"/>
    <n v="72000"/>
    <n v="7700"/>
    <n v="79700"/>
    <s v="C"/>
    <d v="2014-07-04T00:00:00"/>
    <x v="1"/>
  </r>
  <r>
    <x v="4353"/>
    <x v="1"/>
    <n v="37"/>
    <x v="0"/>
    <x v="2"/>
    <x v="0"/>
    <n v="1.4"/>
    <n v="1.4"/>
    <x v="0"/>
    <n v="2"/>
    <x v="1"/>
    <n v="31500"/>
    <n v="2600"/>
    <n v="34100"/>
    <s v="A"/>
    <d v="2024-08-01T00:00:00"/>
    <x v="0"/>
  </r>
  <r>
    <x v="4354"/>
    <x v="1"/>
    <n v="53"/>
    <x v="5"/>
    <x v="9"/>
    <x v="2"/>
    <n v="9.6999999999999993"/>
    <n v="7"/>
    <x v="4"/>
    <n v="3"/>
    <x v="0"/>
    <n v="121400"/>
    <n v="15800"/>
    <n v="137200"/>
    <s v="E"/>
    <d v="2016-04-10T00:00:00"/>
    <x v="2"/>
  </r>
  <r>
    <x v="4355"/>
    <x v="0"/>
    <n v="39"/>
    <x v="0"/>
    <x v="2"/>
    <x v="1"/>
    <n v="12.3"/>
    <n v="8.5"/>
    <x v="3"/>
    <n v="3"/>
    <x v="0"/>
    <n v="67200"/>
    <n v="3600"/>
    <n v="70800"/>
    <s v="C"/>
    <d v="2013-09-15T00:00:00"/>
    <x v="1"/>
  </r>
  <r>
    <x v="4356"/>
    <x v="0"/>
    <n v="29"/>
    <x v="2"/>
    <x v="4"/>
    <x v="0"/>
    <n v="8.3000000000000007"/>
    <n v="3.9"/>
    <x v="2"/>
    <n v="5"/>
    <x v="0"/>
    <n v="72500"/>
    <n v="6100"/>
    <n v="78600"/>
    <s v="C"/>
    <d v="2017-09-19T00:00:00"/>
    <x v="0"/>
  </r>
  <r>
    <x v="4357"/>
    <x v="1"/>
    <n v="47"/>
    <x v="3"/>
    <x v="13"/>
    <x v="1"/>
    <n v="10.3"/>
    <n v="6.9"/>
    <x v="4"/>
    <n v="3"/>
    <x v="0"/>
    <n v="103100"/>
    <n v="6500"/>
    <n v="109600"/>
    <s v="E"/>
    <d v="2015-09-19T00:00:00"/>
    <x v="1"/>
  </r>
  <r>
    <x v="4358"/>
    <x v="0"/>
    <n v="34"/>
    <x v="1"/>
    <x v="3"/>
    <x v="2"/>
    <n v="3.1"/>
    <n v="2.4"/>
    <x v="1"/>
    <n v="4"/>
    <x v="0"/>
    <n v="89100"/>
    <n v="5500"/>
    <n v="94600"/>
    <s v="D"/>
    <d v="2022-12-11T00:00:00"/>
    <x v="2"/>
  </r>
  <r>
    <x v="4359"/>
    <x v="1"/>
    <n v="44"/>
    <x v="5"/>
    <x v="9"/>
    <x v="1"/>
    <n v="2.6"/>
    <n v="2.4"/>
    <x v="0"/>
    <n v="3"/>
    <x v="0"/>
    <n v="87400"/>
    <n v="8100"/>
    <n v="95500"/>
    <s v="D"/>
    <d v="2023-05-19T00:00:00"/>
    <x v="1"/>
  </r>
  <r>
    <x v="4360"/>
    <x v="1"/>
    <n v="40"/>
    <x v="4"/>
    <x v="14"/>
    <x v="2"/>
    <n v="12"/>
    <n v="7.1"/>
    <x v="3"/>
    <n v="1"/>
    <x v="0"/>
    <n v="116500"/>
    <n v="6100"/>
    <n v="122600"/>
    <s v="E"/>
    <d v="2013-12-27T00:00:00"/>
    <x v="2"/>
  </r>
  <r>
    <x v="4361"/>
    <x v="0"/>
    <n v="39"/>
    <x v="2"/>
    <x v="11"/>
    <x v="1"/>
    <n v="4.3"/>
    <n v="3"/>
    <x v="1"/>
    <n v="3"/>
    <x v="0"/>
    <n v="88700"/>
    <n v="3400"/>
    <n v="92100"/>
    <s v="D"/>
    <d v="2021-09-24T00:00:00"/>
    <x v="1"/>
  </r>
  <r>
    <x v="4362"/>
    <x v="1"/>
    <n v="38"/>
    <x v="5"/>
    <x v="9"/>
    <x v="1"/>
    <n v="11"/>
    <n v="4.5999999999999996"/>
    <x v="4"/>
    <n v="4"/>
    <x v="0"/>
    <n v="104300"/>
    <n v="10600"/>
    <n v="114900"/>
    <s v="E"/>
    <d v="2015-01-09T00:00:00"/>
    <x v="1"/>
  </r>
  <r>
    <x v="4363"/>
    <x v="0"/>
    <n v="37"/>
    <x v="2"/>
    <x v="11"/>
    <x v="1"/>
    <n v="1.8"/>
    <n v="1.8"/>
    <x v="0"/>
    <n v="3"/>
    <x v="0"/>
    <n v="85900"/>
    <n v="7200"/>
    <n v="93100"/>
    <s v="D"/>
    <d v="2024-03-20T00:00:00"/>
    <x v="1"/>
  </r>
  <r>
    <x v="4364"/>
    <x v="0"/>
    <n v="32"/>
    <x v="4"/>
    <x v="16"/>
    <x v="1"/>
    <n v="13.8"/>
    <n v="8.1"/>
    <x v="3"/>
    <n v="3"/>
    <x v="0"/>
    <n v="110100"/>
    <n v="16000"/>
    <n v="126100"/>
    <s v="E"/>
    <d v="2012-03-14T00:00:00"/>
    <x v="1"/>
  </r>
  <r>
    <x v="4365"/>
    <x v="1"/>
    <n v="50"/>
    <x v="1"/>
    <x v="3"/>
    <x v="1"/>
    <n v="8.8000000000000007"/>
    <n v="7.8"/>
    <x v="2"/>
    <n v="3"/>
    <x v="1"/>
    <n v="49200"/>
    <n v="4700"/>
    <n v="53900"/>
    <s v="A"/>
    <d v="2017-03-05T00:00:00"/>
    <x v="1"/>
  </r>
  <r>
    <x v="4366"/>
    <x v="1"/>
    <n v="39"/>
    <x v="5"/>
    <x v="15"/>
    <x v="2"/>
    <n v="10.199999999999999"/>
    <n v="6.1"/>
    <x v="4"/>
    <n v="1"/>
    <x v="0"/>
    <n v="69300"/>
    <n v="7200"/>
    <n v="76500"/>
    <s v="C"/>
    <d v="2015-10-26T00:00:00"/>
    <x v="2"/>
  </r>
  <r>
    <x v="4367"/>
    <x v="1"/>
    <n v="36"/>
    <x v="0"/>
    <x v="2"/>
    <x v="3"/>
    <n v="1.7"/>
    <n v="0"/>
    <x v="0"/>
    <n v="3"/>
    <x v="0"/>
    <n v="62900"/>
    <n v="3700"/>
    <n v="66600"/>
    <s v="B"/>
    <d v="2024-04-21T00:00:00"/>
    <x v="3"/>
  </r>
  <r>
    <x v="4368"/>
    <x v="0"/>
    <n v="30"/>
    <x v="4"/>
    <x v="14"/>
    <x v="3"/>
    <n v="10.7"/>
    <n v="8.6"/>
    <x v="4"/>
    <n v="2"/>
    <x v="2"/>
    <n v="104200"/>
    <n v="13300"/>
    <n v="117500"/>
    <s v="E"/>
    <d v="2015-05-01T00:00:00"/>
    <x v="3"/>
  </r>
  <r>
    <x v="4369"/>
    <x v="1"/>
    <n v="35"/>
    <x v="0"/>
    <x v="1"/>
    <x v="2"/>
    <n v="1.2"/>
    <n v="0.7"/>
    <x v="0"/>
    <n v="2"/>
    <x v="2"/>
    <n v="60800"/>
    <n v="6600"/>
    <n v="67400"/>
    <s v="B"/>
    <d v="2024-10-25T00:00:00"/>
    <x v="2"/>
  </r>
  <r>
    <x v="4370"/>
    <x v="0"/>
    <n v="36"/>
    <x v="1"/>
    <x v="3"/>
    <x v="1"/>
    <n v="5.6"/>
    <n v="2.4"/>
    <x v="1"/>
    <n v="3"/>
    <x v="0"/>
    <n v="71400"/>
    <n v="6100"/>
    <n v="77500"/>
    <s v="C"/>
    <d v="2020-06-04T00:00:00"/>
    <x v="1"/>
  </r>
  <r>
    <x v="4371"/>
    <x v="1"/>
    <n v="33"/>
    <x v="1"/>
    <x v="10"/>
    <x v="0"/>
    <n v="5.7"/>
    <n v="2.4"/>
    <x v="1"/>
    <n v="4"/>
    <x v="1"/>
    <n v="59200"/>
    <n v="4300"/>
    <n v="63500"/>
    <s v="B"/>
    <d v="2020-04-05T00:00:00"/>
    <x v="0"/>
  </r>
  <r>
    <x v="4372"/>
    <x v="0"/>
    <n v="26"/>
    <x v="4"/>
    <x v="8"/>
    <x v="1"/>
    <n v="9"/>
    <n v="4.5999999999999996"/>
    <x v="4"/>
    <n v="3"/>
    <x v="0"/>
    <n v="77400"/>
    <n v="9200"/>
    <n v="86600"/>
    <s v="C"/>
    <d v="2017-01-09T00:00:00"/>
    <x v="1"/>
  </r>
  <r>
    <x v="4373"/>
    <x v="1"/>
    <n v="35"/>
    <x v="2"/>
    <x v="18"/>
    <x v="1"/>
    <n v="2.2000000000000002"/>
    <n v="1.1000000000000001"/>
    <x v="0"/>
    <n v="3"/>
    <x v="0"/>
    <n v="68300"/>
    <n v="4600"/>
    <n v="72900"/>
    <s v="C"/>
    <d v="2023-10-25T00:00:00"/>
    <x v="1"/>
  </r>
  <r>
    <x v="4374"/>
    <x v="1"/>
    <n v="30"/>
    <x v="4"/>
    <x v="6"/>
    <x v="2"/>
    <n v="1.3"/>
    <n v="1.3"/>
    <x v="0"/>
    <n v="2"/>
    <x v="0"/>
    <n v="71900"/>
    <n v="6300"/>
    <n v="78200"/>
    <s v="C"/>
    <d v="2024-09-08T00:00:00"/>
    <x v="2"/>
  </r>
  <r>
    <x v="4375"/>
    <x v="0"/>
    <n v="24"/>
    <x v="2"/>
    <x v="11"/>
    <x v="3"/>
    <n v="9"/>
    <n v="4.4000000000000004"/>
    <x v="4"/>
    <n v="4"/>
    <x v="0"/>
    <n v="122300"/>
    <n v="8500"/>
    <n v="130800"/>
    <s v="E"/>
    <d v="2017-01-09T00:00:00"/>
    <x v="3"/>
  </r>
  <r>
    <x v="4376"/>
    <x v="1"/>
    <n v="35"/>
    <x v="3"/>
    <x v="12"/>
    <x v="1"/>
    <n v="6.5"/>
    <n v="5.2"/>
    <x v="2"/>
    <n v="3"/>
    <x v="0"/>
    <n v="77800"/>
    <n v="2600"/>
    <n v="80400"/>
    <s v="C"/>
    <d v="2019-07-15T00:00:00"/>
    <x v="1"/>
  </r>
  <r>
    <x v="4377"/>
    <x v="0"/>
    <n v="24"/>
    <x v="1"/>
    <x v="7"/>
    <x v="1"/>
    <n v="13.8"/>
    <n v="8.9"/>
    <x v="3"/>
    <n v="3"/>
    <x v="0"/>
    <n v="79100"/>
    <n v="7400"/>
    <n v="86500"/>
    <s v="C"/>
    <d v="2012-03-13T00:00:00"/>
    <x v="1"/>
  </r>
  <r>
    <x v="4378"/>
    <x v="0"/>
    <n v="21"/>
    <x v="1"/>
    <x v="7"/>
    <x v="1"/>
    <n v="10.8"/>
    <n v="6.4"/>
    <x v="4"/>
    <n v="3"/>
    <x v="0"/>
    <n v="67600"/>
    <n v="6300"/>
    <n v="73900"/>
    <s v="C"/>
    <d v="2015-03-31T00:00:00"/>
    <x v="1"/>
  </r>
  <r>
    <x v="4379"/>
    <x v="0"/>
    <n v="27"/>
    <x v="5"/>
    <x v="15"/>
    <x v="3"/>
    <n v="12.1"/>
    <n v="6.9"/>
    <x v="3"/>
    <n v="3"/>
    <x v="0"/>
    <n v="77300"/>
    <n v="9300"/>
    <n v="86600"/>
    <s v="C"/>
    <d v="2013-11-30T00:00:00"/>
    <x v="3"/>
  </r>
  <r>
    <x v="4380"/>
    <x v="1"/>
    <n v="37"/>
    <x v="1"/>
    <x v="10"/>
    <x v="0"/>
    <n v="11.8"/>
    <n v="7.2"/>
    <x v="4"/>
    <n v="4"/>
    <x v="1"/>
    <n v="63800"/>
    <n v="2800"/>
    <n v="66600"/>
    <s v="B"/>
    <d v="2014-03-14T00:00:00"/>
    <x v="0"/>
  </r>
  <r>
    <x v="4381"/>
    <x v="1"/>
    <n v="39"/>
    <x v="1"/>
    <x v="3"/>
    <x v="2"/>
    <n v="6.9"/>
    <n v="4.2"/>
    <x v="2"/>
    <n v="4"/>
    <x v="1"/>
    <n v="54400"/>
    <n v="3100"/>
    <n v="57500"/>
    <s v="B"/>
    <d v="2019-01-29T00:00:00"/>
    <x v="2"/>
  </r>
  <r>
    <x v="4382"/>
    <x v="1"/>
    <n v="34"/>
    <x v="1"/>
    <x v="3"/>
    <x v="2"/>
    <n v="6.5"/>
    <n v="4.8"/>
    <x v="2"/>
    <n v="3"/>
    <x v="1"/>
    <n v="47200"/>
    <n v="4900"/>
    <n v="52100"/>
    <s v="A"/>
    <d v="2019-07-08T00:00:00"/>
    <x v="2"/>
  </r>
  <r>
    <x v="4383"/>
    <x v="0"/>
    <n v="30"/>
    <x v="3"/>
    <x v="5"/>
    <x v="0"/>
    <n v="8.3000000000000007"/>
    <n v="2"/>
    <x v="2"/>
    <n v="2"/>
    <x v="1"/>
    <n v="49600"/>
    <n v="4200"/>
    <n v="53800"/>
    <s v="A"/>
    <d v="2017-09-20T00:00:00"/>
    <x v="0"/>
  </r>
  <r>
    <x v="4384"/>
    <x v="1"/>
    <n v="40"/>
    <x v="4"/>
    <x v="16"/>
    <x v="2"/>
    <n v="12.4"/>
    <n v="7.2"/>
    <x v="3"/>
    <n v="3"/>
    <x v="0"/>
    <n v="114800"/>
    <n v="13100"/>
    <n v="127900"/>
    <s v="E"/>
    <d v="2013-08-14T00:00:00"/>
    <x v="2"/>
  </r>
  <r>
    <x v="4385"/>
    <x v="0"/>
    <n v="47"/>
    <x v="4"/>
    <x v="14"/>
    <x v="1"/>
    <n v="2.4"/>
    <n v="0"/>
    <x v="0"/>
    <n v="4"/>
    <x v="0"/>
    <n v="97100"/>
    <n v="14400"/>
    <n v="111500"/>
    <s v="D"/>
    <d v="2023-07-31T00:00:00"/>
    <x v="1"/>
  </r>
  <r>
    <x v="4386"/>
    <x v="1"/>
    <n v="41"/>
    <x v="5"/>
    <x v="9"/>
    <x v="0"/>
    <n v="11"/>
    <n v="7.2"/>
    <x v="4"/>
    <n v="2"/>
    <x v="0"/>
    <n v="87300"/>
    <n v="7600"/>
    <n v="94900"/>
    <s v="D"/>
    <d v="2014-12-24T00:00:00"/>
    <x v="0"/>
  </r>
  <r>
    <x v="4387"/>
    <x v="1"/>
    <n v="37"/>
    <x v="0"/>
    <x v="2"/>
    <x v="2"/>
    <n v="9.5"/>
    <n v="6.4"/>
    <x v="4"/>
    <n v="3"/>
    <x v="0"/>
    <n v="78100"/>
    <n v="7800"/>
    <n v="85900"/>
    <s v="C"/>
    <d v="2016-07-01T00:00:00"/>
    <x v="2"/>
  </r>
  <r>
    <x v="4388"/>
    <x v="0"/>
    <n v="21"/>
    <x v="5"/>
    <x v="17"/>
    <x v="1"/>
    <n v="11.8"/>
    <n v="8.5"/>
    <x v="4"/>
    <n v="3"/>
    <x v="0"/>
    <n v="92100"/>
    <n v="14700"/>
    <n v="106800"/>
    <s v="D"/>
    <d v="2014-03-14T00:00:00"/>
    <x v="1"/>
  </r>
  <r>
    <x v="4389"/>
    <x v="1"/>
    <n v="33"/>
    <x v="2"/>
    <x v="4"/>
    <x v="2"/>
    <n v="10.1"/>
    <n v="9.6999999999999993"/>
    <x v="4"/>
    <n v="3"/>
    <x v="0"/>
    <n v="83900"/>
    <n v="5200"/>
    <n v="89100"/>
    <s v="D"/>
    <d v="2015-11-16T00:00:00"/>
    <x v="2"/>
  </r>
  <r>
    <x v="4390"/>
    <x v="0"/>
    <n v="42"/>
    <x v="0"/>
    <x v="0"/>
    <x v="1"/>
    <n v="8.1"/>
    <n v="7.9"/>
    <x v="2"/>
    <n v="3"/>
    <x v="0"/>
    <n v="90200"/>
    <n v="11900"/>
    <n v="102100"/>
    <s v="D"/>
    <d v="2017-11-19T00:00:00"/>
    <x v="1"/>
  </r>
  <r>
    <x v="4391"/>
    <x v="0"/>
    <n v="41"/>
    <x v="5"/>
    <x v="17"/>
    <x v="2"/>
    <n v="8.6"/>
    <n v="4.5999999999999996"/>
    <x v="2"/>
    <n v="3"/>
    <x v="0"/>
    <n v="119500"/>
    <n v="15000"/>
    <n v="134500"/>
    <s v="E"/>
    <d v="2017-05-24T00:00:00"/>
    <x v="2"/>
  </r>
  <r>
    <x v="4392"/>
    <x v="0"/>
    <n v="35"/>
    <x v="3"/>
    <x v="12"/>
    <x v="1"/>
    <n v="5.3"/>
    <n v="3.9"/>
    <x v="1"/>
    <n v="3"/>
    <x v="0"/>
    <n v="71200"/>
    <n v="5300"/>
    <n v="76500"/>
    <s v="C"/>
    <d v="2020-09-04T00:00:00"/>
    <x v="1"/>
  </r>
  <r>
    <x v="4393"/>
    <x v="0"/>
    <n v="33"/>
    <x v="1"/>
    <x v="3"/>
    <x v="2"/>
    <n v="9.4"/>
    <n v="7.2"/>
    <x v="4"/>
    <n v="4"/>
    <x v="0"/>
    <n v="70200"/>
    <n v="7400"/>
    <n v="77600"/>
    <s v="C"/>
    <d v="2016-08-07T00:00:00"/>
    <x v="2"/>
  </r>
  <r>
    <x v="4394"/>
    <x v="1"/>
    <n v="38"/>
    <x v="2"/>
    <x v="18"/>
    <x v="0"/>
    <n v="4.2"/>
    <n v="1.2"/>
    <x v="1"/>
    <n v="3"/>
    <x v="0"/>
    <n v="58800"/>
    <n v="3100"/>
    <n v="61900"/>
    <s v="B"/>
    <d v="2021-10-07T00:00:00"/>
    <x v="0"/>
  </r>
  <r>
    <x v="4395"/>
    <x v="1"/>
    <n v="51"/>
    <x v="3"/>
    <x v="5"/>
    <x v="2"/>
    <n v="1.3"/>
    <n v="1.3"/>
    <x v="0"/>
    <n v="2"/>
    <x v="0"/>
    <n v="75700"/>
    <n v="5000"/>
    <n v="80700"/>
    <s v="C"/>
    <d v="2024-08-30T00:00:00"/>
    <x v="2"/>
  </r>
  <r>
    <x v="4396"/>
    <x v="0"/>
    <n v="43"/>
    <x v="4"/>
    <x v="6"/>
    <x v="1"/>
    <n v="9.8000000000000007"/>
    <n v="7.6"/>
    <x v="4"/>
    <n v="3"/>
    <x v="0"/>
    <n v="76100"/>
    <n v="8100"/>
    <n v="84200"/>
    <s v="C"/>
    <d v="2016-03-13T00:00:00"/>
    <x v="1"/>
  </r>
  <r>
    <x v="4397"/>
    <x v="0"/>
    <n v="25"/>
    <x v="5"/>
    <x v="17"/>
    <x v="1"/>
    <n v="3.4"/>
    <n v="1.1000000000000001"/>
    <x v="1"/>
    <n v="2"/>
    <x v="1"/>
    <n v="63900"/>
    <n v="6800"/>
    <n v="70700"/>
    <s v="B"/>
    <d v="2022-07-21T00:00:00"/>
    <x v="1"/>
  </r>
  <r>
    <x v="4398"/>
    <x v="0"/>
    <n v="25"/>
    <x v="1"/>
    <x v="10"/>
    <x v="1"/>
    <n v="1.8"/>
    <n v="0"/>
    <x v="0"/>
    <n v="4"/>
    <x v="0"/>
    <n v="108300"/>
    <n v="10100"/>
    <n v="118400"/>
    <s v="E"/>
    <d v="2024-03-19T00:00:00"/>
    <x v="1"/>
  </r>
  <r>
    <x v="4399"/>
    <x v="1"/>
    <n v="40"/>
    <x v="5"/>
    <x v="9"/>
    <x v="1"/>
    <n v="7.3"/>
    <n v="3.7"/>
    <x v="2"/>
    <n v="4"/>
    <x v="0"/>
    <n v="102000"/>
    <n v="12400"/>
    <n v="114400"/>
    <s v="E"/>
    <d v="2018-09-09T00:00:00"/>
    <x v="1"/>
  </r>
  <r>
    <x v="4400"/>
    <x v="1"/>
    <n v="48"/>
    <x v="3"/>
    <x v="12"/>
    <x v="2"/>
    <n v="9.4"/>
    <n v="5.3"/>
    <x v="4"/>
    <n v="5"/>
    <x v="0"/>
    <n v="84000"/>
    <n v="6900"/>
    <n v="90900"/>
    <s v="D"/>
    <d v="2016-08-18T00:00:00"/>
    <x v="2"/>
  </r>
  <r>
    <x v="4401"/>
    <x v="0"/>
    <n v="25"/>
    <x v="2"/>
    <x v="4"/>
    <x v="1"/>
    <n v="11.3"/>
    <n v="7.7"/>
    <x v="4"/>
    <n v="2"/>
    <x v="0"/>
    <n v="80300"/>
    <n v="4200"/>
    <n v="84500"/>
    <s v="D"/>
    <d v="2014-09-21T00:00:00"/>
    <x v="1"/>
  </r>
  <r>
    <x v="4402"/>
    <x v="1"/>
    <n v="42"/>
    <x v="3"/>
    <x v="13"/>
    <x v="1"/>
    <n v="3"/>
    <n v="0"/>
    <x v="1"/>
    <n v="2"/>
    <x v="0"/>
    <n v="102600"/>
    <n v="5800"/>
    <n v="108400"/>
    <s v="E"/>
    <d v="2023-01-16T00:00:00"/>
    <x v="1"/>
  </r>
  <r>
    <x v="4403"/>
    <x v="1"/>
    <n v="52"/>
    <x v="3"/>
    <x v="5"/>
    <x v="1"/>
    <n v="7.9"/>
    <n v="3.5"/>
    <x v="2"/>
    <n v="2"/>
    <x v="0"/>
    <n v="71000"/>
    <n v="3800"/>
    <n v="74800"/>
    <s v="C"/>
    <d v="2018-02-17T00:00:00"/>
    <x v="1"/>
  </r>
  <r>
    <x v="4404"/>
    <x v="1"/>
    <n v="39"/>
    <x v="5"/>
    <x v="15"/>
    <x v="3"/>
    <n v="11.8"/>
    <n v="6.9"/>
    <x v="4"/>
    <n v="3"/>
    <x v="0"/>
    <n v="85900"/>
    <n v="13500"/>
    <n v="99400"/>
    <s v="D"/>
    <d v="2014-03-08T00:00:00"/>
    <x v="3"/>
  </r>
  <r>
    <x v="4405"/>
    <x v="0"/>
    <n v="37"/>
    <x v="2"/>
    <x v="4"/>
    <x v="1"/>
    <n v="3.6"/>
    <n v="2.2000000000000002"/>
    <x v="1"/>
    <n v="3"/>
    <x v="0"/>
    <n v="75300"/>
    <n v="4800"/>
    <n v="80100"/>
    <s v="C"/>
    <d v="2022-06-05T00:00:00"/>
    <x v="1"/>
  </r>
  <r>
    <x v="4406"/>
    <x v="0"/>
    <n v="45"/>
    <x v="0"/>
    <x v="1"/>
    <x v="2"/>
    <n v="9.1999999999999993"/>
    <n v="5.3"/>
    <x v="4"/>
    <n v="4"/>
    <x v="1"/>
    <n v="54100"/>
    <n v="6000"/>
    <n v="60100"/>
    <s v="B"/>
    <d v="2016-11-05T00:00:00"/>
    <x v="2"/>
  </r>
  <r>
    <x v="4407"/>
    <x v="0"/>
    <n v="36"/>
    <x v="1"/>
    <x v="7"/>
    <x v="0"/>
    <n v="12.8"/>
    <n v="8"/>
    <x v="3"/>
    <n v="3"/>
    <x v="0"/>
    <n v="94300"/>
    <n v="5300"/>
    <n v="99600"/>
    <s v="D"/>
    <d v="2013-03-04T00:00:00"/>
    <x v="0"/>
  </r>
  <r>
    <x v="4408"/>
    <x v="1"/>
    <n v="38"/>
    <x v="5"/>
    <x v="15"/>
    <x v="1"/>
    <n v="6.1"/>
    <n v="4.0999999999999996"/>
    <x v="2"/>
    <n v="3"/>
    <x v="0"/>
    <n v="71700"/>
    <n v="9300"/>
    <n v="81000"/>
    <s v="C"/>
    <d v="2019-12-08T00:00:00"/>
    <x v="1"/>
  </r>
  <r>
    <x v="4409"/>
    <x v="0"/>
    <n v="36"/>
    <x v="0"/>
    <x v="2"/>
    <x v="2"/>
    <n v="12.9"/>
    <m/>
    <x v="3"/>
    <n v="3"/>
    <x v="0"/>
    <n v="90300"/>
    <n v="5300"/>
    <n v="95600"/>
    <s v="D"/>
    <d v="2013-02-14T00:00:00"/>
    <x v="2"/>
  </r>
  <r>
    <x v="4410"/>
    <x v="1"/>
    <n v="43"/>
    <x v="1"/>
    <x v="7"/>
    <x v="1"/>
    <n v="10.9"/>
    <n v="7.1"/>
    <x v="4"/>
    <n v="4"/>
    <x v="0"/>
    <n v="98600"/>
    <n v="7700"/>
    <n v="106300"/>
    <s v="D"/>
    <d v="2015-02-17T00:00:00"/>
    <x v="1"/>
  </r>
  <r>
    <x v="4411"/>
    <x v="1"/>
    <n v="33"/>
    <x v="4"/>
    <x v="14"/>
    <x v="1"/>
    <n v="5.5"/>
    <n v="2.6"/>
    <x v="1"/>
    <n v="4"/>
    <x v="0"/>
    <n v="115000"/>
    <n v="11400"/>
    <n v="126400"/>
    <s v="E"/>
    <d v="2020-06-21T00:00:00"/>
    <x v="1"/>
  </r>
  <r>
    <x v="4412"/>
    <x v="0"/>
    <n v="30"/>
    <x v="1"/>
    <x v="7"/>
    <x v="2"/>
    <n v="10"/>
    <n v="7.4"/>
    <x v="4"/>
    <n v="5"/>
    <x v="0"/>
    <n v="87300"/>
    <n v="4100"/>
    <n v="91400"/>
    <s v="D"/>
    <d v="2016-01-04T00:00:00"/>
    <x v="2"/>
  </r>
  <r>
    <x v="4413"/>
    <x v="1"/>
    <n v="42"/>
    <x v="1"/>
    <x v="3"/>
    <x v="1"/>
    <n v="1.7"/>
    <n v="1.7"/>
    <x v="0"/>
    <n v="3"/>
    <x v="0"/>
    <n v="64400"/>
    <n v="7600"/>
    <n v="72000"/>
    <s v="B"/>
    <d v="2024-04-08T00:00:00"/>
    <x v="1"/>
  </r>
  <r>
    <x v="4414"/>
    <x v="0"/>
    <n v="42"/>
    <x v="3"/>
    <x v="12"/>
    <x v="1"/>
    <n v="4.9000000000000004"/>
    <n v="4.8"/>
    <x v="1"/>
    <n v="3"/>
    <x v="0"/>
    <n v="62400"/>
    <n v="3000"/>
    <n v="65400"/>
    <s v="B"/>
    <d v="2021-02-20T00:00:00"/>
    <x v="1"/>
  </r>
  <r>
    <x v="4415"/>
    <x v="1"/>
    <n v="35"/>
    <x v="5"/>
    <x v="17"/>
    <x v="1"/>
    <n v="5"/>
    <n v="5"/>
    <x v="1"/>
    <n v="4"/>
    <x v="0"/>
    <n v="106100"/>
    <n v="15600"/>
    <n v="121700"/>
    <s v="E"/>
    <d v="2021-01-10T00:00:00"/>
    <x v="1"/>
  </r>
  <r>
    <x v="4416"/>
    <x v="1"/>
    <n v="31"/>
    <x v="5"/>
    <x v="15"/>
    <x v="2"/>
    <n v="1.4"/>
    <n v="1.4"/>
    <x v="0"/>
    <n v="2"/>
    <x v="0"/>
    <n v="61700"/>
    <n v="10100"/>
    <n v="71800"/>
    <s v="B"/>
    <d v="2024-08-11T00:00:00"/>
    <x v="2"/>
  </r>
  <r>
    <x v="4417"/>
    <x v="0"/>
    <n v="36"/>
    <x v="4"/>
    <x v="8"/>
    <x v="1"/>
    <n v="13.1"/>
    <n v="8.1999999999999993"/>
    <x v="3"/>
    <n v="1"/>
    <x v="0"/>
    <n v="79500"/>
    <n v="6700"/>
    <n v="86200"/>
    <s v="C"/>
    <d v="2012-12-10T00:00:00"/>
    <x v="1"/>
  </r>
  <r>
    <x v="4418"/>
    <x v="1"/>
    <n v="31"/>
    <x v="2"/>
    <x v="11"/>
    <x v="0"/>
    <n v="6.2"/>
    <n v="4"/>
    <x v="2"/>
    <n v="3"/>
    <x v="0"/>
    <n v="81500"/>
    <n v="5400"/>
    <n v="86900"/>
    <s v="D"/>
    <d v="2019-10-07T00:00:00"/>
    <x v="0"/>
  </r>
  <r>
    <x v="4419"/>
    <x v="0"/>
    <n v="29"/>
    <x v="4"/>
    <x v="8"/>
    <x v="1"/>
    <n v="2"/>
    <n v="1.1000000000000001"/>
    <x v="0"/>
    <n v="4"/>
    <x v="0"/>
    <n v="78500"/>
    <n v="6100"/>
    <n v="84600"/>
    <s v="C"/>
    <d v="2024-01-08T00:00:00"/>
    <x v="1"/>
  </r>
  <r>
    <x v="4420"/>
    <x v="0"/>
    <n v="21"/>
    <x v="0"/>
    <x v="1"/>
    <x v="2"/>
    <n v="13.2"/>
    <n v="7.7"/>
    <x v="3"/>
    <n v="3"/>
    <x v="0"/>
    <n v="77200"/>
    <n v="3800"/>
    <n v="81000"/>
    <s v="C"/>
    <d v="2012-10-18T00:00:00"/>
    <x v="2"/>
  </r>
  <r>
    <x v="4421"/>
    <x v="1"/>
    <n v="31"/>
    <x v="0"/>
    <x v="2"/>
    <x v="1"/>
    <n v="2.5"/>
    <n v="2.2000000000000002"/>
    <x v="0"/>
    <n v="1"/>
    <x v="0"/>
    <n v="57700"/>
    <n v="3900"/>
    <n v="61600"/>
    <s v="B"/>
    <d v="2023-06-18T00:00:00"/>
    <x v="1"/>
  </r>
  <r>
    <x v="4422"/>
    <x v="1"/>
    <n v="45"/>
    <x v="0"/>
    <x v="0"/>
    <x v="1"/>
    <n v="7.8"/>
    <n v="6.1"/>
    <x v="2"/>
    <n v="5"/>
    <x v="2"/>
    <n v="84500"/>
    <n v="6600"/>
    <n v="91100"/>
    <s v="D"/>
    <d v="2018-03-25T00:00:00"/>
    <x v="1"/>
  </r>
  <r>
    <x v="4423"/>
    <x v="1"/>
    <n v="36"/>
    <x v="3"/>
    <x v="5"/>
    <x v="2"/>
    <n v="1.5"/>
    <n v="1.5"/>
    <x v="0"/>
    <n v="3"/>
    <x v="0"/>
    <n v="72100"/>
    <n v="5800"/>
    <n v="77900"/>
    <s v="C"/>
    <d v="2024-07-06T00:00:00"/>
    <x v="2"/>
  </r>
  <r>
    <x v="4424"/>
    <x v="0"/>
    <n v="38"/>
    <x v="2"/>
    <x v="4"/>
    <x v="2"/>
    <n v="2.8"/>
    <n v="0"/>
    <x v="0"/>
    <n v="3"/>
    <x v="0"/>
    <n v="76700"/>
    <n v="7900"/>
    <n v="84600"/>
    <s v="C"/>
    <d v="2023-03-31T00:00:00"/>
    <x v="2"/>
  </r>
  <r>
    <x v="4425"/>
    <x v="0"/>
    <n v="39"/>
    <x v="1"/>
    <x v="7"/>
    <x v="1"/>
    <n v="1.5"/>
    <n v="0.6"/>
    <x v="0"/>
    <n v="3"/>
    <x v="0"/>
    <n v="69600"/>
    <n v="7100"/>
    <n v="76700"/>
    <s v="C"/>
    <d v="2024-07-03T00:00:00"/>
    <x v="1"/>
  </r>
  <r>
    <x v="4426"/>
    <x v="1"/>
    <n v="37"/>
    <x v="4"/>
    <x v="16"/>
    <x v="1"/>
    <n v="1.7"/>
    <n v="1.7"/>
    <x v="0"/>
    <n v="3"/>
    <x v="0"/>
    <n v="86000"/>
    <n v="12800"/>
    <n v="98800"/>
    <s v="D"/>
    <d v="2024-04-30T00:00:00"/>
    <x v="1"/>
  </r>
  <r>
    <x v="4427"/>
    <x v="1"/>
    <n v="22"/>
    <x v="3"/>
    <x v="5"/>
    <x v="2"/>
    <n v="9.1999999999999993"/>
    <n v="4.9000000000000004"/>
    <x v="4"/>
    <n v="4"/>
    <x v="1"/>
    <n v="60100"/>
    <n v="5000"/>
    <n v="65100"/>
    <s v="B"/>
    <d v="2016-11-06T00:00:00"/>
    <x v="2"/>
  </r>
  <r>
    <x v="4428"/>
    <x v="0"/>
    <n v="29"/>
    <x v="1"/>
    <x v="3"/>
    <x v="0"/>
    <n v="2.1"/>
    <n v="0.9"/>
    <x v="0"/>
    <n v="3"/>
    <x v="0"/>
    <n v="75400"/>
    <n v="5600"/>
    <n v="81000"/>
    <s v="C"/>
    <d v="2023-12-03T00:00:00"/>
    <x v="0"/>
  </r>
  <r>
    <x v="4429"/>
    <x v="1"/>
    <n v="43"/>
    <x v="3"/>
    <x v="13"/>
    <x v="1"/>
    <n v="8.6"/>
    <n v="2.2000000000000002"/>
    <x v="2"/>
    <n v="3"/>
    <x v="0"/>
    <n v="103400"/>
    <n v="8200"/>
    <n v="111600"/>
    <s v="E"/>
    <d v="2017-06-08T00:00:00"/>
    <x v="1"/>
  </r>
  <r>
    <x v="4430"/>
    <x v="0"/>
    <n v="34"/>
    <x v="1"/>
    <x v="7"/>
    <x v="1"/>
    <n v="5.3"/>
    <n v="4"/>
    <x v="1"/>
    <n v="3"/>
    <x v="0"/>
    <n v="75400"/>
    <n v="6100"/>
    <n v="81500"/>
    <s v="C"/>
    <d v="2020-09-20T00:00:00"/>
    <x v="1"/>
  </r>
  <r>
    <x v="4431"/>
    <x v="1"/>
    <n v="32"/>
    <x v="0"/>
    <x v="1"/>
    <x v="1"/>
    <n v="9.1"/>
    <n v="5.6"/>
    <x v="4"/>
    <n v="3"/>
    <x v="0"/>
    <n v="75300"/>
    <n v="4600"/>
    <n v="79900"/>
    <s v="C"/>
    <d v="2016-11-30T00:00:00"/>
    <x v="1"/>
  </r>
  <r>
    <x v="4432"/>
    <x v="0"/>
    <n v="41"/>
    <x v="2"/>
    <x v="4"/>
    <x v="1"/>
    <n v="13.6"/>
    <n v="8.4"/>
    <x v="3"/>
    <n v="4"/>
    <x v="0"/>
    <n v="91900"/>
    <n v="4700"/>
    <n v="96600"/>
    <s v="D"/>
    <d v="2012-06-05T00:00:00"/>
    <x v="1"/>
  </r>
  <r>
    <x v="4433"/>
    <x v="1"/>
    <n v="24"/>
    <x v="4"/>
    <x v="14"/>
    <x v="2"/>
    <n v="9"/>
    <n v="6.8"/>
    <x v="4"/>
    <n v="3"/>
    <x v="0"/>
    <n v="120400"/>
    <n v="10200"/>
    <n v="130600"/>
    <s v="E"/>
    <d v="2017-01-04T00:00:00"/>
    <x v="2"/>
  </r>
  <r>
    <x v="4434"/>
    <x v="1"/>
    <n v="28"/>
    <x v="0"/>
    <x v="1"/>
    <x v="2"/>
    <n v="6.5"/>
    <n v="4.8"/>
    <x v="2"/>
    <n v="4"/>
    <x v="0"/>
    <n v="72200"/>
    <n v="6500"/>
    <n v="78700"/>
    <s v="C"/>
    <d v="2019-06-27T00:00:00"/>
    <x v="2"/>
  </r>
  <r>
    <x v="4435"/>
    <x v="1"/>
    <n v="45"/>
    <x v="0"/>
    <x v="1"/>
    <x v="2"/>
    <n v="2.7"/>
    <n v="0.2"/>
    <x v="0"/>
    <n v="3"/>
    <x v="1"/>
    <n v="48000"/>
    <n v="2400"/>
    <n v="50400"/>
    <s v="A"/>
    <d v="2023-05-08T00:00:00"/>
    <x v="2"/>
  </r>
  <r>
    <x v="4436"/>
    <x v="1"/>
    <n v="27"/>
    <x v="0"/>
    <x v="0"/>
    <x v="2"/>
    <n v="11.3"/>
    <n v="9.6"/>
    <x v="4"/>
    <n v="4"/>
    <x v="0"/>
    <n v="118800"/>
    <n v="9400"/>
    <n v="128200"/>
    <s v="E"/>
    <d v="2014-09-14T00:00:00"/>
    <x v="2"/>
  </r>
  <r>
    <x v="4437"/>
    <x v="0"/>
    <n v="33"/>
    <x v="5"/>
    <x v="17"/>
    <x v="2"/>
    <n v="3.4"/>
    <n v="3.4"/>
    <x v="1"/>
    <n v="3"/>
    <x v="0"/>
    <n v="91400"/>
    <n v="13700"/>
    <n v="105100"/>
    <s v="D"/>
    <d v="2022-08-22T00:00:00"/>
    <x v="2"/>
  </r>
  <r>
    <x v="4438"/>
    <x v="0"/>
    <n v="42"/>
    <x v="5"/>
    <x v="15"/>
    <x v="1"/>
    <n v="3.7"/>
    <n v="1.1000000000000001"/>
    <x v="1"/>
    <n v="3"/>
    <x v="0"/>
    <n v="63500"/>
    <n v="10900"/>
    <n v="74400"/>
    <s v="B"/>
    <d v="2022-04-04T00:00:00"/>
    <x v="1"/>
  </r>
  <r>
    <x v="4439"/>
    <x v="0"/>
    <n v="45"/>
    <x v="4"/>
    <x v="16"/>
    <x v="1"/>
    <n v="6"/>
    <n v="4.3"/>
    <x v="2"/>
    <n v="1"/>
    <x v="0"/>
    <n v="95500"/>
    <n v="6700"/>
    <n v="102200"/>
    <s v="D"/>
    <d v="2020-01-10T00:00:00"/>
    <x v="1"/>
  </r>
  <r>
    <x v="4440"/>
    <x v="0"/>
    <n v="29"/>
    <x v="1"/>
    <x v="7"/>
    <x v="1"/>
    <n v="4.3"/>
    <n v="3.1"/>
    <x v="1"/>
    <n v="4"/>
    <x v="1"/>
    <n v="53700"/>
    <n v="5300"/>
    <n v="59000"/>
    <s v="B"/>
    <d v="2021-09-09T00:00:00"/>
    <x v="1"/>
  </r>
  <r>
    <x v="4441"/>
    <x v="0"/>
    <n v="48"/>
    <x v="2"/>
    <x v="4"/>
    <x v="0"/>
    <n v="11.8"/>
    <n v="7.3"/>
    <x v="4"/>
    <n v="4"/>
    <x v="0"/>
    <n v="84100"/>
    <n v="5300"/>
    <n v="89400"/>
    <s v="D"/>
    <d v="2014-04-02T00:00:00"/>
    <x v="0"/>
  </r>
  <r>
    <x v="4442"/>
    <x v="1"/>
    <n v="35"/>
    <x v="2"/>
    <x v="18"/>
    <x v="1"/>
    <n v="8.4"/>
    <n v="5.8"/>
    <x v="2"/>
    <n v="3"/>
    <x v="0"/>
    <n v="77600"/>
    <n v="5500"/>
    <n v="83100"/>
    <s v="C"/>
    <d v="2017-07-21T00:00:00"/>
    <x v="1"/>
  </r>
  <r>
    <x v="4443"/>
    <x v="1"/>
    <n v="33"/>
    <x v="0"/>
    <x v="1"/>
    <x v="3"/>
    <n v="3.6"/>
    <n v="2.8"/>
    <x v="1"/>
    <n v="5"/>
    <x v="0"/>
    <n v="84800"/>
    <n v="5100"/>
    <n v="89900"/>
    <s v="D"/>
    <d v="2022-05-13T00:00:00"/>
    <x v="3"/>
  </r>
  <r>
    <x v="4444"/>
    <x v="0"/>
    <n v="35"/>
    <x v="4"/>
    <x v="8"/>
    <x v="1"/>
    <n v="3.3"/>
    <n v="0.6"/>
    <x v="1"/>
    <n v="5"/>
    <x v="2"/>
    <n v="70600"/>
    <n v="7900"/>
    <n v="78500"/>
    <s v="C"/>
    <d v="2022-09-06T00:00:00"/>
    <x v="1"/>
  </r>
  <r>
    <x v="4445"/>
    <x v="1"/>
    <n v="34"/>
    <x v="3"/>
    <x v="13"/>
    <x v="1"/>
    <n v="4.3"/>
    <n v="2.7"/>
    <x v="1"/>
    <n v="3"/>
    <x v="0"/>
    <n v="91300"/>
    <n v="6800"/>
    <n v="98100"/>
    <s v="D"/>
    <d v="2021-09-02T00:00:00"/>
    <x v="1"/>
  </r>
  <r>
    <x v="4446"/>
    <x v="0"/>
    <n v="36"/>
    <x v="2"/>
    <x v="18"/>
    <x v="1"/>
    <n v="11.9"/>
    <n v="8.9"/>
    <x v="4"/>
    <n v="3"/>
    <x v="0"/>
    <n v="88200"/>
    <n v="9200"/>
    <n v="97400"/>
    <s v="D"/>
    <d v="2014-02-22T00:00:00"/>
    <x v="1"/>
  </r>
  <r>
    <x v="4447"/>
    <x v="1"/>
    <n v="21"/>
    <x v="2"/>
    <x v="18"/>
    <x v="2"/>
    <n v="4.2"/>
    <n v="3"/>
    <x v="1"/>
    <n v="3"/>
    <x v="0"/>
    <n v="75700"/>
    <n v="4500"/>
    <n v="80200"/>
    <s v="C"/>
    <d v="2021-10-21T00:00:00"/>
    <x v="2"/>
  </r>
  <r>
    <x v="4448"/>
    <x v="1"/>
    <n v="29"/>
    <x v="4"/>
    <x v="14"/>
    <x v="2"/>
    <n v="8.1"/>
    <n v="7.6"/>
    <x v="2"/>
    <n v="3"/>
    <x v="0"/>
    <n v="121800"/>
    <n v="15900"/>
    <n v="137700"/>
    <s v="E"/>
    <d v="2017-11-16T00:00:00"/>
    <x v="2"/>
  </r>
  <r>
    <x v="4449"/>
    <x v="0"/>
    <n v="23"/>
    <x v="4"/>
    <x v="8"/>
    <x v="1"/>
    <n v="5.8"/>
    <n v="1.5"/>
    <x v="1"/>
    <n v="2"/>
    <x v="0"/>
    <n v="84700"/>
    <n v="12700"/>
    <n v="97400"/>
    <s v="D"/>
    <d v="2020-02-28T00:00:00"/>
    <x v="1"/>
  </r>
  <r>
    <x v="4450"/>
    <x v="0"/>
    <n v="39"/>
    <x v="3"/>
    <x v="5"/>
    <x v="1"/>
    <n v="9.5"/>
    <n v="5.3"/>
    <x v="4"/>
    <n v="4"/>
    <x v="0"/>
    <n v="81500"/>
    <n v="7300"/>
    <n v="88800"/>
    <s v="D"/>
    <d v="2016-06-29T00:00:00"/>
    <x v="1"/>
  </r>
  <r>
    <x v="4451"/>
    <x v="1"/>
    <n v="41"/>
    <x v="3"/>
    <x v="13"/>
    <x v="2"/>
    <n v="5.6"/>
    <n v="3.3"/>
    <x v="1"/>
    <n v="2"/>
    <x v="0"/>
    <n v="92800"/>
    <n v="3700"/>
    <n v="96500"/>
    <s v="D"/>
    <d v="2020-05-29T00:00:00"/>
    <x v="2"/>
  </r>
  <r>
    <x v="4452"/>
    <x v="0"/>
    <n v="41"/>
    <x v="3"/>
    <x v="12"/>
    <x v="1"/>
    <n v="3.1"/>
    <n v="2.1"/>
    <x v="1"/>
    <n v="2"/>
    <x v="1"/>
    <n v="36300"/>
    <n v="2500"/>
    <n v="38800"/>
    <s v="A"/>
    <d v="2022-12-03T00:00:00"/>
    <x v="1"/>
  </r>
  <r>
    <x v="4453"/>
    <x v="0"/>
    <n v="38"/>
    <x v="5"/>
    <x v="9"/>
    <x v="1"/>
    <n v="1.6"/>
    <n v="0.5"/>
    <x v="0"/>
    <n v="2"/>
    <x v="1"/>
    <n v="57100"/>
    <n v="7600"/>
    <n v="64700"/>
    <s v="B"/>
    <d v="2024-05-23T00:00:00"/>
    <x v="1"/>
  </r>
  <r>
    <x v="4454"/>
    <x v="1"/>
    <n v="30"/>
    <x v="2"/>
    <x v="4"/>
    <x v="0"/>
    <n v="13"/>
    <n v="8.3000000000000007"/>
    <x v="3"/>
    <n v="3"/>
    <x v="0"/>
    <n v="72200"/>
    <n v="3900"/>
    <n v="76100"/>
    <s v="C"/>
    <d v="2012-12-26T00:00:00"/>
    <x v="0"/>
  </r>
  <r>
    <x v="4455"/>
    <x v="0"/>
    <n v="29"/>
    <x v="1"/>
    <x v="10"/>
    <x v="2"/>
    <n v="2.8"/>
    <n v="1.7"/>
    <x v="0"/>
    <n v="4"/>
    <x v="0"/>
    <n v="100600"/>
    <n v="11100"/>
    <n v="111700"/>
    <s v="E"/>
    <d v="2023-03-15T00:00:00"/>
    <x v="2"/>
  </r>
  <r>
    <x v="4456"/>
    <x v="1"/>
    <n v="29"/>
    <x v="4"/>
    <x v="8"/>
    <x v="1"/>
    <n v="2.5"/>
    <n v="0"/>
    <x v="0"/>
    <n v="2"/>
    <x v="0"/>
    <n v="26915"/>
    <n v="10000"/>
    <n v="36915"/>
    <s v="A"/>
    <d v="2023-07-11T00:00:00"/>
    <x v="1"/>
  </r>
  <r>
    <x v="4457"/>
    <x v="0"/>
    <n v="47"/>
    <x v="5"/>
    <x v="15"/>
    <x v="1"/>
    <n v="8.8000000000000007"/>
    <n v="6.7"/>
    <x v="2"/>
    <n v="4"/>
    <x v="0"/>
    <n v="56900"/>
    <n v="7900"/>
    <n v="64800"/>
    <s v="B"/>
    <d v="2017-02-28T00:00:00"/>
    <x v="1"/>
  </r>
  <r>
    <x v="4458"/>
    <x v="1"/>
    <n v="32"/>
    <x v="4"/>
    <x v="16"/>
    <x v="2"/>
    <n v="8.3000000000000007"/>
    <n v="4.2"/>
    <x v="2"/>
    <n v="3"/>
    <x v="0"/>
    <n v="101400"/>
    <n v="9900"/>
    <n v="111300"/>
    <s v="E"/>
    <d v="2017-08-29T00:00:00"/>
    <x v="2"/>
  </r>
  <r>
    <x v="4459"/>
    <x v="1"/>
    <n v="31"/>
    <x v="0"/>
    <x v="0"/>
    <x v="0"/>
    <n v="2.7"/>
    <n v="0.4"/>
    <x v="0"/>
    <n v="3"/>
    <x v="0"/>
    <n v="96200"/>
    <n v="9000"/>
    <n v="105200"/>
    <s v="D"/>
    <d v="2023-04-26T00:00:00"/>
    <x v="0"/>
  </r>
  <r>
    <x v="4460"/>
    <x v="1"/>
    <n v="38"/>
    <x v="0"/>
    <x v="0"/>
    <x v="2"/>
    <n v="5.0999999999999996"/>
    <n v="4.5999999999999996"/>
    <x v="1"/>
    <n v="3"/>
    <x v="0"/>
    <n v="98900"/>
    <n v="8500"/>
    <n v="107400"/>
    <s v="D"/>
    <d v="2020-11-25T00:00:00"/>
    <x v="2"/>
  </r>
  <r>
    <x v="4461"/>
    <x v="0"/>
    <n v="22"/>
    <x v="5"/>
    <x v="9"/>
    <x v="2"/>
    <n v="10.199999999999999"/>
    <n v="6.9"/>
    <x v="4"/>
    <n v="3"/>
    <x v="0"/>
    <n v="96300"/>
    <n v="14800"/>
    <n v="111100"/>
    <s v="D"/>
    <d v="2015-10-10T00:00:00"/>
    <x v="2"/>
  </r>
  <r>
    <x v="4462"/>
    <x v="0"/>
    <n v="36"/>
    <x v="3"/>
    <x v="13"/>
    <x v="1"/>
    <n v="4.8"/>
    <n v="2.8"/>
    <x v="1"/>
    <n v="3"/>
    <x v="0"/>
    <n v="93900"/>
    <n v="6800"/>
    <n v="100700"/>
    <s v="D"/>
    <d v="2021-02-25T00:00:00"/>
    <x v="1"/>
  </r>
  <r>
    <x v="4463"/>
    <x v="1"/>
    <n v="32"/>
    <x v="4"/>
    <x v="14"/>
    <x v="1"/>
    <n v="10.5"/>
    <n v="5.8"/>
    <x v="4"/>
    <n v="2"/>
    <x v="0"/>
    <n v="107900"/>
    <n v="8800"/>
    <n v="116700"/>
    <s v="E"/>
    <d v="2015-06-23T00:00:00"/>
    <x v="1"/>
  </r>
  <r>
    <x v="4464"/>
    <x v="0"/>
    <n v="26"/>
    <x v="2"/>
    <x v="4"/>
    <x v="1"/>
    <n v="2.4"/>
    <n v="2.4"/>
    <x v="0"/>
    <n v="3"/>
    <x v="0"/>
    <n v="61900"/>
    <n v="3700"/>
    <n v="65600"/>
    <s v="B"/>
    <d v="2023-08-24T00:00:00"/>
    <x v="1"/>
  </r>
  <r>
    <x v="4465"/>
    <x v="1"/>
    <n v="21"/>
    <x v="2"/>
    <x v="18"/>
    <x v="1"/>
    <n v="7.2"/>
    <n v="4.3"/>
    <x v="2"/>
    <n v="5"/>
    <x v="0"/>
    <n v="75000"/>
    <n v="6200"/>
    <n v="81200"/>
    <s v="C"/>
    <d v="2018-10-28T00:00:00"/>
    <x v="1"/>
  </r>
  <r>
    <x v="4466"/>
    <x v="0"/>
    <n v="30"/>
    <x v="0"/>
    <x v="2"/>
    <x v="1"/>
    <n v="13"/>
    <n v="6.6"/>
    <x v="3"/>
    <n v="4"/>
    <x v="0"/>
    <n v="77600"/>
    <n v="5500"/>
    <n v="83100"/>
    <s v="C"/>
    <d v="2012-12-29T00:00:00"/>
    <x v="1"/>
  </r>
  <r>
    <x v="4467"/>
    <x v="0"/>
    <n v="23"/>
    <x v="3"/>
    <x v="12"/>
    <x v="1"/>
    <n v="8.1999999999999993"/>
    <n v="6.9"/>
    <x v="2"/>
    <n v="4"/>
    <x v="0"/>
    <n v="77000"/>
    <n v="5200"/>
    <n v="82200"/>
    <s v="C"/>
    <d v="2017-10-28T00:00:00"/>
    <x v="1"/>
  </r>
  <r>
    <x v="4468"/>
    <x v="0"/>
    <n v="34"/>
    <x v="1"/>
    <x v="7"/>
    <x v="1"/>
    <n v="6.3"/>
    <n v="5.3"/>
    <x v="2"/>
    <n v="2"/>
    <x v="0"/>
    <n v="72900"/>
    <n v="8700"/>
    <n v="81600"/>
    <s v="C"/>
    <d v="2019-09-20T00:00:00"/>
    <x v="1"/>
  </r>
  <r>
    <x v="4469"/>
    <x v="0"/>
    <n v="34"/>
    <x v="5"/>
    <x v="15"/>
    <x v="2"/>
    <n v="7.4"/>
    <n v="3.8"/>
    <x v="2"/>
    <n v="3"/>
    <x v="0"/>
    <n v="77500"/>
    <n v="15400"/>
    <n v="92900"/>
    <s v="C"/>
    <d v="2018-07-29T00:00:00"/>
    <x v="2"/>
  </r>
  <r>
    <x v="4470"/>
    <x v="0"/>
    <n v="47"/>
    <x v="4"/>
    <x v="8"/>
    <x v="3"/>
    <n v="6.4"/>
    <n v="4.2"/>
    <x v="2"/>
    <n v="3"/>
    <x v="0"/>
    <n v="91200"/>
    <n v="9100"/>
    <n v="100300"/>
    <s v="D"/>
    <d v="2019-07-24T00:00:00"/>
    <x v="3"/>
  </r>
  <r>
    <x v="4471"/>
    <x v="0"/>
    <n v="31"/>
    <x v="1"/>
    <x v="10"/>
    <x v="0"/>
    <n v="11.6"/>
    <n v="8.6999999999999993"/>
    <x v="4"/>
    <n v="4"/>
    <x v="0"/>
    <n v="113400"/>
    <n v="10800"/>
    <n v="124200"/>
    <s v="E"/>
    <d v="2014-05-26T00:00:00"/>
    <x v="0"/>
  </r>
  <r>
    <x v="4472"/>
    <x v="1"/>
    <n v="45"/>
    <x v="4"/>
    <x v="14"/>
    <x v="1"/>
    <n v="11.7"/>
    <n v="7"/>
    <x v="4"/>
    <n v="3"/>
    <x v="0"/>
    <n v="125300"/>
    <n v="16600"/>
    <n v="141900"/>
    <s v="E"/>
    <d v="2014-04-26T00:00:00"/>
    <x v="1"/>
  </r>
  <r>
    <x v="4473"/>
    <x v="1"/>
    <n v="38"/>
    <x v="1"/>
    <x v="7"/>
    <x v="2"/>
    <n v="5"/>
    <n v="5"/>
    <x v="1"/>
    <n v="5"/>
    <x v="0"/>
    <n v="78900"/>
    <n v="8300"/>
    <n v="87200"/>
    <s v="C"/>
    <d v="2021-01-07T00:00:00"/>
    <x v="2"/>
  </r>
  <r>
    <x v="4474"/>
    <x v="1"/>
    <n v="34"/>
    <x v="0"/>
    <x v="0"/>
    <x v="1"/>
    <n v="5.7"/>
    <n v="2.5"/>
    <x v="1"/>
    <n v="3"/>
    <x v="0"/>
    <n v="108100"/>
    <n v="11800"/>
    <n v="119900"/>
    <s v="E"/>
    <d v="2020-04-24T00:00:00"/>
    <x v="1"/>
  </r>
  <r>
    <x v="4475"/>
    <x v="1"/>
    <n v="21"/>
    <x v="4"/>
    <x v="14"/>
    <x v="1"/>
    <n v="9.6"/>
    <n v="7.6"/>
    <x v="4"/>
    <n v="4"/>
    <x v="0"/>
    <n v="116800"/>
    <n v="12000"/>
    <n v="128800"/>
    <s v="E"/>
    <d v="2016-06-01T00:00:00"/>
    <x v="1"/>
  </r>
  <r>
    <x v="4476"/>
    <x v="0"/>
    <n v="43"/>
    <x v="1"/>
    <x v="10"/>
    <x v="1"/>
    <n v="4.3"/>
    <n v="1.6"/>
    <x v="1"/>
    <n v="3"/>
    <x v="0"/>
    <n v="108700"/>
    <n v="4400"/>
    <n v="113100"/>
    <s v="E"/>
    <d v="2021-09-02T00:00:00"/>
    <x v="1"/>
  </r>
  <r>
    <x v="4477"/>
    <x v="1"/>
    <n v="21"/>
    <x v="4"/>
    <x v="6"/>
    <x v="1"/>
    <n v="5.0999999999999996"/>
    <n v="4"/>
    <x v="1"/>
    <n v="2"/>
    <x v="0"/>
    <n v="65000"/>
    <n v="7600"/>
    <n v="72600"/>
    <s v="C"/>
    <d v="2020-11-26T00:00:00"/>
    <x v="1"/>
  </r>
  <r>
    <x v="4478"/>
    <x v="0"/>
    <n v="34"/>
    <x v="1"/>
    <x v="3"/>
    <x v="1"/>
    <n v="13.7"/>
    <n v="8.8000000000000007"/>
    <x v="3"/>
    <n v="4"/>
    <x v="0"/>
    <n v="76700"/>
    <n v="3100"/>
    <n v="79800"/>
    <s v="C"/>
    <d v="2012-04-23T00:00:00"/>
    <x v="1"/>
  </r>
  <r>
    <x v="4479"/>
    <x v="0"/>
    <n v="46"/>
    <x v="0"/>
    <x v="1"/>
    <x v="3"/>
    <n v="2.4"/>
    <n v="0"/>
    <x v="0"/>
    <n v="4"/>
    <x v="0"/>
    <n v="79700"/>
    <n v="10500"/>
    <n v="90200"/>
    <s v="C"/>
    <d v="2023-08-02T00:00:00"/>
    <x v="3"/>
  </r>
  <r>
    <x v="4480"/>
    <x v="1"/>
    <n v="28"/>
    <x v="0"/>
    <x v="0"/>
    <x v="0"/>
    <n v="7"/>
    <n v="2.8"/>
    <x v="2"/>
    <n v="2"/>
    <x v="0"/>
    <n v="85200"/>
    <n v="8800"/>
    <n v="94000"/>
    <s v="D"/>
    <d v="2018-12-20T00:00:00"/>
    <x v="0"/>
  </r>
  <r>
    <x v="4481"/>
    <x v="1"/>
    <n v="21"/>
    <x v="0"/>
    <x v="2"/>
    <x v="1"/>
    <n v="5.9"/>
    <n v="3.6"/>
    <x v="1"/>
    <n v="3"/>
    <x v="0"/>
    <n v="58000"/>
    <n v="5300"/>
    <n v="63300"/>
    <s v="B"/>
    <d v="2020-01-30T00:00:00"/>
    <x v="1"/>
  </r>
  <r>
    <x v="4482"/>
    <x v="1"/>
    <n v="39"/>
    <x v="4"/>
    <x v="14"/>
    <x v="1"/>
    <n v="9.6"/>
    <n v="7.1"/>
    <x v="4"/>
    <n v="4"/>
    <x v="0"/>
    <n v="108200"/>
    <n v="9900"/>
    <n v="118100"/>
    <s v="E"/>
    <d v="2016-05-26T00:00:00"/>
    <x v="1"/>
  </r>
  <r>
    <x v="4483"/>
    <x v="1"/>
    <n v="36"/>
    <x v="1"/>
    <x v="10"/>
    <x v="1"/>
    <n v="4.9000000000000004"/>
    <n v="3.6"/>
    <x v="1"/>
    <n v="3"/>
    <x v="0"/>
    <n v="101300"/>
    <n v="12100"/>
    <n v="113400"/>
    <s v="E"/>
    <d v="2021-01-20T00:00:00"/>
    <x v="1"/>
  </r>
  <r>
    <x v="4484"/>
    <x v="0"/>
    <n v="39"/>
    <x v="5"/>
    <x v="15"/>
    <x v="2"/>
    <n v="7.3"/>
    <n v="5.6"/>
    <x v="2"/>
    <n v="3"/>
    <x v="0"/>
    <n v="65500"/>
    <n v="8300"/>
    <n v="73800"/>
    <s v="C"/>
    <d v="2018-09-03T00:00:00"/>
    <x v="2"/>
  </r>
  <r>
    <x v="4485"/>
    <x v="1"/>
    <n v="24"/>
    <x v="2"/>
    <x v="11"/>
    <x v="1"/>
    <n v="5.5"/>
    <n v="5.5"/>
    <x v="1"/>
    <n v="3"/>
    <x v="0"/>
    <n v="86900"/>
    <n v="6400"/>
    <n v="93300"/>
    <s v="D"/>
    <d v="2020-07-08T00:00:00"/>
    <x v="1"/>
  </r>
  <r>
    <x v="4486"/>
    <x v="0"/>
    <n v="41"/>
    <x v="3"/>
    <x v="13"/>
    <x v="1"/>
    <n v="1.4"/>
    <n v="0"/>
    <x v="0"/>
    <n v="3"/>
    <x v="0"/>
    <n v="107900"/>
    <n v="4300"/>
    <n v="112200"/>
    <s v="E"/>
    <d v="2024-08-13T00:00:00"/>
    <x v="1"/>
  </r>
  <r>
    <x v="4487"/>
    <x v="0"/>
    <n v="37"/>
    <x v="4"/>
    <x v="16"/>
    <x v="2"/>
    <n v="10.199999999999999"/>
    <n v="10.199999999999999"/>
    <x v="4"/>
    <n v="3"/>
    <x v="0"/>
    <n v="104500"/>
    <n v="11300"/>
    <n v="115800"/>
    <s v="E"/>
    <d v="2015-11-05T00:00:00"/>
    <x v="2"/>
  </r>
  <r>
    <x v="4488"/>
    <x v="1"/>
    <n v="38"/>
    <x v="2"/>
    <x v="11"/>
    <x v="1"/>
    <n v="9"/>
    <n v="5.3"/>
    <x v="4"/>
    <n v="2"/>
    <x v="0"/>
    <n v="121500"/>
    <n v="10200"/>
    <n v="131700"/>
    <s v="E"/>
    <d v="2017-01-14T00:00:00"/>
    <x v="1"/>
  </r>
  <r>
    <x v="4489"/>
    <x v="1"/>
    <n v="46"/>
    <x v="5"/>
    <x v="17"/>
    <x v="2"/>
    <n v="7.4"/>
    <n v="5.3"/>
    <x v="2"/>
    <n v="2"/>
    <x v="2"/>
    <n v="86800"/>
    <n v="10300"/>
    <n v="97100"/>
    <s v="D"/>
    <d v="2018-08-13T00:00:00"/>
    <x v="2"/>
  </r>
  <r>
    <x v="4490"/>
    <x v="0"/>
    <n v="39"/>
    <x v="1"/>
    <x v="7"/>
    <x v="0"/>
    <n v="11.3"/>
    <n v="5.8"/>
    <x v="4"/>
    <n v="3"/>
    <x v="0"/>
    <n v="78500"/>
    <n v="5200"/>
    <n v="83700"/>
    <s v="C"/>
    <d v="2014-09-06T00:00:00"/>
    <x v="0"/>
  </r>
  <r>
    <x v="4491"/>
    <x v="0"/>
    <n v="43"/>
    <x v="2"/>
    <x v="4"/>
    <x v="1"/>
    <n v="13.2"/>
    <n v="7.9"/>
    <x v="3"/>
    <n v="3"/>
    <x v="0"/>
    <n v="84100"/>
    <n v="6000"/>
    <n v="90100"/>
    <s v="D"/>
    <d v="2012-10-29T00:00:00"/>
    <x v="1"/>
  </r>
  <r>
    <x v="4492"/>
    <x v="0"/>
    <n v="36"/>
    <x v="0"/>
    <x v="2"/>
    <x v="1"/>
    <n v="11.4"/>
    <n v="7.8"/>
    <x v="4"/>
    <n v="4"/>
    <x v="0"/>
    <n v="80600"/>
    <n v="9000"/>
    <n v="89600"/>
    <s v="D"/>
    <d v="2014-08-26T00:00:00"/>
    <x v="1"/>
  </r>
  <r>
    <x v="4493"/>
    <x v="0"/>
    <n v="38"/>
    <x v="4"/>
    <x v="8"/>
    <x v="1"/>
    <n v="3.7"/>
    <n v="2.1"/>
    <x v="1"/>
    <n v="3"/>
    <x v="0"/>
    <n v="80900"/>
    <n v="6500"/>
    <n v="87400"/>
    <s v="D"/>
    <d v="2022-04-12T00:00:00"/>
    <x v="1"/>
  </r>
  <r>
    <x v="4494"/>
    <x v="1"/>
    <n v="45"/>
    <x v="3"/>
    <x v="12"/>
    <x v="2"/>
    <n v="3"/>
    <n v="1.2"/>
    <x v="1"/>
    <n v="3"/>
    <x v="0"/>
    <n v="65200"/>
    <n v="2700"/>
    <n v="67900"/>
    <s v="C"/>
    <d v="2022-12-15T00:00:00"/>
    <x v="2"/>
  </r>
  <r>
    <x v="4495"/>
    <x v="0"/>
    <n v="39"/>
    <x v="3"/>
    <x v="5"/>
    <x v="2"/>
    <n v="3.2"/>
    <n v="3.2"/>
    <x v="1"/>
    <n v="4"/>
    <x v="0"/>
    <n v="70300"/>
    <n v="6000"/>
    <n v="76300"/>
    <s v="C"/>
    <d v="2022-10-27T00:00:00"/>
    <x v="2"/>
  </r>
  <r>
    <x v="4496"/>
    <x v="0"/>
    <n v="30"/>
    <x v="2"/>
    <x v="4"/>
    <x v="1"/>
    <n v="3.6"/>
    <n v="3.2"/>
    <x v="1"/>
    <n v="3"/>
    <x v="0"/>
    <n v="77200"/>
    <n v="4900"/>
    <n v="82100"/>
    <s v="C"/>
    <d v="2022-05-21T00:00:00"/>
    <x v="1"/>
  </r>
  <r>
    <x v="4497"/>
    <x v="1"/>
    <n v="32"/>
    <x v="1"/>
    <x v="10"/>
    <x v="1"/>
    <n v="3.1"/>
    <n v="3"/>
    <x v="1"/>
    <n v="4"/>
    <x v="1"/>
    <n v="56800"/>
    <n v="4000"/>
    <n v="60800"/>
    <s v="B"/>
    <d v="2022-11-21T00:00:00"/>
    <x v="1"/>
  </r>
  <r>
    <x v="4498"/>
    <x v="0"/>
    <n v="31"/>
    <x v="4"/>
    <x v="8"/>
    <x v="1"/>
    <n v="5.0999999999999996"/>
    <n v="4.0999999999999996"/>
    <x v="1"/>
    <n v="4"/>
    <x v="0"/>
    <n v="87700"/>
    <n v="12500"/>
    <n v="100200"/>
    <s v="D"/>
    <d v="2020-12-05T00:00:00"/>
    <x v="1"/>
  </r>
  <r>
    <x v="4499"/>
    <x v="0"/>
    <n v="39"/>
    <x v="4"/>
    <x v="14"/>
    <x v="1"/>
    <n v="11.8"/>
    <n v="9.5"/>
    <x v="4"/>
    <n v="3"/>
    <x v="0"/>
    <n v="125100"/>
    <n v="8400"/>
    <n v="133500"/>
    <s v="E"/>
    <d v="2014-03-04T00:00:00"/>
    <x v="1"/>
  </r>
  <r>
    <x v="4500"/>
    <x v="0"/>
    <n v="45"/>
    <x v="1"/>
    <x v="10"/>
    <x v="2"/>
    <n v="3.2"/>
    <n v="2.6"/>
    <x v="1"/>
    <n v="2"/>
    <x v="0"/>
    <n v="93100"/>
    <n v="5200"/>
    <n v="98300"/>
    <s v="D"/>
    <d v="2022-10-04T00:00:00"/>
    <x v="2"/>
  </r>
  <r>
    <x v="4501"/>
    <x v="0"/>
    <n v="39"/>
    <x v="0"/>
    <x v="1"/>
    <x v="3"/>
    <n v="8.5"/>
    <n v="4.9000000000000004"/>
    <x v="2"/>
    <n v="3"/>
    <x v="0"/>
    <n v="92200"/>
    <n v="4300"/>
    <n v="96500"/>
    <s v="D"/>
    <d v="2017-06-16T00:00:00"/>
    <x v="3"/>
  </r>
  <r>
    <x v="4502"/>
    <x v="1"/>
    <n v="43"/>
    <x v="5"/>
    <x v="15"/>
    <x v="1"/>
    <n v="3.3"/>
    <n v="1.8"/>
    <x v="1"/>
    <n v="4"/>
    <x v="0"/>
    <n v="63800"/>
    <n v="6400"/>
    <n v="70200"/>
    <s v="B"/>
    <d v="2022-09-27T00:00:00"/>
    <x v="1"/>
  </r>
  <r>
    <x v="4503"/>
    <x v="0"/>
    <n v="32"/>
    <x v="3"/>
    <x v="12"/>
    <x v="2"/>
    <n v="10.6"/>
    <n v="7.5"/>
    <x v="4"/>
    <n v="3"/>
    <x v="0"/>
    <n v="71400"/>
    <n v="5500"/>
    <n v="76900"/>
    <s v="C"/>
    <d v="2015-06-06T00:00:00"/>
    <x v="2"/>
  </r>
  <r>
    <x v="4504"/>
    <x v="1"/>
    <n v="53"/>
    <x v="5"/>
    <x v="15"/>
    <x v="3"/>
    <n v="10.9"/>
    <n v="6.8"/>
    <x v="4"/>
    <n v="3"/>
    <x v="0"/>
    <n v="64500"/>
    <n v="13400"/>
    <n v="77900"/>
    <s v="B"/>
    <d v="2015-02-19T00:00:00"/>
    <x v="3"/>
  </r>
  <r>
    <x v="4505"/>
    <x v="0"/>
    <n v="21"/>
    <x v="5"/>
    <x v="9"/>
    <x v="0"/>
    <n v="1.8"/>
    <n v="1.3"/>
    <x v="0"/>
    <n v="5"/>
    <x v="0"/>
    <n v="110800"/>
    <n v="8200"/>
    <n v="119000"/>
    <s v="E"/>
    <d v="2024-03-17T00:00:00"/>
    <x v="0"/>
  </r>
  <r>
    <x v="4506"/>
    <x v="1"/>
    <n v="40"/>
    <x v="4"/>
    <x v="8"/>
    <x v="1"/>
    <n v="13.9"/>
    <n v="7.9"/>
    <x v="3"/>
    <n v="3"/>
    <x v="1"/>
    <n v="62700"/>
    <n v="5400"/>
    <n v="68100"/>
    <s v="B"/>
    <d v="2012-02-13T00:00:00"/>
    <x v="1"/>
  </r>
  <r>
    <x v="4507"/>
    <x v="0"/>
    <n v="29"/>
    <x v="2"/>
    <x v="18"/>
    <x v="2"/>
    <n v="12"/>
    <n v="8.3000000000000007"/>
    <x v="3"/>
    <n v="3"/>
    <x v="0"/>
    <n v="81300"/>
    <n v="5600"/>
    <n v="86900"/>
    <s v="D"/>
    <d v="2013-12-27T00:00:00"/>
    <x v="2"/>
  </r>
  <r>
    <x v="4508"/>
    <x v="1"/>
    <n v="44"/>
    <x v="0"/>
    <x v="0"/>
    <x v="2"/>
    <n v="12.3"/>
    <n v="8.6999999999999993"/>
    <x v="3"/>
    <n v="3"/>
    <x v="2"/>
    <n v="92500"/>
    <n v="7700"/>
    <n v="100200"/>
    <s v="D"/>
    <d v="2013-09-30T00:00:00"/>
    <x v="2"/>
  </r>
  <r>
    <x v="4509"/>
    <x v="1"/>
    <n v="42"/>
    <x v="5"/>
    <x v="9"/>
    <x v="2"/>
    <n v="1.1000000000000001"/>
    <n v="0"/>
    <x v="0"/>
    <n v="2"/>
    <x v="0"/>
    <n v="107700"/>
    <n v="20800"/>
    <n v="128500"/>
    <s v="E"/>
    <d v="2024-12-05T00:00:00"/>
    <x v="2"/>
  </r>
  <r>
    <x v="4510"/>
    <x v="0"/>
    <n v="42"/>
    <x v="1"/>
    <x v="7"/>
    <x v="1"/>
    <n v="11.9"/>
    <n v="8.4"/>
    <x v="4"/>
    <n v="3"/>
    <x v="1"/>
    <n v="51900"/>
    <n v="5400"/>
    <n v="57300"/>
    <s v="B"/>
    <d v="2014-01-30T00:00:00"/>
    <x v="1"/>
  </r>
  <r>
    <x v="4511"/>
    <x v="1"/>
    <n v="48"/>
    <x v="3"/>
    <x v="12"/>
    <x v="1"/>
    <n v="6.5"/>
    <n v="3.8"/>
    <x v="2"/>
    <n v="3"/>
    <x v="0"/>
    <n v="73300"/>
    <n v="6200"/>
    <n v="79500"/>
    <s v="C"/>
    <d v="2019-07-06T00:00:00"/>
    <x v="1"/>
  </r>
  <r>
    <x v="4512"/>
    <x v="1"/>
    <n v="35"/>
    <x v="5"/>
    <x v="9"/>
    <x v="1"/>
    <n v="7.7"/>
    <n v="3.4"/>
    <x v="2"/>
    <n v="5"/>
    <x v="0"/>
    <n v="102400"/>
    <n v="18400"/>
    <n v="120800"/>
    <s v="E"/>
    <d v="2018-04-28T00:00:00"/>
    <x v="1"/>
  </r>
  <r>
    <x v="4513"/>
    <x v="0"/>
    <n v="39"/>
    <x v="0"/>
    <x v="0"/>
    <x v="2"/>
    <n v="6.6"/>
    <n v="4.0999999999999996"/>
    <x v="2"/>
    <n v="3"/>
    <x v="0"/>
    <n v="103700"/>
    <n v="9400"/>
    <n v="113100"/>
    <s v="E"/>
    <d v="2019-05-15T00:00:00"/>
    <x v="2"/>
  </r>
  <r>
    <x v="4514"/>
    <x v="0"/>
    <n v="39"/>
    <x v="4"/>
    <x v="14"/>
    <x v="0"/>
    <n v="1.3"/>
    <n v="0"/>
    <x v="0"/>
    <n v="3"/>
    <x v="1"/>
    <n v="55000"/>
    <n v="7200"/>
    <n v="62200"/>
    <s v="B"/>
    <d v="2024-08-28T00:00:00"/>
    <x v="0"/>
  </r>
  <r>
    <x v="4515"/>
    <x v="1"/>
    <n v="49"/>
    <x v="5"/>
    <x v="9"/>
    <x v="1"/>
    <n v="2.2000000000000002"/>
    <n v="0.7"/>
    <x v="0"/>
    <n v="3"/>
    <x v="0"/>
    <n v="86000"/>
    <n v="7800"/>
    <n v="93800"/>
    <s v="D"/>
    <d v="2023-10-30T00:00:00"/>
    <x v="1"/>
  </r>
  <r>
    <x v="4516"/>
    <x v="0"/>
    <n v="39"/>
    <x v="5"/>
    <x v="15"/>
    <x v="2"/>
    <n v="12.7"/>
    <n v="7"/>
    <x v="3"/>
    <n v="2"/>
    <x v="0"/>
    <n v="84700"/>
    <n v="9300"/>
    <n v="94000"/>
    <s v="D"/>
    <d v="2013-04-12T00:00:00"/>
    <x v="2"/>
  </r>
  <r>
    <x v="4517"/>
    <x v="0"/>
    <n v="35"/>
    <x v="1"/>
    <x v="3"/>
    <x v="2"/>
    <n v="10.8"/>
    <n v="7.3"/>
    <x v="4"/>
    <n v="3"/>
    <x v="0"/>
    <n v="82300"/>
    <n v="6200"/>
    <n v="88500"/>
    <s v="D"/>
    <d v="2015-03-31T00:00:00"/>
    <x v="2"/>
  </r>
  <r>
    <x v="4518"/>
    <x v="1"/>
    <n v="50"/>
    <x v="4"/>
    <x v="8"/>
    <x v="1"/>
    <n v="13.4"/>
    <n v="8"/>
    <x v="3"/>
    <n v="3"/>
    <x v="0"/>
    <n v="95900"/>
    <n v="13800"/>
    <n v="109700"/>
    <s v="D"/>
    <d v="2012-07-28T00:00:00"/>
    <x v="1"/>
  </r>
  <r>
    <x v="4519"/>
    <x v="0"/>
    <n v="28"/>
    <x v="1"/>
    <x v="10"/>
    <x v="1"/>
    <n v="5.7"/>
    <n v="2.7"/>
    <x v="1"/>
    <n v="4"/>
    <x v="0"/>
    <n v="112800"/>
    <n v="9900"/>
    <n v="122700"/>
    <s v="E"/>
    <d v="2020-04-10T00:00:00"/>
    <x v="1"/>
  </r>
  <r>
    <x v="4520"/>
    <x v="1"/>
    <n v="43"/>
    <x v="5"/>
    <x v="15"/>
    <x v="4"/>
    <n v="11.5"/>
    <n v="6.1"/>
    <x v="4"/>
    <n v="2"/>
    <x v="0"/>
    <n v="55900"/>
    <n v="9600"/>
    <n v="65500"/>
    <s v="B"/>
    <d v="2014-07-02T00:00:00"/>
    <x v="4"/>
  </r>
  <r>
    <x v="4521"/>
    <x v="1"/>
    <n v="38"/>
    <x v="4"/>
    <x v="8"/>
    <x v="2"/>
    <n v="5.2"/>
    <n v="2.2000000000000002"/>
    <x v="1"/>
    <n v="4"/>
    <x v="0"/>
    <n v="82100"/>
    <n v="8400"/>
    <n v="90500"/>
    <s v="D"/>
    <d v="2020-10-02T00:00:00"/>
    <x v="2"/>
  </r>
  <r>
    <x v="4522"/>
    <x v="0"/>
    <n v="39"/>
    <x v="0"/>
    <x v="2"/>
    <x v="1"/>
    <n v="2.7"/>
    <n v="0.5"/>
    <x v="0"/>
    <n v="2"/>
    <x v="0"/>
    <n v="55900"/>
    <n v="2900"/>
    <n v="58800"/>
    <s v="B"/>
    <d v="2023-04-04T00:00:00"/>
    <x v="1"/>
  </r>
  <r>
    <x v="4523"/>
    <x v="0"/>
    <n v="45"/>
    <x v="3"/>
    <x v="5"/>
    <x v="1"/>
    <n v="8.3000000000000007"/>
    <n v="6.7"/>
    <x v="2"/>
    <n v="3"/>
    <x v="0"/>
    <n v="97200"/>
    <n v="4400"/>
    <n v="101600"/>
    <s v="D"/>
    <d v="2017-09-12T00:00:00"/>
    <x v="1"/>
  </r>
  <r>
    <x v="4524"/>
    <x v="1"/>
    <n v="30"/>
    <x v="4"/>
    <x v="6"/>
    <x v="1"/>
    <n v="3.7"/>
    <n v="1.2"/>
    <x v="1"/>
    <m/>
    <x v="0"/>
    <n v="73700"/>
    <n v="10300"/>
    <n v="84000"/>
    <s v="C"/>
    <d v="2022-05-02T00:00:00"/>
    <x v="1"/>
  </r>
  <r>
    <x v="4525"/>
    <x v="0"/>
    <n v="38"/>
    <x v="4"/>
    <x v="6"/>
    <x v="2"/>
    <n v="5.4"/>
    <n v="3.3"/>
    <x v="1"/>
    <n v="3"/>
    <x v="0"/>
    <n v="66300"/>
    <n v="4300"/>
    <n v="70600"/>
    <s v="C"/>
    <d v="2020-07-27T00:00:00"/>
    <x v="2"/>
  </r>
  <r>
    <x v="4526"/>
    <x v="1"/>
    <n v="37"/>
    <x v="4"/>
    <x v="6"/>
    <x v="2"/>
    <n v="10.4"/>
    <n v="6.1"/>
    <x v="4"/>
    <n v="3"/>
    <x v="0"/>
    <n v="75400"/>
    <n v="8900"/>
    <n v="84300"/>
    <s v="C"/>
    <d v="2015-07-25T00:00:00"/>
    <x v="2"/>
  </r>
  <r>
    <x v="4527"/>
    <x v="0"/>
    <n v="31"/>
    <x v="3"/>
    <x v="13"/>
    <x v="2"/>
    <n v="4.3"/>
    <n v="3.5"/>
    <x v="1"/>
    <n v="4"/>
    <x v="0"/>
    <n v="111500"/>
    <n v="3800"/>
    <n v="115300"/>
    <s v="E"/>
    <d v="2021-09-16T00:00:00"/>
    <x v="2"/>
  </r>
  <r>
    <x v="4528"/>
    <x v="0"/>
    <n v="44"/>
    <x v="0"/>
    <x v="1"/>
    <x v="1"/>
    <n v="8.6999999999999993"/>
    <n v="4.9000000000000004"/>
    <x v="2"/>
    <n v="2"/>
    <x v="2"/>
    <n v="61300"/>
    <n v="5200"/>
    <n v="66500"/>
    <s v="B"/>
    <d v="2017-04-30T00:00:00"/>
    <x v="1"/>
  </r>
  <r>
    <x v="4529"/>
    <x v="1"/>
    <n v="41"/>
    <x v="1"/>
    <x v="7"/>
    <x v="2"/>
    <n v="5.0999999999999996"/>
    <n v="5.0999999999999996"/>
    <x v="1"/>
    <n v="4"/>
    <x v="1"/>
    <n v="46800"/>
    <n v="3600"/>
    <n v="50400"/>
    <s v="A"/>
    <d v="2020-11-24T00:00:00"/>
    <x v="2"/>
  </r>
  <r>
    <x v="4530"/>
    <x v="1"/>
    <n v="50"/>
    <x v="3"/>
    <x v="5"/>
    <x v="1"/>
    <n v="12.6"/>
    <n v="8"/>
    <x v="3"/>
    <n v="2"/>
    <x v="0"/>
    <n v="75500"/>
    <n v="5000"/>
    <n v="80500"/>
    <s v="C"/>
    <d v="2013-06-10T00:00:00"/>
    <x v="1"/>
  </r>
  <r>
    <x v="4531"/>
    <x v="1"/>
    <n v="26"/>
    <x v="2"/>
    <x v="18"/>
    <x v="1"/>
    <n v="3.5"/>
    <n v="2"/>
    <x v="1"/>
    <n v="3"/>
    <x v="0"/>
    <n v="66600"/>
    <n v="4200"/>
    <n v="70800"/>
    <s v="C"/>
    <d v="2022-07-05T00:00:00"/>
    <x v="1"/>
  </r>
  <r>
    <x v="4532"/>
    <x v="0"/>
    <n v="34"/>
    <x v="3"/>
    <x v="13"/>
    <x v="2"/>
    <n v="4.8"/>
    <n v="3.6"/>
    <x v="1"/>
    <n v="3"/>
    <x v="0"/>
    <n v="101500"/>
    <n v="8500"/>
    <n v="110000"/>
    <s v="E"/>
    <d v="2021-03-05T00:00:00"/>
    <x v="2"/>
  </r>
  <r>
    <x v="4533"/>
    <x v="1"/>
    <n v="40"/>
    <x v="2"/>
    <x v="11"/>
    <x v="1"/>
    <n v="7.1"/>
    <n v="3.6"/>
    <x v="2"/>
    <n v="3"/>
    <x v="0"/>
    <n v="96300"/>
    <n v="7600"/>
    <n v="103900"/>
    <s v="D"/>
    <d v="2018-11-13T00:00:00"/>
    <x v="1"/>
  </r>
  <r>
    <x v="4534"/>
    <x v="0"/>
    <n v="33"/>
    <x v="2"/>
    <x v="18"/>
    <x v="1"/>
    <n v="13.7"/>
    <n v="10.1"/>
    <x v="3"/>
    <n v="3"/>
    <x v="0"/>
    <n v="90600"/>
    <n v="4900"/>
    <n v="95500"/>
    <s v="D"/>
    <d v="2012-04-15T00:00:00"/>
    <x v="1"/>
  </r>
  <r>
    <x v="4535"/>
    <x v="0"/>
    <n v="32"/>
    <x v="3"/>
    <x v="12"/>
    <x v="2"/>
    <n v="3.3"/>
    <n v="1.4"/>
    <x v="1"/>
    <n v="1"/>
    <x v="2"/>
    <n v="54400"/>
    <n v="4100"/>
    <n v="58500"/>
    <s v="B"/>
    <d v="2022-10-01T00:00:00"/>
    <x v="2"/>
  </r>
  <r>
    <x v="4536"/>
    <x v="0"/>
    <n v="35"/>
    <x v="3"/>
    <x v="12"/>
    <x v="1"/>
    <n v="6.1"/>
    <n v="5.6"/>
    <x v="2"/>
    <n v="4"/>
    <x v="2"/>
    <n v="49800"/>
    <n v="1900"/>
    <n v="51700"/>
    <s v="A"/>
    <d v="2019-11-30T00:00:00"/>
    <x v="1"/>
  </r>
  <r>
    <x v="4537"/>
    <x v="1"/>
    <n v="45"/>
    <x v="2"/>
    <x v="4"/>
    <x v="0"/>
    <n v="11"/>
    <n v="7.9"/>
    <x v="4"/>
    <n v="3"/>
    <x v="0"/>
    <n v="72200"/>
    <n v="3600"/>
    <n v="75800"/>
    <s v="C"/>
    <d v="2015-01-09T00:00:00"/>
    <x v="0"/>
  </r>
  <r>
    <x v="4538"/>
    <x v="0"/>
    <n v="34"/>
    <x v="4"/>
    <x v="14"/>
    <x v="0"/>
    <n v="13.9"/>
    <n v="9.1"/>
    <x v="3"/>
    <n v="4"/>
    <x v="0"/>
    <n v="129200"/>
    <n v="18500"/>
    <n v="147700"/>
    <s v="E"/>
    <d v="2012-01-24T00:00:00"/>
    <x v="0"/>
  </r>
  <r>
    <x v="4539"/>
    <x v="0"/>
    <n v="55"/>
    <x v="2"/>
    <x v="11"/>
    <x v="1"/>
    <n v="3.4"/>
    <n v="0.6"/>
    <x v="1"/>
    <n v="2"/>
    <x v="0"/>
    <n v="90200"/>
    <n v="3900"/>
    <n v="94100"/>
    <s v="D"/>
    <d v="2022-08-05T00:00:00"/>
    <x v="1"/>
  </r>
  <r>
    <x v="4540"/>
    <x v="1"/>
    <n v="23"/>
    <x v="1"/>
    <x v="10"/>
    <x v="3"/>
    <n v="9.1"/>
    <n v="4.4000000000000004"/>
    <x v="4"/>
    <n v="3"/>
    <x v="0"/>
    <n v="101100"/>
    <n v="7900"/>
    <n v="109000"/>
    <s v="E"/>
    <d v="2016-11-16T00:00:00"/>
    <x v="3"/>
  </r>
  <r>
    <x v="4541"/>
    <x v="0"/>
    <n v="36"/>
    <x v="2"/>
    <x v="18"/>
    <x v="2"/>
    <n v="6.9"/>
    <n v="4.2"/>
    <x v="2"/>
    <n v="2"/>
    <x v="0"/>
    <n v="66300"/>
    <n v="6900"/>
    <n v="73200"/>
    <s v="C"/>
    <d v="2019-01-31T00:00:00"/>
    <x v="2"/>
  </r>
  <r>
    <x v="4542"/>
    <x v="1"/>
    <n v="25"/>
    <x v="3"/>
    <x v="13"/>
    <x v="1"/>
    <n v="3.5"/>
    <n v="2.9"/>
    <x v="1"/>
    <n v="4"/>
    <x v="0"/>
    <n v="98500"/>
    <n v="4400"/>
    <n v="102900"/>
    <s v="D"/>
    <d v="2022-07-03T00:00:00"/>
    <x v="1"/>
  </r>
  <r>
    <x v="4543"/>
    <x v="1"/>
    <n v="40"/>
    <x v="4"/>
    <x v="8"/>
    <x v="1"/>
    <n v="12.5"/>
    <n v="9.4"/>
    <x v="3"/>
    <n v="4"/>
    <x v="0"/>
    <n v="94500"/>
    <n v="8800"/>
    <n v="103300"/>
    <s v="D"/>
    <d v="2013-07-11T00:00:00"/>
    <x v="1"/>
  </r>
  <r>
    <x v="4544"/>
    <x v="0"/>
    <n v="34"/>
    <x v="5"/>
    <x v="9"/>
    <x v="2"/>
    <n v="7.2"/>
    <n v="5"/>
    <x v="2"/>
    <n v="3"/>
    <x v="0"/>
    <n v="111000"/>
    <n v="11800"/>
    <n v="122800"/>
    <s v="E"/>
    <d v="2018-10-14T00:00:00"/>
    <x v="2"/>
  </r>
  <r>
    <x v="4545"/>
    <x v="1"/>
    <n v="33"/>
    <x v="4"/>
    <x v="6"/>
    <x v="2"/>
    <n v="4.5"/>
    <n v="4.2"/>
    <x v="1"/>
    <n v="3"/>
    <x v="0"/>
    <n v="78100"/>
    <n v="10900"/>
    <n v="89000"/>
    <s v="C"/>
    <d v="2021-07-15T00:00:00"/>
    <x v="2"/>
  </r>
  <r>
    <x v="4546"/>
    <x v="1"/>
    <n v="40"/>
    <x v="4"/>
    <x v="8"/>
    <x v="2"/>
    <n v="12.8"/>
    <n v="10.3"/>
    <x v="3"/>
    <n v="4"/>
    <x v="0"/>
    <n v="110700"/>
    <n v="15600"/>
    <n v="126300"/>
    <s v="E"/>
    <d v="2013-03-16T00:00:00"/>
    <x v="2"/>
  </r>
  <r>
    <x v="4547"/>
    <x v="0"/>
    <n v="47"/>
    <x v="0"/>
    <x v="2"/>
    <x v="0"/>
    <n v="4.7"/>
    <n v="4.3"/>
    <x v="1"/>
    <n v="3"/>
    <x v="0"/>
    <n v="61500"/>
    <n v="6200"/>
    <n v="67700"/>
    <s v="B"/>
    <d v="2021-04-30T00:00:00"/>
    <x v="0"/>
  </r>
  <r>
    <x v="4548"/>
    <x v="1"/>
    <n v="21"/>
    <x v="4"/>
    <x v="6"/>
    <x v="2"/>
    <n v="9.4"/>
    <n v="6.4"/>
    <x v="4"/>
    <n v="2"/>
    <x v="2"/>
    <n v="75800"/>
    <n v="5600"/>
    <n v="81400"/>
    <s v="C"/>
    <d v="2016-08-06T00:00:00"/>
    <x v="2"/>
  </r>
  <r>
    <x v="4549"/>
    <x v="1"/>
    <n v="44"/>
    <x v="5"/>
    <x v="9"/>
    <x v="3"/>
    <n v="13.9"/>
    <n v="9.6"/>
    <x v="3"/>
    <n v="3"/>
    <x v="0"/>
    <n v="101500"/>
    <n v="18500"/>
    <n v="120000"/>
    <s v="E"/>
    <d v="2012-02-17T00:00:00"/>
    <x v="3"/>
  </r>
  <r>
    <x v="4550"/>
    <x v="0"/>
    <n v="45"/>
    <x v="4"/>
    <x v="16"/>
    <x v="3"/>
    <n v="8.8000000000000007"/>
    <n v="5.8"/>
    <x v="2"/>
    <n v="3"/>
    <x v="1"/>
    <n v="68600"/>
    <n v="6300"/>
    <n v="74900"/>
    <s v="C"/>
    <d v="2017-03-03T00:00:00"/>
    <x v="3"/>
  </r>
  <r>
    <x v="4551"/>
    <x v="1"/>
    <n v="50"/>
    <x v="2"/>
    <x v="4"/>
    <x v="1"/>
    <n v="12.7"/>
    <n v="8.4"/>
    <x v="3"/>
    <n v="5"/>
    <x v="1"/>
    <n v="52600"/>
    <n v="5400"/>
    <n v="58000"/>
    <s v="B"/>
    <d v="2013-04-26T00:00:00"/>
    <x v="1"/>
  </r>
  <r>
    <x v="4552"/>
    <x v="0"/>
    <n v="21"/>
    <x v="3"/>
    <x v="12"/>
    <x v="1"/>
    <n v="3.4"/>
    <n v="2.2999999999999998"/>
    <x v="1"/>
    <n v="2"/>
    <x v="0"/>
    <n v="61500"/>
    <n v="2800"/>
    <n v="64300"/>
    <s v="B"/>
    <d v="2022-07-28T00:00:00"/>
    <x v="1"/>
  </r>
  <r>
    <x v="4553"/>
    <x v="1"/>
    <n v="38"/>
    <x v="2"/>
    <x v="4"/>
    <x v="1"/>
    <n v="1.5"/>
    <n v="0.5"/>
    <x v="0"/>
    <n v="2"/>
    <x v="0"/>
    <n v="68000"/>
    <n v="5900"/>
    <n v="73900"/>
    <s v="C"/>
    <d v="2024-06-27T00:00:00"/>
    <x v="1"/>
  </r>
  <r>
    <x v="4554"/>
    <x v="0"/>
    <n v="29"/>
    <x v="0"/>
    <x v="1"/>
    <x v="2"/>
    <n v="4.3"/>
    <n v="4.3"/>
    <x v="1"/>
    <n v="5"/>
    <x v="1"/>
    <n v="49400"/>
    <n v="5900"/>
    <n v="55300"/>
    <s v="A"/>
    <d v="2021-09-13T00:00:00"/>
    <x v="2"/>
  </r>
  <r>
    <x v="4555"/>
    <x v="1"/>
    <n v="34"/>
    <x v="0"/>
    <x v="1"/>
    <x v="1"/>
    <n v="13"/>
    <n v="8"/>
    <x v="3"/>
    <n v="3"/>
    <x v="0"/>
    <n v="76900"/>
    <n v="7000"/>
    <n v="83900"/>
    <s v="C"/>
    <d v="2013-01-15T00:00:00"/>
    <x v="1"/>
  </r>
  <r>
    <x v="4556"/>
    <x v="1"/>
    <n v="41"/>
    <x v="2"/>
    <x v="11"/>
    <x v="2"/>
    <n v="5.7"/>
    <n v="4.0999999999999996"/>
    <x v="1"/>
    <n v="3"/>
    <x v="0"/>
    <n v="121800"/>
    <n v="4900"/>
    <n v="126700"/>
    <s v="E"/>
    <d v="2020-04-21T00:00:00"/>
    <x v="2"/>
  </r>
  <r>
    <x v="4557"/>
    <x v="1"/>
    <n v="38"/>
    <x v="1"/>
    <x v="7"/>
    <x v="1"/>
    <n v="6.6"/>
    <n v="4.8"/>
    <x v="2"/>
    <n v="3"/>
    <x v="0"/>
    <n v="73700"/>
    <n v="7600"/>
    <n v="81300"/>
    <s v="C"/>
    <d v="2019-06-04T00:00:00"/>
    <x v="1"/>
  </r>
  <r>
    <x v="4558"/>
    <x v="0"/>
    <n v="26"/>
    <x v="0"/>
    <x v="0"/>
    <x v="2"/>
    <n v="13.9"/>
    <n v="8.6999999999999993"/>
    <x v="3"/>
    <n v="4"/>
    <x v="0"/>
    <n v="100400"/>
    <n v="10400"/>
    <n v="110800"/>
    <s v="E"/>
    <d v="2012-01-29T00:00:00"/>
    <x v="2"/>
  </r>
  <r>
    <x v="4559"/>
    <x v="1"/>
    <n v="24"/>
    <x v="5"/>
    <x v="15"/>
    <x v="1"/>
    <n v="10.6"/>
    <n v="8.1999999999999993"/>
    <x v="4"/>
    <n v="4"/>
    <x v="0"/>
    <n v="77300"/>
    <n v="6400"/>
    <n v="83700"/>
    <s v="C"/>
    <d v="2015-06-09T00:00:00"/>
    <x v="1"/>
  </r>
  <r>
    <x v="4560"/>
    <x v="1"/>
    <n v="31"/>
    <x v="5"/>
    <x v="15"/>
    <x v="1"/>
    <n v="9"/>
    <n v="6.8"/>
    <x v="4"/>
    <n v="3"/>
    <x v="0"/>
    <n v="63000"/>
    <n v="9000"/>
    <n v="72000"/>
    <s v="B"/>
    <d v="2017-01-10T00:00:00"/>
    <x v="1"/>
  </r>
  <r>
    <x v="4561"/>
    <x v="1"/>
    <n v="44"/>
    <x v="5"/>
    <x v="9"/>
    <x v="1"/>
    <n v="7.4"/>
    <n v="6.3"/>
    <x v="2"/>
    <n v="3"/>
    <x v="0"/>
    <n v="100700"/>
    <n v="7600"/>
    <n v="108300"/>
    <s v="E"/>
    <d v="2018-07-22T00:00:00"/>
    <x v="1"/>
  </r>
  <r>
    <x v="4562"/>
    <x v="0"/>
    <n v="38"/>
    <x v="5"/>
    <x v="17"/>
    <x v="1"/>
    <n v="7.7"/>
    <n v="4.3"/>
    <x v="2"/>
    <n v="4"/>
    <x v="0"/>
    <n v="101700"/>
    <n v="21000"/>
    <n v="122700"/>
    <s v="E"/>
    <d v="2018-04-10T00:00:00"/>
    <x v="1"/>
  </r>
  <r>
    <x v="4563"/>
    <x v="0"/>
    <n v="39"/>
    <x v="2"/>
    <x v="18"/>
    <x v="1"/>
    <n v="1.8"/>
    <n v="1.8"/>
    <x v="0"/>
    <n v="3"/>
    <x v="0"/>
    <n v="66100"/>
    <n v="5000"/>
    <n v="71100"/>
    <s v="C"/>
    <d v="2024-03-22T00:00:00"/>
    <x v="1"/>
  </r>
  <r>
    <x v="4564"/>
    <x v="0"/>
    <n v="25"/>
    <x v="5"/>
    <x v="15"/>
    <x v="1"/>
    <n v="12.6"/>
    <n v="5.7"/>
    <x v="3"/>
    <n v="3"/>
    <x v="0"/>
    <n v="75600"/>
    <n v="14800"/>
    <n v="90400"/>
    <s v="C"/>
    <d v="2013-06-13T00:00:00"/>
    <x v="1"/>
  </r>
  <r>
    <x v="4565"/>
    <x v="1"/>
    <n v="46"/>
    <x v="3"/>
    <x v="13"/>
    <x v="1"/>
    <n v="10.4"/>
    <n v="6.6"/>
    <x v="4"/>
    <n v="4"/>
    <x v="0"/>
    <n v="116400"/>
    <n v="10000"/>
    <n v="126400"/>
    <s v="E"/>
    <d v="2015-08-08T00:00:00"/>
    <x v="1"/>
  </r>
  <r>
    <x v="4566"/>
    <x v="1"/>
    <n v="38"/>
    <x v="3"/>
    <x v="5"/>
    <x v="1"/>
    <n v="3.1"/>
    <n v="1.4"/>
    <x v="1"/>
    <n v="3"/>
    <x v="0"/>
    <n v="70600"/>
    <n v="5600"/>
    <n v="76200"/>
    <s v="C"/>
    <d v="2022-11-29T00:00:00"/>
    <x v="1"/>
  </r>
  <r>
    <x v="4567"/>
    <x v="0"/>
    <n v="39"/>
    <x v="4"/>
    <x v="14"/>
    <x v="1"/>
    <n v="8.1"/>
    <n v="6.5"/>
    <x v="2"/>
    <n v="2"/>
    <x v="0"/>
    <n v="113000"/>
    <n v="11000"/>
    <n v="124000"/>
    <s v="E"/>
    <d v="2017-11-26T00:00:00"/>
    <x v="1"/>
  </r>
  <r>
    <x v="4568"/>
    <x v="1"/>
    <n v="27"/>
    <x v="1"/>
    <x v="10"/>
    <x v="2"/>
    <n v="11.5"/>
    <n v="6.7"/>
    <x v="4"/>
    <n v="3"/>
    <x v="0"/>
    <n v="110600"/>
    <n v="9200"/>
    <n v="119800"/>
    <s v="E"/>
    <d v="2014-07-04T00:00:00"/>
    <x v="2"/>
  </r>
  <r>
    <x v="4569"/>
    <x v="0"/>
    <n v="51"/>
    <x v="0"/>
    <x v="0"/>
    <x v="1"/>
    <n v="11"/>
    <n v="8.3000000000000007"/>
    <x v="4"/>
    <n v="3"/>
    <x v="0"/>
    <n v="102100"/>
    <n v="7100"/>
    <n v="109200"/>
    <s v="E"/>
    <d v="2015-01-13T00:00:00"/>
    <x v="1"/>
  </r>
  <r>
    <x v="4570"/>
    <x v="1"/>
    <n v="46"/>
    <x v="4"/>
    <x v="16"/>
    <x v="3"/>
    <n v="10.6"/>
    <n v="4.5"/>
    <x v="4"/>
    <n v="3"/>
    <x v="0"/>
    <n v="101800"/>
    <n v="14900"/>
    <n v="116700"/>
    <s v="E"/>
    <d v="2015-06-04T00:00:00"/>
    <x v="3"/>
  </r>
  <r>
    <x v="4571"/>
    <x v="1"/>
    <n v="35"/>
    <x v="4"/>
    <x v="14"/>
    <x v="1"/>
    <n v="7.9"/>
    <n v="2.8"/>
    <x v="2"/>
    <n v="3"/>
    <x v="0"/>
    <n v="108200"/>
    <n v="6100"/>
    <n v="114300"/>
    <s v="E"/>
    <d v="2018-01-23T00:00:00"/>
    <x v="1"/>
  </r>
  <r>
    <x v="4572"/>
    <x v="0"/>
    <n v="45"/>
    <x v="0"/>
    <x v="2"/>
    <x v="0"/>
    <n v="12.9"/>
    <n v="6.7"/>
    <x v="3"/>
    <n v="3"/>
    <x v="0"/>
    <n v="70500"/>
    <n v="5000"/>
    <n v="75500"/>
    <s v="C"/>
    <d v="2013-02-13T00:00:00"/>
    <x v="0"/>
  </r>
  <r>
    <x v="4573"/>
    <x v="1"/>
    <n v="36"/>
    <x v="5"/>
    <x v="17"/>
    <x v="2"/>
    <n v="11.8"/>
    <n v="7.8"/>
    <x v="4"/>
    <n v="1"/>
    <x v="0"/>
    <n v="99900"/>
    <n v="10600"/>
    <n v="110500"/>
    <s v="D"/>
    <d v="2014-03-02T00:00:00"/>
    <x v="2"/>
  </r>
  <r>
    <x v="4574"/>
    <x v="0"/>
    <n v="35"/>
    <x v="4"/>
    <x v="16"/>
    <x v="1"/>
    <n v="9.5"/>
    <n v="5.0999999999999996"/>
    <x v="4"/>
    <n v="3"/>
    <x v="1"/>
    <n v="57700"/>
    <n v="5500"/>
    <n v="63200"/>
    <s v="B"/>
    <d v="2016-06-21T00:00:00"/>
    <x v="1"/>
  </r>
  <r>
    <x v="4575"/>
    <x v="0"/>
    <n v="25"/>
    <x v="1"/>
    <x v="10"/>
    <x v="1"/>
    <n v="6.9"/>
    <n v="3.8"/>
    <x v="2"/>
    <n v="4"/>
    <x v="0"/>
    <n v="92800"/>
    <n v="6000"/>
    <n v="98800"/>
    <s v="D"/>
    <d v="2019-02-20T00:00:00"/>
    <x v="1"/>
  </r>
  <r>
    <x v="4576"/>
    <x v="1"/>
    <n v="29"/>
    <x v="3"/>
    <x v="13"/>
    <x v="1"/>
    <n v="6.7"/>
    <n v="4.7"/>
    <x v="2"/>
    <n v="3"/>
    <x v="1"/>
    <n v="62400"/>
    <n v="2600"/>
    <n v="65000"/>
    <s v="B"/>
    <d v="2019-04-21T00:00:00"/>
    <x v="1"/>
  </r>
  <r>
    <x v="4577"/>
    <x v="0"/>
    <n v="52"/>
    <x v="2"/>
    <x v="18"/>
    <x v="1"/>
    <n v="6.3"/>
    <n v="5.2"/>
    <x v="2"/>
    <n v="4"/>
    <x v="0"/>
    <n v="68600"/>
    <n v="5800"/>
    <n v="74400"/>
    <s v="C"/>
    <d v="2019-09-13T00:00:00"/>
    <x v="1"/>
  </r>
  <r>
    <x v="4578"/>
    <x v="1"/>
    <n v="36"/>
    <x v="5"/>
    <x v="15"/>
    <x v="2"/>
    <n v="1.9"/>
    <n v="0.6"/>
    <x v="0"/>
    <n v="5"/>
    <x v="0"/>
    <n v="68100"/>
    <n v="4800"/>
    <n v="72900"/>
    <s v="C"/>
    <d v="2024-02-10T00:00:00"/>
    <x v="2"/>
  </r>
  <r>
    <x v="4579"/>
    <x v="0"/>
    <n v="34"/>
    <x v="1"/>
    <x v="7"/>
    <x v="1"/>
    <n v="5.9"/>
    <n v="2.7"/>
    <x v="1"/>
    <n v="4"/>
    <x v="0"/>
    <n v="86400"/>
    <n v="4300"/>
    <n v="90700"/>
    <s v="D"/>
    <d v="2020-02-19T00:00:00"/>
    <x v="1"/>
  </r>
  <r>
    <x v="4580"/>
    <x v="0"/>
    <n v="35"/>
    <x v="4"/>
    <x v="8"/>
    <x v="2"/>
    <n v="6.8"/>
    <n v="3.9"/>
    <x v="2"/>
    <n v="3"/>
    <x v="0"/>
    <n v="88800"/>
    <n v="7500"/>
    <n v="96300"/>
    <s v="D"/>
    <d v="2019-03-30T00:00:00"/>
    <x v="2"/>
  </r>
  <r>
    <x v="4581"/>
    <x v="0"/>
    <n v="25"/>
    <x v="3"/>
    <x v="12"/>
    <x v="1"/>
    <n v="3.7"/>
    <n v="3.1"/>
    <x v="1"/>
    <n v="4"/>
    <x v="0"/>
    <n v="65000"/>
    <n v="2700"/>
    <n v="67700"/>
    <s v="C"/>
    <d v="2022-04-18T00:00:00"/>
    <x v="1"/>
  </r>
  <r>
    <x v="4582"/>
    <x v="0"/>
    <n v="43"/>
    <x v="2"/>
    <x v="11"/>
    <x v="2"/>
    <n v="10.9"/>
    <n v="5.5"/>
    <x v="4"/>
    <n v="3"/>
    <x v="0"/>
    <n v="120100"/>
    <n v="12300"/>
    <n v="132400"/>
    <s v="E"/>
    <d v="2015-01-30T00:00:00"/>
    <x v="2"/>
  </r>
  <r>
    <x v="4583"/>
    <x v="0"/>
    <n v="31"/>
    <x v="1"/>
    <x v="3"/>
    <x v="2"/>
    <n v="9.1999999999999993"/>
    <n v="7.8"/>
    <x v="4"/>
    <n v="5"/>
    <x v="0"/>
    <n v="83100"/>
    <n v="7000"/>
    <n v="90100"/>
    <s v="D"/>
    <d v="2016-11-01T00:00:00"/>
    <x v="2"/>
  </r>
  <r>
    <x v="4584"/>
    <x v="0"/>
    <n v="41"/>
    <x v="3"/>
    <x v="5"/>
    <x v="2"/>
    <n v="7.6"/>
    <n v="3.6"/>
    <x v="2"/>
    <n v="3"/>
    <x v="0"/>
    <n v="83200"/>
    <n v="3800"/>
    <n v="87000"/>
    <s v="D"/>
    <d v="2018-05-29T00:00:00"/>
    <x v="2"/>
  </r>
  <r>
    <x v="4585"/>
    <x v="1"/>
    <n v="47"/>
    <x v="1"/>
    <x v="7"/>
    <x v="2"/>
    <n v="6"/>
    <n v="5.5"/>
    <x v="2"/>
    <n v="3"/>
    <x v="0"/>
    <n v="85500"/>
    <n v="6700"/>
    <n v="92200"/>
    <s v="D"/>
    <d v="2019-12-30T00:00:00"/>
    <x v="2"/>
  </r>
  <r>
    <x v="4586"/>
    <x v="0"/>
    <n v="31"/>
    <x v="5"/>
    <x v="17"/>
    <x v="1"/>
    <n v="11.3"/>
    <n v="7.5"/>
    <x v="4"/>
    <n v="4"/>
    <x v="0"/>
    <n v="96500"/>
    <n v="15500"/>
    <n v="112000"/>
    <s v="D"/>
    <d v="2014-09-22T00:00:00"/>
    <x v="1"/>
  </r>
  <r>
    <x v="4587"/>
    <x v="0"/>
    <n v="37"/>
    <x v="5"/>
    <x v="9"/>
    <x v="2"/>
    <n v="6.3"/>
    <n v="3.1"/>
    <x v="2"/>
    <n v="3"/>
    <x v="2"/>
    <n v="82700"/>
    <n v="11800"/>
    <n v="94500"/>
    <s v="D"/>
    <d v="2019-09-02T00:00:00"/>
    <x v="2"/>
  </r>
  <r>
    <x v="4588"/>
    <x v="1"/>
    <n v="44"/>
    <x v="0"/>
    <x v="1"/>
    <x v="0"/>
    <n v="11"/>
    <n v="6.8"/>
    <x v="4"/>
    <n v="4"/>
    <x v="2"/>
    <n v="64800"/>
    <n v="7600"/>
    <n v="72400"/>
    <s v="B"/>
    <d v="2015-01-06T00:00:00"/>
    <x v="0"/>
  </r>
  <r>
    <x v="4589"/>
    <x v="0"/>
    <n v="35"/>
    <x v="3"/>
    <x v="5"/>
    <x v="2"/>
    <n v="9.6"/>
    <n v="4.4000000000000004"/>
    <x v="4"/>
    <n v="4"/>
    <x v="0"/>
    <n v="82800"/>
    <n v="4700"/>
    <n v="87500"/>
    <s v="D"/>
    <d v="2016-05-18T00:00:00"/>
    <x v="2"/>
  </r>
  <r>
    <x v="4590"/>
    <x v="1"/>
    <n v="41"/>
    <x v="1"/>
    <x v="3"/>
    <x v="1"/>
    <n v="12.1"/>
    <n v="8.5"/>
    <x v="3"/>
    <n v="5"/>
    <x v="2"/>
    <n v="58100"/>
    <n v="6200"/>
    <n v="64300"/>
    <s v="B"/>
    <d v="2013-12-01T00:00:00"/>
    <x v="1"/>
  </r>
  <r>
    <x v="4591"/>
    <x v="0"/>
    <n v="35"/>
    <x v="3"/>
    <x v="13"/>
    <x v="2"/>
    <n v="2.2999999999999998"/>
    <n v="0"/>
    <x v="0"/>
    <n v="4"/>
    <x v="1"/>
    <n v="59600"/>
    <n v="4800"/>
    <n v="64400"/>
    <s v="B"/>
    <d v="2023-09-10T00:00:00"/>
    <x v="2"/>
  </r>
  <r>
    <x v="4592"/>
    <x v="0"/>
    <n v="33"/>
    <x v="2"/>
    <x v="11"/>
    <x v="0"/>
    <n v="1.5"/>
    <n v="0.6"/>
    <x v="0"/>
    <n v="4"/>
    <x v="0"/>
    <n v="86400"/>
    <n v="7300"/>
    <n v="93700"/>
    <s v="D"/>
    <d v="2024-07-14T00:00:00"/>
    <x v="0"/>
  </r>
  <r>
    <x v="4593"/>
    <x v="0"/>
    <n v="42"/>
    <x v="1"/>
    <x v="3"/>
    <x v="2"/>
    <n v="14"/>
    <n v="7.9"/>
    <x v="3"/>
    <n v="4"/>
    <x v="0"/>
    <n v="88600"/>
    <n v="10500"/>
    <n v="99100"/>
    <s v="D"/>
    <d v="2012-01-17T00:00:00"/>
    <x v="2"/>
  </r>
  <r>
    <x v="4594"/>
    <x v="1"/>
    <n v="30"/>
    <x v="3"/>
    <x v="13"/>
    <x v="1"/>
    <n v="2.8"/>
    <n v="2.8"/>
    <x v="0"/>
    <n v="4"/>
    <x v="2"/>
    <n v="75900"/>
    <n v="4900"/>
    <n v="80800"/>
    <s v="C"/>
    <d v="2023-03-29T00:00:00"/>
    <x v="1"/>
  </r>
  <r>
    <x v="4595"/>
    <x v="1"/>
    <n v="49"/>
    <x v="5"/>
    <x v="17"/>
    <x v="2"/>
    <n v="3.7"/>
    <n v="3.7"/>
    <x v="1"/>
    <n v="3"/>
    <x v="0"/>
    <n v="108200"/>
    <n v="14100"/>
    <n v="122300"/>
    <s v="E"/>
    <d v="2022-05-01T00:00:00"/>
    <x v="2"/>
  </r>
  <r>
    <x v="4596"/>
    <x v="0"/>
    <n v="36"/>
    <x v="5"/>
    <x v="9"/>
    <x v="1"/>
    <n v="10.7"/>
    <n v="6.9"/>
    <x v="4"/>
    <n v="4"/>
    <x v="0"/>
    <n v="98500"/>
    <n v="10600"/>
    <n v="109100"/>
    <s v="D"/>
    <d v="2015-04-26T00:00:00"/>
    <x v="1"/>
  </r>
  <r>
    <x v="4597"/>
    <x v="0"/>
    <n v="39"/>
    <x v="5"/>
    <x v="15"/>
    <x v="1"/>
    <n v="6.6"/>
    <n v="4.7"/>
    <x v="2"/>
    <n v="2"/>
    <x v="0"/>
    <n v="61700"/>
    <n v="11500"/>
    <n v="73200"/>
    <s v="B"/>
    <d v="2019-05-31T00:00:00"/>
    <x v="1"/>
  </r>
  <r>
    <x v="4598"/>
    <x v="0"/>
    <n v="42"/>
    <x v="5"/>
    <x v="15"/>
    <x v="1"/>
    <n v="4.9000000000000004"/>
    <n v="4"/>
    <x v="1"/>
    <n v="3"/>
    <x v="0"/>
    <n v="59500"/>
    <n v="10300"/>
    <n v="69800"/>
    <s v="B"/>
    <d v="2021-02-10T00:00:00"/>
    <x v="1"/>
  </r>
  <r>
    <x v="4599"/>
    <x v="0"/>
    <n v="38"/>
    <x v="1"/>
    <x v="10"/>
    <x v="1"/>
    <n v="10.7"/>
    <n v="5.2"/>
    <x v="4"/>
    <n v="3"/>
    <x v="0"/>
    <n v="125200"/>
    <n v="11300"/>
    <n v="136500"/>
    <s v="E"/>
    <d v="2015-05-02T00:00:00"/>
    <x v="1"/>
  </r>
  <r>
    <x v="4600"/>
    <x v="0"/>
    <n v="29"/>
    <x v="0"/>
    <x v="0"/>
    <x v="2"/>
    <n v="4.5"/>
    <n v="4.0999999999999996"/>
    <x v="1"/>
    <n v="3"/>
    <x v="0"/>
    <n v="87200"/>
    <n v="11100"/>
    <n v="98300"/>
    <s v="D"/>
    <d v="2021-07-02T00:00:00"/>
    <x v="2"/>
  </r>
  <r>
    <x v="4601"/>
    <x v="1"/>
    <n v="23"/>
    <x v="5"/>
    <x v="9"/>
    <x v="1"/>
    <n v="6.6"/>
    <n v="5.0999999999999996"/>
    <x v="2"/>
    <n v="4"/>
    <x v="0"/>
    <n v="108700"/>
    <n v="10100"/>
    <n v="118800"/>
    <s v="E"/>
    <d v="2019-05-27T00:00:00"/>
    <x v="1"/>
  </r>
  <r>
    <x v="4602"/>
    <x v="0"/>
    <n v="27"/>
    <x v="2"/>
    <x v="4"/>
    <x v="1"/>
    <n v="11.1"/>
    <n v="9.5"/>
    <x v="4"/>
    <n v="3"/>
    <x v="1"/>
    <n v="54800"/>
    <n v="3500"/>
    <n v="58300"/>
    <s v="B"/>
    <d v="2014-11-27T00:00:00"/>
    <x v="1"/>
  </r>
  <r>
    <x v="4603"/>
    <x v="1"/>
    <n v="28"/>
    <x v="5"/>
    <x v="15"/>
    <x v="1"/>
    <n v="4.4000000000000004"/>
    <n v="4.3"/>
    <x v="1"/>
    <n v="3"/>
    <x v="2"/>
    <n v="49900"/>
    <n v="9900"/>
    <n v="59800"/>
    <s v="A"/>
    <d v="2021-08-17T00:00:00"/>
    <x v="1"/>
  </r>
  <r>
    <x v="4604"/>
    <x v="0"/>
    <n v="41"/>
    <x v="1"/>
    <x v="10"/>
    <x v="2"/>
    <n v="10.4"/>
    <n v="8"/>
    <x v="4"/>
    <n v="2"/>
    <x v="0"/>
    <n v="97400"/>
    <n v="7500"/>
    <n v="104900"/>
    <s v="D"/>
    <d v="2015-07-29T00:00:00"/>
    <x v="2"/>
  </r>
  <r>
    <x v="4605"/>
    <x v="1"/>
    <n v="48"/>
    <x v="5"/>
    <x v="15"/>
    <x v="1"/>
    <n v="9.6999999999999993"/>
    <n v="4.5999999999999996"/>
    <x v="4"/>
    <n v="4"/>
    <x v="0"/>
    <n v="69900"/>
    <n v="6200"/>
    <n v="76100"/>
    <s v="C"/>
    <d v="2016-04-23T00:00:00"/>
    <x v="1"/>
  </r>
  <r>
    <x v="4606"/>
    <x v="0"/>
    <n v="43"/>
    <x v="5"/>
    <x v="17"/>
    <x v="2"/>
    <n v="12.2"/>
    <n v="8.3000000000000007"/>
    <x v="3"/>
    <n v="3"/>
    <x v="0"/>
    <n v="112500"/>
    <n v="8500"/>
    <n v="121000"/>
    <s v="E"/>
    <d v="2013-10-22T00:00:00"/>
    <x v="2"/>
  </r>
  <r>
    <x v="4607"/>
    <x v="0"/>
    <n v="37"/>
    <x v="2"/>
    <x v="11"/>
    <x v="1"/>
    <n v="12"/>
    <n v="9.3000000000000007"/>
    <x v="3"/>
    <n v="3"/>
    <x v="0"/>
    <n v="102000"/>
    <n v="3600"/>
    <n v="105600"/>
    <s v="E"/>
    <d v="2014-01-13T00:00:00"/>
    <x v="1"/>
  </r>
  <r>
    <x v="4608"/>
    <x v="0"/>
    <n v="37"/>
    <x v="1"/>
    <x v="3"/>
    <x v="1"/>
    <n v="1.4"/>
    <n v="0"/>
    <x v="0"/>
    <n v="4"/>
    <x v="1"/>
    <n v="42700"/>
    <n v="2200"/>
    <n v="44900"/>
    <s v="A"/>
    <d v="2024-07-21T00:00:00"/>
    <x v="1"/>
  </r>
  <r>
    <x v="4609"/>
    <x v="1"/>
    <n v="27"/>
    <x v="3"/>
    <x v="12"/>
    <x v="0"/>
    <n v="5.5"/>
    <n v="2.5"/>
    <x v="1"/>
    <n v="3"/>
    <x v="0"/>
    <n v="74700"/>
    <n v="2900"/>
    <n v="77600"/>
    <s v="C"/>
    <d v="2020-07-04T00:00:00"/>
    <x v="0"/>
  </r>
  <r>
    <x v="4610"/>
    <x v="1"/>
    <n v="37"/>
    <x v="3"/>
    <x v="5"/>
    <x v="2"/>
    <n v="9.9"/>
    <n v="6.2"/>
    <x v="4"/>
    <n v="3"/>
    <x v="0"/>
    <n v="84600"/>
    <n v="5600"/>
    <n v="90200"/>
    <s v="D"/>
    <d v="2016-02-13T00:00:00"/>
    <x v="2"/>
  </r>
  <r>
    <x v="4611"/>
    <x v="0"/>
    <n v="27"/>
    <x v="5"/>
    <x v="17"/>
    <x v="1"/>
    <n v="3.6"/>
    <n v="2.2000000000000002"/>
    <x v="1"/>
    <n v="4"/>
    <x v="0"/>
    <n v="101200"/>
    <n v="8800"/>
    <n v="110000"/>
    <s v="E"/>
    <d v="2022-06-08T00:00:00"/>
    <x v="1"/>
  </r>
  <r>
    <x v="4612"/>
    <x v="1"/>
    <n v="24"/>
    <x v="1"/>
    <x v="7"/>
    <x v="2"/>
    <n v="9.6999999999999993"/>
    <n v="5.3"/>
    <x v="4"/>
    <n v="5"/>
    <x v="0"/>
    <n v="94200"/>
    <n v="5200"/>
    <n v="99400"/>
    <s v="D"/>
    <d v="2016-04-10T00:00:00"/>
    <x v="2"/>
  </r>
  <r>
    <x v="4613"/>
    <x v="1"/>
    <n v="25"/>
    <x v="2"/>
    <x v="4"/>
    <x v="0"/>
    <n v="6.7"/>
    <n v="5.7"/>
    <x v="2"/>
    <n v="4"/>
    <x v="0"/>
    <n v="81000"/>
    <n v="4500"/>
    <n v="85500"/>
    <s v="D"/>
    <d v="2019-04-29T00:00:00"/>
    <x v="0"/>
  </r>
  <r>
    <x v="4614"/>
    <x v="0"/>
    <n v="31"/>
    <x v="2"/>
    <x v="4"/>
    <x v="0"/>
    <n v="11.8"/>
    <n v="6.5"/>
    <x v="4"/>
    <n v="3"/>
    <x v="0"/>
    <n v="68100"/>
    <n v="4100"/>
    <n v="72200"/>
    <s v="C"/>
    <d v="2014-03-22T00:00:00"/>
    <x v="0"/>
  </r>
  <r>
    <x v="4615"/>
    <x v="0"/>
    <n v="25"/>
    <x v="1"/>
    <x v="3"/>
    <x v="2"/>
    <n v="6.9"/>
    <n v="4.5999999999999996"/>
    <x v="2"/>
    <n v="2"/>
    <x v="0"/>
    <n v="95000"/>
    <n v="6700"/>
    <n v="101700"/>
    <s v="D"/>
    <d v="2019-01-21T00:00:00"/>
    <x v="2"/>
  </r>
  <r>
    <x v="4616"/>
    <x v="1"/>
    <n v="44"/>
    <x v="4"/>
    <x v="6"/>
    <x v="1"/>
    <n v="10"/>
    <n v="5.8"/>
    <x v="4"/>
    <n v="3"/>
    <x v="0"/>
    <n v="81100"/>
    <n v="12000"/>
    <n v="93100"/>
    <s v="D"/>
    <d v="2016-01-03T00:00:00"/>
    <x v="1"/>
  </r>
  <r>
    <x v="4617"/>
    <x v="0"/>
    <n v="34"/>
    <x v="4"/>
    <x v="8"/>
    <x v="1"/>
    <n v="4.2"/>
    <n v="1"/>
    <x v="1"/>
    <n v="4"/>
    <x v="0"/>
    <n v="81400"/>
    <n v="12100"/>
    <n v="93500"/>
    <s v="D"/>
    <d v="2021-11-03T00:00:00"/>
    <x v="1"/>
  </r>
  <r>
    <x v="4618"/>
    <x v="0"/>
    <n v="41"/>
    <x v="3"/>
    <x v="13"/>
    <x v="2"/>
    <n v="12.7"/>
    <n v="8.1"/>
    <x v="3"/>
    <n v="4"/>
    <x v="0"/>
    <n v="107000"/>
    <n v="7000"/>
    <n v="114000"/>
    <s v="E"/>
    <d v="2013-04-20T00:00:00"/>
    <x v="2"/>
  </r>
  <r>
    <x v="4619"/>
    <x v="1"/>
    <n v="30"/>
    <x v="3"/>
    <x v="13"/>
    <x v="0"/>
    <n v="4.2"/>
    <n v="4"/>
    <x v="1"/>
    <n v="3"/>
    <x v="0"/>
    <n v="100300"/>
    <n v="6000"/>
    <n v="106300"/>
    <s v="E"/>
    <d v="2021-11-02T00:00:00"/>
    <x v="0"/>
  </r>
  <r>
    <x v="4620"/>
    <x v="1"/>
    <n v="29"/>
    <x v="2"/>
    <x v="4"/>
    <x v="1"/>
    <n v="10.7"/>
    <n v="8.6"/>
    <x v="4"/>
    <n v="3"/>
    <x v="0"/>
    <n v="78400"/>
    <n v="5200"/>
    <n v="83600"/>
    <s v="C"/>
    <d v="2015-04-04T00:00:00"/>
    <x v="1"/>
  </r>
  <r>
    <x v="4621"/>
    <x v="0"/>
    <n v="49"/>
    <x v="5"/>
    <x v="17"/>
    <x v="3"/>
    <n v="7"/>
    <n v="5.8"/>
    <x v="2"/>
    <n v="3"/>
    <x v="0"/>
    <n v="96200"/>
    <n v="10700"/>
    <n v="106900"/>
    <s v="D"/>
    <d v="2019-01-19T00:00:00"/>
    <x v="3"/>
  </r>
  <r>
    <x v="4622"/>
    <x v="1"/>
    <n v="34"/>
    <x v="2"/>
    <x v="18"/>
    <x v="1"/>
    <n v="1.7"/>
    <n v="0"/>
    <x v="0"/>
    <n v="3"/>
    <x v="0"/>
    <n v="68800"/>
    <n v="6100"/>
    <n v="74900"/>
    <s v="C"/>
    <d v="2024-04-23T00:00:00"/>
    <x v="1"/>
  </r>
  <r>
    <x v="4623"/>
    <x v="1"/>
    <n v="29"/>
    <x v="4"/>
    <x v="8"/>
    <x v="2"/>
    <n v="6.2"/>
    <n v="4.2"/>
    <x v="2"/>
    <n v="3"/>
    <x v="0"/>
    <n v="86800"/>
    <n v="7900"/>
    <n v="94700"/>
    <s v="D"/>
    <d v="2019-11-06T00:00:00"/>
    <x v="2"/>
  </r>
  <r>
    <x v="4624"/>
    <x v="1"/>
    <n v="30"/>
    <x v="2"/>
    <x v="11"/>
    <x v="3"/>
    <n v="8.6"/>
    <n v="3.4"/>
    <x v="2"/>
    <n v="3"/>
    <x v="0"/>
    <n v="104300"/>
    <n v="9500"/>
    <n v="113800"/>
    <s v="E"/>
    <d v="2017-06-09T00:00:00"/>
    <x v="3"/>
  </r>
  <r>
    <x v="4625"/>
    <x v="0"/>
    <n v="21"/>
    <x v="0"/>
    <x v="0"/>
    <x v="1"/>
    <n v="1.9"/>
    <n v="0.2"/>
    <x v="0"/>
    <m/>
    <x v="0"/>
    <n v="85600"/>
    <n v="7900"/>
    <n v="93500"/>
    <s v="D"/>
    <d v="2024-02-10T00:00:00"/>
    <x v="1"/>
  </r>
  <r>
    <x v="4626"/>
    <x v="0"/>
    <n v="29"/>
    <x v="4"/>
    <x v="6"/>
    <x v="1"/>
    <n v="2.7"/>
    <n v="0.6"/>
    <x v="0"/>
    <n v="4"/>
    <x v="1"/>
    <n v="34500"/>
    <n v="4600"/>
    <n v="39100"/>
    <s v="A"/>
    <d v="2023-05-07T00:00:00"/>
    <x v="1"/>
  </r>
  <r>
    <x v="4627"/>
    <x v="0"/>
    <n v="30"/>
    <x v="5"/>
    <x v="9"/>
    <x v="2"/>
    <n v="2.2999999999999998"/>
    <n v="1.3"/>
    <x v="0"/>
    <n v="3"/>
    <x v="0"/>
    <n v="99600"/>
    <n v="18100"/>
    <n v="117700"/>
    <s v="D"/>
    <d v="2023-09-04T00:00:00"/>
    <x v="2"/>
  </r>
  <r>
    <x v="4628"/>
    <x v="0"/>
    <n v="27"/>
    <x v="4"/>
    <x v="8"/>
    <x v="1"/>
    <n v="13.6"/>
    <n v="7.7"/>
    <x v="3"/>
    <n v="2"/>
    <x v="0"/>
    <n v="94000"/>
    <n v="6000"/>
    <n v="100000"/>
    <s v="D"/>
    <d v="2012-06-10T00:00:00"/>
    <x v="1"/>
  </r>
  <r>
    <x v="4629"/>
    <x v="1"/>
    <n v="45"/>
    <x v="4"/>
    <x v="8"/>
    <x v="1"/>
    <n v="9.6"/>
    <n v="6.1"/>
    <x v="4"/>
    <n v="5"/>
    <x v="0"/>
    <n v="77300"/>
    <n v="5800"/>
    <n v="83100"/>
    <s v="C"/>
    <d v="2016-05-30T00:00:00"/>
    <x v="1"/>
  </r>
  <r>
    <x v="4630"/>
    <x v="1"/>
    <n v="30"/>
    <x v="1"/>
    <x v="3"/>
    <x v="2"/>
    <n v="11.3"/>
    <n v="7.1"/>
    <x v="4"/>
    <n v="3"/>
    <x v="0"/>
    <n v="90800"/>
    <n v="9800"/>
    <n v="100600"/>
    <s v="D"/>
    <d v="2014-09-29T00:00:00"/>
    <x v="2"/>
  </r>
  <r>
    <x v="4631"/>
    <x v="0"/>
    <n v="36"/>
    <x v="4"/>
    <x v="14"/>
    <x v="2"/>
    <n v="9.4"/>
    <n v="5.0999999999999996"/>
    <x v="4"/>
    <n v="1"/>
    <x v="0"/>
    <n v="93900"/>
    <n v="10200"/>
    <n v="104100"/>
    <s v="D"/>
    <d v="2016-08-09T00:00:00"/>
    <x v="2"/>
  </r>
  <r>
    <x v="4632"/>
    <x v="0"/>
    <n v="39"/>
    <x v="1"/>
    <x v="3"/>
    <x v="3"/>
    <n v="4.0999999999999996"/>
    <n v="1.8"/>
    <x v="1"/>
    <n v="3"/>
    <x v="0"/>
    <n v="72600"/>
    <n v="8400"/>
    <n v="81000"/>
    <s v="C"/>
    <d v="2021-11-23T00:00:00"/>
    <x v="3"/>
  </r>
  <r>
    <x v="4633"/>
    <x v="0"/>
    <n v="33"/>
    <x v="5"/>
    <x v="15"/>
    <x v="1"/>
    <n v="4.2"/>
    <n v="4.2"/>
    <x v="1"/>
    <n v="3"/>
    <x v="0"/>
    <n v="67100"/>
    <n v="8900"/>
    <n v="76000"/>
    <s v="C"/>
    <d v="2021-10-12T00:00:00"/>
    <x v="1"/>
  </r>
  <r>
    <x v="4634"/>
    <x v="1"/>
    <n v="40"/>
    <x v="1"/>
    <x v="3"/>
    <x v="1"/>
    <n v="6.9"/>
    <n v="4.9000000000000004"/>
    <x v="2"/>
    <n v="4"/>
    <x v="0"/>
    <n v="71500"/>
    <n v="8200"/>
    <n v="79700"/>
    <s v="C"/>
    <d v="2019-02-09T00:00:00"/>
    <x v="1"/>
  </r>
  <r>
    <x v="4635"/>
    <x v="0"/>
    <n v="22"/>
    <x v="1"/>
    <x v="10"/>
    <x v="2"/>
    <n v="11.3"/>
    <n v="7.9"/>
    <x v="4"/>
    <n v="4"/>
    <x v="0"/>
    <n v="124200"/>
    <n v="14100"/>
    <n v="138300"/>
    <s v="E"/>
    <d v="2014-09-16T00:00:00"/>
    <x v="2"/>
  </r>
  <r>
    <x v="4636"/>
    <x v="1"/>
    <n v="31"/>
    <x v="3"/>
    <x v="13"/>
    <x v="1"/>
    <n v="6.6"/>
    <n v="5.0999999999999996"/>
    <x v="2"/>
    <n v="3"/>
    <x v="0"/>
    <n v="100000"/>
    <n v="4500"/>
    <n v="104500"/>
    <s v="E"/>
    <d v="2019-06-11T00:00:00"/>
    <x v="1"/>
  </r>
  <r>
    <x v="4637"/>
    <x v="1"/>
    <n v="38"/>
    <x v="5"/>
    <x v="17"/>
    <x v="1"/>
    <n v="2.5"/>
    <n v="0"/>
    <x v="0"/>
    <n v="3"/>
    <x v="1"/>
    <n v="63200"/>
    <n v="10200"/>
    <n v="73400"/>
    <s v="B"/>
    <d v="2023-06-25T00:00:00"/>
    <x v="1"/>
  </r>
  <r>
    <x v="4638"/>
    <x v="0"/>
    <n v="35"/>
    <x v="4"/>
    <x v="14"/>
    <x v="1"/>
    <n v="10.4"/>
    <n v="4.2"/>
    <x v="4"/>
    <n v="5"/>
    <x v="1"/>
    <n v="64000"/>
    <n v="6000"/>
    <n v="70000"/>
    <s v="B"/>
    <d v="2015-07-22T00:00:00"/>
    <x v="1"/>
  </r>
  <r>
    <x v="4639"/>
    <x v="0"/>
    <n v="29"/>
    <x v="3"/>
    <x v="5"/>
    <x v="1"/>
    <n v="4"/>
    <n v="2.7"/>
    <x v="1"/>
    <n v="4"/>
    <x v="0"/>
    <n v="71600"/>
    <n v="4200"/>
    <n v="75800"/>
    <s v="C"/>
    <d v="2022-01-10T00:00:00"/>
    <x v="1"/>
  </r>
  <r>
    <x v="4640"/>
    <x v="1"/>
    <n v="27"/>
    <x v="3"/>
    <x v="12"/>
    <x v="1"/>
    <n v="12.2"/>
    <n v="9.1999999999999993"/>
    <x v="3"/>
    <n v="3"/>
    <x v="0"/>
    <n v="83500"/>
    <n v="7000"/>
    <n v="90500"/>
    <s v="D"/>
    <d v="2013-10-12T00:00:00"/>
    <x v="1"/>
  </r>
  <r>
    <x v="4641"/>
    <x v="0"/>
    <n v="36"/>
    <x v="1"/>
    <x v="10"/>
    <x v="1"/>
    <n v="4.0999999999999996"/>
    <n v="0.7"/>
    <x v="1"/>
    <n v="1"/>
    <x v="0"/>
    <n v="99600"/>
    <n v="9500"/>
    <n v="109100"/>
    <s v="D"/>
    <d v="2021-11-08T00:00:00"/>
    <x v="1"/>
  </r>
  <r>
    <x v="4642"/>
    <x v="0"/>
    <n v="43"/>
    <x v="5"/>
    <x v="15"/>
    <x v="0"/>
    <n v="13.4"/>
    <n v="8.3000000000000007"/>
    <x v="3"/>
    <n v="3"/>
    <x v="2"/>
    <n v="57300"/>
    <n v="9900"/>
    <n v="67200"/>
    <s v="B"/>
    <d v="2012-08-25T00:00:00"/>
    <x v="0"/>
  </r>
  <r>
    <x v="4643"/>
    <x v="1"/>
    <n v="32"/>
    <x v="3"/>
    <x v="5"/>
    <x v="2"/>
    <n v="3.7"/>
    <n v="1.8"/>
    <x v="1"/>
    <n v="3"/>
    <x v="0"/>
    <n v="72400"/>
    <n v="6400"/>
    <n v="78800"/>
    <s v="C"/>
    <d v="2022-05-01T00:00:00"/>
    <x v="2"/>
  </r>
  <r>
    <x v="4644"/>
    <x v="1"/>
    <n v="38"/>
    <x v="5"/>
    <x v="15"/>
    <x v="2"/>
    <n v="13"/>
    <n v="9"/>
    <x v="3"/>
    <n v="3"/>
    <x v="2"/>
    <n v="66200"/>
    <n v="11400"/>
    <n v="77600"/>
    <s v="C"/>
    <d v="2013-01-19T00:00:00"/>
    <x v="2"/>
  </r>
  <r>
    <x v="4645"/>
    <x v="0"/>
    <n v="36"/>
    <x v="5"/>
    <x v="9"/>
    <x v="0"/>
    <n v="3.4"/>
    <n v="0"/>
    <x v="1"/>
    <n v="3"/>
    <x v="0"/>
    <n v="95200"/>
    <n v="19500"/>
    <n v="114700"/>
    <s v="D"/>
    <d v="2022-08-26T00:00:00"/>
    <x v="0"/>
  </r>
  <r>
    <x v="4646"/>
    <x v="0"/>
    <n v="38"/>
    <x v="0"/>
    <x v="2"/>
    <x v="1"/>
    <n v="2.2999999999999998"/>
    <n v="0.4"/>
    <x v="0"/>
    <n v="5"/>
    <x v="0"/>
    <n v="68500"/>
    <n v="4800"/>
    <n v="73300"/>
    <s v="C"/>
    <d v="2023-09-23T00:00:00"/>
    <x v="1"/>
  </r>
  <r>
    <x v="4647"/>
    <x v="1"/>
    <n v="31"/>
    <x v="5"/>
    <x v="17"/>
    <x v="0"/>
    <n v="1.5"/>
    <n v="0.9"/>
    <x v="0"/>
    <n v="2"/>
    <x v="0"/>
    <n v="89600"/>
    <n v="16300"/>
    <n v="105900"/>
    <s v="D"/>
    <d v="2024-06-18T00:00:00"/>
    <x v="0"/>
  </r>
  <r>
    <x v="4648"/>
    <x v="1"/>
    <n v="32"/>
    <x v="4"/>
    <x v="6"/>
    <x v="1"/>
    <n v="4.4000000000000004"/>
    <n v="4.4000000000000004"/>
    <x v="1"/>
    <n v="3"/>
    <x v="0"/>
    <n v="73300"/>
    <n v="8100"/>
    <n v="81400"/>
    <s v="C"/>
    <d v="2021-07-24T00:00:00"/>
    <x v="1"/>
  </r>
  <r>
    <x v="4649"/>
    <x v="0"/>
    <n v="29"/>
    <x v="5"/>
    <x v="17"/>
    <x v="1"/>
    <n v="10.199999999999999"/>
    <n v="6.4"/>
    <x v="4"/>
    <n v="4"/>
    <x v="0"/>
    <n v="99100"/>
    <n v="9700"/>
    <n v="108800"/>
    <s v="D"/>
    <d v="2015-10-19T00:00:00"/>
    <x v="1"/>
  </r>
  <r>
    <x v="4650"/>
    <x v="0"/>
    <n v="34"/>
    <x v="0"/>
    <x v="2"/>
    <x v="1"/>
    <n v="13.7"/>
    <n v="10"/>
    <x v="3"/>
    <n v="3"/>
    <x v="0"/>
    <n v="80900"/>
    <n v="9500"/>
    <n v="90400"/>
    <s v="D"/>
    <d v="2012-04-22T00:00:00"/>
    <x v="1"/>
  </r>
  <r>
    <x v="4651"/>
    <x v="0"/>
    <n v="22"/>
    <x v="1"/>
    <x v="10"/>
    <x v="1"/>
    <n v="10.3"/>
    <n v="4.9000000000000004"/>
    <x v="4"/>
    <n v="2"/>
    <x v="0"/>
    <n v="110700"/>
    <n v="8900"/>
    <n v="119600"/>
    <s v="E"/>
    <d v="2015-08-30T00:00:00"/>
    <x v="1"/>
  </r>
  <r>
    <x v="4652"/>
    <x v="1"/>
    <n v="31"/>
    <x v="1"/>
    <x v="7"/>
    <x v="2"/>
    <n v="3.6"/>
    <n v="0.2"/>
    <x v="1"/>
    <n v="3"/>
    <x v="0"/>
    <n v="80000"/>
    <n v="7000"/>
    <n v="87000"/>
    <s v="D"/>
    <d v="2022-06-13T00:00:00"/>
    <x v="2"/>
  </r>
  <r>
    <x v="4653"/>
    <x v="0"/>
    <n v="42"/>
    <x v="1"/>
    <x v="3"/>
    <x v="2"/>
    <n v="4.7"/>
    <n v="4.5999999999999996"/>
    <x v="1"/>
    <n v="2"/>
    <x v="0"/>
    <n v="77700"/>
    <n v="7000"/>
    <n v="84700"/>
    <s v="C"/>
    <d v="2021-04-18T00:00:00"/>
    <x v="2"/>
  </r>
  <r>
    <x v="4654"/>
    <x v="0"/>
    <n v="25"/>
    <x v="0"/>
    <x v="0"/>
    <x v="0"/>
    <n v="6.4"/>
    <n v="5.2"/>
    <x v="2"/>
    <n v="2"/>
    <x v="0"/>
    <n v="83000"/>
    <n v="11000"/>
    <n v="94000"/>
    <s v="D"/>
    <d v="2019-07-30T00:00:00"/>
    <x v="0"/>
  </r>
  <r>
    <x v="4655"/>
    <x v="1"/>
    <n v="45"/>
    <x v="2"/>
    <x v="11"/>
    <x v="2"/>
    <n v="2.2999999999999998"/>
    <n v="0"/>
    <x v="0"/>
    <n v="2"/>
    <x v="0"/>
    <n v="97900"/>
    <n v="8100"/>
    <n v="106000"/>
    <s v="D"/>
    <d v="2023-09-20T00:00:00"/>
    <x v="2"/>
  </r>
  <r>
    <x v="4656"/>
    <x v="1"/>
    <n v="21"/>
    <x v="3"/>
    <x v="5"/>
    <x v="2"/>
    <n v="9.1999999999999993"/>
    <n v="5.9"/>
    <x v="4"/>
    <n v="4"/>
    <x v="0"/>
    <n v="78300"/>
    <n v="5000"/>
    <n v="83300"/>
    <s v="C"/>
    <d v="2016-10-03T00:00:00"/>
    <x v="2"/>
  </r>
  <r>
    <x v="4657"/>
    <x v="0"/>
    <n v="48"/>
    <x v="3"/>
    <x v="5"/>
    <x v="1"/>
    <n v="8.1999999999999993"/>
    <n v="5.0999999999999996"/>
    <x v="2"/>
    <n v="4"/>
    <x v="2"/>
    <n v="66100"/>
    <n v="3600"/>
    <n v="69700"/>
    <s v="C"/>
    <d v="2017-10-30T00:00:00"/>
    <x v="1"/>
  </r>
  <r>
    <x v="4658"/>
    <x v="1"/>
    <n v="25"/>
    <x v="2"/>
    <x v="4"/>
    <x v="2"/>
    <n v="4.0999999999999996"/>
    <n v="3.8"/>
    <x v="1"/>
    <n v="2"/>
    <x v="0"/>
    <n v="65700"/>
    <n v="2400"/>
    <n v="68100"/>
    <s v="C"/>
    <d v="2021-11-14T00:00:00"/>
    <x v="2"/>
  </r>
  <r>
    <x v="4659"/>
    <x v="0"/>
    <n v="57"/>
    <x v="5"/>
    <x v="9"/>
    <x v="1"/>
    <n v="8.6999999999999993"/>
    <n v="4.7"/>
    <x v="2"/>
    <n v="2"/>
    <x v="0"/>
    <n v="106000"/>
    <n v="19100"/>
    <n v="125100"/>
    <s v="E"/>
    <d v="2017-04-13T00:00:00"/>
    <x v="1"/>
  </r>
  <r>
    <x v="4660"/>
    <x v="1"/>
    <n v="30"/>
    <x v="5"/>
    <x v="17"/>
    <x v="2"/>
    <n v="9.9"/>
    <n v="7.9"/>
    <x v="4"/>
    <n v="4"/>
    <x v="0"/>
    <n v="106200"/>
    <n v="16400"/>
    <n v="122600"/>
    <s v="E"/>
    <d v="2016-02-09T00:00:00"/>
    <x v="2"/>
  </r>
  <r>
    <x v="4661"/>
    <x v="0"/>
    <n v="31"/>
    <x v="3"/>
    <x v="5"/>
    <x v="2"/>
    <n v="6.9"/>
    <n v="2.5"/>
    <x v="2"/>
    <n v="3"/>
    <x v="0"/>
    <n v="70400"/>
    <n v="3300"/>
    <n v="73700"/>
    <s v="C"/>
    <d v="2019-02-25T00:00:00"/>
    <x v="2"/>
  </r>
  <r>
    <x v="4662"/>
    <x v="0"/>
    <n v="38"/>
    <x v="2"/>
    <x v="4"/>
    <x v="0"/>
    <n v="3.3"/>
    <n v="3.3"/>
    <x v="1"/>
    <n v="3"/>
    <x v="1"/>
    <n v="51700"/>
    <n v="3100"/>
    <n v="54800"/>
    <s v="B"/>
    <d v="2022-09-13T00:00:00"/>
    <x v="0"/>
  </r>
  <r>
    <x v="4663"/>
    <x v="1"/>
    <n v="40"/>
    <x v="5"/>
    <x v="15"/>
    <x v="0"/>
    <n v="6.7"/>
    <n v="6.7"/>
    <x v="2"/>
    <n v="4"/>
    <x v="2"/>
    <n v="57100"/>
    <n v="5500"/>
    <n v="62600"/>
    <s v="B"/>
    <d v="2019-04-07T00:00:00"/>
    <x v="0"/>
  </r>
  <r>
    <x v="4664"/>
    <x v="0"/>
    <n v="26"/>
    <x v="2"/>
    <x v="18"/>
    <x v="2"/>
    <n v="12.7"/>
    <n v="8.6"/>
    <x v="3"/>
    <n v="2"/>
    <x v="0"/>
    <n v="81400"/>
    <n v="6900"/>
    <n v="88300"/>
    <s v="D"/>
    <d v="2013-05-06T00:00:00"/>
    <x v="2"/>
  </r>
  <r>
    <x v="4665"/>
    <x v="0"/>
    <n v="30"/>
    <x v="1"/>
    <x v="7"/>
    <x v="2"/>
    <n v="12.3"/>
    <n v="9"/>
    <x v="3"/>
    <n v="4"/>
    <x v="0"/>
    <n v="85100"/>
    <n v="4900"/>
    <n v="90000"/>
    <s v="D"/>
    <d v="2013-09-10T00:00:00"/>
    <x v="2"/>
  </r>
  <r>
    <x v="4666"/>
    <x v="1"/>
    <n v="31"/>
    <x v="3"/>
    <x v="13"/>
    <x v="1"/>
    <n v="5.0999999999999996"/>
    <n v="3.5"/>
    <x v="1"/>
    <n v="3"/>
    <x v="0"/>
    <n v="82000"/>
    <n v="3900"/>
    <n v="85900"/>
    <s v="D"/>
    <d v="2020-11-07T00:00:00"/>
    <x v="1"/>
  </r>
  <r>
    <x v="4667"/>
    <x v="0"/>
    <n v="40"/>
    <x v="1"/>
    <x v="3"/>
    <x v="2"/>
    <n v="11.6"/>
    <n v="9.6"/>
    <x v="4"/>
    <n v="4"/>
    <x v="0"/>
    <n v="100800"/>
    <n v="5900"/>
    <n v="106700"/>
    <s v="E"/>
    <d v="2014-05-16T00:00:00"/>
    <x v="2"/>
  </r>
  <r>
    <x v="4668"/>
    <x v="1"/>
    <n v="37"/>
    <x v="2"/>
    <x v="4"/>
    <x v="1"/>
    <n v="12.5"/>
    <n v="8.3000000000000007"/>
    <x v="3"/>
    <n v="3"/>
    <x v="0"/>
    <n v="96100"/>
    <n v="8400"/>
    <n v="104500"/>
    <s v="D"/>
    <d v="2013-07-07T00:00:00"/>
    <x v="1"/>
  </r>
  <r>
    <x v="4669"/>
    <x v="1"/>
    <n v="22"/>
    <x v="4"/>
    <x v="6"/>
    <x v="1"/>
    <n v="7"/>
    <n v="5.5"/>
    <x v="2"/>
    <n v="4"/>
    <x v="0"/>
    <n v="76500"/>
    <n v="6400"/>
    <n v="82900"/>
    <s v="C"/>
    <d v="2019-01-18T00:00:00"/>
    <x v="1"/>
  </r>
  <r>
    <x v="4670"/>
    <x v="0"/>
    <n v="48"/>
    <x v="3"/>
    <x v="12"/>
    <x v="1"/>
    <n v="2.4"/>
    <n v="2.4"/>
    <x v="0"/>
    <n v="3"/>
    <x v="0"/>
    <n v="70100"/>
    <n v="5300"/>
    <n v="75400"/>
    <s v="C"/>
    <d v="2023-08-17T00:00:00"/>
    <x v="1"/>
  </r>
  <r>
    <x v="4671"/>
    <x v="1"/>
    <n v="47"/>
    <x v="5"/>
    <x v="9"/>
    <x v="1"/>
    <n v="11.6"/>
    <n v="8.4"/>
    <x v="4"/>
    <n v="3"/>
    <x v="0"/>
    <n v="108100"/>
    <n v="22300"/>
    <n v="130400"/>
    <s v="E"/>
    <d v="2014-05-21T00:00:00"/>
    <x v="1"/>
  </r>
  <r>
    <x v="4672"/>
    <x v="0"/>
    <n v="33"/>
    <x v="2"/>
    <x v="18"/>
    <x v="2"/>
    <n v="12.9"/>
    <n v="8.9"/>
    <x v="3"/>
    <n v="2"/>
    <x v="0"/>
    <n v="87000"/>
    <n v="3400"/>
    <n v="90400"/>
    <s v="D"/>
    <d v="2013-01-28T00:00:00"/>
    <x v="2"/>
  </r>
  <r>
    <x v="4673"/>
    <x v="1"/>
    <n v="30"/>
    <x v="2"/>
    <x v="18"/>
    <x v="2"/>
    <n v="2.4"/>
    <n v="1.2"/>
    <x v="0"/>
    <n v="3"/>
    <x v="0"/>
    <n v="70100"/>
    <n v="2700"/>
    <n v="72800"/>
    <s v="C"/>
    <d v="2023-08-17T00:00:00"/>
    <x v="2"/>
  </r>
  <r>
    <x v="4674"/>
    <x v="0"/>
    <n v="25"/>
    <x v="3"/>
    <x v="13"/>
    <x v="2"/>
    <n v="4.9000000000000004"/>
    <n v="2.9"/>
    <x v="1"/>
    <n v="3"/>
    <x v="0"/>
    <n v="102700"/>
    <n v="4500"/>
    <n v="107200"/>
    <s v="E"/>
    <d v="2021-02-07T00:00:00"/>
    <x v="2"/>
  </r>
  <r>
    <x v="4675"/>
    <x v="1"/>
    <n v="29"/>
    <x v="2"/>
    <x v="11"/>
    <x v="2"/>
    <n v="3.6"/>
    <n v="2.9"/>
    <x v="1"/>
    <n v="3"/>
    <x v="2"/>
    <n v="82400"/>
    <n v="3200"/>
    <n v="85600"/>
    <s v="D"/>
    <d v="2022-05-19T00:00:00"/>
    <x v="2"/>
  </r>
  <r>
    <x v="4676"/>
    <x v="0"/>
    <n v="34"/>
    <x v="1"/>
    <x v="7"/>
    <x v="2"/>
    <n v="5.9"/>
    <n v="4.3"/>
    <x v="1"/>
    <n v="2"/>
    <x v="2"/>
    <n v="66700"/>
    <n v="5000"/>
    <n v="71700"/>
    <s v="C"/>
    <d v="2020-02-22T00:00:00"/>
    <x v="2"/>
  </r>
  <r>
    <x v="4677"/>
    <x v="1"/>
    <n v="27"/>
    <x v="5"/>
    <x v="9"/>
    <x v="2"/>
    <n v="5"/>
    <n v="3.3"/>
    <x v="1"/>
    <n v="3"/>
    <x v="0"/>
    <n v="102800"/>
    <n v="18800"/>
    <n v="121600"/>
    <s v="E"/>
    <d v="2020-12-25T00:00:00"/>
    <x v="2"/>
  </r>
  <r>
    <x v="4678"/>
    <x v="0"/>
    <n v="44"/>
    <x v="3"/>
    <x v="13"/>
    <x v="3"/>
    <n v="10.5"/>
    <n v="8"/>
    <x v="4"/>
    <n v="3"/>
    <x v="1"/>
    <n v="77700"/>
    <n v="5200"/>
    <n v="82900"/>
    <s v="C"/>
    <d v="2015-06-15T00:00:00"/>
    <x v="3"/>
  </r>
  <r>
    <x v="4679"/>
    <x v="0"/>
    <n v="30"/>
    <x v="5"/>
    <x v="15"/>
    <x v="0"/>
    <n v="9.6999999999999993"/>
    <n v="8.8000000000000007"/>
    <x v="4"/>
    <n v="3"/>
    <x v="0"/>
    <n v="65700"/>
    <n v="7000"/>
    <n v="72700"/>
    <s v="C"/>
    <d v="2016-04-23T00:00:00"/>
    <x v="0"/>
  </r>
  <r>
    <x v="4680"/>
    <x v="0"/>
    <n v="33"/>
    <x v="3"/>
    <x v="12"/>
    <x v="2"/>
    <n v="8.9"/>
    <n v="4"/>
    <x v="2"/>
    <n v="3"/>
    <x v="0"/>
    <n v="65500"/>
    <n v="2500"/>
    <n v="68000"/>
    <s v="C"/>
    <d v="2017-01-20T00:00:00"/>
    <x v="2"/>
  </r>
  <r>
    <x v="4681"/>
    <x v="1"/>
    <n v="24"/>
    <x v="0"/>
    <x v="0"/>
    <x v="2"/>
    <n v="10.1"/>
    <n v="9.9"/>
    <x v="4"/>
    <n v="3"/>
    <x v="0"/>
    <n v="109400"/>
    <n v="7800"/>
    <n v="117200"/>
    <s v="E"/>
    <d v="2015-12-14T00:00:00"/>
    <x v="2"/>
  </r>
  <r>
    <x v="4682"/>
    <x v="0"/>
    <n v="38"/>
    <x v="1"/>
    <x v="10"/>
    <x v="1"/>
    <n v="13.5"/>
    <n v="8.1"/>
    <x v="3"/>
    <n v="3"/>
    <x v="0"/>
    <n v="110600"/>
    <n v="9000"/>
    <n v="119600"/>
    <s v="E"/>
    <d v="2012-07-13T00:00:00"/>
    <x v="1"/>
  </r>
  <r>
    <x v="4683"/>
    <x v="0"/>
    <n v="52"/>
    <x v="5"/>
    <x v="15"/>
    <x v="1"/>
    <n v="5.0999999999999996"/>
    <n v="4.0999999999999996"/>
    <x v="1"/>
    <n v="4"/>
    <x v="0"/>
    <n v="63300"/>
    <n v="12700"/>
    <n v="76000"/>
    <s v="B"/>
    <d v="2020-12-04T00:00:00"/>
    <x v="1"/>
  </r>
  <r>
    <x v="4684"/>
    <x v="1"/>
    <n v="28"/>
    <x v="0"/>
    <x v="0"/>
    <x v="2"/>
    <n v="11.3"/>
    <n v="7.7"/>
    <x v="4"/>
    <n v="3"/>
    <x v="0"/>
    <n v="114500"/>
    <n v="9000"/>
    <n v="123500"/>
    <s v="E"/>
    <d v="2014-09-03T00:00:00"/>
    <x v="2"/>
  </r>
  <r>
    <x v="4685"/>
    <x v="1"/>
    <n v="38"/>
    <x v="0"/>
    <x v="0"/>
    <x v="1"/>
    <n v="1.8"/>
    <n v="1.8"/>
    <x v="0"/>
    <n v="4"/>
    <x v="0"/>
    <n v="98300"/>
    <n v="7600"/>
    <n v="105900"/>
    <s v="D"/>
    <d v="2024-03-10T00:00:00"/>
    <x v="1"/>
  </r>
  <r>
    <x v="4686"/>
    <x v="1"/>
    <n v="27"/>
    <x v="4"/>
    <x v="8"/>
    <x v="1"/>
    <n v="8.6999999999999993"/>
    <n v="3.4"/>
    <x v="2"/>
    <n v="4"/>
    <x v="0"/>
    <n v="96300"/>
    <n v="6600"/>
    <n v="102900"/>
    <s v="D"/>
    <d v="2017-05-03T00:00:00"/>
    <x v="1"/>
  </r>
  <r>
    <x v="4687"/>
    <x v="0"/>
    <n v="47"/>
    <x v="0"/>
    <x v="1"/>
    <x v="1"/>
    <n v="7.2"/>
    <n v="4.4000000000000004"/>
    <x v="2"/>
    <n v="4"/>
    <x v="0"/>
    <n v="81000"/>
    <n v="9300"/>
    <n v="90300"/>
    <s v="D"/>
    <d v="2018-10-14T00:00:00"/>
    <x v="1"/>
  </r>
  <r>
    <x v="4688"/>
    <x v="1"/>
    <n v="43"/>
    <x v="5"/>
    <x v="17"/>
    <x v="1"/>
    <n v="3.9"/>
    <n v="3.7"/>
    <x v="1"/>
    <n v="1"/>
    <x v="0"/>
    <n v="82200"/>
    <n v="7300"/>
    <n v="89500"/>
    <s v="D"/>
    <d v="2022-02-21T00:00:00"/>
    <x v="1"/>
  </r>
  <r>
    <x v="4689"/>
    <x v="1"/>
    <n v="38"/>
    <x v="0"/>
    <x v="1"/>
    <x v="1"/>
    <n v="7.6"/>
    <n v="5.9"/>
    <x v="2"/>
    <n v="4"/>
    <x v="1"/>
    <n v="48200"/>
    <n v="5200"/>
    <n v="53400"/>
    <s v="A"/>
    <d v="2018-06-10T00:00:00"/>
    <x v="1"/>
  </r>
  <r>
    <x v="4690"/>
    <x v="0"/>
    <n v="27"/>
    <x v="5"/>
    <x v="15"/>
    <x v="0"/>
    <n v="13.8"/>
    <n v="7.2"/>
    <x v="3"/>
    <n v="4"/>
    <x v="0"/>
    <n v="72700"/>
    <n v="12000"/>
    <n v="84700"/>
    <s v="C"/>
    <d v="2012-02-29T00:00:00"/>
    <x v="0"/>
  </r>
  <r>
    <x v="4691"/>
    <x v="1"/>
    <n v="49"/>
    <x v="1"/>
    <x v="3"/>
    <x v="0"/>
    <n v="10.4"/>
    <n v="6.7"/>
    <x v="4"/>
    <n v="3"/>
    <x v="0"/>
    <n v="91600"/>
    <n v="9100"/>
    <n v="100700"/>
    <s v="D"/>
    <d v="2015-08-11T00:00:00"/>
    <x v="0"/>
  </r>
  <r>
    <x v="4692"/>
    <x v="1"/>
    <n v="48"/>
    <x v="1"/>
    <x v="7"/>
    <x v="2"/>
    <n v="12.3"/>
    <n v="7.5"/>
    <x v="3"/>
    <n v="3"/>
    <x v="1"/>
    <n v="49500"/>
    <n v="5800"/>
    <n v="55300"/>
    <s v="A"/>
    <d v="2013-08-30T00:00:00"/>
    <x v="2"/>
  </r>
  <r>
    <x v="4693"/>
    <x v="0"/>
    <n v="29"/>
    <x v="5"/>
    <x v="15"/>
    <x v="1"/>
    <n v="1.7"/>
    <n v="0.9"/>
    <x v="0"/>
    <n v="4"/>
    <x v="0"/>
    <n v="56900"/>
    <n v="5300"/>
    <n v="62200"/>
    <s v="B"/>
    <d v="2024-04-19T00:00:00"/>
    <x v="1"/>
  </r>
  <r>
    <x v="4694"/>
    <x v="1"/>
    <n v="27"/>
    <x v="5"/>
    <x v="17"/>
    <x v="1"/>
    <n v="6.9"/>
    <n v="5.4"/>
    <x v="2"/>
    <n v="4"/>
    <x v="0"/>
    <n v="93800"/>
    <n v="12000"/>
    <n v="105800"/>
    <s v="D"/>
    <d v="2019-02-17T00:00:00"/>
    <x v="1"/>
  </r>
  <r>
    <x v="4695"/>
    <x v="0"/>
    <n v="49"/>
    <x v="1"/>
    <x v="3"/>
    <x v="2"/>
    <n v="7.5"/>
    <n v="4.4000000000000004"/>
    <x v="2"/>
    <n v="3"/>
    <x v="0"/>
    <n v="88900"/>
    <n v="4600"/>
    <n v="93500"/>
    <s v="D"/>
    <d v="2018-06-28T00:00:00"/>
    <x v="2"/>
  </r>
  <r>
    <x v="4696"/>
    <x v="0"/>
    <n v="42"/>
    <x v="1"/>
    <x v="3"/>
    <x v="0"/>
    <n v="1.6"/>
    <n v="0"/>
    <x v="0"/>
    <n v="3"/>
    <x v="0"/>
    <n v="72600"/>
    <n v="6500"/>
    <n v="79100"/>
    <s v="C"/>
    <d v="2024-05-27T00:00:00"/>
    <x v="0"/>
  </r>
  <r>
    <x v="4697"/>
    <x v="0"/>
    <n v="41"/>
    <x v="5"/>
    <x v="15"/>
    <x v="0"/>
    <n v="8.6999999999999993"/>
    <n v="4.9000000000000004"/>
    <x v="2"/>
    <n v="4"/>
    <x v="0"/>
    <n v="57100"/>
    <n v="10500"/>
    <n v="67600"/>
    <s v="B"/>
    <d v="2017-04-17T00:00:00"/>
    <x v="0"/>
  </r>
  <r>
    <x v="4698"/>
    <x v="1"/>
    <n v="31"/>
    <x v="4"/>
    <x v="14"/>
    <x v="1"/>
    <n v="13.2"/>
    <n v="9.3000000000000007"/>
    <x v="3"/>
    <n v="3"/>
    <x v="0"/>
    <n v="114000"/>
    <n v="9900"/>
    <n v="123900"/>
    <s v="E"/>
    <d v="2012-10-22T00:00:00"/>
    <x v="1"/>
  </r>
  <r>
    <x v="4699"/>
    <x v="1"/>
    <n v="42"/>
    <x v="5"/>
    <x v="17"/>
    <x v="1"/>
    <n v="5.2"/>
    <n v="1.4"/>
    <x v="1"/>
    <n v="3"/>
    <x v="0"/>
    <n v="91600"/>
    <n v="8800"/>
    <n v="100400"/>
    <s v="D"/>
    <d v="2020-10-31T00:00:00"/>
    <x v="1"/>
  </r>
  <r>
    <x v="4700"/>
    <x v="1"/>
    <n v="38"/>
    <x v="4"/>
    <x v="8"/>
    <x v="1"/>
    <n v="3.4"/>
    <n v="1.3"/>
    <x v="1"/>
    <n v="3"/>
    <x v="0"/>
    <n v="81700"/>
    <n v="11900"/>
    <n v="93600"/>
    <s v="D"/>
    <d v="2022-07-25T00:00:00"/>
    <x v="1"/>
  </r>
  <r>
    <x v="4701"/>
    <x v="0"/>
    <n v="44"/>
    <x v="0"/>
    <x v="0"/>
    <x v="3"/>
    <n v="11.4"/>
    <n v="5.4"/>
    <x v="4"/>
    <n v="5"/>
    <x v="0"/>
    <n v="106200"/>
    <n v="9200"/>
    <n v="115400"/>
    <s v="E"/>
    <d v="2014-08-05T00:00:00"/>
    <x v="3"/>
  </r>
  <r>
    <x v="4702"/>
    <x v="0"/>
    <n v="44"/>
    <x v="3"/>
    <x v="12"/>
    <x v="2"/>
    <n v="7.2"/>
    <n v="3.4"/>
    <x v="2"/>
    <n v="3"/>
    <x v="0"/>
    <n v="77200"/>
    <n v="5600"/>
    <n v="82800"/>
    <s v="C"/>
    <d v="2018-10-25T00:00:00"/>
    <x v="2"/>
  </r>
  <r>
    <x v="4703"/>
    <x v="1"/>
    <n v="41"/>
    <x v="3"/>
    <x v="13"/>
    <x v="1"/>
    <n v="7.4"/>
    <n v="2.7"/>
    <x v="2"/>
    <n v="2"/>
    <x v="0"/>
    <n v="92900"/>
    <n v="6300"/>
    <n v="99200"/>
    <s v="D"/>
    <d v="2018-07-30T00:00:00"/>
    <x v="1"/>
  </r>
  <r>
    <x v="4704"/>
    <x v="0"/>
    <n v="28"/>
    <x v="0"/>
    <x v="1"/>
    <x v="1"/>
    <n v="7.6"/>
    <n v="3.5"/>
    <x v="2"/>
    <n v="2"/>
    <x v="1"/>
    <n v="42700"/>
    <n v="2200"/>
    <n v="44900"/>
    <s v="A"/>
    <d v="2018-05-09T00:00:00"/>
    <x v="1"/>
  </r>
  <r>
    <x v="4705"/>
    <x v="1"/>
    <n v="29"/>
    <x v="2"/>
    <x v="18"/>
    <x v="0"/>
    <n v="11.7"/>
    <n v="6.5"/>
    <x v="4"/>
    <n v="3"/>
    <x v="0"/>
    <n v="73000"/>
    <n v="5500"/>
    <n v="78500"/>
    <s v="C"/>
    <d v="2014-04-14T00:00:00"/>
    <x v="0"/>
  </r>
  <r>
    <x v="4706"/>
    <x v="1"/>
    <n v="25"/>
    <x v="0"/>
    <x v="1"/>
    <x v="1"/>
    <n v="1.4"/>
    <n v="1.4"/>
    <x v="0"/>
    <n v="3"/>
    <x v="2"/>
    <n v="59800"/>
    <n v="7100"/>
    <n v="66900"/>
    <s v="B"/>
    <d v="2024-08-18T00:00:00"/>
    <x v="1"/>
  </r>
  <r>
    <x v="4707"/>
    <x v="1"/>
    <n v="27"/>
    <x v="1"/>
    <x v="7"/>
    <x v="1"/>
    <n v="2.7"/>
    <n v="2"/>
    <x v="0"/>
    <n v="3"/>
    <x v="0"/>
    <n v="71200"/>
    <n v="4300"/>
    <n v="75500"/>
    <s v="C"/>
    <d v="2023-04-26T00:00:00"/>
    <x v="1"/>
  </r>
  <r>
    <x v="4708"/>
    <x v="0"/>
    <n v="35"/>
    <x v="2"/>
    <x v="4"/>
    <x v="3"/>
    <n v="11.6"/>
    <n v="8"/>
    <x v="4"/>
    <n v="2"/>
    <x v="0"/>
    <n v="99100"/>
    <n v="5800"/>
    <n v="104900"/>
    <s v="D"/>
    <d v="2014-05-28T00:00:00"/>
    <x v="3"/>
  </r>
  <r>
    <x v="4709"/>
    <x v="1"/>
    <n v="37"/>
    <x v="0"/>
    <x v="1"/>
    <x v="2"/>
    <n v="7.3"/>
    <n v="6"/>
    <x v="2"/>
    <n v="3"/>
    <x v="0"/>
    <n v="76200"/>
    <n v="6600"/>
    <n v="82800"/>
    <s v="C"/>
    <d v="2018-09-25T00:00:00"/>
    <x v="2"/>
  </r>
  <r>
    <x v="4710"/>
    <x v="1"/>
    <n v="34"/>
    <x v="0"/>
    <x v="0"/>
    <x v="2"/>
    <n v="2.6"/>
    <n v="2.6"/>
    <x v="0"/>
    <n v="3"/>
    <x v="0"/>
    <n v="103400"/>
    <n v="7000"/>
    <n v="110400"/>
    <s v="E"/>
    <d v="2023-05-25T00:00:00"/>
    <x v="2"/>
  </r>
  <r>
    <x v="4711"/>
    <x v="0"/>
    <n v="33"/>
    <x v="5"/>
    <x v="17"/>
    <x v="2"/>
    <n v="2.7"/>
    <n v="2.7"/>
    <x v="0"/>
    <n v="3"/>
    <x v="0"/>
    <n v="85700"/>
    <n v="12100"/>
    <n v="97800"/>
    <s v="D"/>
    <d v="2023-04-10T00:00:00"/>
    <x v="2"/>
  </r>
  <r>
    <x v="4712"/>
    <x v="0"/>
    <n v="51"/>
    <x v="0"/>
    <x v="0"/>
    <x v="2"/>
    <n v="1.6"/>
    <n v="1.6"/>
    <x v="0"/>
    <n v="2"/>
    <x v="0"/>
    <n v="92300"/>
    <n v="9000"/>
    <n v="101300"/>
    <s v="D"/>
    <d v="2024-06-07T00:00:00"/>
    <x v="2"/>
  </r>
  <r>
    <x v="4713"/>
    <x v="0"/>
    <n v="34"/>
    <x v="2"/>
    <x v="18"/>
    <x v="2"/>
    <n v="13.4"/>
    <n v="11.2"/>
    <x v="3"/>
    <n v="2"/>
    <x v="0"/>
    <n v="84700"/>
    <n v="8600"/>
    <n v="93300"/>
    <s v="D"/>
    <d v="2012-08-22T00:00:00"/>
    <x v="2"/>
  </r>
  <r>
    <x v="4714"/>
    <x v="1"/>
    <n v="27"/>
    <x v="3"/>
    <x v="13"/>
    <x v="1"/>
    <n v="11.8"/>
    <n v="5.9"/>
    <x v="4"/>
    <n v="4"/>
    <x v="0"/>
    <n v="110500"/>
    <n v="4700"/>
    <n v="115200"/>
    <s v="E"/>
    <d v="2014-03-23T00:00:00"/>
    <x v="1"/>
  </r>
  <r>
    <x v="4715"/>
    <x v="0"/>
    <n v="25"/>
    <x v="0"/>
    <x v="2"/>
    <x v="1"/>
    <n v="4.7"/>
    <n v="2.6"/>
    <x v="1"/>
    <n v="2"/>
    <x v="0"/>
    <n v="62700"/>
    <n v="3400"/>
    <n v="66100"/>
    <s v="B"/>
    <d v="2021-04-13T00:00:00"/>
    <x v="1"/>
  </r>
  <r>
    <x v="4716"/>
    <x v="0"/>
    <n v="26"/>
    <x v="3"/>
    <x v="5"/>
    <x v="0"/>
    <n v="10.9"/>
    <n v="5.9"/>
    <x v="4"/>
    <n v="3"/>
    <x v="1"/>
    <n v="49100"/>
    <n v="4000"/>
    <n v="53100"/>
    <s v="A"/>
    <d v="2015-02-24T00:00:00"/>
    <x v="0"/>
  </r>
  <r>
    <x v="4717"/>
    <x v="1"/>
    <n v="33"/>
    <x v="2"/>
    <x v="11"/>
    <x v="2"/>
    <n v="12.3"/>
    <n v="6.8"/>
    <x v="3"/>
    <n v="1"/>
    <x v="0"/>
    <n v="109600"/>
    <n v="10800"/>
    <n v="120400"/>
    <s v="E"/>
    <d v="2013-09-01T00:00:00"/>
    <x v="2"/>
  </r>
  <r>
    <x v="4718"/>
    <x v="0"/>
    <n v="28"/>
    <x v="4"/>
    <x v="16"/>
    <x v="1"/>
    <n v="8"/>
    <n v="5.2"/>
    <x v="2"/>
    <n v="3"/>
    <x v="0"/>
    <n v="87600"/>
    <n v="5300"/>
    <n v="92900"/>
    <s v="D"/>
    <d v="2018-01-16T00:00:00"/>
    <x v="1"/>
  </r>
  <r>
    <x v="4719"/>
    <x v="0"/>
    <n v="38"/>
    <x v="4"/>
    <x v="16"/>
    <x v="2"/>
    <n v="6.3"/>
    <n v="5.5"/>
    <x v="2"/>
    <n v="3"/>
    <x v="0"/>
    <n v="104800"/>
    <n v="14600"/>
    <n v="119400"/>
    <s v="E"/>
    <d v="2019-09-17T00:00:00"/>
    <x v="2"/>
  </r>
  <r>
    <x v="4720"/>
    <x v="0"/>
    <n v="33"/>
    <x v="4"/>
    <x v="16"/>
    <x v="1"/>
    <n v="14"/>
    <n v="7.5"/>
    <x v="3"/>
    <n v="4"/>
    <x v="0"/>
    <n v="107800"/>
    <n v="6000"/>
    <n v="113800"/>
    <s v="E"/>
    <d v="2012-01-03T00:00:00"/>
    <x v="1"/>
  </r>
  <r>
    <x v="4721"/>
    <x v="0"/>
    <n v="37"/>
    <x v="2"/>
    <x v="18"/>
    <x v="0"/>
    <n v="11.2"/>
    <n v="6.4"/>
    <x v="4"/>
    <n v="4"/>
    <x v="0"/>
    <n v="57000"/>
    <n v="3100"/>
    <n v="60100"/>
    <s v="B"/>
    <d v="2014-11-03T00:00:00"/>
    <x v="0"/>
  </r>
  <r>
    <x v="4722"/>
    <x v="0"/>
    <n v="35"/>
    <x v="3"/>
    <x v="5"/>
    <x v="1"/>
    <n v="10.199999999999999"/>
    <n v="5.9"/>
    <x v="4"/>
    <n v="3"/>
    <x v="2"/>
    <n v="66100"/>
    <n v="3800"/>
    <n v="69900"/>
    <s v="C"/>
    <d v="2015-10-17T00:00:00"/>
    <x v="1"/>
  </r>
  <r>
    <x v="4723"/>
    <x v="0"/>
    <n v="21"/>
    <x v="3"/>
    <x v="12"/>
    <x v="1"/>
    <n v="9.6999999999999993"/>
    <n v="5.5"/>
    <x v="4"/>
    <n v="3"/>
    <x v="0"/>
    <n v="68000"/>
    <n v="3100"/>
    <n v="71100"/>
    <s v="C"/>
    <d v="2016-04-26T00:00:00"/>
    <x v="1"/>
  </r>
  <r>
    <x v="4724"/>
    <x v="1"/>
    <n v="41"/>
    <x v="5"/>
    <x v="15"/>
    <x v="2"/>
    <n v="13.6"/>
    <n v="8.6999999999999993"/>
    <x v="3"/>
    <n v="4"/>
    <x v="0"/>
    <n v="82300"/>
    <n v="14600"/>
    <n v="96900"/>
    <s v="D"/>
    <d v="2012-05-26T00:00:00"/>
    <x v="2"/>
  </r>
  <r>
    <x v="4725"/>
    <x v="1"/>
    <n v="28"/>
    <x v="5"/>
    <x v="9"/>
    <x v="1"/>
    <n v="13.4"/>
    <n v="9.6"/>
    <x v="3"/>
    <n v="5"/>
    <x v="0"/>
    <n v="127900"/>
    <n v="25500"/>
    <n v="153400"/>
    <s v="E"/>
    <d v="2012-07-26T00:00:00"/>
    <x v="1"/>
  </r>
  <r>
    <x v="4726"/>
    <x v="1"/>
    <n v="46"/>
    <x v="1"/>
    <x v="3"/>
    <x v="0"/>
    <n v="8.4"/>
    <n v="3.1"/>
    <x v="2"/>
    <n v="2"/>
    <x v="0"/>
    <n v="76400"/>
    <n v="4200"/>
    <n v="80600"/>
    <s v="C"/>
    <d v="2017-08-13T00:00:00"/>
    <x v="0"/>
  </r>
  <r>
    <x v="4727"/>
    <x v="1"/>
    <n v="35"/>
    <x v="1"/>
    <x v="10"/>
    <x v="2"/>
    <n v="10.5"/>
    <n v="8.5"/>
    <x v="4"/>
    <n v="1"/>
    <x v="0"/>
    <n v="107500"/>
    <n v="5000"/>
    <n v="112500"/>
    <s v="E"/>
    <d v="2015-07-05T00:00:00"/>
    <x v="2"/>
  </r>
  <r>
    <x v="4728"/>
    <x v="0"/>
    <n v="35"/>
    <x v="4"/>
    <x v="16"/>
    <x v="1"/>
    <n v="12.4"/>
    <n v="6.9"/>
    <x v="3"/>
    <n v="4"/>
    <x v="0"/>
    <n v="91900"/>
    <n v="10300"/>
    <n v="102200"/>
    <s v="D"/>
    <d v="2013-08-21T00:00:00"/>
    <x v="1"/>
  </r>
  <r>
    <x v="4729"/>
    <x v="0"/>
    <n v="28"/>
    <x v="3"/>
    <x v="13"/>
    <x v="1"/>
    <n v="7"/>
    <n v="2.1"/>
    <x v="2"/>
    <n v="3"/>
    <x v="0"/>
    <n v="108600"/>
    <n v="8100"/>
    <n v="116700"/>
    <s v="E"/>
    <d v="2019-01-15T00:00:00"/>
    <x v="1"/>
  </r>
  <r>
    <x v="4730"/>
    <x v="1"/>
    <n v="45"/>
    <x v="2"/>
    <x v="4"/>
    <x v="2"/>
    <n v="10.9"/>
    <n v="6.7"/>
    <x v="4"/>
    <n v="2"/>
    <x v="2"/>
    <n v="70700"/>
    <n v="5800"/>
    <n v="76500"/>
    <s v="C"/>
    <d v="2015-02-02T00:00:00"/>
    <x v="2"/>
  </r>
  <r>
    <x v="4731"/>
    <x v="1"/>
    <n v="24"/>
    <x v="5"/>
    <x v="15"/>
    <x v="2"/>
    <n v="5.4"/>
    <n v="3.8"/>
    <x v="1"/>
    <n v="4"/>
    <x v="0"/>
    <n v="72000"/>
    <n v="6100"/>
    <n v="78100"/>
    <s v="C"/>
    <d v="2020-08-07T00:00:00"/>
    <x v="2"/>
  </r>
  <r>
    <x v="4732"/>
    <x v="0"/>
    <n v="44"/>
    <x v="2"/>
    <x v="11"/>
    <x v="3"/>
    <n v="13.9"/>
    <n v="10.5"/>
    <x v="3"/>
    <n v="3"/>
    <x v="0"/>
    <n v="108100"/>
    <n v="4800"/>
    <n v="112900"/>
    <s v="E"/>
    <d v="2012-02-23T00:00:00"/>
    <x v="3"/>
  </r>
  <r>
    <x v="4733"/>
    <x v="1"/>
    <n v="33"/>
    <x v="1"/>
    <x v="7"/>
    <x v="1"/>
    <n v="2.7"/>
    <n v="1.4"/>
    <x v="0"/>
    <n v="1"/>
    <x v="0"/>
    <n v="70900"/>
    <n v="7400"/>
    <n v="78300"/>
    <s v="C"/>
    <d v="2023-04-03T00:00:00"/>
    <x v="1"/>
  </r>
  <r>
    <x v="4734"/>
    <x v="0"/>
    <n v="27"/>
    <x v="3"/>
    <x v="5"/>
    <x v="2"/>
    <n v="13.5"/>
    <n v="9.6"/>
    <x v="3"/>
    <n v="2"/>
    <x v="0"/>
    <n v="98100"/>
    <n v="8800"/>
    <n v="106900"/>
    <s v="D"/>
    <d v="2012-07-06T00:00:00"/>
    <x v="2"/>
  </r>
  <r>
    <x v="4735"/>
    <x v="0"/>
    <n v="38"/>
    <x v="5"/>
    <x v="15"/>
    <x v="1"/>
    <n v="11.7"/>
    <n v="6.9"/>
    <x v="4"/>
    <n v="4"/>
    <x v="0"/>
    <n v="80200"/>
    <n v="13300"/>
    <n v="93500"/>
    <s v="D"/>
    <d v="2014-04-10T00:00:00"/>
    <x v="1"/>
  </r>
  <r>
    <x v="4736"/>
    <x v="0"/>
    <n v="38"/>
    <x v="0"/>
    <x v="0"/>
    <x v="0"/>
    <n v="4.2"/>
    <n v="3.5"/>
    <x v="1"/>
    <n v="3"/>
    <x v="0"/>
    <n v="97800"/>
    <n v="8800"/>
    <n v="106600"/>
    <s v="D"/>
    <d v="2021-10-18T00:00:00"/>
    <x v="0"/>
  </r>
  <r>
    <x v="4737"/>
    <x v="0"/>
    <n v="28"/>
    <x v="0"/>
    <x v="1"/>
    <x v="0"/>
    <n v="9.9"/>
    <n v="5"/>
    <x v="4"/>
    <n v="1"/>
    <x v="1"/>
    <n v="38500"/>
    <n v="4300"/>
    <n v="42800"/>
    <s v="A"/>
    <d v="2016-02-15T00:00:00"/>
    <x v="0"/>
  </r>
  <r>
    <x v="4738"/>
    <x v="0"/>
    <n v="29"/>
    <x v="3"/>
    <x v="12"/>
    <x v="2"/>
    <n v="12.5"/>
    <n v="5.0999999999999996"/>
    <x v="3"/>
    <n v="3"/>
    <x v="0"/>
    <n v="73900"/>
    <n v="3400"/>
    <n v="77300"/>
    <s v="C"/>
    <d v="2013-06-29T00:00:00"/>
    <x v="2"/>
  </r>
  <r>
    <x v="4739"/>
    <x v="1"/>
    <n v="33"/>
    <x v="4"/>
    <x v="14"/>
    <x v="1"/>
    <n v="13.7"/>
    <n v="8.6999999999999993"/>
    <x v="3"/>
    <n v="5"/>
    <x v="2"/>
    <n v="107000"/>
    <n v="9000"/>
    <n v="116000"/>
    <s v="E"/>
    <d v="2012-04-09T00:00:00"/>
    <x v="1"/>
  </r>
  <r>
    <x v="4740"/>
    <x v="0"/>
    <n v="37"/>
    <x v="5"/>
    <x v="17"/>
    <x v="2"/>
    <n v="9.1"/>
    <n v="6.5"/>
    <x v="4"/>
    <n v="2"/>
    <x v="0"/>
    <n v="102500"/>
    <n v="19200"/>
    <n v="121700"/>
    <s v="E"/>
    <d v="2016-11-21T00:00:00"/>
    <x v="2"/>
  </r>
  <r>
    <x v="4741"/>
    <x v="1"/>
    <n v="26"/>
    <x v="0"/>
    <x v="0"/>
    <x v="1"/>
    <n v="6.9"/>
    <n v="3.8"/>
    <x v="2"/>
    <n v="5"/>
    <x v="0"/>
    <n v="99800"/>
    <n v="4700"/>
    <n v="104500"/>
    <s v="D"/>
    <d v="2019-02-12T00:00:00"/>
    <x v="1"/>
  </r>
  <r>
    <x v="4742"/>
    <x v="1"/>
    <n v="36"/>
    <x v="2"/>
    <x v="4"/>
    <x v="1"/>
    <n v="2"/>
    <n v="1"/>
    <x v="0"/>
    <n v="4"/>
    <x v="0"/>
    <n v="68800"/>
    <n v="3700"/>
    <n v="72500"/>
    <s v="C"/>
    <d v="2023-12-15T00:00:00"/>
    <x v="1"/>
  </r>
  <r>
    <x v="4743"/>
    <x v="1"/>
    <n v="27"/>
    <x v="2"/>
    <x v="4"/>
    <x v="1"/>
    <n v="2.2000000000000002"/>
    <n v="1.3"/>
    <x v="0"/>
    <n v="4"/>
    <x v="1"/>
    <n v="49200"/>
    <n v="3000"/>
    <n v="52200"/>
    <s v="A"/>
    <d v="2023-10-04T00:00:00"/>
    <x v="1"/>
  </r>
  <r>
    <x v="4744"/>
    <x v="0"/>
    <n v="43"/>
    <x v="0"/>
    <x v="1"/>
    <x v="1"/>
    <n v="2.2000000000000002"/>
    <n v="1"/>
    <x v="0"/>
    <n v="3"/>
    <x v="0"/>
    <n v="64900"/>
    <n v="6600"/>
    <n v="71500"/>
    <s v="B"/>
    <d v="2023-10-09T00:00:00"/>
    <x v="1"/>
  </r>
  <r>
    <x v="4745"/>
    <x v="1"/>
    <n v="33"/>
    <x v="5"/>
    <x v="15"/>
    <x v="1"/>
    <n v="12.4"/>
    <n v="7.9"/>
    <x v="3"/>
    <n v="3"/>
    <x v="0"/>
    <n v="73200"/>
    <n v="9900"/>
    <n v="83100"/>
    <s v="C"/>
    <d v="2013-08-19T00:00:00"/>
    <x v="1"/>
  </r>
  <r>
    <x v="4746"/>
    <x v="1"/>
    <n v="34"/>
    <x v="4"/>
    <x v="16"/>
    <x v="3"/>
    <n v="4.4000000000000004"/>
    <n v="3.3"/>
    <x v="1"/>
    <n v="3"/>
    <x v="0"/>
    <n v="105900"/>
    <n v="9500"/>
    <n v="115400"/>
    <s v="E"/>
    <d v="2021-08-08T00:00:00"/>
    <x v="3"/>
  </r>
  <r>
    <x v="4747"/>
    <x v="1"/>
    <n v="29"/>
    <x v="1"/>
    <x v="3"/>
    <x v="3"/>
    <n v="2.2000000000000002"/>
    <n v="1"/>
    <x v="0"/>
    <n v="3"/>
    <x v="0"/>
    <n v="81600"/>
    <n v="4200"/>
    <n v="85800"/>
    <s v="D"/>
    <d v="2023-10-24T00:00:00"/>
    <x v="3"/>
  </r>
  <r>
    <x v="4748"/>
    <x v="0"/>
    <n v="34"/>
    <x v="4"/>
    <x v="6"/>
    <x v="1"/>
    <n v="5.4"/>
    <n v="2.2000000000000002"/>
    <x v="1"/>
    <n v="4"/>
    <x v="0"/>
    <n v="63600"/>
    <n v="8200"/>
    <n v="71800"/>
    <s v="B"/>
    <d v="2020-07-31T00:00:00"/>
    <x v="1"/>
  </r>
  <r>
    <x v="4749"/>
    <x v="0"/>
    <n v="32"/>
    <x v="4"/>
    <x v="8"/>
    <x v="1"/>
    <n v="1.2"/>
    <n v="0"/>
    <x v="0"/>
    <n v="4"/>
    <x v="0"/>
    <n v="75000"/>
    <n v="4500"/>
    <n v="79500"/>
    <s v="C"/>
    <d v="2024-10-16T00:00:00"/>
    <x v="1"/>
  </r>
  <r>
    <x v="4750"/>
    <x v="0"/>
    <n v="30"/>
    <x v="4"/>
    <x v="6"/>
    <x v="1"/>
    <n v="9.9"/>
    <n v="7.4"/>
    <x v="4"/>
    <n v="3"/>
    <x v="1"/>
    <n v="46500"/>
    <n v="6800"/>
    <n v="53300"/>
    <s v="A"/>
    <d v="2016-02-24T00:00:00"/>
    <x v="1"/>
  </r>
  <r>
    <x v="4751"/>
    <x v="1"/>
    <n v="36"/>
    <x v="5"/>
    <x v="9"/>
    <x v="2"/>
    <n v="3.3"/>
    <n v="3.3"/>
    <x v="1"/>
    <n v="1"/>
    <x v="0"/>
    <n v="103300"/>
    <n v="8000"/>
    <n v="111300"/>
    <s v="E"/>
    <d v="2022-09-03T00:00:00"/>
    <x v="2"/>
  </r>
  <r>
    <x v="4752"/>
    <x v="1"/>
    <n v="37"/>
    <x v="2"/>
    <x v="4"/>
    <x v="1"/>
    <n v="8.3000000000000007"/>
    <n v="5.5"/>
    <x v="2"/>
    <n v="4"/>
    <x v="0"/>
    <n v="92500"/>
    <n v="9700"/>
    <n v="102200"/>
    <s v="D"/>
    <d v="2017-09-05T00:00:00"/>
    <x v="1"/>
  </r>
  <r>
    <x v="4753"/>
    <x v="0"/>
    <n v="32"/>
    <x v="1"/>
    <x v="7"/>
    <x v="3"/>
    <n v="5.8"/>
    <n v="2.6"/>
    <x v="1"/>
    <n v="3"/>
    <x v="0"/>
    <n v="87100"/>
    <n v="10100"/>
    <n v="97200"/>
    <s v="D"/>
    <d v="2020-03-02T00:00:00"/>
    <x v="3"/>
  </r>
  <r>
    <x v="4754"/>
    <x v="0"/>
    <n v="39"/>
    <x v="5"/>
    <x v="15"/>
    <x v="2"/>
    <n v="5.4"/>
    <n v="3.7"/>
    <x v="1"/>
    <n v="4"/>
    <x v="0"/>
    <n v="77700"/>
    <n v="11100"/>
    <n v="88800"/>
    <s v="C"/>
    <d v="2020-08-22T00:00:00"/>
    <x v="2"/>
  </r>
  <r>
    <x v="4755"/>
    <x v="1"/>
    <n v="23"/>
    <x v="2"/>
    <x v="4"/>
    <x v="3"/>
    <n v="8.8000000000000007"/>
    <n v="5.7"/>
    <x v="2"/>
    <n v="3"/>
    <x v="0"/>
    <n v="78500"/>
    <n v="3800"/>
    <n v="82300"/>
    <s v="C"/>
    <d v="2017-04-01T00:00:00"/>
    <x v="3"/>
  </r>
  <r>
    <x v="4756"/>
    <x v="1"/>
    <n v="43"/>
    <x v="4"/>
    <x v="8"/>
    <x v="0"/>
    <n v="13.6"/>
    <n v="7.9"/>
    <x v="3"/>
    <n v="2"/>
    <x v="1"/>
    <n v="56700"/>
    <n v="3300"/>
    <n v="60000"/>
    <s v="B"/>
    <d v="2012-05-10T00:00:00"/>
    <x v="0"/>
  </r>
  <r>
    <x v="4757"/>
    <x v="1"/>
    <n v="45"/>
    <x v="4"/>
    <x v="6"/>
    <x v="1"/>
    <n v="5.2"/>
    <n v="2.9"/>
    <x v="1"/>
    <n v="3"/>
    <x v="1"/>
    <n v="44100"/>
    <n v="2300"/>
    <n v="46400"/>
    <s v="A"/>
    <d v="2020-10-10T00:00:00"/>
    <x v="1"/>
  </r>
  <r>
    <x v="4758"/>
    <x v="0"/>
    <n v="46"/>
    <x v="3"/>
    <x v="12"/>
    <x v="1"/>
    <n v="12.9"/>
    <n v="9.3000000000000007"/>
    <x v="3"/>
    <n v="1"/>
    <x v="0"/>
    <n v="77900"/>
    <n v="4200"/>
    <n v="82100"/>
    <s v="C"/>
    <d v="2013-02-21T00:00:00"/>
    <x v="1"/>
  </r>
  <r>
    <x v="4759"/>
    <x v="0"/>
    <n v="38"/>
    <x v="2"/>
    <x v="18"/>
    <x v="2"/>
    <n v="11.8"/>
    <n v="7.9"/>
    <x v="4"/>
    <n v="4"/>
    <x v="0"/>
    <n v="80800"/>
    <n v="5400"/>
    <n v="86200"/>
    <s v="D"/>
    <d v="2014-03-08T00:00:00"/>
    <x v="2"/>
  </r>
  <r>
    <x v="4760"/>
    <x v="1"/>
    <n v="23"/>
    <x v="4"/>
    <x v="6"/>
    <x v="1"/>
    <n v="7.1"/>
    <n v="6.6"/>
    <x v="2"/>
    <n v="5"/>
    <x v="0"/>
    <n v="72000"/>
    <n v="4200"/>
    <n v="76200"/>
    <s v="C"/>
    <d v="2018-11-13T00:00:00"/>
    <x v="1"/>
  </r>
  <r>
    <x v="4761"/>
    <x v="1"/>
    <n v="33"/>
    <x v="2"/>
    <x v="4"/>
    <x v="3"/>
    <n v="7.8"/>
    <n v="3.2"/>
    <x v="2"/>
    <n v="3"/>
    <x v="0"/>
    <n v="85200"/>
    <n v="6400"/>
    <n v="91600"/>
    <s v="D"/>
    <d v="2018-03-08T00:00:00"/>
    <x v="3"/>
  </r>
  <r>
    <x v="4762"/>
    <x v="1"/>
    <n v="24"/>
    <x v="4"/>
    <x v="16"/>
    <x v="0"/>
    <n v="6.8"/>
    <n v="6.2"/>
    <x v="2"/>
    <n v="3"/>
    <x v="1"/>
    <n v="56200"/>
    <n v="4100"/>
    <n v="60300"/>
    <s v="B"/>
    <d v="2019-03-15T00:00:00"/>
    <x v="0"/>
  </r>
  <r>
    <x v="4763"/>
    <x v="0"/>
    <n v="30"/>
    <x v="0"/>
    <x v="2"/>
    <x v="1"/>
    <n v="1.5"/>
    <n v="1.5"/>
    <x v="0"/>
    <n v="2"/>
    <x v="0"/>
    <n v="61700"/>
    <n v="5500"/>
    <n v="67200"/>
    <s v="B"/>
    <d v="2024-07-08T00:00:00"/>
    <x v="1"/>
  </r>
  <r>
    <x v="4764"/>
    <x v="0"/>
    <n v="32"/>
    <x v="2"/>
    <x v="18"/>
    <x v="2"/>
    <n v="12"/>
    <n v="6.5"/>
    <x v="3"/>
    <n v="4"/>
    <x v="2"/>
    <n v="63300"/>
    <n v="5600"/>
    <n v="68900"/>
    <s v="B"/>
    <d v="2013-12-31T00:00:00"/>
    <x v="2"/>
  </r>
  <r>
    <x v="4765"/>
    <x v="0"/>
    <n v="42"/>
    <x v="4"/>
    <x v="16"/>
    <x v="2"/>
    <n v="8.6"/>
    <n v="7.7"/>
    <x v="2"/>
    <n v="3"/>
    <x v="0"/>
    <n v="91100"/>
    <n v="12000"/>
    <n v="103100"/>
    <s v="D"/>
    <d v="2017-05-24T00:00:00"/>
    <x v="2"/>
  </r>
  <r>
    <x v="4766"/>
    <x v="0"/>
    <n v="25"/>
    <x v="2"/>
    <x v="18"/>
    <x v="2"/>
    <n v="5.3"/>
    <n v="2.5"/>
    <x v="1"/>
    <n v="4"/>
    <x v="0"/>
    <n v="60100"/>
    <n v="5700"/>
    <n v="65800"/>
    <s v="B"/>
    <d v="2020-09-12T00:00:00"/>
    <x v="2"/>
  </r>
  <r>
    <x v="4767"/>
    <x v="1"/>
    <n v="32"/>
    <x v="4"/>
    <x v="16"/>
    <x v="1"/>
    <n v="11.5"/>
    <n v="8.1"/>
    <x v="4"/>
    <n v="3"/>
    <x v="0"/>
    <n v="100300"/>
    <n v="14800"/>
    <n v="115100"/>
    <s v="E"/>
    <d v="2014-07-03T00:00:00"/>
    <x v="1"/>
  </r>
  <r>
    <x v="4768"/>
    <x v="0"/>
    <n v="46"/>
    <x v="2"/>
    <x v="4"/>
    <x v="0"/>
    <n v="12.7"/>
    <n v="6.5"/>
    <x v="3"/>
    <n v="4"/>
    <x v="0"/>
    <n v="81800"/>
    <n v="8000"/>
    <n v="89800"/>
    <s v="D"/>
    <d v="2013-04-24T00:00:00"/>
    <x v="0"/>
  </r>
  <r>
    <x v="4769"/>
    <x v="0"/>
    <n v="30"/>
    <x v="0"/>
    <x v="1"/>
    <x v="1"/>
    <n v="2.7"/>
    <n v="2.2999999999999998"/>
    <x v="0"/>
    <n v="3"/>
    <x v="0"/>
    <n v="75800"/>
    <n v="9100"/>
    <n v="84900"/>
    <s v="C"/>
    <d v="2023-04-05T00:00:00"/>
    <x v="1"/>
  </r>
  <r>
    <x v="4770"/>
    <x v="0"/>
    <n v="21"/>
    <x v="4"/>
    <x v="14"/>
    <x v="2"/>
    <n v="7.5"/>
    <n v="5.4"/>
    <x v="2"/>
    <n v="3"/>
    <x v="0"/>
    <n v="126400"/>
    <n v="7700"/>
    <n v="134100"/>
    <s v="E"/>
    <d v="2018-06-20T00:00:00"/>
    <x v="2"/>
  </r>
  <r>
    <x v="4771"/>
    <x v="0"/>
    <n v="32"/>
    <x v="2"/>
    <x v="4"/>
    <x v="0"/>
    <n v="5.4"/>
    <n v="3.7"/>
    <x v="1"/>
    <n v="4"/>
    <x v="0"/>
    <n v="76600"/>
    <n v="3000"/>
    <n v="79600"/>
    <s v="C"/>
    <d v="2020-08-13T00:00:00"/>
    <x v="0"/>
  </r>
  <r>
    <x v="4772"/>
    <x v="1"/>
    <n v="35"/>
    <x v="4"/>
    <x v="6"/>
    <x v="2"/>
    <n v="13.6"/>
    <n v="7.5"/>
    <x v="3"/>
    <n v="3"/>
    <x v="0"/>
    <n v="68900"/>
    <n v="4400"/>
    <n v="73300"/>
    <s v="C"/>
    <d v="2012-05-20T00:00:00"/>
    <x v="2"/>
  </r>
  <r>
    <x v="4773"/>
    <x v="0"/>
    <n v="38"/>
    <x v="3"/>
    <x v="5"/>
    <x v="1"/>
    <n v="12.5"/>
    <n v="7.9"/>
    <x v="3"/>
    <n v="4"/>
    <x v="0"/>
    <n v="88200"/>
    <n v="6500"/>
    <n v="94700"/>
    <s v="D"/>
    <d v="2013-07-10T00:00:00"/>
    <x v="1"/>
  </r>
  <r>
    <x v="4774"/>
    <x v="0"/>
    <n v="28"/>
    <x v="0"/>
    <x v="0"/>
    <x v="2"/>
    <n v="5.9"/>
    <n v="5"/>
    <x v="1"/>
    <n v="4"/>
    <x v="0"/>
    <n v="118400"/>
    <n v="12800"/>
    <n v="131200"/>
    <s v="E"/>
    <d v="2020-01-27T00:00:00"/>
    <x v="2"/>
  </r>
  <r>
    <x v="4775"/>
    <x v="0"/>
    <n v="41"/>
    <x v="5"/>
    <x v="9"/>
    <x v="0"/>
    <n v="5.8"/>
    <n v="2.1"/>
    <x v="1"/>
    <n v="3"/>
    <x v="0"/>
    <n v="99400"/>
    <n v="8500"/>
    <n v="107900"/>
    <s v="D"/>
    <d v="2020-02-28T00:00:00"/>
    <x v="0"/>
  </r>
  <r>
    <x v="4776"/>
    <x v="0"/>
    <n v="44"/>
    <x v="2"/>
    <x v="4"/>
    <x v="0"/>
    <n v="8.6999999999999993"/>
    <n v="6.9"/>
    <x v="2"/>
    <n v="2"/>
    <x v="0"/>
    <n v="69900"/>
    <n v="4000"/>
    <n v="73900"/>
    <s v="C"/>
    <d v="2017-05-03T00:00:00"/>
    <x v="0"/>
  </r>
  <r>
    <x v="4777"/>
    <x v="1"/>
    <n v="34"/>
    <x v="0"/>
    <x v="2"/>
    <x v="1"/>
    <n v="10.4"/>
    <n v="4.9000000000000004"/>
    <x v="4"/>
    <n v="3"/>
    <x v="0"/>
    <n v="59100"/>
    <n v="7300"/>
    <n v="66400"/>
    <s v="B"/>
    <d v="2015-08-03T00:00:00"/>
    <x v="1"/>
  </r>
  <r>
    <x v="4778"/>
    <x v="1"/>
    <n v="34"/>
    <x v="4"/>
    <x v="6"/>
    <x v="2"/>
    <n v="5.7"/>
    <n v="2.5"/>
    <x v="1"/>
    <n v="4"/>
    <x v="0"/>
    <n v="74700"/>
    <n v="5500"/>
    <n v="80200"/>
    <s v="C"/>
    <d v="2020-04-05T00:00:00"/>
    <x v="2"/>
  </r>
  <r>
    <x v="4779"/>
    <x v="0"/>
    <n v="49"/>
    <x v="4"/>
    <x v="16"/>
    <x v="2"/>
    <n v="9.3000000000000007"/>
    <n v="4.3"/>
    <x v="4"/>
    <n v="4"/>
    <x v="0"/>
    <n v="110000"/>
    <n v="13800"/>
    <n v="123800"/>
    <s v="E"/>
    <d v="2016-08-31T00:00:00"/>
    <x v="2"/>
  </r>
  <r>
    <x v="4780"/>
    <x v="0"/>
    <n v="51"/>
    <x v="1"/>
    <x v="3"/>
    <x v="1"/>
    <n v="6.2"/>
    <n v="3.2"/>
    <x v="2"/>
    <n v="4"/>
    <x v="0"/>
    <n v="83000"/>
    <n v="4900"/>
    <n v="87900"/>
    <s v="D"/>
    <d v="2019-10-17T00:00:00"/>
    <x v="1"/>
  </r>
  <r>
    <x v="4781"/>
    <x v="0"/>
    <n v="53"/>
    <x v="5"/>
    <x v="17"/>
    <x v="1"/>
    <n v="5.6"/>
    <n v="3.2"/>
    <x v="1"/>
    <n v="3"/>
    <x v="1"/>
    <n v="59900"/>
    <n v="10000"/>
    <n v="69900"/>
    <s v="B"/>
    <d v="2020-05-26T00:00:00"/>
    <x v="1"/>
  </r>
  <r>
    <x v="4782"/>
    <x v="1"/>
    <n v="33"/>
    <x v="0"/>
    <x v="2"/>
    <x v="0"/>
    <n v="2.9"/>
    <n v="2.9"/>
    <x v="0"/>
    <n v="3"/>
    <x v="0"/>
    <n v="56600"/>
    <n v="7200"/>
    <n v="63800"/>
    <s v="B"/>
    <d v="2023-01-28T00:00:00"/>
    <x v="0"/>
  </r>
  <r>
    <x v="4783"/>
    <x v="0"/>
    <n v="40"/>
    <x v="3"/>
    <x v="13"/>
    <x v="1"/>
    <n v="7.4"/>
    <n v="6.4"/>
    <x v="2"/>
    <n v="5"/>
    <x v="0"/>
    <n v="105800"/>
    <n v="7900"/>
    <n v="113700"/>
    <s v="E"/>
    <d v="2018-07-29T00:00:00"/>
    <x v="1"/>
  </r>
  <r>
    <x v="4784"/>
    <x v="1"/>
    <n v="45"/>
    <x v="5"/>
    <x v="15"/>
    <x v="1"/>
    <n v="5.2"/>
    <n v="2"/>
    <x v="1"/>
    <n v="3"/>
    <x v="0"/>
    <n v="54900"/>
    <n v="4500"/>
    <n v="59400"/>
    <s v="B"/>
    <d v="2020-10-09T00:00:00"/>
    <x v="1"/>
  </r>
  <r>
    <x v="4785"/>
    <x v="0"/>
    <n v="30"/>
    <x v="2"/>
    <x v="4"/>
    <x v="1"/>
    <n v="5.8"/>
    <n v="2.2000000000000002"/>
    <x v="1"/>
    <n v="4"/>
    <x v="0"/>
    <n v="64500"/>
    <n v="4300"/>
    <n v="68800"/>
    <s v="B"/>
    <d v="2020-03-15T00:00:00"/>
    <x v="1"/>
  </r>
  <r>
    <x v="4786"/>
    <x v="1"/>
    <n v="28"/>
    <x v="0"/>
    <x v="1"/>
    <x v="0"/>
    <n v="11.7"/>
    <n v="6.2"/>
    <x v="4"/>
    <n v="3"/>
    <x v="0"/>
    <n v="80100"/>
    <n v="5300"/>
    <n v="85400"/>
    <s v="D"/>
    <d v="2014-04-15T00:00:00"/>
    <x v="0"/>
  </r>
  <r>
    <x v="4787"/>
    <x v="0"/>
    <n v="35"/>
    <x v="5"/>
    <x v="9"/>
    <x v="1"/>
    <n v="11"/>
    <n v="7.1"/>
    <x v="4"/>
    <n v="3"/>
    <x v="0"/>
    <n v="105400"/>
    <n v="21000"/>
    <n v="126400"/>
    <s v="E"/>
    <d v="2015-01-16T00:00:00"/>
    <x v="1"/>
  </r>
  <r>
    <x v="4788"/>
    <x v="1"/>
    <n v="44"/>
    <x v="4"/>
    <x v="16"/>
    <x v="2"/>
    <n v="6.7"/>
    <n v="4.9000000000000004"/>
    <x v="2"/>
    <n v="4"/>
    <x v="0"/>
    <n v="117600"/>
    <n v="11000"/>
    <n v="128600"/>
    <s v="E"/>
    <d v="2019-04-27T00:00:00"/>
    <x v="2"/>
  </r>
  <r>
    <x v="4789"/>
    <x v="1"/>
    <n v="33"/>
    <x v="5"/>
    <x v="17"/>
    <x v="2"/>
    <n v="4.4000000000000004"/>
    <n v="3.2"/>
    <x v="1"/>
    <n v="3"/>
    <x v="0"/>
    <n v="111400"/>
    <n v="14500"/>
    <n v="125900"/>
    <s v="E"/>
    <d v="2021-08-25T00:00:00"/>
    <x v="2"/>
  </r>
  <r>
    <x v="4790"/>
    <x v="0"/>
    <n v="39"/>
    <x v="2"/>
    <x v="4"/>
    <x v="1"/>
    <n v="2.8"/>
    <n v="1.3"/>
    <x v="0"/>
    <n v="3"/>
    <x v="0"/>
    <n v="69400"/>
    <n v="5500"/>
    <n v="74900"/>
    <s v="C"/>
    <d v="2023-03-04T00:00:00"/>
    <x v="1"/>
  </r>
  <r>
    <x v="4791"/>
    <x v="0"/>
    <n v="42"/>
    <x v="4"/>
    <x v="8"/>
    <x v="3"/>
    <n v="1.9"/>
    <n v="1.9"/>
    <x v="0"/>
    <n v="2"/>
    <x v="1"/>
    <n v="46900"/>
    <n v="2900"/>
    <n v="49800"/>
    <s v="A"/>
    <d v="2024-02-15T00:00:00"/>
    <x v="3"/>
  </r>
  <r>
    <x v="4792"/>
    <x v="0"/>
    <n v="46"/>
    <x v="4"/>
    <x v="14"/>
    <x v="2"/>
    <n v="13.6"/>
    <n v="7.3"/>
    <x v="3"/>
    <n v="4"/>
    <x v="1"/>
    <n v="76700"/>
    <n v="10600"/>
    <n v="87300"/>
    <s v="C"/>
    <d v="2012-05-23T00:00:00"/>
    <x v="2"/>
  </r>
  <r>
    <x v="4793"/>
    <x v="1"/>
    <n v="21"/>
    <x v="2"/>
    <x v="18"/>
    <x v="1"/>
    <n v="2.6"/>
    <n v="1.4"/>
    <x v="0"/>
    <n v="3"/>
    <x v="0"/>
    <n v="63200"/>
    <n v="5600"/>
    <n v="68800"/>
    <s v="B"/>
    <d v="2023-05-28T00:00:00"/>
    <x v="1"/>
  </r>
  <r>
    <x v="4794"/>
    <x v="1"/>
    <n v="42"/>
    <x v="3"/>
    <x v="5"/>
    <x v="1"/>
    <n v="12.4"/>
    <n v="8.1"/>
    <x v="3"/>
    <n v="4"/>
    <x v="1"/>
    <n v="53400"/>
    <n v="2800"/>
    <n v="56200"/>
    <s v="B"/>
    <d v="2013-08-19T00:00:00"/>
    <x v="1"/>
  </r>
  <r>
    <x v="4795"/>
    <x v="1"/>
    <n v="42"/>
    <x v="0"/>
    <x v="0"/>
    <x v="2"/>
    <n v="6.9"/>
    <n v="3.6"/>
    <x v="2"/>
    <n v="4"/>
    <x v="0"/>
    <n v="94500"/>
    <n v="10300"/>
    <n v="104800"/>
    <s v="D"/>
    <d v="2019-01-24T00:00:00"/>
    <x v="2"/>
  </r>
  <r>
    <x v="4796"/>
    <x v="1"/>
    <n v="43"/>
    <x v="5"/>
    <x v="17"/>
    <x v="3"/>
    <n v="1.4"/>
    <n v="0"/>
    <x v="0"/>
    <n v="4"/>
    <x v="0"/>
    <n v="116900"/>
    <n v="20400"/>
    <n v="137300"/>
    <s v="E"/>
    <d v="2024-08-21T00:00:00"/>
    <x v="3"/>
  </r>
  <r>
    <x v="4797"/>
    <x v="0"/>
    <n v="40"/>
    <x v="4"/>
    <x v="8"/>
    <x v="2"/>
    <n v="10.199999999999999"/>
    <n v="6.9"/>
    <x v="4"/>
    <n v="5"/>
    <x v="0"/>
    <n v="92600"/>
    <n v="6800"/>
    <n v="99400"/>
    <s v="D"/>
    <d v="2015-11-06T00:00:00"/>
    <x v="2"/>
  </r>
  <r>
    <x v="4798"/>
    <x v="0"/>
    <n v="29"/>
    <x v="0"/>
    <x v="2"/>
    <x v="2"/>
    <n v="10"/>
    <n v="5.5"/>
    <x v="4"/>
    <n v="5"/>
    <x v="1"/>
    <n v="48400"/>
    <n v="3500"/>
    <n v="51900"/>
    <s v="A"/>
    <d v="2015-12-30T00:00:00"/>
    <x v="2"/>
  </r>
  <r>
    <x v="4799"/>
    <x v="1"/>
    <n v="21"/>
    <x v="2"/>
    <x v="18"/>
    <x v="1"/>
    <n v="4.7"/>
    <n v="3.1"/>
    <x v="1"/>
    <n v="4"/>
    <x v="2"/>
    <n v="61300"/>
    <n v="5900"/>
    <n v="67200"/>
    <s v="B"/>
    <d v="2021-04-28T00:00:00"/>
    <x v="1"/>
  </r>
  <r>
    <x v="4800"/>
    <x v="0"/>
    <n v="34"/>
    <x v="3"/>
    <x v="5"/>
    <x v="1"/>
    <n v="8.5"/>
    <n v="6.2"/>
    <x v="2"/>
    <n v="4"/>
    <x v="1"/>
    <n v="53800"/>
    <n v="4400"/>
    <n v="58200"/>
    <s v="B"/>
    <d v="2017-06-24T00:00:00"/>
    <x v="1"/>
  </r>
  <r>
    <x v="4801"/>
    <x v="0"/>
    <n v="33"/>
    <x v="3"/>
    <x v="12"/>
    <x v="2"/>
    <n v="10.3"/>
    <n v="5.2"/>
    <x v="4"/>
    <n v="3"/>
    <x v="0"/>
    <n v="86100"/>
    <n v="5900"/>
    <n v="92000"/>
    <s v="D"/>
    <d v="2015-10-02T00:00:00"/>
    <x v="2"/>
  </r>
  <r>
    <x v="4802"/>
    <x v="0"/>
    <n v="43"/>
    <x v="0"/>
    <x v="0"/>
    <x v="1"/>
    <n v="12.6"/>
    <n v="8.4"/>
    <x v="3"/>
    <n v="3"/>
    <x v="0"/>
    <n v="107900"/>
    <n v="7200"/>
    <n v="115100"/>
    <s v="E"/>
    <d v="2013-06-13T00:00:00"/>
    <x v="1"/>
  </r>
  <r>
    <x v="4803"/>
    <x v="0"/>
    <n v="45"/>
    <x v="5"/>
    <x v="9"/>
    <x v="1"/>
    <n v="12.3"/>
    <n v="7.7"/>
    <x v="3"/>
    <n v="3"/>
    <x v="0"/>
    <n v="95200"/>
    <n v="20000"/>
    <n v="115200"/>
    <s v="D"/>
    <d v="2013-09-28T00:00:00"/>
    <x v="1"/>
  </r>
  <r>
    <x v="4804"/>
    <x v="1"/>
    <n v="28"/>
    <x v="0"/>
    <x v="0"/>
    <x v="2"/>
    <n v="11"/>
    <n v="9.4"/>
    <x v="4"/>
    <n v="3"/>
    <x v="0"/>
    <n v="100100"/>
    <n v="4800"/>
    <n v="104900"/>
    <s v="E"/>
    <d v="2014-12-19T00:00:00"/>
    <x v="2"/>
  </r>
  <r>
    <x v="4805"/>
    <x v="0"/>
    <n v="33"/>
    <x v="2"/>
    <x v="4"/>
    <x v="1"/>
    <n v="6.4"/>
    <n v="6"/>
    <x v="2"/>
    <n v="3"/>
    <x v="0"/>
    <n v="70600"/>
    <n v="2600"/>
    <n v="73200"/>
    <s v="C"/>
    <d v="2019-08-07T00:00:00"/>
    <x v="1"/>
  </r>
  <r>
    <x v="4806"/>
    <x v="1"/>
    <n v="50"/>
    <x v="4"/>
    <x v="8"/>
    <x v="0"/>
    <n v="5.0999999999999996"/>
    <n v="3"/>
    <x v="1"/>
    <n v="4"/>
    <x v="0"/>
    <n v="77300"/>
    <n v="10100"/>
    <n v="87400"/>
    <s v="C"/>
    <d v="2020-11-12T00:00:00"/>
    <x v="0"/>
  </r>
  <r>
    <x v="4807"/>
    <x v="0"/>
    <n v="28"/>
    <x v="2"/>
    <x v="4"/>
    <x v="1"/>
    <n v="10.9"/>
    <n v="8.9"/>
    <x v="4"/>
    <n v="2"/>
    <x v="0"/>
    <n v="78000"/>
    <n v="4400"/>
    <n v="82400"/>
    <s v="C"/>
    <d v="2015-01-28T00:00:00"/>
    <x v="1"/>
  </r>
  <r>
    <x v="4808"/>
    <x v="0"/>
    <n v="42"/>
    <x v="3"/>
    <x v="13"/>
    <x v="1"/>
    <n v="13.1"/>
    <n v="6.7"/>
    <x v="3"/>
    <n v="2"/>
    <x v="1"/>
    <n v="67300"/>
    <n v="4100"/>
    <n v="71400"/>
    <s v="C"/>
    <d v="2012-12-08T00:00:00"/>
    <x v="1"/>
  </r>
  <r>
    <x v="4809"/>
    <x v="1"/>
    <n v="37"/>
    <x v="3"/>
    <x v="5"/>
    <x v="2"/>
    <n v="11.1"/>
    <n v="6.4"/>
    <x v="4"/>
    <n v="3"/>
    <x v="2"/>
    <n v="73500"/>
    <n v="6100"/>
    <n v="79600"/>
    <s v="C"/>
    <d v="2014-11-23T00:00:00"/>
    <x v="2"/>
  </r>
  <r>
    <x v="4810"/>
    <x v="0"/>
    <n v="30"/>
    <x v="2"/>
    <x v="4"/>
    <x v="0"/>
    <n v="8"/>
    <n v="5.4"/>
    <x v="2"/>
    <n v="4"/>
    <x v="0"/>
    <n v="74700"/>
    <n v="4100"/>
    <n v="78800"/>
    <s v="C"/>
    <d v="2017-12-27T00:00:00"/>
    <x v="0"/>
  </r>
  <r>
    <x v="4811"/>
    <x v="0"/>
    <n v="29"/>
    <x v="1"/>
    <x v="7"/>
    <x v="1"/>
    <n v="1.6"/>
    <n v="0"/>
    <x v="0"/>
    <n v="3"/>
    <x v="0"/>
    <n v="66000"/>
    <n v="2700"/>
    <n v="68700"/>
    <s v="C"/>
    <d v="2024-05-30T00:00:00"/>
    <x v="1"/>
  </r>
  <r>
    <x v="4812"/>
    <x v="0"/>
    <n v="45"/>
    <x v="1"/>
    <x v="10"/>
    <x v="0"/>
    <n v="10.6"/>
    <n v="6.5"/>
    <x v="4"/>
    <n v="4"/>
    <x v="0"/>
    <n v="115800"/>
    <n v="7200"/>
    <n v="123000"/>
    <s v="E"/>
    <d v="2015-06-11T00:00:00"/>
    <x v="0"/>
  </r>
  <r>
    <x v="4813"/>
    <x v="0"/>
    <n v="22"/>
    <x v="5"/>
    <x v="15"/>
    <x v="0"/>
    <n v="9.4"/>
    <n v="6"/>
    <x v="4"/>
    <n v="3"/>
    <x v="0"/>
    <n v="61100"/>
    <n v="10000"/>
    <n v="71100"/>
    <s v="B"/>
    <d v="2016-08-17T00:00:00"/>
    <x v="0"/>
  </r>
  <r>
    <x v="4814"/>
    <x v="1"/>
    <n v="47"/>
    <x v="0"/>
    <x v="1"/>
    <x v="2"/>
    <n v="7"/>
    <n v="3.6"/>
    <x v="2"/>
    <n v="4"/>
    <x v="0"/>
    <n v="83800"/>
    <n v="11100"/>
    <n v="94900"/>
    <s v="D"/>
    <d v="2019-01-15T00:00:00"/>
    <x v="2"/>
  </r>
  <r>
    <x v="4815"/>
    <x v="1"/>
    <n v="34"/>
    <x v="4"/>
    <x v="8"/>
    <x v="1"/>
    <n v="10.9"/>
    <n v="5.9"/>
    <x v="4"/>
    <n v="2"/>
    <x v="0"/>
    <n v="85700"/>
    <n v="8300"/>
    <n v="94000"/>
    <s v="D"/>
    <d v="2015-01-26T00:00:00"/>
    <x v="1"/>
  </r>
  <r>
    <x v="4816"/>
    <x v="1"/>
    <n v="29"/>
    <x v="4"/>
    <x v="8"/>
    <x v="2"/>
    <n v="6.7"/>
    <n v="4.3"/>
    <x v="2"/>
    <n v="5"/>
    <x v="0"/>
    <n v="88900"/>
    <n v="9700"/>
    <n v="98600"/>
    <s v="D"/>
    <d v="2019-05-01T00:00:00"/>
    <x v="2"/>
  </r>
  <r>
    <x v="4817"/>
    <x v="1"/>
    <n v="34"/>
    <x v="3"/>
    <x v="13"/>
    <x v="2"/>
    <n v="3.8"/>
    <n v="3.8"/>
    <x v="1"/>
    <n v="3"/>
    <x v="0"/>
    <n v="105500"/>
    <n v="4600"/>
    <n v="110100"/>
    <s v="E"/>
    <d v="2022-03-22T00:00:00"/>
    <x v="2"/>
  </r>
  <r>
    <x v="4818"/>
    <x v="0"/>
    <n v="33"/>
    <x v="3"/>
    <x v="5"/>
    <x v="2"/>
    <n v="1.1000000000000001"/>
    <n v="0.3"/>
    <x v="0"/>
    <n v="4"/>
    <x v="0"/>
    <n v="86100"/>
    <n v="6700"/>
    <n v="92800"/>
    <s v="D"/>
    <d v="2024-12-05T00:00:00"/>
    <x v="2"/>
  </r>
  <r>
    <x v="4819"/>
    <x v="1"/>
    <n v="34"/>
    <x v="1"/>
    <x v="7"/>
    <x v="1"/>
    <n v="5"/>
    <n v="2.9"/>
    <x v="1"/>
    <n v="3"/>
    <x v="0"/>
    <n v="78200"/>
    <n v="8900"/>
    <n v="87100"/>
    <s v="C"/>
    <d v="2020-12-23T00:00:00"/>
    <x v="1"/>
  </r>
  <r>
    <x v="4820"/>
    <x v="1"/>
    <n v="39"/>
    <x v="5"/>
    <x v="17"/>
    <x v="1"/>
    <n v="13.8"/>
    <n v="8.8000000000000007"/>
    <x v="3"/>
    <n v="3"/>
    <x v="0"/>
    <n v="113700"/>
    <n v="11100"/>
    <n v="124800"/>
    <s v="E"/>
    <d v="2012-03-17T00:00:00"/>
    <x v="1"/>
  </r>
  <r>
    <x v="4821"/>
    <x v="1"/>
    <n v="34"/>
    <x v="0"/>
    <x v="2"/>
    <x v="2"/>
    <n v="9.4"/>
    <n v="4.5"/>
    <x v="4"/>
    <n v="3"/>
    <x v="2"/>
    <n v="60200"/>
    <n v="3700"/>
    <n v="63900"/>
    <s v="B"/>
    <d v="2016-08-22T00:00:00"/>
    <x v="2"/>
  </r>
  <r>
    <x v="4822"/>
    <x v="0"/>
    <n v="27"/>
    <x v="4"/>
    <x v="14"/>
    <x v="1"/>
    <n v="2.2000000000000002"/>
    <n v="1.4"/>
    <x v="0"/>
    <n v="3"/>
    <x v="0"/>
    <n v="106200"/>
    <n v="12400"/>
    <n v="118600"/>
    <s v="E"/>
    <d v="2023-10-20T00:00:00"/>
    <x v="1"/>
  </r>
  <r>
    <x v="4823"/>
    <x v="1"/>
    <n v="31"/>
    <x v="0"/>
    <x v="2"/>
    <x v="1"/>
    <n v="10.1"/>
    <n v="6.7"/>
    <x v="4"/>
    <n v="4"/>
    <x v="0"/>
    <n v="65100"/>
    <n v="6800"/>
    <n v="71900"/>
    <s v="C"/>
    <d v="2015-12-14T00:00:00"/>
    <x v="1"/>
  </r>
  <r>
    <x v="4824"/>
    <x v="1"/>
    <n v="26"/>
    <x v="4"/>
    <x v="16"/>
    <x v="2"/>
    <n v="7.1"/>
    <n v="5.8"/>
    <x v="2"/>
    <n v="4"/>
    <x v="0"/>
    <n v="100100"/>
    <n v="10900"/>
    <n v="111000"/>
    <s v="E"/>
    <d v="2018-12-08T00:00:00"/>
    <x v="2"/>
  </r>
  <r>
    <x v="4825"/>
    <x v="1"/>
    <n v="30"/>
    <x v="4"/>
    <x v="16"/>
    <x v="0"/>
    <n v="4.2"/>
    <n v="4"/>
    <x v="1"/>
    <n v="3"/>
    <x v="0"/>
    <n v="86300"/>
    <n v="4500"/>
    <n v="90800"/>
    <s v="D"/>
    <d v="2021-11-01T00:00:00"/>
    <x v="0"/>
  </r>
  <r>
    <x v="4826"/>
    <x v="1"/>
    <n v="35"/>
    <x v="2"/>
    <x v="18"/>
    <x v="2"/>
    <n v="13.7"/>
    <n v="8.9"/>
    <x v="3"/>
    <n v="4"/>
    <x v="2"/>
    <n v="64400"/>
    <n v="5900"/>
    <n v="70300"/>
    <s v="B"/>
    <d v="2012-04-08T00:00:00"/>
    <x v="2"/>
  </r>
  <r>
    <x v="4827"/>
    <x v="1"/>
    <n v="33"/>
    <x v="5"/>
    <x v="15"/>
    <x v="2"/>
    <n v="6.3"/>
    <n v="2.5"/>
    <x v="2"/>
    <n v="3"/>
    <x v="2"/>
    <n v="55700"/>
    <n v="11600"/>
    <n v="67300"/>
    <s v="B"/>
    <d v="2019-09-25T00:00:00"/>
    <x v="2"/>
  </r>
  <r>
    <x v="4828"/>
    <x v="1"/>
    <n v="40"/>
    <x v="4"/>
    <x v="14"/>
    <x v="1"/>
    <n v="10.8"/>
    <n v="9"/>
    <x v="4"/>
    <n v="3"/>
    <x v="2"/>
    <n v="97600"/>
    <n v="6200"/>
    <n v="103800"/>
    <s v="D"/>
    <d v="2015-03-01T00:00:00"/>
    <x v="1"/>
  </r>
  <r>
    <x v="4829"/>
    <x v="1"/>
    <n v="31"/>
    <x v="0"/>
    <x v="2"/>
    <x v="0"/>
    <n v="4.7"/>
    <n v="1.3"/>
    <x v="1"/>
    <n v="3"/>
    <x v="0"/>
    <n v="68900"/>
    <n v="7600"/>
    <n v="76500"/>
    <s v="C"/>
    <d v="2021-04-30T00:00:00"/>
    <x v="0"/>
  </r>
  <r>
    <x v="4830"/>
    <x v="0"/>
    <n v="33"/>
    <x v="4"/>
    <x v="8"/>
    <x v="0"/>
    <n v="1.2"/>
    <n v="0.9"/>
    <x v="0"/>
    <n v="3"/>
    <x v="0"/>
    <n v="65300"/>
    <n v="9100"/>
    <n v="74400"/>
    <s v="C"/>
    <d v="2024-10-31T00:00:00"/>
    <x v="0"/>
  </r>
  <r>
    <x v="4831"/>
    <x v="1"/>
    <n v="34"/>
    <x v="1"/>
    <x v="3"/>
    <x v="1"/>
    <n v="1.9"/>
    <n v="0"/>
    <x v="0"/>
    <n v="5"/>
    <x v="0"/>
    <n v="80000"/>
    <n v="4300"/>
    <n v="84300"/>
    <s v="D"/>
    <d v="2024-02-15T00:00:00"/>
    <x v="1"/>
  </r>
  <r>
    <x v="4832"/>
    <x v="0"/>
    <n v="44"/>
    <x v="0"/>
    <x v="2"/>
    <x v="1"/>
    <n v="7.1"/>
    <n v="4.0999999999999996"/>
    <x v="2"/>
    <n v="3"/>
    <x v="2"/>
    <n v="55700"/>
    <n v="5600"/>
    <n v="61300"/>
    <s v="B"/>
    <d v="2018-12-03T00:00:00"/>
    <x v="1"/>
  </r>
  <r>
    <x v="4833"/>
    <x v="0"/>
    <n v="43"/>
    <x v="3"/>
    <x v="5"/>
    <x v="1"/>
    <n v="7.5"/>
    <n v="3.5"/>
    <x v="2"/>
    <n v="3"/>
    <x v="0"/>
    <n v="82500"/>
    <n v="3900"/>
    <n v="86400"/>
    <s v="D"/>
    <d v="2018-07-04T00:00:00"/>
    <x v="1"/>
  </r>
  <r>
    <x v="4834"/>
    <x v="0"/>
    <n v="45"/>
    <x v="3"/>
    <x v="12"/>
    <x v="1"/>
    <n v="12"/>
    <n v="6.8"/>
    <x v="3"/>
    <n v="1"/>
    <x v="0"/>
    <n v="75800"/>
    <n v="6200"/>
    <n v="82000"/>
    <s v="C"/>
    <d v="2014-01-14T00:00:00"/>
    <x v="1"/>
  </r>
  <r>
    <x v="4835"/>
    <x v="0"/>
    <n v="22"/>
    <x v="4"/>
    <x v="14"/>
    <x v="2"/>
    <n v="8.5"/>
    <n v="3.5"/>
    <x v="2"/>
    <n v="2"/>
    <x v="0"/>
    <n v="134600"/>
    <n v="16600"/>
    <n v="151200"/>
    <s v="E"/>
    <d v="2017-06-15T00:00:00"/>
    <x v="2"/>
  </r>
  <r>
    <x v="4836"/>
    <x v="1"/>
    <n v="26"/>
    <x v="5"/>
    <x v="17"/>
    <x v="2"/>
    <n v="4.4000000000000004"/>
    <n v="4.4000000000000004"/>
    <x v="1"/>
    <n v="4"/>
    <x v="0"/>
    <n v="114500"/>
    <n v="19100"/>
    <n v="133600"/>
    <s v="E"/>
    <d v="2021-07-24T00:00:00"/>
    <x v="2"/>
  </r>
  <r>
    <x v="4837"/>
    <x v="1"/>
    <n v="30"/>
    <x v="2"/>
    <x v="18"/>
    <x v="2"/>
    <n v="11.5"/>
    <n v="7.4"/>
    <x v="4"/>
    <n v="4"/>
    <x v="0"/>
    <n v="85300"/>
    <n v="3600"/>
    <n v="88900"/>
    <s v="D"/>
    <d v="2014-07-12T00:00:00"/>
    <x v="2"/>
  </r>
  <r>
    <x v="4838"/>
    <x v="1"/>
    <n v="28"/>
    <x v="3"/>
    <x v="12"/>
    <x v="2"/>
    <n v="8.6999999999999993"/>
    <n v="7.5"/>
    <x v="2"/>
    <n v="3"/>
    <x v="0"/>
    <n v="76400"/>
    <n v="4900"/>
    <n v="81300"/>
    <s v="C"/>
    <d v="2017-04-03T00:00:00"/>
    <x v="2"/>
  </r>
  <r>
    <x v="4839"/>
    <x v="1"/>
    <n v="40"/>
    <x v="1"/>
    <x v="10"/>
    <x v="1"/>
    <n v="6.9"/>
    <n v="2.7"/>
    <x v="2"/>
    <n v="4"/>
    <x v="2"/>
    <n v="90300"/>
    <n v="3800"/>
    <n v="94100"/>
    <s v="D"/>
    <d v="2019-01-28T00:00:00"/>
    <x v="1"/>
  </r>
  <r>
    <x v="4840"/>
    <x v="1"/>
    <n v="40"/>
    <x v="2"/>
    <x v="11"/>
    <x v="2"/>
    <n v="1.5"/>
    <n v="0.8"/>
    <x v="0"/>
    <n v="3"/>
    <x v="0"/>
    <n v="116000"/>
    <n v="9400"/>
    <n v="125400"/>
    <s v="E"/>
    <d v="2024-07-03T00:00:00"/>
    <x v="2"/>
  </r>
  <r>
    <x v="4841"/>
    <x v="0"/>
    <n v="25"/>
    <x v="4"/>
    <x v="16"/>
    <x v="2"/>
    <n v="2"/>
    <n v="0"/>
    <x v="0"/>
    <n v="3"/>
    <x v="0"/>
    <n v="107700"/>
    <n v="5700"/>
    <n v="113400"/>
    <s v="E"/>
    <d v="2024-01-07T00:00:00"/>
    <x v="2"/>
  </r>
  <r>
    <x v="4842"/>
    <x v="1"/>
    <n v="30"/>
    <x v="3"/>
    <x v="5"/>
    <x v="1"/>
    <n v="13.9"/>
    <n v="8.3000000000000007"/>
    <x v="3"/>
    <n v="3"/>
    <x v="2"/>
    <n v="56600"/>
    <n v="4500"/>
    <n v="61100"/>
    <s v="B"/>
    <d v="2012-02-01T00:00:00"/>
    <x v="1"/>
  </r>
  <r>
    <x v="4843"/>
    <x v="0"/>
    <n v="28"/>
    <x v="3"/>
    <x v="13"/>
    <x v="0"/>
    <n v="7.7"/>
    <n v="4.5999999999999996"/>
    <x v="2"/>
    <n v="2"/>
    <x v="0"/>
    <n v="86600"/>
    <n v="5300"/>
    <n v="91900"/>
    <s v="D"/>
    <d v="2018-04-22T00:00:00"/>
    <x v="0"/>
  </r>
  <r>
    <x v="4844"/>
    <x v="1"/>
    <n v="34"/>
    <x v="1"/>
    <x v="10"/>
    <x v="1"/>
    <n v="9.1999999999999993"/>
    <n v="6.8"/>
    <x v="4"/>
    <n v="4"/>
    <x v="0"/>
    <n v="102700"/>
    <n v="6500"/>
    <n v="109200"/>
    <s v="E"/>
    <d v="2016-11-04T00:00:00"/>
    <x v="1"/>
  </r>
  <r>
    <x v="4845"/>
    <x v="0"/>
    <n v="30"/>
    <x v="1"/>
    <x v="3"/>
    <x v="1"/>
    <n v="12.4"/>
    <n v="8.1999999999999993"/>
    <x v="3"/>
    <n v="3"/>
    <x v="0"/>
    <n v="80100"/>
    <n v="9000"/>
    <n v="89100"/>
    <s v="D"/>
    <d v="2013-08-04T00:00:00"/>
    <x v="1"/>
  </r>
  <r>
    <x v="4846"/>
    <x v="0"/>
    <n v="28"/>
    <x v="3"/>
    <x v="13"/>
    <x v="1"/>
    <n v="10.199999999999999"/>
    <n v="6.8"/>
    <x v="4"/>
    <n v="3"/>
    <x v="1"/>
    <n v="69400"/>
    <n v="5100"/>
    <n v="74500"/>
    <s v="C"/>
    <d v="2015-10-07T00:00:00"/>
    <x v="1"/>
  </r>
  <r>
    <x v="4847"/>
    <x v="0"/>
    <n v="44"/>
    <x v="2"/>
    <x v="11"/>
    <x v="1"/>
    <n v="3.3"/>
    <n v="3.3"/>
    <x v="1"/>
    <n v="5"/>
    <x v="0"/>
    <n v="90200"/>
    <n v="4900"/>
    <n v="95100"/>
    <s v="D"/>
    <d v="2022-09-25T00:00:00"/>
    <x v="1"/>
  </r>
  <r>
    <x v="4848"/>
    <x v="1"/>
    <n v="53"/>
    <x v="4"/>
    <x v="14"/>
    <x v="1"/>
    <n v="13.8"/>
    <n v="6.7"/>
    <x v="3"/>
    <n v="3"/>
    <x v="0"/>
    <n v="130000"/>
    <n v="18000"/>
    <n v="148000"/>
    <s v="E"/>
    <d v="2012-03-04T00:00:00"/>
    <x v="1"/>
  </r>
  <r>
    <x v="4849"/>
    <x v="0"/>
    <n v="53"/>
    <x v="0"/>
    <x v="0"/>
    <x v="1"/>
    <n v="9.6999999999999993"/>
    <n v="6.4"/>
    <x v="4"/>
    <n v="4"/>
    <x v="1"/>
    <n v="67500"/>
    <n v="7200"/>
    <n v="74700"/>
    <s v="C"/>
    <d v="2016-04-02T00:00:00"/>
    <x v="1"/>
  </r>
  <r>
    <x v="4850"/>
    <x v="1"/>
    <n v="43"/>
    <x v="4"/>
    <x v="6"/>
    <x v="1"/>
    <n v="2.5"/>
    <n v="1.5"/>
    <x v="0"/>
    <n v="3"/>
    <x v="0"/>
    <n v="60000"/>
    <n v="5800"/>
    <n v="65800"/>
    <s v="B"/>
    <d v="2023-07-19T00:00:00"/>
    <x v="1"/>
  </r>
  <r>
    <x v="4851"/>
    <x v="0"/>
    <n v="42"/>
    <x v="0"/>
    <x v="0"/>
    <x v="1"/>
    <n v="2.7"/>
    <n v="2.7"/>
    <x v="0"/>
    <n v="2"/>
    <x v="0"/>
    <n v="95500"/>
    <n v="7500"/>
    <n v="103000"/>
    <s v="D"/>
    <d v="2023-04-24T00:00:00"/>
    <x v="1"/>
  </r>
  <r>
    <x v="4852"/>
    <x v="0"/>
    <n v="31"/>
    <x v="2"/>
    <x v="18"/>
    <x v="3"/>
    <n v="3.8"/>
    <n v="0.7"/>
    <x v="1"/>
    <n v="3"/>
    <x v="1"/>
    <n v="43500"/>
    <n v="3700"/>
    <n v="47200"/>
    <s v="A"/>
    <d v="2022-03-02T00:00:00"/>
    <x v="3"/>
  </r>
  <r>
    <x v="4853"/>
    <x v="1"/>
    <n v="31"/>
    <x v="2"/>
    <x v="11"/>
    <x v="3"/>
    <n v="11.5"/>
    <n v="6.1"/>
    <x v="4"/>
    <n v="3"/>
    <x v="0"/>
    <n v="104600"/>
    <n v="4300"/>
    <n v="108900"/>
    <s v="E"/>
    <d v="2014-06-30T00:00:00"/>
    <x v="3"/>
  </r>
  <r>
    <x v="4854"/>
    <x v="1"/>
    <n v="32"/>
    <x v="5"/>
    <x v="9"/>
    <x v="2"/>
    <n v="7.7"/>
    <n v="6.2"/>
    <x v="2"/>
    <n v="3"/>
    <x v="0"/>
    <n v="117200"/>
    <n v="13400"/>
    <n v="130600"/>
    <s v="E"/>
    <d v="2018-04-04T00:00:00"/>
    <x v="2"/>
  </r>
  <r>
    <x v="4855"/>
    <x v="1"/>
    <n v="50"/>
    <x v="2"/>
    <x v="11"/>
    <x v="0"/>
    <n v="9.1"/>
    <n v="4.3"/>
    <x v="4"/>
    <n v="3"/>
    <x v="0"/>
    <n v="99400"/>
    <n v="7300"/>
    <n v="106700"/>
    <s v="D"/>
    <d v="2016-11-07T00:00:00"/>
    <x v="0"/>
  </r>
  <r>
    <x v="4856"/>
    <x v="1"/>
    <n v="36"/>
    <x v="1"/>
    <x v="3"/>
    <x v="1"/>
    <n v="4.9000000000000004"/>
    <n v="4.7"/>
    <x v="1"/>
    <n v="4"/>
    <x v="0"/>
    <n v="74100"/>
    <n v="5400"/>
    <n v="79500"/>
    <s v="C"/>
    <d v="2021-02-06T00:00:00"/>
    <x v="1"/>
  </r>
  <r>
    <x v="4857"/>
    <x v="1"/>
    <n v="38"/>
    <x v="2"/>
    <x v="11"/>
    <x v="1"/>
    <n v="6"/>
    <n v="3.7"/>
    <x v="2"/>
    <n v="2"/>
    <x v="0"/>
    <n v="98300"/>
    <n v="6700"/>
    <n v="105000"/>
    <s v="D"/>
    <d v="2019-12-29T00:00:00"/>
    <x v="1"/>
  </r>
  <r>
    <x v="4858"/>
    <x v="1"/>
    <n v="31"/>
    <x v="0"/>
    <x v="0"/>
    <x v="2"/>
    <n v="7.1"/>
    <n v="5.2"/>
    <x v="2"/>
    <n v="3"/>
    <x v="0"/>
    <n v="114200"/>
    <n v="13100"/>
    <n v="127300"/>
    <s v="E"/>
    <d v="2018-12-06T00:00:00"/>
    <x v="2"/>
  </r>
  <r>
    <x v="4859"/>
    <x v="1"/>
    <n v="37"/>
    <x v="2"/>
    <x v="18"/>
    <x v="2"/>
    <n v="13.5"/>
    <n v="7.8"/>
    <x v="3"/>
    <n v="4"/>
    <x v="0"/>
    <n v="88900"/>
    <n v="6400"/>
    <n v="95300"/>
    <s v="D"/>
    <d v="2012-07-11T00:00:00"/>
    <x v="2"/>
  </r>
  <r>
    <x v="4860"/>
    <x v="1"/>
    <n v="37"/>
    <x v="2"/>
    <x v="11"/>
    <x v="1"/>
    <n v="1.2"/>
    <n v="0"/>
    <x v="0"/>
    <n v="3"/>
    <x v="1"/>
    <n v="67200"/>
    <n v="5700"/>
    <n v="72900"/>
    <s v="C"/>
    <d v="2024-10-29T00:00:00"/>
    <x v="1"/>
  </r>
  <r>
    <x v="4861"/>
    <x v="0"/>
    <n v="38"/>
    <x v="3"/>
    <x v="12"/>
    <x v="1"/>
    <n v="13.8"/>
    <n v="8.9"/>
    <x v="3"/>
    <n v="4"/>
    <x v="1"/>
    <n v="48300"/>
    <n v="3200"/>
    <n v="51500"/>
    <s v="A"/>
    <d v="2012-03-16T00:00:00"/>
    <x v="1"/>
  </r>
  <r>
    <x v="4862"/>
    <x v="1"/>
    <n v="38"/>
    <x v="3"/>
    <x v="12"/>
    <x v="1"/>
    <n v="11.1"/>
    <n v="7.2"/>
    <x v="4"/>
    <n v="4"/>
    <x v="2"/>
    <n v="61100"/>
    <n v="4000"/>
    <n v="65100"/>
    <s v="B"/>
    <d v="2014-11-27T00:00:00"/>
    <x v="1"/>
  </r>
  <r>
    <x v="4863"/>
    <x v="1"/>
    <n v="44"/>
    <x v="5"/>
    <x v="15"/>
    <x v="0"/>
    <n v="3.9"/>
    <n v="1.2"/>
    <x v="1"/>
    <n v="3"/>
    <x v="0"/>
    <n v="54600"/>
    <n v="4500"/>
    <n v="59100"/>
    <s v="B"/>
    <d v="2022-02-22T00:00:00"/>
    <x v="0"/>
  </r>
  <r>
    <x v="4864"/>
    <x v="0"/>
    <n v="32"/>
    <x v="0"/>
    <x v="2"/>
    <x v="3"/>
    <n v="7.7"/>
    <n v="4.7"/>
    <x v="2"/>
    <n v="3"/>
    <x v="0"/>
    <n v="81800"/>
    <n v="4100"/>
    <n v="85900"/>
    <s v="D"/>
    <d v="2018-04-05T00:00:00"/>
    <x v="3"/>
  </r>
  <r>
    <x v="4865"/>
    <x v="0"/>
    <n v="34"/>
    <x v="4"/>
    <x v="8"/>
    <x v="2"/>
    <n v="8.1"/>
    <n v="7.7"/>
    <x v="2"/>
    <n v="3"/>
    <x v="0"/>
    <n v="83800"/>
    <n v="5400"/>
    <n v="89200"/>
    <s v="D"/>
    <d v="2017-11-17T00:00:00"/>
    <x v="2"/>
  </r>
  <r>
    <x v="4866"/>
    <x v="0"/>
    <n v="43"/>
    <x v="3"/>
    <x v="13"/>
    <x v="1"/>
    <n v="13.5"/>
    <n v="7.8"/>
    <x v="3"/>
    <n v="3"/>
    <x v="0"/>
    <n v="114400"/>
    <n v="6500"/>
    <n v="120900"/>
    <s v="E"/>
    <d v="2012-07-12T00:00:00"/>
    <x v="1"/>
  </r>
  <r>
    <x v="4867"/>
    <x v="1"/>
    <n v="43"/>
    <x v="3"/>
    <x v="13"/>
    <x v="0"/>
    <n v="11.9"/>
    <n v="8.6"/>
    <x v="4"/>
    <n v="3"/>
    <x v="2"/>
    <n v="96800"/>
    <n v="6800"/>
    <n v="103600"/>
    <s v="D"/>
    <d v="2014-02-21T00:00:00"/>
    <x v="0"/>
  </r>
  <r>
    <x v="4868"/>
    <x v="0"/>
    <n v="43"/>
    <x v="1"/>
    <x v="7"/>
    <x v="2"/>
    <n v="12.2"/>
    <n v="9.1"/>
    <x v="3"/>
    <n v="4"/>
    <x v="1"/>
    <n v="58800"/>
    <n v="4700"/>
    <n v="63500"/>
    <s v="B"/>
    <d v="2013-10-17T00:00:00"/>
    <x v="2"/>
  </r>
  <r>
    <x v="4869"/>
    <x v="1"/>
    <n v="29"/>
    <x v="5"/>
    <x v="15"/>
    <x v="0"/>
    <n v="5.2"/>
    <n v="3.2"/>
    <x v="1"/>
    <n v="3"/>
    <x v="0"/>
    <n v="65900"/>
    <n v="13800"/>
    <n v="79700"/>
    <s v="C"/>
    <d v="2020-10-05T00:00:00"/>
    <x v="0"/>
  </r>
  <r>
    <x v="4870"/>
    <x v="1"/>
    <n v="27"/>
    <x v="2"/>
    <x v="11"/>
    <x v="0"/>
    <n v="6.4"/>
    <n v="5.7"/>
    <x v="2"/>
    <n v="2"/>
    <x v="0"/>
    <n v="98600"/>
    <n v="8200"/>
    <n v="106800"/>
    <s v="D"/>
    <d v="2019-07-25T00:00:00"/>
    <x v="0"/>
  </r>
  <r>
    <x v="4871"/>
    <x v="1"/>
    <n v="43"/>
    <x v="2"/>
    <x v="4"/>
    <x v="1"/>
    <n v="2.2000000000000002"/>
    <n v="1.9"/>
    <x v="0"/>
    <n v="2"/>
    <x v="2"/>
    <n v="51600"/>
    <n v="5200"/>
    <n v="56800"/>
    <s v="B"/>
    <d v="2023-10-14T00:00:00"/>
    <x v="1"/>
  </r>
  <r>
    <x v="4872"/>
    <x v="0"/>
    <n v="33"/>
    <x v="3"/>
    <x v="13"/>
    <x v="2"/>
    <n v="7.3"/>
    <n v="5.6"/>
    <x v="2"/>
    <n v="3"/>
    <x v="0"/>
    <n v="100500"/>
    <n v="7600"/>
    <n v="108100"/>
    <s v="E"/>
    <d v="2018-09-13T00:00:00"/>
    <x v="2"/>
  </r>
  <r>
    <x v="4873"/>
    <x v="0"/>
    <n v="55"/>
    <x v="4"/>
    <x v="16"/>
    <x v="1"/>
    <n v="11.1"/>
    <n v="6.8"/>
    <x v="4"/>
    <n v="3"/>
    <x v="0"/>
    <n v="84300"/>
    <n v="9900"/>
    <n v="94200"/>
    <s v="D"/>
    <d v="2014-12-09T00:00:00"/>
    <x v="1"/>
  </r>
  <r>
    <x v="4874"/>
    <x v="0"/>
    <n v="32"/>
    <x v="0"/>
    <x v="1"/>
    <x v="2"/>
    <n v="1.1000000000000001"/>
    <n v="0.4"/>
    <x v="0"/>
    <n v="2"/>
    <x v="0"/>
    <n v="79400"/>
    <n v="4200"/>
    <n v="83600"/>
    <s v="C"/>
    <d v="2024-11-17T00:00:00"/>
    <x v="2"/>
  </r>
  <r>
    <x v="4875"/>
    <x v="1"/>
    <n v="34"/>
    <x v="4"/>
    <x v="6"/>
    <x v="1"/>
    <n v="13.3"/>
    <n v="8.8000000000000007"/>
    <x v="3"/>
    <n v="2"/>
    <x v="1"/>
    <n v="52000"/>
    <n v="5800"/>
    <n v="57800"/>
    <s v="B"/>
    <d v="2012-08-27T00:00:00"/>
    <x v="1"/>
  </r>
  <r>
    <x v="4876"/>
    <x v="0"/>
    <n v="33"/>
    <x v="0"/>
    <x v="1"/>
    <x v="3"/>
    <n v="4.7"/>
    <n v="3.4"/>
    <x v="1"/>
    <n v="4"/>
    <x v="0"/>
    <n v="79200"/>
    <n v="9200"/>
    <n v="88400"/>
    <s v="C"/>
    <d v="2021-04-29T00:00:00"/>
    <x v="3"/>
  </r>
  <r>
    <x v="4877"/>
    <x v="0"/>
    <n v="28"/>
    <x v="1"/>
    <x v="10"/>
    <x v="1"/>
    <n v="5.7"/>
    <n v="3.8"/>
    <x v="1"/>
    <n v="3"/>
    <x v="0"/>
    <n v="105300"/>
    <n v="5800"/>
    <n v="111100"/>
    <s v="E"/>
    <d v="2020-04-24T00:00:00"/>
    <x v="1"/>
  </r>
  <r>
    <x v="4878"/>
    <x v="0"/>
    <n v="24"/>
    <x v="1"/>
    <x v="3"/>
    <x v="2"/>
    <n v="13.5"/>
    <n v="9"/>
    <x v="3"/>
    <n v="3"/>
    <x v="0"/>
    <n v="87800"/>
    <n v="4600"/>
    <n v="92400"/>
    <s v="D"/>
    <d v="2012-06-15T00:00:00"/>
    <x v="2"/>
  </r>
  <r>
    <x v="4879"/>
    <x v="1"/>
    <n v="37"/>
    <x v="4"/>
    <x v="6"/>
    <x v="1"/>
    <n v="6.4"/>
    <n v="3"/>
    <x v="2"/>
    <n v="2"/>
    <x v="0"/>
    <n v="72800"/>
    <n v="5600"/>
    <n v="78400"/>
    <s v="C"/>
    <d v="2019-07-26T00:00:00"/>
    <x v="1"/>
  </r>
  <r>
    <x v="4880"/>
    <x v="0"/>
    <n v="54"/>
    <x v="5"/>
    <x v="17"/>
    <x v="2"/>
    <n v="4.7"/>
    <n v="1"/>
    <x v="1"/>
    <n v="4"/>
    <x v="0"/>
    <n v="104800"/>
    <n v="22000"/>
    <n v="126800"/>
    <s v="E"/>
    <d v="2021-04-17T00:00:00"/>
    <x v="2"/>
  </r>
  <r>
    <x v="4881"/>
    <x v="1"/>
    <n v="30"/>
    <x v="1"/>
    <x v="10"/>
    <x v="2"/>
    <n v="7.6"/>
    <n v="5"/>
    <x v="2"/>
    <n v="2"/>
    <x v="0"/>
    <n v="129900"/>
    <n v="5600"/>
    <n v="135500"/>
    <s v="E"/>
    <d v="2018-05-15T00:00:00"/>
    <x v="2"/>
  </r>
  <r>
    <x v="4882"/>
    <x v="1"/>
    <n v="35"/>
    <x v="5"/>
    <x v="17"/>
    <x v="1"/>
    <n v="5.7"/>
    <n v="4.7"/>
    <x v="1"/>
    <n v="3"/>
    <x v="0"/>
    <n v="108600"/>
    <n v="12700"/>
    <n v="121300"/>
    <s v="E"/>
    <d v="2020-04-18T00:00:00"/>
    <x v="1"/>
  </r>
  <r>
    <x v="4883"/>
    <x v="0"/>
    <n v="40"/>
    <x v="0"/>
    <x v="0"/>
    <x v="3"/>
    <n v="2.8"/>
    <n v="2.5"/>
    <x v="0"/>
    <n v="3"/>
    <x v="0"/>
    <n v="89700"/>
    <n v="4200"/>
    <n v="93900"/>
    <s v="D"/>
    <d v="2023-03-28T00:00:00"/>
    <x v="3"/>
  </r>
  <r>
    <x v="4884"/>
    <x v="1"/>
    <n v="47"/>
    <x v="0"/>
    <x v="2"/>
    <x v="1"/>
    <n v="3"/>
    <n v="3"/>
    <x v="1"/>
    <n v="5"/>
    <x v="1"/>
    <n v="46800"/>
    <n v="3400"/>
    <n v="50200"/>
    <s v="A"/>
    <d v="2022-12-23T00:00:00"/>
    <x v="1"/>
  </r>
  <r>
    <x v="4885"/>
    <x v="1"/>
    <n v="33"/>
    <x v="1"/>
    <x v="7"/>
    <x v="2"/>
    <n v="11.5"/>
    <n v="7.7"/>
    <x v="4"/>
    <n v="3"/>
    <x v="1"/>
    <n v="57900"/>
    <n v="6600"/>
    <n v="64500"/>
    <s v="B"/>
    <d v="2014-07-12T00:00:00"/>
    <x v="2"/>
  </r>
  <r>
    <x v="4886"/>
    <x v="0"/>
    <n v="46"/>
    <x v="3"/>
    <x v="13"/>
    <x v="0"/>
    <n v="12.6"/>
    <n v="9.4"/>
    <x v="3"/>
    <n v="3"/>
    <x v="0"/>
    <n v="99700"/>
    <n v="8700"/>
    <n v="108400"/>
    <s v="D"/>
    <d v="2013-05-21T00:00:00"/>
    <x v="0"/>
  </r>
  <r>
    <x v="4887"/>
    <x v="0"/>
    <n v="49"/>
    <x v="0"/>
    <x v="2"/>
    <x v="1"/>
    <n v="7.4"/>
    <n v="5"/>
    <x v="2"/>
    <n v="2"/>
    <x v="0"/>
    <n v="68800"/>
    <n v="7600"/>
    <n v="76400"/>
    <s v="C"/>
    <d v="2018-08-16T00:00:00"/>
    <x v="1"/>
  </r>
  <r>
    <x v="4888"/>
    <x v="0"/>
    <n v="32"/>
    <x v="2"/>
    <x v="18"/>
    <x v="0"/>
    <n v="11.9"/>
    <n v="7.7"/>
    <x v="4"/>
    <n v="2"/>
    <x v="0"/>
    <n v="70100"/>
    <n v="7300"/>
    <n v="77400"/>
    <s v="C"/>
    <d v="2014-02-05T00:00:00"/>
    <x v="0"/>
  </r>
  <r>
    <x v="4889"/>
    <x v="1"/>
    <n v="44"/>
    <x v="0"/>
    <x v="2"/>
    <x v="0"/>
    <n v="11"/>
    <n v="6.1"/>
    <x v="4"/>
    <n v="2"/>
    <x v="0"/>
    <n v="64400"/>
    <n v="5700"/>
    <n v="70100"/>
    <s v="B"/>
    <d v="2015-01-02T00:00:00"/>
    <x v="0"/>
  </r>
  <r>
    <x v="4890"/>
    <x v="0"/>
    <n v="23"/>
    <x v="3"/>
    <x v="13"/>
    <x v="2"/>
    <n v="9"/>
    <n v="5.6"/>
    <x v="4"/>
    <n v="3"/>
    <x v="0"/>
    <n v="113800"/>
    <n v="8300"/>
    <n v="122100"/>
    <s v="E"/>
    <d v="2016-12-23T00:00:00"/>
    <x v="2"/>
  </r>
  <r>
    <x v="4891"/>
    <x v="0"/>
    <n v="38"/>
    <x v="3"/>
    <x v="12"/>
    <x v="3"/>
    <n v="7.2"/>
    <n v="4.4000000000000004"/>
    <x v="2"/>
    <n v="3"/>
    <x v="1"/>
    <n v="46100"/>
    <n v="3100"/>
    <n v="49200"/>
    <s v="A"/>
    <d v="2018-10-24T00:00:00"/>
    <x v="3"/>
  </r>
  <r>
    <x v="4892"/>
    <x v="1"/>
    <n v="29"/>
    <x v="4"/>
    <x v="14"/>
    <x v="2"/>
    <n v="7.8"/>
    <n v="3.9"/>
    <x v="2"/>
    <n v="3"/>
    <x v="0"/>
    <n v="114000"/>
    <n v="15600"/>
    <n v="129600"/>
    <s v="E"/>
    <d v="2018-03-30T00:00:00"/>
    <x v="2"/>
  </r>
  <r>
    <x v="4893"/>
    <x v="1"/>
    <n v="24"/>
    <x v="4"/>
    <x v="16"/>
    <x v="2"/>
    <n v="14"/>
    <n v="11.5"/>
    <x v="3"/>
    <n v="5"/>
    <x v="0"/>
    <n v="110900"/>
    <n v="15700"/>
    <n v="126600"/>
    <s v="E"/>
    <d v="2012-01-06T00:00:00"/>
    <x v="2"/>
  </r>
  <r>
    <x v="4894"/>
    <x v="0"/>
    <n v="34"/>
    <x v="1"/>
    <x v="10"/>
    <x v="0"/>
    <n v="7.1"/>
    <n v="3.6"/>
    <x v="2"/>
    <n v="4"/>
    <x v="0"/>
    <n v="94700"/>
    <n v="6300"/>
    <n v="101000"/>
    <s v="D"/>
    <d v="2018-11-23T00:00:00"/>
    <x v="0"/>
  </r>
  <r>
    <x v="4895"/>
    <x v="1"/>
    <n v="31"/>
    <x v="5"/>
    <x v="17"/>
    <x v="1"/>
    <n v="3.9"/>
    <n v="3.8"/>
    <x v="1"/>
    <n v="3"/>
    <x v="1"/>
    <n v="59300"/>
    <n v="7600"/>
    <n v="66900"/>
    <s v="B"/>
    <d v="2022-01-20T00:00:00"/>
    <x v="1"/>
  </r>
  <r>
    <x v="4896"/>
    <x v="1"/>
    <n v="43"/>
    <x v="5"/>
    <x v="9"/>
    <x v="1"/>
    <n v="9.3000000000000007"/>
    <n v="7.1"/>
    <x v="4"/>
    <n v="5"/>
    <x v="0"/>
    <n v="102900"/>
    <n v="9800"/>
    <n v="112700"/>
    <s v="E"/>
    <d v="2016-09-10T00:00:00"/>
    <x v="1"/>
  </r>
  <r>
    <x v="4897"/>
    <x v="0"/>
    <n v="34"/>
    <x v="2"/>
    <x v="4"/>
    <x v="3"/>
    <n v="10.7"/>
    <n v="7.8"/>
    <x v="4"/>
    <n v="4"/>
    <x v="0"/>
    <n v="84700"/>
    <n v="8300"/>
    <n v="93000"/>
    <s v="D"/>
    <d v="2015-04-19T00:00:00"/>
    <x v="3"/>
  </r>
  <r>
    <x v="4898"/>
    <x v="1"/>
    <n v="38"/>
    <x v="1"/>
    <x v="7"/>
    <x v="1"/>
    <n v="14"/>
    <n v="8.8000000000000007"/>
    <x v="3"/>
    <n v="3"/>
    <x v="1"/>
    <n v="55300"/>
    <n v="3100"/>
    <n v="58400"/>
    <s v="B"/>
    <d v="2012-01-01T00:00:00"/>
    <x v="1"/>
  </r>
  <r>
    <x v="4899"/>
    <x v="1"/>
    <n v="40"/>
    <x v="3"/>
    <x v="13"/>
    <x v="2"/>
    <n v="1.1000000000000001"/>
    <n v="0.9"/>
    <x v="0"/>
    <n v="4"/>
    <x v="1"/>
    <n v="66000"/>
    <n v="3800"/>
    <n v="69800"/>
    <s v="C"/>
    <d v="2024-11-24T00:00:00"/>
    <x v="2"/>
  </r>
  <r>
    <x v="4900"/>
    <x v="1"/>
    <n v="34"/>
    <x v="2"/>
    <x v="18"/>
    <x v="2"/>
    <n v="13.7"/>
    <n v="10.8"/>
    <x v="3"/>
    <n v="5"/>
    <x v="2"/>
    <n v="60500"/>
    <n v="3100"/>
    <n v="63600"/>
    <s v="B"/>
    <d v="2012-04-21T00:00:00"/>
    <x v="2"/>
  </r>
  <r>
    <x v="4901"/>
    <x v="0"/>
    <n v="52"/>
    <x v="4"/>
    <x v="16"/>
    <x v="1"/>
    <n v="5.4"/>
    <n v="3.8"/>
    <x v="1"/>
    <n v="4"/>
    <x v="0"/>
    <n v="99800"/>
    <n v="14500"/>
    <n v="114300"/>
    <s v="D"/>
    <d v="2020-08-05T00:00:00"/>
    <x v="1"/>
  </r>
  <r>
    <x v="4902"/>
    <x v="0"/>
    <n v="35"/>
    <x v="0"/>
    <x v="2"/>
    <x v="2"/>
    <n v="12.3"/>
    <n v="6.5"/>
    <x v="3"/>
    <n v="3"/>
    <x v="0"/>
    <n v="77000"/>
    <n v="6500"/>
    <n v="83500"/>
    <s v="C"/>
    <d v="2013-09-14T00:00:00"/>
    <x v="2"/>
  </r>
  <r>
    <x v="4903"/>
    <x v="1"/>
    <n v="26"/>
    <x v="0"/>
    <x v="2"/>
    <x v="0"/>
    <n v="3"/>
    <n v="3"/>
    <x v="1"/>
    <n v="3"/>
    <x v="0"/>
    <n v="57500"/>
    <n v="4200"/>
    <n v="61700"/>
    <s v="B"/>
    <d v="2022-12-23T00:00:00"/>
    <x v="0"/>
  </r>
  <r>
    <x v="4904"/>
    <x v="0"/>
    <n v="40"/>
    <x v="1"/>
    <x v="3"/>
    <x v="1"/>
    <n v="7.2"/>
    <n v="5.3"/>
    <x v="2"/>
    <n v="4"/>
    <x v="0"/>
    <n v="85100"/>
    <n v="5700"/>
    <n v="90800"/>
    <s v="D"/>
    <d v="2018-10-29T00:00:00"/>
    <x v="1"/>
  </r>
  <r>
    <x v="4905"/>
    <x v="0"/>
    <n v="30"/>
    <x v="0"/>
    <x v="0"/>
    <x v="2"/>
    <n v="3.3"/>
    <n v="2.1"/>
    <x v="1"/>
    <n v="3"/>
    <x v="0"/>
    <n v="102100"/>
    <n v="8300"/>
    <n v="110400"/>
    <s v="E"/>
    <d v="2022-09-20T00:00:00"/>
    <x v="2"/>
  </r>
  <r>
    <x v="4906"/>
    <x v="0"/>
    <n v="41"/>
    <x v="4"/>
    <x v="16"/>
    <x v="2"/>
    <n v="4.4000000000000004"/>
    <n v="2.4"/>
    <x v="1"/>
    <n v="2"/>
    <x v="0"/>
    <n v="91000"/>
    <n v="11400"/>
    <n v="102400"/>
    <s v="D"/>
    <d v="2021-08-24T00:00:00"/>
    <x v="2"/>
  </r>
  <r>
    <x v="4907"/>
    <x v="0"/>
    <n v="34"/>
    <x v="4"/>
    <x v="8"/>
    <x v="1"/>
    <n v="1.7"/>
    <n v="0.1"/>
    <x v="0"/>
    <n v="2"/>
    <x v="0"/>
    <n v="69400"/>
    <n v="3700"/>
    <n v="73100"/>
    <s v="C"/>
    <d v="2024-04-11T00:00:00"/>
    <x v="1"/>
  </r>
  <r>
    <x v="4908"/>
    <x v="0"/>
    <n v="30"/>
    <x v="3"/>
    <x v="12"/>
    <x v="1"/>
    <n v="13.6"/>
    <n v="7.3"/>
    <x v="3"/>
    <n v="3"/>
    <x v="1"/>
    <n v="45600"/>
    <n v="3300"/>
    <n v="48900"/>
    <s v="A"/>
    <d v="2012-06-04T00:00:00"/>
    <x v="1"/>
  </r>
  <r>
    <x v="4909"/>
    <x v="0"/>
    <n v="36"/>
    <x v="2"/>
    <x v="11"/>
    <x v="1"/>
    <n v="11.4"/>
    <n v="8.4"/>
    <x v="4"/>
    <n v="1"/>
    <x v="0"/>
    <n v="90200"/>
    <n v="7600"/>
    <n v="97800"/>
    <s v="D"/>
    <d v="2014-08-16T00:00:00"/>
    <x v="1"/>
  </r>
  <r>
    <x v="4910"/>
    <x v="1"/>
    <n v="31"/>
    <x v="3"/>
    <x v="13"/>
    <x v="1"/>
    <n v="5.6"/>
    <n v="4.5999999999999996"/>
    <x v="1"/>
    <n v="5"/>
    <x v="0"/>
    <n v="109200"/>
    <n v="3900"/>
    <n v="113100"/>
    <s v="E"/>
    <d v="2020-06-06T00:00:00"/>
    <x v="1"/>
  </r>
  <r>
    <x v="4911"/>
    <x v="1"/>
    <n v="32"/>
    <x v="4"/>
    <x v="16"/>
    <x v="2"/>
    <n v="13.7"/>
    <n v="7.6"/>
    <x v="3"/>
    <n v="5"/>
    <x v="1"/>
    <n v="71400"/>
    <n v="7800"/>
    <n v="79200"/>
    <s v="C"/>
    <d v="2012-04-10T00:00:00"/>
    <x v="2"/>
  </r>
  <r>
    <x v="4912"/>
    <x v="1"/>
    <n v="39"/>
    <x v="1"/>
    <x v="7"/>
    <x v="1"/>
    <n v="5.7"/>
    <n v="5.4"/>
    <x v="1"/>
    <n v="2"/>
    <x v="0"/>
    <n v="64900"/>
    <n v="3900"/>
    <n v="68800"/>
    <s v="B"/>
    <d v="2020-04-10T00:00:00"/>
    <x v="1"/>
  </r>
  <r>
    <x v="4913"/>
    <x v="1"/>
    <n v="28"/>
    <x v="5"/>
    <x v="9"/>
    <x v="2"/>
    <n v="10.6"/>
    <n v="7.7"/>
    <x v="4"/>
    <n v="3"/>
    <x v="0"/>
    <n v="100600"/>
    <n v="12600"/>
    <n v="113200"/>
    <s v="E"/>
    <d v="2015-06-06T00:00:00"/>
    <x v="2"/>
  </r>
  <r>
    <x v="4914"/>
    <x v="0"/>
    <n v="27"/>
    <x v="0"/>
    <x v="2"/>
    <x v="1"/>
    <n v="2"/>
    <n v="0"/>
    <x v="0"/>
    <n v="2"/>
    <x v="0"/>
    <n v="65200"/>
    <n v="8000"/>
    <n v="73200"/>
    <s v="C"/>
    <d v="2023-12-30T00:00:00"/>
    <x v="1"/>
  </r>
  <r>
    <x v="4915"/>
    <x v="0"/>
    <n v="47"/>
    <x v="4"/>
    <x v="6"/>
    <x v="2"/>
    <n v="4.2"/>
    <n v="4.2"/>
    <x v="1"/>
    <n v="4"/>
    <x v="0"/>
    <n v="70400"/>
    <n v="4900"/>
    <n v="75300"/>
    <s v="C"/>
    <d v="2021-10-21T00:00:00"/>
    <x v="2"/>
  </r>
  <r>
    <x v="4916"/>
    <x v="1"/>
    <n v="25"/>
    <x v="5"/>
    <x v="15"/>
    <x v="2"/>
    <n v="11"/>
    <n v="7.2"/>
    <x v="4"/>
    <n v="5"/>
    <x v="0"/>
    <n v="79800"/>
    <n v="7000"/>
    <n v="86800"/>
    <s v="C"/>
    <d v="2014-12-24T00:00:00"/>
    <x v="2"/>
  </r>
  <r>
    <x v="4917"/>
    <x v="0"/>
    <n v="33"/>
    <x v="5"/>
    <x v="17"/>
    <x v="1"/>
    <n v="11.2"/>
    <n v="7.4"/>
    <x v="4"/>
    <n v="3"/>
    <x v="0"/>
    <n v="107800"/>
    <n v="18600"/>
    <n v="126400"/>
    <s v="E"/>
    <d v="2014-10-25T00:00:00"/>
    <x v="1"/>
  </r>
  <r>
    <x v="4918"/>
    <x v="0"/>
    <n v="30"/>
    <x v="0"/>
    <x v="0"/>
    <x v="2"/>
    <n v="10.9"/>
    <n v="8.3000000000000007"/>
    <x v="4"/>
    <n v="3"/>
    <x v="0"/>
    <n v="109100"/>
    <n v="10700"/>
    <n v="119800"/>
    <s v="E"/>
    <d v="2015-02-10T00:00:00"/>
    <x v="2"/>
  </r>
  <r>
    <x v="4919"/>
    <x v="1"/>
    <n v="28"/>
    <x v="4"/>
    <x v="14"/>
    <x v="1"/>
    <n v="13.7"/>
    <n v="7.9"/>
    <x v="3"/>
    <n v="3"/>
    <x v="0"/>
    <n v="109300"/>
    <n v="5700"/>
    <n v="115000"/>
    <s v="E"/>
    <d v="2012-04-14T00:00:00"/>
    <x v="1"/>
  </r>
  <r>
    <x v="4920"/>
    <x v="0"/>
    <n v="28"/>
    <x v="0"/>
    <x v="2"/>
    <x v="0"/>
    <n v="13.1"/>
    <n v="7.6"/>
    <x v="3"/>
    <n v="4"/>
    <x v="0"/>
    <n v="79000"/>
    <n v="8000"/>
    <n v="87000"/>
    <s v="C"/>
    <d v="2012-11-21T00:00:00"/>
    <x v="0"/>
  </r>
  <r>
    <x v="4921"/>
    <x v="1"/>
    <n v="31"/>
    <x v="5"/>
    <x v="9"/>
    <x v="3"/>
    <n v="9.4"/>
    <n v="6.8"/>
    <x v="4"/>
    <n v="3"/>
    <x v="0"/>
    <n v="104800"/>
    <n v="18600"/>
    <n v="123400"/>
    <s v="E"/>
    <d v="2016-08-04T00:00:00"/>
    <x v="3"/>
  </r>
  <r>
    <x v="4922"/>
    <x v="1"/>
    <n v="24"/>
    <x v="0"/>
    <x v="0"/>
    <x v="1"/>
    <n v="1.3"/>
    <n v="1.3"/>
    <x v="0"/>
    <n v="4"/>
    <x v="0"/>
    <n v="93100"/>
    <n v="6900"/>
    <n v="100000"/>
    <s v="D"/>
    <d v="2024-09-21T00:00:00"/>
    <x v="1"/>
  </r>
  <r>
    <x v="4923"/>
    <x v="1"/>
    <n v="21"/>
    <x v="2"/>
    <x v="18"/>
    <x v="2"/>
    <n v="4.8"/>
    <n v="4.4000000000000004"/>
    <x v="1"/>
    <n v="5"/>
    <x v="0"/>
    <n v="68100"/>
    <n v="6000"/>
    <n v="74100"/>
    <s v="C"/>
    <d v="2021-03-14T00:00:00"/>
    <x v="2"/>
  </r>
  <r>
    <x v="4924"/>
    <x v="1"/>
    <n v="40"/>
    <x v="5"/>
    <x v="9"/>
    <x v="2"/>
    <n v="5.8"/>
    <n v="3.3"/>
    <x v="1"/>
    <n v="4"/>
    <x v="0"/>
    <n v="101000"/>
    <n v="19900"/>
    <n v="120900"/>
    <s v="E"/>
    <d v="2020-03-30T00:00:00"/>
    <x v="2"/>
  </r>
  <r>
    <x v="4925"/>
    <x v="0"/>
    <n v="27"/>
    <x v="3"/>
    <x v="12"/>
    <x v="1"/>
    <n v="6.8"/>
    <n v="4.3"/>
    <x v="2"/>
    <n v="4"/>
    <x v="0"/>
    <n v="75300"/>
    <n v="6400"/>
    <n v="81700"/>
    <s v="C"/>
    <d v="2019-03-26T00:00:00"/>
    <x v="1"/>
  </r>
  <r>
    <x v="4926"/>
    <x v="0"/>
    <n v="59"/>
    <x v="0"/>
    <x v="2"/>
    <x v="1"/>
    <n v="1"/>
    <n v="0"/>
    <x v="0"/>
    <n v="2"/>
    <x v="0"/>
    <n v="53400"/>
    <n v="6000"/>
    <n v="59400"/>
    <s v="B"/>
    <d v="2024-12-25T00:00:00"/>
    <x v="1"/>
  </r>
  <r>
    <x v="4927"/>
    <x v="1"/>
    <n v="32"/>
    <x v="4"/>
    <x v="8"/>
    <x v="1"/>
    <n v="11.4"/>
    <n v="8.3000000000000007"/>
    <x v="4"/>
    <n v="3"/>
    <x v="0"/>
    <n v="66100"/>
    <n v="9800"/>
    <n v="75900"/>
    <s v="C"/>
    <d v="2014-07-27T00:00:00"/>
    <x v="1"/>
  </r>
  <r>
    <x v="4928"/>
    <x v="0"/>
    <n v="44"/>
    <x v="3"/>
    <x v="12"/>
    <x v="2"/>
    <n v="2.2999999999999998"/>
    <n v="0"/>
    <x v="0"/>
    <n v="2"/>
    <x v="2"/>
    <n v="53200"/>
    <n v="2100"/>
    <n v="55300"/>
    <s v="B"/>
    <d v="2023-09-29T00:00:00"/>
    <x v="2"/>
  </r>
  <r>
    <x v="4929"/>
    <x v="1"/>
    <n v="43"/>
    <x v="4"/>
    <x v="14"/>
    <x v="1"/>
    <n v="2.5"/>
    <n v="2.2000000000000002"/>
    <x v="0"/>
    <n v="3"/>
    <x v="0"/>
    <n v="94500"/>
    <n v="10800"/>
    <n v="105300"/>
    <s v="D"/>
    <d v="2023-06-23T00:00:00"/>
    <x v="1"/>
  </r>
  <r>
    <x v="4930"/>
    <x v="0"/>
    <n v="34"/>
    <x v="5"/>
    <x v="15"/>
    <x v="0"/>
    <n v="9"/>
    <n v="4.8"/>
    <x v="4"/>
    <n v="3"/>
    <x v="0"/>
    <n v="68600"/>
    <n v="13600"/>
    <n v="82200"/>
    <s v="C"/>
    <d v="2016-12-14T00:00:00"/>
    <x v="0"/>
  </r>
  <r>
    <x v="4931"/>
    <x v="1"/>
    <n v="43"/>
    <x v="0"/>
    <x v="2"/>
    <x v="1"/>
    <n v="7.5"/>
    <n v="3.7"/>
    <x v="2"/>
    <n v="3"/>
    <x v="2"/>
    <n v="49700"/>
    <n v="4000"/>
    <n v="53700"/>
    <s v="A"/>
    <d v="2018-06-19T00:00:00"/>
    <x v="1"/>
  </r>
  <r>
    <x v="4932"/>
    <x v="0"/>
    <n v="37"/>
    <x v="1"/>
    <x v="7"/>
    <x v="1"/>
    <n v="6.1"/>
    <n v="5.8"/>
    <x v="2"/>
    <n v="3"/>
    <x v="0"/>
    <n v="77500"/>
    <n v="7400"/>
    <n v="84900"/>
    <s v="C"/>
    <d v="2019-12-11T00:00:00"/>
    <x v="1"/>
  </r>
  <r>
    <x v="4933"/>
    <x v="1"/>
    <n v="37"/>
    <x v="4"/>
    <x v="14"/>
    <x v="1"/>
    <n v="11.4"/>
    <n v="8.1"/>
    <x v="4"/>
    <n v="3"/>
    <x v="0"/>
    <n v="113300"/>
    <n v="9700"/>
    <n v="123000"/>
    <s v="E"/>
    <d v="2014-08-17T00:00:00"/>
    <x v="1"/>
  </r>
  <r>
    <x v="4934"/>
    <x v="0"/>
    <n v="27"/>
    <x v="2"/>
    <x v="11"/>
    <x v="2"/>
    <n v="4.4000000000000004"/>
    <n v="3.7"/>
    <x v="1"/>
    <n v="3"/>
    <x v="0"/>
    <n v="99200"/>
    <n v="4400"/>
    <n v="103600"/>
    <s v="D"/>
    <d v="2021-07-29T00:00:00"/>
    <x v="2"/>
  </r>
  <r>
    <x v="4935"/>
    <x v="1"/>
    <n v="46"/>
    <x v="3"/>
    <x v="5"/>
    <x v="2"/>
    <n v="11.9"/>
    <n v="7.5"/>
    <x v="4"/>
    <n v="2"/>
    <x v="0"/>
    <n v="90300"/>
    <n v="7800"/>
    <n v="98100"/>
    <s v="D"/>
    <d v="2014-02-19T00:00:00"/>
    <x v="2"/>
  </r>
  <r>
    <x v="4936"/>
    <x v="1"/>
    <n v="47"/>
    <x v="2"/>
    <x v="11"/>
    <x v="2"/>
    <n v="12.8"/>
    <n v="9.5"/>
    <x v="3"/>
    <n v="4"/>
    <x v="2"/>
    <n v="96300"/>
    <n v="4800"/>
    <n v="101100"/>
    <s v="D"/>
    <d v="2013-03-31T00:00:00"/>
    <x v="2"/>
  </r>
  <r>
    <x v="4937"/>
    <x v="1"/>
    <n v="40"/>
    <x v="1"/>
    <x v="10"/>
    <x v="1"/>
    <n v="6.9"/>
    <n v="5.0999999999999996"/>
    <x v="2"/>
    <n v="3"/>
    <x v="0"/>
    <n v="118700"/>
    <n v="5600"/>
    <n v="124300"/>
    <s v="E"/>
    <d v="2019-01-20T00:00:00"/>
    <x v="1"/>
  </r>
  <r>
    <x v="4938"/>
    <x v="1"/>
    <n v="37"/>
    <x v="1"/>
    <x v="7"/>
    <x v="1"/>
    <n v="2.9"/>
    <n v="1.7"/>
    <x v="0"/>
    <n v="3"/>
    <x v="0"/>
    <n v="72700"/>
    <n v="5400"/>
    <n v="78100"/>
    <s v="C"/>
    <d v="2023-01-29T00:00:00"/>
    <x v="1"/>
  </r>
  <r>
    <x v="4939"/>
    <x v="0"/>
    <n v="42"/>
    <x v="5"/>
    <x v="15"/>
    <x v="3"/>
    <n v="9.9"/>
    <n v="8.6999999999999993"/>
    <x v="4"/>
    <n v="1"/>
    <x v="0"/>
    <n v="74200"/>
    <n v="14900"/>
    <n v="89100"/>
    <s v="C"/>
    <d v="2016-02-09T00:00:00"/>
    <x v="3"/>
  </r>
  <r>
    <x v="4940"/>
    <x v="1"/>
    <n v="35"/>
    <x v="0"/>
    <x v="1"/>
    <x v="1"/>
    <n v="4.5"/>
    <n v="3.5"/>
    <x v="1"/>
    <n v="5"/>
    <x v="0"/>
    <n v="77500"/>
    <n v="6800"/>
    <n v="84300"/>
    <s v="C"/>
    <d v="2021-07-14T00:00:00"/>
    <x v="1"/>
  </r>
  <r>
    <x v="4941"/>
    <x v="1"/>
    <n v="42"/>
    <x v="4"/>
    <x v="8"/>
    <x v="2"/>
    <n v="6.3"/>
    <n v="3.9"/>
    <x v="2"/>
    <n v="3"/>
    <x v="1"/>
    <n v="49600"/>
    <n v="6800"/>
    <n v="56400"/>
    <s v="A"/>
    <d v="2019-10-01T00:00:00"/>
    <x v="2"/>
  </r>
  <r>
    <x v="4942"/>
    <x v="1"/>
    <n v="42"/>
    <x v="2"/>
    <x v="4"/>
    <x v="2"/>
    <n v="10.7"/>
    <n v="8.3000000000000007"/>
    <x v="4"/>
    <n v="3"/>
    <x v="0"/>
    <n v="82800"/>
    <n v="7000"/>
    <n v="89800"/>
    <s v="D"/>
    <d v="2015-05-02T00:00:00"/>
    <x v="2"/>
  </r>
  <r>
    <x v="4943"/>
    <x v="0"/>
    <n v="46"/>
    <x v="1"/>
    <x v="10"/>
    <x v="1"/>
    <n v="7.5"/>
    <n v="6.1"/>
    <x v="2"/>
    <n v="3"/>
    <x v="0"/>
    <n v="89000"/>
    <n v="6000"/>
    <n v="95000"/>
    <s v="D"/>
    <d v="2018-06-18T00:00:00"/>
    <x v="1"/>
  </r>
  <r>
    <x v="4944"/>
    <x v="0"/>
    <n v="38"/>
    <x v="5"/>
    <x v="17"/>
    <x v="2"/>
    <n v="9.4"/>
    <n v="6.1"/>
    <x v="4"/>
    <n v="3"/>
    <x v="0"/>
    <n v="112100"/>
    <n v="17900"/>
    <n v="130000"/>
    <s v="E"/>
    <d v="2016-08-04T00:00:00"/>
    <x v="2"/>
  </r>
  <r>
    <x v="4945"/>
    <x v="0"/>
    <n v="38"/>
    <x v="3"/>
    <x v="5"/>
    <x v="1"/>
    <n v="6.4"/>
    <n v="4.4000000000000004"/>
    <x v="2"/>
    <n v="3"/>
    <x v="2"/>
    <n v="61400"/>
    <n v="5100"/>
    <n v="66500"/>
    <s v="B"/>
    <d v="2019-08-26T00:00:00"/>
    <x v="1"/>
  </r>
  <r>
    <x v="4946"/>
    <x v="1"/>
    <n v="38"/>
    <x v="5"/>
    <x v="9"/>
    <x v="1"/>
    <n v="7.5"/>
    <n v="4.5"/>
    <x v="2"/>
    <n v="4"/>
    <x v="0"/>
    <n v="107200"/>
    <n v="22300"/>
    <n v="129500"/>
    <s v="E"/>
    <d v="2018-06-30T00:00:00"/>
    <x v="1"/>
  </r>
  <r>
    <x v="4947"/>
    <x v="1"/>
    <n v="32"/>
    <x v="5"/>
    <x v="9"/>
    <x v="1"/>
    <n v="4.9000000000000004"/>
    <n v="4"/>
    <x v="1"/>
    <n v="3"/>
    <x v="0"/>
    <n v="95700"/>
    <n v="15200"/>
    <n v="110900"/>
    <s v="D"/>
    <d v="2021-02-08T00:00:00"/>
    <x v="1"/>
  </r>
  <r>
    <x v="4948"/>
    <x v="0"/>
    <n v="30"/>
    <x v="4"/>
    <x v="16"/>
    <x v="0"/>
    <n v="6.4"/>
    <n v="5.8"/>
    <x v="2"/>
    <n v="3"/>
    <x v="0"/>
    <n v="83400"/>
    <n v="9900"/>
    <n v="93300"/>
    <s v="D"/>
    <d v="2019-08-23T00:00:00"/>
    <x v="0"/>
  </r>
  <r>
    <x v="4949"/>
    <x v="1"/>
    <n v="33"/>
    <x v="2"/>
    <x v="11"/>
    <x v="2"/>
    <n v="2.2000000000000002"/>
    <n v="0.4"/>
    <x v="0"/>
    <n v="3"/>
    <x v="0"/>
    <n v="101700"/>
    <n v="4400"/>
    <n v="106100"/>
    <s v="E"/>
    <d v="2023-10-08T00:00:00"/>
    <x v="2"/>
  </r>
  <r>
    <x v="4950"/>
    <x v="1"/>
    <n v="39"/>
    <x v="2"/>
    <x v="18"/>
    <x v="1"/>
    <n v="2.5"/>
    <n v="0.7"/>
    <x v="0"/>
    <n v="3"/>
    <x v="0"/>
    <n v="61200"/>
    <n v="5500"/>
    <n v="66700"/>
    <s v="B"/>
    <d v="2023-07-17T00:00:00"/>
    <x v="1"/>
  </r>
  <r>
    <x v="4951"/>
    <x v="1"/>
    <n v="39"/>
    <x v="4"/>
    <x v="14"/>
    <x v="2"/>
    <n v="12.5"/>
    <n v="8.9"/>
    <x v="3"/>
    <n v="1"/>
    <x v="0"/>
    <n v="113800"/>
    <n v="15000"/>
    <n v="128800"/>
    <s v="E"/>
    <d v="2013-07-09T00:00:00"/>
    <x v="2"/>
  </r>
  <r>
    <x v="4952"/>
    <x v="1"/>
    <n v="47"/>
    <x v="2"/>
    <x v="4"/>
    <x v="1"/>
    <n v="2.7"/>
    <n v="1.3"/>
    <x v="0"/>
    <n v="4"/>
    <x v="0"/>
    <n v="67100"/>
    <n v="4900"/>
    <n v="72000"/>
    <s v="C"/>
    <d v="2023-04-18T00:00:00"/>
    <x v="1"/>
  </r>
  <r>
    <x v="4953"/>
    <x v="1"/>
    <n v="34"/>
    <x v="0"/>
    <x v="0"/>
    <x v="1"/>
    <n v="12.5"/>
    <n v="6.9"/>
    <x v="3"/>
    <n v="3"/>
    <x v="1"/>
    <n v="70400"/>
    <n v="3600"/>
    <n v="74000"/>
    <s v="C"/>
    <d v="2013-06-22T00:00:00"/>
    <x v="1"/>
  </r>
  <r>
    <x v="4954"/>
    <x v="1"/>
    <n v="28"/>
    <x v="1"/>
    <x v="3"/>
    <x v="4"/>
    <n v="8.6"/>
    <n v="7.7"/>
    <x v="2"/>
    <n v="4"/>
    <x v="0"/>
    <n v="80700"/>
    <n v="8300"/>
    <n v="89000"/>
    <s v="D"/>
    <d v="2017-05-19T00:00:00"/>
    <x v="4"/>
  </r>
  <r>
    <x v="4955"/>
    <x v="0"/>
    <n v="42"/>
    <x v="1"/>
    <x v="7"/>
    <x v="0"/>
    <n v="3.8"/>
    <n v="3.4"/>
    <x v="1"/>
    <n v="4"/>
    <x v="1"/>
    <n v="46100"/>
    <n v="2400"/>
    <n v="48500"/>
    <s v="A"/>
    <d v="2022-03-25T00:00:00"/>
    <x v="0"/>
  </r>
  <r>
    <x v="4956"/>
    <x v="0"/>
    <n v="31"/>
    <x v="0"/>
    <x v="2"/>
    <x v="1"/>
    <n v="3.3"/>
    <n v="0.9"/>
    <x v="1"/>
    <n v="4"/>
    <x v="0"/>
    <n v="56700"/>
    <n v="6200"/>
    <n v="62900"/>
    <s v="B"/>
    <d v="2022-09-19T00:00:00"/>
    <x v="1"/>
  </r>
  <r>
    <x v="4957"/>
    <x v="1"/>
    <n v="31"/>
    <x v="4"/>
    <x v="16"/>
    <x v="2"/>
    <n v="11.5"/>
    <n v="7.6"/>
    <x v="4"/>
    <n v="5"/>
    <x v="1"/>
    <n v="59400"/>
    <n v="6600"/>
    <n v="66000"/>
    <s v="B"/>
    <d v="2014-06-16T00:00:00"/>
    <x v="2"/>
  </r>
  <r>
    <x v="4958"/>
    <x v="0"/>
    <n v="39"/>
    <x v="1"/>
    <x v="7"/>
    <x v="1"/>
    <n v="4"/>
    <n v="2.2999999999999998"/>
    <x v="1"/>
    <n v="3"/>
    <x v="0"/>
    <n v="73500"/>
    <n v="4900"/>
    <n v="78400"/>
    <s v="C"/>
    <d v="2022-01-02T00:00:00"/>
    <x v="1"/>
  </r>
  <r>
    <x v="4959"/>
    <x v="1"/>
    <n v="35"/>
    <x v="0"/>
    <x v="1"/>
    <x v="1"/>
    <n v="13.8"/>
    <n v="9.8000000000000007"/>
    <x v="3"/>
    <n v="3"/>
    <x v="0"/>
    <n v="86100"/>
    <n v="4800"/>
    <n v="90900"/>
    <s v="D"/>
    <d v="2012-03-16T00:00:00"/>
    <x v="1"/>
  </r>
  <r>
    <x v="4960"/>
    <x v="0"/>
    <n v="36"/>
    <x v="1"/>
    <x v="3"/>
    <x v="1"/>
    <n v="2.5"/>
    <n v="2.5"/>
    <x v="0"/>
    <n v="2"/>
    <x v="1"/>
    <n v="42700"/>
    <n v="2200"/>
    <n v="44900"/>
    <s v="A"/>
    <d v="2023-07-04T00:00:00"/>
    <x v="1"/>
  </r>
  <r>
    <x v="4961"/>
    <x v="0"/>
    <n v="23"/>
    <x v="4"/>
    <x v="6"/>
    <x v="2"/>
    <n v="13"/>
    <n v="9.6999999999999993"/>
    <x v="3"/>
    <n v="3"/>
    <x v="0"/>
    <n v="86400"/>
    <n v="5000"/>
    <n v="91400"/>
    <s v="D"/>
    <d v="2012-12-15T00:00:00"/>
    <x v="2"/>
  </r>
  <r>
    <x v="4962"/>
    <x v="0"/>
    <n v="41"/>
    <x v="3"/>
    <x v="13"/>
    <x v="3"/>
    <n v="2.2999999999999998"/>
    <n v="0.9"/>
    <x v="0"/>
    <n v="3"/>
    <x v="2"/>
    <n v="85300"/>
    <n v="4200"/>
    <n v="89500"/>
    <s v="D"/>
    <d v="2023-09-23T00:00:00"/>
    <x v="3"/>
  </r>
  <r>
    <x v="4963"/>
    <x v="0"/>
    <n v="29"/>
    <x v="4"/>
    <x v="8"/>
    <x v="0"/>
    <n v="12"/>
    <n v="8"/>
    <x v="3"/>
    <n v="4"/>
    <x v="0"/>
    <n v="80000"/>
    <n v="4100"/>
    <n v="84100"/>
    <s v="D"/>
    <d v="2014-01-13T00:00:00"/>
    <x v="0"/>
  </r>
  <r>
    <x v="4964"/>
    <x v="0"/>
    <n v="44"/>
    <x v="0"/>
    <x v="1"/>
    <x v="2"/>
    <n v="4.4000000000000004"/>
    <n v="4.4000000000000004"/>
    <x v="1"/>
    <n v="3"/>
    <x v="2"/>
    <n v="64400"/>
    <n v="5300"/>
    <n v="69700"/>
    <s v="B"/>
    <d v="2021-08-23T00:00:00"/>
    <x v="2"/>
  </r>
  <r>
    <x v="4965"/>
    <x v="0"/>
    <n v="25"/>
    <x v="5"/>
    <x v="9"/>
    <x v="1"/>
    <n v="6.1"/>
    <n v="3.7"/>
    <x v="2"/>
    <n v="3"/>
    <x v="1"/>
    <n v="66200"/>
    <n v="7000"/>
    <n v="73200"/>
    <s v="C"/>
    <d v="2019-11-14T00:00:00"/>
    <x v="1"/>
  </r>
  <r>
    <x v="4966"/>
    <x v="1"/>
    <n v="39"/>
    <x v="0"/>
    <x v="1"/>
    <x v="1"/>
    <n v="4.4000000000000004"/>
    <n v="1.3"/>
    <x v="1"/>
    <n v="4"/>
    <x v="0"/>
    <n v="83000"/>
    <n v="5800"/>
    <n v="88800"/>
    <s v="D"/>
    <d v="2021-08-16T00:00:00"/>
    <x v="1"/>
  </r>
  <r>
    <x v="4967"/>
    <x v="1"/>
    <n v="36"/>
    <x v="1"/>
    <x v="10"/>
    <x v="1"/>
    <n v="12.9"/>
    <n v="7.7"/>
    <x v="3"/>
    <n v="3"/>
    <x v="0"/>
    <n v="116900"/>
    <n v="7300"/>
    <n v="124200"/>
    <s v="E"/>
    <d v="2013-02-24T00:00:00"/>
    <x v="1"/>
  </r>
  <r>
    <x v="4968"/>
    <x v="0"/>
    <n v="34"/>
    <x v="3"/>
    <x v="5"/>
    <x v="1"/>
    <n v="9.8000000000000007"/>
    <n v="5.3"/>
    <x v="4"/>
    <n v="2"/>
    <x v="0"/>
    <n v="81400"/>
    <n v="3400"/>
    <n v="84800"/>
    <s v="D"/>
    <d v="2016-03-29T00:00:00"/>
    <x v="1"/>
  </r>
  <r>
    <x v="4969"/>
    <x v="0"/>
    <n v="31"/>
    <x v="5"/>
    <x v="9"/>
    <x v="1"/>
    <n v="6.1"/>
    <n v="2.6"/>
    <x v="2"/>
    <n v="3"/>
    <x v="0"/>
    <n v="104400"/>
    <n v="15200"/>
    <n v="119600"/>
    <s v="E"/>
    <d v="2019-11-24T00:00:00"/>
    <x v="1"/>
  </r>
  <r>
    <x v="4970"/>
    <x v="1"/>
    <n v="44"/>
    <x v="0"/>
    <x v="0"/>
    <x v="1"/>
    <n v="12"/>
    <n v="8.5"/>
    <x v="3"/>
    <n v="2"/>
    <x v="0"/>
    <n v="92600"/>
    <n v="5900"/>
    <n v="98500"/>
    <s v="D"/>
    <d v="2014-01-03T00:00:00"/>
    <x v="1"/>
  </r>
  <r>
    <x v="4971"/>
    <x v="1"/>
    <n v="47"/>
    <x v="4"/>
    <x v="6"/>
    <x v="1"/>
    <n v="1.3"/>
    <n v="0.3"/>
    <x v="0"/>
    <n v="3"/>
    <x v="0"/>
    <n v="64400"/>
    <n v="7200"/>
    <n v="71600"/>
    <s v="B"/>
    <d v="2024-09-23T00:00:00"/>
    <x v="1"/>
  </r>
  <r>
    <x v="4972"/>
    <x v="1"/>
    <n v="37"/>
    <x v="5"/>
    <x v="9"/>
    <x v="1"/>
    <n v="4.3"/>
    <n v="4.3"/>
    <x v="1"/>
    <n v="3"/>
    <x v="0"/>
    <n v="92600"/>
    <n v="17500"/>
    <n v="110100"/>
    <s v="D"/>
    <d v="2021-08-28T00:00:00"/>
    <x v="1"/>
  </r>
  <r>
    <x v="4973"/>
    <x v="1"/>
    <n v="25"/>
    <x v="1"/>
    <x v="7"/>
    <x v="1"/>
    <n v="12"/>
    <n v="9.1999999999999993"/>
    <x v="3"/>
    <n v="3"/>
    <x v="2"/>
    <n v="74600"/>
    <n v="7100"/>
    <n v="81700"/>
    <s v="C"/>
    <d v="2014-01-08T00:00:00"/>
    <x v="1"/>
  </r>
  <r>
    <x v="4974"/>
    <x v="1"/>
    <n v="35"/>
    <x v="2"/>
    <x v="18"/>
    <x v="2"/>
    <n v="9.4"/>
    <n v="4.7"/>
    <x v="4"/>
    <n v="1"/>
    <x v="2"/>
    <n v="58900"/>
    <n v="4100"/>
    <n v="63000"/>
    <s v="B"/>
    <d v="2016-08-19T00:00:00"/>
    <x v="2"/>
  </r>
  <r>
    <x v="4975"/>
    <x v="0"/>
    <n v="44"/>
    <x v="3"/>
    <x v="12"/>
    <x v="2"/>
    <n v="2.7"/>
    <n v="1.9"/>
    <x v="0"/>
    <n v="3"/>
    <x v="0"/>
    <n v="79300"/>
    <n v="4800"/>
    <n v="84100"/>
    <s v="C"/>
    <d v="2023-04-10T00:00:00"/>
    <x v="2"/>
  </r>
  <r>
    <x v="4976"/>
    <x v="1"/>
    <n v="30"/>
    <x v="0"/>
    <x v="0"/>
    <x v="2"/>
    <n v="8.4"/>
    <n v="7.2"/>
    <x v="2"/>
    <n v="5"/>
    <x v="2"/>
    <n v="74800"/>
    <n v="9000"/>
    <n v="83800"/>
    <s v="C"/>
    <d v="2017-08-07T00:00:00"/>
    <x v="2"/>
  </r>
  <r>
    <x v="4977"/>
    <x v="1"/>
    <n v="28"/>
    <x v="5"/>
    <x v="9"/>
    <x v="2"/>
    <n v="5.6"/>
    <n v="5.6"/>
    <x v="1"/>
    <n v="4"/>
    <x v="0"/>
    <n v="93300"/>
    <n v="13600"/>
    <n v="106900"/>
    <s v="D"/>
    <d v="2020-06-13T00:00:00"/>
    <x v="2"/>
  </r>
  <r>
    <x v="4978"/>
    <x v="0"/>
    <n v="36"/>
    <x v="5"/>
    <x v="17"/>
    <x v="0"/>
    <n v="1.3"/>
    <n v="1.1000000000000001"/>
    <x v="0"/>
    <n v="3"/>
    <x v="0"/>
    <n v="88800"/>
    <n v="12900"/>
    <n v="101700"/>
    <s v="D"/>
    <d v="2024-09-19T00:00:00"/>
    <x v="0"/>
  </r>
  <r>
    <x v="4979"/>
    <x v="0"/>
    <n v="40"/>
    <x v="1"/>
    <x v="7"/>
    <x v="0"/>
    <n v="7.4"/>
    <n v="4.4000000000000004"/>
    <x v="2"/>
    <n v="3"/>
    <x v="0"/>
    <n v="61400"/>
    <n v="2800"/>
    <n v="64200"/>
    <s v="B"/>
    <d v="2018-07-24T00:00:00"/>
    <x v="0"/>
  </r>
  <r>
    <x v="4980"/>
    <x v="0"/>
    <n v="29"/>
    <x v="1"/>
    <x v="10"/>
    <x v="1"/>
    <n v="6.4"/>
    <n v="3.6"/>
    <x v="2"/>
    <n v="2"/>
    <x v="0"/>
    <n v="97600"/>
    <n v="8000"/>
    <n v="105600"/>
    <s v="D"/>
    <d v="2019-08-15T00:00:00"/>
    <x v="1"/>
  </r>
  <r>
    <x v="4981"/>
    <x v="0"/>
    <n v="45"/>
    <x v="0"/>
    <x v="0"/>
    <x v="2"/>
    <n v="8.5"/>
    <n v="7.5"/>
    <x v="2"/>
    <n v="3"/>
    <x v="0"/>
    <n v="106100"/>
    <n v="7500"/>
    <n v="113600"/>
    <s v="E"/>
    <d v="2017-06-26T00:00:00"/>
    <x v="2"/>
  </r>
  <r>
    <x v="4982"/>
    <x v="0"/>
    <n v="40"/>
    <x v="0"/>
    <x v="2"/>
    <x v="2"/>
    <n v="6.7"/>
    <n v="4.5999999999999996"/>
    <x v="2"/>
    <n v="3"/>
    <x v="1"/>
    <n v="46100"/>
    <n v="4500"/>
    <n v="50600"/>
    <s v="A"/>
    <d v="2019-04-06T00:00:00"/>
    <x v="2"/>
  </r>
  <r>
    <x v="4983"/>
    <x v="1"/>
    <n v="34"/>
    <x v="2"/>
    <x v="11"/>
    <x v="0"/>
    <n v="10.7"/>
    <n v="7.3"/>
    <x v="4"/>
    <n v="3"/>
    <x v="0"/>
    <n v="116700"/>
    <n v="10900"/>
    <n v="127600"/>
    <s v="E"/>
    <d v="2015-04-14T00:00:00"/>
    <x v="0"/>
  </r>
  <r>
    <x v="4984"/>
    <x v="1"/>
    <n v="34"/>
    <x v="0"/>
    <x v="0"/>
    <x v="1"/>
    <n v="12.1"/>
    <n v="7.8"/>
    <x v="3"/>
    <n v="4"/>
    <x v="0"/>
    <n v="99300"/>
    <n v="13000"/>
    <n v="112300"/>
    <s v="D"/>
    <d v="2013-12-07T00:00:00"/>
    <x v="1"/>
  </r>
  <r>
    <x v="4985"/>
    <x v="1"/>
    <n v="34"/>
    <x v="0"/>
    <x v="2"/>
    <x v="1"/>
    <n v="7.3"/>
    <n v="2"/>
    <x v="2"/>
    <n v="4"/>
    <x v="0"/>
    <n v="54200"/>
    <n v="5700"/>
    <n v="59900"/>
    <s v="B"/>
    <d v="2018-09-12T00:00:00"/>
    <x v="1"/>
  </r>
  <r>
    <x v="4986"/>
    <x v="0"/>
    <n v="21"/>
    <x v="3"/>
    <x v="5"/>
    <x v="3"/>
    <n v="5.2"/>
    <n v="1.5"/>
    <x v="1"/>
    <n v="3"/>
    <x v="0"/>
    <n v="83600"/>
    <n v="6300"/>
    <n v="89900"/>
    <s v="D"/>
    <d v="2020-10-22T00:00:00"/>
    <x v="3"/>
  </r>
  <r>
    <x v="4987"/>
    <x v="0"/>
    <n v="34"/>
    <x v="4"/>
    <x v="16"/>
    <x v="1"/>
    <n v="5.8"/>
    <n v="3.3"/>
    <x v="1"/>
    <n v="2"/>
    <x v="2"/>
    <n v="76100"/>
    <n v="5500"/>
    <n v="81600"/>
    <s v="C"/>
    <d v="2020-03-24T00:00:00"/>
    <x v="1"/>
  </r>
  <r>
    <x v="4988"/>
    <x v="0"/>
    <n v="37"/>
    <x v="0"/>
    <x v="2"/>
    <x v="2"/>
    <n v="13.3"/>
    <n v="8.3000000000000007"/>
    <x v="3"/>
    <n v="4"/>
    <x v="0"/>
    <n v="76600"/>
    <n v="3900"/>
    <n v="80500"/>
    <s v="C"/>
    <d v="2012-09-21T00:00:00"/>
    <x v="2"/>
  </r>
  <r>
    <x v="4989"/>
    <x v="0"/>
    <n v="27"/>
    <x v="4"/>
    <x v="6"/>
    <x v="3"/>
    <n v="6"/>
    <n v="2.6"/>
    <x v="2"/>
    <n v="1"/>
    <x v="0"/>
    <n v="76000"/>
    <n v="4000"/>
    <n v="80000"/>
    <s v="C"/>
    <d v="2019-12-23T00:00:0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41B42D-1AD3-4317-9276-DD711DD51A8D}"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7:E53" firstHeaderRow="1" firstDataRow="1" firstDataCol="1"/>
  <pivotFields count="17">
    <pivotField dataField="1" showAll="0"/>
    <pivotField showAll="0">
      <items count="3">
        <item x="1"/>
        <item x="0"/>
        <item t="default"/>
      </items>
    </pivotField>
    <pivotField showAll="0"/>
    <pivotField showAll="0">
      <items count="13">
        <item x="1"/>
        <item m="1" x="11"/>
        <item x="3"/>
        <item m="1" x="10"/>
        <item x="4"/>
        <item m="1" x="7"/>
        <item x="0"/>
        <item m="1" x="9"/>
        <item x="2"/>
        <item m="1" x="8"/>
        <item x="5"/>
        <item m="1" x="6"/>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axis="axisRow" showAll="0">
      <items count="6">
        <item x="1"/>
        <item x="0"/>
        <item x="2"/>
        <item x="3"/>
        <item x="4"/>
        <item t="default"/>
      </items>
    </pivotField>
  </pivotFields>
  <rowFields count="1">
    <field x="16"/>
  </rowFields>
  <rowItems count="6">
    <i>
      <x/>
    </i>
    <i>
      <x v="1"/>
    </i>
    <i>
      <x v="2"/>
    </i>
    <i>
      <x v="3"/>
    </i>
    <i>
      <x v="4"/>
    </i>
    <i t="grand">
      <x/>
    </i>
  </rowItems>
  <colItems count="1">
    <i/>
  </colItems>
  <dataFields count="1">
    <dataField name="Count of Employee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4B9592-0295-4F68-8031-E1789981B950}" name="PT06 - Compensation by Department"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6">
  <location ref="L7:M14" firstHeaderRow="1" firstDataRow="1" firstDataCol="1"/>
  <pivotFields count="17">
    <pivotField showAll="0"/>
    <pivotField showAll="0">
      <items count="3">
        <item x="1"/>
        <item x="0"/>
        <item t="default"/>
      </items>
    </pivotField>
    <pivotField showAll="0"/>
    <pivotField axis="axisRow" showAll="0" sortType="descending">
      <items count="13">
        <item x="1"/>
        <item x="3"/>
        <item x="4"/>
        <item x="0"/>
        <item x="2"/>
        <item x="5"/>
        <item m="1" x="6"/>
        <item m="1" x="7"/>
        <item m="1" x="8"/>
        <item m="1" x="9"/>
        <item m="1" x="10"/>
        <item m="1"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4">
        <item x="2"/>
        <item x="0"/>
        <item x="1"/>
        <item t="default"/>
      </items>
    </pivotField>
    <pivotField dataField="1" showAll="0"/>
    <pivotField showAll="0"/>
    <pivotField showAll="0"/>
    <pivotField showAll="0"/>
    <pivotField showAll="0"/>
    <pivotField showAll="0">
      <items count="6">
        <item x="1"/>
        <item x="0"/>
        <item x="2"/>
        <item x="3"/>
        <item x="4"/>
        <item t="default"/>
      </items>
    </pivotField>
  </pivotFields>
  <rowFields count="1">
    <field x="3"/>
  </rowFields>
  <rowItems count="7">
    <i>
      <x v="2"/>
    </i>
    <i>
      <x v="5"/>
    </i>
    <i>
      <x/>
    </i>
    <i>
      <x v="4"/>
    </i>
    <i>
      <x v="1"/>
    </i>
    <i>
      <x v="3"/>
    </i>
    <i t="grand">
      <x/>
    </i>
  </rowItems>
  <colItems count="1">
    <i/>
  </colItems>
  <dataFields count="1">
    <dataField name="Average of Base_Salary" fld="11" subtotal="average" baseField="3" baseItem="10" numFmtId="169"/>
  </dataFields>
  <formats count="2">
    <format dxfId="70">
      <pivotArea field="3" grandRow="1" outline="0" collapsedLevelsAreSubtotals="1" axis="axisRow" fieldPosition="0">
        <references count="1">
          <reference field="4294967294" count="1" selected="0">
            <x v="0"/>
          </reference>
        </references>
      </pivotArea>
    </format>
    <format dxfId="69">
      <pivotArea outline="0" collapsedLevelsAreSubtotals="1" fieldPosition="0"/>
    </format>
  </formats>
  <chartFormats count="3">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8F2656-A51D-469F-A16A-368873982A13}" name="PT08 - Compensation by Tenure"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18:E24" firstHeaderRow="1" firstDataRow="1" firstDataCol="1"/>
  <pivotFields count="17">
    <pivotField showAll="0"/>
    <pivotField showAll="0">
      <items count="3">
        <item x="1"/>
        <item x="0"/>
        <item t="default"/>
      </items>
    </pivotField>
    <pivotField showAll="0"/>
    <pivotField showAll="0">
      <items count="13">
        <item x="1"/>
        <item m="1" x="11"/>
        <item x="3"/>
        <item m="1" x="10"/>
        <item x="4"/>
        <item m="1" x="7"/>
        <item x="0"/>
        <item m="1" x="9"/>
        <item x="2"/>
        <item m="1" x="8"/>
        <item x="5"/>
        <item m="1" x="6"/>
        <item t="default"/>
      </items>
    </pivotField>
    <pivotField showAll="0"/>
    <pivotField showAll="0"/>
    <pivotField showAll="0"/>
    <pivotField showAll="0"/>
    <pivotField axis="axisRow" showAll="0" sortType="ascending">
      <items count="6">
        <item x="0"/>
        <item x="3"/>
        <item x="1"/>
        <item x="2"/>
        <item x="4"/>
        <item t="default"/>
      </items>
      <autoSortScope>
        <pivotArea dataOnly="0" outline="0" fieldPosition="0">
          <references count="1">
            <reference field="4294967294" count="1" selected="0">
              <x v="0"/>
            </reference>
          </references>
        </pivotArea>
      </autoSortScope>
    </pivotField>
    <pivotField showAll="0"/>
    <pivotField showAll="0">
      <items count="4">
        <item x="2"/>
        <item x="0"/>
        <item x="1"/>
        <item t="default"/>
      </items>
    </pivotField>
    <pivotField dataField="1" showAll="0"/>
    <pivotField showAll="0"/>
    <pivotField showAll="0"/>
    <pivotField showAll="0"/>
    <pivotField showAll="0"/>
    <pivotField showAll="0">
      <items count="6">
        <item x="1"/>
        <item x="0"/>
        <item x="2"/>
        <item x="3"/>
        <item x="4"/>
        <item t="default"/>
      </items>
    </pivotField>
  </pivotFields>
  <rowFields count="1">
    <field x="8"/>
  </rowFields>
  <rowItems count="6">
    <i>
      <x/>
    </i>
    <i>
      <x v="2"/>
    </i>
    <i>
      <x v="3"/>
    </i>
    <i>
      <x v="4"/>
    </i>
    <i>
      <x v="1"/>
    </i>
    <i t="grand">
      <x/>
    </i>
  </rowItems>
  <colItems count="1">
    <i/>
  </colItems>
  <dataFields count="1">
    <dataField name="Average of Base_Salary" fld="11" subtotal="average" baseField="0" baseItem="0" numFmtId="169"/>
  </dataFields>
  <formats count="3">
    <format dxfId="73">
      <pivotArea field="3" outline="0" collapsedLevelsAreSubtotals="1">
        <references count="1">
          <reference field="4294967294" count="1" selected="0">
            <x v="0"/>
          </reference>
        </references>
      </pivotArea>
    </format>
    <format dxfId="72">
      <pivotArea outline="0" collapsedLevelsAreSubtotals="1" fieldPosition="0">
        <references count="1">
          <reference field="4294967294" count="1" selected="0">
            <x v="0"/>
          </reference>
        </references>
      </pivotArea>
    </format>
    <format dxfId="71">
      <pivotArea outline="0" collapsedLevelsAreSubtotals="1" fieldPosition="0"/>
    </format>
  </formats>
  <chartFormats count="5">
    <chartFormat chart="2"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3CB4E3-614E-4FD0-A74C-FB4D3E30D781}" name="PT10 - Average BS by Job Role and 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G10:J31" firstHeaderRow="1" firstDataRow="2" firstDataCol="1"/>
  <pivotFields count="17">
    <pivotField showAll="0"/>
    <pivotField axis="axisCol" showAll="0">
      <items count="3">
        <item x="1"/>
        <item x="0"/>
        <item t="default"/>
      </items>
    </pivotField>
    <pivotField showAll="0"/>
    <pivotField showAll="0">
      <items count="13">
        <item x="1"/>
        <item m="1" x="11"/>
        <item x="3"/>
        <item m="1" x="10"/>
        <item x="4"/>
        <item m="1" x="7"/>
        <item x="0"/>
        <item m="1" x="9"/>
        <item x="2"/>
        <item m="1" x="8"/>
        <item x="5"/>
        <item m="1" x="6"/>
        <item t="default"/>
      </items>
    </pivotField>
    <pivotField axis="axisRow" showAll="0">
      <items count="20">
        <item x="17"/>
        <item x="3"/>
        <item x="8"/>
        <item x="10"/>
        <item x="7"/>
        <item x="5"/>
        <item x="13"/>
        <item x="12"/>
        <item x="14"/>
        <item x="6"/>
        <item x="1"/>
        <item x="0"/>
        <item x="2"/>
        <item x="4"/>
        <item x="11"/>
        <item x="18"/>
        <item x="9"/>
        <item x="15"/>
        <item x="16"/>
        <item t="default"/>
      </items>
    </pivotField>
    <pivotField showAll="0"/>
    <pivotField showAll="0"/>
    <pivotField showAll="0"/>
    <pivotField showAll="0"/>
    <pivotField showAll="0"/>
    <pivotField showAll="0">
      <items count="4">
        <item x="2"/>
        <item x="0"/>
        <item x="1"/>
        <item t="default"/>
      </items>
    </pivotField>
    <pivotField dataField="1" showAll="0"/>
    <pivotField showAll="0"/>
    <pivotField showAll="0"/>
    <pivotField showAll="0"/>
    <pivotField showAll="0"/>
    <pivotField showAll="0">
      <items count="6">
        <item x="1"/>
        <item x="0"/>
        <item x="2"/>
        <item x="3"/>
        <item x="4"/>
        <item t="default"/>
      </items>
    </pivotField>
  </pivotFields>
  <rowFields count="1">
    <field x="4"/>
  </rowFields>
  <rowItems count="20">
    <i>
      <x/>
    </i>
    <i>
      <x v="1"/>
    </i>
    <i>
      <x v="2"/>
    </i>
    <i>
      <x v="3"/>
    </i>
    <i>
      <x v="4"/>
    </i>
    <i>
      <x v="5"/>
    </i>
    <i>
      <x v="6"/>
    </i>
    <i>
      <x v="7"/>
    </i>
    <i>
      <x v="8"/>
    </i>
    <i>
      <x v="9"/>
    </i>
    <i>
      <x v="10"/>
    </i>
    <i>
      <x v="11"/>
    </i>
    <i>
      <x v="12"/>
    </i>
    <i>
      <x v="13"/>
    </i>
    <i>
      <x v="14"/>
    </i>
    <i>
      <x v="15"/>
    </i>
    <i>
      <x v="16"/>
    </i>
    <i>
      <x v="17"/>
    </i>
    <i>
      <x v="18"/>
    </i>
    <i t="grand">
      <x/>
    </i>
  </rowItems>
  <colFields count="1">
    <field x="1"/>
  </colFields>
  <colItems count="3">
    <i>
      <x/>
    </i>
    <i>
      <x v="1"/>
    </i>
    <i t="grand">
      <x/>
    </i>
  </colItems>
  <dataFields count="1">
    <dataField name="Average of Base_Salary" fld="11" subtotal="average" baseField="0" baseItem="0" numFmtId="169"/>
  </dataFields>
  <formats count="1">
    <format dxfId="74">
      <pivotArea outline="0" collapsedLevelsAreSubtotals="1" fieldPosition="0"/>
    </format>
  </formats>
  <chartFormats count="23">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6" format="2">
      <pivotArea type="data" outline="0" fieldPosition="0">
        <references count="3">
          <reference field="4294967294" count="1" selected="0">
            <x v="0"/>
          </reference>
          <reference field="1" count="1" selected="0">
            <x v="1"/>
          </reference>
          <reference field="4" count="1" selected="0">
            <x v="8"/>
          </reference>
        </references>
      </pivotArea>
    </chartFormat>
    <chartFormat chart="6" format="3">
      <pivotArea type="data" outline="0" fieldPosition="0">
        <references count="3">
          <reference field="4294967294" count="1" selected="0">
            <x v="0"/>
          </reference>
          <reference field="1" count="1" selected="0">
            <x v="1"/>
          </reference>
          <reference field="4" count="1" selected="0">
            <x v="3"/>
          </reference>
        </references>
      </pivotArea>
    </chartFormat>
    <chartFormat chart="6" format="4">
      <pivotArea type="data" outline="0" fieldPosition="0">
        <references count="3">
          <reference field="4294967294" count="1" selected="0">
            <x v="0"/>
          </reference>
          <reference field="1" count="1" selected="0">
            <x v="1"/>
          </reference>
          <reference field="4" count="1" selected="0">
            <x v="14"/>
          </reference>
        </references>
      </pivotArea>
    </chartFormat>
    <chartFormat chart="6" format="5">
      <pivotArea type="data" outline="0" fieldPosition="0">
        <references count="3">
          <reference field="4294967294" count="1" selected="0">
            <x v="0"/>
          </reference>
          <reference field="1" count="1" selected="0">
            <x v="1"/>
          </reference>
          <reference field="4" count="1" selected="0">
            <x v="6"/>
          </reference>
        </references>
      </pivotArea>
    </chartFormat>
    <chartFormat chart="6" format="6">
      <pivotArea type="data" outline="0" fieldPosition="0">
        <references count="3">
          <reference field="4294967294" count="1" selected="0">
            <x v="0"/>
          </reference>
          <reference field="1" count="1" selected="0">
            <x v="1"/>
          </reference>
          <reference field="4" count="1" selected="0">
            <x v="16"/>
          </reference>
        </references>
      </pivotArea>
    </chartFormat>
    <chartFormat chart="6" format="7">
      <pivotArea type="data" outline="0" fieldPosition="0">
        <references count="3">
          <reference field="4294967294" count="1" selected="0">
            <x v="0"/>
          </reference>
          <reference field="1" count="1" selected="0">
            <x v="1"/>
          </reference>
          <reference field="4" count="1" selected="0">
            <x v="11"/>
          </reference>
        </references>
      </pivotArea>
    </chartFormat>
    <chartFormat chart="6" format="8">
      <pivotArea type="data" outline="0" fieldPosition="0">
        <references count="3">
          <reference field="4294967294" count="1" selected="0">
            <x v="0"/>
          </reference>
          <reference field="1" count="1" selected="0">
            <x v="1"/>
          </reference>
          <reference field="4" count="1" selected="0">
            <x v="0"/>
          </reference>
        </references>
      </pivotArea>
    </chartFormat>
    <chartFormat chart="6" format="9">
      <pivotArea type="data" outline="0" fieldPosition="0">
        <references count="3">
          <reference field="4294967294" count="1" selected="0">
            <x v="0"/>
          </reference>
          <reference field="1" count="1" selected="0">
            <x v="1"/>
          </reference>
          <reference field="4" count="1" selected="0">
            <x v="18"/>
          </reference>
        </references>
      </pivotArea>
    </chartFormat>
    <chartFormat chart="6" format="10">
      <pivotArea type="data" outline="0" fieldPosition="0">
        <references count="3">
          <reference field="4294967294" count="1" selected="0">
            <x v="0"/>
          </reference>
          <reference field="1" count="1" selected="0">
            <x v="1"/>
          </reference>
          <reference field="4" count="1" selected="0">
            <x v="2"/>
          </reference>
        </references>
      </pivotArea>
    </chartFormat>
    <chartFormat chart="6" format="11">
      <pivotArea type="data" outline="0" fieldPosition="0">
        <references count="3">
          <reference field="4294967294" count="1" selected="0">
            <x v="0"/>
          </reference>
          <reference field="1" count="1" selected="0">
            <x v="1"/>
          </reference>
          <reference field="4" count="1" selected="0">
            <x v="4"/>
          </reference>
        </references>
      </pivotArea>
    </chartFormat>
    <chartFormat chart="6" format="12">
      <pivotArea type="data" outline="0" fieldPosition="0">
        <references count="3">
          <reference field="4294967294" count="1" selected="0">
            <x v="0"/>
          </reference>
          <reference field="1" count="1" selected="0">
            <x v="1"/>
          </reference>
          <reference field="4" count="1" selected="0">
            <x v="10"/>
          </reference>
        </references>
      </pivotArea>
    </chartFormat>
    <chartFormat chart="6" format="13">
      <pivotArea type="data" outline="0" fieldPosition="0">
        <references count="3">
          <reference field="4294967294" count="1" selected="0">
            <x v="0"/>
          </reference>
          <reference field="1" count="1" selected="0">
            <x v="1"/>
          </reference>
          <reference field="4" count="1" selected="0">
            <x v="1"/>
          </reference>
        </references>
      </pivotArea>
    </chartFormat>
    <chartFormat chart="6" format="14">
      <pivotArea type="data" outline="0" fieldPosition="0">
        <references count="3">
          <reference field="4294967294" count="1" selected="0">
            <x v="0"/>
          </reference>
          <reference field="1" count="1" selected="0">
            <x v="1"/>
          </reference>
          <reference field="4" count="1" selected="0">
            <x v="13"/>
          </reference>
        </references>
      </pivotArea>
    </chartFormat>
    <chartFormat chart="6" format="15">
      <pivotArea type="data" outline="0" fieldPosition="0">
        <references count="3">
          <reference field="4294967294" count="1" selected="0">
            <x v="0"/>
          </reference>
          <reference field="1" count="1" selected="0">
            <x v="1"/>
          </reference>
          <reference field="4" count="1" selected="0">
            <x v="9"/>
          </reference>
        </references>
      </pivotArea>
    </chartFormat>
    <chartFormat chart="6" format="16">
      <pivotArea type="data" outline="0" fieldPosition="0">
        <references count="3">
          <reference field="4294967294" count="1" selected="0">
            <x v="0"/>
          </reference>
          <reference field="1" count="1" selected="0">
            <x v="1"/>
          </reference>
          <reference field="4" count="1" selected="0">
            <x v="5"/>
          </reference>
        </references>
      </pivotArea>
    </chartFormat>
    <chartFormat chart="6" format="17">
      <pivotArea type="data" outline="0" fieldPosition="0">
        <references count="3">
          <reference field="4294967294" count="1" selected="0">
            <x v="0"/>
          </reference>
          <reference field="1" count="1" selected="0">
            <x v="1"/>
          </reference>
          <reference field="4" count="1" selected="0">
            <x v="15"/>
          </reference>
        </references>
      </pivotArea>
    </chartFormat>
    <chartFormat chart="6" format="18">
      <pivotArea type="data" outline="0" fieldPosition="0">
        <references count="3">
          <reference field="4294967294" count="1" selected="0">
            <x v="0"/>
          </reference>
          <reference field="1" count="1" selected="0">
            <x v="1"/>
          </reference>
          <reference field="4" count="1" selected="0">
            <x v="7"/>
          </reference>
        </references>
      </pivotArea>
    </chartFormat>
    <chartFormat chart="6" format="19">
      <pivotArea type="data" outline="0" fieldPosition="0">
        <references count="3">
          <reference field="4294967294" count="1" selected="0">
            <x v="0"/>
          </reference>
          <reference field="1" count="1" selected="0">
            <x v="1"/>
          </reference>
          <reference field="4" count="1" selected="0">
            <x v="12"/>
          </reference>
        </references>
      </pivotArea>
    </chartFormat>
    <chartFormat chart="6" format="20">
      <pivotArea type="data" outline="0" fieldPosition="0">
        <references count="3">
          <reference field="4294967294" count="1" selected="0">
            <x v="0"/>
          </reference>
          <reference field="1" count="1" selected="0">
            <x v="1"/>
          </reference>
          <reference field="4" count="1" selected="0">
            <x v="17"/>
          </reference>
        </references>
      </pivotArea>
    </chartFormat>
    <chartFormat chart="23" format="5" series="1">
      <pivotArea type="data" outline="0" fieldPosition="0">
        <references count="2">
          <reference field="4294967294" count="1" selected="0">
            <x v="0"/>
          </reference>
          <reference field="1" count="1" selected="0">
            <x v="0"/>
          </reference>
        </references>
      </pivotArea>
    </chartFormat>
    <chartFormat chart="23" format="6"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E581E3-7D84-4A10-AA5C-F7D5F4F20124}" name="PT05 - Compensation by Gender"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8:B11" firstHeaderRow="1" firstDataRow="1" firstDataCol="1"/>
  <pivotFields count="17">
    <pivotField showAll="0"/>
    <pivotField axis="axisRow" showAll="0">
      <items count="3">
        <item x="1"/>
        <item x="0"/>
        <item t="default"/>
      </items>
    </pivotField>
    <pivotField showAll="0"/>
    <pivotField showAll="0">
      <items count="13">
        <item x="1"/>
        <item m="1" x="11"/>
        <item x="3"/>
        <item m="1" x="10"/>
        <item x="4"/>
        <item m="1" x="7"/>
        <item x="0"/>
        <item m="1" x="9"/>
        <item x="2"/>
        <item m="1" x="8"/>
        <item x="5"/>
        <item m="1" x="6"/>
        <item t="default"/>
      </items>
    </pivotField>
    <pivotField showAll="0"/>
    <pivotField showAll="0"/>
    <pivotField showAll="0"/>
    <pivotField showAll="0"/>
    <pivotField showAll="0"/>
    <pivotField showAll="0"/>
    <pivotField showAll="0">
      <items count="4">
        <item x="2"/>
        <item x="0"/>
        <item x="1"/>
        <item t="default"/>
      </items>
    </pivotField>
    <pivotField dataField="1" showAll="0"/>
    <pivotField showAll="0"/>
    <pivotField showAll="0"/>
    <pivotField showAll="0"/>
    <pivotField showAll="0"/>
    <pivotField showAll="0">
      <items count="6">
        <item x="1"/>
        <item x="0"/>
        <item x="2"/>
        <item x="3"/>
        <item x="4"/>
        <item t="default"/>
      </items>
    </pivotField>
  </pivotFields>
  <rowFields count="1">
    <field x="1"/>
  </rowFields>
  <rowItems count="3">
    <i>
      <x/>
    </i>
    <i>
      <x v="1"/>
    </i>
    <i t="grand">
      <x/>
    </i>
  </rowItems>
  <colItems count="1">
    <i/>
  </colItems>
  <dataFields count="1">
    <dataField name="Average of Base_Salary" fld="11" subtotal="average" baseField="0" baseItem="0" numFmtId="167"/>
  </dataFields>
  <formats count="3">
    <format dxfId="77">
      <pivotArea field="3" outline="0" collapsedLevelsAreSubtotals="1">
        <references count="1">
          <reference field="4294967294" count="1" selected="0">
            <x v="0"/>
          </reference>
        </references>
      </pivotArea>
    </format>
    <format dxfId="76">
      <pivotArea outline="0" collapsedLevelsAreSubtotals="1" fieldPosition="0">
        <references count="1">
          <reference field="4294967294" count="1" selected="0">
            <x v="0"/>
          </reference>
        </references>
      </pivotArea>
    </format>
    <format dxfId="75">
      <pivotArea outline="0" collapsedLevelsAreSubtotals="1" fieldPosition="0"/>
    </format>
  </formats>
  <chartFormats count="8">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1" count="1" selected="0">
            <x v="0"/>
          </reference>
        </references>
      </pivotArea>
    </chartFormat>
    <chartFormat chart="13" format="2">
      <pivotArea type="data" outline="0" fieldPosition="0">
        <references count="2">
          <reference field="4294967294" count="1" selected="0">
            <x v="0"/>
          </reference>
          <reference field="1" count="1" selected="0">
            <x v="1"/>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1" count="1" selected="0">
            <x v="0"/>
          </reference>
        </references>
      </pivotArea>
    </chartFormat>
    <chartFormat chart="17"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941578-44FB-44BE-A171-23C0E6886784}" name="PT02_ Average Base Sal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E5" firstHeaderRow="1" firstDataRow="1" firstDataCol="0"/>
  <pivotFields count="17">
    <pivotField showAll="0"/>
    <pivotField showAll="0">
      <items count="3">
        <item x="1"/>
        <item x="0"/>
        <item t="default"/>
      </items>
    </pivotField>
    <pivotField showAll="0"/>
    <pivotField showAll="0">
      <items count="13">
        <item x="1"/>
        <item m="1" x="11"/>
        <item x="3"/>
        <item m="1" x="10"/>
        <item x="4"/>
        <item m="1" x="7"/>
        <item x="0"/>
        <item m="1" x="9"/>
        <item x="2"/>
        <item m="1" x="8"/>
        <item x="5"/>
        <item m="1" x="6"/>
        <item t="default"/>
      </items>
    </pivotField>
    <pivotField showAll="0"/>
    <pivotField showAll="0"/>
    <pivotField showAll="0"/>
    <pivotField showAll="0"/>
    <pivotField showAll="0"/>
    <pivotField showAll="0"/>
    <pivotField showAll="0">
      <items count="4">
        <item x="2"/>
        <item x="0"/>
        <item x="1"/>
        <item t="default"/>
      </items>
    </pivotField>
    <pivotField dataField="1" showAll="0"/>
    <pivotField showAll="0"/>
    <pivotField showAll="0"/>
    <pivotField showAll="0"/>
    <pivotField showAll="0"/>
    <pivotField showAll="0">
      <items count="6">
        <item x="1"/>
        <item x="0"/>
        <item x="2"/>
        <item x="3"/>
        <item x="4"/>
        <item t="default"/>
      </items>
    </pivotField>
  </pivotFields>
  <rowItems count="1">
    <i/>
  </rowItems>
  <colItems count="1">
    <i/>
  </colItems>
  <dataFields count="1">
    <dataField name="Average of Base_Salary" fld="11" subtotal="average" baseField="0" baseItem="0" numFmtId="169"/>
  </dataFields>
  <formats count="1">
    <format dxfId="7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B920E9-ECEE-42E8-8E63-F25EDF1A6165}" name="PT04_ Average Total Compensa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4:K5" firstHeaderRow="1" firstDataRow="1" firstDataCol="0"/>
  <pivotFields count="17">
    <pivotField showAll="0"/>
    <pivotField showAll="0">
      <items count="3">
        <item x="1"/>
        <item x="0"/>
        <item t="default"/>
      </items>
    </pivotField>
    <pivotField showAll="0"/>
    <pivotField showAll="0">
      <items count="13">
        <item x="1"/>
        <item m="1" x="11"/>
        <item x="3"/>
        <item m="1" x="10"/>
        <item x="4"/>
        <item m="1" x="7"/>
        <item x="0"/>
        <item m="1" x="9"/>
        <item x="2"/>
        <item m="1" x="8"/>
        <item x="5"/>
        <item m="1" x="6"/>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dataField="1" showAll="0"/>
    <pivotField showAll="0"/>
    <pivotField showAll="0"/>
    <pivotField showAll="0">
      <items count="6">
        <item x="1"/>
        <item x="0"/>
        <item x="2"/>
        <item x="3"/>
        <item x="4"/>
        <item t="default"/>
      </items>
    </pivotField>
  </pivotFields>
  <rowItems count="1">
    <i/>
  </rowItems>
  <colItems count="1">
    <i/>
  </colItems>
  <dataFields count="1">
    <dataField name="Average of Total_Compensation" fld="13" subtotal="average" baseField="0" baseItem="0" numFmtId="169"/>
  </dataFields>
  <formats count="1">
    <format dxfId="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7CC06AD-02D1-455D-B9C2-FABA9E457A0E}" name="PT01 - Total Employe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7">
    <pivotField dataField="1" showAll="0"/>
    <pivotField showAll="0">
      <items count="3">
        <item x="1"/>
        <item x="0"/>
        <item t="default"/>
      </items>
    </pivotField>
    <pivotField showAll="0"/>
    <pivotField showAll="0">
      <items count="13">
        <item x="1"/>
        <item m="1" x="11"/>
        <item x="3"/>
        <item m="1" x="10"/>
        <item x="4"/>
        <item m="1" x="7"/>
        <item x="0"/>
        <item m="1" x="9"/>
        <item x="2"/>
        <item m="1" x="8"/>
        <item x="5"/>
        <item m="1" x="6"/>
        <item t="default"/>
      </items>
    </pivotField>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showAll="0">
      <items count="6">
        <item x="1"/>
        <item x="0"/>
        <item x="2"/>
        <item x="3"/>
        <item x="4"/>
        <item t="default"/>
      </items>
    </pivotField>
  </pivotFields>
  <rowItems count="1">
    <i/>
  </rowItems>
  <colItems count="1">
    <i/>
  </colItems>
  <dataFields count="1">
    <dataField name="Count of Employee_ID" fld="0" subtotal="count" baseField="0" baseItem="0" numFmtId="166"/>
  </dataFields>
  <formats count="1">
    <format dxfId="8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39A4D8-55C8-44DD-AC02-F0D495E5905F}" name="PT09 - Compensation by Education"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47:B53" firstHeaderRow="1" firstDataRow="1" firstDataCol="1"/>
  <pivotFields count="17">
    <pivotField showAll="0"/>
    <pivotField showAll="0">
      <items count="3">
        <item x="1"/>
        <item x="0"/>
        <item t="default"/>
      </items>
    </pivotField>
    <pivotField showAll="0"/>
    <pivotField showAll="0">
      <items count="13">
        <item x="1"/>
        <item m="1" x="11"/>
        <item x="3"/>
        <item m="1" x="10"/>
        <item x="4"/>
        <item m="1" x="7"/>
        <item x="0"/>
        <item m="1" x="9"/>
        <item x="2"/>
        <item m="1" x="8"/>
        <item x="5"/>
        <item m="1" x="6"/>
        <item t="default"/>
      </items>
    </pivotField>
    <pivotField showAll="0"/>
    <pivotField axis="axisRow" showAll="0" sortType="ascending">
      <items count="6">
        <item x="1"/>
        <item x="0"/>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2"/>
        <item x="0"/>
        <item x="1"/>
        <item t="default"/>
      </items>
    </pivotField>
    <pivotField dataField="1" showAll="0"/>
    <pivotField showAll="0"/>
    <pivotField showAll="0"/>
    <pivotField showAll="0"/>
    <pivotField showAll="0"/>
    <pivotField showAll="0">
      <items count="6">
        <item x="1"/>
        <item x="0"/>
        <item x="2"/>
        <item x="3"/>
        <item x="4"/>
        <item t="default"/>
      </items>
    </pivotField>
  </pivotFields>
  <rowFields count="1">
    <field x="5"/>
  </rowFields>
  <rowItems count="6">
    <i>
      <x v="4"/>
    </i>
    <i>
      <x v="1"/>
    </i>
    <i>
      <x/>
    </i>
    <i>
      <x v="2"/>
    </i>
    <i>
      <x v="3"/>
    </i>
    <i t="grand">
      <x/>
    </i>
  </rowItems>
  <colItems count="1">
    <i/>
  </colItems>
  <dataFields count="1">
    <dataField name="Average of Base_Salary" fld="11" subtotal="average" baseField="0" baseItem="0" numFmtId="169"/>
  </dataFields>
  <formats count="3">
    <format dxfId="83">
      <pivotArea field="3" outline="0" collapsedLevelsAreSubtotals="1">
        <references count="1">
          <reference field="4294967294" count="1" selected="0">
            <x v="0"/>
          </reference>
        </references>
      </pivotArea>
    </format>
    <format dxfId="82">
      <pivotArea outline="0" collapsedLevelsAreSubtotals="1" fieldPosition="0">
        <references count="1">
          <reference field="4294967294" count="1" selected="0">
            <x v="0"/>
          </reference>
        </references>
      </pivotArea>
    </format>
    <format dxfId="81">
      <pivotArea outline="0" collapsedLevelsAreSubtotals="1" fieldPosition="0"/>
    </format>
  </formats>
  <chartFormats count="4">
    <chartFormat chart="2"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D1C8E4-9FB6-4DD5-973A-2760F814628C}" name="PT07 - Compensation by Job Role"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9:B39" firstHeaderRow="1" firstDataRow="1" firstDataCol="1"/>
  <pivotFields count="17">
    <pivotField showAll="0"/>
    <pivotField showAll="0">
      <items count="3">
        <item x="1"/>
        <item x="0"/>
        <item t="default"/>
      </items>
    </pivotField>
    <pivotField showAll="0"/>
    <pivotField showAll="0">
      <items count="13">
        <item x="1"/>
        <item m="1" x="11"/>
        <item x="3"/>
        <item m="1" x="10"/>
        <item x="4"/>
        <item m="1" x="7"/>
        <item x="0"/>
        <item m="1" x="9"/>
        <item x="2"/>
        <item m="1" x="8"/>
        <item x="5"/>
        <item m="1" x="6"/>
        <item t="default"/>
      </items>
    </pivotField>
    <pivotField axis="axisRow" showAll="0" sortType="ascending">
      <items count="20">
        <item x="17"/>
        <item x="3"/>
        <item x="8"/>
        <item x="10"/>
        <item x="7"/>
        <item x="5"/>
        <item x="13"/>
        <item x="12"/>
        <item x="14"/>
        <item x="6"/>
        <item x="1"/>
        <item x="0"/>
        <item x="2"/>
        <item x="4"/>
        <item x="11"/>
        <item x="18"/>
        <item x="9"/>
        <item x="15"/>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4">
        <item x="2"/>
        <item x="0"/>
        <item x="1"/>
        <item t="default"/>
      </items>
    </pivotField>
    <pivotField dataField="1" showAll="0"/>
    <pivotField showAll="0"/>
    <pivotField showAll="0"/>
    <pivotField showAll="0"/>
    <pivotField showAll="0"/>
    <pivotField showAll="0">
      <items count="6">
        <item x="1"/>
        <item x="0"/>
        <item x="2"/>
        <item x="3"/>
        <item x="4"/>
        <item t="default"/>
      </items>
    </pivotField>
  </pivotFields>
  <rowFields count="1">
    <field x="4"/>
  </rowFields>
  <rowItems count="20">
    <i>
      <x v="17"/>
    </i>
    <i>
      <x v="12"/>
    </i>
    <i>
      <x v="7"/>
    </i>
    <i>
      <x v="15"/>
    </i>
    <i>
      <x v="9"/>
    </i>
    <i>
      <x v="5"/>
    </i>
    <i>
      <x v="13"/>
    </i>
    <i>
      <x v="1"/>
    </i>
    <i>
      <x v="10"/>
    </i>
    <i>
      <x v="4"/>
    </i>
    <i>
      <x v="2"/>
    </i>
    <i>
      <x v="18"/>
    </i>
    <i>
      <x/>
    </i>
    <i>
      <x v="11"/>
    </i>
    <i>
      <x v="16"/>
    </i>
    <i>
      <x v="6"/>
    </i>
    <i>
      <x v="14"/>
    </i>
    <i>
      <x v="3"/>
    </i>
    <i>
      <x v="8"/>
    </i>
    <i t="grand">
      <x/>
    </i>
  </rowItems>
  <colItems count="1">
    <i/>
  </colItems>
  <dataFields count="1">
    <dataField name="Average of Base_Salary" fld="11" subtotal="average" baseField="0" baseItem="0" numFmtId="165"/>
  </dataFields>
  <formats count="2">
    <format dxfId="85">
      <pivotArea field="3" outline="0" collapsedLevelsAreSubtotals="1">
        <references count="1">
          <reference field="4294967294" count="1" selected="0">
            <x v="0"/>
          </reference>
        </references>
      </pivotArea>
    </format>
    <format dxfId="84">
      <pivotArea outline="0" collapsedLevelsAreSubtotals="1" fieldPosition="0">
        <references count="1">
          <reference field="4294967294" count="1" selected="0">
            <x v="0"/>
          </reference>
        </references>
      </pivotArea>
    </format>
  </formats>
  <chartFormats count="5">
    <chartFormat chart="2" format="1"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7464E49-A846-4958-AC32-16FB03D86BFD}"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37:H5028" firstHeaderRow="1" firstDataRow="1" firstDataCol="1"/>
  <pivotFields count="17">
    <pivotField axis="axisRow" compact="0" outline="0" showAll="0" defaultSubtotal="0">
      <items count="4990">
        <item x="0"/>
        <item x="1"/>
        <item x="2"/>
        <item x="3"/>
        <item x="4"/>
        <item x="5"/>
        <item x="6"/>
        <item x="9"/>
        <item x="11"/>
        <item x="14"/>
        <item x="7"/>
        <item x="8"/>
        <item x="16"/>
        <item x="12"/>
        <item x="10"/>
        <item x="17"/>
        <item x="18"/>
        <item x="19"/>
        <item x="13"/>
        <item x="15"/>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s>
    </pivotField>
    <pivotField compact="0" outline="0" showAll="0" defaultSubtotal="0">
      <items count="2">
        <item x="1"/>
        <item x="0"/>
      </items>
    </pivotField>
    <pivotField compact="0" outline="0" showAll="0" defaultSubtotal="0"/>
    <pivotField compact="0" outline="0" showAll="0" defaultSubtotal="0">
      <items count="12">
        <item x="1"/>
        <item m="1" x="11"/>
        <item x="3"/>
        <item m="1" x="10"/>
        <item x="4"/>
        <item m="1" x="7"/>
        <item x="0"/>
        <item m="1" x="9"/>
        <item x="2"/>
        <item m="1" x="8"/>
        <item x="5"/>
        <item m="1" x="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2"/>
        <item x="0"/>
        <item x="1"/>
      </items>
    </pivotField>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5">
        <item x="1"/>
        <item x="0"/>
        <item x="2"/>
        <item x="3"/>
        <item x="4"/>
      </items>
    </pivotField>
  </pivotFields>
  <rowFields count="1">
    <field x="0"/>
  </rowFields>
  <rowItems count="499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t="grand">
      <x/>
    </i>
  </rowItems>
  <colItems count="1">
    <i/>
  </colItems>
  <dataFields count="1">
    <dataField name="Sum of Base_Salary"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46D9F636-975C-4471-9EB4-EE95B1E4D522}" autoFormatId="16" applyNumberFormats="0" applyBorderFormats="0" applyFontFormats="0" applyPatternFormats="0" applyAlignmentFormats="0" applyWidthHeightFormats="0">
  <queryTableRefresh nextId="19">
    <queryTableFields count="17">
      <queryTableField id="1" name="Employee_ID" tableColumnId="1"/>
      <queryTableField id="2" name="Gender" tableColumnId="2"/>
      <queryTableField id="3" name="Age" tableColumnId="3"/>
      <queryTableField id="4" name="Department" tableColumnId="4"/>
      <queryTableField id="5" name="Job_Role" tableColumnId="5"/>
      <queryTableField id="6" name="Education_Level" tableColumnId="6"/>
      <queryTableField id="7" name="Years_at_Company" tableColumnId="7"/>
      <queryTableField id="8" name="Years_in_Role" tableColumnId="8"/>
      <queryTableField id="17" dataBound="0" tableColumnId="19"/>
      <queryTableField id="9" name="Performance_Rating" tableColumnId="9"/>
      <queryTableField id="10" name="Employment_Type" tableColumnId="10"/>
      <queryTableField id="11" name="Base_Salary" tableColumnId="11"/>
      <queryTableField id="12" name="Bonus" tableColumnId="12"/>
      <queryTableField id="13" name="Total_Compensation" tableColumnId="13"/>
      <queryTableField id="14" name="Salary_Band" tableColumnId="14"/>
      <queryTableField id="15" name="Hire_Date" tableColumnId="15"/>
      <queryTableField id="18" name="Educational_Level Slicer"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73E8989F-8C70-466E-BA07-16A5D4D895DD}" sourceName="Gender">
  <pivotTables>
    <pivotTable tabId="16" name="PT01 - Total Employees"/>
    <pivotTable tabId="16" name="PT05 - Compensation by Gender"/>
    <pivotTable tabId="16" name="PT02_ Average Base Salary"/>
    <pivotTable tabId="16" name="PT04_ Average Total Compensation"/>
    <pivotTable tabId="16" name="PT06 - Compensation by Department"/>
    <pivotTable tabId="16" name="PT07 - Compensation by Job Role"/>
    <pivotTable tabId="16" name="PT08 - Compensation by Tenure"/>
    <pivotTable tabId="16" name="PT09 - Compensation by Education"/>
    <pivotTable tabId="16" name="PT10 - Average BS by Job Role and Gender"/>
    <pivotTable tabId="16" name="PivotTable1"/>
    <pivotTable tabId="16" name="PivotTable19"/>
  </pivotTables>
  <data>
    <tabular pivotCacheId="35274155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D8032624-84C2-4675-9061-01D69079CC96}" sourceName="Department">
  <pivotTables>
    <pivotTable tabId="16" name="PT01 - Total Employees"/>
    <pivotTable tabId="16" name="PT05 - Compensation by Gender"/>
    <pivotTable tabId="16" name="PT02_ Average Base Salary"/>
    <pivotTable tabId="16" name="PT04_ Average Total Compensation"/>
    <pivotTable tabId="16" name="PT06 - Compensation by Department"/>
    <pivotTable tabId="16" name="PT07 - Compensation by Job Role"/>
    <pivotTable tabId="16" name="PT08 - Compensation by Tenure"/>
    <pivotTable tabId="16" name="PT09 - Compensation by Education"/>
    <pivotTable tabId="16" name="PT10 - Average BS by Job Role and Gender"/>
    <pivotTable tabId="16" name="PivotTable1"/>
    <pivotTable tabId="16" name="PivotTable19"/>
  </pivotTables>
  <data>
    <tabular pivotCacheId="352741554" showMissing="0">
      <items count="12">
        <i x="1" s="1"/>
        <i x="3" s="1"/>
        <i x="4" s="1"/>
        <i x="0" s="1"/>
        <i x="2" s="1"/>
        <i x="5" s="1"/>
        <i x="11" s="1" nd="1"/>
        <i x="10" s="1" nd="1"/>
        <i x="7" s="1" nd="1"/>
        <i x="9" s="1" nd="1"/>
        <i x="8" s="1" nd="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1" xr10:uid="{0651E2F6-1186-4F80-AC43-276AAEACB46F}" sourceName="Employment_Type">
  <pivotTables>
    <pivotTable tabId="16" name="PT01 - Total Employees"/>
    <pivotTable tabId="16" name="PT05 - Compensation by Gender"/>
    <pivotTable tabId="16" name="PT02_ Average Base Salary"/>
    <pivotTable tabId="16" name="PT04_ Average Total Compensation"/>
    <pivotTable tabId="16" name="PT06 - Compensation by Department"/>
    <pivotTable tabId="16" name="PT07 - Compensation by Job Role"/>
    <pivotTable tabId="16" name="PT08 - Compensation by Tenure"/>
    <pivotTable tabId="16" name="PT09 - Compensation by Education"/>
    <pivotTable tabId="16" name="PT10 - Average BS by Job Role and Gender"/>
    <pivotTable tabId="16" name="PivotTable1"/>
    <pivotTable tabId="16" name="PivotTable19"/>
  </pivotTables>
  <data>
    <tabular pivotCacheId="352741554">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al_Level_Slicer" xr10:uid="{B325DE00-CBF2-4A7B-AD50-4DC507537591}" sourceName="Educational_Level Slicer">
  <pivotTables>
    <pivotTable tabId="16" name="PivotTable19"/>
    <pivotTable tabId="16" name="PT01 - Total Employees"/>
    <pivotTable tabId="16" name="PT02_ Average Base Salary"/>
    <pivotTable tabId="16" name="PT04_ Average Total Compensation"/>
    <pivotTable tabId="16" name="PT05 - Compensation by Gender"/>
    <pivotTable tabId="16" name="PT06 - Compensation by Department"/>
    <pivotTable tabId="16" name="PT07 - Compensation by Job Role"/>
    <pivotTable tabId="16" name="PT08 - Compensation by Tenure"/>
    <pivotTable tabId="16" name="PT09 - Compensation by Education"/>
    <pivotTable tabId="16" name="PT10 - Average BS by Job Role and Gender"/>
    <pivotTable tabId="16" name="PivotTable1"/>
  </pivotTables>
  <data>
    <tabular pivotCacheId="352741554">
      <items count="5">
        <i x="1" s="1"/>
        <i x="0"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2036A492-B5F3-470E-9F84-C10356D37B32}" cache="Slicer_Gender1" caption="Gender" lockedPosition="1" rowHeight="241300"/>
  <slicer name="Department 2" xr10:uid="{DD2CBAE7-0EA2-470B-BD26-A5910C8F4AFF}" cache="Slicer_Department1" caption="Department" columnCount="3" lockedPosition="1" rowHeight="241300"/>
  <slicer name="Employment_Type 2" xr10:uid="{42C06DC8-A724-425F-A2DA-F9548211D3BB}" cache="Slicer_Employment_Type1" caption="Employment_Type" columnCount="3" lockedPosition="1" rowHeight="241300"/>
  <slicer name="Educational_Level Slicer" xr10:uid="{D1A5C1F4-5D47-47AB-B439-111FB27643B5}" cache="Slicer_Educational_Level_Slicer" caption="Educational_Level Slicer" columnCount="3" lockedPosition="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3E39308-3EDA-4EF3-92C5-92E475ED3A8A}" name="Compensation_Cleaned" displayName="Compensation_Cleaned" ref="A1:Q4991" tableType="queryTable" totalsRowShown="0">
  <autoFilter ref="A1:Q4991" xr:uid="{43E39308-3EDA-4EF3-92C5-92E475ED3A8A}"/>
  <tableColumns count="17">
    <tableColumn id="1" xr3:uid="{282F93A1-B15D-4767-A7E2-103B4DD40A08}" uniqueName="1" name="Employee_ID" queryTableFieldId="1"/>
    <tableColumn id="2" xr3:uid="{700385C9-067A-446D-AC2B-99D15918880E}" uniqueName="2" name="Gender" queryTableFieldId="2" dataDxfId="92"/>
    <tableColumn id="3" xr3:uid="{8E19C38C-5F35-4262-A1CA-A6AEB4AC5AEF}" uniqueName="3" name="Age" queryTableFieldId="3"/>
    <tableColumn id="4" xr3:uid="{27A6AC11-9D4D-4AC4-B779-065BC0B92E19}" uniqueName="4" name="Department" queryTableFieldId="4" dataDxfId="91"/>
    <tableColumn id="5" xr3:uid="{C86E8FF0-EEA8-434A-8178-C732EA69CF8E}" uniqueName="5" name="Job_Role" queryTableFieldId="5" dataDxfId="90"/>
    <tableColumn id="6" xr3:uid="{5E8A0CC5-6F91-4B0F-A8F4-52253D310857}" uniqueName="6" name="Education_Level" queryTableFieldId="6" dataDxfId="89"/>
    <tableColumn id="7" xr3:uid="{0414257D-8BE4-404C-AFD0-5A571252C76F}" uniqueName="7" name="Years_at_Company" queryTableFieldId="7"/>
    <tableColumn id="8" xr3:uid="{C24EB585-A0C6-4818-8032-D277AECCD6BB}" uniqueName="8" name="Years_in_Role" queryTableFieldId="8"/>
    <tableColumn id="19" xr3:uid="{7519A583-850A-4A7C-B257-2C90C09B6533}" uniqueName="19" name="Tenure_Group" queryTableFieldId="17" dataDxfId="88">
      <calculatedColumnFormula array="1">_xlfn.IFS(G2&lt;3, "0–2 Years", G2&lt;6, "3–5 Years", G2&lt;9, "6–8 Years", G2&lt;12, "9-11 Years", G2&gt;=12, "12-14 Years")</calculatedColumnFormula>
    </tableColumn>
    <tableColumn id="9" xr3:uid="{8CF0659F-A29A-441C-8D55-158077006AF1}" uniqueName="9" name="Performance_Rating" queryTableFieldId="9"/>
    <tableColumn id="10" xr3:uid="{5CCE673D-966F-4C48-94B3-5A3B7071B5B5}" uniqueName="10" name="Employment_Type" queryTableFieldId="10" dataDxfId="87"/>
    <tableColumn id="11" xr3:uid="{5556AAFA-C777-4C98-88E2-C49F74CB9B83}" uniqueName="11" name="Base_Salary" queryTableFieldId="11"/>
    <tableColumn id="12" xr3:uid="{FC79AD64-13BF-4520-AEA0-3F9141F483B7}" uniqueName="12" name="Bonus" queryTableFieldId="12"/>
    <tableColumn id="13" xr3:uid="{10528E9B-A01C-4923-9C9A-0F298FAEB561}" uniqueName="13" name="Total_Compensation" queryTableFieldId="13"/>
    <tableColumn id="14" xr3:uid="{6D0A8BFC-EF3B-4025-A613-152C14345C04}" uniqueName="14" name="Salary_Band" queryTableFieldId="14"/>
    <tableColumn id="15" xr3:uid="{4DB896CC-95A6-4ADF-9F4E-88FA76B488B0}" uniqueName="15" name="Hire_Date" queryTableFieldId="15" dataDxfId="86"/>
    <tableColumn id="16" xr3:uid="{CECD6763-32EF-4F78-9CF4-27FE07383293}" uniqueName="16" name="Educational_Level Slicer" queryTableField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12D165-C2D9-4945-897B-48EF5B0E5789}" name="Table1" displayName="Table1" ref="D10:E14" totalsRowShown="0">
  <autoFilter ref="D10:E14" xr:uid="{CC12D165-C2D9-4945-897B-48EF5B0E5789}"/>
  <tableColumns count="2">
    <tableColumn id="1" xr3:uid="{455D9B3B-4C91-4C89-935B-61208D73316C}" name="Education Level"/>
    <tableColumn id="2" xr3:uid="{6FBC5CD1-DAD1-4BDC-8C1C-5C171DCEA564}" name="Average Base Salary" dataDxfId="6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24E55-13AE-41F4-AC78-D46A519BBAAF}">
  <dimension ref="A1:Q5001"/>
  <sheetViews>
    <sheetView workbookViewId="0">
      <selection activeCell="G26" sqref="G26"/>
    </sheetView>
  </sheetViews>
  <sheetFormatPr defaultRowHeight="14.5" x14ac:dyDescent="0.35"/>
  <cols>
    <col min="1" max="1" width="14.08984375" bestFit="1" customWidth="1"/>
    <col min="2" max="2" width="9.26953125" bestFit="1" customWidth="1"/>
    <col min="3" max="3" width="6.1796875" style="7" bestFit="1" customWidth="1"/>
    <col min="4" max="4" width="13.36328125" bestFit="1" customWidth="1"/>
    <col min="5" max="5" width="18.36328125" bestFit="1" customWidth="1"/>
    <col min="6" max="6" width="16.7265625" bestFit="1" customWidth="1"/>
    <col min="7" max="7" width="19.453125" style="9" bestFit="1" customWidth="1"/>
    <col min="8" max="8" width="14.81640625" bestFit="1" customWidth="1"/>
    <col min="9" max="9" width="15.36328125" bestFit="1" customWidth="1"/>
    <col min="10" max="10" width="20.36328125" style="7" bestFit="1" customWidth="1"/>
    <col min="11" max="11" width="18.81640625" bestFit="1" customWidth="1"/>
    <col min="12" max="12" width="13" style="7" bestFit="1" customWidth="1"/>
    <col min="13" max="13" width="8.26953125" style="7" bestFit="1" customWidth="1"/>
    <col min="14" max="14" width="20.7265625" style="7" bestFit="1" customWidth="1"/>
    <col min="15" max="15" width="13.36328125" bestFit="1" customWidth="1"/>
    <col min="16" max="16" width="11.54296875" style="3" bestFit="1" customWidth="1"/>
    <col min="17" max="17" width="23.08984375" style="3" bestFit="1" customWidth="1"/>
  </cols>
  <sheetData>
    <row r="1" spans="1:17" x14ac:dyDescent="0.35">
      <c r="A1" t="s">
        <v>0</v>
      </c>
      <c r="B1" t="s">
        <v>1</v>
      </c>
      <c r="C1" s="7" t="s">
        <v>2</v>
      </c>
      <c r="D1" t="s">
        <v>3</v>
      </c>
      <c r="E1" t="s">
        <v>4</v>
      </c>
      <c r="F1" t="s">
        <v>5</v>
      </c>
      <c r="G1" s="9" t="s">
        <v>6</v>
      </c>
      <c r="H1" t="s">
        <v>7</v>
      </c>
      <c r="I1" t="s">
        <v>5053</v>
      </c>
      <c r="J1" s="7" t="s">
        <v>8</v>
      </c>
      <c r="K1" t="s">
        <v>9</v>
      </c>
      <c r="L1" s="7" t="s">
        <v>10</v>
      </c>
      <c r="M1" s="7" t="s">
        <v>11</v>
      </c>
      <c r="N1" s="7" t="s">
        <v>12</v>
      </c>
      <c r="O1" t="s">
        <v>13</v>
      </c>
      <c r="P1" s="3" t="s">
        <v>14</v>
      </c>
      <c r="Q1" t="s">
        <v>5103</v>
      </c>
    </row>
    <row r="2" spans="1:17" x14ac:dyDescent="0.35">
      <c r="A2" t="s">
        <v>15</v>
      </c>
      <c r="B2" t="s">
        <v>16</v>
      </c>
      <c r="C2">
        <v>34</v>
      </c>
      <c r="D2" t="s">
        <v>17</v>
      </c>
      <c r="E2" t="s">
        <v>18</v>
      </c>
      <c r="F2" t="s">
        <v>19</v>
      </c>
      <c r="G2">
        <v>2.7</v>
      </c>
      <c r="H2">
        <v>2.7</v>
      </c>
      <c r="I2" t="str" cm="1">
        <f t="array" ref="I2">_xlfn.IFS(G2&lt;3, "0–2 Years", G2&lt;6, "3–5 Years", G2&lt;9, "6–8 Years", G2&lt;12, "9-11 Years", G2&gt;=12, "12-14 Years")</f>
        <v>0–2 Years</v>
      </c>
      <c r="J2">
        <v>1</v>
      </c>
      <c r="K2" t="s">
        <v>20</v>
      </c>
      <c r="L2">
        <v>75900</v>
      </c>
      <c r="M2">
        <v>4100</v>
      </c>
      <c r="N2">
        <v>80000</v>
      </c>
      <c r="O2" t="s">
        <v>21</v>
      </c>
      <c r="P2" s="3">
        <v>45055</v>
      </c>
      <c r="Q2" t="s">
        <v>19</v>
      </c>
    </row>
    <row r="3" spans="1:17" x14ac:dyDescent="0.35">
      <c r="A3" t="s">
        <v>22</v>
      </c>
      <c r="B3" t="s">
        <v>23</v>
      </c>
      <c r="C3">
        <v>34</v>
      </c>
      <c r="D3" t="s">
        <v>17</v>
      </c>
      <c r="E3" t="s">
        <v>18</v>
      </c>
      <c r="F3" t="s">
        <v>19</v>
      </c>
      <c r="G3">
        <v>3.7</v>
      </c>
      <c r="H3">
        <v>1.9</v>
      </c>
      <c r="I3" t="str" cm="1">
        <f t="array" ref="I3">_xlfn.IFS(G3&lt;3, "0–2 Years", G3&lt;6, "3–5 Years", G3&lt;9, "6–8 Years", G3&lt;12, "9-11 Years", G3&gt;=12, "12-14 Years")</f>
        <v>3–5 Years</v>
      </c>
      <c r="J3">
        <v>4</v>
      </c>
      <c r="K3" t="s">
        <v>24</v>
      </c>
      <c r="L3">
        <v>53100</v>
      </c>
      <c r="M3">
        <v>5000</v>
      </c>
      <c r="N3">
        <v>58100</v>
      </c>
      <c r="O3" t="s">
        <v>25</v>
      </c>
      <c r="P3" s="3">
        <v>44665</v>
      </c>
      <c r="Q3" t="s">
        <v>19</v>
      </c>
    </row>
    <row r="4" spans="1:17" x14ac:dyDescent="0.35">
      <c r="A4" t="s">
        <v>26</v>
      </c>
      <c r="B4" t="s">
        <v>23</v>
      </c>
      <c r="C4">
        <v>21</v>
      </c>
      <c r="D4" t="s">
        <v>17</v>
      </c>
      <c r="E4" t="s">
        <v>27</v>
      </c>
      <c r="F4" t="s">
        <v>28</v>
      </c>
      <c r="G4">
        <v>2</v>
      </c>
      <c r="H4">
        <v>1.3</v>
      </c>
      <c r="I4" t="str" cm="1">
        <f t="array" ref="I4">_xlfn.IFS(G4&lt;3, "0–2 Years", G4&lt;6, "3–5 Years", G4&lt;9, "6–8 Years", G4&lt;12, "9-11 Years", G4&gt;=12, "12-14 Years")</f>
        <v>0–2 Years</v>
      </c>
      <c r="J4">
        <v>3</v>
      </c>
      <c r="K4" t="s">
        <v>20</v>
      </c>
      <c r="L4">
        <v>72800</v>
      </c>
      <c r="M4">
        <v>6900</v>
      </c>
      <c r="N4">
        <v>79700</v>
      </c>
      <c r="O4" t="s">
        <v>21</v>
      </c>
      <c r="P4" s="3">
        <v>45282</v>
      </c>
      <c r="Q4" t="s">
        <v>28</v>
      </c>
    </row>
    <row r="5" spans="1:17" x14ac:dyDescent="0.35">
      <c r="A5" t="s">
        <v>29</v>
      </c>
      <c r="B5" t="s">
        <v>16</v>
      </c>
      <c r="C5">
        <v>23</v>
      </c>
      <c r="D5" t="s">
        <v>17</v>
      </c>
      <c r="E5" t="s">
        <v>27</v>
      </c>
      <c r="F5" t="s">
        <v>28</v>
      </c>
      <c r="G5">
        <v>8.1999999999999993</v>
      </c>
      <c r="H5">
        <v>4</v>
      </c>
      <c r="I5" t="str" cm="1">
        <f t="array" ref="I5">_xlfn.IFS(G5&lt;3, "0–2 Years", G5&lt;6, "3–5 Years", G5&lt;9, "6–8 Years", G5&lt;12, "9-11 Years", G5&gt;=12, "12-14 Years")</f>
        <v>6–8 Years</v>
      </c>
      <c r="J5">
        <v>5</v>
      </c>
      <c r="K5" t="s">
        <v>20</v>
      </c>
      <c r="L5">
        <v>83700</v>
      </c>
      <c r="M5">
        <v>6100</v>
      </c>
      <c r="N5">
        <v>89800</v>
      </c>
      <c r="O5" t="s">
        <v>30</v>
      </c>
      <c r="P5" s="3">
        <v>43010</v>
      </c>
      <c r="Q5" t="s">
        <v>28</v>
      </c>
    </row>
    <row r="6" spans="1:17" x14ac:dyDescent="0.35">
      <c r="A6" t="s">
        <v>31</v>
      </c>
      <c r="B6" t="s">
        <v>23</v>
      </c>
      <c r="C6">
        <v>44</v>
      </c>
      <c r="D6" t="s">
        <v>17</v>
      </c>
      <c r="E6" t="s">
        <v>32</v>
      </c>
      <c r="F6" t="s">
        <v>19</v>
      </c>
      <c r="G6">
        <v>4.8</v>
      </c>
      <c r="H6">
        <v>2.8</v>
      </c>
      <c r="I6" t="str" cm="1">
        <f t="array" ref="I6">_xlfn.IFS(G6&lt;3, "0–2 Years", G6&lt;6, "3–5 Years", G6&lt;9, "6–8 Years", G6&lt;12, "9-11 Years", G6&gt;=12, "12-14 Years")</f>
        <v>3–5 Years</v>
      </c>
      <c r="J6">
        <v>3</v>
      </c>
      <c r="K6" t="s">
        <v>20</v>
      </c>
      <c r="L6">
        <v>58900</v>
      </c>
      <c r="M6">
        <v>6100</v>
      </c>
      <c r="N6">
        <v>65000</v>
      </c>
      <c r="O6" t="s">
        <v>25</v>
      </c>
      <c r="P6" s="3">
        <v>44278</v>
      </c>
      <c r="Q6" t="s">
        <v>19</v>
      </c>
    </row>
    <row r="7" spans="1:17" x14ac:dyDescent="0.35">
      <c r="A7" t="s">
        <v>33</v>
      </c>
      <c r="B7" t="s">
        <v>16</v>
      </c>
      <c r="C7" s="7">
        <v>38</v>
      </c>
      <c r="D7" t="s">
        <v>34</v>
      </c>
      <c r="E7" t="s">
        <v>35</v>
      </c>
      <c r="F7" t="s">
        <v>36</v>
      </c>
      <c r="G7" s="9">
        <v>13.6</v>
      </c>
      <c r="H7" s="7">
        <v>8.9</v>
      </c>
      <c r="I7" t="str" cm="1">
        <f t="array" ref="I7">_xlfn.IFS(G7&lt;3, "0–2 Years", G7&lt;6, "3–5 Years", G7&lt;9, "6–8 Years", G7&lt;12, "9-11 Years", G7&gt;=12, "12-14 Years")</f>
        <v>12-14 Years</v>
      </c>
      <c r="J7" s="7">
        <v>3</v>
      </c>
      <c r="K7" t="s">
        <v>20</v>
      </c>
      <c r="L7" s="7">
        <v>92700</v>
      </c>
      <c r="M7" s="7">
        <v>8800</v>
      </c>
      <c r="N7" s="7">
        <v>101500</v>
      </c>
      <c r="O7" t="s">
        <v>30</v>
      </c>
      <c r="P7" s="3">
        <v>41053</v>
      </c>
      <c r="Q7" t="s">
        <v>36</v>
      </c>
    </row>
    <row r="8" spans="1:17" x14ac:dyDescent="0.35">
      <c r="A8" t="s">
        <v>37</v>
      </c>
      <c r="B8" t="s">
        <v>23</v>
      </c>
      <c r="C8">
        <v>49</v>
      </c>
      <c r="D8" t="s">
        <v>38</v>
      </c>
      <c r="E8" t="s">
        <v>39</v>
      </c>
      <c r="F8" t="s">
        <v>36</v>
      </c>
      <c r="G8">
        <v>11</v>
      </c>
      <c r="H8">
        <v>8.4</v>
      </c>
      <c r="I8" t="str" cm="1">
        <f t="array" ref="I8">_xlfn.IFS(G8&lt;3, "0–2 Years", G8&lt;6, "3–5 Years", G8&lt;9, "6–8 Years", G8&lt;12, "9-11 Years", G8&gt;=12, "12-14 Years")</f>
        <v>9-11 Years</v>
      </c>
      <c r="J8">
        <v>2</v>
      </c>
      <c r="K8" t="s">
        <v>20</v>
      </c>
      <c r="L8">
        <v>85000</v>
      </c>
      <c r="M8">
        <v>3800</v>
      </c>
      <c r="N8">
        <v>88800</v>
      </c>
      <c r="O8" t="s">
        <v>30</v>
      </c>
      <c r="P8" s="3">
        <v>42021</v>
      </c>
      <c r="Q8" t="s">
        <v>36</v>
      </c>
    </row>
    <row r="9" spans="1:17" x14ac:dyDescent="0.35">
      <c r="A9" t="s">
        <v>48</v>
      </c>
      <c r="B9" t="s">
        <v>23</v>
      </c>
      <c r="C9">
        <v>37</v>
      </c>
      <c r="D9" t="s">
        <v>38</v>
      </c>
      <c r="E9" t="s">
        <v>39</v>
      </c>
      <c r="F9" t="s">
        <v>28</v>
      </c>
      <c r="G9">
        <v>2.1</v>
      </c>
      <c r="H9">
        <v>2.1</v>
      </c>
      <c r="I9" t="str" cm="1">
        <f t="array" ref="I9">_xlfn.IFS(G9&lt;3, "0–2 Years", G9&lt;6, "3–5 Years", G9&lt;9, "6–8 Years", G9&lt;12, "9-11 Years", G9&gt;=12, "12-14 Years")</f>
        <v>0–2 Years</v>
      </c>
      <c r="J9">
        <v>3</v>
      </c>
      <c r="K9" t="s">
        <v>20</v>
      </c>
      <c r="L9">
        <v>78200</v>
      </c>
      <c r="M9">
        <v>7500</v>
      </c>
      <c r="N9">
        <v>85700</v>
      </c>
      <c r="O9" t="s">
        <v>21</v>
      </c>
      <c r="P9" s="3">
        <v>45260</v>
      </c>
      <c r="Q9" t="s">
        <v>28</v>
      </c>
    </row>
    <row r="10" spans="1:17" x14ac:dyDescent="0.35">
      <c r="A10" t="s">
        <v>49</v>
      </c>
      <c r="B10" t="s">
        <v>23</v>
      </c>
      <c r="C10">
        <v>26</v>
      </c>
      <c r="D10" t="s">
        <v>38</v>
      </c>
      <c r="E10" t="s">
        <v>39</v>
      </c>
      <c r="F10" t="s">
        <v>36</v>
      </c>
      <c r="G10">
        <v>3.4</v>
      </c>
      <c r="H10">
        <v>0.3</v>
      </c>
      <c r="I10" t="str" cm="1">
        <f t="array" ref="I10">_xlfn.IFS(G10&lt;3, "0–2 Years", G10&lt;6, "3–5 Years", G10&lt;9, "6–8 Years", G10&lt;12, "9-11 Years", G10&gt;=12, "12-14 Years")</f>
        <v>3–5 Years</v>
      </c>
      <c r="J10">
        <v>3</v>
      </c>
      <c r="K10" t="s">
        <v>20</v>
      </c>
      <c r="L10">
        <v>71100</v>
      </c>
      <c r="M10">
        <v>7000</v>
      </c>
      <c r="N10">
        <v>78100</v>
      </c>
      <c r="O10" t="s">
        <v>21</v>
      </c>
      <c r="P10" s="3">
        <v>44777</v>
      </c>
      <c r="Q10" t="s">
        <v>36</v>
      </c>
    </row>
    <row r="11" spans="1:17" x14ac:dyDescent="0.35">
      <c r="A11" t="s">
        <v>40</v>
      </c>
      <c r="B11" t="s">
        <v>23</v>
      </c>
      <c r="C11">
        <v>22</v>
      </c>
      <c r="D11" t="s">
        <v>41</v>
      </c>
      <c r="E11" t="s">
        <v>42</v>
      </c>
      <c r="F11" t="s">
        <v>36</v>
      </c>
      <c r="G11">
        <v>8.1</v>
      </c>
      <c r="H11">
        <v>4.9000000000000004</v>
      </c>
      <c r="I11" t="str" cm="1">
        <f t="array" ref="I11">_xlfn.IFS(G11&lt;3, "0–2 Years", G11&lt;6, "3–5 Years", G11&lt;9, "6–8 Years", G11&lt;12, "9-11 Years", G11&gt;=12, "12-14 Years")</f>
        <v>6–8 Years</v>
      </c>
      <c r="J11">
        <v>2</v>
      </c>
      <c r="K11" t="s">
        <v>20</v>
      </c>
      <c r="L11">
        <v>82300</v>
      </c>
      <c r="M11">
        <v>4000</v>
      </c>
      <c r="N11">
        <v>86300</v>
      </c>
      <c r="O11" t="s">
        <v>30</v>
      </c>
      <c r="P11" s="3">
        <v>43069</v>
      </c>
      <c r="Q11" t="s">
        <v>36</v>
      </c>
    </row>
    <row r="12" spans="1:17" x14ac:dyDescent="0.35">
      <c r="A12" t="s">
        <v>53</v>
      </c>
      <c r="B12" t="s">
        <v>16</v>
      </c>
      <c r="C12" s="7">
        <v>34</v>
      </c>
      <c r="D12" t="s">
        <v>41</v>
      </c>
      <c r="E12" t="s">
        <v>42</v>
      </c>
      <c r="F12" t="s">
        <v>28</v>
      </c>
      <c r="G12" s="9">
        <v>12.2</v>
      </c>
      <c r="H12" s="7">
        <v>7.8</v>
      </c>
      <c r="I12" t="str" cm="1">
        <f t="array" ref="I12">_xlfn.IFS(G12&lt;3, "0–2 Years", G12&lt;6, "3–5 Years", G12&lt;9, "6–8 Years", G12&lt;12, "9-11 Years", G12&gt;=12, "12-14 Years")</f>
        <v>12-14 Years</v>
      </c>
      <c r="J12" s="7">
        <v>5</v>
      </c>
      <c r="K12" t="s">
        <v>20</v>
      </c>
      <c r="L12" s="7">
        <v>81100</v>
      </c>
      <c r="M12" s="7">
        <v>7000</v>
      </c>
      <c r="N12" s="7">
        <v>88100</v>
      </c>
      <c r="O12" t="s">
        <v>30</v>
      </c>
      <c r="P12" s="3">
        <v>41567</v>
      </c>
      <c r="Q12" t="s">
        <v>28</v>
      </c>
    </row>
    <row r="13" spans="1:17" x14ac:dyDescent="0.35">
      <c r="A13" t="s">
        <v>43</v>
      </c>
      <c r="B13" t="s">
        <v>23</v>
      </c>
      <c r="C13">
        <v>28</v>
      </c>
      <c r="D13" t="s">
        <v>44</v>
      </c>
      <c r="E13" t="s">
        <v>45</v>
      </c>
      <c r="F13" t="s">
        <v>19</v>
      </c>
      <c r="G13">
        <v>2.2000000000000002</v>
      </c>
      <c r="H13">
        <v>1.3</v>
      </c>
      <c r="I13" t="str" cm="1">
        <f t="array" ref="I13">_xlfn.IFS(G13&lt;3, "0–2 Years", G13&lt;6, "3–5 Years", G13&lt;9, "6–8 Years", G13&lt;12, "9-11 Years", G13&gt;=12, "12-14 Years")</f>
        <v>0–2 Years</v>
      </c>
      <c r="J13">
        <v>3</v>
      </c>
      <c r="K13" t="s">
        <v>20</v>
      </c>
      <c r="L13">
        <v>78400</v>
      </c>
      <c r="M13">
        <v>5900</v>
      </c>
      <c r="N13">
        <v>84300</v>
      </c>
      <c r="O13" t="s">
        <v>21</v>
      </c>
      <c r="P13" s="3">
        <v>45219</v>
      </c>
      <c r="Q13" t="s">
        <v>19</v>
      </c>
    </row>
    <row r="14" spans="1:17" x14ac:dyDescent="0.35">
      <c r="A14" t="s">
        <v>52</v>
      </c>
      <c r="B14" t="s">
        <v>23</v>
      </c>
      <c r="C14">
        <v>35</v>
      </c>
      <c r="D14" t="s">
        <v>44</v>
      </c>
      <c r="E14" t="s">
        <v>45</v>
      </c>
      <c r="F14" t="s">
        <v>36</v>
      </c>
      <c r="G14">
        <v>1.9</v>
      </c>
      <c r="H14">
        <v>1.3</v>
      </c>
      <c r="I14" t="str" cm="1">
        <f t="array" ref="I14">_xlfn.IFS(G14&lt;3, "0–2 Years", G14&lt;6, "3–5 Years", G14&lt;9, "6–8 Years", G14&lt;12, "9-11 Years", G14&gt;=12, "12-14 Years")</f>
        <v>0–2 Years</v>
      </c>
      <c r="J14">
        <v>4</v>
      </c>
      <c r="K14" t="s">
        <v>20</v>
      </c>
      <c r="L14">
        <v>81000</v>
      </c>
      <c r="M14">
        <v>11100</v>
      </c>
      <c r="N14">
        <v>92100</v>
      </c>
      <c r="O14" t="s">
        <v>30</v>
      </c>
      <c r="P14" s="3">
        <v>45344</v>
      </c>
      <c r="Q14" t="s">
        <v>36</v>
      </c>
    </row>
    <row r="15" spans="1:17" x14ac:dyDescent="0.35">
      <c r="A15" t="s">
        <v>63</v>
      </c>
      <c r="B15" t="s">
        <v>23</v>
      </c>
      <c r="C15">
        <v>21</v>
      </c>
      <c r="D15" t="s">
        <v>44</v>
      </c>
      <c r="E15" t="s">
        <v>45</v>
      </c>
      <c r="F15" t="s">
        <v>28</v>
      </c>
      <c r="G15">
        <v>3.9</v>
      </c>
      <c r="H15">
        <v>2.7</v>
      </c>
      <c r="I15" t="str" cm="1">
        <f t="array" ref="I15">_xlfn.IFS(G15&lt;3, "0–2 Years", G15&lt;6, "3–5 Years", G15&lt;9, "6–8 Years", G15&lt;12, "9-11 Years", G15&gt;=12, "12-14 Years")</f>
        <v>3–5 Years</v>
      </c>
      <c r="J15">
        <v>4</v>
      </c>
      <c r="K15" t="s">
        <v>24</v>
      </c>
      <c r="L15">
        <v>51100</v>
      </c>
      <c r="M15">
        <v>3100</v>
      </c>
      <c r="N15">
        <v>54200</v>
      </c>
      <c r="O15" t="s">
        <v>25</v>
      </c>
      <c r="P15" s="3">
        <v>44590</v>
      </c>
      <c r="Q15" t="s">
        <v>28</v>
      </c>
    </row>
    <row r="16" spans="1:17" x14ac:dyDescent="0.35">
      <c r="A16" t="s">
        <v>46</v>
      </c>
      <c r="B16" t="s">
        <v>16</v>
      </c>
      <c r="C16">
        <v>39</v>
      </c>
      <c r="D16" t="s">
        <v>34</v>
      </c>
      <c r="E16" t="s">
        <v>47</v>
      </c>
      <c r="F16" t="s">
        <v>19</v>
      </c>
      <c r="G16">
        <v>11</v>
      </c>
      <c r="H16">
        <v>7.5</v>
      </c>
      <c r="I16" t="str" cm="1">
        <f t="array" ref="I16">_xlfn.IFS(G16&lt;3, "0–2 Years", G16&lt;6, "3–5 Years", G16&lt;9, "6–8 Years", G16&lt;12, "9-11 Years", G16&gt;=12, "12-14 Years")</f>
        <v>9-11 Years</v>
      </c>
      <c r="J16">
        <v>3</v>
      </c>
      <c r="K16" t="s">
        <v>20</v>
      </c>
      <c r="L16">
        <v>85100</v>
      </c>
      <c r="M16">
        <v>8900</v>
      </c>
      <c r="N16">
        <v>94000</v>
      </c>
      <c r="O16" t="s">
        <v>30</v>
      </c>
      <c r="P16" s="3">
        <v>42000</v>
      </c>
      <c r="Q16" t="s">
        <v>19</v>
      </c>
    </row>
    <row r="17" spans="1:17" x14ac:dyDescent="0.35">
      <c r="A17" t="s">
        <v>64</v>
      </c>
      <c r="B17" t="s">
        <v>23</v>
      </c>
      <c r="C17">
        <v>35</v>
      </c>
      <c r="D17" t="s">
        <v>34</v>
      </c>
      <c r="E17" t="s">
        <v>47</v>
      </c>
      <c r="F17" t="s">
        <v>28</v>
      </c>
      <c r="G17">
        <v>1.9</v>
      </c>
      <c r="H17">
        <v>1.9</v>
      </c>
      <c r="I17" t="str" cm="1">
        <f t="array" ref="I17">_xlfn.IFS(G17&lt;3, "0–2 Years", G17&lt;6, "3–5 Years", G17&lt;9, "6–8 Years", G17&lt;12, "9-11 Years", G17&gt;=12, "12-14 Years")</f>
        <v>0–2 Years</v>
      </c>
      <c r="J17">
        <v>4</v>
      </c>
      <c r="K17" t="s">
        <v>24</v>
      </c>
      <c r="L17">
        <v>48900</v>
      </c>
      <c r="M17">
        <v>3800</v>
      </c>
      <c r="N17">
        <v>52700</v>
      </c>
      <c r="O17" t="s">
        <v>65</v>
      </c>
      <c r="P17" s="3">
        <v>45326</v>
      </c>
      <c r="Q17" t="s">
        <v>28</v>
      </c>
    </row>
    <row r="18" spans="1:17" x14ac:dyDescent="0.35">
      <c r="A18" t="s">
        <v>50</v>
      </c>
      <c r="B18" t="s">
        <v>23</v>
      </c>
      <c r="C18">
        <v>38</v>
      </c>
      <c r="D18" t="s">
        <v>44</v>
      </c>
      <c r="E18" t="s">
        <v>51</v>
      </c>
      <c r="F18" t="s">
        <v>36</v>
      </c>
      <c r="G18">
        <v>1.8</v>
      </c>
      <c r="H18">
        <v>1</v>
      </c>
      <c r="I18" t="str" cm="1">
        <f t="array" ref="I18">_xlfn.IFS(G18&lt;3, "0–2 Years", G18&lt;6, "3–5 Years", G18&lt;9, "6–8 Years", G18&lt;12, "9-11 Years", G18&gt;=12, "12-14 Years")</f>
        <v>0–2 Years</v>
      </c>
      <c r="J18">
        <v>2</v>
      </c>
      <c r="K18" t="s">
        <v>20</v>
      </c>
      <c r="L18">
        <v>83100</v>
      </c>
      <c r="M18">
        <v>4500</v>
      </c>
      <c r="N18">
        <v>87600</v>
      </c>
      <c r="O18" t="s">
        <v>30</v>
      </c>
      <c r="P18" s="3">
        <v>45371</v>
      </c>
      <c r="Q18" t="s">
        <v>36</v>
      </c>
    </row>
    <row r="19" spans="1:17" x14ac:dyDescent="0.35">
      <c r="A19" t="s">
        <v>54</v>
      </c>
      <c r="B19" t="s">
        <v>16</v>
      </c>
      <c r="C19">
        <v>43</v>
      </c>
      <c r="D19" t="s">
        <v>55</v>
      </c>
      <c r="E19" t="s">
        <v>56</v>
      </c>
      <c r="F19" t="s">
        <v>28</v>
      </c>
      <c r="G19">
        <v>11.5</v>
      </c>
      <c r="H19">
        <v>8.1</v>
      </c>
      <c r="I19" t="str" cm="1">
        <f t="array" ref="I19">_xlfn.IFS(G19&lt;3, "0–2 Years", G19&lt;6, "3–5 Years", G19&lt;9, "6–8 Years", G19&lt;12, "9-11 Years", G19&gt;=12, "12-14 Years")</f>
        <v>9-11 Years</v>
      </c>
      <c r="J19">
        <v>4</v>
      </c>
      <c r="K19" t="s">
        <v>20</v>
      </c>
      <c r="L19">
        <v>118600</v>
      </c>
      <c r="M19">
        <v>15000</v>
      </c>
      <c r="N19">
        <v>133600</v>
      </c>
      <c r="O19" t="s">
        <v>57</v>
      </c>
      <c r="P19" s="3">
        <v>41813</v>
      </c>
      <c r="Q19" t="s">
        <v>28</v>
      </c>
    </row>
    <row r="20" spans="1:17" x14ac:dyDescent="0.35">
      <c r="A20" t="s">
        <v>58</v>
      </c>
      <c r="B20" t="s">
        <v>16</v>
      </c>
      <c r="C20">
        <v>33</v>
      </c>
      <c r="D20" t="s">
        <v>34</v>
      </c>
      <c r="E20" t="s">
        <v>59</v>
      </c>
      <c r="F20" t="s">
        <v>36</v>
      </c>
      <c r="G20">
        <v>1.4</v>
      </c>
      <c r="H20">
        <v>1</v>
      </c>
      <c r="I20" t="str" cm="1">
        <f t="array" ref="I20">_xlfn.IFS(G20&lt;3, "0–2 Years", G20&lt;6, "3–5 Years", G20&lt;9, "6–8 Years", G20&lt;12, "9-11 Years", G20&gt;=12, "12-14 Years")</f>
        <v>0–2 Years</v>
      </c>
      <c r="J20">
        <v>4</v>
      </c>
      <c r="K20" t="s">
        <v>20</v>
      </c>
      <c r="L20">
        <v>89500</v>
      </c>
      <c r="M20">
        <v>9900</v>
      </c>
      <c r="N20">
        <v>99400</v>
      </c>
      <c r="O20" t="s">
        <v>30</v>
      </c>
      <c r="P20" s="3">
        <v>45506</v>
      </c>
      <c r="Q20" t="s">
        <v>36</v>
      </c>
    </row>
    <row r="21" spans="1:17" x14ac:dyDescent="0.35">
      <c r="A21" t="s">
        <v>60</v>
      </c>
      <c r="B21" t="s">
        <v>16</v>
      </c>
      <c r="C21">
        <v>21</v>
      </c>
      <c r="D21" t="s">
        <v>38</v>
      </c>
      <c r="E21" t="s">
        <v>61</v>
      </c>
      <c r="F21" t="s">
        <v>62</v>
      </c>
      <c r="G21">
        <v>4.3</v>
      </c>
      <c r="H21">
        <v>1.9</v>
      </c>
      <c r="I21" t="str" cm="1">
        <f t="array" ref="I21">_xlfn.IFS(G21&lt;3, "0–2 Years", G21&lt;6, "3–5 Years", G21&lt;9, "6–8 Years", G21&lt;12, "9-11 Years", G21&gt;=12, "12-14 Years")</f>
        <v>3–5 Years</v>
      </c>
      <c r="J21">
        <v>3</v>
      </c>
      <c r="K21" t="s">
        <v>20</v>
      </c>
      <c r="L21">
        <v>99400</v>
      </c>
      <c r="M21">
        <v>7300</v>
      </c>
      <c r="N21">
        <v>106700</v>
      </c>
      <c r="O21" t="s">
        <v>30</v>
      </c>
      <c r="P21" s="3">
        <v>44455</v>
      </c>
      <c r="Q21" t="s">
        <v>62</v>
      </c>
    </row>
    <row r="22" spans="1:17" x14ac:dyDescent="0.35">
      <c r="A22" t="s">
        <v>66</v>
      </c>
      <c r="B22" t="s">
        <v>23</v>
      </c>
      <c r="C22" s="7">
        <v>39</v>
      </c>
      <c r="D22" t="s">
        <v>41</v>
      </c>
      <c r="E22" t="s">
        <v>67</v>
      </c>
      <c r="F22" t="s">
        <v>28</v>
      </c>
      <c r="G22" s="9">
        <v>13.6</v>
      </c>
      <c r="H22" s="7">
        <v>7.7</v>
      </c>
      <c r="I22" t="str" cm="1">
        <f t="array" ref="I22">_xlfn.IFS(G22&lt;3, "0–2 Years", G22&lt;6, "3–5 Years", G22&lt;9, "6–8 Years", G22&lt;12, "9-11 Years", G22&gt;=12, "12-14 Years")</f>
        <v>12-14 Years</v>
      </c>
      <c r="J22" s="7">
        <v>3</v>
      </c>
      <c r="K22" t="s">
        <v>20</v>
      </c>
      <c r="L22" s="7">
        <v>76400</v>
      </c>
      <c r="M22" s="7">
        <v>6000</v>
      </c>
      <c r="N22" s="7">
        <v>82400</v>
      </c>
      <c r="O22" t="s">
        <v>21</v>
      </c>
      <c r="P22" s="3">
        <v>41063</v>
      </c>
      <c r="Q22" t="s">
        <v>28</v>
      </c>
    </row>
    <row r="23" spans="1:17" x14ac:dyDescent="0.35">
      <c r="A23" t="s">
        <v>68</v>
      </c>
      <c r="B23" t="s">
        <v>16</v>
      </c>
      <c r="C23">
        <v>30</v>
      </c>
      <c r="D23" t="s">
        <v>34</v>
      </c>
      <c r="E23" t="s">
        <v>35</v>
      </c>
      <c r="F23" t="s">
        <v>36</v>
      </c>
      <c r="G23">
        <v>10.8</v>
      </c>
      <c r="H23">
        <v>5.5</v>
      </c>
      <c r="I23" t="str" cm="1">
        <f t="array" ref="I23">_xlfn.IFS(G23&lt;3, "0–2 Years", G23&lt;6, "3–5 Years", G23&lt;9, "6–8 Years", G23&lt;12, "9-11 Years", G23&gt;=12, "12-14 Years")</f>
        <v>9-11 Years</v>
      </c>
      <c r="J23">
        <v>2</v>
      </c>
      <c r="K23" t="s">
        <v>69</v>
      </c>
      <c r="L23">
        <v>64000</v>
      </c>
      <c r="M23">
        <v>5100</v>
      </c>
      <c r="N23">
        <v>69100</v>
      </c>
      <c r="O23" t="s">
        <v>25</v>
      </c>
      <c r="P23" s="3">
        <v>42085</v>
      </c>
      <c r="Q23" t="s">
        <v>36</v>
      </c>
    </row>
    <row r="24" spans="1:17" x14ac:dyDescent="0.35">
      <c r="A24" t="s">
        <v>70</v>
      </c>
      <c r="B24" t="s">
        <v>16</v>
      </c>
      <c r="C24">
        <v>21</v>
      </c>
      <c r="D24" t="s">
        <v>44</v>
      </c>
      <c r="E24" t="s">
        <v>45</v>
      </c>
      <c r="F24" t="s">
        <v>36</v>
      </c>
      <c r="G24">
        <v>4.0999999999999996</v>
      </c>
      <c r="H24">
        <v>2.4</v>
      </c>
      <c r="I24" t="str" cm="1">
        <f t="array" ref="I24">_xlfn.IFS(G24&lt;3, "0–2 Years", G24&lt;6, "3–5 Years", G24&lt;9, "6–8 Years", G24&lt;12, "9-11 Years", G24&gt;=12, "12-14 Years")</f>
        <v>3–5 Years</v>
      </c>
      <c r="J24">
        <v>3</v>
      </c>
      <c r="K24" t="s">
        <v>20</v>
      </c>
      <c r="L24">
        <v>68900</v>
      </c>
      <c r="M24">
        <v>10000</v>
      </c>
      <c r="N24">
        <v>78900</v>
      </c>
      <c r="O24" t="s">
        <v>21</v>
      </c>
      <c r="P24" s="3">
        <v>44536</v>
      </c>
      <c r="Q24" t="s">
        <v>36</v>
      </c>
    </row>
    <row r="25" spans="1:17" x14ac:dyDescent="0.35">
      <c r="A25" t="s">
        <v>71</v>
      </c>
      <c r="B25" t="s">
        <v>23</v>
      </c>
      <c r="C25">
        <v>34</v>
      </c>
      <c r="D25" t="s">
        <v>55</v>
      </c>
      <c r="E25" t="s">
        <v>56</v>
      </c>
      <c r="F25" t="s">
        <v>28</v>
      </c>
      <c r="G25">
        <v>5.9</v>
      </c>
      <c r="H25">
        <v>4.4000000000000004</v>
      </c>
      <c r="I25" t="str" cm="1">
        <f t="array" ref="I25">_xlfn.IFS(G25&lt;3, "0–2 Years", G25&lt;6, "3–5 Years", G25&lt;9, "6–8 Years", G25&lt;12, "9-11 Years", G25&gt;=12, "12-14 Years")</f>
        <v>3–5 Years</v>
      </c>
      <c r="J25">
        <v>3</v>
      </c>
      <c r="K25" t="s">
        <v>24</v>
      </c>
      <c r="L25">
        <v>61800</v>
      </c>
      <c r="M25">
        <v>11900</v>
      </c>
      <c r="N25">
        <v>73700</v>
      </c>
      <c r="O25" t="s">
        <v>25</v>
      </c>
      <c r="P25" s="3">
        <v>43866</v>
      </c>
      <c r="Q25" t="s">
        <v>28</v>
      </c>
    </row>
    <row r="26" spans="1:17" x14ac:dyDescent="0.35">
      <c r="A26" t="s">
        <v>72</v>
      </c>
      <c r="B26" t="s">
        <v>23</v>
      </c>
      <c r="C26">
        <v>29</v>
      </c>
      <c r="D26" t="s">
        <v>41</v>
      </c>
      <c r="E26" t="s">
        <v>73</v>
      </c>
      <c r="F26" t="s">
        <v>62</v>
      </c>
      <c r="G26">
        <v>2.8</v>
      </c>
      <c r="H26">
        <v>2.7</v>
      </c>
      <c r="I26" t="str" cm="1">
        <f t="array" ref="I26">_xlfn.IFS(G26&lt;3, "0–2 Years", G26&lt;6, "3–5 Years", G26&lt;9, "6–8 Years", G26&lt;12, "9-11 Years", G26&gt;=12, "12-14 Years")</f>
        <v>0–2 Years</v>
      </c>
      <c r="J26">
        <v>3</v>
      </c>
      <c r="K26" t="s">
        <v>20</v>
      </c>
      <c r="L26">
        <v>101400</v>
      </c>
      <c r="M26">
        <v>5800</v>
      </c>
      <c r="N26">
        <v>107200</v>
      </c>
      <c r="O26" t="s">
        <v>57</v>
      </c>
      <c r="P26" s="3">
        <v>45017</v>
      </c>
      <c r="Q26" t="s">
        <v>62</v>
      </c>
    </row>
    <row r="27" spans="1:17" x14ac:dyDescent="0.35">
      <c r="A27" t="s">
        <v>74</v>
      </c>
      <c r="B27" t="s">
        <v>16</v>
      </c>
      <c r="C27">
        <v>43</v>
      </c>
      <c r="D27" t="s">
        <v>17</v>
      </c>
      <c r="E27" t="s">
        <v>32</v>
      </c>
      <c r="F27" t="s">
        <v>36</v>
      </c>
      <c r="G27">
        <v>2.5</v>
      </c>
      <c r="H27">
        <v>2.5</v>
      </c>
      <c r="I27" t="str" cm="1">
        <f t="array" ref="I27">_xlfn.IFS(G27&lt;3, "0–2 Years", G27&lt;6, "3–5 Years", G27&lt;9, "6–8 Years", G27&lt;12, "9-11 Years", G27&gt;=12, "12-14 Years")</f>
        <v>0–2 Years</v>
      </c>
      <c r="J27">
        <v>3</v>
      </c>
      <c r="K27" t="s">
        <v>20</v>
      </c>
      <c r="L27">
        <v>64200</v>
      </c>
      <c r="M27">
        <v>8500</v>
      </c>
      <c r="N27">
        <v>72700</v>
      </c>
      <c r="O27" t="s">
        <v>25</v>
      </c>
      <c r="P27" s="3">
        <v>45128</v>
      </c>
      <c r="Q27" t="s">
        <v>36</v>
      </c>
    </row>
    <row r="28" spans="1:17" x14ac:dyDescent="0.35">
      <c r="A28" t="s">
        <v>75</v>
      </c>
      <c r="B28" t="s">
        <v>16</v>
      </c>
      <c r="C28">
        <v>42</v>
      </c>
      <c r="D28" t="s">
        <v>44</v>
      </c>
      <c r="E28" t="s">
        <v>76</v>
      </c>
      <c r="F28" t="s">
        <v>36</v>
      </c>
      <c r="G28">
        <v>8.1999999999999993</v>
      </c>
      <c r="H28">
        <v>3.6</v>
      </c>
      <c r="I28" t="str" cm="1">
        <f t="array" ref="I28">_xlfn.IFS(G28&lt;3, "0–2 Years", G28&lt;6, "3–5 Years", G28&lt;9, "6–8 Years", G28&lt;12, "9-11 Years", G28&gt;=12, "12-14 Years")</f>
        <v>6–8 Years</v>
      </c>
      <c r="J28">
        <v>3</v>
      </c>
      <c r="K28" t="s">
        <v>20</v>
      </c>
      <c r="L28">
        <v>109800</v>
      </c>
      <c r="M28">
        <v>11900</v>
      </c>
      <c r="N28">
        <v>121700</v>
      </c>
      <c r="O28" t="s">
        <v>57</v>
      </c>
      <c r="P28" s="3">
        <v>43029</v>
      </c>
      <c r="Q28" t="s">
        <v>36</v>
      </c>
    </row>
    <row r="29" spans="1:17" x14ac:dyDescent="0.35">
      <c r="A29" t="s">
        <v>77</v>
      </c>
      <c r="B29" t="s">
        <v>23</v>
      </c>
      <c r="C29">
        <v>38</v>
      </c>
      <c r="D29" t="s">
        <v>38</v>
      </c>
      <c r="E29" t="s">
        <v>61</v>
      </c>
      <c r="F29" t="s">
        <v>28</v>
      </c>
      <c r="G29">
        <v>2.4</v>
      </c>
      <c r="H29">
        <v>1.6</v>
      </c>
      <c r="I29" t="str" cm="1">
        <f t="array" ref="I29">_xlfn.IFS(G29&lt;3, "0–2 Years", G29&lt;6, "3–5 Years", G29&lt;9, "6–8 Years", G29&lt;12, "9-11 Years", G29&gt;=12, "12-14 Years")</f>
        <v>0–2 Years</v>
      </c>
      <c r="J29">
        <v>5</v>
      </c>
      <c r="K29" t="s">
        <v>20</v>
      </c>
      <c r="L29">
        <v>101900</v>
      </c>
      <c r="M29">
        <v>9800</v>
      </c>
      <c r="N29">
        <v>111700</v>
      </c>
      <c r="O29" t="s">
        <v>57</v>
      </c>
      <c r="P29" s="3">
        <v>45151</v>
      </c>
      <c r="Q29" t="s">
        <v>28</v>
      </c>
    </row>
    <row r="30" spans="1:17" x14ac:dyDescent="0.35">
      <c r="A30" t="s">
        <v>78</v>
      </c>
      <c r="B30" t="s">
        <v>16</v>
      </c>
      <c r="C30">
        <v>40</v>
      </c>
      <c r="D30" t="s">
        <v>55</v>
      </c>
      <c r="E30" t="s">
        <v>79</v>
      </c>
      <c r="F30" t="s">
        <v>28</v>
      </c>
      <c r="G30">
        <v>1.4</v>
      </c>
      <c r="H30">
        <v>0.8</v>
      </c>
      <c r="I30" t="str" cm="1">
        <f t="array" ref="I30">_xlfn.IFS(G30&lt;3, "0–2 Years", G30&lt;6, "3–5 Years", G30&lt;9, "6–8 Years", G30&lt;12, "9-11 Years", G30&gt;=12, "12-14 Years")</f>
        <v>0–2 Years</v>
      </c>
      <c r="J30">
        <v>3</v>
      </c>
      <c r="K30" t="s">
        <v>20</v>
      </c>
      <c r="L30">
        <v>58400</v>
      </c>
      <c r="M30">
        <v>9900</v>
      </c>
      <c r="N30">
        <v>68300</v>
      </c>
      <c r="O30" t="s">
        <v>25</v>
      </c>
      <c r="P30" s="3">
        <v>45512</v>
      </c>
      <c r="Q30" t="s">
        <v>28</v>
      </c>
    </row>
    <row r="31" spans="1:17" x14ac:dyDescent="0.35">
      <c r="A31" t="s">
        <v>80</v>
      </c>
      <c r="B31" t="s">
        <v>16</v>
      </c>
      <c r="C31">
        <v>32</v>
      </c>
      <c r="D31" t="s">
        <v>44</v>
      </c>
      <c r="E31" t="s">
        <v>81</v>
      </c>
      <c r="F31" t="s">
        <v>28</v>
      </c>
      <c r="G31">
        <v>4.2</v>
      </c>
      <c r="H31">
        <v>2</v>
      </c>
      <c r="I31" t="str" cm="1">
        <f t="array" ref="I31">_xlfn.IFS(G31&lt;3, "0–2 Years", G31&lt;6, "3–5 Years", G31&lt;9, "6–8 Years", G31&lt;12, "9-11 Years", G31&gt;=12, "12-14 Years")</f>
        <v>3–5 Years</v>
      </c>
      <c r="J31">
        <v>1</v>
      </c>
      <c r="K31" t="s">
        <v>20</v>
      </c>
      <c r="L31">
        <v>83800</v>
      </c>
      <c r="M31">
        <v>6500</v>
      </c>
      <c r="N31">
        <v>90300</v>
      </c>
      <c r="O31" t="s">
        <v>30</v>
      </c>
      <c r="P31" s="3">
        <v>44474</v>
      </c>
      <c r="Q31" t="s">
        <v>28</v>
      </c>
    </row>
    <row r="32" spans="1:17" x14ac:dyDescent="0.35">
      <c r="A32" t="s">
        <v>82</v>
      </c>
      <c r="B32" t="s">
        <v>16</v>
      </c>
      <c r="C32">
        <v>42</v>
      </c>
      <c r="D32" t="s">
        <v>38</v>
      </c>
      <c r="E32" t="s">
        <v>39</v>
      </c>
      <c r="F32" t="s">
        <v>28</v>
      </c>
      <c r="G32">
        <v>8.6999999999999993</v>
      </c>
      <c r="H32">
        <v>7.3</v>
      </c>
      <c r="I32" t="str" cm="1">
        <f t="array" ref="I32">_xlfn.IFS(G32&lt;3, "0–2 Years", G32&lt;6, "3–5 Years", G32&lt;9, "6–8 Years", G32&lt;12, "9-11 Years", G32&gt;=12, "12-14 Years")</f>
        <v>6–8 Years</v>
      </c>
      <c r="J32">
        <v>3</v>
      </c>
      <c r="K32" t="s">
        <v>20</v>
      </c>
      <c r="L32">
        <v>84600</v>
      </c>
      <c r="M32">
        <v>8100</v>
      </c>
      <c r="N32">
        <v>92700</v>
      </c>
      <c r="O32" t="s">
        <v>30</v>
      </c>
      <c r="P32" s="3">
        <v>42861</v>
      </c>
      <c r="Q32" t="s">
        <v>28</v>
      </c>
    </row>
    <row r="33" spans="1:17" x14ac:dyDescent="0.35">
      <c r="A33" t="s">
        <v>83</v>
      </c>
      <c r="B33" t="s">
        <v>23</v>
      </c>
      <c r="C33">
        <v>45</v>
      </c>
      <c r="D33" t="s">
        <v>17</v>
      </c>
      <c r="E33" t="s">
        <v>18</v>
      </c>
      <c r="F33" t="s">
        <v>28</v>
      </c>
      <c r="G33">
        <v>5.8</v>
      </c>
      <c r="H33">
        <v>1.7</v>
      </c>
      <c r="I33" t="str" cm="1">
        <f t="array" ref="I33">_xlfn.IFS(G33&lt;3, "0–2 Years", G33&lt;6, "3–5 Years", G33&lt;9, "6–8 Years", G33&lt;12, "9-11 Years", G33&gt;=12, "12-14 Years")</f>
        <v>3–5 Years</v>
      </c>
      <c r="J33">
        <v>4</v>
      </c>
      <c r="K33" t="s">
        <v>20</v>
      </c>
      <c r="L33">
        <v>119300</v>
      </c>
      <c r="M33">
        <v>15200</v>
      </c>
      <c r="N33">
        <v>134500</v>
      </c>
      <c r="O33" t="s">
        <v>57</v>
      </c>
      <c r="P33" s="3">
        <v>43908</v>
      </c>
      <c r="Q33" t="s">
        <v>28</v>
      </c>
    </row>
    <row r="34" spans="1:17" x14ac:dyDescent="0.35">
      <c r="A34" t="s">
        <v>84</v>
      </c>
      <c r="B34" t="s">
        <v>23</v>
      </c>
      <c r="C34">
        <v>44</v>
      </c>
      <c r="D34" t="s">
        <v>34</v>
      </c>
      <c r="E34" t="s">
        <v>59</v>
      </c>
      <c r="F34" t="s">
        <v>28</v>
      </c>
      <c r="G34">
        <v>7.6</v>
      </c>
      <c r="H34">
        <v>4</v>
      </c>
      <c r="I34" t="str" cm="1">
        <f t="array" ref="I34">_xlfn.IFS(G34&lt;3, "0–2 Years", G34&lt;6, "3–5 Years", G34&lt;9, "6–8 Years", G34&lt;12, "9-11 Years", G34&gt;=12, "12-14 Years")</f>
        <v>6–8 Years</v>
      </c>
      <c r="J34">
        <v>3</v>
      </c>
      <c r="K34" t="s">
        <v>20</v>
      </c>
      <c r="L34">
        <v>110800</v>
      </c>
      <c r="M34">
        <v>11600</v>
      </c>
      <c r="N34">
        <v>122400</v>
      </c>
      <c r="O34" t="s">
        <v>57</v>
      </c>
      <c r="P34" s="3">
        <v>43264</v>
      </c>
      <c r="Q34" t="s">
        <v>28</v>
      </c>
    </row>
    <row r="35" spans="1:17" x14ac:dyDescent="0.35">
      <c r="A35" t="s">
        <v>85</v>
      </c>
      <c r="B35" t="s">
        <v>23</v>
      </c>
      <c r="C35">
        <v>39</v>
      </c>
      <c r="D35" t="s">
        <v>41</v>
      </c>
      <c r="E35" t="s">
        <v>67</v>
      </c>
      <c r="F35" t="s">
        <v>62</v>
      </c>
      <c r="G35">
        <v>3.6</v>
      </c>
      <c r="H35">
        <v>2.4</v>
      </c>
      <c r="I35" t="str" cm="1">
        <f t="array" ref="I35">_xlfn.IFS(G35&lt;3, "0–2 Years", G35&lt;6, "3–5 Years", G35&lt;9, "6–8 Years", G35&lt;12, "9-11 Years", G35&gt;=12, "12-14 Years")</f>
        <v>3–5 Years</v>
      </c>
      <c r="J35">
        <v>3</v>
      </c>
      <c r="K35" t="s">
        <v>20</v>
      </c>
      <c r="L35">
        <v>69500</v>
      </c>
      <c r="M35">
        <v>3300</v>
      </c>
      <c r="N35">
        <v>72800</v>
      </c>
      <c r="O35" t="s">
        <v>21</v>
      </c>
      <c r="P35" s="3">
        <v>44724</v>
      </c>
      <c r="Q35" t="s">
        <v>62</v>
      </c>
    </row>
    <row r="36" spans="1:17" x14ac:dyDescent="0.35">
      <c r="A36" t="s">
        <v>86</v>
      </c>
      <c r="B36" t="s">
        <v>23</v>
      </c>
      <c r="C36">
        <v>21</v>
      </c>
      <c r="D36" t="s">
        <v>17</v>
      </c>
      <c r="E36" t="s">
        <v>32</v>
      </c>
      <c r="F36" t="s">
        <v>28</v>
      </c>
      <c r="G36">
        <v>3.9</v>
      </c>
      <c r="H36">
        <v>2.2000000000000002</v>
      </c>
      <c r="I36" t="str" cm="1">
        <f t="array" ref="I36">_xlfn.IFS(G36&lt;3, "0–2 Years", G36&lt;6, "3–5 Years", G36&lt;9, "6–8 Years", G36&lt;12, "9-11 Years", G36&gt;=12, "12-14 Years")</f>
        <v>3–5 Years</v>
      </c>
      <c r="J36">
        <v>3</v>
      </c>
      <c r="K36" t="s">
        <v>20</v>
      </c>
      <c r="L36">
        <v>71000</v>
      </c>
      <c r="M36">
        <v>5500</v>
      </c>
      <c r="N36">
        <v>76500</v>
      </c>
      <c r="O36" t="s">
        <v>21</v>
      </c>
      <c r="P36" s="3">
        <v>44601</v>
      </c>
      <c r="Q36" t="s">
        <v>28</v>
      </c>
    </row>
    <row r="37" spans="1:17" x14ac:dyDescent="0.35">
      <c r="A37" t="s">
        <v>87</v>
      </c>
      <c r="B37" t="s">
        <v>16</v>
      </c>
      <c r="C37">
        <v>37</v>
      </c>
      <c r="D37" t="s">
        <v>41</v>
      </c>
      <c r="E37" t="s">
        <v>67</v>
      </c>
      <c r="F37" t="s">
        <v>36</v>
      </c>
      <c r="G37">
        <v>7.4</v>
      </c>
      <c r="H37">
        <v>5.6</v>
      </c>
      <c r="I37" t="str" cm="1">
        <f t="array" ref="I37">_xlfn.IFS(G37&lt;3, "0–2 Years", G37&lt;6, "3–5 Years", G37&lt;9, "6–8 Years", G37&lt;12, "9-11 Years", G37&gt;=12, "12-14 Years")</f>
        <v>6–8 Years</v>
      </c>
      <c r="J37">
        <v>3</v>
      </c>
      <c r="K37" t="s">
        <v>20</v>
      </c>
      <c r="L37">
        <v>71400</v>
      </c>
      <c r="M37">
        <v>5900</v>
      </c>
      <c r="N37">
        <v>77300</v>
      </c>
      <c r="O37" t="s">
        <v>21</v>
      </c>
      <c r="P37" s="3">
        <v>43334</v>
      </c>
      <c r="Q37" t="s">
        <v>36</v>
      </c>
    </row>
    <row r="38" spans="1:17" x14ac:dyDescent="0.35">
      <c r="A38" t="s">
        <v>88</v>
      </c>
      <c r="B38" t="s">
        <v>23</v>
      </c>
      <c r="C38" s="7">
        <v>41</v>
      </c>
      <c r="D38" t="s">
        <v>38</v>
      </c>
      <c r="E38" t="s">
        <v>61</v>
      </c>
      <c r="F38" t="s">
        <v>62</v>
      </c>
      <c r="G38" s="9">
        <v>14</v>
      </c>
      <c r="H38" s="7">
        <v>6.7</v>
      </c>
      <c r="I38" t="str" cm="1">
        <f t="array" ref="I38">_xlfn.IFS(G38&lt;3, "0–2 Years", G38&lt;6, "3–5 Years", G38&lt;9, "6–8 Years", G38&lt;12, "9-11 Years", G38&gt;=12, "12-14 Years")</f>
        <v>12-14 Years</v>
      </c>
      <c r="J38" s="7">
        <v>5</v>
      </c>
      <c r="K38" t="s">
        <v>20</v>
      </c>
      <c r="L38" s="7">
        <v>135700</v>
      </c>
      <c r="M38" s="7">
        <v>7300</v>
      </c>
      <c r="N38" s="7">
        <v>143000</v>
      </c>
      <c r="O38" t="s">
        <v>57</v>
      </c>
      <c r="P38" s="3">
        <v>40924</v>
      </c>
      <c r="Q38" t="s">
        <v>62</v>
      </c>
    </row>
    <row r="39" spans="1:17" x14ac:dyDescent="0.35">
      <c r="A39" t="s">
        <v>89</v>
      </c>
      <c r="B39" t="s">
        <v>23</v>
      </c>
      <c r="C39">
        <v>38</v>
      </c>
      <c r="D39" t="s">
        <v>44</v>
      </c>
      <c r="E39" t="s">
        <v>81</v>
      </c>
      <c r="F39" t="s">
        <v>19</v>
      </c>
      <c r="G39">
        <v>1.9</v>
      </c>
      <c r="H39">
        <v>0.6</v>
      </c>
      <c r="I39" t="str" cm="1">
        <f t="array" ref="I39">_xlfn.IFS(G39&lt;3, "0–2 Years", G39&lt;6, "3–5 Years", G39&lt;9, "6–8 Years", G39&lt;12, "9-11 Years", G39&gt;=12, "12-14 Years")</f>
        <v>0–2 Years</v>
      </c>
      <c r="J39">
        <v>3</v>
      </c>
      <c r="K39" t="s">
        <v>20</v>
      </c>
      <c r="L39">
        <v>91300</v>
      </c>
      <c r="M39">
        <v>12900</v>
      </c>
      <c r="N39">
        <v>104200</v>
      </c>
      <c r="O39" t="s">
        <v>30</v>
      </c>
      <c r="P39" s="3">
        <v>45325</v>
      </c>
      <c r="Q39" t="s">
        <v>19</v>
      </c>
    </row>
    <row r="40" spans="1:17" x14ac:dyDescent="0.35">
      <c r="A40" t="s">
        <v>90</v>
      </c>
      <c r="B40" t="s">
        <v>23</v>
      </c>
      <c r="C40">
        <v>33</v>
      </c>
      <c r="D40" t="s">
        <v>38</v>
      </c>
      <c r="E40" t="s">
        <v>61</v>
      </c>
      <c r="F40" t="s">
        <v>36</v>
      </c>
      <c r="G40">
        <v>10.8</v>
      </c>
      <c r="H40">
        <v>5.2</v>
      </c>
      <c r="I40" t="str" cm="1">
        <f t="array" ref="I40">_xlfn.IFS(G40&lt;3, "0–2 Years", G40&lt;6, "3–5 Years", G40&lt;9, "6–8 Years", G40&lt;12, "9-11 Years", G40&gt;=12, "12-14 Years")</f>
        <v>9-11 Years</v>
      </c>
      <c r="J40">
        <v>5</v>
      </c>
      <c r="K40" t="s">
        <v>20</v>
      </c>
      <c r="L40">
        <v>104300</v>
      </c>
      <c r="M40">
        <v>9400</v>
      </c>
      <c r="N40">
        <v>113700</v>
      </c>
      <c r="O40" t="s">
        <v>57</v>
      </c>
      <c r="P40" s="3">
        <v>42069</v>
      </c>
      <c r="Q40" t="s">
        <v>36</v>
      </c>
    </row>
    <row r="41" spans="1:17" x14ac:dyDescent="0.35">
      <c r="A41" t="s">
        <v>91</v>
      </c>
      <c r="B41" t="s">
        <v>23</v>
      </c>
      <c r="C41">
        <v>35</v>
      </c>
      <c r="D41" t="s">
        <v>55</v>
      </c>
      <c r="E41" t="s">
        <v>92</v>
      </c>
      <c r="F41" t="s">
        <v>62</v>
      </c>
      <c r="G41">
        <v>5.4</v>
      </c>
      <c r="H41">
        <v>3.3</v>
      </c>
      <c r="I41" t="str" cm="1">
        <f t="array" ref="I41">_xlfn.IFS(G41&lt;3, "0–2 Years", G41&lt;6, "3–5 Years", G41&lt;9, "6–8 Years", G41&lt;12, "9-11 Years", G41&gt;=12, "12-14 Years")</f>
        <v>3–5 Years</v>
      </c>
      <c r="J41">
        <v>3</v>
      </c>
      <c r="K41" t="s">
        <v>24</v>
      </c>
      <c r="L41">
        <v>60700</v>
      </c>
      <c r="M41">
        <v>4900</v>
      </c>
      <c r="N41">
        <v>65600</v>
      </c>
      <c r="O41" t="s">
        <v>25</v>
      </c>
      <c r="P41" s="3">
        <v>44043</v>
      </c>
      <c r="Q41" t="s">
        <v>62</v>
      </c>
    </row>
    <row r="42" spans="1:17" x14ac:dyDescent="0.35">
      <c r="A42" t="s">
        <v>93</v>
      </c>
      <c r="B42" t="s">
        <v>23</v>
      </c>
      <c r="C42" s="7">
        <v>39</v>
      </c>
      <c r="D42" t="s">
        <v>55</v>
      </c>
      <c r="E42" t="s">
        <v>56</v>
      </c>
      <c r="F42" t="s">
        <v>36</v>
      </c>
      <c r="G42" s="9">
        <v>13.8</v>
      </c>
      <c r="H42" s="7">
        <v>10.9</v>
      </c>
      <c r="I42" t="str" cm="1">
        <f t="array" ref="I42">_xlfn.IFS(G42&lt;3, "0–2 Years", G42&lt;6, "3–5 Years", G42&lt;9, "6–8 Years", G42&lt;12, "9-11 Years", G42&gt;=12, "12-14 Years")</f>
        <v>12-14 Years</v>
      </c>
      <c r="J42" s="7">
        <v>5</v>
      </c>
      <c r="K42" t="s">
        <v>20</v>
      </c>
      <c r="L42" s="7">
        <v>98100</v>
      </c>
      <c r="M42" s="7">
        <v>16500</v>
      </c>
      <c r="N42" s="7">
        <v>114600</v>
      </c>
      <c r="O42" t="s">
        <v>30</v>
      </c>
      <c r="P42" s="3">
        <v>40969</v>
      </c>
      <c r="Q42" t="s">
        <v>36</v>
      </c>
    </row>
    <row r="43" spans="1:17" x14ac:dyDescent="0.35">
      <c r="A43" t="s">
        <v>94</v>
      </c>
      <c r="B43" t="s">
        <v>16</v>
      </c>
      <c r="C43" s="7">
        <v>43</v>
      </c>
      <c r="D43" t="s">
        <v>17</v>
      </c>
      <c r="E43" t="s">
        <v>27</v>
      </c>
      <c r="F43" t="s">
        <v>19</v>
      </c>
      <c r="G43" s="9">
        <v>13.4</v>
      </c>
      <c r="H43" s="7">
        <v>10.9</v>
      </c>
      <c r="I43" t="str" cm="1">
        <f t="array" ref="I43">_xlfn.IFS(G43&lt;3, "0–2 Years", G43&lt;6, "3–5 Years", G43&lt;9, "6–8 Years", G43&lt;12, "9-11 Years", G43&gt;=12, "12-14 Years")</f>
        <v>12-14 Years</v>
      </c>
      <c r="J43" s="7">
        <v>4</v>
      </c>
      <c r="K43" t="s">
        <v>20</v>
      </c>
      <c r="L43" s="7">
        <v>81400</v>
      </c>
      <c r="M43" s="7">
        <v>7900</v>
      </c>
      <c r="N43" s="7">
        <v>89300</v>
      </c>
      <c r="O43" t="s">
        <v>30</v>
      </c>
      <c r="P43" s="3">
        <v>41135</v>
      </c>
      <c r="Q43" t="s">
        <v>19</v>
      </c>
    </row>
    <row r="44" spans="1:17" x14ac:dyDescent="0.35">
      <c r="A44" t="s">
        <v>95</v>
      </c>
      <c r="B44" t="s">
        <v>23</v>
      </c>
      <c r="C44" s="7">
        <v>29</v>
      </c>
      <c r="D44" t="s">
        <v>17</v>
      </c>
      <c r="E44" t="s">
        <v>18</v>
      </c>
      <c r="F44" t="s">
        <v>36</v>
      </c>
      <c r="G44" s="9">
        <v>13.8</v>
      </c>
      <c r="H44" s="7">
        <v>10.1</v>
      </c>
      <c r="I44" t="str" cm="1">
        <f t="array" ref="I44">_xlfn.IFS(G44&lt;3, "0–2 Years", G44&lt;6, "3–5 Years", G44&lt;9, "6–8 Years", G44&lt;12, "9-11 Years", G44&gt;=12, "12-14 Years")</f>
        <v>12-14 Years</v>
      </c>
      <c r="J44" s="7">
        <v>4</v>
      </c>
      <c r="K44" t="s">
        <v>24</v>
      </c>
      <c r="L44" s="7">
        <v>72800</v>
      </c>
      <c r="M44" s="7">
        <v>4400</v>
      </c>
      <c r="N44" s="7">
        <v>77200</v>
      </c>
      <c r="O44" t="s">
        <v>21</v>
      </c>
      <c r="P44" s="3">
        <v>40977</v>
      </c>
      <c r="Q44" t="s">
        <v>36</v>
      </c>
    </row>
    <row r="45" spans="1:17" x14ac:dyDescent="0.35">
      <c r="A45" t="s">
        <v>96</v>
      </c>
      <c r="B45" t="s">
        <v>16</v>
      </c>
      <c r="C45">
        <v>29</v>
      </c>
      <c r="D45" t="s">
        <v>44</v>
      </c>
      <c r="E45" t="s">
        <v>76</v>
      </c>
      <c r="F45" t="s">
        <v>36</v>
      </c>
      <c r="G45">
        <v>2.8</v>
      </c>
      <c r="H45">
        <v>0</v>
      </c>
      <c r="I45" t="str" cm="1">
        <f t="array" ref="I45">_xlfn.IFS(G45&lt;3, "0–2 Years", G45&lt;6, "3–5 Years", G45&lt;9, "6–8 Years", G45&lt;12, "9-11 Years", G45&gt;=12, "12-14 Years")</f>
        <v>0–2 Years</v>
      </c>
      <c r="J45">
        <v>3</v>
      </c>
      <c r="K45" t="s">
        <v>20</v>
      </c>
      <c r="L45">
        <v>99300</v>
      </c>
      <c r="M45">
        <v>14200</v>
      </c>
      <c r="N45">
        <v>113500</v>
      </c>
      <c r="O45" t="s">
        <v>30</v>
      </c>
      <c r="P45" s="3">
        <v>44996</v>
      </c>
      <c r="Q45" t="s">
        <v>36</v>
      </c>
    </row>
    <row r="46" spans="1:17" x14ac:dyDescent="0.35">
      <c r="A46" t="s">
        <v>97</v>
      </c>
      <c r="B46" t="s">
        <v>16</v>
      </c>
      <c r="C46">
        <v>40</v>
      </c>
      <c r="D46" t="s">
        <v>55</v>
      </c>
      <c r="E46" t="s">
        <v>92</v>
      </c>
      <c r="F46" t="s">
        <v>36</v>
      </c>
      <c r="G46">
        <v>8.4</v>
      </c>
      <c r="H46">
        <v>4.7</v>
      </c>
      <c r="I46" t="str" cm="1">
        <f t="array" ref="I46">_xlfn.IFS(G46&lt;3, "0–2 Years", G46&lt;6, "3–5 Years", G46&lt;9, "6–8 Years", G46&lt;12, "9-11 Years", G46&gt;=12, "12-14 Years")</f>
        <v>6–8 Years</v>
      </c>
      <c r="J46">
        <v>3</v>
      </c>
      <c r="K46" t="s">
        <v>20</v>
      </c>
      <c r="L46">
        <v>111400</v>
      </c>
      <c r="M46">
        <v>15900</v>
      </c>
      <c r="N46">
        <v>127300</v>
      </c>
      <c r="O46" t="s">
        <v>57</v>
      </c>
      <c r="P46" s="3">
        <v>42967</v>
      </c>
      <c r="Q46" t="s">
        <v>36</v>
      </c>
    </row>
    <row r="47" spans="1:17" x14ac:dyDescent="0.35">
      <c r="A47" t="s">
        <v>98</v>
      </c>
      <c r="B47" t="s">
        <v>23</v>
      </c>
      <c r="C47">
        <v>26</v>
      </c>
      <c r="D47" t="s">
        <v>17</v>
      </c>
      <c r="E47" t="s">
        <v>32</v>
      </c>
      <c r="F47" t="s">
        <v>28</v>
      </c>
      <c r="G47">
        <v>6.1</v>
      </c>
      <c r="H47">
        <v>5.3</v>
      </c>
      <c r="I47" t="str" cm="1">
        <f t="array" ref="I47">_xlfn.IFS(G47&lt;3, "0–2 Years", G47&lt;6, "3–5 Years", G47&lt;9, "6–8 Years", G47&lt;12, "9-11 Years", G47&gt;=12, "12-14 Years")</f>
        <v>6–8 Years</v>
      </c>
      <c r="J47">
        <v>5</v>
      </c>
      <c r="K47" t="s">
        <v>20</v>
      </c>
      <c r="L47">
        <v>72600</v>
      </c>
      <c r="M47">
        <v>7300</v>
      </c>
      <c r="N47">
        <v>79900</v>
      </c>
      <c r="O47" t="s">
        <v>21</v>
      </c>
      <c r="P47" s="3">
        <v>43804</v>
      </c>
      <c r="Q47" t="s">
        <v>28</v>
      </c>
    </row>
    <row r="48" spans="1:17" x14ac:dyDescent="0.35">
      <c r="A48" t="s">
        <v>99</v>
      </c>
      <c r="B48" t="s">
        <v>23</v>
      </c>
      <c r="C48">
        <v>31</v>
      </c>
      <c r="D48" t="s">
        <v>17</v>
      </c>
      <c r="E48" t="s">
        <v>18</v>
      </c>
      <c r="F48" t="s">
        <v>36</v>
      </c>
      <c r="G48">
        <v>9.1999999999999993</v>
      </c>
      <c r="H48">
        <v>6</v>
      </c>
      <c r="I48" t="str" cm="1">
        <f t="array" ref="I48">_xlfn.IFS(G48&lt;3, "0–2 Years", G48&lt;6, "3–5 Years", G48&lt;9, "6–8 Years", G48&lt;12, "9-11 Years", G48&gt;=12, "12-14 Years")</f>
        <v>9-11 Years</v>
      </c>
      <c r="J48">
        <v>3</v>
      </c>
      <c r="K48" t="s">
        <v>20</v>
      </c>
      <c r="L48">
        <v>109100</v>
      </c>
      <c r="M48">
        <v>10700</v>
      </c>
      <c r="N48">
        <v>119800</v>
      </c>
      <c r="O48" t="s">
        <v>57</v>
      </c>
      <c r="P48" s="3">
        <v>42645</v>
      </c>
      <c r="Q48" t="s">
        <v>36</v>
      </c>
    </row>
    <row r="49" spans="1:17" x14ac:dyDescent="0.35">
      <c r="A49" t="s">
        <v>100</v>
      </c>
      <c r="B49" t="s">
        <v>23</v>
      </c>
      <c r="C49">
        <v>47</v>
      </c>
      <c r="D49" t="s">
        <v>55</v>
      </c>
      <c r="E49" t="s">
        <v>79</v>
      </c>
      <c r="F49" t="s">
        <v>36</v>
      </c>
      <c r="G49">
        <v>4.4000000000000004</v>
      </c>
      <c r="H49">
        <v>2.8</v>
      </c>
      <c r="I49" t="str" cm="1">
        <f t="array" ref="I49">_xlfn.IFS(G49&lt;3, "0–2 Years", G49&lt;6, "3–5 Years", G49&lt;9, "6–8 Years", G49&lt;12, "9-11 Years", G49&gt;=12, "12-14 Years")</f>
        <v>3–5 Years</v>
      </c>
      <c r="J49">
        <v>3</v>
      </c>
      <c r="K49" t="s">
        <v>69</v>
      </c>
      <c r="L49">
        <v>56400</v>
      </c>
      <c r="M49">
        <v>9000</v>
      </c>
      <c r="N49">
        <v>65400</v>
      </c>
      <c r="O49" t="s">
        <v>25</v>
      </c>
      <c r="P49" s="3">
        <v>44410</v>
      </c>
      <c r="Q49" t="s">
        <v>36</v>
      </c>
    </row>
    <row r="50" spans="1:17" x14ac:dyDescent="0.35">
      <c r="A50" t="s">
        <v>101</v>
      </c>
      <c r="B50" t="s">
        <v>16</v>
      </c>
      <c r="C50">
        <v>32</v>
      </c>
      <c r="D50" t="s">
        <v>17</v>
      </c>
      <c r="E50" t="s">
        <v>27</v>
      </c>
      <c r="F50" t="s">
        <v>36</v>
      </c>
      <c r="G50">
        <v>8.6999999999999993</v>
      </c>
      <c r="H50">
        <v>4.3</v>
      </c>
      <c r="I50" t="str" cm="1">
        <f t="array" ref="I50">_xlfn.IFS(G50&lt;3, "0–2 Years", G50&lt;6, "3–5 Years", G50&lt;9, "6–8 Years", G50&lt;12, "9-11 Years", G50&gt;=12, "12-14 Years")</f>
        <v>6–8 Years</v>
      </c>
      <c r="J50">
        <v>3</v>
      </c>
      <c r="K50" t="s">
        <v>20</v>
      </c>
      <c r="L50">
        <v>68700</v>
      </c>
      <c r="M50">
        <v>4800</v>
      </c>
      <c r="N50">
        <v>73500</v>
      </c>
      <c r="O50" t="s">
        <v>21</v>
      </c>
      <c r="P50" s="3">
        <v>42855</v>
      </c>
      <c r="Q50" t="s">
        <v>36</v>
      </c>
    </row>
    <row r="51" spans="1:17" x14ac:dyDescent="0.35">
      <c r="A51" t="s">
        <v>102</v>
      </c>
      <c r="B51" t="s">
        <v>16</v>
      </c>
      <c r="C51">
        <v>33</v>
      </c>
      <c r="D51" t="s">
        <v>44</v>
      </c>
      <c r="E51" t="s">
        <v>51</v>
      </c>
      <c r="F51" t="s">
        <v>28</v>
      </c>
      <c r="G51">
        <v>5.8</v>
      </c>
      <c r="H51">
        <v>3.1</v>
      </c>
      <c r="I51" t="str" cm="1">
        <f t="array" ref="I51">_xlfn.IFS(G51&lt;3, "0–2 Years", G51&lt;6, "3–5 Years", G51&lt;9, "6–8 Years", G51&lt;12, "9-11 Years", G51&gt;=12, "12-14 Years")</f>
        <v>3–5 Years</v>
      </c>
      <c r="J51">
        <v>4</v>
      </c>
      <c r="K51" t="s">
        <v>20</v>
      </c>
      <c r="L51">
        <v>87500</v>
      </c>
      <c r="M51">
        <v>6700</v>
      </c>
      <c r="N51">
        <v>94200</v>
      </c>
      <c r="O51" t="s">
        <v>30</v>
      </c>
      <c r="P51" s="3">
        <v>43898</v>
      </c>
      <c r="Q51" t="s">
        <v>28</v>
      </c>
    </row>
    <row r="52" spans="1:17" x14ac:dyDescent="0.35">
      <c r="A52" t="s">
        <v>103</v>
      </c>
      <c r="B52" t="s">
        <v>23</v>
      </c>
      <c r="C52">
        <v>30</v>
      </c>
      <c r="D52" t="s">
        <v>44</v>
      </c>
      <c r="E52" t="s">
        <v>76</v>
      </c>
      <c r="F52" t="s">
        <v>19</v>
      </c>
      <c r="G52">
        <v>3.1</v>
      </c>
      <c r="H52">
        <v>0</v>
      </c>
      <c r="I52" t="str" cm="1">
        <f t="array" ref="I52">_xlfn.IFS(G52&lt;3, "0–2 Years", G52&lt;6, "3–5 Years", G52&lt;9, "6–8 Years", G52&lt;12, "9-11 Years", G52&gt;=12, "12-14 Years")</f>
        <v>3–5 Years</v>
      </c>
      <c r="J52">
        <v>3</v>
      </c>
      <c r="K52" t="s">
        <v>20</v>
      </c>
      <c r="L52">
        <v>112800</v>
      </c>
      <c r="M52">
        <v>12400</v>
      </c>
      <c r="N52">
        <v>125200</v>
      </c>
      <c r="O52" t="s">
        <v>57</v>
      </c>
      <c r="P52" s="3">
        <v>44876</v>
      </c>
      <c r="Q52" t="s">
        <v>19</v>
      </c>
    </row>
    <row r="53" spans="1:17" x14ac:dyDescent="0.35">
      <c r="A53" t="s">
        <v>104</v>
      </c>
      <c r="B53" t="s">
        <v>23</v>
      </c>
      <c r="C53">
        <v>40</v>
      </c>
      <c r="D53" t="s">
        <v>41</v>
      </c>
      <c r="E53" t="s">
        <v>67</v>
      </c>
      <c r="F53" t="s">
        <v>36</v>
      </c>
      <c r="G53">
        <v>9.9</v>
      </c>
      <c r="H53">
        <v>6.9</v>
      </c>
      <c r="I53" t="str" cm="1">
        <f t="array" ref="I53">_xlfn.IFS(G53&lt;3, "0–2 Years", G53&lt;6, "3–5 Years", G53&lt;9, "6–8 Years", G53&lt;12, "9-11 Years", G53&gt;=12, "12-14 Years")</f>
        <v>9-11 Years</v>
      </c>
      <c r="J53">
        <v>3</v>
      </c>
      <c r="K53" t="s">
        <v>20</v>
      </c>
      <c r="L53">
        <v>76500</v>
      </c>
      <c r="M53">
        <v>4900</v>
      </c>
      <c r="N53">
        <v>81400</v>
      </c>
      <c r="O53" t="s">
        <v>21</v>
      </c>
      <c r="P53" s="3">
        <v>42410</v>
      </c>
      <c r="Q53" t="s">
        <v>36</v>
      </c>
    </row>
    <row r="54" spans="1:17" x14ac:dyDescent="0.35">
      <c r="A54" t="s">
        <v>105</v>
      </c>
      <c r="B54" t="s">
        <v>23</v>
      </c>
      <c r="C54" s="7">
        <v>29</v>
      </c>
      <c r="D54" t="s">
        <v>44</v>
      </c>
      <c r="E54" t="s">
        <v>45</v>
      </c>
      <c r="F54" t="s">
        <v>28</v>
      </c>
      <c r="G54" s="9">
        <v>12</v>
      </c>
      <c r="H54" s="7">
        <v>8.6999999999999993</v>
      </c>
      <c r="I54" t="str" cm="1">
        <f t="array" ref="I54">_xlfn.IFS(G54&lt;3, "0–2 Years", G54&lt;6, "3–5 Years", G54&lt;9, "6–8 Years", G54&lt;12, "9-11 Years", G54&gt;=12, "12-14 Years")</f>
        <v>12-14 Years</v>
      </c>
      <c r="J54" s="7">
        <v>3</v>
      </c>
      <c r="K54" t="s">
        <v>20</v>
      </c>
      <c r="L54" s="7">
        <v>78700</v>
      </c>
      <c r="M54" s="7">
        <v>5700</v>
      </c>
      <c r="N54" s="7">
        <v>84400</v>
      </c>
      <c r="O54" t="s">
        <v>21</v>
      </c>
      <c r="P54" s="3">
        <v>41628</v>
      </c>
      <c r="Q54" t="s">
        <v>28</v>
      </c>
    </row>
    <row r="55" spans="1:17" x14ac:dyDescent="0.35">
      <c r="A55" t="s">
        <v>106</v>
      </c>
      <c r="B55" t="s">
        <v>16</v>
      </c>
      <c r="C55">
        <v>49</v>
      </c>
      <c r="D55" t="s">
        <v>41</v>
      </c>
      <c r="E55" t="s">
        <v>42</v>
      </c>
      <c r="F55" t="s">
        <v>36</v>
      </c>
      <c r="G55">
        <v>6.7</v>
      </c>
      <c r="H55">
        <v>4.4000000000000004</v>
      </c>
      <c r="I55" t="str" cm="1">
        <f t="array" ref="I55">_xlfn.IFS(G55&lt;3, "0–2 Years", G55&lt;6, "3–5 Years", G55&lt;9, "6–8 Years", G55&lt;12, "9-11 Years", G55&gt;=12, "12-14 Years")</f>
        <v>6–8 Years</v>
      </c>
      <c r="J55">
        <v>2</v>
      </c>
      <c r="K55" t="s">
        <v>24</v>
      </c>
      <c r="L55">
        <v>44500</v>
      </c>
      <c r="M55">
        <v>2300</v>
      </c>
      <c r="N55">
        <v>46800</v>
      </c>
      <c r="O55" t="s">
        <v>65</v>
      </c>
      <c r="P55" s="3">
        <v>43577</v>
      </c>
      <c r="Q55" t="s">
        <v>36</v>
      </c>
    </row>
    <row r="56" spans="1:17" x14ac:dyDescent="0.35">
      <c r="A56" t="s">
        <v>107</v>
      </c>
      <c r="B56" t="s">
        <v>23</v>
      </c>
      <c r="C56">
        <v>21</v>
      </c>
      <c r="D56" t="s">
        <v>55</v>
      </c>
      <c r="E56" t="s">
        <v>56</v>
      </c>
      <c r="F56" t="s">
        <v>36</v>
      </c>
      <c r="G56">
        <v>7.5</v>
      </c>
      <c r="H56">
        <v>2.6</v>
      </c>
      <c r="I56" t="str" cm="1">
        <f t="array" ref="I56">_xlfn.IFS(G56&lt;3, "0–2 Years", G56&lt;6, "3–5 Years", G56&lt;9, "6–8 Years", G56&lt;12, "9-11 Years", G56&gt;=12, "12-14 Years")</f>
        <v>6–8 Years</v>
      </c>
      <c r="J56">
        <v>2</v>
      </c>
      <c r="K56" t="s">
        <v>20</v>
      </c>
      <c r="L56">
        <v>99700</v>
      </c>
      <c r="M56">
        <v>14800</v>
      </c>
      <c r="N56">
        <v>114500</v>
      </c>
      <c r="O56" t="s">
        <v>30</v>
      </c>
      <c r="P56" s="3">
        <v>43277</v>
      </c>
      <c r="Q56" t="s">
        <v>36</v>
      </c>
    </row>
    <row r="57" spans="1:17" x14ac:dyDescent="0.35">
      <c r="A57" t="s">
        <v>108</v>
      </c>
      <c r="B57" t="s">
        <v>23</v>
      </c>
      <c r="C57">
        <v>33</v>
      </c>
      <c r="D57" t="s">
        <v>41</v>
      </c>
      <c r="E57" t="s">
        <v>73</v>
      </c>
      <c r="F57" t="s">
        <v>36</v>
      </c>
      <c r="G57">
        <v>9.9</v>
      </c>
      <c r="H57">
        <v>7.5</v>
      </c>
      <c r="I57" t="str" cm="1">
        <f t="array" ref="I57">_xlfn.IFS(G57&lt;3, "0–2 Years", G57&lt;6, "3–5 Years", G57&lt;9, "6–8 Years", G57&lt;12, "9-11 Years", G57&gt;=12, "12-14 Years")</f>
        <v>9-11 Years</v>
      </c>
      <c r="J57">
        <v>3</v>
      </c>
      <c r="K57" t="s">
        <v>20</v>
      </c>
      <c r="L57">
        <v>123000</v>
      </c>
      <c r="M57">
        <v>10500</v>
      </c>
      <c r="N57">
        <v>133500</v>
      </c>
      <c r="O57" t="s">
        <v>57</v>
      </c>
      <c r="P57" s="3">
        <v>42419</v>
      </c>
      <c r="Q57" t="s">
        <v>36</v>
      </c>
    </row>
    <row r="58" spans="1:17" x14ac:dyDescent="0.35">
      <c r="A58" t="s">
        <v>109</v>
      </c>
      <c r="B58" t="s">
        <v>23</v>
      </c>
      <c r="C58" s="7">
        <v>32</v>
      </c>
      <c r="D58" t="s">
        <v>34</v>
      </c>
      <c r="E58" t="s">
        <v>35</v>
      </c>
      <c r="F58" t="s">
        <v>19</v>
      </c>
      <c r="G58" s="9">
        <v>13.2</v>
      </c>
      <c r="H58" s="7">
        <v>8.6</v>
      </c>
      <c r="I58" t="str" cm="1">
        <f t="array" ref="I58">_xlfn.IFS(G58&lt;3, "0–2 Years", G58&lt;6, "3–5 Years", G58&lt;9, "6–8 Years", G58&lt;12, "9-11 Years", G58&gt;=12, "12-14 Years")</f>
        <v>12-14 Years</v>
      </c>
      <c r="J58" s="7">
        <v>2</v>
      </c>
      <c r="K58" t="s">
        <v>20</v>
      </c>
      <c r="L58" s="7">
        <v>86400</v>
      </c>
      <c r="M58" s="7">
        <v>7000</v>
      </c>
      <c r="N58" s="7">
        <v>93400</v>
      </c>
      <c r="O58" t="s">
        <v>30</v>
      </c>
      <c r="P58" s="3">
        <v>41192</v>
      </c>
      <c r="Q58" t="s">
        <v>19</v>
      </c>
    </row>
    <row r="59" spans="1:17" x14ac:dyDescent="0.35">
      <c r="A59" t="s">
        <v>110</v>
      </c>
      <c r="B59" t="s">
        <v>16</v>
      </c>
      <c r="C59">
        <v>42</v>
      </c>
      <c r="D59" t="s">
        <v>17</v>
      </c>
      <c r="E59" t="s">
        <v>32</v>
      </c>
      <c r="F59" t="s">
        <v>36</v>
      </c>
      <c r="G59">
        <v>1.2</v>
      </c>
      <c r="H59">
        <v>0</v>
      </c>
      <c r="I59" t="str" cm="1">
        <f t="array" ref="I59">_xlfn.IFS(G59&lt;3, "0–2 Years", G59&lt;6, "3–5 Years", G59&lt;9, "6–8 Years", G59&lt;12, "9-11 Years", G59&gt;=12, "12-14 Years")</f>
        <v>0–2 Years</v>
      </c>
      <c r="J59">
        <v>3</v>
      </c>
      <c r="K59" t="s">
        <v>20</v>
      </c>
      <c r="L59">
        <v>63800</v>
      </c>
      <c r="M59">
        <v>6700</v>
      </c>
      <c r="N59">
        <v>70500</v>
      </c>
      <c r="O59" t="s">
        <v>25</v>
      </c>
      <c r="P59" s="3">
        <v>45602</v>
      </c>
      <c r="Q59" t="s">
        <v>36</v>
      </c>
    </row>
    <row r="60" spans="1:17" x14ac:dyDescent="0.35">
      <c r="A60" t="s">
        <v>111</v>
      </c>
      <c r="B60" t="s">
        <v>23</v>
      </c>
      <c r="C60">
        <v>29</v>
      </c>
      <c r="D60" t="s">
        <v>38</v>
      </c>
      <c r="E60" t="s">
        <v>112</v>
      </c>
      <c r="F60" t="s">
        <v>62</v>
      </c>
      <c r="G60">
        <v>9.5</v>
      </c>
      <c r="H60">
        <v>4.7</v>
      </c>
      <c r="I60" t="str" cm="1">
        <f t="array" ref="I60">_xlfn.IFS(G60&lt;3, "0–2 Years", G60&lt;6, "3–5 Years", G60&lt;9, "6–8 Years", G60&lt;12, "9-11 Years", G60&gt;=12, "12-14 Years")</f>
        <v>9-11 Years</v>
      </c>
      <c r="J60">
        <v>3</v>
      </c>
      <c r="K60" t="s">
        <v>24</v>
      </c>
      <c r="L60">
        <v>56700</v>
      </c>
      <c r="M60">
        <v>5200</v>
      </c>
      <c r="N60">
        <v>61900</v>
      </c>
      <c r="O60" t="s">
        <v>25</v>
      </c>
      <c r="P60" s="3">
        <v>42565</v>
      </c>
      <c r="Q60" t="s">
        <v>62</v>
      </c>
    </row>
    <row r="61" spans="1:17" x14ac:dyDescent="0.35">
      <c r="A61" t="s">
        <v>113</v>
      </c>
      <c r="B61" t="s">
        <v>23</v>
      </c>
      <c r="C61">
        <v>36</v>
      </c>
      <c r="D61" t="s">
        <v>55</v>
      </c>
      <c r="E61" t="s">
        <v>92</v>
      </c>
      <c r="F61" t="s">
        <v>28</v>
      </c>
      <c r="G61">
        <v>5.7</v>
      </c>
      <c r="H61">
        <v>2.9</v>
      </c>
      <c r="I61" t="str" cm="1">
        <f t="array" ref="I61">_xlfn.IFS(G61&lt;3, "0–2 Years", G61&lt;6, "3–5 Years", G61&lt;9, "6–8 Years", G61&lt;12, "9-11 Years", G61&gt;=12, "12-14 Years")</f>
        <v>3–5 Years</v>
      </c>
      <c r="J61">
        <v>3</v>
      </c>
      <c r="K61" t="s">
        <v>20</v>
      </c>
      <c r="L61">
        <v>76800</v>
      </c>
      <c r="M61">
        <v>6900</v>
      </c>
      <c r="N61">
        <v>83700</v>
      </c>
      <c r="O61" t="s">
        <v>21</v>
      </c>
      <c r="P61" s="3">
        <v>43957</v>
      </c>
      <c r="Q61" t="s">
        <v>28</v>
      </c>
    </row>
    <row r="62" spans="1:17" x14ac:dyDescent="0.35">
      <c r="A62" t="s">
        <v>114</v>
      </c>
      <c r="B62" t="s">
        <v>23</v>
      </c>
      <c r="C62">
        <v>34</v>
      </c>
      <c r="D62" t="s">
        <v>44</v>
      </c>
      <c r="E62" t="s">
        <v>45</v>
      </c>
      <c r="F62" t="s">
        <v>28</v>
      </c>
      <c r="G62">
        <v>6.1</v>
      </c>
      <c r="H62">
        <v>4.3</v>
      </c>
      <c r="I62" t="str" cm="1">
        <f t="array" ref="I62">_xlfn.IFS(G62&lt;3, "0–2 Years", G62&lt;6, "3–5 Years", G62&lt;9, "6–8 Years", G62&lt;12, "9-11 Years", G62&gt;=12, "12-14 Years")</f>
        <v>6–8 Years</v>
      </c>
      <c r="J62">
        <v>3</v>
      </c>
      <c r="K62" t="s">
        <v>20</v>
      </c>
      <c r="L62">
        <v>67500</v>
      </c>
      <c r="M62">
        <v>6800</v>
      </c>
      <c r="N62">
        <v>74300</v>
      </c>
      <c r="O62" t="s">
        <v>21</v>
      </c>
      <c r="P62" s="3">
        <v>43804</v>
      </c>
      <c r="Q62" t="s">
        <v>28</v>
      </c>
    </row>
    <row r="63" spans="1:17" x14ac:dyDescent="0.35">
      <c r="A63" t="s">
        <v>115</v>
      </c>
      <c r="B63" t="s">
        <v>23</v>
      </c>
      <c r="C63">
        <v>27</v>
      </c>
      <c r="D63" t="s">
        <v>44</v>
      </c>
      <c r="E63" t="s">
        <v>45</v>
      </c>
      <c r="F63" t="s">
        <v>28</v>
      </c>
      <c r="G63">
        <v>4.5999999999999996</v>
      </c>
      <c r="H63">
        <v>2.7</v>
      </c>
      <c r="I63" t="str" cm="1">
        <f t="array" ref="I63">_xlfn.IFS(G63&lt;3, "0–2 Years", G63&lt;6, "3–5 Years", G63&lt;9, "6–8 Years", G63&lt;12, "9-11 Years", G63&gt;=12, "12-14 Years")</f>
        <v>3–5 Years</v>
      </c>
      <c r="J63">
        <v>3</v>
      </c>
      <c r="K63" t="s">
        <v>69</v>
      </c>
      <c r="L63">
        <v>57400</v>
      </c>
      <c r="M63">
        <v>7300</v>
      </c>
      <c r="N63">
        <v>64700</v>
      </c>
      <c r="O63" t="s">
        <v>25</v>
      </c>
      <c r="P63" s="3">
        <v>44325</v>
      </c>
      <c r="Q63" t="s">
        <v>28</v>
      </c>
    </row>
    <row r="64" spans="1:17" x14ac:dyDescent="0.35">
      <c r="A64" t="s">
        <v>116</v>
      </c>
      <c r="B64" t="s">
        <v>16</v>
      </c>
      <c r="C64">
        <v>48</v>
      </c>
      <c r="D64" t="s">
        <v>44</v>
      </c>
      <c r="E64" t="s">
        <v>51</v>
      </c>
      <c r="F64" t="s">
        <v>36</v>
      </c>
      <c r="G64">
        <v>9.1</v>
      </c>
      <c r="H64">
        <v>4.0999999999999996</v>
      </c>
      <c r="I64" t="str" cm="1">
        <f t="array" ref="I64">_xlfn.IFS(G64&lt;3, "0–2 Years", G64&lt;6, "3–5 Years", G64&lt;9, "6–8 Years", G64&lt;12, "9-11 Years", G64&gt;=12, "12-14 Years")</f>
        <v>9-11 Years</v>
      </c>
      <c r="J64">
        <v>3</v>
      </c>
      <c r="K64" t="s">
        <v>20</v>
      </c>
      <c r="L64">
        <v>99300</v>
      </c>
      <c r="M64">
        <v>6900</v>
      </c>
      <c r="N64">
        <v>106200</v>
      </c>
      <c r="O64" t="s">
        <v>30</v>
      </c>
      <c r="P64" s="3">
        <v>42703</v>
      </c>
      <c r="Q64" t="s">
        <v>36</v>
      </c>
    </row>
    <row r="65" spans="1:17" x14ac:dyDescent="0.35">
      <c r="A65" t="s">
        <v>117</v>
      </c>
      <c r="B65" t="s">
        <v>16</v>
      </c>
      <c r="C65">
        <v>50</v>
      </c>
      <c r="D65" t="s">
        <v>38</v>
      </c>
      <c r="E65" t="s">
        <v>61</v>
      </c>
      <c r="F65" t="s">
        <v>28</v>
      </c>
      <c r="G65">
        <v>10.1</v>
      </c>
      <c r="H65">
        <v>5.6</v>
      </c>
      <c r="I65" t="str" cm="1">
        <f t="array" ref="I65">_xlfn.IFS(G65&lt;3, "0–2 Years", G65&lt;6, "3–5 Years", G65&lt;9, "6–8 Years", G65&lt;12, "9-11 Years", G65&gt;=12, "12-14 Years")</f>
        <v>9-11 Years</v>
      </c>
      <c r="J65">
        <v>3</v>
      </c>
      <c r="K65" t="s">
        <v>20</v>
      </c>
      <c r="L65">
        <v>109200</v>
      </c>
      <c r="M65">
        <v>10300</v>
      </c>
      <c r="N65">
        <v>119500</v>
      </c>
      <c r="O65" t="s">
        <v>57</v>
      </c>
      <c r="P65" s="3">
        <v>42318</v>
      </c>
      <c r="Q65" t="s">
        <v>28</v>
      </c>
    </row>
    <row r="66" spans="1:17" x14ac:dyDescent="0.35">
      <c r="A66" t="s">
        <v>118</v>
      </c>
      <c r="B66" t="s">
        <v>23</v>
      </c>
      <c r="C66">
        <v>42</v>
      </c>
      <c r="D66" t="s">
        <v>17</v>
      </c>
      <c r="E66" t="s">
        <v>32</v>
      </c>
      <c r="F66" t="s">
        <v>28</v>
      </c>
      <c r="G66">
        <v>4.2</v>
      </c>
      <c r="H66">
        <v>4.2</v>
      </c>
      <c r="I66" t="str" cm="1">
        <f t="array" ref="I66">_xlfn.IFS(G66&lt;3, "0–2 Years", G66&lt;6, "3–5 Years", G66&lt;9, "6–8 Years", G66&lt;12, "9-11 Years", G66&gt;=12, "12-14 Years")</f>
        <v>3–5 Years</v>
      </c>
      <c r="J66">
        <v>2</v>
      </c>
      <c r="K66" t="s">
        <v>20</v>
      </c>
      <c r="L66">
        <v>65700</v>
      </c>
      <c r="M66">
        <v>4500</v>
      </c>
      <c r="N66">
        <v>70200</v>
      </c>
      <c r="O66" t="s">
        <v>21</v>
      </c>
      <c r="P66" s="3">
        <v>44473</v>
      </c>
      <c r="Q66" t="s">
        <v>28</v>
      </c>
    </row>
    <row r="67" spans="1:17" x14ac:dyDescent="0.35">
      <c r="A67" t="s">
        <v>119</v>
      </c>
      <c r="B67" t="s">
        <v>16</v>
      </c>
      <c r="C67" s="7">
        <v>31</v>
      </c>
      <c r="D67" t="s">
        <v>17</v>
      </c>
      <c r="E67" t="s">
        <v>27</v>
      </c>
      <c r="F67" t="s">
        <v>28</v>
      </c>
      <c r="G67" s="9">
        <v>12</v>
      </c>
      <c r="H67" s="7">
        <v>8.4</v>
      </c>
      <c r="I67" t="str" cm="1">
        <f t="array" ref="I67">_xlfn.IFS(G67&lt;3, "0–2 Years", G67&lt;6, "3–5 Years", G67&lt;9, "6–8 Years", G67&lt;12, "9-11 Years", G67&gt;=12, "12-14 Years")</f>
        <v>12-14 Years</v>
      </c>
      <c r="J67" s="7">
        <v>4</v>
      </c>
      <c r="K67" t="s">
        <v>20</v>
      </c>
      <c r="L67" s="7">
        <v>79500</v>
      </c>
      <c r="M67" s="7">
        <v>4800</v>
      </c>
      <c r="N67" s="7">
        <v>84300</v>
      </c>
      <c r="O67" t="s">
        <v>21</v>
      </c>
      <c r="P67" s="3">
        <v>41654</v>
      </c>
      <c r="Q67" t="s">
        <v>28</v>
      </c>
    </row>
    <row r="68" spans="1:17" x14ac:dyDescent="0.35">
      <c r="A68" t="s">
        <v>120</v>
      </c>
      <c r="B68" t="s">
        <v>16</v>
      </c>
      <c r="C68">
        <v>29</v>
      </c>
      <c r="D68" t="s">
        <v>41</v>
      </c>
      <c r="E68" t="s">
        <v>42</v>
      </c>
      <c r="F68" t="s">
        <v>36</v>
      </c>
      <c r="G68">
        <v>3.4</v>
      </c>
      <c r="H68">
        <v>0</v>
      </c>
      <c r="I68" t="str" cm="1">
        <f t="array" ref="I68">_xlfn.IFS(G68&lt;3, "0–2 Years", G68&lt;6, "3–5 Years", G68&lt;9, "6–8 Years", G68&lt;12, "9-11 Years", G68&gt;=12, "12-14 Years")</f>
        <v>3–5 Years</v>
      </c>
      <c r="J68">
        <v>2</v>
      </c>
      <c r="K68" t="s">
        <v>20</v>
      </c>
      <c r="L68">
        <v>72100</v>
      </c>
      <c r="M68">
        <v>2200</v>
      </c>
      <c r="N68">
        <v>74300</v>
      </c>
      <c r="O68" t="s">
        <v>21</v>
      </c>
      <c r="P68" s="3">
        <v>44775</v>
      </c>
      <c r="Q68" t="s">
        <v>36</v>
      </c>
    </row>
    <row r="69" spans="1:17" x14ac:dyDescent="0.35">
      <c r="A69" t="s">
        <v>121</v>
      </c>
      <c r="B69" t="s">
        <v>16</v>
      </c>
      <c r="C69" s="7">
        <v>31</v>
      </c>
      <c r="D69" t="s">
        <v>34</v>
      </c>
      <c r="E69" t="s">
        <v>47</v>
      </c>
      <c r="F69" t="s">
        <v>28</v>
      </c>
      <c r="G69" s="9">
        <v>12.7</v>
      </c>
      <c r="H69" s="7">
        <v>9.1</v>
      </c>
      <c r="I69" t="str" cm="1">
        <f t="array" ref="I69">_xlfn.IFS(G69&lt;3, "0–2 Years", G69&lt;6, "3–5 Years", G69&lt;9, "6–8 Years", G69&lt;12, "9-11 Years", G69&gt;=12, "12-14 Years")</f>
        <v>12-14 Years</v>
      </c>
      <c r="J69" s="7">
        <v>3</v>
      </c>
      <c r="K69" t="s">
        <v>24</v>
      </c>
      <c r="L69" s="7">
        <v>50400</v>
      </c>
      <c r="M69" s="7">
        <v>4800</v>
      </c>
      <c r="N69" s="7">
        <v>55200</v>
      </c>
      <c r="O69" t="s">
        <v>25</v>
      </c>
      <c r="P69" s="3">
        <v>41384</v>
      </c>
      <c r="Q69" t="s">
        <v>28</v>
      </c>
    </row>
    <row r="70" spans="1:17" x14ac:dyDescent="0.35">
      <c r="A70" t="s">
        <v>122</v>
      </c>
      <c r="B70" t="s">
        <v>16</v>
      </c>
      <c r="C70">
        <v>28</v>
      </c>
      <c r="D70" t="s">
        <v>44</v>
      </c>
      <c r="E70" t="s">
        <v>51</v>
      </c>
      <c r="F70" t="s">
        <v>28</v>
      </c>
      <c r="G70">
        <v>9.4</v>
      </c>
      <c r="H70">
        <v>5.2</v>
      </c>
      <c r="I70" t="str" cm="1">
        <f t="array" ref="I70">_xlfn.IFS(G70&lt;3, "0–2 Years", G70&lt;6, "3–5 Years", G70&lt;9, "6–8 Years", G70&lt;12, "9-11 Years", G70&gt;=12, "12-14 Years")</f>
        <v>9-11 Years</v>
      </c>
      <c r="J70">
        <v>4</v>
      </c>
      <c r="K70" t="s">
        <v>20</v>
      </c>
      <c r="L70">
        <v>91100</v>
      </c>
      <c r="M70">
        <v>8800</v>
      </c>
      <c r="N70">
        <v>99900</v>
      </c>
      <c r="O70" t="s">
        <v>30</v>
      </c>
      <c r="P70" s="3">
        <v>42580</v>
      </c>
      <c r="Q70" t="s">
        <v>28</v>
      </c>
    </row>
    <row r="71" spans="1:17" x14ac:dyDescent="0.35">
      <c r="A71" t="s">
        <v>123</v>
      </c>
      <c r="B71" t="s">
        <v>23</v>
      </c>
      <c r="C71">
        <v>37</v>
      </c>
      <c r="D71" t="s">
        <v>55</v>
      </c>
      <c r="E71" t="s">
        <v>79</v>
      </c>
      <c r="F71" t="s">
        <v>28</v>
      </c>
      <c r="G71">
        <v>6.1</v>
      </c>
      <c r="H71">
        <v>4.7</v>
      </c>
      <c r="I71" t="str" cm="1">
        <f t="array" ref="I71">_xlfn.IFS(G71&lt;3, "0–2 Years", G71&lt;6, "3–5 Years", G71&lt;9, "6–8 Years", G71&lt;12, "9-11 Years", G71&gt;=12, "12-14 Years")</f>
        <v>6–8 Years</v>
      </c>
      <c r="J71">
        <v>3</v>
      </c>
      <c r="K71" t="s">
        <v>24</v>
      </c>
      <c r="L71">
        <v>30900</v>
      </c>
      <c r="M71">
        <v>4600</v>
      </c>
      <c r="N71">
        <v>35500</v>
      </c>
      <c r="O71" t="s">
        <v>65</v>
      </c>
      <c r="P71" s="3">
        <v>43788</v>
      </c>
      <c r="Q71" t="s">
        <v>28</v>
      </c>
    </row>
    <row r="72" spans="1:17" x14ac:dyDescent="0.35">
      <c r="A72" t="s">
        <v>124</v>
      </c>
      <c r="B72" t="s">
        <v>16</v>
      </c>
      <c r="C72">
        <v>34</v>
      </c>
      <c r="D72" t="s">
        <v>38</v>
      </c>
      <c r="E72" t="s">
        <v>112</v>
      </c>
      <c r="F72" t="s">
        <v>28</v>
      </c>
      <c r="G72">
        <v>3.4</v>
      </c>
      <c r="H72">
        <v>1.4</v>
      </c>
      <c r="I72" t="str" cm="1">
        <f t="array" ref="I72">_xlfn.IFS(G72&lt;3, "0–2 Years", G72&lt;6, "3–5 Years", G72&lt;9, "6–8 Years", G72&lt;12, "9-11 Years", G72&gt;=12, "12-14 Years")</f>
        <v>3–5 Years</v>
      </c>
      <c r="J72">
        <v>3</v>
      </c>
      <c r="K72" t="s">
        <v>20</v>
      </c>
      <c r="L72">
        <v>60300</v>
      </c>
      <c r="M72">
        <v>2800</v>
      </c>
      <c r="N72">
        <v>63100</v>
      </c>
      <c r="O72" t="s">
        <v>25</v>
      </c>
      <c r="P72" s="3">
        <v>44784</v>
      </c>
      <c r="Q72" t="s">
        <v>28</v>
      </c>
    </row>
    <row r="73" spans="1:17" x14ac:dyDescent="0.35">
      <c r="A73" t="s">
        <v>125</v>
      </c>
      <c r="B73" t="s">
        <v>23</v>
      </c>
      <c r="C73" s="7">
        <v>34</v>
      </c>
      <c r="D73" t="s">
        <v>34</v>
      </c>
      <c r="E73" t="s">
        <v>59</v>
      </c>
      <c r="F73" t="s">
        <v>36</v>
      </c>
      <c r="G73" s="9">
        <v>13.5</v>
      </c>
      <c r="H73" s="7">
        <v>7.3</v>
      </c>
      <c r="I73" t="str" cm="1">
        <f t="array" ref="I73">_xlfn.IFS(G73&lt;3, "0–2 Years", G73&lt;6, "3–5 Years", G73&lt;9, "6–8 Years", G73&lt;12, "9-11 Years", G73&gt;=12, "12-14 Years")</f>
        <v>12-14 Years</v>
      </c>
      <c r="J73" s="7">
        <v>2</v>
      </c>
      <c r="K73" t="s">
        <v>20</v>
      </c>
      <c r="L73" s="7">
        <v>111300</v>
      </c>
      <c r="M73" s="7">
        <v>13100</v>
      </c>
      <c r="N73" s="7">
        <v>124400</v>
      </c>
      <c r="O73" t="s">
        <v>57</v>
      </c>
      <c r="P73" s="3">
        <v>41096</v>
      </c>
      <c r="Q73" t="s">
        <v>36</v>
      </c>
    </row>
    <row r="74" spans="1:17" x14ac:dyDescent="0.35">
      <c r="A74" t="s">
        <v>126</v>
      </c>
      <c r="B74" t="s">
        <v>16</v>
      </c>
      <c r="C74">
        <v>37</v>
      </c>
      <c r="D74" t="s">
        <v>44</v>
      </c>
      <c r="E74" t="s">
        <v>81</v>
      </c>
      <c r="F74" t="s">
        <v>19</v>
      </c>
      <c r="G74">
        <v>1.3</v>
      </c>
      <c r="H74">
        <v>0</v>
      </c>
      <c r="I74" t="str" cm="1">
        <f t="array" ref="I74">_xlfn.IFS(G74&lt;3, "0–2 Years", G74&lt;6, "3–5 Years", G74&lt;9, "6–8 Years", G74&lt;12, "9-11 Years", G74&gt;=12, "12-14 Years")</f>
        <v>0–2 Years</v>
      </c>
      <c r="J74">
        <v>3</v>
      </c>
      <c r="K74" t="s">
        <v>20</v>
      </c>
      <c r="L74">
        <v>91300</v>
      </c>
      <c r="M74">
        <v>6200</v>
      </c>
      <c r="N74">
        <v>97500</v>
      </c>
      <c r="O74" t="s">
        <v>30</v>
      </c>
      <c r="P74" s="3">
        <v>45544</v>
      </c>
      <c r="Q74" t="s">
        <v>19</v>
      </c>
    </row>
    <row r="75" spans="1:17" x14ac:dyDescent="0.35">
      <c r="A75" t="s">
        <v>127</v>
      </c>
      <c r="B75" t="s">
        <v>16</v>
      </c>
      <c r="C75" s="7">
        <v>39</v>
      </c>
      <c r="D75" t="s">
        <v>55</v>
      </c>
      <c r="E75" t="s">
        <v>79</v>
      </c>
      <c r="F75" t="s">
        <v>28</v>
      </c>
      <c r="G75" s="9">
        <v>12.8</v>
      </c>
      <c r="H75" s="7">
        <v>6.6</v>
      </c>
      <c r="I75" t="str" cm="1">
        <f t="array" ref="I75">_xlfn.IFS(G75&lt;3, "0–2 Years", G75&lt;6, "3–5 Years", G75&lt;9, "6–8 Years", G75&lt;12, "9-11 Years", G75&gt;=12, "12-14 Years")</f>
        <v>12-14 Years</v>
      </c>
      <c r="J75" s="7">
        <v>3</v>
      </c>
      <c r="K75" t="s">
        <v>20</v>
      </c>
      <c r="L75" s="7">
        <v>75900</v>
      </c>
      <c r="M75" s="7">
        <v>12000</v>
      </c>
      <c r="N75" s="7">
        <v>87900</v>
      </c>
      <c r="O75" t="s">
        <v>21</v>
      </c>
      <c r="P75" s="3">
        <v>41345</v>
      </c>
      <c r="Q75" t="s">
        <v>28</v>
      </c>
    </row>
    <row r="76" spans="1:17" x14ac:dyDescent="0.35">
      <c r="A76" t="s">
        <v>128</v>
      </c>
      <c r="B76" t="s">
        <v>16</v>
      </c>
      <c r="C76">
        <v>31</v>
      </c>
      <c r="D76" t="s">
        <v>34</v>
      </c>
      <c r="E76" t="s">
        <v>59</v>
      </c>
      <c r="F76" t="s">
        <v>28</v>
      </c>
      <c r="G76">
        <v>11.3</v>
      </c>
      <c r="H76">
        <v>7.8</v>
      </c>
      <c r="I76" t="str" cm="1">
        <f t="array" ref="I76">_xlfn.IFS(G76&lt;3, "0–2 Years", G76&lt;6, "3–5 Years", G76&lt;9, "6–8 Years", G76&lt;12, "9-11 Years", G76&gt;=12, "12-14 Years")</f>
        <v>9-11 Years</v>
      </c>
      <c r="J76">
        <v>3</v>
      </c>
      <c r="K76" t="s">
        <v>20</v>
      </c>
      <c r="L76">
        <v>106700</v>
      </c>
      <c r="M76">
        <v>11900</v>
      </c>
      <c r="N76">
        <v>118600</v>
      </c>
      <c r="O76" t="s">
        <v>57</v>
      </c>
      <c r="P76" s="3">
        <v>41882</v>
      </c>
      <c r="Q76" t="s">
        <v>28</v>
      </c>
    </row>
    <row r="77" spans="1:17" x14ac:dyDescent="0.35">
      <c r="A77" t="s">
        <v>129</v>
      </c>
      <c r="B77" t="s">
        <v>23</v>
      </c>
      <c r="C77" s="7">
        <v>42</v>
      </c>
      <c r="D77" t="s">
        <v>17</v>
      </c>
      <c r="E77" t="s">
        <v>32</v>
      </c>
      <c r="F77" t="s">
        <v>28</v>
      </c>
      <c r="G77" s="9">
        <v>12.4</v>
      </c>
      <c r="H77" s="7">
        <v>9.6999999999999993</v>
      </c>
      <c r="I77" t="str" cm="1">
        <f t="array" ref="I77">_xlfn.IFS(G77&lt;3, "0–2 Years", G77&lt;6, "3–5 Years", G77&lt;9, "6–8 Years", G77&lt;12, "9-11 Years", G77&gt;=12, "12-14 Years")</f>
        <v>12-14 Years</v>
      </c>
      <c r="J77" s="7">
        <v>4</v>
      </c>
      <c r="K77" t="s">
        <v>69</v>
      </c>
      <c r="L77" s="7">
        <v>68600</v>
      </c>
      <c r="M77" s="7">
        <v>7700</v>
      </c>
      <c r="N77" s="7">
        <v>76300</v>
      </c>
      <c r="O77" t="s">
        <v>21</v>
      </c>
      <c r="P77" s="3">
        <v>41503</v>
      </c>
      <c r="Q77" t="s">
        <v>28</v>
      </c>
    </row>
    <row r="78" spans="1:17" x14ac:dyDescent="0.35">
      <c r="A78" t="s">
        <v>130</v>
      </c>
      <c r="B78" t="s">
        <v>16</v>
      </c>
      <c r="C78">
        <v>32</v>
      </c>
      <c r="D78" t="s">
        <v>44</v>
      </c>
      <c r="E78" t="s">
        <v>76</v>
      </c>
      <c r="F78" t="s">
        <v>28</v>
      </c>
      <c r="G78">
        <v>7.7</v>
      </c>
      <c r="H78">
        <v>4.8</v>
      </c>
      <c r="I78" t="str" cm="1">
        <f t="array" ref="I78">_xlfn.IFS(G78&lt;3, "0–2 Years", G78&lt;6, "3–5 Years", G78&lt;9, "6–8 Years", G78&lt;12, "9-11 Years", G78&gt;=12, "12-14 Years")</f>
        <v>6–8 Years</v>
      </c>
      <c r="J78">
        <v>3</v>
      </c>
      <c r="K78" t="s">
        <v>20</v>
      </c>
      <c r="L78">
        <v>113500</v>
      </c>
      <c r="M78">
        <v>9400</v>
      </c>
      <c r="N78">
        <v>122900</v>
      </c>
      <c r="O78" t="s">
        <v>57</v>
      </c>
      <c r="P78" s="3">
        <v>43211</v>
      </c>
      <c r="Q78" t="s">
        <v>28</v>
      </c>
    </row>
    <row r="79" spans="1:17" x14ac:dyDescent="0.35">
      <c r="A79" t="s">
        <v>131</v>
      </c>
      <c r="B79" t="s">
        <v>16</v>
      </c>
      <c r="C79">
        <v>32</v>
      </c>
      <c r="D79" t="s">
        <v>41</v>
      </c>
      <c r="E79" t="s">
        <v>73</v>
      </c>
      <c r="F79" t="s">
        <v>28</v>
      </c>
      <c r="G79">
        <v>8.5</v>
      </c>
      <c r="H79">
        <v>6.2</v>
      </c>
      <c r="I79" t="str" cm="1">
        <f t="array" ref="I79">_xlfn.IFS(G79&lt;3, "0–2 Years", G79&lt;6, "3–5 Years", G79&lt;9, "6–8 Years", G79&lt;12, "9-11 Years", G79&gt;=12, "12-14 Years")</f>
        <v>6–8 Years</v>
      </c>
      <c r="J79">
        <v>2</v>
      </c>
      <c r="K79" t="s">
        <v>20</v>
      </c>
      <c r="L79">
        <v>100800</v>
      </c>
      <c r="M79">
        <v>4100</v>
      </c>
      <c r="N79">
        <v>104900</v>
      </c>
      <c r="O79" t="s">
        <v>57</v>
      </c>
      <c r="P79" s="3">
        <v>42927</v>
      </c>
      <c r="Q79" t="s">
        <v>28</v>
      </c>
    </row>
    <row r="80" spans="1:17" x14ac:dyDescent="0.35">
      <c r="A80" t="s">
        <v>132</v>
      </c>
      <c r="B80" t="s">
        <v>23</v>
      </c>
      <c r="C80">
        <v>47</v>
      </c>
      <c r="D80" t="s">
        <v>41</v>
      </c>
      <c r="E80" t="s">
        <v>42</v>
      </c>
      <c r="F80" t="s">
        <v>28</v>
      </c>
      <c r="G80">
        <v>5.7</v>
      </c>
      <c r="H80">
        <v>5.3</v>
      </c>
      <c r="I80" t="str" cm="1">
        <f t="array" ref="I80">_xlfn.IFS(G80&lt;3, "0–2 Years", G80&lt;6, "3–5 Years", G80&lt;9, "6–8 Years", G80&lt;12, "9-11 Years", G80&gt;=12, "12-14 Years")</f>
        <v>3–5 Years</v>
      </c>
      <c r="J80">
        <v>3</v>
      </c>
      <c r="K80" t="s">
        <v>20</v>
      </c>
      <c r="L80">
        <v>85300</v>
      </c>
      <c r="M80">
        <v>2900</v>
      </c>
      <c r="N80">
        <v>88200</v>
      </c>
      <c r="O80" t="s">
        <v>30</v>
      </c>
      <c r="P80" s="3">
        <v>43948</v>
      </c>
      <c r="Q80" t="s">
        <v>28</v>
      </c>
    </row>
    <row r="81" spans="1:17" x14ac:dyDescent="0.35">
      <c r="A81" t="s">
        <v>133</v>
      </c>
      <c r="B81" t="s">
        <v>16</v>
      </c>
      <c r="C81">
        <v>38</v>
      </c>
      <c r="D81" t="s">
        <v>55</v>
      </c>
      <c r="E81" t="s">
        <v>56</v>
      </c>
      <c r="F81" t="s">
        <v>28</v>
      </c>
      <c r="G81">
        <v>10.4</v>
      </c>
      <c r="H81">
        <v>5.6</v>
      </c>
      <c r="I81" t="str" cm="1">
        <f t="array" ref="I81">_xlfn.IFS(G81&lt;3, "0–2 Years", G81&lt;6, "3–5 Years", G81&lt;9, "6–8 Years", G81&lt;12, "9-11 Years", G81&gt;=12, "12-14 Years")</f>
        <v>9-11 Years</v>
      </c>
      <c r="J81">
        <v>4</v>
      </c>
      <c r="K81" t="s">
        <v>20</v>
      </c>
      <c r="L81">
        <v>107600</v>
      </c>
      <c r="M81">
        <v>18200</v>
      </c>
      <c r="N81">
        <v>125800</v>
      </c>
      <c r="O81" t="s">
        <v>57</v>
      </c>
      <c r="P81" s="3">
        <v>42207</v>
      </c>
      <c r="Q81" t="s">
        <v>28</v>
      </c>
    </row>
    <row r="82" spans="1:17" x14ac:dyDescent="0.35">
      <c r="A82" t="s">
        <v>134</v>
      </c>
      <c r="B82" t="s">
        <v>16</v>
      </c>
      <c r="C82">
        <v>48</v>
      </c>
      <c r="D82" t="s">
        <v>44</v>
      </c>
      <c r="E82" t="s">
        <v>81</v>
      </c>
      <c r="F82" t="s">
        <v>36</v>
      </c>
      <c r="G82">
        <v>3.1</v>
      </c>
      <c r="H82">
        <v>1.2</v>
      </c>
      <c r="I82" t="str" cm="1">
        <f t="array" ref="I82">_xlfn.IFS(G82&lt;3, "0–2 Years", G82&lt;6, "3–5 Years", G82&lt;9, "6–8 Years", G82&lt;12, "9-11 Years", G82&gt;=12, "12-14 Years")</f>
        <v>3–5 Years</v>
      </c>
      <c r="J82">
        <v>3</v>
      </c>
      <c r="K82" t="s">
        <v>69</v>
      </c>
      <c r="L82">
        <v>76700</v>
      </c>
      <c r="M82">
        <v>7800</v>
      </c>
      <c r="N82">
        <v>84500</v>
      </c>
      <c r="O82" t="s">
        <v>21</v>
      </c>
      <c r="P82" s="3">
        <v>44897</v>
      </c>
      <c r="Q82" t="s">
        <v>36</v>
      </c>
    </row>
    <row r="83" spans="1:17" x14ac:dyDescent="0.35">
      <c r="A83" t="s">
        <v>135</v>
      </c>
      <c r="B83" t="s">
        <v>16</v>
      </c>
      <c r="C83">
        <v>51</v>
      </c>
      <c r="D83" t="s">
        <v>17</v>
      </c>
      <c r="E83" t="s">
        <v>18</v>
      </c>
      <c r="F83" t="s">
        <v>19</v>
      </c>
      <c r="G83">
        <v>7</v>
      </c>
      <c r="H83">
        <v>5.9</v>
      </c>
      <c r="I83" t="str" cm="1">
        <f t="array" ref="I83">_xlfn.IFS(G83&lt;3, "0–2 Years", G83&lt;6, "3–5 Years", G83&lt;9, "6–8 Years", G83&lt;12, "9-11 Years", G83&gt;=12, "12-14 Years")</f>
        <v>6–8 Years</v>
      </c>
      <c r="J83">
        <v>3</v>
      </c>
      <c r="K83" t="s">
        <v>20</v>
      </c>
      <c r="L83">
        <v>94500</v>
      </c>
      <c r="M83">
        <v>9500</v>
      </c>
      <c r="N83">
        <v>104000</v>
      </c>
      <c r="O83" t="s">
        <v>30</v>
      </c>
      <c r="P83" s="3">
        <v>43465</v>
      </c>
      <c r="Q83" t="s">
        <v>19</v>
      </c>
    </row>
    <row r="84" spans="1:17" x14ac:dyDescent="0.35">
      <c r="A84" t="s">
        <v>136</v>
      </c>
      <c r="B84" t="s">
        <v>16</v>
      </c>
      <c r="C84">
        <v>38</v>
      </c>
      <c r="D84" t="s">
        <v>38</v>
      </c>
      <c r="E84" t="s">
        <v>112</v>
      </c>
      <c r="F84" t="s">
        <v>28</v>
      </c>
      <c r="G84">
        <v>8.4</v>
      </c>
      <c r="H84">
        <v>4.5</v>
      </c>
      <c r="I84" t="str" cm="1">
        <f t="array" ref="I84">_xlfn.IFS(G84&lt;3, "0–2 Years", G84&lt;6, "3–5 Years", G84&lt;9, "6–8 Years", G84&lt;12, "9-11 Years", G84&gt;=12, "12-14 Years")</f>
        <v>6–8 Years</v>
      </c>
      <c r="J84">
        <v>3</v>
      </c>
      <c r="K84" t="s">
        <v>20</v>
      </c>
      <c r="L84">
        <v>74400</v>
      </c>
      <c r="M84">
        <v>3000</v>
      </c>
      <c r="N84">
        <v>77400</v>
      </c>
      <c r="O84" t="s">
        <v>21</v>
      </c>
      <c r="P84" s="3">
        <v>42963</v>
      </c>
      <c r="Q84" t="s">
        <v>28</v>
      </c>
    </row>
    <row r="85" spans="1:17" x14ac:dyDescent="0.35">
      <c r="A85" t="s">
        <v>137</v>
      </c>
      <c r="B85" t="s">
        <v>16</v>
      </c>
      <c r="C85">
        <v>21</v>
      </c>
      <c r="D85" t="s">
        <v>17</v>
      </c>
      <c r="E85" t="s">
        <v>18</v>
      </c>
      <c r="F85" t="s">
        <v>28</v>
      </c>
      <c r="G85">
        <v>7.7</v>
      </c>
      <c r="H85">
        <v>3.9</v>
      </c>
      <c r="I85" t="str" cm="1">
        <f t="array" ref="I85">_xlfn.IFS(G85&lt;3, "0–2 Years", G85&lt;6, "3–5 Years", G85&lt;9, "6–8 Years", G85&lt;12, "9-11 Years", G85&gt;=12, "12-14 Years")</f>
        <v>6–8 Years</v>
      </c>
      <c r="J85">
        <v>3</v>
      </c>
      <c r="K85" t="s">
        <v>20</v>
      </c>
      <c r="L85">
        <v>98300</v>
      </c>
      <c r="M85">
        <v>7300</v>
      </c>
      <c r="N85">
        <v>105600</v>
      </c>
      <c r="O85" t="s">
        <v>30</v>
      </c>
      <c r="P85" s="3">
        <v>43217</v>
      </c>
      <c r="Q85" t="s">
        <v>28</v>
      </c>
    </row>
    <row r="86" spans="1:17" x14ac:dyDescent="0.35">
      <c r="A86" t="s">
        <v>138</v>
      </c>
      <c r="B86" t="s">
        <v>16</v>
      </c>
      <c r="C86" s="7">
        <v>39</v>
      </c>
      <c r="D86" t="s">
        <v>44</v>
      </c>
      <c r="E86" t="s">
        <v>81</v>
      </c>
      <c r="F86" t="s">
        <v>19</v>
      </c>
      <c r="G86" s="9">
        <v>12.7</v>
      </c>
      <c r="H86" s="7">
        <v>10.7</v>
      </c>
      <c r="I86" t="str" cm="1">
        <f t="array" ref="I86">_xlfn.IFS(G86&lt;3, "0–2 Years", G86&lt;6, "3–5 Years", G86&lt;9, "6–8 Years", G86&lt;12, "9-11 Years", G86&gt;=12, "12-14 Years")</f>
        <v>12-14 Years</v>
      </c>
      <c r="J86" s="7">
        <v>3</v>
      </c>
      <c r="K86" t="s">
        <v>20</v>
      </c>
      <c r="L86" s="7">
        <v>97600</v>
      </c>
      <c r="M86" s="7">
        <v>9100</v>
      </c>
      <c r="N86" s="7">
        <v>106700</v>
      </c>
      <c r="O86" t="s">
        <v>30</v>
      </c>
      <c r="P86" s="3">
        <v>41389</v>
      </c>
      <c r="Q86" t="s">
        <v>19</v>
      </c>
    </row>
    <row r="87" spans="1:17" x14ac:dyDescent="0.35">
      <c r="A87" t="s">
        <v>139</v>
      </c>
      <c r="B87" t="s">
        <v>23</v>
      </c>
      <c r="C87">
        <v>21</v>
      </c>
      <c r="D87" t="s">
        <v>41</v>
      </c>
      <c r="E87" t="s">
        <v>73</v>
      </c>
      <c r="F87" t="s">
        <v>36</v>
      </c>
      <c r="G87">
        <v>1.9</v>
      </c>
      <c r="H87">
        <v>0.3</v>
      </c>
      <c r="I87" t="str" cm="1">
        <f t="array" ref="I87">_xlfn.IFS(G87&lt;3, "0–2 Years", G87&lt;6, "3–5 Years", G87&lt;9, "6–8 Years", G87&lt;12, "9-11 Years", G87&gt;=12, "12-14 Years")</f>
        <v>0–2 Years</v>
      </c>
      <c r="J87">
        <v>4</v>
      </c>
      <c r="K87" t="s">
        <v>20</v>
      </c>
      <c r="L87">
        <v>89800</v>
      </c>
      <c r="M87">
        <v>6800</v>
      </c>
      <c r="N87">
        <v>96600</v>
      </c>
      <c r="O87" t="s">
        <v>30</v>
      </c>
      <c r="P87" s="3">
        <v>45320</v>
      </c>
      <c r="Q87" t="s">
        <v>36</v>
      </c>
    </row>
    <row r="88" spans="1:17" x14ac:dyDescent="0.35">
      <c r="A88" t="s">
        <v>140</v>
      </c>
      <c r="B88" t="s">
        <v>16</v>
      </c>
      <c r="C88">
        <v>37</v>
      </c>
      <c r="D88" t="s">
        <v>34</v>
      </c>
      <c r="E88" t="s">
        <v>35</v>
      </c>
      <c r="F88" t="s">
        <v>19</v>
      </c>
      <c r="G88">
        <v>6.9</v>
      </c>
      <c r="H88">
        <v>5.4</v>
      </c>
      <c r="I88" t="str" cm="1">
        <f t="array" ref="I88">_xlfn.IFS(G88&lt;3, "0–2 Years", G88&lt;6, "3–5 Years", G88&lt;9, "6–8 Years", G88&lt;12, "9-11 Years", G88&gt;=12, "12-14 Years")</f>
        <v>6–8 Years</v>
      </c>
      <c r="J88">
        <v>4</v>
      </c>
      <c r="K88" t="s">
        <v>20</v>
      </c>
      <c r="L88">
        <v>75300</v>
      </c>
      <c r="M88">
        <v>5700</v>
      </c>
      <c r="N88">
        <v>81000</v>
      </c>
      <c r="O88" t="s">
        <v>21</v>
      </c>
      <c r="P88" s="3">
        <v>43486</v>
      </c>
      <c r="Q88" t="s">
        <v>19</v>
      </c>
    </row>
    <row r="89" spans="1:17" x14ac:dyDescent="0.35">
      <c r="A89" t="s">
        <v>141</v>
      </c>
      <c r="B89" t="s">
        <v>23</v>
      </c>
      <c r="C89" s="7">
        <v>47</v>
      </c>
      <c r="D89" t="s">
        <v>34</v>
      </c>
      <c r="E89" t="s">
        <v>59</v>
      </c>
      <c r="F89" t="s">
        <v>36</v>
      </c>
      <c r="G89" s="9">
        <v>12.5</v>
      </c>
      <c r="H89" s="7">
        <v>8.4</v>
      </c>
      <c r="I89" t="str" cm="1">
        <f t="array" ref="I89">_xlfn.IFS(G89&lt;3, "0–2 Years", G89&lt;6, "3–5 Years", G89&lt;9, "6–8 Years", G89&lt;12, "9-11 Years", G89&gt;=12, "12-14 Years")</f>
        <v>12-14 Years</v>
      </c>
      <c r="J89" s="7">
        <v>4</v>
      </c>
      <c r="K89" t="s">
        <v>20</v>
      </c>
      <c r="L89" s="7">
        <v>138500</v>
      </c>
      <c r="M89" s="7">
        <v>7200</v>
      </c>
      <c r="N89" s="7">
        <v>145700</v>
      </c>
      <c r="O89" t="s">
        <v>57</v>
      </c>
      <c r="P89" s="3">
        <v>41462</v>
      </c>
      <c r="Q89" t="s">
        <v>36</v>
      </c>
    </row>
    <row r="90" spans="1:17" x14ac:dyDescent="0.35">
      <c r="A90" t="s">
        <v>142</v>
      </c>
      <c r="B90" t="s">
        <v>16</v>
      </c>
      <c r="C90">
        <v>42</v>
      </c>
      <c r="D90" t="s">
        <v>55</v>
      </c>
      <c r="E90" t="s">
        <v>56</v>
      </c>
      <c r="F90" t="s">
        <v>28</v>
      </c>
      <c r="G90">
        <v>11.1</v>
      </c>
      <c r="H90">
        <v>7</v>
      </c>
      <c r="I90" t="str" cm="1">
        <f t="array" ref="I90">_xlfn.IFS(G90&lt;3, "0–2 Years", G90&lt;6, "3–5 Years", G90&lt;9, "6–8 Years", G90&lt;12, "9-11 Years", G90&gt;=12, "12-14 Years")</f>
        <v>9-11 Years</v>
      </c>
      <c r="J90">
        <v>4</v>
      </c>
      <c r="K90" t="s">
        <v>20</v>
      </c>
      <c r="L90">
        <v>114500</v>
      </c>
      <c r="M90">
        <v>13500</v>
      </c>
      <c r="N90">
        <v>128000</v>
      </c>
      <c r="O90" t="s">
        <v>57</v>
      </c>
      <c r="P90" s="3">
        <v>41959</v>
      </c>
      <c r="Q90" t="s">
        <v>28</v>
      </c>
    </row>
    <row r="91" spans="1:17" x14ac:dyDescent="0.35">
      <c r="A91" t="s">
        <v>143</v>
      </c>
      <c r="B91" t="s">
        <v>23</v>
      </c>
      <c r="C91">
        <v>37</v>
      </c>
      <c r="D91" t="s">
        <v>34</v>
      </c>
      <c r="E91" t="s">
        <v>35</v>
      </c>
      <c r="F91" t="s">
        <v>28</v>
      </c>
      <c r="G91">
        <v>7.2</v>
      </c>
      <c r="H91">
        <v>2.8</v>
      </c>
      <c r="I91" t="str" cm="1">
        <f t="array" ref="I91">_xlfn.IFS(G91&lt;3, "0–2 Years", G91&lt;6, "3–5 Years", G91&lt;9, "6–8 Years", G91&lt;12, "9-11 Years", G91&gt;=12, "12-14 Years")</f>
        <v>6–8 Years</v>
      </c>
      <c r="J91">
        <v>4</v>
      </c>
      <c r="K91" t="s">
        <v>69</v>
      </c>
      <c r="L91">
        <v>60500</v>
      </c>
      <c r="M91">
        <v>2500</v>
      </c>
      <c r="N91">
        <v>63000</v>
      </c>
      <c r="O91" t="s">
        <v>25</v>
      </c>
      <c r="P91" s="3">
        <v>43401</v>
      </c>
      <c r="Q91" t="s">
        <v>28</v>
      </c>
    </row>
    <row r="92" spans="1:17" x14ac:dyDescent="0.35">
      <c r="A92" t="s">
        <v>144</v>
      </c>
      <c r="B92" t="s">
        <v>16</v>
      </c>
      <c r="C92">
        <v>43</v>
      </c>
      <c r="D92" t="s">
        <v>41</v>
      </c>
      <c r="E92" t="s">
        <v>73</v>
      </c>
      <c r="F92" t="s">
        <v>36</v>
      </c>
      <c r="G92">
        <v>4.3</v>
      </c>
      <c r="H92">
        <v>1.9</v>
      </c>
      <c r="I92" t="str" cm="1">
        <f t="array" ref="I92">_xlfn.IFS(G92&lt;3, "0–2 Years", G92&lt;6, "3–5 Years", G92&lt;9, "6–8 Years", G92&lt;12, "9-11 Years", G92&gt;=12, "12-14 Years")</f>
        <v>3–5 Years</v>
      </c>
      <c r="J92">
        <v>4</v>
      </c>
      <c r="K92" t="s">
        <v>20</v>
      </c>
      <c r="L92">
        <v>109900</v>
      </c>
      <c r="M92">
        <v>6300</v>
      </c>
      <c r="N92">
        <v>116200</v>
      </c>
      <c r="O92" t="s">
        <v>57</v>
      </c>
      <c r="P92" s="3">
        <v>44439</v>
      </c>
      <c r="Q92" t="s">
        <v>36</v>
      </c>
    </row>
    <row r="93" spans="1:17" x14ac:dyDescent="0.35">
      <c r="A93" t="s">
        <v>145</v>
      </c>
      <c r="B93" t="s">
        <v>16</v>
      </c>
      <c r="C93">
        <v>43</v>
      </c>
      <c r="D93" t="s">
        <v>34</v>
      </c>
      <c r="E93" t="s">
        <v>47</v>
      </c>
      <c r="F93" t="s">
        <v>62</v>
      </c>
      <c r="G93">
        <v>11.5</v>
      </c>
      <c r="H93">
        <v>7.1</v>
      </c>
      <c r="I93" t="str" cm="1">
        <f t="array" ref="I93">_xlfn.IFS(G93&lt;3, "0–2 Years", G93&lt;6, "3–5 Years", G93&lt;9, "6–8 Years", G93&lt;12, "9-11 Years", G93&gt;=12, "12-14 Years")</f>
        <v>9-11 Years</v>
      </c>
      <c r="J93">
        <v>3</v>
      </c>
      <c r="K93" t="s">
        <v>69</v>
      </c>
      <c r="L93">
        <v>78900</v>
      </c>
      <c r="M93">
        <v>7000</v>
      </c>
      <c r="N93">
        <v>85900</v>
      </c>
      <c r="O93" t="s">
        <v>21</v>
      </c>
      <c r="P93" s="3">
        <v>41810</v>
      </c>
      <c r="Q93" t="s">
        <v>62</v>
      </c>
    </row>
    <row r="94" spans="1:17" x14ac:dyDescent="0.35">
      <c r="A94" t="s">
        <v>146</v>
      </c>
      <c r="B94" t="s">
        <v>16</v>
      </c>
      <c r="C94">
        <v>24</v>
      </c>
      <c r="D94" t="s">
        <v>55</v>
      </c>
      <c r="E94" t="s">
        <v>92</v>
      </c>
      <c r="F94" t="s">
        <v>36</v>
      </c>
      <c r="G94">
        <v>7.4</v>
      </c>
      <c r="H94">
        <v>4.5999999999999996</v>
      </c>
      <c r="I94" t="str" cm="1">
        <f t="array" ref="I94">_xlfn.IFS(G94&lt;3, "0–2 Years", G94&lt;6, "3–5 Years", G94&lt;9, "6–8 Years", G94&lt;12, "9-11 Years", G94&gt;=12, "12-14 Years")</f>
        <v>6–8 Years</v>
      </c>
      <c r="J94">
        <v>3</v>
      </c>
      <c r="K94" t="s">
        <v>20</v>
      </c>
      <c r="L94">
        <v>115200</v>
      </c>
      <c r="M94">
        <v>17500</v>
      </c>
      <c r="N94">
        <v>132700</v>
      </c>
      <c r="O94" t="s">
        <v>57</v>
      </c>
      <c r="P94" s="3">
        <v>43305</v>
      </c>
      <c r="Q94" t="s">
        <v>36</v>
      </c>
    </row>
    <row r="95" spans="1:17" x14ac:dyDescent="0.35">
      <c r="A95" t="s">
        <v>147</v>
      </c>
      <c r="B95" t="s">
        <v>16</v>
      </c>
      <c r="C95">
        <v>34</v>
      </c>
      <c r="D95" t="s">
        <v>41</v>
      </c>
      <c r="E95" t="s">
        <v>67</v>
      </c>
      <c r="G95">
        <v>8.1999999999999993</v>
      </c>
      <c r="H95">
        <v>5.8</v>
      </c>
      <c r="I95" t="str" cm="1">
        <f t="array" ref="I95">_xlfn.IFS(G95&lt;3, "0–2 Years", G95&lt;6, "3–5 Years", G95&lt;9, "6–8 Years", G95&lt;12, "9-11 Years", G95&gt;=12, "12-14 Years")</f>
        <v>6–8 Years</v>
      </c>
      <c r="J95">
        <v>4</v>
      </c>
      <c r="K95" t="s">
        <v>24</v>
      </c>
      <c r="L95">
        <v>45200</v>
      </c>
      <c r="M95">
        <v>2000</v>
      </c>
      <c r="N95">
        <v>47200</v>
      </c>
      <c r="O95" t="s">
        <v>65</v>
      </c>
      <c r="P95" s="3">
        <v>43028</v>
      </c>
      <c r="Q95" t="s">
        <v>5104</v>
      </c>
    </row>
    <row r="96" spans="1:17" x14ac:dyDescent="0.35">
      <c r="A96" t="s">
        <v>148</v>
      </c>
      <c r="B96" t="s">
        <v>16</v>
      </c>
      <c r="C96">
        <v>34</v>
      </c>
      <c r="D96" t="s">
        <v>55</v>
      </c>
      <c r="E96" t="s">
        <v>56</v>
      </c>
      <c r="F96" t="s">
        <v>36</v>
      </c>
      <c r="G96">
        <v>9.3000000000000007</v>
      </c>
      <c r="H96">
        <v>5.6</v>
      </c>
      <c r="I96" t="str" cm="1">
        <f t="array" ref="I96">_xlfn.IFS(G96&lt;3, "0–2 Years", G96&lt;6, "3–5 Years", G96&lt;9, "6–8 Years", G96&lt;12, "9-11 Years", G96&gt;=12, "12-14 Years")</f>
        <v>9-11 Years</v>
      </c>
      <c r="J96">
        <v>3</v>
      </c>
      <c r="K96" t="s">
        <v>24</v>
      </c>
      <c r="L96">
        <v>64000</v>
      </c>
      <c r="M96">
        <v>11300</v>
      </c>
      <c r="N96">
        <v>75300</v>
      </c>
      <c r="O96" t="s">
        <v>25</v>
      </c>
      <c r="P96" s="3">
        <v>42621</v>
      </c>
      <c r="Q96" t="s">
        <v>36</v>
      </c>
    </row>
    <row r="97" spans="1:17" x14ac:dyDescent="0.35">
      <c r="A97" t="s">
        <v>149</v>
      </c>
      <c r="B97" t="s">
        <v>16</v>
      </c>
      <c r="C97">
        <v>56</v>
      </c>
      <c r="D97" t="s">
        <v>34</v>
      </c>
      <c r="E97" t="s">
        <v>59</v>
      </c>
      <c r="F97" t="s">
        <v>28</v>
      </c>
      <c r="G97">
        <v>10.8</v>
      </c>
      <c r="H97">
        <v>6.7</v>
      </c>
      <c r="I97" t="str" cm="1">
        <f t="array" ref="I97">_xlfn.IFS(G97&lt;3, "0–2 Years", G97&lt;6, "3–5 Years", G97&lt;9, "6–8 Years", G97&lt;12, "9-11 Years", G97&gt;=12, "12-14 Years")</f>
        <v>9-11 Years</v>
      </c>
      <c r="J97">
        <v>3</v>
      </c>
      <c r="K97" t="s">
        <v>20</v>
      </c>
      <c r="L97">
        <v>101400</v>
      </c>
      <c r="M97">
        <v>10700</v>
      </c>
      <c r="N97">
        <v>112100</v>
      </c>
      <c r="O97" t="s">
        <v>57</v>
      </c>
      <c r="P97" s="3">
        <v>42085</v>
      </c>
      <c r="Q97" t="s">
        <v>28</v>
      </c>
    </row>
    <row r="98" spans="1:17" x14ac:dyDescent="0.35">
      <c r="A98" t="s">
        <v>150</v>
      </c>
      <c r="B98" t="s">
        <v>23</v>
      </c>
      <c r="C98">
        <v>38</v>
      </c>
      <c r="D98" t="s">
        <v>41</v>
      </c>
      <c r="E98" t="s">
        <v>73</v>
      </c>
      <c r="F98" t="s">
        <v>36</v>
      </c>
      <c r="G98">
        <v>6.6</v>
      </c>
      <c r="H98">
        <v>2.8</v>
      </c>
      <c r="I98" t="str" cm="1">
        <f t="array" ref="I98">_xlfn.IFS(G98&lt;3, "0–2 Years", G98&lt;6, "3–5 Years", G98&lt;9, "6–8 Years", G98&lt;12, "9-11 Years", G98&gt;=12, "12-14 Years")</f>
        <v>6–8 Years</v>
      </c>
      <c r="J98">
        <v>3</v>
      </c>
      <c r="K98" t="s">
        <v>20</v>
      </c>
      <c r="L98">
        <v>99200</v>
      </c>
      <c r="M98">
        <v>4100</v>
      </c>
      <c r="N98">
        <v>103300</v>
      </c>
      <c r="O98" t="s">
        <v>30</v>
      </c>
      <c r="P98" s="3">
        <v>43597</v>
      </c>
      <c r="Q98" t="s">
        <v>36</v>
      </c>
    </row>
    <row r="99" spans="1:17" x14ac:dyDescent="0.35">
      <c r="A99" t="s">
        <v>151</v>
      </c>
      <c r="B99" t="s">
        <v>16</v>
      </c>
      <c r="C99">
        <v>51</v>
      </c>
      <c r="D99" t="s">
        <v>34</v>
      </c>
      <c r="E99" t="s">
        <v>59</v>
      </c>
      <c r="F99" t="s">
        <v>62</v>
      </c>
      <c r="G99">
        <v>7.3</v>
      </c>
      <c r="H99">
        <v>3.8</v>
      </c>
      <c r="I99" t="str" cm="1">
        <f t="array" ref="I99">_xlfn.IFS(G99&lt;3, "0–2 Years", G99&lt;6, "3–5 Years", G99&lt;9, "6–8 Years", G99&lt;12, "9-11 Years", G99&gt;=12, "12-14 Years")</f>
        <v>6–8 Years</v>
      </c>
      <c r="J99">
        <v>4</v>
      </c>
      <c r="K99" t="s">
        <v>20</v>
      </c>
      <c r="L99">
        <v>112100</v>
      </c>
      <c r="M99">
        <v>12900</v>
      </c>
      <c r="N99">
        <v>125000</v>
      </c>
      <c r="O99" t="s">
        <v>57</v>
      </c>
      <c r="P99" s="3">
        <v>43358</v>
      </c>
      <c r="Q99" t="s">
        <v>62</v>
      </c>
    </row>
    <row r="100" spans="1:17" x14ac:dyDescent="0.35">
      <c r="A100" t="s">
        <v>152</v>
      </c>
      <c r="B100" t="s">
        <v>16</v>
      </c>
      <c r="C100" s="7">
        <v>44</v>
      </c>
      <c r="D100" t="s">
        <v>38</v>
      </c>
      <c r="E100" t="s">
        <v>61</v>
      </c>
      <c r="F100" t="s">
        <v>19</v>
      </c>
      <c r="G100" s="9">
        <v>13.4</v>
      </c>
      <c r="H100" s="7">
        <v>9.6999999999999993</v>
      </c>
      <c r="I100" t="str" cm="1">
        <f t="array" ref="I100">_xlfn.IFS(G100&lt;3, "0–2 Years", G100&lt;6, "3–5 Years", G100&lt;9, "6–8 Years", G100&lt;12, "9-11 Years", G100&gt;=12, "12-14 Years")</f>
        <v>12-14 Years</v>
      </c>
      <c r="J100" s="7">
        <v>3</v>
      </c>
      <c r="K100" t="s">
        <v>24</v>
      </c>
      <c r="L100" s="7">
        <v>65800</v>
      </c>
      <c r="M100" s="7">
        <v>5300</v>
      </c>
      <c r="N100" s="7">
        <v>71100</v>
      </c>
      <c r="O100" t="s">
        <v>21</v>
      </c>
      <c r="P100" s="3">
        <v>41115</v>
      </c>
      <c r="Q100" t="s">
        <v>19</v>
      </c>
    </row>
    <row r="101" spans="1:17" x14ac:dyDescent="0.35">
      <c r="A101" t="s">
        <v>153</v>
      </c>
      <c r="B101" t="s">
        <v>16</v>
      </c>
      <c r="C101">
        <v>44</v>
      </c>
      <c r="D101" t="s">
        <v>38</v>
      </c>
      <c r="E101" t="s">
        <v>112</v>
      </c>
      <c r="F101" t="s">
        <v>62</v>
      </c>
      <c r="G101">
        <v>6.9</v>
      </c>
      <c r="H101">
        <v>4.7</v>
      </c>
      <c r="I101" t="str" cm="1">
        <f t="array" ref="I101">_xlfn.IFS(G101&lt;3, "0–2 Years", G101&lt;6, "3–5 Years", G101&lt;9, "6–8 Years", G101&lt;12, "9-11 Years", G101&gt;=12, "12-14 Years")</f>
        <v>6–8 Years</v>
      </c>
      <c r="J101">
        <v>4</v>
      </c>
      <c r="K101" t="s">
        <v>20</v>
      </c>
      <c r="L101">
        <v>78400</v>
      </c>
      <c r="M101">
        <v>4400</v>
      </c>
      <c r="N101">
        <v>82800</v>
      </c>
      <c r="O101" t="s">
        <v>21</v>
      </c>
      <c r="P101" s="3">
        <v>43503</v>
      </c>
      <c r="Q101" t="s">
        <v>62</v>
      </c>
    </row>
    <row r="102" spans="1:17" x14ac:dyDescent="0.35">
      <c r="A102" t="s">
        <v>154</v>
      </c>
      <c r="B102" t="s">
        <v>16</v>
      </c>
      <c r="C102">
        <v>36</v>
      </c>
      <c r="D102" t="s">
        <v>55</v>
      </c>
      <c r="E102" t="s">
        <v>92</v>
      </c>
      <c r="F102" t="s">
        <v>28</v>
      </c>
      <c r="G102">
        <v>1.6</v>
      </c>
      <c r="H102">
        <v>1.6</v>
      </c>
      <c r="I102" t="str" cm="1">
        <f t="array" ref="I102">_xlfn.IFS(G102&lt;3, "0–2 Years", G102&lt;6, "3–5 Years", G102&lt;9, "6–8 Years", G102&lt;12, "9-11 Years", G102&gt;=12, "12-14 Years")</f>
        <v>0–2 Years</v>
      </c>
      <c r="J102">
        <v>2</v>
      </c>
      <c r="K102" t="s">
        <v>20</v>
      </c>
      <c r="L102">
        <v>97600</v>
      </c>
      <c r="M102">
        <v>14000</v>
      </c>
      <c r="N102">
        <v>111600</v>
      </c>
      <c r="O102" t="s">
        <v>30</v>
      </c>
      <c r="P102" s="3">
        <v>45441</v>
      </c>
      <c r="Q102" t="s">
        <v>28</v>
      </c>
    </row>
    <row r="103" spans="1:17" x14ac:dyDescent="0.35">
      <c r="A103" t="s">
        <v>155</v>
      </c>
      <c r="B103" t="s">
        <v>16</v>
      </c>
      <c r="C103">
        <v>28</v>
      </c>
      <c r="D103" t="s">
        <v>17</v>
      </c>
      <c r="E103" t="s">
        <v>18</v>
      </c>
      <c r="F103" t="s">
        <v>36</v>
      </c>
      <c r="G103">
        <v>4.5999999999999996</v>
      </c>
      <c r="H103">
        <v>4.5999999999999996</v>
      </c>
      <c r="I103" t="str" cm="1">
        <f t="array" ref="I103">_xlfn.IFS(G103&lt;3, "0–2 Years", G103&lt;6, "3–5 Years", G103&lt;9, "6–8 Years", G103&lt;12, "9-11 Years", G103&gt;=12, "12-14 Years")</f>
        <v>3–5 Years</v>
      </c>
      <c r="J103">
        <v>1</v>
      </c>
      <c r="K103" t="s">
        <v>20</v>
      </c>
      <c r="L103">
        <v>90600</v>
      </c>
      <c r="M103">
        <v>6100</v>
      </c>
      <c r="N103">
        <v>96700</v>
      </c>
      <c r="O103" t="s">
        <v>30</v>
      </c>
      <c r="P103" s="3">
        <v>44356</v>
      </c>
      <c r="Q103" t="s">
        <v>36</v>
      </c>
    </row>
    <row r="104" spans="1:17" x14ac:dyDescent="0.35">
      <c r="A104" t="s">
        <v>156</v>
      </c>
      <c r="B104" t="s">
        <v>16</v>
      </c>
      <c r="C104">
        <v>38</v>
      </c>
      <c r="D104" t="s">
        <v>17</v>
      </c>
      <c r="E104" t="s">
        <v>32</v>
      </c>
      <c r="F104" t="s">
        <v>62</v>
      </c>
      <c r="G104">
        <v>8.8000000000000007</v>
      </c>
      <c r="H104">
        <v>4.5</v>
      </c>
      <c r="I104" t="str" cm="1">
        <f t="array" ref="I104">_xlfn.IFS(G104&lt;3, "0–2 Years", G104&lt;6, "3–5 Years", G104&lt;9, "6–8 Years", G104&lt;12, "9-11 Years", G104&gt;=12, "12-14 Years")</f>
        <v>6–8 Years</v>
      </c>
      <c r="J104">
        <v>3</v>
      </c>
      <c r="K104" t="s">
        <v>20</v>
      </c>
      <c r="L104">
        <v>80000</v>
      </c>
      <c r="M104">
        <v>6400</v>
      </c>
      <c r="N104">
        <v>86400</v>
      </c>
      <c r="O104" t="s">
        <v>30</v>
      </c>
      <c r="P104" s="3">
        <v>42822</v>
      </c>
      <c r="Q104" t="s">
        <v>62</v>
      </c>
    </row>
    <row r="105" spans="1:17" x14ac:dyDescent="0.35">
      <c r="A105" t="s">
        <v>157</v>
      </c>
      <c r="B105" t="s">
        <v>23</v>
      </c>
      <c r="C105">
        <v>41</v>
      </c>
      <c r="D105" t="s">
        <v>38</v>
      </c>
      <c r="E105" t="s">
        <v>61</v>
      </c>
      <c r="F105" t="s">
        <v>36</v>
      </c>
      <c r="G105">
        <v>4.5</v>
      </c>
      <c r="H105">
        <v>3.9</v>
      </c>
      <c r="I105" t="str" cm="1">
        <f t="array" ref="I105">_xlfn.IFS(G105&lt;3, "0–2 Years", G105&lt;6, "3–5 Years", G105&lt;9, "6–8 Years", G105&lt;12, "9-11 Years", G105&gt;=12, "12-14 Years")</f>
        <v>3–5 Years</v>
      </c>
      <c r="J105">
        <v>1</v>
      </c>
      <c r="K105" t="s">
        <v>24</v>
      </c>
      <c r="L105">
        <v>50900</v>
      </c>
      <c r="M105">
        <v>3400</v>
      </c>
      <c r="N105">
        <v>54300</v>
      </c>
      <c r="O105" t="s">
        <v>25</v>
      </c>
      <c r="P105" s="3">
        <v>44364</v>
      </c>
      <c r="Q105" t="s">
        <v>36</v>
      </c>
    </row>
    <row r="106" spans="1:17" x14ac:dyDescent="0.35">
      <c r="A106" t="s">
        <v>158</v>
      </c>
      <c r="B106" t="s">
        <v>23</v>
      </c>
      <c r="C106">
        <v>46</v>
      </c>
      <c r="D106" t="s">
        <v>55</v>
      </c>
      <c r="E106" t="s">
        <v>56</v>
      </c>
      <c r="F106" t="s">
        <v>36</v>
      </c>
      <c r="G106">
        <v>5.7</v>
      </c>
      <c r="H106">
        <v>3.5</v>
      </c>
      <c r="I106" t="str" cm="1">
        <f t="array" ref="I106">_xlfn.IFS(G106&lt;3, "0–2 Years", G106&lt;6, "3–5 Years", G106&lt;9, "6–8 Years", G106&lt;12, "9-11 Years", G106&gt;=12, "12-14 Years")</f>
        <v>3–5 Years</v>
      </c>
      <c r="J106">
        <v>3</v>
      </c>
      <c r="K106" t="s">
        <v>24</v>
      </c>
      <c r="L106">
        <v>70800</v>
      </c>
      <c r="M106">
        <v>14600</v>
      </c>
      <c r="N106">
        <v>85400</v>
      </c>
      <c r="O106" t="s">
        <v>21</v>
      </c>
      <c r="P106" s="3">
        <v>43936</v>
      </c>
      <c r="Q106" t="s">
        <v>36</v>
      </c>
    </row>
    <row r="107" spans="1:17" x14ac:dyDescent="0.35">
      <c r="A107" t="s">
        <v>159</v>
      </c>
      <c r="B107" t="s">
        <v>23</v>
      </c>
      <c r="C107">
        <v>40</v>
      </c>
      <c r="D107" t="s">
        <v>34</v>
      </c>
      <c r="E107" t="s">
        <v>47</v>
      </c>
      <c r="F107" t="s">
        <v>19</v>
      </c>
      <c r="G107">
        <v>10.4</v>
      </c>
      <c r="H107">
        <v>9.1999999999999993</v>
      </c>
      <c r="I107" t="str" cm="1">
        <f t="array" ref="I107">_xlfn.IFS(G107&lt;3, "0–2 Years", G107&lt;6, "3–5 Years", G107&lt;9, "6–8 Years", G107&lt;12, "9-11 Years", G107&gt;=12, "12-14 Years")</f>
        <v>9-11 Years</v>
      </c>
      <c r="J107">
        <v>5</v>
      </c>
      <c r="K107" t="s">
        <v>20</v>
      </c>
      <c r="L107">
        <v>83100</v>
      </c>
      <c r="M107">
        <v>4600</v>
      </c>
      <c r="N107">
        <v>87700</v>
      </c>
      <c r="O107" t="s">
        <v>30</v>
      </c>
      <c r="P107" s="3">
        <v>42220</v>
      </c>
      <c r="Q107" t="s">
        <v>19</v>
      </c>
    </row>
    <row r="108" spans="1:17" x14ac:dyDescent="0.35">
      <c r="A108" t="s">
        <v>160</v>
      </c>
      <c r="B108" t="s">
        <v>23</v>
      </c>
      <c r="C108">
        <v>44</v>
      </c>
      <c r="D108" t="s">
        <v>44</v>
      </c>
      <c r="E108" t="s">
        <v>51</v>
      </c>
      <c r="F108" t="s">
        <v>28</v>
      </c>
      <c r="G108">
        <v>11.7</v>
      </c>
      <c r="H108">
        <v>9</v>
      </c>
      <c r="I108" t="str" cm="1">
        <f t="array" ref="I108">_xlfn.IFS(G108&lt;3, "0–2 Years", G108&lt;6, "3–5 Years", G108&lt;9, "6–8 Years", G108&lt;12, "9-11 Years", G108&gt;=12, "12-14 Years")</f>
        <v>9-11 Years</v>
      </c>
      <c r="J108">
        <v>4</v>
      </c>
      <c r="K108" t="s">
        <v>20</v>
      </c>
      <c r="L108">
        <v>99100</v>
      </c>
      <c r="M108">
        <v>13600</v>
      </c>
      <c r="N108">
        <v>112700</v>
      </c>
      <c r="O108" t="s">
        <v>30</v>
      </c>
      <c r="P108" s="3">
        <v>41765</v>
      </c>
      <c r="Q108" t="s">
        <v>28</v>
      </c>
    </row>
    <row r="109" spans="1:17" x14ac:dyDescent="0.35">
      <c r="A109" t="s">
        <v>161</v>
      </c>
      <c r="B109" t="s">
        <v>23</v>
      </c>
      <c r="C109">
        <v>37</v>
      </c>
      <c r="D109" t="s">
        <v>34</v>
      </c>
      <c r="E109" t="s">
        <v>35</v>
      </c>
      <c r="F109" t="s">
        <v>28</v>
      </c>
      <c r="G109">
        <v>6.5</v>
      </c>
      <c r="H109">
        <v>3.5</v>
      </c>
      <c r="I109" t="str" cm="1">
        <f t="array" ref="I109">_xlfn.IFS(G109&lt;3, "0–2 Years", G109&lt;6, "3–5 Years", G109&lt;9, "6–8 Years", G109&lt;12, "9-11 Years", G109&gt;=12, "12-14 Years")</f>
        <v>6–8 Years</v>
      </c>
      <c r="J109">
        <v>4</v>
      </c>
      <c r="K109" t="s">
        <v>20</v>
      </c>
      <c r="L109">
        <v>80700</v>
      </c>
      <c r="M109">
        <v>6900</v>
      </c>
      <c r="N109">
        <v>87600</v>
      </c>
      <c r="O109" t="s">
        <v>30</v>
      </c>
      <c r="P109" s="3">
        <v>43656</v>
      </c>
      <c r="Q109" t="s">
        <v>28</v>
      </c>
    </row>
    <row r="110" spans="1:17" x14ac:dyDescent="0.35">
      <c r="A110" t="s">
        <v>162</v>
      </c>
      <c r="B110" t="s">
        <v>16</v>
      </c>
      <c r="C110">
        <v>28</v>
      </c>
      <c r="D110" t="s">
        <v>55</v>
      </c>
      <c r="E110" t="s">
        <v>79</v>
      </c>
      <c r="F110" t="s">
        <v>28</v>
      </c>
      <c r="G110">
        <v>10.6</v>
      </c>
      <c r="H110">
        <v>7.4</v>
      </c>
      <c r="I110" t="str" cm="1">
        <f t="array" ref="I110">_xlfn.IFS(G110&lt;3, "0–2 Years", G110&lt;6, "3–5 Years", G110&lt;9, "6–8 Years", G110&lt;12, "9-11 Years", G110&gt;=12, "12-14 Years")</f>
        <v>9-11 Years</v>
      </c>
      <c r="J110">
        <v>3</v>
      </c>
      <c r="K110" t="s">
        <v>20</v>
      </c>
      <c r="L110">
        <v>75200</v>
      </c>
      <c r="M110">
        <v>11200</v>
      </c>
      <c r="N110">
        <v>86400</v>
      </c>
      <c r="O110" t="s">
        <v>21</v>
      </c>
      <c r="P110" s="3">
        <v>42165</v>
      </c>
      <c r="Q110" t="s">
        <v>28</v>
      </c>
    </row>
    <row r="111" spans="1:17" x14ac:dyDescent="0.35">
      <c r="A111" t="s">
        <v>163</v>
      </c>
      <c r="B111" t="s">
        <v>23</v>
      </c>
      <c r="C111" s="7">
        <v>29</v>
      </c>
      <c r="D111" t="s">
        <v>44</v>
      </c>
      <c r="E111" t="s">
        <v>51</v>
      </c>
      <c r="F111" t="s">
        <v>36</v>
      </c>
      <c r="G111" s="9">
        <v>12.4</v>
      </c>
      <c r="H111" s="7">
        <v>8.3000000000000007</v>
      </c>
      <c r="I111" t="str" cm="1">
        <f t="array" ref="I111">_xlfn.IFS(G111&lt;3, "0–2 Years", G111&lt;6, "3–5 Years", G111&lt;9, "6–8 Years", G111&lt;12, "9-11 Years", G111&gt;=12, "12-14 Years")</f>
        <v>12-14 Years</v>
      </c>
      <c r="J111" s="7">
        <v>3</v>
      </c>
      <c r="K111" t="s">
        <v>20</v>
      </c>
      <c r="L111" s="7">
        <v>82300</v>
      </c>
      <c r="M111" s="7">
        <v>7800</v>
      </c>
      <c r="N111" s="7">
        <v>90100</v>
      </c>
      <c r="O111" t="s">
        <v>30</v>
      </c>
      <c r="P111" s="3">
        <v>41501</v>
      </c>
      <c r="Q111" t="s">
        <v>36</v>
      </c>
    </row>
    <row r="112" spans="1:17" x14ac:dyDescent="0.35">
      <c r="A112" t="s">
        <v>164</v>
      </c>
      <c r="B112" t="s">
        <v>16</v>
      </c>
      <c r="C112">
        <v>36</v>
      </c>
      <c r="D112" t="s">
        <v>44</v>
      </c>
      <c r="E112" t="s">
        <v>76</v>
      </c>
      <c r="F112" t="s">
        <v>28</v>
      </c>
      <c r="G112">
        <v>8.8000000000000007</v>
      </c>
      <c r="H112">
        <v>7.4</v>
      </c>
      <c r="I112" t="str" cm="1">
        <f t="array" ref="I112">_xlfn.IFS(G112&lt;3, "0–2 Years", G112&lt;6, "3–5 Years", G112&lt;9, "6–8 Years", G112&lt;12, "9-11 Years", G112&gt;=12, "12-14 Years")</f>
        <v>6–8 Years</v>
      </c>
      <c r="J112">
        <v>3</v>
      </c>
      <c r="K112" t="s">
        <v>20</v>
      </c>
      <c r="L112">
        <v>116100</v>
      </c>
      <c r="M112">
        <v>7700</v>
      </c>
      <c r="N112">
        <v>123800</v>
      </c>
      <c r="O112" t="s">
        <v>57</v>
      </c>
      <c r="P112" s="3">
        <v>42806</v>
      </c>
      <c r="Q112" t="s">
        <v>28</v>
      </c>
    </row>
    <row r="113" spans="1:17" x14ac:dyDescent="0.35">
      <c r="A113" t="s">
        <v>165</v>
      </c>
      <c r="B113" t="s">
        <v>16</v>
      </c>
      <c r="C113">
        <v>35</v>
      </c>
      <c r="D113" t="s">
        <v>41</v>
      </c>
      <c r="E113" t="s">
        <v>73</v>
      </c>
      <c r="F113" t="s">
        <v>28</v>
      </c>
      <c r="G113">
        <v>8.1999999999999993</v>
      </c>
      <c r="H113">
        <v>5.8</v>
      </c>
      <c r="I113" t="str" cm="1">
        <f t="array" ref="I113">_xlfn.IFS(G113&lt;3, "0–2 Years", G113&lt;6, "3–5 Years", G113&lt;9, "6–8 Years", G113&lt;12, "9-11 Years", G113&gt;=12, "12-14 Years")</f>
        <v>6–8 Years</v>
      </c>
      <c r="J113">
        <v>3</v>
      </c>
      <c r="K113" t="s">
        <v>24</v>
      </c>
      <c r="L113">
        <v>58900</v>
      </c>
      <c r="M113">
        <v>2900</v>
      </c>
      <c r="N113">
        <v>61800</v>
      </c>
      <c r="O113" t="s">
        <v>25</v>
      </c>
      <c r="P113" s="3">
        <v>43018</v>
      </c>
      <c r="Q113" t="s">
        <v>28</v>
      </c>
    </row>
    <row r="114" spans="1:17" x14ac:dyDescent="0.35">
      <c r="A114" t="s">
        <v>166</v>
      </c>
      <c r="B114" t="s">
        <v>23</v>
      </c>
      <c r="C114" s="7">
        <v>37</v>
      </c>
      <c r="D114" t="s">
        <v>41</v>
      </c>
      <c r="E114" t="s">
        <v>73</v>
      </c>
      <c r="F114" t="s">
        <v>28</v>
      </c>
      <c r="G114" s="9">
        <v>12.8</v>
      </c>
      <c r="H114" s="7">
        <v>9.1</v>
      </c>
      <c r="I114" t="str" cm="1">
        <f t="array" ref="I114">_xlfn.IFS(G114&lt;3, "0–2 Years", G114&lt;6, "3–5 Years", G114&lt;9, "6–8 Years", G114&lt;12, "9-11 Years", G114&gt;=12, "12-14 Years")</f>
        <v>12-14 Years</v>
      </c>
      <c r="J114" s="7">
        <v>3</v>
      </c>
      <c r="K114" t="s">
        <v>20</v>
      </c>
      <c r="L114" s="7">
        <v>120500</v>
      </c>
      <c r="M114" s="7">
        <v>8600</v>
      </c>
      <c r="N114" s="7">
        <v>129100</v>
      </c>
      <c r="O114" t="s">
        <v>57</v>
      </c>
      <c r="P114" s="3">
        <v>41351</v>
      </c>
      <c r="Q114" t="s">
        <v>28</v>
      </c>
    </row>
    <row r="115" spans="1:17" x14ac:dyDescent="0.35">
      <c r="A115" t="s">
        <v>167</v>
      </c>
      <c r="B115" t="s">
        <v>23</v>
      </c>
      <c r="C115">
        <v>42</v>
      </c>
      <c r="D115" t="s">
        <v>17</v>
      </c>
      <c r="E115" t="s">
        <v>32</v>
      </c>
      <c r="F115" t="s">
        <v>36</v>
      </c>
      <c r="G115">
        <v>1.3</v>
      </c>
      <c r="H115">
        <v>1</v>
      </c>
      <c r="I115" t="str" cm="1">
        <f t="array" ref="I115">_xlfn.IFS(G115&lt;3, "0–2 Years", G115&lt;6, "3–5 Years", G115&lt;9, "6–8 Years", G115&lt;12, "9-11 Years", G115&gt;=12, "12-14 Years")</f>
        <v>0–2 Years</v>
      </c>
      <c r="J115">
        <v>1</v>
      </c>
      <c r="K115" t="s">
        <v>20</v>
      </c>
      <c r="L115">
        <v>65200</v>
      </c>
      <c r="M115">
        <v>6400</v>
      </c>
      <c r="N115">
        <v>71600</v>
      </c>
      <c r="O115" t="s">
        <v>21</v>
      </c>
      <c r="P115" s="3">
        <v>45552</v>
      </c>
      <c r="Q115" t="s">
        <v>36</v>
      </c>
    </row>
    <row r="116" spans="1:17" x14ac:dyDescent="0.35">
      <c r="A116" t="s">
        <v>168</v>
      </c>
      <c r="B116" t="s">
        <v>16</v>
      </c>
      <c r="C116">
        <v>30</v>
      </c>
      <c r="D116" t="s">
        <v>44</v>
      </c>
      <c r="E116" t="s">
        <v>45</v>
      </c>
      <c r="F116" t="s">
        <v>36</v>
      </c>
      <c r="G116">
        <v>1.5</v>
      </c>
      <c r="H116">
        <v>1.5</v>
      </c>
      <c r="I116" t="str" cm="1">
        <f t="array" ref="I116">_xlfn.IFS(G116&lt;3, "0–2 Years", G116&lt;6, "3–5 Years", G116&lt;9, "6–8 Years", G116&lt;12, "9-11 Years", G116&gt;=12, "12-14 Years")</f>
        <v>0–2 Years</v>
      </c>
      <c r="J116">
        <v>3</v>
      </c>
      <c r="K116" t="s">
        <v>20</v>
      </c>
      <c r="L116">
        <v>69900</v>
      </c>
      <c r="M116">
        <v>8000</v>
      </c>
      <c r="N116">
        <v>77900</v>
      </c>
      <c r="O116" t="s">
        <v>21</v>
      </c>
      <c r="P116" s="3">
        <v>45465</v>
      </c>
      <c r="Q116" t="s">
        <v>36</v>
      </c>
    </row>
    <row r="117" spans="1:17" x14ac:dyDescent="0.35">
      <c r="A117" t="s">
        <v>169</v>
      </c>
      <c r="B117" t="s">
        <v>23</v>
      </c>
      <c r="C117" s="7">
        <v>26</v>
      </c>
      <c r="D117" t="s">
        <v>55</v>
      </c>
      <c r="E117" t="s">
        <v>92</v>
      </c>
      <c r="F117" t="s">
        <v>36</v>
      </c>
      <c r="G117" s="9">
        <v>13.3</v>
      </c>
      <c r="H117" s="7">
        <v>8.9</v>
      </c>
      <c r="I117" t="str" cm="1">
        <f t="array" ref="I117">_xlfn.IFS(G117&lt;3, "0–2 Years", G117&lt;6, "3–5 Years", G117&lt;9, "6–8 Years", G117&lt;12, "9-11 Years", G117&gt;=12, "12-14 Years")</f>
        <v>12-14 Years</v>
      </c>
      <c r="J117" s="7">
        <v>1</v>
      </c>
      <c r="K117" t="s">
        <v>20</v>
      </c>
      <c r="L117" s="7">
        <v>104100</v>
      </c>
      <c r="M117" s="7">
        <v>21000</v>
      </c>
      <c r="N117" s="7">
        <v>125100</v>
      </c>
      <c r="O117" t="s">
        <v>57</v>
      </c>
      <c r="P117" s="3">
        <v>41149</v>
      </c>
      <c r="Q117" t="s">
        <v>36</v>
      </c>
    </row>
    <row r="118" spans="1:17" x14ac:dyDescent="0.35">
      <c r="A118" t="s">
        <v>170</v>
      </c>
      <c r="B118" t="s">
        <v>16</v>
      </c>
      <c r="C118">
        <v>32</v>
      </c>
      <c r="D118" t="s">
        <v>34</v>
      </c>
      <c r="E118" t="s">
        <v>59</v>
      </c>
      <c r="F118" t="s">
        <v>36</v>
      </c>
      <c r="G118">
        <v>11.1</v>
      </c>
      <c r="H118">
        <v>8.6999999999999993</v>
      </c>
      <c r="I118" t="str" cm="1">
        <f t="array" ref="I118">_xlfn.IFS(G118&lt;3, "0–2 Years", G118&lt;6, "3–5 Years", G118&lt;9, "6–8 Years", G118&lt;12, "9-11 Years", G118&gt;=12, "12-14 Years")</f>
        <v>9-11 Years</v>
      </c>
      <c r="J118">
        <v>3</v>
      </c>
      <c r="K118" t="s">
        <v>24</v>
      </c>
      <c r="L118">
        <v>67300</v>
      </c>
      <c r="M118">
        <v>8000</v>
      </c>
      <c r="N118">
        <v>75300</v>
      </c>
      <c r="O118" t="s">
        <v>21</v>
      </c>
      <c r="P118" s="3">
        <v>41966</v>
      </c>
      <c r="Q118" t="s">
        <v>36</v>
      </c>
    </row>
    <row r="119" spans="1:17" x14ac:dyDescent="0.35">
      <c r="A119" t="s">
        <v>171</v>
      </c>
      <c r="B119" t="s">
        <v>23</v>
      </c>
      <c r="C119">
        <v>24</v>
      </c>
      <c r="D119" t="s">
        <v>34</v>
      </c>
      <c r="E119" t="s">
        <v>59</v>
      </c>
      <c r="F119" t="s">
        <v>28</v>
      </c>
      <c r="G119">
        <v>2.5</v>
      </c>
      <c r="H119">
        <v>0</v>
      </c>
      <c r="I119" t="str" cm="1">
        <f t="array" ref="I119">_xlfn.IFS(G119&lt;3, "0–2 Years", G119&lt;6, "3–5 Years", G119&lt;9, "6–8 Years", G119&lt;12, "9-11 Years", G119&gt;=12, "12-14 Years")</f>
        <v>0–2 Years</v>
      </c>
      <c r="J119">
        <v>4</v>
      </c>
      <c r="K119" t="s">
        <v>20</v>
      </c>
      <c r="L119">
        <v>100000</v>
      </c>
      <c r="M119">
        <v>11700</v>
      </c>
      <c r="N119">
        <v>111700</v>
      </c>
      <c r="O119" t="s">
        <v>57</v>
      </c>
      <c r="P119" s="3">
        <v>45103</v>
      </c>
      <c r="Q119" t="s">
        <v>28</v>
      </c>
    </row>
    <row r="120" spans="1:17" x14ac:dyDescent="0.35">
      <c r="A120" t="s">
        <v>172</v>
      </c>
      <c r="B120" t="s">
        <v>16</v>
      </c>
      <c r="C120">
        <v>30</v>
      </c>
      <c r="D120" t="s">
        <v>34</v>
      </c>
      <c r="E120" t="s">
        <v>47</v>
      </c>
      <c r="F120" t="s">
        <v>28</v>
      </c>
      <c r="G120">
        <v>2</v>
      </c>
      <c r="H120">
        <v>1.9</v>
      </c>
      <c r="I120" t="str" cm="1">
        <f t="array" ref="I120">_xlfn.IFS(G120&lt;3, "0–2 Years", G120&lt;6, "3–5 Years", G120&lt;9, "6–8 Years", G120&lt;12, "9-11 Years", G120&gt;=12, "12-14 Years")</f>
        <v>0–2 Years</v>
      </c>
      <c r="J120">
        <v>3</v>
      </c>
      <c r="K120" t="s">
        <v>20</v>
      </c>
      <c r="L120">
        <v>71400</v>
      </c>
      <c r="M120">
        <v>6600</v>
      </c>
      <c r="N120">
        <v>78000</v>
      </c>
      <c r="O120" t="s">
        <v>21</v>
      </c>
      <c r="P120" s="3">
        <v>45288</v>
      </c>
      <c r="Q120" t="s">
        <v>28</v>
      </c>
    </row>
    <row r="121" spans="1:17" x14ac:dyDescent="0.35">
      <c r="A121" t="s">
        <v>173</v>
      </c>
      <c r="B121" t="s">
        <v>16</v>
      </c>
      <c r="C121">
        <v>46</v>
      </c>
      <c r="D121" t="s">
        <v>55</v>
      </c>
      <c r="E121" t="s">
        <v>79</v>
      </c>
      <c r="F121" t="s">
        <v>28</v>
      </c>
      <c r="G121">
        <v>11.5</v>
      </c>
      <c r="H121">
        <v>8.3000000000000007</v>
      </c>
      <c r="I121" t="str" cm="1">
        <f t="array" ref="I121">_xlfn.IFS(G121&lt;3, "0–2 Years", G121&lt;6, "3–5 Years", G121&lt;9, "6–8 Years", G121&lt;12, "9-11 Years", G121&gt;=12, "12-14 Years")</f>
        <v>9-11 Years</v>
      </c>
      <c r="J121">
        <v>2</v>
      </c>
      <c r="K121" t="s">
        <v>24</v>
      </c>
      <c r="L121">
        <v>44200</v>
      </c>
      <c r="M121">
        <v>6700</v>
      </c>
      <c r="N121">
        <v>50900</v>
      </c>
      <c r="O121" t="s">
        <v>65</v>
      </c>
      <c r="P121" s="3">
        <v>41822</v>
      </c>
      <c r="Q121" t="s">
        <v>28</v>
      </c>
    </row>
    <row r="122" spans="1:17" x14ac:dyDescent="0.35">
      <c r="A122" t="s">
        <v>174</v>
      </c>
      <c r="B122" t="s">
        <v>23</v>
      </c>
      <c r="C122">
        <v>38</v>
      </c>
      <c r="D122" t="s">
        <v>38</v>
      </c>
      <c r="E122" t="s">
        <v>112</v>
      </c>
      <c r="F122" t="s">
        <v>28</v>
      </c>
      <c r="G122">
        <v>10.199999999999999</v>
      </c>
      <c r="H122">
        <v>7.7</v>
      </c>
      <c r="I122" t="str" cm="1">
        <f t="array" ref="I122">_xlfn.IFS(G122&lt;3, "0–2 Years", G122&lt;6, "3–5 Years", G122&lt;9, "6–8 Years", G122&lt;12, "9-11 Years", G122&gt;=12, "12-14 Years")</f>
        <v>9-11 Years</v>
      </c>
      <c r="J122">
        <v>4</v>
      </c>
      <c r="K122" t="s">
        <v>69</v>
      </c>
      <c r="L122">
        <v>61800</v>
      </c>
      <c r="M122">
        <v>4900</v>
      </c>
      <c r="N122">
        <v>66700</v>
      </c>
      <c r="O122" t="s">
        <v>25</v>
      </c>
      <c r="P122" s="3">
        <v>42295</v>
      </c>
      <c r="Q122" t="s">
        <v>28</v>
      </c>
    </row>
    <row r="123" spans="1:17" x14ac:dyDescent="0.35">
      <c r="A123" t="s">
        <v>175</v>
      </c>
      <c r="B123" t="s">
        <v>16</v>
      </c>
      <c r="C123">
        <v>42</v>
      </c>
      <c r="D123" t="s">
        <v>38</v>
      </c>
      <c r="E123" t="s">
        <v>61</v>
      </c>
      <c r="F123" t="s">
        <v>19</v>
      </c>
      <c r="G123">
        <v>9.1999999999999993</v>
      </c>
      <c r="H123">
        <v>7.2</v>
      </c>
      <c r="I123" t="str" cm="1">
        <f t="array" ref="I123">_xlfn.IFS(G123&lt;3, "0–2 Years", G123&lt;6, "3–5 Years", G123&lt;9, "6–8 Years", G123&lt;12, "9-11 Years", G123&gt;=12, "12-14 Years")</f>
        <v>9-11 Years</v>
      </c>
      <c r="J123">
        <v>4</v>
      </c>
      <c r="K123" t="s">
        <v>20</v>
      </c>
      <c r="L123">
        <v>95700</v>
      </c>
      <c r="M123">
        <v>4300</v>
      </c>
      <c r="N123">
        <v>100000</v>
      </c>
      <c r="O123" t="s">
        <v>30</v>
      </c>
      <c r="P123" s="3">
        <v>42673</v>
      </c>
      <c r="Q123" t="s">
        <v>19</v>
      </c>
    </row>
    <row r="124" spans="1:17" x14ac:dyDescent="0.35">
      <c r="A124" t="s">
        <v>176</v>
      </c>
      <c r="B124" t="s">
        <v>23</v>
      </c>
      <c r="C124">
        <v>33</v>
      </c>
      <c r="D124" t="s">
        <v>41</v>
      </c>
      <c r="E124" t="s">
        <v>42</v>
      </c>
      <c r="F124" t="s">
        <v>28</v>
      </c>
      <c r="G124">
        <v>4.0999999999999996</v>
      </c>
      <c r="H124">
        <v>1.1000000000000001</v>
      </c>
      <c r="I124" t="str" cm="1">
        <f t="array" ref="I124">_xlfn.IFS(G124&lt;3, "0–2 Years", G124&lt;6, "3–5 Years", G124&lt;9, "6–8 Years", G124&lt;12, "9-11 Years", G124&gt;=12, "12-14 Years")</f>
        <v>3–5 Years</v>
      </c>
      <c r="J124">
        <v>4</v>
      </c>
      <c r="K124" t="s">
        <v>20</v>
      </c>
      <c r="L124">
        <v>78600</v>
      </c>
      <c r="M124">
        <v>4000</v>
      </c>
      <c r="N124">
        <v>82600</v>
      </c>
      <c r="O124" t="s">
        <v>21</v>
      </c>
      <c r="P124" s="3">
        <v>44532</v>
      </c>
      <c r="Q124" t="s">
        <v>28</v>
      </c>
    </row>
    <row r="125" spans="1:17" x14ac:dyDescent="0.35">
      <c r="A125" t="s">
        <v>177</v>
      </c>
      <c r="B125" t="s">
        <v>16</v>
      </c>
      <c r="C125">
        <v>41</v>
      </c>
      <c r="D125" t="s">
        <v>17</v>
      </c>
      <c r="E125" t="s">
        <v>32</v>
      </c>
      <c r="F125" t="s">
        <v>36</v>
      </c>
      <c r="G125">
        <v>10.1</v>
      </c>
      <c r="H125">
        <v>5.8</v>
      </c>
      <c r="I125" t="str" cm="1">
        <f t="array" ref="I125">_xlfn.IFS(G125&lt;3, "0–2 Years", G125&lt;6, "3–5 Years", G125&lt;9, "6–8 Years", G125&lt;12, "9-11 Years", G125&gt;=12, "12-14 Years")</f>
        <v>9-11 Years</v>
      </c>
      <c r="J125">
        <v>4</v>
      </c>
      <c r="K125" t="s">
        <v>20</v>
      </c>
      <c r="L125">
        <v>72400</v>
      </c>
      <c r="M125">
        <v>6800</v>
      </c>
      <c r="N125">
        <v>79200</v>
      </c>
      <c r="O125" t="s">
        <v>21</v>
      </c>
      <c r="P125" s="3">
        <v>42326</v>
      </c>
      <c r="Q125" t="s">
        <v>36</v>
      </c>
    </row>
    <row r="126" spans="1:17" x14ac:dyDescent="0.35">
      <c r="A126" t="s">
        <v>178</v>
      </c>
      <c r="B126" t="s">
        <v>16</v>
      </c>
      <c r="C126">
        <v>28</v>
      </c>
      <c r="D126" t="s">
        <v>17</v>
      </c>
      <c r="E126" t="s">
        <v>18</v>
      </c>
      <c r="F126" t="s">
        <v>19</v>
      </c>
      <c r="G126">
        <v>3.8</v>
      </c>
      <c r="H126">
        <v>2.7</v>
      </c>
      <c r="I126" t="str" cm="1">
        <f t="array" ref="I126">_xlfn.IFS(G126&lt;3, "0–2 Years", G126&lt;6, "3–5 Years", G126&lt;9, "6–8 Years", G126&lt;12, "9-11 Years", G126&gt;=12, "12-14 Years")</f>
        <v>3–5 Years</v>
      </c>
      <c r="J126">
        <v>4</v>
      </c>
      <c r="K126" t="s">
        <v>20</v>
      </c>
      <c r="L126">
        <v>89800</v>
      </c>
      <c r="M126">
        <v>6800</v>
      </c>
      <c r="N126">
        <v>96600</v>
      </c>
      <c r="O126" t="s">
        <v>30</v>
      </c>
      <c r="P126" s="3">
        <v>44626</v>
      </c>
      <c r="Q126" t="s">
        <v>19</v>
      </c>
    </row>
    <row r="127" spans="1:17" x14ac:dyDescent="0.35">
      <c r="A127" t="s">
        <v>179</v>
      </c>
      <c r="B127" t="s">
        <v>16</v>
      </c>
      <c r="C127" s="7">
        <v>36</v>
      </c>
      <c r="D127" t="s">
        <v>44</v>
      </c>
      <c r="E127" t="s">
        <v>76</v>
      </c>
      <c r="F127" t="s">
        <v>28</v>
      </c>
      <c r="G127" s="9">
        <v>12.7</v>
      </c>
      <c r="H127" s="7">
        <v>8.5</v>
      </c>
      <c r="I127" t="str" cm="1">
        <f t="array" ref="I127">_xlfn.IFS(G127&lt;3, "0–2 Years", G127&lt;6, "3–5 Years", G127&lt;9, "6–8 Years", G127&lt;12, "9-11 Years", G127&gt;=12, "12-14 Years")</f>
        <v>12-14 Years</v>
      </c>
      <c r="J127" s="7">
        <v>2</v>
      </c>
      <c r="K127" t="s">
        <v>20</v>
      </c>
      <c r="L127" s="7">
        <v>113500</v>
      </c>
      <c r="M127" s="7">
        <v>7900</v>
      </c>
      <c r="N127" s="7">
        <v>121400</v>
      </c>
      <c r="O127" t="s">
        <v>57</v>
      </c>
      <c r="P127" s="3">
        <v>41375</v>
      </c>
      <c r="Q127" t="s">
        <v>28</v>
      </c>
    </row>
    <row r="128" spans="1:17" x14ac:dyDescent="0.35">
      <c r="A128" t="s">
        <v>180</v>
      </c>
      <c r="B128" t="s">
        <v>16</v>
      </c>
      <c r="C128">
        <v>37</v>
      </c>
      <c r="D128" t="s">
        <v>41</v>
      </c>
      <c r="E128" t="s">
        <v>67</v>
      </c>
      <c r="F128" t="s">
        <v>28</v>
      </c>
      <c r="G128">
        <v>11.7</v>
      </c>
      <c r="H128">
        <v>8.6</v>
      </c>
      <c r="I128" t="str" cm="1">
        <f t="array" ref="I128">_xlfn.IFS(G128&lt;3, "0–2 Years", G128&lt;6, "3–5 Years", G128&lt;9, "6–8 Years", G128&lt;12, "9-11 Years", G128&gt;=12, "12-14 Years")</f>
        <v>9-11 Years</v>
      </c>
      <c r="J128">
        <v>3</v>
      </c>
      <c r="K128" t="s">
        <v>20</v>
      </c>
      <c r="L128">
        <v>82900</v>
      </c>
      <c r="M128">
        <v>2600</v>
      </c>
      <c r="N128">
        <v>85500</v>
      </c>
      <c r="O128" t="s">
        <v>30</v>
      </c>
      <c r="P128" s="3">
        <v>41737</v>
      </c>
      <c r="Q128" t="s">
        <v>28</v>
      </c>
    </row>
    <row r="129" spans="1:17" x14ac:dyDescent="0.35">
      <c r="A129" t="s">
        <v>181</v>
      </c>
      <c r="B129" t="s">
        <v>16</v>
      </c>
      <c r="C129">
        <v>44</v>
      </c>
      <c r="D129" t="s">
        <v>55</v>
      </c>
      <c r="E129" t="s">
        <v>92</v>
      </c>
      <c r="F129" t="s">
        <v>36</v>
      </c>
      <c r="G129">
        <v>5.6</v>
      </c>
      <c r="H129">
        <v>5.6</v>
      </c>
      <c r="I129" t="str" cm="1">
        <f t="array" ref="I129">_xlfn.IFS(G129&lt;3, "0–2 Years", G129&lt;6, "3–5 Years", G129&lt;9, "6–8 Years", G129&lt;12, "9-11 Years", G129&gt;=12, "12-14 Years")</f>
        <v>3–5 Years</v>
      </c>
      <c r="J129">
        <v>4</v>
      </c>
      <c r="K129" t="s">
        <v>20</v>
      </c>
      <c r="L129">
        <v>115200</v>
      </c>
      <c r="M129">
        <v>11800</v>
      </c>
      <c r="N129">
        <v>127000</v>
      </c>
      <c r="O129" t="s">
        <v>57</v>
      </c>
      <c r="P129" s="3">
        <v>43975</v>
      </c>
      <c r="Q129" t="s">
        <v>36</v>
      </c>
    </row>
    <row r="130" spans="1:17" x14ac:dyDescent="0.35">
      <c r="A130" t="s">
        <v>182</v>
      </c>
      <c r="B130" t="s">
        <v>23</v>
      </c>
      <c r="C130">
        <v>31</v>
      </c>
      <c r="D130" t="s">
        <v>38</v>
      </c>
      <c r="E130" t="s">
        <v>39</v>
      </c>
      <c r="F130" t="s">
        <v>28</v>
      </c>
      <c r="G130">
        <v>6.4</v>
      </c>
      <c r="H130">
        <v>6.4</v>
      </c>
      <c r="I130" t="str" cm="1">
        <f t="array" ref="I130">_xlfn.IFS(G130&lt;3, "0–2 Years", G130&lt;6, "3–5 Years", G130&lt;9, "6–8 Years", G130&lt;12, "9-11 Years", G130&gt;=12, "12-14 Years")</f>
        <v>6–8 Years</v>
      </c>
      <c r="J130">
        <v>2</v>
      </c>
      <c r="K130" t="s">
        <v>20</v>
      </c>
      <c r="L130">
        <v>66200</v>
      </c>
      <c r="M130">
        <v>5300</v>
      </c>
      <c r="N130">
        <v>71500</v>
      </c>
      <c r="O130" t="s">
        <v>21</v>
      </c>
      <c r="P130" s="3">
        <v>43696</v>
      </c>
      <c r="Q130" t="s">
        <v>28</v>
      </c>
    </row>
    <row r="131" spans="1:17" x14ac:dyDescent="0.35">
      <c r="A131" t="s">
        <v>183</v>
      </c>
      <c r="B131" t="s">
        <v>23</v>
      </c>
      <c r="C131">
        <v>52</v>
      </c>
      <c r="D131" t="s">
        <v>44</v>
      </c>
      <c r="E131" t="s">
        <v>51</v>
      </c>
      <c r="F131" t="s">
        <v>19</v>
      </c>
      <c r="G131">
        <v>5.5</v>
      </c>
      <c r="H131">
        <v>1.6</v>
      </c>
      <c r="I131" t="str" cm="1">
        <f t="array" ref="I131">_xlfn.IFS(G131&lt;3, "0–2 Years", G131&lt;6, "3–5 Years", G131&lt;9, "6–8 Years", G131&lt;12, "9-11 Years", G131&gt;=12, "12-14 Years")</f>
        <v>3–5 Years</v>
      </c>
      <c r="J131">
        <v>4</v>
      </c>
      <c r="K131" t="s">
        <v>20</v>
      </c>
      <c r="L131">
        <v>70600</v>
      </c>
      <c r="M131">
        <v>6800</v>
      </c>
      <c r="N131">
        <v>77400</v>
      </c>
      <c r="O131" t="s">
        <v>21</v>
      </c>
      <c r="P131" s="3">
        <v>44032</v>
      </c>
      <c r="Q131" t="s">
        <v>19</v>
      </c>
    </row>
    <row r="132" spans="1:17" x14ac:dyDescent="0.35">
      <c r="A132" t="s">
        <v>184</v>
      </c>
      <c r="B132" t="s">
        <v>23</v>
      </c>
      <c r="C132">
        <v>33</v>
      </c>
      <c r="D132" t="s">
        <v>34</v>
      </c>
      <c r="E132" t="s">
        <v>35</v>
      </c>
      <c r="F132" t="s">
        <v>28</v>
      </c>
      <c r="G132">
        <v>6</v>
      </c>
      <c r="H132">
        <v>5.0999999999999996</v>
      </c>
      <c r="I132" t="str" cm="1">
        <f t="array" ref="I132">_xlfn.IFS(G132&lt;3, "0–2 Years", G132&lt;6, "3–5 Years", G132&lt;9, "6–8 Years", G132&lt;12, "9-11 Years", G132&gt;=12, "12-14 Years")</f>
        <v>6–8 Years</v>
      </c>
      <c r="J132">
        <v>2</v>
      </c>
      <c r="K132" t="s">
        <v>20</v>
      </c>
      <c r="L132">
        <v>64700</v>
      </c>
      <c r="M132">
        <v>6100</v>
      </c>
      <c r="N132">
        <v>70800</v>
      </c>
      <c r="O132" t="s">
        <v>25</v>
      </c>
      <c r="P132" s="3">
        <v>43818</v>
      </c>
      <c r="Q132" t="s">
        <v>28</v>
      </c>
    </row>
    <row r="133" spans="1:17" x14ac:dyDescent="0.35">
      <c r="A133" t="s">
        <v>185</v>
      </c>
      <c r="B133" t="s">
        <v>23</v>
      </c>
      <c r="C133" s="7">
        <v>25</v>
      </c>
      <c r="D133" t="s">
        <v>17</v>
      </c>
      <c r="E133" t="s">
        <v>18</v>
      </c>
      <c r="F133" t="s">
        <v>36</v>
      </c>
      <c r="G133" s="9">
        <v>12.1</v>
      </c>
      <c r="H133" s="7">
        <v>5.4</v>
      </c>
      <c r="I133" t="str" cm="1">
        <f t="array" ref="I133">_xlfn.IFS(G133&lt;3, "0–2 Years", G133&lt;6, "3–5 Years", G133&lt;9, "6–8 Years", G133&lt;12, "9-11 Years", G133&gt;=12, "12-14 Years")</f>
        <v>12-14 Years</v>
      </c>
      <c r="J133" s="7">
        <v>3</v>
      </c>
      <c r="K133" t="s">
        <v>20</v>
      </c>
      <c r="L133" s="7">
        <v>124000</v>
      </c>
      <c r="M133" s="7">
        <v>9900</v>
      </c>
      <c r="N133" s="7">
        <v>133900</v>
      </c>
      <c r="O133" t="s">
        <v>57</v>
      </c>
      <c r="P133" s="3">
        <v>41616</v>
      </c>
      <c r="Q133" t="s">
        <v>36</v>
      </c>
    </row>
    <row r="134" spans="1:17" x14ac:dyDescent="0.35">
      <c r="A134" t="s">
        <v>186</v>
      </c>
      <c r="B134" t="s">
        <v>23</v>
      </c>
      <c r="C134">
        <v>43</v>
      </c>
      <c r="D134" t="s">
        <v>17</v>
      </c>
      <c r="E134" t="s">
        <v>27</v>
      </c>
      <c r="F134" t="s">
        <v>36</v>
      </c>
      <c r="G134">
        <v>6.6</v>
      </c>
      <c r="H134">
        <v>2.2999999999999998</v>
      </c>
      <c r="I134" t="str" cm="1">
        <f t="array" ref="I134">_xlfn.IFS(G134&lt;3, "0–2 Years", G134&lt;6, "3–5 Years", G134&lt;9, "6–8 Years", G134&lt;12, "9-11 Years", G134&gt;=12, "12-14 Years")</f>
        <v>6–8 Years</v>
      </c>
      <c r="J134">
        <v>4</v>
      </c>
      <c r="K134" t="s">
        <v>20</v>
      </c>
      <c r="L134">
        <v>73300</v>
      </c>
      <c r="M134">
        <v>9000</v>
      </c>
      <c r="N134">
        <v>82300</v>
      </c>
      <c r="O134" t="s">
        <v>21</v>
      </c>
      <c r="P134" s="3">
        <v>43610</v>
      </c>
      <c r="Q134" t="s">
        <v>36</v>
      </c>
    </row>
    <row r="135" spans="1:17" x14ac:dyDescent="0.35">
      <c r="A135" t="s">
        <v>187</v>
      </c>
      <c r="B135" t="s">
        <v>23</v>
      </c>
      <c r="C135">
        <v>40</v>
      </c>
      <c r="D135" t="s">
        <v>55</v>
      </c>
      <c r="E135" t="s">
        <v>79</v>
      </c>
      <c r="F135" t="s">
        <v>19</v>
      </c>
      <c r="G135">
        <v>2.8</v>
      </c>
      <c r="H135">
        <v>0.3</v>
      </c>
      <c r="I135" t="str" cm="1">
        <f t="array" ref="I135">_xlfn.IFS(G135&lt;3, "0–2 Years", G135&lt;6, "3–5 Years", G135&lt;9, "6–8 Years", G135&lt;12, "9-11 Years", G135&gt;=12, "12-14 Years")</f>
        <v>0–2 Years</v>
      </c>
      <c r="J135">
        <v>2</v>
      </c>
      <c r="K135" t="s">
        <v>20</v>
      </c>
      <c r="L135">
        <v>54100</v>
      </c>
      <c r="M135">
        <v>8000</v>
      </c>
      <c r="N135">
        <v>62100</v>
      </c>
      <c r="O135" t="s">
        <v>25</v>
      </c>
      <c r="P135" s="3">
        <v>44999</v>
      </c>
      <c r="Q135" t="s">
        <v>19</v>
      </c>
    </row>
    <row r="136" spans="1:17" x14ac:dyDescent="0.35">
      <c r="A136" t="s">
        <v>188</v>
      </c>
      <c r="B136" t="s">
        <v>23</v>
      </c>
      <c r="C136">
        <v>35</v>
      </c>
      <c r="D136" t="s">
        <v>38</v>
      </c>
      <c r="E136" t="s">
        <v>61</v>
      </c>
      <c r="F136" t="s">
        <v>28</v>
      </c>
      <c r="G136">
        <v>8.6</v>
      </c>
      <c r="H136">
        <v>3.5</v>
      </c>
      <c r="I136" t="str" cm="1">
        <f t="array" ref="I136">_xlfn.IFS(G136&lt;3, "0–2 Years", G136&lt;6, "3–5 Years", G136&lt;9, "6–8 Years", G136&lt;12, "9-11 Years", G136&gt;=12, "12-14 Years")</f>
        <v>6–8 Years</v>
      </c>
      <c r="J136">
        <v>3</v>
      </c>
      <c r="K136" t="s">
        <v>69</v>
      </c>
      <c r="L136">
        <v>72600</v>
      </c>
      <c r="M136">
        <v>3800</v>
      </c>
      <c r="N136">
        <v>76400</v>
      </c>
      <c r="O136" t="s">
        <v>21</v>
      </c>
      <c r="P136" s="3">
        <v>42891</v>
      </c>
      <c r="Q136" t="s">
        <v>28</v>
      </c>
    </row>
    <row r="137" spans="1:17" x14ac:dyDescent="0.35">
      <c r="A137" t="s">
        <v>189</v>
      </c>
      <c r="B137" t="s">
        <v>23</v>
      </c>
      <c r="C137">
        <v>38</v>
      </c>
      <c r="D137" t="s">
        <v>41</v>
      </c>
      <c r="E137" t="s">
        <v>42</v>
      </c>
      <c r="F137" t="s">
        <v>28</v>
      </c>
      <c r="G137">
        <v>7</v>
      </c>
      <c r="H137">
        <v>3.6</v>
      </c>
      <c r="I137" t="str" cm="1">
        <f t="array" ref="I137">_xlfn.IFS(G137&lt;3, "0–2 Years", G137&lt;6, "3–5 Years", G137&lt;9, "6–8 Years", G137&lt;12, "9-11 Years", G137&gt;=12, "12-14 Years")</f>
        <v>6–8 Years</v>
      </c>
      <c r="J137">
        <v>4</v>
      </c>
      <c r="K137" t="s">
        <v>20</v>
      </c>
      <c r="L137">
        <v>83000</v>
      </c>
      <c r="M137">
        <v>2700</v>
      </c>
      <c r="N137">
        <v>85700</v>
      </c>
      <c r="O137" t="s">
        <v>30</v>
      </c>
      <c r="P137" s="3">
        <v>43477</v>
      </c>
      <c r="Q137" t="s">
        <v>28</v>
      </c>
    </row>
    <row r="138" spans="1:17" x14ac:dyDescent="0.35">
      <c r="A138" t="s">
        <v>190</v>
      </c>
      <c r="B138" t="s">
        <v>23</v>
      </c>
      <c r="C138">
        <v>23</v>
      </c>
      <c r="D138" t="s">
        <v>55</v>
      </c>
      <c r="E138" t="s">
        <v>79</v>
      </c>
      <c r="F138" t="s">
        <v>36</v>
      </c>
      <c r="G138">
        <v>7.9</v>
      </c>
      <c r="H138">
        <v>6.3</v>
      </c>
      <c r="I138" t="str" cm="1">
        <f t="array" ref="I138">_xlfn.IFS(G138&lt;3, "0–2 Years", G138&lt;6, "3–5 Years", G138&lt;9, "6–8 Years", G138&lt;12, "9-11 Years", G138&gt;=12, "12-14 Years")</f>
        <v>6–8 Years</v>
      </c>
      <c r="J138">
        <v>2</v>
      </c>
      <c r="K138" t="s">
        <v>20</v>
      </c>
      <c r="L138">
        <v>67200</v>
      </c>
      <c r="M138">
        <v>5800</v>
      </c>
      <c r="N138">
        <v>73000</v>
      </c>
      <c r="O138" t="s">
        <v>21</v>
      </c>
      <c r="P138" s="3">
        <v>43124</v>
      </c>
      <c r="Q138" t="s">
        <v>36</v>
      </c>
    </row>
    <row r="139" spans="1:17" x14ac:dyDescent="0.35">
      <c r="A139" t="s">
        <v>191</v>
      </c>
      <c r="B139" t="s">
        <v>23</v>
      </c>
      <c r="C139">
        <v>33</v>
      </c>
      <c r="D139" t="s">
        <v>34</v>
      </c>
      <c r="E139" t="s">
        <v>47</v>
      </c>
      <c r="F139" t="s">
        <v>28</v>
      </c>
      <c r="G139">
        <v>11.2</v>
      </c>
      <c r="H139">
        <v>7.4</v>
      </c>
      <c r="I139" t="str" cm="1">
        <f t="array" ref="I139">_xlfn.IFS(G139&lt;3, "0–2 Years", G139&lt;6, "3–5 Years", G139&lt;9, "6–8 Years", G139&lt;12, "9-11 Years", G139&gt;=12, "12-14 Years")</f>
        <v>9-11 Years</v>
      </c>
      <c r="J139">
        <v>1</v>
      </c>
      <c r="K139" t="s">
        <v>20</v>
      </c>
      <c r="L139">
        <v>83300</v>
      </c>
      <c r="M139">
        <v>7600</v>
      </c>
      <c r="N139">
        <v>90900</v>
      </c>
      <c r="O139" t="s">
        <v>30</v>
      </c>
      <c r="P139" s="3">
        <v>41929</v>
      </c>
      <c r="Q139" t="s">
        <v>28</v>
      </c>
    </row>
    <row r="140" spans="1:17" x14ac:dyDescent="0.35">
      <c r="A140" t="s">
        <v>192</v>
      </c>
      <c r="B140" t="s">
        <v>23</v>
      </c>
      <c r="C140">
        <v>27</v>
      </c>
      <c r="D140" t="s">
        <v>41</v>
      </c>
      <c r="E140" t="s">
        <v>67</v>
      </c>
      <c r="F140" t="s">
        <v>28</v>
      </c>
      <c r="G140">
        <v>5.6</v>
      </c>
      <c r="H140">
        <v>3.2</v>
      </c>
      <c r="I140" t="str" cm="1">
        <f t="array" ref="I140">_xlfn.IFS(G140&lt;3, "0–2 Years", G140&lt;6, "3–5 Years", G140&lt;9, "6–8 Years", G140&lt;12, "9-11 Years", G140&gt;=12, "12-14 Years")</f>
        <v>3–5 Years</v>
      </c>
      <c r="J140">
        <v>5</v>
      </c>
      <c r="K140" t="s">
        <v>20</v>
      </c>
      <c r="L140">
        <v>69400</v>
      </c>
      <c r="M140">
        <v>3700</v>
      </c>
      <c r="N140">
        <v>73100</v>
      </c>
      <c r="O140" t="s">
        <v>21</v>
      </c>
      <c r="P140" s="3">
        <v>43995</v>
      </c>
      <c r="Q140" t="s">
        <v>28</v>
      </c>
    </row>
    <row r="141" spans="1:17" x14ac:dyDescent="0.35">
      <c r="A141" t="s">
        <v>193</v>
      </c>
      <c r="B141" t="s">
        <v>23</v>
      </c>
      <c r="C141">
        <v>36</v>
      </c>
      <c r="D141" t="s">
        <v>38</v>
      </c>
      <c r="E141" t="s">
        <v>112</v>
      </c>
      <c r="F141" t="s">
        <v>19</v>
      </c>
      <c r="G141">
        <v>3.6</v>
      </c>
      <c r="H141">
        <v>3.6</v>
      </c>
      <c r="I141" t="str" cm="1">
        <f t="array" ref="I141">_xlfn.IFS(G141&lt;3, "0–2 Years", G141&lt;6, "3–5 Years", G141&lt;9, "6–8 Years", G141&lt;12, "9-11 Years", G141&gt;=12, "12-14 Years")</f>
        <v>3–5 Years</v>
      </c>
      <c r="J141">
        <v>2</v>
      </c>
      <c r="K141" t="s">
        <v>20</v>
      </c>
      <c r="L141">
        <v>70300</v>
      </c>
      <c r="M141">
        <v>3400</v>
      </c>
      <c r="N141">
        <v>73700</v>
      </c>
      <c r="O141" t="s">
        <v>21</v>
      </c>
      <c r="P141" s="3">
        <v>44690</v>
      </c>
      <c r="Q141" t="s">
        <v>19</v>
      </c>
    </row>
    <row r="142" spans="1:17" x14ac:dyDescent="0.35">
      <c r="A142" t="s">
        <v>194</v>
      </c>
      <c r="B142" t="s">
        <v>16</v>
      </c>
      <c r="C142">
        <v>39</v>
      </c>
      <c r="D142" t="s">
        <v>41</v>
      </c>
      <c r="E142" t="s">
        <v>67</v>
      </c>
      <c r="F142" t="s">
        <v>36</v>
      </c>
      <c r="G142">
        <v>11</v>
      </c>
      <c r="H142">
        <v>7.7</v>
      </c>
      <c r="I142" t="str" cm="1">
        <f t="array" ref="I142">_xlfn.IFS(G142&lt;3, "0–2 Years", G142&lt;6, "3–5 Years", G142&lt;9, "6–8 Years", G142&lt;12, "9-11 Years", G142&gt;=12, "12-14 Years")</f>
        <v>9-11 Years</v>
      </c>
      <c r="J142">
        <v>3</v>
      </c>
      <c r="K142" t="s">
        <v>20</v>
      </c>
      <c r="L142">
        <v>90800</v>
      </c>
      <c r="M142">
        <v>7600</v>
      </c>
      <c r="N142">
        <v>98400</v>
      </c>
      <c r="O142" t="s">
        <v>30</v>
      </c>
      <c r="P142" s="3">
        <v>42008</v>
      </c>
      <c r="Q142" t="s">
        <v>36</v>
      </c>
    </row>
    <row r="143" spans="1:17" x14ac:dyDescent="0.35">
      <c r="A143" t="s">
        <v>195</v>
      </c>
      <c r="B143" t="s">
        <v>16</v>
      </c>
      <c r="C143">
        <v>44</v>
      </c>
      <c r="D143" t="s">
        <v>44</v>
      </c>
      <c r="E143" t="s">
        <v>76</v>
      </c>
      <c r="F143" t="s">
        <v>36</v>
      </c>
      <c r="G143">
        <v>5.0999999999999996</v>
      </c>
      <c r="H143">
        <v>3.9</v>
      </c>
      <c r="I143" t="str" cm="1">
        <f t="array" ref="I143">_xlfn.IFS(G143&lt;3, "0–2 Years", G143&lt;6, "3–5 Years", G143&lt;9, "6–8 Years", G143&lt;12, "9-11 Years", G143&gt;=12, "12-14 Years")</f>
        <v>3–5 Years</v>
      </c>
      <c r="J143">
        <v>3</v>
      </c>
      <c r="K143" t="s">
        <v>20</v>
      </c>
      <c r="L143">
        <v>99800</v>
      </c>
      <c r="M143">
        <v>7400</v>
      </c>
      <c r="N143">
        <v>107200</v>
      </c>
      <c r="O143" t="s">
        <v>30</v>
      </c>
      <c r="P143" s="3">
        <v>44174</v>
      </c>
      <c r="Q143" t="s">
        <v>36</v>
      </c>
    </row>
    <row r="144" spans="1:17" x14ac:dyDescent="0.35">
      <c r="A144" t="s">
        <v>196</v>
      </c>
      <c r="B144" t="s">
        <v>16</v>
      </c>
      <c r="C144">
        <v>23</v>
      </c>
      <c r="D144" t="s">
        <v>34</v>
      </c>
      <c r="E144" t="s">
        <v>59</v>
      </c>
      <c r="F144" t="s">
        <v>28</v>
      </c>
      <c r="G144">
        <v>3.7</v>
      </c>
      <c r="H144">
        <v>0</v>
      </c>
      <c r="I144" t="str" cm="1">
        <f t="array" ref="I144">_xlfn.IFS(G144&lt;3, "0–2 Years", G144&lt;6, "3–5 Years", G144&lt;9, "6–8 Years", G144&lt;12, "9-11 Years", G144&gt;=12, "12-14 Years")</f>
        <v>3–5 Years</v>
      </c>
      <c r="J144">
        <v>3</v>
      </c>
      <c r="K144" t="s">
        <v>20</v>
      </c>
      <c r="L144">
        <v>97200</v>
      </c>
      <c r="M144">
        <v>10400</v>
      </c>
      <c r="N144">
        <v>107600</v>
      </c>
      <c r="O144" t="s">
        <v>30</v>
      </c>
      <c r="P144" s="3">
        <v>44662</v>
      </c>
      <c r="Q144" t="s">
        <v>28</v>
      </c>
    </row>
    <row r="145" spans="1:17" x14ac:dyDescent="0.35">
      <c r="A145" t="s">
        <v>197</v>
      </c>
      <c r="B145" t="s">
        <v>23</v>
      </c>
      <c r="C145">
        <v>41</v>
      </c>
      <c r="D145" t="s">
        <v>17</v>
      </c>
      <c r="E145" t="s">
        <v>18</v>
      </c>
      <c r="F145" t="s">
        <v>19</v>
      </c>
      <c r="G145">
        <v>8.9</v>
      </c>
      <c r="H145">
        <v>4.9000000000000004</v>
      </c>
      <c r="I145" t="str" cm="1">
        <f t="array" ref="I145">_xlfn.IFS(G145&lt;3, "0–2 Years", G145&lt;6, "3–5 Years", G145&lt;9, "6–8 Years", G145&lt;12, "9-11 Years", G145&gt;=12, "12-14 Years")</f>
        <v>6–8 Years</v>
      </c>
      <c r="J145">
        <v>3</v>
      </c>
      <c r="K145" t="s">
        <v>20</v>
      </c>
      <c r="L145">
        <v>106700</v>
      </c>
      <c r="M145">
        <v>7700</v>
      </c>
      <c r="N145">
        <v>114400</v>
      </c>
      <c r="O145" t="s">
        <v>57</v>
      </c>
      <c r="P145" s="3">
        <v>42758</v>
      </c>
      <c r="Q145" t="s">
        <v>19</v>
      </c>
    </row>
    <row r="146" spans="1:17" x14ac:dyDescent="0.35">
      <c r="A146" t="s">
        <v>198</v>
      </c>
      <c r="B146" t="s">
        <v>23</v>
      </c>
      <c r="C146" s="7">
        <v>40</v>
      </c>
      <c r="D146" t="s">
        <v>17</v>
      </c>
      <c r="E146" t="s">
        <v>32</v>
      </c>
      <c r="F146" t="s">
        <v>62</v>
      </c>
      <c r="G146" s="9">
        <v>13.7</v>
      </c>
      <c r="H146" s="7">
        <v>10.1</v>
      </c>
      <c r="I146" t="str" cm="1">
        <f t="array" ref="I146">_xlfn.IFS(G146&lt;3, "0–2 Years", G146&lt;6, "3–5 Years", G146&lt;9, "6–8 Years", G146&lt;12, "9-11 Years", G146&gt;=12, "12-14 Years")</f>
        <v>12-14 Years</v>
      </c>
      <c r="J146" s="7">
        <v>4</v>
      </c>
      <c r="K146" t="s">
        <v>20</v>
      </c>
      <c r="L146" s="7">
        <v>82200</v>
      </c>
      <c r="M146" s="7">
        <v>3800</v>
      </c>
      <c r="N146" s="7">
        <v>86000</v>
      </c>
      <c r="O146" t="s">
        <v>30</v>
      </c>
      <c r="P146" s="3">
        <v>41023</v>
      </c>
      <c r="Q146" t="s">
        <v>62</v>
      </c>
    </row>
    <row r="147" spans="1:17" x14ac:dyDescent="0.35">
      <c r="A147" t="s">
        <v>199</v>
      </c>
      <c r="B147" t="s">
        <v>23</v>
      </c>
      <c r="C147">
        <v>23</v>
      </c>
      <c r="D147" t="s">
        <v>38</v>
      </c>
      <c r="E147" t="s">
        <v>112</v>
      </c>
      <c r="F147" t="s">
        <v>28</v>
      </c>
      <c r="G147">
        <v>11.1</v>
      </c>
      <c r="H147">
        <v>7</v>
      </c>
      <c r="I147" t="str" cm="1">
        <f t="array" ref="I147">_xlfn.IFS(G147&lt;3, "0–2 Years", G147&lt;6, "3–5 Years", G147&lt;9, "6–8 Years", G147&lt;12, "9-11 Years", G147&gt;=12, "12-14 Years")</f>
        <v>9-11 Years</v>
      </c>
      <c r="J147">
        <v>3</v>
      </c>
      <c r="K147" t="s">
        <v>69</v>
      </c>
      <c r="L147">
        <v>64300</v>
      </c>
      <c r="M147">
        <v>3400</v>
      </c>
      <c r="N147">
        <v>67700</v>
      </c>
      <c r="O147" t="s">
        <v>25</v>
      </c>
      <c r="P147" s="3">
        <v>41980</v>
      </c>
      <c r="Q147" t="s">
        <v>28</v>
      </c>
    </row>
    <row r="148" spans="1:17" x14ac:dyDescent="0.35">
      <c r="A148" t="s">
        <v>200</v>
      </c>
      <c r="B148" t="s">
        <v>23</v>
      </c>
      <c r="C148">
        <v>29</v>
      </c>
      <c r="D148" t="s">
        <v>34</v>
      </c>
      <c r="E148" t="s">
        <v>35</v>
      </c>
      <c r="F148" t="s">
        <v>62</v>
      </c>
      <c r="G148">
        <v>5</v>
      </c>
      <c r="H148">
        <v>5</v>
      </c>
      <c r="I148" t="str" cm="1">
        <f t="array" ref="I148">_xlfn.IFS(G148&lt;3, "0–2 Years", G148&lt;6, "3–5 Years", G148&lt;9, "6–8 Years", G148&lt;12, "9-11 Years", G148&gt;=12, "12-14 Years")</f>
        <v>3–5 Years</v>
      </c>
      <c r="J148">
        <v>3</v>
      </c>
      <c r="K148" t="s">
        <v>20</v>
      </c>
      <c r="L148">
        <v>87700</v>
      </c>
      <c r="M148">
        <v>8800</v>
      </c>
      <c r="N148">
        <v>96500</v>
      </c>
      <c r="O148" t="s">
        <v>30</v>
      </c>
      <c r="P148" s="3">
        <v>44212</v>
      </c>
      <c r="Q148" t="s">
        <v>62</v>
      </c>
    </row>
    <row r="149" spans="1:17" x14ac:dyDescent="0.35">
      <c r="A149" t="s">
        <v>201</v>
      </c>
      <c r="B149" t="s">
        <v>16</v>
      </c>
      <c r="C149">
        <v>28</v>
      </c>
      <c r="D149" t="s">
        <v>55</v>
      </c>
      <c r="E149" t="s">
        <v>92</v>
      </c>
      <c r="F149" t="s">
        <v>28</v>
      </c>
      <c r="G149">
        <v>9.9</v>
      </c>
      <c r="H149">
        <v>6.5</v>
      </c>
      <c r="I149" t="str" cm="1">
        <f t="array" ref="I149">_xlfn.IFS(G149&lt;3, "0–2 Years", G149&lt;6, "3–5 Years", G149&lt;9, "6–8 Years", G149&lt;12, "9-11 Years", G149&gt;=12, "12-14 Years")</f>
        <v>9-11 Years</v>
      </c>
      <c r="J149">
        <v>3</v>
      </c>
      <c r="K149" t="s">
        <v>20</v>
      </c>
      <c r="L149">
        <v>96800</v>
      </c>
      <c r="M149">
        <v>9800</v>
      </c>
      <c r="N149">
        <v>106600</v>
      </c>
      <c r="O149" t="s">
        <v>30</v>
      </c>
      <c r="P149" s="3">
        <v>42418</v>
      </c>
      <c r="Q149" t="s">
        <v>28</v>
      </c>
    </row>
    <row r="150" spans="1:17" x14ac:dyDescent="0.35">
      <c r="A150" t="s">
        <v>202</v>
      </c>
      <c r="B150" t="s">
        <v>23</v>
      </c>
      <c r="C150" s="7">
        <v>42</v>
      </c>
      <c r="D150" t="s">
        <v>44</v>
      </c>
      <c r="E150" t="s">
        <v>45</v>
      </c>
      <c r="F150" t="s">
        <v>36</v>
      </c>
      <c r="G150" s="9">
        <v>13.1</v>
      </c>
      <c r="H150" s="7">
        <v>7.2</v>
      </c>
      <c r="I150" t="str" cm="1">
        <f t="array" ref="I150">_xlfn.IFS(G150&lt;3, "0–2 Years", G150&lt;6, "3–5 Years", G150&lt;9, "6–8 Years", G150&lt;12, "9-11 Years", G150&gt;=12, "12-14 Years")</f>
        <v>12-14 Years</v>
      </c>
      <c r="J150" s="7">
        <v>3</v>
      </c>
      <c r="K150" t="s">
        <v>20</v>
      </c>
      <c r="L150" s="7">
        <v>91900</v>
      </c>
      <c r="M150" s="7">
        <v>7300</v>
      </c>
      <c r="N150" s="7">
        <v>99200</v>
      </c>
      <c r="O150" t="s">
        <v>30</v>
      </c>
      <c r="P150" s="3">
        <v>41242</v>
      </c>
      <c r="Q150" t="s">
        <v>36</v>
      </c>
    </row>
    <row r="151" spans="1:17" x14ac:dyDescent="0.35">
      <c r="A151" t="s">
        <v>203</v>
      </c>
      <c r="B151" t="s">
        <v>16</v>
      </c>
      <c r="C151" s="7">
        <v>39</v>
      </c>
      <c r="D151" t="s">
        <v>44</v>
      </c>
      <c r="E151" t="s">
        <v>81</v>
      </c>
      <c r="F151" t="s">
        <v>28</v>
      </c>
      <c r="G151" s="9">
        <v>12.4</v>
      </c>
      <c r="H151" s="7">
        <v>6.8</v>
      </c>
      <c r="I151" t="str" cm="1">
        <f t="array" ref="I151">_xlfn.IFS(G151&lt;3, "0–2 Years", G151&lt;6, "3–5 Years", G151&lt;9, "6–8 Years", G151&lt;12, "9-11 Years", G151&gt;=12, "12-14 Years")</f>
        <v>12-14 Years</v>
      </c>
      <c r="J151" s="7">
        <v>4</v>
      </c>
      <c r="K151" t="s">
        <v>20</v>
      </c>
      <c r="L151" s="7">
        <v>88800</v>
      </c>
      <c r="M151" s="7">
        <v>7200</v>
      </c>
      <c r="N151" s="7">
        <v>96000</v>
      </c>
      <c r="O151" t="s">
        <v>30</v>
      </c>
      <c r="P151" s="3">
        <v>41496</v>
      </c>
      <c r="Q151" t="s">
        <v>28</v>
      </c>
    </row>
    <row r="152" spans="1:17" x14ac:dyDescent="0.35">
      <c r="A152" t="s">
        <v>204</v>
      </c>
      <c r="B152" t="s">
        <v>23</v>
      </c>
      <c r="C152">
        <v>35</v>
      </c>
      <c r="D152" t="s">
        <v>38</v>
      </c>
      <c r="E152" t="s">
        <v>61</v>
      </c>
      <c r="F152" t="s">
        <v>28</v>
      </c>
      <c r="G152">
        <v>3.8</v>
      </c>
      <c r="H152">
        <v>1.5</v>
      </c>
      <c r="I152" t="str" cm="1">
        <f t="array" ref="I152">_xlfn.IFS(G152&lt;3, "0–2 Years", G152&lt;6, "3–5 Years", G152&lt;9, "6–8 Years", G152&lt;12, "9-11 Years", G152&gt;=12, "12-14 Years")</f>
        <v>3–5 Years</v>
      </c>
      <c r="J152">
        <v>4</v>
      </c>
      <c r="K152" t="s">
        <v>20</v>
      </c>
      <c r="L152">
        <v>100600</v>
      </c>
      <c r="M152">
        <v>8800</v>
      </c>
      <c r="N152">
        <v>109400</v>
      </c>
      <c r="O152" t="s">
        <v>57</v>
      </c>
      <c r="P152" s="3">
        <v>44635</v>
      </c>
      <c r="Q152" t="s">
        <v>28</v>
      </c>
    </row>
    <row r="153" spans="1:17" x14ac:dyDescent="0.35">
      <c r="A153" t="s">
        <v>205</v>
      </c>
      <c r="B153" t="s">
        <v>16</v>
      </c>
      <c r="C153">
        <v>32</v>
      </c>
      <c r="D153" t="s">
        <v>41</v>
      </c>
      <c r="E153" t="s">
        <v>67</v>
      </c>
      <c r="F153" t="s">
        <v>36</v>
      </c>
      <c r="G153">
        <v>8.4</v>
      </c>
      <c r="H153">
        <v>4.0999999999999996</v>
      </c>
      <c r="I153" t="str" cm="1">
        <f t="array" ref="I153">_xlfn.IFS(G153&lt;3, "0–2 Years", G153&lt;6, "3–5 Years", G153&lt;9, "6–8 Years", G153&lt;12, "9-11 Years", G153&gt;=12, "12-14 Years")</f>
        <v>6–8 Years</v>
      </c>
      <c r="J153">
        <v>1</v>
      </c>
      <c r="K153" t="s">
        <v>24</v>
      </c>
      <c r="L153">
        <v>43400</v>
      </c>
      <c r="M153">
        <v>3700</v>
      </c>
      <c r="N153">
        <v>47100</v>
      </c>
      <c r="O153" t="s">
        <v>65</v>
      </c>
      <c r="P153" s="3">
        <v>42950</v>
      </c>
      <c r="Q153" t="s">
        <v>36</v>
      </c>
    </row>
    <row r="154" spans="1:17" x14ac:dyDescent="0.35">
      <c r="A154" t="s">
        <v>206</v>
      </c>
      <c r="B154" t="s">
        <v>23</v>
      </c>
      <c r="C154">
        <v>30</v>
      </c>
      <c r="D154" t="s">
        <v>55</v>
      </c>
      <c r="E154" t="s">
        <v>79</v>
      </c>
      <c r="F154" t="s">
        <v>36</v>
      </c>
      <c r="G154">
        <v>11.5</v>
      </c>
      <c r="H154">
        <v>7.8</v>
      </c>
      <c r="I154" t="str" cm="1">
        <f t="array" ref="I154">_xlfn.IFS(G154&lt;3, "0–2 Years", G154&lt;6, "3–5 Years", G154&lt;9, "6–8 Years", G154&lt;12, "9-11 Years", G154&gt;=12, "12-14 Years")</f>
        <v>9-11 Years</v>
      </c>
      <c r="J154">
        <v>3</v>
      </c>
      <c r="K154" t="s">
        <v>20</v>
      </c>
      <c r="L154">
        <v>63800</v>
      </c>
      <c r="M154">
        <v>4600</v>
      </c>
      <c r="N154">
        <v>68400</v>
      </c>
      <c r="O154" t="s">
        <v>25</v>
      </c>
      <c r="P154" s="3">
        <v>41813</v>
      </c>
      <c r="Q154" t="s">
        <v>36</v>
      </c>
    </row>
    <row r="155" spans="1:17" x14ac:dyDescent="0.35">
      <c r="A155" t="s">
        <v>207</v>
      </c>
      <c r="B155" t="s">
        <v>16</v>
      </c>
      <c r="C155">
        <v>35</v>
      </c>
      <c r="D155" t="s">
        <v>41</v>
      </c>
      <c r="E155" t="s">
        <v>42</v>
      </c>
      <c r="F155" t="s">
        <v>36</v>
      </c>
      <c r="G155">
        <v>7.4</v>
      </c>
      <c r="H155">
        <v>7</v>
      </c>
      <c r="I155" t="str" cm="1">
        <f t="array" ref="I155">_xlfn.IFS(G155&lt;3, "0–2 Years", G155&lt;6, "3–5 Years", G155&lt;9, "6–8 Years", G155&lt;12, "9-11 Years", G155&gt;=12, "12-14 Years")</f>
        <v>6–8 Years</v>
      </c>
      <c r="J155">
        <v>4</v>
      </c>
      <c r="K155" t="s">
        <v>20</v>
      </c>
      <c r="L155">
        <v>73300</v>
      </c>
      <c r="M155">
        <v>2900</v>
      </c>
      <c r="N155">
        <v>76200</v>
      </c>
      <c r="O155" t="s">
        <v>21</v>
      </c>
      <c r="P155" s="3">
        <v>43319</v>
      </c>
      <c r="Q155" t="s">
        <v>36</v>
      </c>
    </row>
    <row r="156" spans="1:17" x14ac:dyDescent="0.35">
      <c r="A156" t="s">
        <v>208</v>
      </c>
      <c r="B156" t="s">
        <v>16</v>
      </c>
      <c r="C156">
        <v>40</v>
      </c>
      <c r="D156" t="s">
        <v>17</v>
      </c>
      <c r="E156" t="s">
        <v>18</v>
      </c>
      <c r="F156" t="s">
        <v>62</v>
      </c>
      <c r="G156">
        <v>2.7</v>
      </c>
      <c r="H156">
        <v>1.6</v>
      </c>
      <c r="I156" t="str" cm="1">
        <f t="array" ref="I156">_xlfn.IFS(G156&lt;3, "0–2 Years", G156&lt;6, "3–5 Years", G156&lt;9, "6–8 Years", G156&lt;12, "9-11 Years", G156&gt;=12, "12-14 Years")</f>
        <v>0–2 Years</v>
      </c>
      <c r="J156">
        <v>4</v>
      </c>
      <c r="K156" t="s">
        <v>20</v>
      </c>
      <c r="L156">
        <v>102400</v>
      </c>
      <c r="M156">
        <v>13700</v>
      </c>
      <c r="N156">
        <v>116100</v>
      </c>
      <c r="O156" t="s">
        <v>57</v>
      </c>
      <c r="P156" s="3">
        <v>45041</v>
      </c>
      <c r="Q156" t="s">
        <v>62</v>
      </c>
    </row>
    <row r="157" spans="1:17" x14ac:dyDescent="0.35">
      <c r="A157" t="s">
        <v>209</v>
      </c>
      <c r="B157" t="s">
        <v>23</v>
      </c>
      <c r="C157">
        <v>29</v>
      </c>
      <c r="D157" t="s">
        <v>41</v>
      </c>
      <c r="E157" t="s">
        <v>42</v>
      </c>
      <c r="F157" t="s">
        <v>36</v>
      </c>
      <c r="G157">
        <v>9.3000000000000007</v>
      </c>
      <c r="H157">
        <v>4.9000000000000004</v>
      </c>
      <c r="I157" t="str" cm="1">
        <f t="array" ref="I157">_xlfn.IFS(G157&lt;3, "0–2 Years", G157&lt;6, "3–5 Years", G157&lt;9, "6–8 Years", G157&lt;12, "9-11 Years", G157&gt;=12, "12-14 Years")</f>
        <v>9-11 Years</v>
      </c>
      <c r="J157">
        <v>4</v>
      </c>
      <c r="K157" t="s">
        <v>20</v>
      </c>
      <c r="L157">
        <v>80700</v>
      </c>
      <c r="M157">
        <v>4100</v>
      </c>
      <c r="N157">
        <v>84800</v>
      </c>
      <c r="O157" t="s">
        <v>30</v>
      </c>
      <c r="P157" s="3">
        <v>42643</v>
      </c>
      <c r="Q157" t="s">
        <v>36</v>
      </c>
    </row>
    <row r="158" spans="1:17" x14ac:dyDescent="0.35">
      <c r="A158" t="s">
        <v>210</v>
      </c>
      <c r="B158" t="s">
        <v>16</v>
      </c>
      <c r="C158">
        <v>51</v>
      </c>
      <c r="D158" t="s">
        <v>44</v>
      </c>
      <c r="E158" t="s">
        <v>51</v>
      </c>
      <c r="F158" t="s">
        <v>28</v>
      </c>
      <c r="G158">
        <v>1.4</v>
      </c>
      <c r="H158">
        <v>0</v>
      </c>
      <c r="I158" t="str" cm="1">
        <f t="array" ref="I158">_xlfn.IFS(G158&lt;3, "0–2 Years", G158&lt;6, "3–5 Years", G158&lt;9, "6–8 Years", G158&lt;12, "9-11 Years", G158&gt;=12, "12-14 Years")</f>
        <v>0–2 Years</v>
      </c>
      <c r="J158">
        <v>5</v>
      </c>
      <c r="K158" t="s">
        <v>20</v>
      </c>
      <c r="L158">
        <v>73400</v>
      </c>
      <c r="M158">
        <v>10000</v>
      </c>
      <c r="N158">
        <v>83400</v>
      </c>
      <c r="O158" t="s">
        <v>21</v>
      </c>
      <c r="P158" s="3">
        <v>45494</v>
      </c>
      <c r="Q158" t="s">
        <v>28</v>
      </c>
    </row>
    <row r="159" spans="1:17" x14ac:dyDescent="0.35">
      <c r="A159" t="s">
        <v>211</v>
      </c>
      <c r="B159" t="s">
        <v>23</v>
      </c>
      <c r="C159" s="7">
        <v>67</v>
      </c>
      <c r="D159" t="s">
        <v>38</v>
      </c>
      <c r="E159" t="s">
        <v>39</v>
      </c>
      <c r="F159" t="s">
        <v>28</v>
      </c>
      <c r="G159" s="9">
        <v>13.1</v>
      </c>
      <c r="H159" s="7">
        <v>8.3000000000000007</v>
      </c>
      <c r="I159" t="str" cm="1">
        <f t="array" ref="I159">_xlfn.IFS(G159&lt;3, "0–2 Years", G159&lt;6, "3–5 Years", G159&lt;9, "6–8 Years", G159&lt;12, "9-11 Years", G159&gt;=12, "12-14 Years")</f>
        <v>12-14 Years</v>
      </c>
      <c r="J159" s="7">
        <v>4</v>
      </c>
      <c r="K159" t="s">
        <v>20</v>
      </c>
      <c r="L159" s="7">
        <v>104200</v>
      </c>
      <c r="M159" s="7">
        <v>9500</v>
      </c>
      <c r="N159" s="7">
        <v>113700</v>
      </c>
      <c r="O159" t="s">
        <v>57</v>
      </c>
      <c r="P159" s="3">
        <v>41245</v>
      </c>
      <c r="Q159" t="s">
        <v>28</v>
      </c>
    </row>
    <row r="160" spans="1:17" x14ac:dyDescent="0.35">
      <c r="A160" t="s">
        <v>212</v>
      </c>
      <c r="B160" t="s">
        <v>16</v>
      </c>
      <c r="C160">
        <v>53</v>
      </c>
      <c r="D160" t="s">
        <v>34</v>
      </c>
      <c r="E160" t="s">
        <v>35</v>
      </c>
      <c r="F160" t="s">
        <v>19</v>
      </c>
      <c r="G160">
        <v>3.6</v>
      </c>
      <c r="H160">
        <v>2.2999999999999998</v>
      </c>
      <c r="I160" t="str" cm="1">
        <f t="array" ref="I160">_xlfn.IFS(G160&lt;3, "0–2 Years", G160&lt;6, "3–5 Years", G160&lt;9, "6–8 Years", G160&lt;12, "9-11 Years", G160&gt;=12, "12-14 Years")</f>
        <v>3–5 Years</v>
      </c>
      <c r="J160">
        <v>2</v>
      </c>
      <c r="K160" t="s">
        <v>20</v>
      </c>
      <c r="L160">
        <v>71000</v>
      </c>
      <c r="M160">
        <v>4800</v>
      </c>
      <c r="N160">
        <v>75800</v>
      </c>
      <c r="O160" t="s">
        <v>21</v>
      </c>
      <c r="P160" s="3">
        <v>44715</v>
      </c>
      <c r="Q160" t="s">
        <v>19</v>
      </c>
    </row>
    <row r="161" spans="1:17" x14ac:dyDescent="0.35">
      <c r="A161" t="s">
        <v>213</v>
      </c>
      <c r="B161" t="s">
        <v>16</v>
      </c>
      <c r="C161">
        <v>28</v>
      </c>
      <c r="D161" t="s">
        <v>41</v>
      </c>
      <c r="E161" t="s">
        <v>73</v>
      </c>
      <c r="F161" t="s">
        <v>28</v>
      </c>
      <c r="G161">
        <v>3.8</v>
      </c>
      <c r="H161">
        <v>0.4</v>
      </c>
      <c r="I161" t="str" cm="1">
        <f t="array" ref="I161">_xlfn.IFS(G161&lt;3, "0–2 Years", G161&lt;6, "3–5 Years", G161&lt;9, "6–8 Years", G161&lt;12, "9-11 Years", G161&gt;=12, "12-14 Years")</f>
        <v>3–5 Years</v>
      </c>
      <c r="J161">
        <v>5</v>
      </c>
      <c r="K161" t="s">
        <v>20</v>
      </c>
      <c r="L161">
        <v>99700</v>
      </c>
      <c r="M161">
        <v>7500</v>
      </c>
      <c r="N161">
        <v>107200</v>
      </c>
      <c r="O161" t="s">
        <v>30</v>
      </c>
      <c r="P161" s="3">
        <v>44647</v>
      </c>
      <c r="Q161" t="s">
        <v>28</v>
      </c>
    </row>
    <row r="162" spans="1:17" x14ac:dyDescent="0.35">
      <c r="A162" t="s">
        <v>214</v>
      </c>
      <c r="B162" t="s">
        <v>23</v>
      </c>
      <c r="C162">
        <v>32</v>
      </c>
      <c r="D162" t="s">
        <v>41</v>
      </c>
      <c r="E162" t="s">
        <v>42</v>
      </c>
      <c r="F162" t="s">
        <v>36</v>
      </c>
      <c r="G162">
        <v>10.9</v>
      </c>
      <c r="H162">
        <v>5.6</v>
      </c>
      <c r="I162" t="str" cm="1">
        <f t="array" ref="I162">_xlfn.IFS(G162&lt;3, "0–2 Years", G162&lt;6, "3–5 Years", G162&lt;9, "6–8 Years", G162&lt;12, "9-11 Years", G162&gt;=12, "12-14 Years")</f>
        <v>9-11 Years</v>
      </c>
      <c r="J162">
        <v>3</v>
      </c>
      <c r="K162" t="s">
        <v>69</v>
      </c>
      <c r="L162">
        <v>68200</v>
      </c>
      <c r="M162">
        <v>2900</v>
      </c>
      <c r="N162">
        <v>71100</v>
      </c>
      <c r="O162" t="s">
        <v>21</v>
      </c>
      <c r="P162" s="3">
        <v>42045</v>
      </c>
      <c r="Q162" t="s">
        <v>36</v>
      </c>
    </row>
    <row r="163" spans="1:17" x14ac:dyDescent="0.35">
      <c r="A163" t="s">
        <v>215</v>
      </c>
      <c r="B163" t="s">
        <v>23</v>
      </c>
      <c r="C163" s="7">
        <v>41</v>
      </c>
      <c r="D163" t="s">
        <v>55</v>
      </c>
      <c r="E163" t="s">
        <v>92</v>
      </c>
      <c r="F163" t="s">
        <v>28</v>
      </c>
      <c r="G163" s="9">
        <v>13.1</v>
      </c>
      <c r="H163" s="7">
        <v>6.8</v>
      </c>
      <c r="I163" t="str" cm="1">
        <f t="array" ref="I163">_xlfn.IFS(G163&lt;3, "0–2 Years", G163&lt;6, "3–5 Years", G163&lt;9, "6–8 Years", G163&lt;12, "9-11 Years", G163&gt;=12, "12-14 Years")</f>
        <v>12-14 Years</v>
      </c>
      <c r="J163" s="7">
        <v>4</v>
      </c>
      <c r="K163" t="s">
        <v>20</v>
      </c>
      <c r="L163" s="7">
        <v>111900</v>
      </c>
      <c r="M163" s="7">
        <v>21800</v>
      </c>
      <c r="N163" s="7">
        <v>133700</v>
      </c>
      <c r="O163" t="s">
        <v>57</v>
      </c>
      <c r="P163" s="3">
        <v>41255</v>
      </c>
      <c r="Q163" t="s">
        <v>28</v>
      </c>
    </row>
    <row r="164" spans="1:17" x14ac:dyDescent="0.35">
      <c r="A164" t="s">
        <v>216</v>
      </c>
      <c r="B164" t="s">
        <v>23</v>
      </c>
      <c r="C164">
        <v>37</v>
      </c>
      <c r="D164" t="s">
        <v>17</v>
      </c>
      <c r="E164" t="s">
        <v>32</v>
      </c>
      <c r="F164" t="s">
        <v>28</v>
      </c>
      <c r="G164">
        <v>6.6</v>
      </c>
      <c r="H164">
        <v>5.2</v>
      </c>
      <c r="I164" t="str" cm="1">
        <f t="array" ref="I164">_xlfn.IFS(G164&lt;3, "0–2 Years", G164&lt;6, "3–5 Years", G164&lt;9, "6–8 Years", G164&lt;12, "9-11 Years", G164&gt;=12, "12-14 Years")</f>
        <v>6–8 Years</v>
      </c>
      <c r="J164">
        <v>2</v>
      </c>
      <c r="K164" t="s">
        <v>20</v>
      </c>
      <c r="L164">
        <v>61000</v>
      </c>
      <c r="M164">
        <v>5700</v>
      </c>
      <c r="N164">
        <v>66700</v>
      </c>
      <c r="O164" t="s">
        <v>25</v>
      </c>
      <c r="P164" s="3">
        <v>43610</v>
      </c>
      <c r="Q164" t="s">
        <v>28</v>
      </c>
    </row>
    <row r="165" spans="1:17" x14ac:dyDescent="0.35">
      <c r="A165" t="s">
        <v>217</v>
      </c>
      <c r="B165" t="s">
        <v>23</v>
      </c>
      <c r="C165">
        <v>27</v>
      </c>
      <c r="D165" t="s">
        <v>38</v>
      </c>
      <c r="E165" t="s">
        <v>112</v>
      </c>
      <c r="F165" t="s">
        <v>28</v>
      </c>
      <c r="G165">
        <v>3</v>
      </c>
      <c r="H165">
        <v>2.8</v>
      </c>
      <c r="I165" t="str" cm="1">
        <f t="array" ref="I165">_xlfn.IFS(G165&lt;3, "0–2 Years", G165&lt;6, "3–5 Years", G165&lt;9, "6–8 Years", G165&lt;12, "9-11 Years", G165&gt;=12, "12-14 Years")</f>
        <v>3–5 Years</v>
      </c>
      <c r="J165">
        <v>4</v>
      </c>
      <c r="K165" t="s">
        <v>20</v>
      </c>
      <c r="L165">
        <v>69900</v>
      </c>
      <c r="M165">
        <v>4800</v>
      </c>
      <c r="N165">
        <v>74700</v>
      </c>
      <c r="O165" t="s">
        <v>21</v>
      </c>
      <c r="P165" s="3">
        <v>44922</v>
      </c>
      <c r="Q165" t="s">
        <v>28</v>
      </c>
    </row>
    <row r="166" spans="1:17" x14ac:dyDescent="0.35">
      <c r="A166" t="s">
        <v>218</v>
      </c>
      <c r="B166" t="s">
        <v>23</v>
      </c>
      <c r="C166">
        <v>34</v>
      </c>
      <c r="D166" t="s">
        <v>55</v>
      </c>
      <c r="E166" t="s">
        <v>79</v>
      </c>
      <c r="F166" t="s">
        <v>19</v>
      </c>
      <c r="G166">
        <v>5.3</v>
      </c>
      <c r="H166">
        <v>2.4</v>
      </c>
      <c r="I166" t="str" cm="1">
        <f t="array" ref="I166">_xlfn.IFS(G166&lt;3, "0–2 Years", G166&lt;6, "3–5 Years", G166&lt;9, "6–8 Years", G166&lt;12, "9-11 Years", G166&gt;=12, "12-14 Years")</f>
        <v>3–5 Years</v>
      </c>
      <c r="J166">
        <v>3</v>
      </c>
      <c r="K166" t="s">
        <v>20</v>
      </c>
      <c r="L166">
        <v>58400</v>
      </c>
      <c r="M166">
        <v>5700</v>
      </c>
      <c r="N166">
        <v>64100</v>
      </c>
      <c r="O166" t="s">
        <v>25</v>
      </c>
      <c r="P166" s="3">
        <v>44101</v>
      </c>
      <c r="Q166" t="s">
        <v>19</v>
      </c>
    </row>
    <row r="167" spans="1:17" x14ac:dyDescent="0.35">
      <c r="A167" t="s">
        <v>219</v>
      </c>
      <c r="B167" t="s">
        <v>23</v>
      </c>
      <c r="C167">
        <v>37</v>
      </c>
      <c r="D167" t="s">
        <v>41</v>
      </c>
      <c r="E167" t="s">
        <v>42</v>
      </c>
      <c r="F167" t="s">
        <v>28</v>
      </c>
      <c r="G167">
        <v>5.7</v>
      </c>
      <c r="H167">
        <v>1.9</v>
      </c>
      <c r="I167" t="str" cm="1">
        <f t="array" ref="I167">_xlfn.IFS(G167&lt;3, "0–2 Years", G167&lt;6, "3–5 Years", G167&lt;9, "6–8 Years", G167&lt;12, "9-11 Years", G167&gt;=12, "12-14 Years")</f>
        <v>3–5 Years</v>
      </c>
      <c r="J167">
        <v>2</v>
      </c>
      <c r="K167" t="s">
        <v>24</v>
      </c>
      <c r="L167">
        <v>48700</v>
      </c>
      <c r="M167">
        <v>4000</v>
      </c>
      <c r="N167">
        <v>52700</v>
      </c>
      <c r="O167" t="s">
        <v>65</v>
      </c>
      <c r="P167" s="3">
        <v>43928</v>
      </c>
      <c r="Q167" t="s">
        <v>28</v>
      </c>
    </row>
    <row r="168" spans="1:17" x14ac:dyDescent="0.35">
      <c r="A168" t="s">
        <v>220</v>
      </c>
      <c r="B168" t="s">
        <v>23</v>
      </c>
      <c r="C168">
        <v>40</v>
      </c>
      <c r="D168" t="s">
        <v>34</v>
      </c>
      <c r="E168" t="s">
        <v>59</v>
      </c>
      <c r="F168" t="s">
        <v>28</v>
      </c>
      <c r="G168">
        <v>8.1999999999999993</v>
      </c>
      <c r="H168">
        <v>5.4</v>
      </c>
      <c r="I168" t="str" cm="1">
        <f t="array" ref="I168">_xlfn.IFS(G168&lt;3, "0–2 Years", G168&lt;6, "3–5 Years", G168&lt;9, "6–8 Years", G168&lt;12, "9-11 Years", G168&gt;=12, "12-14 Years")</f>
        <v>6–8 Years</v>
      </c>
      <c r="J168">
        <v>4</v>
      </c>
      <c r="K168" t="s">
        <v>24</v>
      </c>
      <c r="L168">
        <v>61800</v>
      </c>
      <c r="M168">
        <v>7000</v>
      </c>
      <c r="N168">
        <v>68800</v>
      </c>
      <c r="O168" t="s">
        <v>25</v>
      </c>
      <c r="P168" s="3">
        <v>43010</v>
      </c>
      <c r="Q168" t="s">
        <v>28</v>
      </c>
    </row>
    <row r="169" spans="1:17" x14ac:dyDescent="0.35">
      <c r="A169" t="s">
        <v>221</v>
      </c>
      <c r="B169" t="s">
        <v>23</v>
      </c>
      <c r="C169">
        <v>52</v>
      </c>
      <c r="D169" t="s">
        <v>55</v>
      </c>
      <c r="E169" t="s">
        <v>79</v>
      </c>
      <c r="F169" t="s">
        <v>36</v>
      </c>
      <c r="G169">
        <v>3</v>
      </c>
      <c r="H169">
        <v>1.6</v>
      </c>
      <c r="I169" t="str" cm="1">
        <f t="array" ref="I169">_xlfn.IFS(G169&lt;3, "0–2 Years", G169&lt;6, "3–5 Years", G169&lt;9, "6–8 Years", G169&lt;12, "9-11 Years", G169&gt;=12, "12-14 Years")</f>
        <v>3–5 Years</v>
      </c>
      <c r="J169">
        <v>3</v>
      </c>
      <c r="K169" t="s">
        <v>20</v>
      </c>
      <c r="L169">
        <v>62300</v>
      </c>
      <c r="M169">
        <v>6500</v>
      </c>
      <c r="N169">
        <v>68800</v>
      </c>
      <c r="O169" t="s">
        <v>25</v>
      </c>
      <c r="P169" s="3">
        <v>44931</v>
      </c>
      <c r="Q169" t="s">
        <v>36</v>
      </c>
    </row>
    <row r="170" spans="1:17" x14ac:dyDescent="0.35">
      <c r="A170" t="s">
        <v>222</v>
      </c>
      <c r="B170" t="s">
        <v>16</v>
      </c>
      <c r="C170" s="7">
        <v>29</v>
      </c>
      <c r="D170" t="s">
        <v>44</v>
      </c>
      <c r="E170" t="s">
        <v>81</v>
      </c>
      <c r="F170" t="s">
        <v>28</v>
      </c>
      <c r="G170" s="9">
        <v>13.9</v>
      </c>
      <c r="H170" s="7">
        <v>10.7</v>
      </c>
      <c r="I170" t="str" cm="1">
        <f t="array" ref="I170">_xlfn.IFS(G170&lt;3, "0–2 Years", G170&lt;6, "3–5 Years", G170&lt;9, "6–8 Years", G170&lt;12, "9-11 Years", G170&gt;=12, "12-14 Years")</f>
        <v>12-14 Years</v>
      </c>
      <c r="J170" s="7">
        <v>3</v>
      </c>
      <c r="K170" t="s">
        <v>20</v>
      </c>
      <c r="L170" s="7">
        <v>104400</v>
      </c>
      <c r="M170" s="7">
        <v>12300</v>
      </c>
      <c r="N170" s="7">
        <v>116700</v>
      </c>
      <c r="O170" t="s">
        <v>57</v>
      </c>
      <c r="P170" s="3">
        <v>40961</v>
      </c>
      <c r="Q170" t="s">
        <v>28</v>
      </c>
    </row>
    <row r="171" spans="1:17" x14ac:dyDescent="0.35">
      <c r="A171" t="s">
        <v>223</v>
      </c>
      <c r="B171" t="s">
        <v>16</v>
      </c>
      <c r="C171">
        <v>48</v>
      </c>
      <c r="D171" t="s">
        <v>17</v>
      </c>
      <c r="E171" t="s">
        <v>18</v>
      </c>
      <c r="F171" t="s">
        <v>36</v>
      </c>
      <c r="G171">
        <v>7.6</v>
      </c>
      <c r="H171">
        <v>3</v>
      </c>
      <c r="I171" t="str" cm="1">
        <f t="array" ref="I171">_xlfn.IFS(G171&lt;3, "0–2 Years", G171&lt;6, "3–5 Years", G171&lt;9, "6–8 Years", G171&lt;12, "9-11 Years", G171&gt;=12, "12-14 Years")</f>
        <v>6–8 Years</v>
      </c>
      <c r="J171">
        <v>3</v>
      </c>
      <c r="K171" t="s">
        <v>20</v>
      </c>
      <c r="L171">
        <v>104300</v>
      </c>
      <c r="M171">
        <v>13600</v>
      </c>
      <c r="N171">
        <v>117900</v>
      </c>
      <c r="O171" t="s">
        <v>57</v>
      </c>
      <c r="P171" s="3">
        <v>43247</v>
      </c>
      <c r="Q171" t="s">
        <v>36</v>
      </c>
    </row>
    <row r="172" spans="1:17" x14ac:dyDescent="0.35">
      <c r="A172" t="s">
        <v>224</v>
      </c>
      <c r="B172" t="s">
        <v>16</v>
      </c>
      <c r="C172">
        <v>47</v>
      </c>
      <c r="D172" t="s">
        <v>17</v>
      </c>
      <c r="E172" t="s">
        <v>32</v>
      </c>
      <c r="F172" t="s">
        <v>36</v>
      </c>
      <c r="G172">
        <v>8.6999999999999993</v>
      </c>
      <c r="H172">
        <v>4.5999999999999996</v>
      </c>
      <c r="I172" t="str" cm="1">
        <f t="array" ref="I172">_xlfn.IFS(G172&lt;3, "0–2 Years", G172&lt;6, "3–5 Years", G172&lt;9, "6–8 Years", G172&lt;12, "9-11 Years", G172&gt;=12, "12-14 Years")</f>
        <v>6–8 Years</v>
      </c>
      <c r="J172">
        <v>5</v>
      </c>
      <c r="K172" t="s">
        <v>20</v>
      </c>
      <c r="L172">
        <v>73500</v>
      </c>
      <c r="M172">
        <v>6500</v>
      </c>
      <c r="N172">
        <v>80000</v>
      </c>
      <c r="O172" t="s">
        <v>21</v>
      </c>
      <c r="P172" s="3">
        <v>42847</v>
      </c>
      <c r="Q172" t="s">
        <v>36</v>
      </c>
    </row>
    <row r="173" spans="1:17" x14ac:dyDescent="0.35">
      <c r="A173" t="s">
        <v>225</v>
      </c>
      <c r="B173" t="s">
        <v>23</v>
      </c>
      <c r="C173" s="7">
        <v>31</v>
      </c>
      <c r="D173" t="s">
        <v>17</v>
      </c>
      <c r="E173" t="s">
        <v>27</v>
      </c>
      <c r="F173" t="s">
        <v>36</v>
      </c>
      <c r="G173" s="9">
        <v>12.7</v>
      </c>
      <c r="H173" s="7">
        <v>7.9</v>
      </c>
      <c r="I173" t="str" cm="1">
        <f t="array" ref="I173">_xlfn.IFS(G173&lt;3, "0–2 Years", G173&lt;6, "3–5 Years", G173&lt;9, "6–8 Years", G173&lt;12, "9-11 Years", G173&gt;=12, "12-14 Years")</f>
        <v>12-14 Years</v>
      </c>
      <c r="J173" s="7">
        <v>3</v>
      </c>
      <c r="K173" t="s">
        <v>20</v>
      </c>
      <c r="L173" s="7">
        <v>105000</v>
      </c>
      <c r="M173" s="7">
        <v>6900</v>
      </c>
      <c r="N173" s="7">
        <v>111900</v>
      </c>
      <c r="O173" t="s">
        <v>57</v>
      </c>
      <c r="P173" s="3">
        <v>41375</v>
      </c>
      <c r="Q173" t="s">
        <v>36</v>
      </c>
    </row>
    <row r="174" spans="1:17" x14ac:dyDescent="0.35">
      <c r="A174" t="s">
        <v>226</v>
      </c>
      <c r="B174" t="s">
        <v>16</v>
      </c>
      <c r="C174" s="7">
        <v>40</v>
      </c>
      <c r="D174" t="s">
        <v>17</v>
      </c>
      <c r="E174" t="s">
        <v>32</v>
      </c>
      <c r="F174" t="s">
        <v>36</v>
      </c>
      <c r="G174" s="9">
        <v>12.1</v>
      </c>
      <c r="H174" s="7">
        <v>6.7</v>
      </c>
      <c r="I174" t="str" cm="1">
        <f t="array" ref="I174">_xlfn.IFS(G174&lt;3, "0–2 Years", G174&lt;6, "3–5 Years", G174&lt;9, "6–8 Years", G174&lt;12, "9-11 Years", G174&gt;=12, "12-14 Years")</f>
        <v>12-14 Years</v>
      </c>
      <c r="J174" s="7">
        <v>3</v>
      </c>
      <c r="K174" t="s">
        <v>20</v>
      </c>
      <c r="L174" s="7">
        <v>75900</v>
      </c>
      <c r="M174" s="7">
        <v>6400</v>
      </c>
      <c r="N174" s="7">
        <v>82300</v>
      </c>
      <c r="O174" t="s">
        <v>21</v>
      </c>
      <c r="P174" s="3">
        <v>41601</v>
      </c>
      <c r="Q174" t="s">
        <v>36</v>
      </c>
    </row>
    <row r="175" spans="1:17" x14ac:dyDescent="0.35">
      <c r="A175" t="s">
        <v>227</v>
      </c>
      <c r="B175" t="s">
        <v>23</v>
      </c>
      <c r="C175">
        <v>27</v>
      </c>
      <c r="D175" t="s">
        <v>55</v>
      </c>
      <c r="E175" t="s">
        <v>56</v>
      </c>
      <c r="F175" t="s">
        <v>36</v>
      </c>
      <c r="G175">
        <v>9.6999999999999993</v>
      </c>
      <c r="H175">
        <v>3.9</v>
      </c>
      <c r="I175" t="str" cm="1">
        <f t="array" ref="I175">_xlfn.IFS(G175&lt;3, "0–2 Years", G175&lt;6, "3–5 Years", G175&lt;9, "6–8 Years", G175&lt;12, "9-11 Years", G175&gt;=12, "12-14 Years")</f>
        <v>9-11 Years</v>
      </c>
      <c r="J175">
        <v>4</v>
      </c>
      <c r="K175" t="s">
        <v>20</v>
      </c>
      <c r="L175">
        <v>105500</v>
      </c>
      <c r="M175">
        <v>21200</v>
      </c>
      <c r="N175">
        <v>126700</v>
      </c>
      <c r="O175" t="s">
        <v>57</v>
      </c>
      <c r="P175" s="3">
        <v>42495</v>
      </c>
      <c r="Q175" t="s">
        <v>36</v>
      </c>
    </row>
    <row r="176" spans="1:17" x14ac:dyDescent="0.35">
      <c r="A176" t="s">
        <v>228</v>
      </c>
      <c r="B176" t="s">
        <v>16</v>
      </c>
      <c r="C176">
        <v>34</v>
      </c>
      <c r="D176" t="s">
        <v>38</v>
      </c>
      <c r="E176" t="s">
        <v>61</v>
      </c>
      <c r="F176" t="s">
        <v>28</v>
      </c>
      <c r="G176">
        <v>8.9</v>
      </c>
      <c r="H176">
        <v>5.6</v>
      </c>
      <c r="I176" t="str" cm="1">
        <f t="array" ref="I176">_xlfn.IFS(G176&lt;3, "0–2 Years", G176&lt;6, "3–5 Years", G176&lt;9, "6–8 Years", G176&lt;12, "9-11 Years", G176&gt;=12, "12-14 Years")</f>
        <v>6–8 Years</v>
      </c>
      <c r="J176">
        <v>3</v>
      </c>
      <c r="K176" t="s">
        <v>20</v>
      </c>
      <c r="L176">
        <v>107800</v>
      </c>
      <c r="M176">
        <v>9100</v>
      </c>
      <c r="N176">
        <v>116900</v>
      </c>
      <c r="O176" t="s">
        <v>57</v>
      </c>
      <c r="P176" s="3">
        <v>42783</v>
      </c>
      <c r="Q176" t="s">
        <v>28</v>
      </c>
    </row>
    <row r="177" spans="1:17" x14ac:dyDescent="0.35">
      <c r="A177" t="s">
        <v>229</v>
      </c>
      <c r="B177" t="s">
        <v>16</v>
      </c>
      <c r="C177">
        <v>40</v>
      </c>
      <c r="D177" t="s">
        <v>34</v>
      </c>
      <c r="E177" t="s">
        <v>35</v>
      </c>
      <c r="F177" t="s">
        <v>36</v>
      </c>
      <c r="G177">
        <v>1.1000000000000001</v>
      </c>
      <c r="H177">
        <v>0</v>
      </c>
      <c r="I177" t="str" cm="1">
        <f t="array" ref="I177">_xlfn.IFS(G177&lt;3, "0–2 Years", G177&lt;6, "3–5 Years", G177&lt;9, "6–8 Years", G177&lt;12, "9-11 Years", G177&gt;=12, "12-14 Years")</f>
        <v>0–2 Years</v>
      </c>
      <c r="J177">
        <v>1</v>
      </c>
      <c r="K177" t="s">
        <v>20</v>
      </c>
      <c r="L177">
        <v>80400</v>
      </c>
      <c r="M177">
        <v>8900</v>
      </c>
      <c r="N177">
        <v>89300</v>
      </c>
      <c r="O177" t="s">
        <v>30</v>
      </c>
      <c r="P177" s="3">
        <v>45633</v>
      </c>
      <c r="Q177" t="s">
        <v>36</v>
      </c>
    </row>
    <row r="178" spans="1:17" x14ac:dyDescent="0.35">
      <c r="A178" t="s">
        <v>230</v>
      </c>
      <c r="B178" t="s">
        <v>23</v>
      </c>
      <c r="C178">
        <v>38</v>
      </c>
      <c r="D178" t="s">
        <v>41</v>
      </c>
      <c r="E178" t="s">
        <v>67</v>
      </c>
      <c r="F178" t="s">
        <v>28</v>
      </c>
      <c r="G178">
        <v>7.3</v>
      </c>
      <c r="H178">
        <v>5.0999999999999996</v>
      </c>
      <c r="I178" t="str" cm="1">
        <f t="array" ref="I178">_xlfn.IFS(G178&lt;3, "0–2 Years", G178&lt;6, "3–5 Years", G178&lt;9, "6–8 Years", G178&lt;12, "9-11 Years", G178&gt;=12, "12-14 Years")</f>
        <v>6–8 Years</v>
      </c>
      <c r="J178">
        <v>3</v>
      </c>
      <c r="K178" t="s">
        <v>20</v>
      </c>
      <c r="L178">
        <v>66000</v>
      </c>
      <c r="M178">
        <v>4700</v>
      </c>
      <c r="N178">
        <v>70700</v>
      </c>
      <c r="O178" t="s">
        <v>21</v>
      </c>
      <c r="P178" s="3">
        <v>43356</v>
      </c>
      <c r="Q178" t="s">
        <v>28</v>
      </c>
    </row>
    <row r="179" spans="1:17" x14ac:dyDescent="0.35">
      <c r="A179" t="s">
        <v>231</v>
      </c>
      <c r="B179" t="s">
        <v>23</v>
      </c>
      <c r="C179">
        <v>39</v>
      </c>
      <c r="D179" t="s">
        <v>55</v>
      </c>
      <c r="E179" t="s">
        <v>92</v>
      </c>
      <c r="F179" t="s">
        <v>28</v>
      </c>
      <c r="G179">
        <v>5.7</v>
      </c>
      <c r="H179">
        <v>2.4</v>
      </c>
      <c r="I179" t="str" cm="1">
        <f t="array" ref="I179">_xlfn.IFS(G179&lt;3, "0–2 Years", G179&lt;6, "3–5 Years", G179&lt;9, "6–8 Years", G179&lt;12, "9-11 Years", G179&gt;=12, "12-14 Years")</f>
        <v>3–5 Years</v>
      </c>
      <c r="J179">
        <v>3</v>
      </c>
      <c r="K179" t="s">
        <v>20</v>
      </c>
      <c r="L179">
        <v>100000</v>
      </c>
      <c r="M179">
        <v>19100</v>
      </c>
      <c r="N179">
        <v>119100</v>
      </c>
      <c r="O179" t="s">
        <v>57</v>
      </c>
      <c r="P179" s="3">
        <v>43950</v>
      </c>
      <c r="Q179" t="s">
        <v>28</v>
      </c>
    </row>
    <row r="180" spans="1:17" x14ac:dyDescent="0.35">
      <c r="A180" t="s">
        <v>232</v>
      </c>
      <c r="B180" t="s">
        <v>23</v>
      </c>
      <c r="C180">
        <v>37</v>
      </c>
      <c r="D180" t="s">
        <v>17</v>
      </c>
      <c r="E180" t="s">
        <v>32</v>
      </c>
      <c r="F180" t="s">
        <v>28</v>
      </c>
      <c r="G180">
        <v>9.1</v>
      </c>
      <c r="H180">
        <v>4.8</v>
      </c>
      <c r="I180" t="str" cm="1">
        <f t="array" ref="I180">_xlfn.IFS(G180&lt;3, "0–2 Years", G180&lt;6, "3–5 Years", G180&lt;9, "6–8 Years", G180&lt;12, "9-11 Years", G180&gt;=12, "12-14 Years")</f>
        <v>9-11 Years</v>
      </c>
      <c r="J180">
        <v>3</v>
      </c>
      <c r="K180" t="s">
        <v>24</v>
      </c>
      <c r="L180">
        <v>43400</v>
      </c>
      <c r="M180">
        <v>3000</v>
      </c>
      <c r="N180">
        <v>46400</v>
      </c>
      <c r="O180" t="s">
        <v>65</v>
      </c>
      <c r="P180" s="3">
        <v>42702</v>
      </c>
      <c r="Q180" t="s">
        <v>28</v>
      </c>
    </row>
    <row r="181" spans="1:17" x14ac:dyDescent="0.35">
      <c r="A181" t="s">
        <v>233</v>
      </c>
      <c r="B181" t="s">
        <v>23</v>
      </c>
      <c r="C181">
        <v>33</v>
      </c>
      <c r="D181" t="s">
        <v>38</v>
      </c>
      <c r="E181" t="s">
        <v>61</v>
      </c>
      <c r="F181" t="s">
        <v>28</v>
      </c>
      <c r="G181">
        <v>7.7</v>
      </c>
      <c r="H181">
        <v>6</v>
      </c>
      <c r="I181" t="str" cm="1">
        <f t="array" ref="I181">_xlfn.IFS(G181&lt;3, "0–2 Years", G181&lt;6, "3–5 Years", G181&lt;9, "6–8 Years", G181&lt;12, "9-11 Years", G181&gt;=12, "12-14 Years")</f>
        <v>6–8 Years</v>
      </c>
      <c r="J181">
        <v>2</v>
      </c>
      <c r="K181" t="s">
        <v>20</v>
      </c>
      <c r="L181">
        <v>98100</v>
      </c>
      <c r="M181">
        <v>8400</v>
      </c>
      <c r="N181">
        <v>106500</v>
      </c>
      <c r="O181" t="s">
        <v>30</v>
      </c>
      <c r="P181" s="3">
        <v>43205</v>
      </c>
      <c r="Q181" t="s">
        <v>28</v>
      </c>
    </row>
    <row r="182" spans="1:17" x14ac:dyDescent="0.35">
      <c r="A182" t="s">
        <v>234</v>
      </c>
      <c r="B182" t="s">
        <v>23</v>
      </c>
      <c r="C182">
        <v>33</v>
      </c>
      <c r="D182" t="s">
        <v>38</v>
      </c>
      <c r="E182" t="s">
        <v>61</v>
      </c>
      <c r="F182" t="s">
        <v>28</v>
      </c>
      <c r="G182">
        <v>1.3</v>
      </c>
      <c r="H182">
        <v>0</v>
      </c>
      <c r="I182" t="str" cm="1">
        <f t="array" ref="I182">_xlfn.IFS(G182&lt;3, "0–2 Years", G182&lt;6, "3–5 Years", G182&lt;9, "6–8 Years", G182&lt;12, "9-11 Years", G182&gt;=12, "12-14 Years")</f>
        <v>0–2 Years</v>
      </c>
      <c r="J182">
        <v>3</v>
      </c>
      <c r="K182" t="s">
        <v>69</v>
      </c>
      <c r="L182">
        <v>75100</v>
      </c>
      <c r="M182">
        <v>7900</v>
      </c>
      <c r="N182">
        <v>83000</v>
      </c>
      <c r="O182" t="s">
        <v>21</v>
      </c>
      <c r="P182" s="3">
        <v>45541</v>
      </c>
      <c r="Q182" t="s">
        <v>28</v>
      </c>
    </row>
    <row r="183" spans="1:17" x14ac:dyDescent="0.35">
      <c r="A183" t="s">
        <v>235</v>
      </c>
      <c r="B183" t="s">
        <v>16</v>
      </c>
      <c r="C183">
        <v>45</v>
      </c>
      <c r="D183" t="s">
        <v>17</v>
      </c>
      <c r="E183" t="s">
        <v>27</v>
      </c>
      <c r="F183" t="s">
        <v>36</v>
      </c>
      <c r="G183">
        <v>1.5</v>
      </c>
      <c r="H183">
        <v>1.5</v>
      </c>
      <c r="I183" t="str" cm="1">
        <f t="array" ref="I183">_xlfn.IFS(G183&lt;3, "0–2 Years", G183&lt;6, "3–5 Years", G183&lt;9, "6–8 Years", G183&lt;12, "9-11 Years", G183&gt;=12, "12-14 Years")</f>
        <v>0–2 Years</v>
      </c>
      <c r="J183">
        <v>1</v>
      </c>
      <c r="K183" t="s">
        <v>20</v>
      </c>
      <c r="L183">
        <v>86500</v>
      </c>
      <c r="M183">
        <v>5000</v>
      </c>
      <c r="N183">
        <v>91500</v>
      </c>
      <c r="O183" t="s">
        <v>30</v>
      </c>
      <c r="P183" s="3">
        <v>45458</v>
      </c>
      <c r="Q183" t="s">
        <v>36</v>
      </c>
    </row>
    <row r="184" spans="1:17" x14ac:dyDescent="0.35">
      <c r="A184" t="s">
        <v>236</v>
      </c>
      <c r="B184" t="s">
        <v>16</v>
      </c>
      <c r="C184">
        <v>31</v>
      </c>
      <c r="D184" t="s">
        <v>38</v>
      </c>
      <c r="E184" t="s">
        <v>39</v>
      </c>
      <c r="F184" t="s">
        <v>19</v>
      </c>
      <c r="G184">
        <v>2.4</v>
      </c>
      <c r="H184">
        <v>0.9</v>
      </c>
      <c r="I184" t="str" cm="1">
        <f t="array" ref="I184">_xlfn.IFS(G184&lt;3, "0–2 Years", G184&lt;6, "3–5 Years", G184&lt;9, "6–8 Years", G184&lt;12, "9-11 Years", G184&gt;=12, "12-14 Years")</f>
        <v>0–2 Years</v>
      </c>
      <c r="J184">
        <v>3</v>
      </c>
      <c r="K184" t="s">
        <v>20</v>
      </c>
      <c r="L184">
        <v>68300</v>
      </c>
      <c r="M184">
        <v>2800</v>
      </c>
      <c r="N184">
        <v>71100</v>
      </c>
      <c r="O184" t="s">
        <v>21</v>
      </c>
      <c r="P184" s="3">
        <v>45164</v>
      </c>
      <c r="Q184" t="s">
        <v>19</v>
      </c>
    </row>
    <row r="185" spans="1:17" x14ac:dyDescent="0.35">
      <c r="A185" t="s">
        <v>237</v>
      </c>
      <c r="B185" t="s">
        <v>23</v>
      </c>
      <c r="C185">
        <v>29</v>
      </c>
      <c r="D185" t="s">
        <v>17</v>
      </c>
      <c r="E185" t="s">
        <v>18</v>
      </c>
      <c r="F185" t="s">
        <v>62</v>
      </c>
      <c r="G185">
        <v>7.8</v>
      </c>
      <c r="H185">
        <v>5.3</v>
      </c>
      <c r="I185" t="str" cm="1">
        <f t="array" ref="I185">_xlfn.IFS(G185&lt;3, "0–2 Years", G185&lt;6, "3–5 Years", G185&lt;9, "6–8 Years", G185&lt;12, "9-11 Years", G185&gt;=12, "12-14 Years")</f>
        <v>6–8 Years</v>
      </c>
      <c r="J185">
        <v>3</v>
      </c>
      <c r="K185" t="s">
        <v>20</v>
      </c>
      <c r="L185">
        <v>96700</v>
      </c>
      <c r="M185">
        <v>10700</v>
      </c>
      <c r="N185">
        <v>107400</v>
      </c>
      <c r="O185" t="s">
        <v>30</v>
      </c>
      <c r="P185" s="3">
        <v>43158</v>
      </c>
      <c r="Q185" t="s">
        <v>62</v>
      </c>
    </row>
    <row r="186" spans="1:17" x14ac:dyDescent="0.35">
      <c r="A186" t="s">
        <v>238</v>
      </c>
      <c r="B186" t="s">
        <v>16</v>
      </c>
      <c r="C186">
        <v>26</v>
      </c>
      <c r="D186" t="s">
        <v>38</v>
      </c>
      <c r="E186" t="s">
        <v>39</v>
      </c>
      <c r="F186" t="s">
        <v>36</v>
      </c>
      <c r="G186">
        <v>5.2</v>
      </c>
      <c r="H186">
        <v>4.3</v>
      </c>
      <c r="I186" t="str" cm="1">
        <f t="array" ref="I186">_xlfn.IFS(G186&lt;3, "0–2 Years", G186&lt;6, "3–5 Years", G186&lt;9, "6–8 Years", G186&lt;12, "9-11 Years", G186&gt;=12, "12-14 Years")</f>
        <v>3–5 Years</v>
      </c>
      <c r="J186">
        <v>4</v>
      </c>
      <c r="K186" t="s">
        <v>20</v>
      </c>
      <c r="L186">
        <v>77600</v>
      </c>
      <c r="M186">
        <v>8100</v>
      </c>
      <c r="N186">
        <v>85700</v>
      </c>
      <c r="O186" t="s">
        <v>21</v>
      </c>
      <c r="P186" s="3">
        <v>44123</v>
      </c>
      <c r="Q186" t="s">
        <v>36</v>
      </c>
    </row>
    <row r="187" spans="1:17" x14ac:dyDescent="0.35">
      <c r="A187" t="s">
        <v>239</v>
      </c>
      <c r="B187" t="s">
        <v>23</v>
      </c>
      <c r="C187">
        <v>42</v>
      </c>
      <c r="D187" t="s">
        <v>55</v>
      </c>
      <c r="E187" t="s">
        <v>56</v>
      </c>
      <c r="F187" t="s">
        <v>36</v>
      </c>
      <c r="G187">
        <v>1.8</v>
      </c>
      <c r="H187">
        <v>0.4</v>
      </c>
      <c r="I187" t="str" cm="1">
        <f t="array" ref="I187">_xlfn.IFS(G187&lt;3, "0–2 Years", G187&lt;6, "3–5 Years", G187&lt;9, "6–8 Years", G187&lt;12, "9-11 Years", G187&gt;=12, "12-14 Years")</f>
        <v>0–2 Years</v>
      </c>
      <c r="J187">
        <v>3</v>
      </c>
      <c r="K187" t="s">
        <v>20</v>
      </c>
      <c r="L187">
        <v>91700</v>
      </c>
      <c r="M187">
        <v>15900</v>
      </c>
      <c r="N187">
        <v>107600</v>
      </c>
      <c r="O187" t="s">
        <v>30</v>
      </c>
      <c r="P187" s="3">
        <v>45358</v>
      </c>
      <c r="Q187" t="s">
        <v>36</v>
      </c>
    </row>
    <row r="188" spans="1:17" x14ac:dyDescent="0.35">
      <c r="A188" t="s">
        <v>240</v>
      </c>
      <c r="B188" t="s">
        <v>23</v>
      </c>
      <c r="C188">
        <v>41</v>
      </c>
      <c r="D188" t="s">
        <v>34</v>
      </c>
      <c r="E188" t="s">
        <v>47</v>
      </c>
      <c r="F188" t="s">
        <v>36</v>
      </c>
      <c r="G188">
        <v>11.6</v>
      </c>
      <c r="H188">
        <v>6.4</v>
      </c>
      <c r="I188" t="str" cm="1">
        <f t="array" ref="I188">_xlfn.IFS(G188&lt;3, "0–2 Years", G188&lt;6, "3–5 Years", G188&lt;9, "6–8 Years", G188&lt;12, "9-11 Years", G188&gt;=12, "12-14 Years")</f>
        <v>9-11 Years</v>
      </c>
      <c r="J188">
        <v>4</v>
      </c>
      <c r="K188" t="s">
        <v>20</v>
      </c>
      <c r="L188">
        <v>91400</v>
      </c>
      <c r="M188">
        <v>10000</v>
      </c>
      <c r="N188">
        <v>101400</v>
      </c>
      <c r="O188" t="s">
        <v>30</v>
      </c>
      <c r="P188" s="3">
        <v>41781</v>
      </c>
      <c r="Q188" t="s">
        <v>36</v>
      </c>
    </row>
    <row r="189" spans="1:17" x14ac:dyDescent="0.35">
      <c r="A189" t="s">
        <v>241</v>
      </c>
      <c r="B189" t="s">
        <v>16</v>
      </c>
      <c r="C189">
        <v>31</v>
      </c>
      <c r="D189" t="s">
        <v>41</v>
      </c>
      <c r="E189" t="s">
        <v>42</v>
      </c>
      <c r="F189" t="s">
        <v>28</v>
      </c>
      <c r="G189">
        <v>9.3000000000000007</v>
      </c>
      <c r="H189">
        <v>6.9</v>
      </c>
      <c r="I189" t="str" cm="1">
        <f t="array" ref="I189">_xlfn.IFS(G189&lt;3, "0–2 Years", G189&lt;6, "3–5 Years", G189&lt;9, "6–8 Years", G189&lt;12, "9-11 Years", G189&gt;=12, "12-14 Years")</f>
        <v>9-11 Years</v>
      </c>
      <c r="J189">
        <v>4</v>
      </c>
      <c r="K189" t="s">
        <v>20</v>
      </c>
      <c r="L189">
        <v>80100</v>
      </c>
      <c r="M189">
        <v>4300</v>
      </c>
      <c r="N189">
        <v>84400</v>
      </c>
      <c r="O189" t="s">
        <v>30</v>
      </c>
      <c r="P189" s="3">
        <v>42619</v>
      </c>
      <c r="Q189" t="s">
        <v>28</v>
      </c>
    </row>
    <row r="190" spans="1:17" x14ac:dyDescent="0.35">
      <c r="A190" t="s">
        <v>242</v>
      </c>
      <c r="B190" t="s">
        <v>23</v>
      </c>
      <c r="C190">
        <v>38</v>
      </c>
      <c r="D190" t="s">
        <v>34</v>
      </c>
      <c r="E190" t="s">
        <v>59</v>
      </c>
      <c r="F190" t="s">
        <v>28</v>
      </c>
      <c r="G190">
        <v>2.9</v>
      </c>
      <c r="H190">
        <v>2.9</v>
      </c>
      <c r="I190" t="str" cm="1">
        <f t="array" ref="I190">_xlfn.IFS(G190&lt;3, "0–2 Years", G190&lt;6, "3–5 Years", G190&lt;9, "6–8 Years", G190&lt;12, "9-11 Years", G190&gt;=12, "12-14 Years")</f>
        <v>0–2 Years</v>
      </c>
      <c r="J190">
        <v>3</v>
      </c>
      <c r="K190" t="s">
        <v>69</v>
      </c>
      <c r="L190">
        <v>86800</v>
      </c>
      <c r="M190">
        <v>5400</v>
      </c>
      <c r="N190">
        <v>92200</v>
      </c>
      <c r="O190" t="s">
        <v>30</v>
      </c>
      <c r="P190" s="3">
        <v>44959</v>
      </c>
      <c r="Q190" t="s">
        <v>28</v>
      </c>
    </row>
    <row r="191" spans="1:17" x14ac:dyDescent="0.35">
      <c r="A191" t="s">
        <v>243</v>
      </c>
      <c r="B191" t="s">
        <v>16</v>
      </c>
      <c r="C191">
        <v>30</v>
      </c>
      <c r="D191" t="s">
        <v>38</v>
      </c>
      <c r="E191" t="s">
        <v>112</v>
      </c>
      <c r="F191" t="s">
        <v>28</v>
      </c>
      <c r="G191">
        <v>6.2</v>
      </c>
      <c r="H191">
        <v>4.9000000000000004</v>
      </c>
      <c r="I191" t="str" cm="1">
        <f t="array" ref="I191">_xlfn.IFS(G191&lt;3, "0–2 Years", G191&lt;6, "3–5 Years", G191&lt;9, "6–8 Years", G191&lt;12, "9-11 Years", G191&gt;=12, "12-14 Years")</f>
        <v>6–8 Years</v>
      </c>
      <c r="J191">
        <v>3</v>
      </c>
      <c r="K191" t="s">
        <v>20</v>
      </c>
      <c r="L191">
        <v>78300</v>
      </c>
      <c r="M191">
        <v>4900</v>
      </c>
      <c r="N191">
        <v>83200</v>
      </c>
      <c r="O191" t="s">
        <v>21</v>
      </c>
      <c r="P191" s="3">
        <v>43767</v>
      </c>
      <c r="Q191" t="s">
        <v>28</v>
      </c>
    </row>
    <row r="192" spans="1:17" x14ac:dyDescent="0.35">
      <c r="A192" t="s">
        <v>244</v>
      </c>
      <c r="B192" t="s">
        <v>23</v>
      </c>
      <c r="C192">
        <v>33</v>
      </c>
      <c r="D192" t="s">
        <v>44</v>
      </c>
      <c r="E192" t="s">
        <v>81</v>
      </c>
      <c r="F192" t="s">
        <v>28</v>
      </c>
      <c r="G192">
        <v>6.9</v>
      </c>
      <c r="H192">
        <v>2.9</v>
      </c>
      <c r="I192" t="str" cm="1">
        <f t="array" ref="I192">_xlfn.IFS(G192&lt;3, "0–2 Years", G192&lt;6, "3–5 Years", G192&lt;9, "6–8 Years", G192&lt;12, "9-11 Years", G192&gt;=12, "12-14 Years")</f>
        <v>6–8 Years</v>
      </c>
      <c r="J192">
        <v>3</v>
      </c>
      <c r="K192" t="s">
        <v>20</v>
      </c>
      <c r="L192">
        <v>93500</v>
      </c>
      <c r="M192">
        <v>11300</v>
      </c>
      <c r="N192">
        <v>104800</v>
      </c>
      <c r="O192" t="s">
        <v>30</v>
      </c>
      <c r="P192" s="3">
        <v>43487</v>
      </c>
      <c r="Q192" t="s">
        <v>28</v>
      </c>
    </row>
    <row r="193" spans="1:17" x14ac:dyDescent="0.35">
      <c r="A193" t="s">
        <v>245</v>
      </c>
      <c r="B193" t="s">
        <v>16</v>
      </c>
      <c r="C193">
        <v>29</v>
      </c>
      <c r="D193" t="s">
        <v>34</v>
      </c>
      <c r="E193" t="s">
        <v>47</v>
      </c>
      <c r="F193" t="s">
        <v>36</v>
      </c>
      <c r="G193">
        <v>5.0999999999999996</v>
      </c>
      <c r="H193">
        <v>3.3</v>
      </c>
      <c r="I193" t="str" cm="1">
        <f t="array" ref="I193">_xlfn.IFS(G193&lt;3, "0–2 Years", G193&lt;6, "3–5 Years", G193&lt;9, "6–8 Years", G193&lt;12, "9-11 Years", G193&gt;=12, "12-14 Years")</f>
        <v>3–5 Years</v>
      </c>
      <c r="J193">
        <v>3</v>
      </c>
      <c r="K193" t="s">
        <v>20</v>
      </c>
      <c r="L193">
        <v>82400</v>
      </c>
      <c r="M193">
        <v>9700</v>
      </c>
      <c r="N193">
        <v>92100</v>
      </c>
      <c r="O193" t="s">
        <v>30</v>
      </c>
      <c r="P193" s="3">
        <v>44167</v>
      </c>
      <c r="Q193" t="s">
        <v>36</v>
      </c>
    </row>
    <row r="194" spans="1:17" x14ac:dyDescent="0.35">
      <c r="A194" t="s">
        <v>246</v>
      </c>
      <c r="B194" t="s">
        <v>23</v>
      </c>
      <c r="C194">
        <v>33</v>
      </c>
      <c r="D194" t="s">
        <v>38</v>
      </c>
      <c r="E194" t="s">
        <v>39</v>
      </c>
      <c r="F194" t="s">
        <v>28</v>
      </c>
      <c r="G194">
        <v>2.2999999999999998</v>
      </c>
      <c r="H194">
        <v>1.8</v>
      </c>
      <c r="I194" t="str" cm="1">
        <f t="array" ref="I194">_xlfn.IFS(G194&lt;3, "0–2 Years", G194&lt;6, "3–5 Years", G194&lt;9, "6–8 Years", G194&lt;12, "9-11 Years", G194&gt;=12, "12-14 Years")</f>
        <v>0–2 Years</v>
      </c>
      <c r="J194">
        <v>4</v>
      </c>
      <c r="K194" t="s">
        <v>69</v>
      </c>
      <c r="L194">
        <v>61800</v>
      </c>
      <c r="M194">
        <v>5700</v>
      </c>
      <c r="N194">
        <v>67500</v>
      </c>
      <c r="O194" t="s">
        <v>25</v>
      </c>
      <c r="P194" s="3">
        <v>45191</v>
      </c>
      <c r="Q194" t="s">
        <v>28</v>
      </c>
    </row>
    <row r="195" spans="1:17" x14ac:dyDescent="0.35">
      <c r="A195" t="s">
        <v>247</v>
      </c>
      <c r="B195" t="s">
        <v>16</v>
      </c>
      <c r="C195">
        <v>27</v>
      </c>
      <c r="D195" t="s">
        <v>44</v>
      </c>
      <c r="E195" t="s">
        <v>51</v>
      </c>
      <c r="F195" t="s">
        <v>28</v>
      </c>
      <c r="G195">
        <v>9.8000000000000007</v>
      </c>
      <c r="H195">
        <v>6.2</v>
      </c>
      <c r="I195" t="str" cm="1">
        <f t="array" ref="I195">_xlfn.IFS(G195&lt;3, "0–2 Years", G195&lt;6, "3–5 Years", G195&lt;9, "6–8 Years", G195&lt;12, "9-11 Years", G195&gt;=12, "12-14 Years")</f>
        <v>9-11 Years</v>
      </c>
      <c r="J195">
        <v>3</v>
      </c>
      <c r="K195" t="s">
        <v>20</v>
      </c>
      <c r="L195">
        <v>77100</v>
      </c>
      <c r="M195">
        <v>7800</v>
      </c>
      <c r="N195">
        <v>84900</v>
      </c>
      <c r="O195" t="s">
        <v>21</v>
      </c>
      <c r="P195" s="3">
        <v>42439</v>
      </c>
      <c r="Q195" t="s">
        <v>28</v>
      </c>
    </row>
    <row r="196" spans="1:17" x14ac:dyDescent="0.35">
      <c r="A196" t="s">
        <v>248</v>
      </c>
      <c r="B196" t="s">
        <v>16</v>
      </c>
      <c r="C196">
        <v>37</v>
      </c>
      <c r="D196" t="s">
        <v>44</v>
      </c>
      <c r="E196" t="s">
        <v>45</v>
      </c>
      <c r="F196" t="s">
        <v>62</v>
      </c>
      <c r="G196">
        <v>6.1</v>
      </c>
      <c r="H196">
        <v>4.0999999999999996</v>
      </c>
      <c r="I196" t="str" cm="1">
        <f t="array" ref="I196">_xlfn.IFS(G196&lt;3, "0–2 Years", G196&lt;6, "3–5 Years", G196&lt;9, "6–8 Years", G196&lt;12, "9-11 Years", G196&gt;=12, "12-14 Years")</f>
        <v>6–8 Years</v>
      </c>
      <c r="J196">
        <v>3</v>
      </c>
      <c r="K196" t="s">
        <v>20</v>
      </c>
      <c r="L196">
        <v>79100</v>
      </c>
      <c r="M196">
        <v>6100</v>
      </c>
      <c r="N196">
        <v>85200</v>
      </c>
      <c r="O196" t="s">
        <v>21</v>
      </c>
      <c r="P196" s="3">
        <v>43780</v>
      </c>
      <c r="Q196" t="s">
        <v>62</v>
      </c>
    </row>
    <row r="197" spans="1:17" x14ac:dyDescent="0.35">
      <c r="A197" t="s">
        <v>249</v>
      </c>
      <c r="B197" t="s">
        <v>16</v>
      </c>
      <c r="C197">
        <v>40</v>
      </c>
      <c r="D197" t="s">
        <v>34</v>
      </c>
      <c r="E197" t="s">
        <v>59</v>
      </c>
      <c r="F197" t="s">
        <v>28</v>
      </c>
      <c r="G197">
        <v>10.6</v>
      </c>
      <c r="H197">
        <v>6.2</v>
      </c>
      <c r="I197" t="str" cm="1">
        <f t="array" ref="I197">_xlfn.IFS(G197&lt;3, "0–2 Years", G197&lt;6, "3–5 Years", G197&lt;9, "6–8 Years", G197&lt;12, "9-11 Years", G197&gt;=12, "12-14 Years")</f>
        <v>9-11 Years</v>
      </c>
      <c r="J197">
        <v>5</v>
      </c>
      <c r="K197" t="s">
        <v>20</v>
      </c>
      <c r="L197">
        <v>109100</v>
      </c>
      <c r="M197">
        <v>6700</v>
      </c>
      <c r="N197">
        <v>115800</v>
      </c>
      <c r="O197" t="s">
        <v>57</v>
      </c>
      <c r="P197" s="3">
        <v>42148</v>
      </c>
      <c r="Q197" t="s">
        <v>28</v>
      </c>
    </row>
    <row r="198" spans="1:17" x14ac:dyDescent="0.35">
      <c r="A198" t="s">
        <v>250</v>
      </c>
      <c r="B198" t="s">
        <v>23</v>
      </c>
      <c r="C198">
        <v>21</v>
      </c>
      <c r="D198" t="s">
        <v>41</v>
      </c>
      <c r="E198" t="s">
        <v>73</v>
      </c>
      <c r="F198" t="s">
        <v>28</v>
      </c>
      <c r="G198">
        <v>11.3</v>
      </c>
      <c r="H198">
        <v>8.3000000000000007</v>
      </c>
      <c r="I198" t="str" cm="1">
        <f t="array" ref="I198">_xlfn.IFS(G198&lt;3, "0–2 Years", G198&lt;6, "3–5 Years", G198&lt;9, "6–8 Years", G198&lt;12, "9-11 Years", G198&gt;=12, "12-14 Years")</f>
        <v>9-11 Years</v>
      </c>
      <c r="J198">
        <v>4</v>
      </c>
      <c r="K198" t="s">
        <v>20</v>
      </c>
      <c r="L198">
        <v>109900</v>
      </c>
      <c r="M198">
        <v>8500</v>
      </c>
      <c r="N198">
        <v>118400</v>
      </c>
      <c r="O198" t="s">
        <v>57</v>
      </c>
      <c r="P198" s="3">
        <v>41891</v>
      </c>
      <c r="Q198" t="s">
        <v>28</v>
      </c>
    </row>
    <row r="199" spans="1:17" x14ac:dyDescent="0.35">
      <c r="A199" t="s">
        <v>251</v>
      </c>
      <c r="B199" t="s">
        <v>23</v>
      </c>
      <c r="C199" s="7">
        <v>33</v>
      </c>
      <c r="D199" t="s">
        <v>55</v>
      </c>
      <c r="E199" t="s">
        <v>79</v>
      </c>
      <c r="F199" t="s">
        <v>36</v>
      </c>
      <c r="G199" s="9">
        <v>13.9</v>
      </c>
      <c r="H199" s="7">
        <v>7.9</v>
      </c>
      <c r="I199" t="str" cm="1">
        <f t="array" ref="I199">_xlfn.IFS(G199&lt;3, "0–2 Years", G199&lt;6, "3–5 Years", G199&lt;9, "6–8 Years", G199&lt;12, "9-11 Years", G199&gt;=12, "12-14 Years")</f>
        <v>12-14 Years</v>
      </c>
      <c r="J199" s="7">
        <v>3</v>
      </c>
      <c r="K199" t="s">
        <v>20</v>
      </c>
      <c r="L199" s="7">
        <v>76600</v>
      </c>
      <c r="M199" s="7">
        <v>8500</v>
      </c>
      <c r="N199" s="7">
        <v>85100</v>
      </c>
      <c r="O199" t="s">
        <v>21</v>
      </c>
      <c r="P199" s="3">
        <v>40948</v>
      </c>
      <c r="Q199" t="s">
        <v>36</v>
      </c>
    </row>
    <row r="200" spans="1:17" x14ac:dyDescent="0.35">
      <c r="A200" t="s">
        <v>252</v>
      </c>
      <c r="B200" t="s">
        <v>23</v>
      </c>
      <c r="C200">
        <v>46</v>
      </c>
      <c r="D200" t="s">
        <v>38</v>
      </c>
      <c r="E200" t="s">
        <v>61</v>
      </c>
      <c r="F200" t="s">
        <v>28</v>
      </c>
      <c r="G200">
        <v>5</v>
      </c>
      <c r="H200">
        <v>4.5999999999999996</v>
      </c>
      <c r="I200" t="str" cm="1">
        <f t="array" ref="I200">_xlfn.IFS(G200&lt;3, "0–2 Years", G200&lt;6, "3–5 Years", G200&lt;9, "6–8 Years", G200&lt;12, "9-11 Years", G200&gt;=12, "12-14 Years")</f>
        <v>3–5 Years</v>
      </c>
      <c r="J200">
        <v>3</v>
      </c>
      <c r="K200" t="s">
        <v>20</v>
      </c>
      <c r="L200">
        <v>100500</v>
      </c>
      <c r="M200">
        <v>6600</v>
      </c>
      <c r="N200">
        <v>107100</v>
      </c>
      <c r="O200" t="s">
        <v>57</v>
      </c>
      <c r="P200" s="3">
        <v>44205</v>
      </c>
      <c r="Q200" t="s">
        <v>28</v>
      </c>
    </row>
    <row r="201" spans="1:17" x14ac:dyDescent="0.35">
      <c r="A201" t="s">
        <v>253</v>
      </c>
      <c r="B201" t="s">
        <v>23</v>
      </c>
      <c r="C201">
        <v>38</v>
      </c>
      <c r="D201" t="s">
        <v>55</v>
      </c>
      <c r="E201" t="s">
        <v>92</v>
      </c>
      <c r="F201" t="s">
        <v>28</v>
      </c>
      <c r="G201">
        <v>2</v>
      </c>
      <c r="H201">
        <v>1.3</v>
      </c>
      <c r="I201" t="str" cm="1">
        <f t="array" ref="I201">_xlfn.IFS(G201&lt;3, "0–2 Years", G201&lt;6, "3–5 Years", G201&lt;9, "6–8 Years", G201&lt;12, "9-11 Years", G201&gt;=12, "12-14 Years")</f>
        <v>0–2 Years</v>
      </c>
      <c r="J201">
        <v>4</v>
      </c>
      <c r="K201" t="s">
        <v>20</v>
      </c>
      <c r="L201">
        <v>97400</v>
      </c>
      <c r="M201">
        <v>19700</v>
      </c>
      <c r="N201">
        <v>117100</v>
      </c>
      <c r="O201" t="s">
        <v>30</v>
      </c>
      <c r="P201" s="3">
        <v>45277</v>
      </c>
      <c r="Q201" t="s">
        <v>28</v>
      </c>
    </row>
    <row r="202" spans="1:17" x14ac:dyDescent="0.35">
      <c r="A202" t="s">
        <v>254</v>
      </c>
      <c r="B202" t="s">
        <v>16</v>
      </c>
      <c r="C202" s="7">
        <v>51</v>
      </c>
      <c r="D202" t="s">
        <v>41</v>
      </c>
      <c r="E202" t="s">
        <v>73</v>
      </c>
      <c r="F202" t="s">
        <v>36</v>
      </c>
      <c r="G202" s="9">
        <v>13</v>
      </c>
      <c r="H202" s="7">
        <v>10.5</v>
      </c>
      <c r="I202" t="str" cm="1">
        <f t="array" ref="I202">_xlfn.IFS(G202&lt;3, "0–2 Years", G202&lt;6, "3–5 Years", G202&lt;9, "6–8 Years", G202&lt;12, "9-11 Years", G202&gt;=12, "12-14 Years")</f>
        <v>12-14 Years</v>
      </c>
      <c r="J202" s="7">
        <v>4</v>
      </c>
      <c r="K202" t="s">
        <v>20</v>
      </c>
      <c r="L202" s="7">
        <v>107900</v>
      </c>
      <c r="M202" s="7">
        <v>9000</v>
      </c>
      <c r="N202" s="7">
        <v>116900</v>
      </c>
      <c r="O202" t="s">
        <v>57</v>
      </c>
      <c r="P202" s="3">
        <v>41258</v>
      </c>
      <c r="Q202" t="s">
        <v>36</v>
      </c>
    </row>
    <row r="203" spans="1:17" x14ac:dyDescent="0.35">
      <c r="A203" t="s">
        <v>255</v>
      </c>
      <c r="B203" t="s">
        <v>16</v>
      </c>
      <c r="C203">
        <v>39</v>
      </c>
      <c r="D203" t="s">
        <v>44</v>
      </c>
      <c r="E203" t="s">
        <v>81</v>
      </c>
      <c r="F203" t="s">
        <v>36</v>
      </c>
      <c r="G203">
        <v>2.9</v>
      </c>
      <c r="H203">
        <v>2.9</v>
      </c>
      <c r="I203" t="str" cm="1">
        <f t="array" ref="I203">_xlfn.IFS(G203&lt;3, "0–2 Years", G203&lt;6, "3–5 Years", G203&lt;9, "6–8 Years", G203&lt;12, "9-11 Years", G203&gt;=12, "12-14 Years")</f>
        <v>0–2 Years</v>
      </c>
      <c r="J203">
        <v>3</v>
      </c>
      <c r="K203" t="s">
        <v>20</v>
      </c>
      <c r="L203">
        <v>92200</v>
      </c>
      <c r="M203">
        <v>13800</v>
      </c>
      <c r="N203">
        <v>106000</v>
      </c>
      <c r="O203" t="s">
        <v>30</v>
      </c>
      <c r="P203" s="3">
        <v>44959</v>
      </c>
      <c r="Q203" t="s">
        <v>36</v>
      </c>
    </row>
    <row r="204" spans="1:17" x14ac:dyDescent="0.35">
      <c r="A204" t="s">
        <v>256</v>
      </c>
      <c r="B204" t="s">
        <v>16</v>
      </c>
      <c r="C204">
        <v>47</v>
      </c>
      <c r="D204" t="s">
        <v>34</v>
      </c>
      <c r="E204" t="s">
        <v>59</v>
      </c>
      <c r="F204" t="s">
        <v>28</v>
      </c>
      <c r="G204">
        <v>6.8</v>
      </c>
      <c r="H204">
        <v>2.8</v>
      </c>
      <c r="I204" t="str" cm="1">
        <f t="array" ref="I204">_xlfn.IFS(G204&lt;3, "0–2 Years", G204&lt;6, "3–5 Years", G204&lt;9, "6–8 Years", G204&lt;12, "9-11 Years", G204&gt;=12, "12-14 Years")</f>
        <v>6–8 Years</v>
      </c>
      <c r="J204">
        <v>3</v>
      </c>
      <c r="K204" t="s">
        <v>69</v>
      </c>
      <c r="L204">
        <v>89400</v>
      </c>
      <c r="M204">
        <v>10200</v>
      </c>
      <c r="N204">
        <v>99600</v>
      </c>
      <c r="O204" t="s">
        <v>30</v>
      </c>
      <c r="P204" s="3">
        <v>43548</v>
      </c>
      <c r="Q204" t="s">
        <v>28</v>
      </c>
    </row>
    <row r="205" spans="1:17" x14ac:dyDescent="0.35">
      <c r="A205" t="s">
        <v>257</v>
      </c>
      <c r="B205" t="s">
        <v>16</v>
      </c>
      <c r="C205">
        <v>36</v>
      </c>
      <c r="D205" t="s">
        <v>34</v>
      </c>
      <c r="E205" t="s">
        <v>47</v>
      </c>
      <c r="F205" t="s">
        <v>28</v>
      </c>
      <c r="G205">
        <v>8.1999999999999993</v>
      </c>
      <c r="H205">
        <v>6.4</v>
      </c>
      <c r="I205" t="str" cm="1">
        <f t="array" ref="I205">_xlfn.IFS(G205&lt;3, "0–2 Years", G205&lt;6, "3–5 Years", G205&lt;9, "6–8 Years", G205&lt;12, "9-11 Years", G205&gt;=12, "12-14 Years")</f>
        <v>6–8 Years</v>
      </c>
      <c r="J205">
        <v>1</v>
      </c>
      <c r="K205" t="s">
        <v>20</v>
      </c>
      <c r="L205">
        <v>70600</v>
      </c>
      <c r="M205">
        <v>8200</v>
      </c>
      <c r="N205">
        <v>78800</v>
      </c>
      <c r="O205" t="s">
        <v>21</v>
      </c>
      <c r="P205" s="3">
        <v>43026</v>
      </c>
      <c r="Q205" t="s">
        <v>28</v>
      </c>
    </row>
    <row r="206" spans="1:17" x14ac:dyDescent="0.35">
      <c r="A206" t="s">
        <v>258</v>
      </c>
      <c r="B206" t="s">
        <v>16</v>
      </c>
      <c r="C206">
        <v>34</v>
      </c>
      <c r="D206" t="s">
        <v>41</v>
      </c>
      <c r="E206" t="s">
        <v>67</v>
      </c>
      <c r="F206" t="s">
        <v>19</v>
      </c>
      <c r="G206">
        <v>8.1999999999999993</v>
      </c>
      <c r="H206">
        <v>7.7</v>
      </c>
      <c r="I206" t="str" cm="1">
        <f t="array" ref="I206">_xlfn.IFS(G206&lt;3, "0–2 Years", G206&lt;6, "3–5 Years", G206&lt;9, "6–8 Years", G206&lt;12, "9-11 Years", G206&gt;=12, "12-14 Years")</f>
        <v>6–8 Years</v>
      </c>
      <c r="J206">
        <v>4</v>
      </c>
      <c r="K206" t="s">
        <v>20</v>
      </c>
      <c r="L206">
        <v>67400</v>
      </c>
      <c r="M206">
        <v>3500</v>
      </c>
      <c r="N206">
        <v>70900</v>
      </c>
      <c r="O206" t="s">
        <v>21</v>
      </c>
      <c r="P206" s="3">
        <v>43032</v>
      </c>
      <c r="Q206" t="s">
        <v>19</v>
      </c>
    </row>
    <row r="207" spans="1:17" x14ac:dyDescent="0.35">
      <c r="A207" t="s">
        <v>259</v>
      </c>
      <c r="B207" t="s">
        <v>23</v>
      </c>
      <c r="C207" s="7">
        <v>30</v>
      </c>
      <c r="D207" t="s">
        <v>38</v>
      </c>
      <c r="E207" t="s">
        <v>61</v>
      </c>
      <c r="F207" t="s">
        <v>36</v>
      </c>
      <c r="G207" s="9">
        <v>13.6</v>
      </c>
      <c r="H207" s="7">
        <v>9.9</v>
      </c>
      <c r="I207" t="str" cm="1">
        <f t="array" ref="I207">_xlfn.IFS(G207&lt;3, "0–2 Years", G207&lt;6, "3–5 Years", G207&lt;9, "6–8 Years", G207&lt;12, "9-11 Years", G207&gt;=12, "12-14 Years")</f>
        <v>12-14 Years</v>
      </c>
      <c r="J207" s="7">
        <v>4</v>
      </c>
      <c r="K207" t="s">
        <v>20</v>
      </c>
      <c r="L207" s="7">
        <v>119300</v>
      </c>
      <c r="M207" s="7">
        <v>7000</v>
      </c>
      <c r="N207" s="7">
        <v>126300</v>
      </c>
      <c r="O207" t="s">
        <v>57</v>
      </c>
      <c r="P207" s="3">
        <v>41038</v>
      </c>
      <c r="Q207" t="s">
        <v>36</v>
      </c>
    </row>
    <row r="208" spans="1:17" x14ac:dyDescent="0.35">
      <c r="A208" t="s">
        <v>260</v>
      </c>
      <c r="B208" t="s">
        <v>23</v>
      </c>
      <c r="C208">
        <v>21</v>
      </c>
      <c r="D208" t="s">
        <v>38</v>
      </c>
      <c r="E208" t="s">
        <v>61</v>
      </c>
      <c r="F208" t="s">
        <v>19</v>
      </c>
      <c r="G208">
        <v>11.4</v>
      </c>
      <c r="H208">
        <v>8.1</v>
      </c>
      <c r="I208" t="str" cm="1">
        <f t="array" ref="I208">_xlfn.IFS(G208&lt;3, "0–2 Years", G208&lt;6, "3–5 Years", G208&lt;9, "6–8 Years", G208&lt;12, "9-11 Years", G208&gt;=12, "12-14 Years")</f>
        <v>9-11 Years</v>
      </c>
      <c r="J208">
        <v>3</v>
      </c>
      <c r="K208" t="s">
        <v>20</v>
      </c>
      <c r="L208">
        <v>116200</v>
      </c>
      <c r="M208">
        <v>5200</v>
      </c>
      <c r="N208">
        <v>121400</v>
      </c>
      <c r="O208" t="s">
        <v>57</v>
      </c>
      <c r="P208" s="3">
        <v>41861</v>
      </c>
      <c r="Q208" t="s">
        <v>19</v>
      </c>
    </row>
    <row r="209" spans="1:17" x14ac:dyDescent="0.35">
      <c r="A209" t="s">
        <v>261</v>
      </c>
      <c r="B209" t="s">
        <v>16</v>
      </c>
      <c r="C209">
        <v>41</v>
      </c>
      <c r="D209" t="s">
        <v>41</v>
      </c>
      <c r="E209" t="s">
        <v>73</v>
      </c>
      <c r="F209" t="s">
        <v>28</v>
      </c>
      <c r="G209">
        <v>9.3000000000000007</v>
      </c>
      <c r="H209">
        <v>6.2</v>
      </c>
      <c r="I209" t="str" cm="1">
        <f t="array" ref="I209">_xlfn.IFS(G209&lt;3, "0–2 Years", G209&lt;6, "3–5 Years", G209&lt;9, "6–8 Years", G209&lt;12, "9-11 Years", G209&gt;=12, "12-14 Years")</f>
        <v>9-11 Years</v>
      </c>
      <c r="J209">
        <v>3</v>
      </c>
      <c r="K209" t="s">
        <v>20</v>
      </c>
      <c r="L209">
        <v>114600</v>
      </c>
      <c r="M209">
        <v>7500</v>
      </c>
      <c r="N209">
        <v>122100</v>
      </c>
      <c r="O209" t="s">
        <v>57</v>
      </c>
      <c r="P209" s="3">
        <v>42619</v>
      </c>
      <c r="Q209" t="s">
        <v>28</v>
      </c>
    </row>
    <row r="210" spans="1:17" x14ac:dyDescent="0.35">
      <c r="A210" t="s">
        <v>262</v>
      </c>
      <c r="B210" t="s">
        <v>23</v>
      </c>
      <c r="C210">
        <v>33</v>
      </c>
      <c r="D210" t="s">
        <v>55</v>
      </c>
      <c r="E210" t="s">
        <v>56</v>
      </c>
      <c r="F210" t="s">
        <v>28</v>
      </c>
      <c r="G210">
        <v>7.6</v>
      </c>
      <c r="H210">
        <v>3.7</v>
      </c>
      <c r="I210" t="str" cm="1">
        <f t="array" ref="I210">_xlfn.IFS(G210&lt;3, "0–2 Years", G210&lt;6, "3–5 Years", G210&lt;9, "6–8 Years", G210&lt;12, "9-11 Years", G210&gt;=12, "12-14 Years")</f>
        <v>6–8 Years</v>
      </c>
      <c r="J210">
        <v>3</v>
      </c>
      <c r="K210" t="s">
        <v>20</v>
      </c>
      <c r="L210">
        <v>90100</v>
      </c>
      <c r="M210">
        <v>11800</v>
      </c>
      <c r="N210">
        <v>101900</v>
      </c>
      <c r="O210" t="s">
        <v>30</v>
      </c>
      <c r="P210" s="3">
        <v>43235</v>
      </c>
      <c r="Q210" t="s">
        <v>28</v>
      </c>
    </row>
    <row r="211" spans="1:17" x14ac:dyDescent="0.35">
      <c r="A211" t="s">
        <v>263</v>
      </c>
      <c r="B211" t="s">
        <v>23</v>
      </c>
      <c r="C211">
        <v>30</v>
      </c>
      <c r="D211" t="s">
        <v>34</v>
      </c>
      <c r="E211" t="s">
        <v>47</v>
      </c>
      <c r="F211" t="s">
        <v>28</v>
      </c>
      <c r="G211">
        <v>7</v>
      </c>
      <c r="H211">
        <v>5.3</v>
      </c>
      <c r="I211" t="str" cm="1">
        <f t="array" ref="I211">_xlfn.IFS(G211&lt;3, "0–2 Years", G211&lt;6, "3–5 Years", G211&lt;9, "6–8 Years", G211&lt;12, "9-11 Years", G211&gt;=12, "12-14 Years")</f>
        <v>6–8 Years</v>
      </c>
      <c r="J211">
        <v>4</v>
      </c>
      <c r="K211" t="s">
        <v>20</v>
      </c>
      <c r="L211">
        <v>83200</v>
      </c>
      <c r="M211">
        <v>5200</v>
      </c>
      <c r="N211">
        <v>88400</v>
      </c>
      <c r="O211" t="s">
        <v>30</v>
      </c>
      <c r="P211" s="3">
        <v>43449</v>
      </c>
      <c r="Q211" t="s">
        <v>28</v>
      </c>
    </row>
    <row r="212" spans="1:17" x14ac:dyDescent="0.35">
      <c r="A212" t="s">
        <v>264</v>
      </c>
      <c r="B212" t="s">
        <v>16</v>
      </c>
      <c r="C212">
        <v>31</v>
      </c>
      <c r="D212" t="s">
        <v>55</v>
      </c>
      <c r="E212" t="s">
        <v>92</v>
      </c>
      <c r="F212" t="s">
        <v>19</v>
      </c>
      <c r="G212">
        <v>11.3</v>
      </c>
      <c r="H212">
        <v>5.8</v>
      </c>
      <c r="I212" t="str" cm="1">
        <f t="array" ref="I212">_xlfn.IFS(G212&lt;3, "0–2 Years", G212&lt;6, "3–5 Years", G212&lt;9, "6–8 Years", G212&lt;12, "9-11 Years", G212&gt;=12, "12-14 Years")</f>
        <v>9-11 Years</v>
      </c>
      <c r="J212">
        <v>3</v>
      </c>
      <c r="K212" t="s">
        <v>20</v>
      </c>
      <c r="L212">
        <v>89500</v>
      </c>
      <c r="M212">
        <v>6500</v>
      </c>
      <c r="N212">
        <v>96000</v>
      </c>
      <c r="O212" t="s">
        <v>30</v>
      </c>
      <c r="P212" s="3">
        <v>41898</v>
      </c>
      <c r="Q212" t="s">
        <v>19</v>
      </c>
    </row>
    <row r="213" spans="1:17" x14ac:dyDescent="0.35">
      <c r="A213" t="s">
        <v>265</v>
      </c>
      <c r="B213" t="s">
        <v>23</v>
      </c>
      <c r="C213">
        <v>51</v>
      </c>
      <c r="D213" t="s">
        <v>55</v>
      </c>
      <c r="E213" t="s">
        <v>92</v>
      </c>
      <c r="F213" t="s">
        <v>36</v>
      </c>
      <c r="G213">
        <v>11.9</v>
      </c>
      <c r="H213">
        <v>9.9</v>
      </c>
      <c r="I213" t="str" cm="1">
        <f t="array" ref="I213">_xlfn.IFS(G213&lt;3, "0–2 Years", G213&lt;6, "3–5 Years", G213&lt;9, "6–8 Years", G213&lt;12, "9-11 Years", G213&gt;=12, "12-14 Years")</f>
        <v>9-11 Years</v>
      </c>
      <c r="J213">
        <v>2</v>
      </c>
      <c r="K213" t="s">
        <v>20</v>
      </c>
      <c r="L213">
        <v>98600</v>
      </c>
      <c r="M213">
        <v>14000</v>
      </c>
      <c r="N213">
        <v>112600</v>
      </c>
      <c r="O213" t="s">
        <v>30</v>
      </c>
      <c r="P213" s="3">
        <v>41668</v>
      </c>
      <c r="Q213" t="s">
        <v>36</v>
      </c>
    </row>
    <row r="214" spans="1:17" x14ac:dyDescent="0.35">
      <c r="A214" t="s">
        <v>266</v>
      </c>
      <c r="B214" t="s">
        <v>16</v>
      </c>
      <c r="C214">
        <v>39</v>
      </c>
      <c r="D214" t="s">
        <v>44</v>
      </c>
      <c r="E214" t="s">
        <v>81</v>
      </c>
      <c r="F214" t="s">
        <v>28</v>
      </c>
      <c r="G214">
        <v>9.1</v>
      </c>
      <c r="H214">
        <v>4.2</v>
      </c>
      <c r="I214" t="str" cm="1">
        <f t="array" ref="I214">_xlfn.IFS(G214&lt;3, "0–2 Years", G214&lt;6, "3–5 Years", G214&lt;9, "6–8 Years", G214&lt;12, "9-11 Years", G214&gt;=12, "12-14 Years")</f>
        <v>9-11 Years</v>
      </c>
      <c r="J214">
        <v>3</v>
      </c>
      <c r="K214" t="s">
        <v>20</v>
      </c>
      <c r="L214">
        <v>99500</v>
      </c>
      <c r="M214">
        <v>14400</v>
      </c>
      <c r="N214">
        <v>113900</v>
      </c>
      <c r="O214" t="s">
        <v>30</v>
      </c>
      <c r="P214" s="3">
        <v>42695</v>
      </c>
      <c r="Q214" t="s">
        <v>28</v>
      </c>
    </row>
    <row r="215" spans="1:17" x14ac:dyDescent="0.35">
      <c r="A215" t="s">
        <v>267</v>
      </c>
      <c r="B215" t="s">
        <v>16</v>
      </c>
      <c r="C215">
        <v>24</v>
      </c>
      <c r="D215" t="s">
        <v>34</v>
      </c>
      <c r="E215" t="s">
        <v>35</v>
      </c>
      <c r="F215" t="s">
        <v>19</v>
      </c>
      <c r="G215">
        <v>6.7</v>
      </c>
      <c r="H215">
        <v>3.2</v>
      </c>
      <c r="I215" t="str" cm="1">
        <f t="array" ref="I215">_xlfn.IFS(G215&lt;3, "0–2 Years", G215&lt;6, "3–5 Years", G215&lt;9, "6–8 Years", G215&lt;12, "9-11 Years", G215&gt;=12, "12-14 Years")</f>
        <v>6–8 Years</v>
      </c>
      <c r="J215">
        <v>1</v>
      </c>
      <c r="K215" t="s">
        <v>20</v>
      </c>
      <c r="L215">
        <v>66400</v>
      </c>
      <c r="M215">
        <v>4400</v>
      </c>
      <c r="N215">
        <v>70800</v>
      </c>
      <c r="O215" t="s">
        <v>21</v>
      </c>
      <c r="P215" s="3">
        <v>43568</v>
      </c>
      <c r="Q215" t="s">
        <v>19</v>
      </c>
    </row>
    <row r="216" spans="1:17" x14ac:dyDescent="0.35">
      <c r="A216" t="s">
        <v>268</v>
      </c>
      <c r="B216" t="s">
        <v>16</v>
      </c>
      <c r="C216">
        <v>31</v>
      </c>
      <c r="D216" t="s">
        <v>41</v>
      </c>
      <c r="E216" t="s">
        <v>67</v>
      </c>
      <c r="F216" t="s">
        <v>28</v>
      </c>
      <c r="G216">
        <v>4</v>
      </c>
      <c r="H216">
        <v>2.2999999999999998</v>
      </c>
      <c r="I216" t="str" cm="1">
        <f t="array" ref="I216">_xlfn.IFS(G216&lt;3, "0–2 Years", G216&lt;6, "3–5 Years", G216&lt;9, "6–8 Years", G216&lt;12, "9-11 Years", G216&gt;=12, "12-14 Years")</f>
        <v>3–5 Years</v>
      </c>
      <c r="J216">
        <v>4</v>
      </c>
      <c r="K216" t="s">
        <v>20</v>
      </c>
      <c r="L216">
        <v>68700</v>
      </c>
      <c r="M216">
        <v>4800</v>
      </c>
      <c r="N216">
        <v>73500</v>
      </c>
      <c r="O216" t="s">
        <v>21</v>
      </c>
      <c r="P216" s="3">
        <v>44570</v>
      </c>
      <c r="Q216" t="s">
        <v>28</v>
      </c>
    </row>
    <row r="217" spans="1:17" x14ac:dyDescent="0.35">
      <c r="A217" t="s">
        <v>269</v>
      </c>
      <c r="B217" t="s">
        <v>16</v>
      </c>
      <c r="C217" s="7">
        <v>41</v>
      </c>
      <c r="D217" t="s">
        <v>38</v>
      </c>
      <c r="E217" t="s">
        <v>39</v>
      </c>
      <c r="F217" t="s">
        <v>28</v>
      </c>
      <c r="G217" s="9">
        <v>13.9</v>
      </c>
      <c r="H217" s="7">
        <v>7.4</v>
      </c>
      <c r="I217" t="str" cm="1">
        <f t="array" ref="I217">_xlfn.IFS(G217&lt;3, "0–2 Years", G217&lt;6, "3–5 Years", G217&lt;9, "6–8 Years", G217&lt;12, "9-11 Years", G217&gt;=12, "12-14 Years")</f>
        <v>12-14 Years</v>
      </c>
      <c r="J217" s="7">
        <v>2</v>
      </c>
      <c r="K217" t="s">
        <v>20</v>
      </c>
      <c r="L217" s="7">
        <v>89200</v>
      </c>
      <c r="M217" s="7">
        <v>8700</v>
      </c>
      <c r="N217" s="7">
        <v>97900</v>
      </c>
      <c r="O217" t="s">
        <v>30</v>
      </c>
      <c r="P217" s="3">
        <v>40936</v>
      </c>
      <c r="Q217" t="s">
        <v>28</v>
      </c>
    </row>
    <row r="218" spans="1:17" x14ac:dyDescent="0.35">
      <c r="A218" t="s">
        <v>270</v>
      </c>
      <c r="B218" t="s">
        <v>16</v>
      </c>
      <c r="C218">
        <v>40</v>
      </c>
      <c r="D218" t="s">
        <v>41</v>
      </c>
      <c r="E218" t="s">
        <v>73</v>
      </c>
      <c r="F218" t="s">
        <v>28</v>
      </c>
      <c r="G218">
        <v>6.6</v>
      </c>
      <c r="H218">
        <v>4.0999999999999996</v>
      </c>
      <c r="I218" t="str" cm="1">
        <f t="array" ref="I218">_xlfn.IFS(G218&lt;3, "0–2 Years", G218&lt;6, "3–5 Years", G218&lt;9, "6–8 Years", G218&lt;12, "9-11 Years", G218&gt;=12, "12-14 Years")</f>
        <v>6–8 Years</v>
      </c>
      <c r="J218">
        <v>3</v>
      </c>
      <c r="K218" t="s">
        <v>20</v>
      </c>
      <c r="L218">
        <v>92500</v>
      </c>
      <c r="M218">
        <v>4300</v>
      </c>
      <c r="N218">
        <v>96800</v>
      </c>
      <c r="O218" t="s">
        <v>30</v>
      </c>
      <c r="P218" s="3">
        <v>43627</v>
      </c>
      <c r="Q218" t="s">
        <v>28</v>
      </c>
    </row>
    <row r="219" spans="1:17" x14ac:dyDescent="0.35">
      <c r="A219" t="s">
        <v>271</v>
      </c>
      <c r="B219" t="s">
        <v>16</v>
      </c>
      <c r="C219">
        <v>46</v>
      </c>
      <c r="D219" t="s">
        <v>44</v>
      </c>
      <c r="E219" t="s">
        <v>51</v>
      </c>
      <c r="F219" t="s">
        <v>36</v>
      </c>
      <c r="G219">
        <v>7.1</v>
      </c>
      <c r="H219">
        <v>6.6</v>
      </c>
      <c r="I219" t="str" cm="1">
        <f t="array" ref="I219">_xlfn.IFS(G219&lt;3, "0–2 Years", G219&lt;6, "3–5 Years", G219&lt;9, "6–8 Years", G219&lt;12, "9-11 Years", G219&gt;=12, "12-14 Years")</f>
        <v>6–8 Years</v>
      </c>
      <c r="J219">
        <v>4</v>
      </c>
      <c r="K219" t="s">
        <v>20</v>
      </c>
      <c r="L219">
        <v>97100</v>
      </c>
      <c r="M219">
        <v>10200</v>
      </c>
      <c r="N219">
        <v>107300</v>
      </c>
      <c r="O219" t="s">
        <v>30</v>
      </c>
      <c r="P219" s="3">
        <v>43441</v>
      </c>
      <c r="Q219" t="s">
        <v>36</v>
      </c>
    </row>
    <row r="220" spans="1:17" x14ac:dyDescent="0.35">
      <c r="A220" t="s">
        <v>272</v>
      </c>
      <c r="B220" t="s">
        <v>16</v>
      </c>
      <c r="C220">
        <v>30</v>
      </c>
      <c r="D220" t="s">
        <v>17</v>
      </c>
      <c r="E220" t="s">
        <v>18</v>
      </c>
      <c r="F220" t="s">
        <v>36</v>
      </c>
      <c r="G220">
        <v>5.4</v>
      </c>
      <c r="H220">
        <v>5.4</v>
      </c>
      <c r="I220" t="str" cm="1">
        <f t="array" ref="I220">_xlfn.IFS(G220&lt;3, "0–2 Years", G220&lt;6, "3–5 Years", G220&lt;9, "6–8 Years", G220&lt;12, "9-11 Years", G220&gt;=12, "12-14 Years")</f>
        <v>3–5 Years</v>
      </c>
      <c r="J220">
        <v>3</v>
      </c>
      <c r="K220" t="s">
        <v>20</v>
      </c>
      <c r="L220">
        <v>103700</v>
      </c>
      <c r="M220">
        <v>5600</v>
      </c>
      <c r="N220">
        <v>109300</v>
      </c>
      <c r="O220" t="s">
        <v>57</v>
      </c>
      <c r="P220" s="3">
        <v>44054</v>
      </c>
      <c r="Q220" t="s">
        <v>36</v>
      </c>
    </row>
    <row r="221" spans="1:17" x14ac:dyDescent="0.35">
      <c r="A221" t="s">
        <v>273</v>
      </c>
      <c r="B221" t="s">
        <v>23</v>
      </c>
      <c r="C221">
        <v>33</v>
      </c>
      <c r="D221" t="s">
        <v>38</v>
      </c>
      <c r="E221" t="s">
        <v>39</v>
      </c>
      <c r="F221" t="s">
        <v>36</v>
      </c>
      <c r="G221">
        <v>5.7</v>
      </c>
      <c r="H221">
        <v>3.3</v>
      </c>
      <c r="I221" t="str" cm="1">
        <f t="array" ref="I221">_xlfn.IFS(G221&lt;3, "0–2 Years", G221&lt;6, "3–5 Years", G221&lt;9, "6–8 Years", G221&lt;12, "9-11 Years", G221&gt;=12, "12-14 Years")</f>
        <v>3–5 Years</v>
      </c>
      <c r="J221">
        <v>4</v>
      </c>
      <c r="K221" t="s">
        <v>20</v>
      </c>
      <c r="L221">
        <v>85300</v>
      </c>
      <c r="M221">
        <v>4600</v>
      </c>
      <c r="N221">
        <v>89900</v>
      </c>
      <c r="O221" t="s">
        <v>30</v>
      </c>
      <c r="P221" s="3">
        <v>43939</v>
      </c>
      <c r="Q221" t="s">
        <v>36</v>
      </c>
    </row>
    <row r="222" spans="1:17" x14ac:dyDescent="0.35">
      <c r="A222" t="s">
        <v>274</v>
      </c>
      <c r="B222" t="s">
        <v>23</v>
      </c>
      <c r="C222" s="7">
        <v>40</v>
      </c>
      <c r="D222" t="s">
        <v>34</v>
      </c>
      <c r="E222" t="s">
        <v>35</v>
      </c>
      <c r="F222" t="s">
        <v>36</v>
      </c>
      <c r="G222" s="9">
        <v>13.4</v>
      </c>
      <c r="H222" s="7">
        <v>8.3000000000000007</v>
      </c>
      <c r="I222" t="str" cm="1">
        <f t="array" ref="I222">_xlfn.IFS(G222&lt;3, "0–2 Years", G222&lt;6, "3–5 Years", G222&lt;9, "6–8 Years", G222&lt;12, "9-11 Years", G222&gt;=12, "12-14 Years")</f>
        <v>12-14 Years</v>
      </c>
      <c r="J222" s="7">
        <v>3</v>
      </c>
      <c r="K222" t="s">
        <v>20</v>
      </c>
      <c r="L222" s="7">
        <v>83700</v>
      </c>
      <c r="M222" s="7">
        <v>8300</v>
      </c>
      <c r="N222" s="7">
        <v>92000</v>
      </c>
      <c r="O222" t="s">
        <v>30</v>
      </c>
      <c r="P222" s="3">
        <v>41136</v>
      </c>
      <c r="Q222" t="s">
        <v>36</v>
      </c>
    </row>
    <row r="223" spans="1:17" x14ac:dyDescent="0.35">
      <c r="A223" t="s">
        <v>275</v>
      </c>
      <c r="B223" t="s">
        <v>23</v>
      </c>
      <c r="C223">
        <v>22</v>
      </c>
      <c r="D223" t="s">
        <v>55</v>
      </c>
      <c r="E223" t="s">
        <v>79</v>
      </c>
      <c r="F223" t="s">
        <v>36</v>
      </c>
      <c r="G223">
        <v>2.2999999999999998</v>
      </c>
      <c r="H223">
        <v>1.1000000000000001</v>
      </c>
      <c r="I223" t="str" cm="1">
        <f t="array" ref="I223">_xlfn.IFS(G223&lt;3, "0–2 Years", G223&lt;6, "3–5 Years", G223&lt;9, "6–8 Years", G223&lt;12, "9-11 Years", G223&gt;=12, "12-14 Years")</f>
        <v>0–2 Years</v>
      </c>
      <c r="J223">
        <v>4</v>
      </c>
      <c r="K223" t="s">
        <v>20</v>
      </c>
      <c r="L223">
        <v>65200</v>
      </c>
      <c r="M223">
        <v>12900</v>
      </c>
      <c r="N223">
        <v>78100</v>
      </c>
      <c r="O223" t="s">
        <v>21</v>
      </c>
      <c r="P223" s="3">
        <v>45167</v>
      </c>
      <c r="Q223" t="s">
        <v>36</v>
      </c>
    </row>
    <row r="224" spans="1:17" x14ac:dyDescent="0.35">
      <c r="A224" t="s">
        <v>276</v>
      </c>
      <c r="B224" t="s">
        <v>23</v>
      </c>
      <c r="C224" s="7">
        <v>29</v>
      </c>
      <c r="D224" t="s">
        <v>55</v>
      </c>
      <c r="E224" t="s">
        <v>79</v>
      </c>
      <c r="F224" t="s">
        <v>28</v>
      </c>
      <c r="G224" s="9">
        <v>13.9</v>
      </c>
      <c r="H224" s="7">
        <v>9.4</v>
      </c>
      <c r="I224" t="str" cm="1">
        <f t="array" ref="I224">_xlfn.IFS(G224&lt;3, "0–2 Years", G224&lt;6, "3–5 Years", G224&lt;9, "6–8 Years", G224&lt;12, "9-11 Years", G224&gt;=12, "12-14 Years")</f>
        <v>12-14 Years</v>
      </c>
      <c r="J224" s="7">
        <v>4</v>
      </c>
      <c r="K224" t="s">
        <v>20</v>
      </c>
      <c r="L224" s="7">
        <v>65300</v>
      </c>
      <c r="M224" s="7">
        <v>11300</v>
      </c>
      <c r="N224" s="7">
        <v>76600</v>
      </c>
      <c r="O224" t="s">
        <v>21</v>
      </c>
      <c r="P224" s="3">
        <v>40946</v>
      </c>
      <c r="Q224" t="s">
        <v>28</v>
      </c>
    </row>
    <row r="225" spans="1:17" x14ac:dyDescent="0.35">
      <c r="A225" t="s">
        <v>277</v>
      </c>
      <c r="B225" t="s">
        <v>16</v>
      </c>
      <c r="C225">
        <v>40</v>
      </c>
      <c r="D225" t="s">
        <v>55</v>
      </c>
      <c r="E225" t="s">
        <v>79</v>
      </c>
      <c r="F225" t="s">
        <v>28</v>
      </c>
      <c r="G225">
        <v>8</v>
      </c>
      <c r="H225">
        <v>4.9000000000000004</v>
      </c>
      <c r="I225" t="str" cm="1">
        <f t="array" ref="I225">_xlfn.IFS(G225&lt;3, "0–2 Years", G225&lt;6, "3–5 Years", G225&lt;9, "6–8 Years", G225&lt;12, "9-11 Years", G225&gt;=12, "12-14 Years")</f>
        <v>6–8 Years</v>
      </c>
      <c r="J225">
        <v>3</v>
      </c>
      <c r="K225" t="s">
        <v>20</v>
      </c>
      <c r="L225">
        <v>65900</v>
      </c>
      <c r="M225">
        <v>7400</v>
      </c>
      <c r="N225">
        <v>73300</v>
      </c>
      <c r="O225" t="s">
        <v>21</v>
      </c>
      <c r="P225" s="3">
        <v>43089</v>
      </c>
      <c r="Q225" t="s">
        <v>28</v>
      </c>
    </row>
    <row r="226" spans="1:17" x14ac:dyDescent="0.35">
      <c r="A226" t="s">
        <v>278</v>
      </c>
      <c r="B226" t="s">
        <v>23</v>
      </c>
      <c r="C226">
        <v>27</v>
      </c>
      <c r="D226" t="s">
        <v>41</v>
      </c>
      <c r="E226" t="s">
        <v>73</v>
      </c>
      <c r="F226" t="s">
        <v>28</v>
      </c>
      <c r="G226">
        <v>9</v>
      </c>
      <c r="H226">
        <v>6.3</v>
      </c>
      <c r="I226" t="str" cm="1">
        <f t="array" ref="I226">_xlfn.IFS(G226&lt;3, "0–2 Years", G226&lt;6, "3–5 Years", G226&lt;9, "6–8 Years", G226&lt;12, "9-11 Years", G226&gt;=12, "12-14 Years")</f>
        <v>9-11 Years</v>
      </c>
      <c r="J226">
        <v>5</v>
      </c>
      <c r="K226" t="s">
        <v>20</v>
      </c>
      <c r="L226">
        <v>109400</v>
      </c>
      <c r="M226">
        <v>6400</v>
      </c>
      <c r="N226">
        <v>115800</v>
      </c>
      <c r="O226" t="s">
        <v>57</v>
      </c>
      <c r="P226" s="3">
        <v>42724</v>
      </c>
      <c r="Q226" t="s">
        <v>28</v>
      </c>
    </row>
    <row r="227" spans="1:17" x14ac:dyDescent="0.35">
      <c r="A227" t="s">
        <v>279</v>
      </c>
      <c r="B227" t="s">
        <v>16</v>
      </c>
      <c r="C227" s="7">
        <v>35</v>
      </c>
      <c r="D227" t="s">
        <v>55</v>
      </c>
      <c r="E227" t="s">
        <v>79</v>
      </c>
      <c r="F227" t="s">
        <v>36</v>
      </c>
      <c r="G227" s="9">
        <v>13.8</v>
      </c>
      <c r="H227" s="7">
        <v>10</v>
      </c>
      <c r="I227" t="str" cm="1">
        <f t="array" ref="I227">_xlfn.IFS(G227&lt;3, "0–2 Years", G227&lt;6, "3–5 Years", G227&lt;9, "6–8 Years", G227&lt;12, "9-11 Years", G227&gt;=12, "12-14 Years")</f>
        <v>12-14 Years</v>
      </c>
      <c r="J227" s="7">
        <v>4</v>
      </c>
      <c r="K227" t="s">
        <v>20</v>
      </c>
      <c r="L227" s="7">
        <v>73600</v>
      </c>
      <c r="M227" s="7">
        <v>6300</v>
      </c>
      <c r="N227" s="7">
        <v>79900</v>
      </c>
      <c r="O227" t="s">
        <v>21</v>
      </c>
      <c r="P227" s="3">
        <v>40980</v>
      </c>
      <c r="Q227" t="s">
        <v>36</v>
      </c>
    </row>
    <row r="228" spans="1:17" x14ac:dyDescent="0.35">
      <c r="A228" t="s">
        <v>280</v>
      </c>
      <c r="B228" t="s">
        <v>16</v>
      </c>
      <c r="C228" s="7">
        <v>45</v>
      </c>
      <c r="D228" t="s">
        <v>41</v>
      </c>
      <c r="E228" t="s">
        <v>73</v>
      </c>
      <c r="F228" t="s">
        <v>36</v>
      </c>
      <c r="G228" s="9">
        <v>12.5</v>
      </c>
      <c r="H228" s="7">
        <v>7.1</v>
      </c>
      <c r="I228" t="str" cm="1">
        <f t="array" ref="I228">_xlfn.IFS(G228&lt;3, "0–2 Years", G228&lt;6, "3–5 Years", G228&lt;9, "6–8 Years", G228&lt;12, "9-11 Years", G228&gt;=12, "12-14 Years")</f>
        <v>12-14 Years</v>
      </c>
      <c r="J228" s="7">
        <v>5</v>
      </c>
      <c r="K228" t="s">
        <v>69</v>
      </c>
      <c r="L228" s="7">
        <v>90200</v>
      </c>
      <c r="M228" s="7">
        <v>6600</v>
      </c>
      <c r="N228" s="7">
        <v>96800</v>
      </c>
      <c r="O228" t="s">
        <v>30</v>
      </c>
      <c r="P228" s="3">
        <v>41470</v>
      </c>
      <c r="Q228" t="s">
        <v>36</v>
      </c>
    </row>
    <row r="229" spans="1:17" x14ac:dyDescent="0.35">
      <c r="A229" t="s">
        <v>281</v>
      </c>
      <c r="B229" t="s">
        <v>23</v>
      </c>
      <c r="C229">
        <v>42</v>
      </c>
      <c r="D229" t="s">
        <v>44</v>
      </c>
      <c r="E229" t="s">
        <v>76</v>
      </c>
      <c r="F229" t="s">
        <v>28</v>
      </c>
      <c r="G229">
        <v>9</v>
      </c>
      <c r="H229">
        <v>5.5</v>
      </c>
      <c r="I229" t="str" cm="1">
        <f t="array" ref="I229">_xlfn.IFS(G229&lt;3, "0–2 Years", G229&lt;6, "3–5 Years", G229&lt;9, "6–8 Years", G229&lt;12, "9-11 Years", G229&gt;=12, "12-14 Years")</f>
        <v>9-11 Years</v>
      </c>
      <c r="J229">
        <v>3</v>
      </c>
      <c r="K229" t="s">
        <v>20</v>
      </c>
      <c r="L229">
        <v>127400</v>
      </c>
      <c r="M229">
        <v>14900</v>
      </c>
      <c r="N229">
        <v>142300</v>
      </c>
      <c r="O229" t="s">
        <v>57</v>
      </c>
      <c r="P229" s="3">
        <v>42725</v>
      </c>
      <c r="Q229" t="s">
        <v>28</v>
      </c>
    </row>
    <row r="230" spans="1:17" x14ac:dyDescent="0.35">
      <c r="A230" t="s">
        <v>282</v>
      </c>
      <c r="B230" t="s">
        <v>23</v>
      </c>
      <c r="C230">
        <v>42</v>
      </c>
      <c r="D230" t="s">
        <v>17</v>
      </c>
      <c r="E230" t="s">
        <v>18</v>
      </c>
      <c r="F230" t="s">
        <v>28</v>
      </c>
      <c r="G230">
        <v>1.2</v>
      </c>
      <c r="H230">
        <v>0</v>
      </c>
      <c r="I230" t="str" cm="1">
        <f t="array" ref="I230">_xlfn.IFS(G230&lt;3, "0–2 Years", G230&lt;6, "3–5 Years", G230&lt;9, "6–8 Years", G230&lt;12, "9-11 Years", G230&gt;=12, "12-14 Years")</f>
        <v>0–2 Years</v>
      </c>
      <c r="J230">
        <v>3</v>
      </c>
      <c r="K230" t="s">
        <v>20</v>
      </c>
      <c r="L230">
        <v>90100</v>
      </c>
      <c r="M230">
        <v>12000</v>
      </c>
      <c r="N230">
        <v>102100</v>
      </c>
      <c r="O230" t="s">
        <v>30</v>
      </c>
      <c r="P230" s="3">
        <v>45598</v>
      </c>
      <c r="Q230" t="s">
        <v>28</v>
      </c>
    </row>
    <row r="231" spans="1:17" x14ac:dyDescent="0.35">
      <c r="A231" t="s">
        <v>283</v>
      </c>
      <c r="B231" t="s">
        <v>16</v>
      </c>
      <c r="C231" s="7">
        <v>24</v>
      </c>
      <c r="D231" t="s">
        <v>44</v>
      </c>
      <c r="E231" t="s">
        <v>51</v>
      </c>
      <c r="F231" t="s">
        <v>36</v>
      </c>
      <c r="G231" s="9">
        <v>12.4</v>
      </c>
      <c r="H231" s="7">
        <v>6.3</v>
      </c>
      <c r="I231" t="str" cm="1">
        <f t="array" ref="I231">_xlfn.IFS(G231&lt;3, "0–2 Years", G231&lt;6, "3–5 Years", G231&lt;9, "6–8 Years", G231&lt;12, "9-11 Years", G231&gt;=12, "12-14 Years")</f>
        <v>12-14 Years</v>
      </c>
      <c r="J231" s="7">
        <v>2</v>
      </c>
      <c r="K231" t="s">
        <v>20</v>
      </c>
      <c r="L231" s="7">
        <v>89200</v>
      </c>
      <c r="M231" s="7">
        <v>6200</v>
      </c>
      <c r="N231" s="7">
        <v>95400</v>
      </c>
      <c r="O231" t="s">
        <v>30</v>
      </c>
      <c r="P231" s="3">
        <v>41476</v>
      </c>
      <c r="Q231" t="s">
        <v>36</v>
      </c>
    </row>
    <row r="232" spans="1:17" x14ac:dyDescent="0.35">
      <c r="A232" t="s">
        <v>284</v>
      </c>
      <c r="B232" t="s">
        <v>16</v>
      </c>
      <c r="C232">
        <v>25</v>
      </c>
      <c r="D232" t="s">
        <v>44</v>
      </c>
      <c r="E232" t="s">
        <v>45</v>
      </c>
      <c r="F232" t="s">
        <v>36</v>
      </c>
      <c r="G232">
        <v>10.9</v>
      </c>
      <c r="H232">
        <v>6.3</v>
      </c>
      <c r="I232" t="str" cm="1">
        <f t="array" ref="I232">_xlfn.IFS(G232&lt;3, "0–2 Years", G232&lt;6, "3–5 Years", G232&lt;9, "6–8 Years", G232&lt;12, "9-11 Years", G232&gt;=12, "12-14 Years")</f>
        <v>9-11 Years</v>
      </c>
      <c r="J232">
        <v>4</v>
      </c>
      <c r="K232" t="s">
        <v>20</v>
      </c>
      <c r="L232">
        <v>94200</v>
      </c>
      <c r="M232">
        <v>11700</v>
      </c>
      <c r="N232">
        <v>105900</v>
      </c>
      <c r="O232" t="s">
        <v>30</v>
      </c>
      <c r="P232" s="3">
        <v>42041</v>
      </c>
      <c r="Q232" t="s">
        <v>36</v>
      </c>
    </row>
    <row r="233" spans="1:17" x14ac:dyDescent="0.35">
      <c r="A233" t="s">
        <v>285</v>
      </c>
      <c r="B233" t="s">
        <v>23</v>
      </c>
      <c r="C233">
        <v>36</v>
      </c>
      <c r="D233" t="s">
        <v>34</v>
      </c>
      <c r="E233" t="s">
        <v>59</v>
      </c>
      <c r="F233" t="s">
        <v>28</v>
      </c>
      <c r="G233">
        <v>6.4</v>
      </c>
      <c r="H233">
        <v>4.0999999999999996</v>
      </c>
      <c r="I233" t="str" cm="1">
        <f t="array" ref="I233">_xlfn.IFS(G233&lt;3, "0–2 Years", G233&lt;6, "3–5 Years", G233&lt;9, "6–8 Years", G233&lt;12, "9-11 Years", G233&gt;=12, "12-14 Years")</f>
        <v>6–8 Years</v>
      </c>
      <c r="J233">
        <v>4</v>
      </c>
      <c r="K233" t="s">
        <v>20</v>
      </c>
      <c r="L233">
        <v>110500</v>
      </c>
      <c r="M233">
        <v>11200</v>
      </c>
      <c r="N233">
        <v>121700</v>
      </c>
      <c r="O233" t="s">
        <v>57</v>
      </c>
      <c r="P233" s="3">
        <v>43698</v>
      </c>
      <c r="Q233" t="s">
        <v>28</v>
      </c>
    </row>
    <row r="234" spans="1:17" x14ac:dyDescent="0.35">
      <c r="A234" t="s">
        <v>286</v>
      </c>
      <c r="B234" t="s">
        <v>16</v>
      </c>
      <c r="C234">
        <v>25</v>
      </c>
      <c r="D234" t="s">
        <v>44</v>
      </c>
      <c r="E234" t="s">
        <v>51</v>
      </c>
      <c r="F234" t="s">
        <v>28</v>
      </c>
      <c r="G234">
        <v>1.9</v>
      </c>
      <c r="H234">
        <v>1.1000000000000001</v>
      </c>
      <c r="I234" t="str" cm="1">
        <f t="array" ref="I234">_xlfn.IFS(G234&lt;3, "0–2 Years", G234&lt;6, "3–5 Years", G234&lt;9, "6–8 Years", G234&lt;12, "9-11 Years", G234&gt;=12, "12-14 Years")</f>
        <v>0–2 Years</v>
      </c>
      <c r="J234">
        <v>4</v>
      </c>
      <c r="K234" t="s">
        <v>20</v>
      </c>
      <c r="L234">
        <v>72400</v>
      </c>
      <c r="M234">
        <v>8500</v>
      </c>
      <c r="N234">
        <v>80900</v>
      </c>
      <c r="O234" t="s">
        <v>21</v>
      </c>
      <c r="P234" s="3">
        <v>45337</v>
      </c>
      <c r="Q234" t="s">
        <v>28</v>
      </c>
    </row>
    <row r="235" spans="1:17" x14ac:dyDescent="0.35">
      <c r="A235" t="s">
        <v>287</v>
      </c>
      <c r="B235" t="s">
        <v>16</v>
      </c>
      <c r="C235">
        <v>35</v>
      </c>
      <c r="D235" t="s">
        <v>41</v>
      </c>
      <c r="E235" t="s">
        <v>42</v>
      </c>
      <c r="F235" t="s">
        <v>19</v>
      </c>
      <c r="G235">
        <v>5.6</v>
      </c>
      <c r="H235">
        <v>3.6</v>
      </c>
      <c r="I235" t="str" cm="1">
        <f t="array" ref="I235">_xlfn.IFS(G235&lt;3, "0–2 Years", G235&lt;6, "3–5 Years", G235&lt;9, "6–8 Years", G235&lt;12, "9-11 Years", G235&gt;=12, "12-14 Years")</f>
        <v>3–5 Years</v>
      </c>
      <c r="J235">
        <v>2</v>
      </c>
      <c r="K235" t="s">
        <v>20</v>
      </c>
      <c r="L235">
        <v>62100</v>
      </c>
      <c r="M235">
        <v>5100</v>
      </c>
      <c r="N235">
        <v>67200</v>
      </c>
      <c r="O235" t="s">
        <v>25</v>
      </c>
      <c r="P235" s="3">
        <v>43976</v>
      </c>
      <c r="Q235" t="s">
        <v>19</v>
      </c>
    </row>
    <row r="236" spans="1:17" x14ac:dyDescent="0.35">
      <c r="A236" t="s">
        <v>288</v>
      </c>
      <c r="B236" t="s">
        <v>23</v>
      </c>
      <c r="C236">
        <v>48</v>
      </c>
      <c r="D236" t="s">
        <v>41</v>
      </c>
      <c r="E236" t="s">
        <v>67</v>
      </c>
      <c r="F236" t="s">
        <v>19</v>
      </c>
      <c r="G236">
        <v>4.5999999999999996</v>
      </c>
      <c r="H236">
        <v>0.7</v>
      </c>
      <c r="I236" t="str" cm="1">
        <f t="array" ref="I236">_xlfn.IFS(G236&lt;3, "0–2 Years", G236&lt;6, "3–5 Years", G236&lt;9, "6–8 Years", G236&lt;12, "9-11 Years", G236&gt;=12, "12-14 Years")</f>
        <v>3–5 Years</v>
      </c>
      <c r="J236">
        <v>4</v>
      </c>
      <c r="K236" t="s">
        <v>20</v>
      </c>
      <c r="L236">
        <v>69100</v>
      </c>
      <c r="M236">
        <v>6100</v>
      </c>
      <c r="N236">
        <v>75200</v>
      </c>
      <c r="O236" t="s">
        <v>21</v>
      </c>
      <c r="P236" s="3">
        <v>44336</v>
      </c>
      <c r="Q236" t="s">
        <v>19</v>
      </c>
    </row>
    <row r="237" spans="1:17" x14ac:dyDescent="0.35">
      <c r="A237" t="s">
        <v>289</v>
      </c>
      <c r="B237" t="s">
        <v>23</v>
      </c>
      <c r="C237">
        <v>36</v>
      </c>
      <c r="D237" t="s">
        <v>41</v>
      </c>
      <c r="E237" t="s">
        <v>67</v>
      </c>
      <c r="F237" t="s">
        <v>36</v>
      </c>
      <c r="G237">
        <v>10.5</v>
      </c>
      <c r="H237">
        <v>7.5</v>
      </c>
      <c r="I237" t="str" cm="1">
        <f t="array" ref="I237">_xlfn.IFS(G237&lt;3, "0–2 Years", G237&lt;6, "3–5 Years", G237&lt;9, "6–8 Years", G237&lt;12, "9-11 Years", G237&gt;=12, "12-14 Years")</f>
        <v>9-11 Years</v>
      </c>
      <c r="J237">
        <v>3</v>
      </c>
      <c r="K237" t="s">
        <v>20</v>
      </c>
      <c r="L237">
        <v>83300</v>
      </c>
      <c r="M237">
        <v>2900</v>
      </c>
      <c r="N237">
        <v>86200</v>
      </c>
      <c r="O237" t="s">
        <v>30</v>
      </c>
      <c r="P237" s="3">
        <v>42204</v>
      </c>
      <c r="Q237" t="s">
        <v>36</v>
      </c>
    </row>
    <row r="238" spans="1:17" x14ac:dyDescent="0.35">
      <c r="A238" t="s">
        <v>290</v>
      </c>
      <c r="B238" t="s">
        <v>16</v>
      </c>
      <c r="C238">
        <v>33</v>
      </c>
      <c r="D238" t="s">
        <v>41</v>
      </c>
      <c r="E238" t="s">
        <v>73</v>
      </c>
      <c r="F238" t="s">
        <v>19</v>
      </c>
      <c r="G238">
        <v>5</v>
      </c>
      <c r="H238">
        <v>3.9</v>
      </c>
      <c r="I238" t="str" cm="1">
        <f t="array" ref="I238">_xlfn.IFS(G238&lt;3, "0–2 Years", G238&lt;6, "3–5 Years", G238&lt;9, "6–8 Years", G238&lt;12, "9-11 Years", G238&gt;=12, "12-14 Years")</f>
        <v>3–5 Years</v>
      </c>
      <c r="J238">
        <v>2</v>
      </c>
      <c r="K238" t="s">
        <v>20</v>
      </c>
      <c r="L238">
        <v>96200</v>
      </c>
      <c r="M238">
        <v>3600</v>
      </c>
      <c r="N238">
        <v>99800</v>
      </c>
      <c r="O238" t="s">
        <v>30</v>
      </c>
      <c r="P238" s="3">
        <v>44202</v>
      </c>
      <c r="Q238" t="s">
        <v>19</v>
      </c>
    </row>
    <row r="239" spans="1:17" x14ac:dyDescent="0.35">
      <c r="A239" t="s">
        <v>291</v>
      </c>
      <c r="B239" t="s">
        <v>23</v>
      </c>
      <c r="C239" s="7">
        <v>27</v>
      </c>
      <c r="D239" t="s">
        <v>38</v>
      </c>
      <c r="E239" t="s">
        <v>112</v>
      </c>
      <c r="F239" t="s">
        <v>28</v>
      </c>
      <c r="G239" s="9">
        <v>12.8</v>
      </c>
      <c r="H239" s="7">
        <v>9</v>
      </c>
      <c r="I239" t="str" cm="1">
        <f t="array" ref="I239">_xlfn.IFS(G239&lt;3, "0–2 Years", G239&lt;6, "3–5 Years", G239&lt;9, "6–8 Years", G239&lt;12, "9-11 Years", G239&gt;=12, "12-14 Years")</f>
        <v>12-14 Years</v>
      </c>
      <c r="J239" s="7">
        <v>4</v>
      </c>
      <c r="K239" t="s">
        <v>24</v>
      </c>
      <c r="L239" s="7">
        <v>52400</v>
      </c>
      <c r="M239" s="7">
        <v>4800</v>
      </c>
      <c r="N239" s="7">
        <v>57200</v>
      </c>
      <c r="O239" t="s">
        <v>25</v>
      </c>
      <c r="P239" s="3">
        <v>41349</v>
      </c>
      <c r="Q239" t="s">
        <v>28</v>
      </c>
    </row>
    <row r="240" spans="1:17" x14ac:dyDescent="0.35">
      <c r="A240" t="s">
        <v>292</v>
      </c>
      <c r="B240" t="s">
        <v>23</v>
      </c>
      <c r="C240">
        <v>38</v>
      </c>
      <c r="D240" t="s">
        <v>44</v>
      </c>
      <c r="E240" t="s">
        <v>45</v>
      </c>
      <c r="F240" t="s">
        <v>36</v>
      </c>
      <c r="G240">
        <v>10.5</v>
      </c>
      <c r="H240">
        <v>5.7</v>
      </c>
      <c r="I240" t="str" cm="1">
        <f t="array" ref="I240">_xlfn.IFS(G240&lt;3, "0–2 Years", G240&lt;6, "3–5 Years", G240&lt;9, "6–8 Years", G240&lt;12, "9-11 Years", G240&gt;=12, "12-14 Years")</f>
        <v>9-11 Years</v>
      </c>
      <c r="J240">
        <v>3</v>
      </c>
      <c r="K240" t="s">
        <v>20</v>
      </c>
      <c r="L240">
        <v>92000</v>
      </c>
      <c r="M240">
        <v>11400</v>
      </c>
      <c r="N240">
        <v>103400</v>
      </c>
      <c r="O240" t="s">
        <v>30</v>
      </c>
      <c r="P240" s="3">
        <v>42175</v>
      </c>
      <c r="Q240" t="s">
        <v>36</v>
      </c>
    </row>
    <row r="241" spans="1:17" x14ac:dyDescent="0.35">
      <c r="A241" t="s">
        <v>293</v>
      </c>
      <c r="B241" t="s">
        <v>16</v>
      </c>
      <c r="C241">
        <v>39</v>
      </c>
      <c r="D241" t="s">
        <v>38</v>
      </c>
      <c r="E241" t="s">
        <v>112</v>
      </c>
      <c r="F241" t="s">
        <v>36</v>
      </c>
      <c r="G241">
        <v>3.1</v>
      </c>
      <c r="H241">
        <v>3.1</v>
      </c>
      <c r="I241" t="str" cm="1">
        <f t="array" ref="I241">_xlfn.IFS(G241&lt;3, "0–2 Years", G241&lt;6, "3–5 Years", G241&lt;9, "6–8 Years", G241&lt;12, "9-11 Years", G241&gt;=12, "12-14 Years")</f>
        <v>3–5 Years</v>
      </c>
      <c r="J241">
        <v>3</v>
      </c>
      <c r="K241" t="s">
        <v>20</v>
      </c>
      <c r="L241">
        <v>67900</v>
      </c>
      <c r="M241">
        <v>5100</v>
      </c>
      <c r="N241">
        <v>73000</v>
      </c>
      <c r="O241" t="s">
        <v>21</v>
      </c>
      <c r="P241" s="3">
        <v>44889</v>
      </c>
      <c r="Q241" t="s">
        <v>36</v>
      </c>
    </row>
    <row r="242" spans="1:17" x14ac:dyDescent="0.35">
      <c r="A242" t="s">
        <v>294</v>
      </c>
      <c r="B242" t="s">
        <v>23</v>
      </c>
      <c r="C242">
        <v>34</v>
      </c>
      <c r="D242" t="s">
        <v>44</v>
      </c>
      <c r="E242" t="s">
        <v>76</v>
      </c>
      <c r="F242" t="s">
        <v>28</v>
      </c>
      <c r="G242">
        <v>5.7</v>
      </c>
      <c r="H242">
        <v>1.5</v>
      </c>
      <c r="I242" t="str" cm="1">
        <f t="array" ref="I242">_xlfn.IFS(G242&lt;3, "0–2 Years", G242&lt;6, "3–5 Years", G242&lt;9, "6–8 Years", G242&lt;12, "9-11 Years", G242&gt;=12, "12-14 Years")</f>
        <v>3–5 Years</v>
      </c>
      <c r="J242">
        <v>5</v>
      </c>
      <c r="K242" t="s">
        <v>20</v>
      </c>
      <c r="L242">
        <v>98200</v>
      </c>
      <c r="M242">
        <v>5100</v>
      </c>
      <c r="N242">
        <v>103300</v>
      </c>
      <c r="O242" t="s">
        <v>30</v>
      </c>
      <c r="P242" s="3">
        <v>43931</v>
      </c>
      <c r="Q242" t="s">
        <v>28</v>
      </c>
    </row>
    <row r="243" spans="1:17" x14ac:dyDescent="0.35">
      <c r="A243" t="s">
        <v>295</v>
      </c>
      <c r="B243" t="s">
        <v>23</v>
      </c>
      <c r="C243">
        <v>39</v>
      </c>
      <c r="D243" t="s">
        <v>41</v>
      </c>
      <c r="E243" t="s">
        <v>42</v>
      </c>
      <c r="F243" t="s">
        <v>19</v>
      </c>
      <c r="G243">
        <v>3.6</v>
      </c>
      <c r="H243">
        <v>0.6</v>
      </c>
      <c r="I243" t="str" cm="1">
        <f t="array" ref="I243">_xlfn.IFS(G243&lt;3, "0–2 Years", G243&lt;6, "3–5 Years", G243&lt;9, "6–8 Years", G243&lt;12, "9-11 Years", G243&gt;=12, "12-14 Years")</f>
        <v>3–5 Years</v>
      </c>
      <c r="J243">
        <v>4</v>
      </c>
      <c r="K243" t="s">
        <v>20</v>
      </c>
      <c r="L243">
        <v>61000</v>
      </c>
      <c r="M243">
        <v>3000</v>
      </c>
      <c r="N243">
        <v>64000</v>
      </c>
      <c r="O243" t="s">
        <v>25</v>
      </c>
      <c r="P243" s="3">
        <v>44694</v>
      </c>
      <c r="Q243" t="s">
        <v>19</v>
      </c>
    </row>
    <row r="244" spans="1:17" x14ac:dyDescent="0.35">
      <c r="A244" t="s">
        <v>296</v>
      </c>
      <c r="B244" t="s">
        <v>16</v>
      </c>
      <c r="C244">
        <v>42</v>
      </c>
      <c r="D244" t="s">
        <v>55</v>
      </c>
      <c r="E244" t="s">
        <v>56</v>
      </c>
      <c r="F244" t="s">
        <v>36</v>
      </c>
      <c r="G244">
        <v>6.8</v>
      </c>
      <c r="H244">
        <v>5.2</v>
      </c>
      <c r="I244" t="str" cm="1">
        <f t="array" ref="I244">_xlfn.IFS(G244&lt;3, "0–2 Years", G244&lt;6, "3–5 Years", G244&lt;9, "6–8 Years", G244&lt;12, "9-11 Years", G244&gt;=12, "12-14 Years")</f>
        <v>6–8 Years</v>
      </c>
      <c r="J244">
        <v>5</v>
      </c>
      <c r="K244" t="s">
        <v>20</v>
      </c>
      <c r="L244">
        <v>101100</v>
      </c>
      <c r="M244">
        <v>7200</v>
      </c>
      <c r="N244">
        <v>108300</v>
      </c>
      <c r="O244" t="s">
        <v>57</v>
      </c>
      <c r="P244" s="3">
        <v>43535</v>
      </c>
      <c r="Q244" t="s">
        <v>36</v>
      </c>
    </row>
    <row r="245" spans="1:17" x14ac:dyDescent="0.35">
      <c r="A245" t="s">
        <v>297</v>
      </c>
      <c r="B245" t="s">
        <v>16</v>
      </c>
      <c r="C245">
        <v>37</v>
      </c>
      <c r="D245" t="s">
        <v>34</v>
      </c>
      <c r="E245" t="s">
        <v>59</v>
      </c>
      <c r="F245" t="s">
        <v>28</v>
      </c>
      <c r="G245">
        <v>4.9000000000000004</v>
      </c>
      <c r="H245">
        <v>2.4</v>
      </c>
      <c r="I245" t="str" cm="1">
        <f t="array" ref="I245">_xlfn.IFS(G245&lt;3, "0–2 Years", G245&lt;6, "3–5 Years", G245&lt;9, "6–8 Years", G245&lt;12, "9-11 Years", G245&gt;=12, "12-14 Years")</f>
        <v>3–5 Years</v>
      </c>
      <c r="J245">
        <v>4</v>
      </c>
      <c r="K245" t="s">
        <v>20</v>
      </c>
      <c r="L245">
        <v>93300</v>
      </c>
      <c r="M245">
        <v>7900</v>
      </c>
      <c r="N245">
        <v>101200</v>
      </c>
      <c r="O245" t="s">
        <v>30</v>
      </c>
      <c r="P245" s="3">
        <v>44234</v>
      </c>
      <c r="Q245" t="s">
        <v>28</v>
      </c>
    </row>
    <row r="246" spans="1:17" x14ac:dyDescent="0.35">
      <c r="A246" t="s">
        <v>298</v>
      </c>
      <c r="B246" t="s">
        <v>23</v>
      </c>
      <c r="C246">
        <v>44</v>
      </c>
      <c r="D246" t="s">
        <v>38</v>
      </c>
      <c r="E246" t="s">
        <v>61</v>
      </c>
      <c r="F246" t="s">
        <v>28</v>
      </c>
      <c r="G246">
        <v>2.1</v>
      </c>
      <c r="H246">
        <v>1.8</v>
      </c>
      <c r="I246" t="str" cm="1">
        <f t="array" ref="I246">_xlfn.IFS(G246&lt;3, "0–2 Years", G246&lt;6, "3–5 Years", G246&lt;9, "6–8 Years", G246&lt;12, "9-11 Years", G246&gt;=12, "12-14 Years")</f>
        <v>0–2 Years</v>
      </c>
      <c r="J246">
        <v>3</v>
      </c>
      <c r="K246" t="s">
        <v>20</v>
      </c>
      <c r="L246">
        <v>106800</v>
      </c>
      <c r="M246">
        <v>4600</v>
      </c>
      <c r="N246">
        <v>111400</v>
      </c>
      <c r="O246" t="s">
        <v>57</v>
      </c>
      <c r="P246" s="3">
        <v>45258</v>
      </c>
      <c r="Q246" t="s">
        <v>28</v>
      </c>
    </row>
    <row r="247" spans="1:17" x14ac:dyDescent="0.35">
      <c r="A247" t="s">
        <v>299</v>
      </c>
      <c r="B247" t="s">
        <v>16</v>
      </c>
      <c r="C247">
        <v>46</v>
      </c>
      <c r="D247" t="s">
        <v>38</v>
      </c>
      <c r="E247" t="s">
        <v>39</v>
      </c>
      <c r="F247" t="s">
        <v>36</v>
      </c>
      <c r="G247">
        <v>7.6</v>
      </c>
      <c r="H247">
        <v>6.4</v>
      </c>
      <c r="I247" t="str" cm="1">
        <f t="array" ref="I247">_xlfn.IFS(G247&lt;3, "0–2 Years", G247&lt;6, "3–5 Years", G247&lt;9, "6–8 Years", G247&lt;12, "9-11 Years", G247&gt;=12, "12-14 Years")</f>
        <v>6–8 Years</v>
      </c>
      <c r="J247">
        <v>3</v>
      </c>
      <c r="K247" t="s">
        <v>20</v>
      </c>
      <c r="L247">
        <v>90300</v>
      </c>
      <c r="M247">
        <v>4900</v>
      </c>
      <c r="N247">
        <v>95200</v>
      </c>
      <c r="O247" t="s">
        <v>30</v>
      </c>
      <c r="P247" s="3">
        <v>43259</v>
      </c>
      <c r="Q247" t="s">
        <v>36</v>
      </c>
    </row>
    <row r="248" spans="1:17" x14ac:dyDescent="0.35">
      <c r="A248" t="s">
        <v>300</v>
      </c>
      <c r="B248" t="s">
        <v>23</v>
      </c>
      <c r="C248" s="7">
        <v>40</v>
      </c>
      <c r="D248" t="s">
        <v>41</v>
      </c>
      <c r="E248" t="s">
        <v>42</v>
      </c>
      <c r="F248" t="s">
        <v>36</v>
      </c>
      <c r="G248" s="9">
        <v>14</v>
      </c>
      <c r="H248" s="7">
        <v>9.4</v>
      </c>
      <c r="I248" t="str" cm="1">
        <f t="array" ref="I248">_xlfn.IFS(G248&lt;3, "0–2 Years", G248&lt;6, "3–5 Years", G248&lt;9, "6–8 Years", G248&lt;12, "9-11 Years", G248&gt;=12, "12-14 Years")</f>
        <v>12-14 Years</v>
      </c>
      <c r="J248" s="7">
        <v>4</v>
      </c>
      <c r="K248" t="s">
        <v>20</v>
      </c>
      <c r="L248" s="7">
        <v>98300</v>
      </c>
      <c r="M248" s="7">
        <v>5000</v>
      </c>
      <c r="N248" s="7">
        <v>103300</v>
      </c>
      <c r="O248" t="s">
        <v>30</v>
      </c>
      <c r="P248" s="3">
        <v>40921</v>
      </c>
      <c r="Q248" t="s">
        <v>36</v>
      </c>
    </row>
    <row r="249" spans="1:17" x14ac:dyDescent="0.35">
      <c r="A249" t="s">
        <v>301</v>
      </c>
      <c r="B249" t="s">
        <v>23</v>
      </c>
      <c r="C249">
        <v>36</v>
      </c>
      <c r="D249" t="s">
        <v>55</v>
      </c>
      <c r="E249" t="s">
        <v>79</v>
      </c>
      <c r="F249" t="s">
        <v>36</v>
      </c>
      <c r="G249">
        <v>11.9</v>
      </c>
      <c r="H249">
        <v>9.3000000000000007</v>
      </c>
      <c r="I249" t="str" cm="1">
        <f t="array" ref="I249">_xlfn.IFS(G249&lt;3, "0–2 Years", G249&lt;6, "3–5 Years", G249&lt;9, "6–8 Years", G249&lt;12, "9-11 Years", G249&gt;=12, "12-14 Years")</f>
        <v>9-11 Years</v>
      </c>
      <c r="J249">
        <v>3</v>
      </c>
      <c r="K249" t="s">
        <v>20</v>
      </c>
      <c r="L249">
        <v>79600</v>
      </c>
      <c r="M249">
        <v>16500</v>
      </c>
      <c r="N249">
        <v>96100</v>
      </c>
      <c r="O249" t="s">
        <v>21</v>
      </c>
      <c r="P249" s="3">
        <v>41665</v>
      </c>
      <c r="Q249" t="s">
        <v>36</v>
      </c>
    </row>
    <row r="250" spans="1:17" x14ac:dyDescent="0.35">
      <c r="A250" t="s">
        <v>302</v>
      </c>
      <c r="B250" t="s">
        <v>23</v>
      </c>
      <c r="C250">
        <v>42</v>
      </c>
      <c r="D250" t="s">
        <v>34</v>
      </c>
      <c r="E250" t="s">
        <v>59</v>
      </c>
      <c r="F250" t="s">
        <v>62</v>
      </c>
      <c r="G250">
        <v>3.1</v>
      </c>
      <c r="H250">
        <v>0.9</v>
      </c>
      <c r="I250" t="str" cm="1">
        <f t="array" ref="I250">_xlfn.IFS(G250&lt;3, "0–2 Years", G250&lt;6, "3–5 Years", G250&lt;9, "6–8 Years", G250&lt;12, "9-11 Years", G250&gt;=12, "12-14 Years")</f>
        <v>3–5 Years</v>
      </c>
      <c r="J250">
        <v>4</v>
      </c>
      <c r="K250" t="s">
        <v>69</v>
      </c>
      <c r="L250">
        <v>88800</v>
      </c>
      <c r="M250">
        <v>8200</v>
      </c>
      <c r="N250">
        <v>97000</v>
      </c>
      <c r="O250" t="s">
        <v>30</v>
      </c>
      <c r="P250" s="3">
        <v>44896</v>
      </c>
      <c r="Q250" t="s">
        <v>62</v>
      </c>
    </row>
    <row r="251" spans="1:17" x14ac:dyDescent="0.35">
      <c r="A251" t="s">
        <v>303</v>
      </c>
      <c r="B251" t="s">
        <v>16</v>
      </c>
      <c r="C251">
        <v>34</v>
      </c>
      <c r="D251" t="s">
        <v>34</v>
      </c>
      <c r="E251" t="s">
        <v>59</v>
      </c>
      <c r="F251" t="s">
        <v>28</v>
      </c>
      <c r="G251">
        <v>4.3</v>
      </c>
      <c r="H251">
        <v>2.5</v>
      </c>
      <c r="I251" t="str" cm="1">
        <f t="array" ref="I251">_xlfn.IFS(G251&lt;3, "0–2 Years", G251&lt;6, "3–5 Years", G251&lt;9, "6–8 Years", G251&lt;12, "9-11 Years", G251&gt;=12, "12-14 Years")</f>
        <v>3–5 Years</v>
      </c>
      <c r="J251">
        <v>3</v>
      </c>
      <c r="K251" t="s">
        <v>20</v>
      </c>
      <c r="L251">
        <v>97600</v>
      </c>
      <c r="M251">
        <v>6600</v>
      </c>
      <c r="N251">
        <v>104200</v>
      </c>
      <c r="O251" t="s">
        <v>30</v>
      </c>
      <c r="P251" s="3">
        <v>44467</v>
      </c>
      <c r="Q251" t="s">
        <v>28</v>
      </c>
    </row>
    <row r="252" spans="1:17" x14ac:dyDescent="0.35">
      <c r="A252" t="s">
        <v>304</v>
      </c>
      <c r="B252" t="s">
        <v>23</v>
      </c>
      <c r="C252">
        <v>23</v>
      </c>
      <c r="D252" t="s">
        <v>17</v>
      </c>
      <c r="E252" t="s">
        <v>32</v>
      </c>
      <c r="F252" t="s">
        <v>28</v>
      </c>
      <c r="G252">
        <v>11.2</v>
      </c>
      <c r="H252">
        <v>5.5</v>
      </c>
      <c r="I252" t="str" cm="1">
        <f t="array" ref="I252">_xlfn.IFS(G252&lt;3, "0–2 Years", G252&lt;6, "3–5 Years", G252&lt;9, "6–8 Years", G252&lt;12, "9-11 Years", G252&gt;=12, "12-14 Years")</f>
        <v>9-11 Years</v>
      </c>
      <c r="J252">
        <v>5</v>
      </c>
      <c r="K252" t="s">
        <v>69</v>
      </c>
      <c r="L252">
        <v>64600</v>
      </c>
      <c r="M252">
        <v>6000</v>
      </c>
      <c r="N252">
        <v>70600</v>
      </c>
      <c r="O252" t="s">
        <v>25</v>
      </c>
      <c r="P252" s="3">
        <v>41917</v>
      </c>
      <c r="Q252" t="s">
        <v>28</v>
      </c>
    </row>
    <row r="253" spans="1:17" x14ac:dyDescent="0.35">
      <c r="A253" t="s">
        <v>305</v>
      </c>
      <c r="B253" t="s">
        <v>23</v>
      </c>
      <c r="C253">
        <v>48</v>
      </c>
      <c r="D253" t="s">
        <v>17</v>
      </c>
      <c r="E253" t="s">
        <v>27</v>
      </c>
      <c r="F253" t="s">
        <v>62</v>
      </c>
      <c r="G253">
        <v>10.6</v>
      </c>
      <c r="H253">
        <v>7.3</v>
      </c>
      <c r="I253" t="str" cm="1">
        <f t="array" ref="I253">_xlfn.IFS(G253&lt;3, "0–2 Years", G253&lt;6, "3–5 Years", G253&lt;9, "6–8 Years", G253&lt;12, "9-11 Years", G253&gt;=12, "12-14 Years")</f>
        <v>9-11 Years</v>
      </c>
      <c r="J253">
        <v>3</v>
      </c>
      <c r="K253" t="s">
        <v>20</v>
      </c>
      <c r="L253">
        <v>99200</v>
      </c>
      <c r="M253">
        <v>5000</v>
      </c>
      <c r="N253">
        <v>104200</v>
      </c>
      <c r="O253" t="s">
        <v>30</v>
      </c>
      <c r="P253" s="3">
        <v>42167</v>
      </c>
      <c r="Q253" t="s">
        <v>62</v>
      </c>
    </row>
    <row r="254" spans="1:17" x14ac:dyDescent="0.35">
      <c r="A254" t="s">
        <v>306</v>
      </c>
      <c r="B254" t="s">
        <v>16</v>
      </c>
      <c r="C254">
        <v>31</v>
      </c>
      <c r="D254" t="s">
        <v>38</v>
      </c>
      <c r="E254" t="s">
        <v>39</v>
      </c>
      <c r="F254" t="s">
        <v>19</v>
      </c>
      <c r="G254">
        <v>2.8</v>
      </c>
      <c r="H254">
        <v>2.8</v>
      </c>
      <c r="I254" t="str" cm="1">
        <f t="array" ref="I254">_xlfn.IFS(G254&lt;3, "0–2 Years", G254&lt;6, "3–5 Years", G254&lt;9, "6–8 Years", G254&lt;12, "9-11 Years", G254&gt;=12, "12-14 Years")</f>
        <v>0–2 Years</v>
      </c>
      <c r="J254">
        <v>3</v>
      </c>
      <c r="K254" t="s">
        <v>20</v>
      </c>
      <c r="L254">
        <v>75100</v>
      </c>
      <c r="M254">
        <v>4900</v>
      </c>
      <c r="N254">
        <v>80000</v>
      </c>
      <c r="O254" t="s">
        <v>21</v>
      </c>
      <c r="P254" s="3">
        <v>45005</v>
      </c>
      <c r="Q254" t="s">
        <v>19</v>
      </c>
    </row>
    <row r="255" spans="1:17" x14ac:dyDescent="0.35">
      <c r="A255" t="s">
        <v>307</v>
      </c>
      <c r="B255" t="s">
        <v>23</v>
      </c>
      <c r="C255">
        <v>47</v>
      </c>
      <c r="D255" t="s">
        <v>41</v>
      </c>
      <c r="E255" t="s">
        <v>42</v>
      </c>
      <c r="F255" t="s">
        <v>36</v>
      </c>
      <c r="G255">
        <v>10.3</v>
      </c>
      <c r="H255">
        <v>5.4</v>
      </c>
      <c r="I255" t="str" cm="1">
        <f t="array" ref="I255">_xlfn.IFS(G255&lt;3, "0–2 Years", G255&lt;6, "3–5 Years", G255&lt;9, "6–8 Years", G255&lt;12, "9-11 Years", G255&gt;=12, "12-14 Years")</f>
        <v>9-11 Years</v>
      </c>
      <c r="J255">
        <v>2</v>
      </c>
      <c r="K255" t="s">
        <v>24</v>
      </c>
      <c r="L255">
        <v>50700</v>
      </c>
      <c r="M255">
        <v>2200</v>
      </c>
      <c r="N255">
        <v>52900</v>
      </c>
      <c r="O255" t="s">
        <v>25</v>
      </c>
      <c r="P255" s="3">
        <v>42251</v>
      </c>
      <c r="Q255" t="s">
        <v>36</v>
      </c>
    </row>
    <row r="256" spans="1:17" x14ac:dyDescent="0.35">
      <c r="A256" t="s">
        <v>308</v>
      </c>
      <c r="B256" t="s">
        <v>23</v>
      </c>
      <c r="C256">
        <v>40</v>
      </c>
      <c r="D256" t="s">
        <v>44</v>
      </c>
      <c r="E256" t="s">
        <v>51</v>
      </c>
      <c r="F256" t="s">
        <v>28</v>
      </c>
      <c r="G256">
        <v>10.1</v>
      </c>
      <c r="H256">
        <v>4.4000000000000004</v>
      </c>
      <c r="I256" t="str" cm="1">
        <f t="array" ref="I256">_xlfn.IFS(G256&lt;3, "0–2 Years", G256&lt;6, "3–5 Years", G256&lt;9, "6–8 Years", G256&lt;12, "9-11 Years", G256&gt;=12, "12-14 Years")</f>
        <v>9-11 Years</v>
      </c>
      <c r="J256">
        <v>2</v>
      </c>
      <c r="K256" t="s">
        <v>20</v>
      </c>
      <c r="L256">
        <v>71000</v>
      </c>
      <c r="M256">
        <v>7600</v>
      </c>
      <c r="N256">
        <v>78600</v>
      </c>
      <c r="O256" t="s">
        <v>21</v>
      </c>
      <c r="P256" s="3">
        <v>42331</v>
      </c>
      <c r="Q256" t="s">
        <v>28</v>
      </c>
    </row>
    <row r="257" spans="1:17" x14ac:dyDescent="0.35">
      <c r="A257" t="s">
        <v>309</v>
      </c>
      <c r="B257" t="s">
        <v>23</v>
      </c>
      <c r="C257">
        <v>47</v>
      </c>
      <c r="D257" t="s">
        <v>41</v>
      </c>
      <c r="E257" t="s">
        <v>42</v>
      </c>
      <c r="F257" t="s">
        <v>28</v>
      </c>
      <c r="G257">
        <v>9.4</v>
      </c>
      <c r="H257">
        <v>7.1</v>
      </c>
      <c r="I257" t="str" cm="1">
        <f t="array" ref="I257">_xlfn.IFS(G257&lt;3, "0–2 Years", G257&lt;6, "3–5 Years", G257&lt;9, "6–8 Years", G257&lt;12, "9-11 Years", G257&gt;=12, "12-14 Years")</f>
        <v>9-11 Years</v>
      </c>
      <c r="J257">
        <v>4</v>
      </c>
      <c r="K257" t="s">
        <v>20</v>
      </c>
      <c r="L257">
        <v>72300</v>
      </c>
      <c r="M257">
        <v>2900</v>
      </c>
      <c r="N257">
        <v>75200</v>
      </c>
      <c r="O257" t="s">
        <v>21</v>
      </c>
      <c r="P257" s="3">
        <v>42572</v>
      </c>
      <c r="Q257" t="s">
        <v>28</v>
      </c>
    </row>
    <row r="258" spans="1:17" x14ac:dyDescent="0.35">
      <c r="A258" t="s">
        <v>310</v>
      </c>
      <c r="B258" t="s">
        <v>23</v>
      </c>
      <c r="C258">
        <v>40</v>
      </c>
      <c r="D258" t="s">
        <v>34</v>
      </c>
      <c r="E258" t="s">
        <v>59</v>
      </c>
      <c r="F258" t="s">
        <v>19</v>
      </c>
      <c r="G258">
        <v>2.5</v>
      </c>
      <c r="H258">
        <v>2.5</v>
      </c>
      <c r="I258" t="str" cm="1">
        <f t="array" ref="I258">_xlfn.IFS(G258&lt;3, "0–2 Years", G258&lt;6, "3–5 Years", G258&lt;9, "6–8 Years", G258&lt;12, "9-11 Years", G258&gt;=12, "12-14 Years")</f>
        <v>0–2 Years</v>
      </c>
      <c r="J258">
        <v>4</v>
      </c>
      <c r="K258" t="s">
        <v>20</v>
      </c>
      <c r="L258">
        <v>105700</v>
      </c>
      <c r="M258">
        <v>5800</v>
      </c>
      <c r="N258">
        <v>111500</v>
      </c>
      <c r="O258" t="s">
        <v>57</v>
      </c>
      <c r="P258" s="3">
        <v>45109</v>
      </c>
      <c r="Q258" t="s">
        <v>19</v>
      </c>
    </row>
    <row r="259" spans="1:17" x14ac:dyDescent="0.35">
      <c r="A259" t="s">
        <v>311</v>
      </c>
      <c r="B259" t="s">
        <v>23</v>
      </c>
      <c r="C259">
        <v>31</v>
      </c>
      <c r="D259" t="s">
        <v>17</v>
      </c>
      <c r="E259" t="s">
        <v>27</v>
      </c>
      <c r="F259" t="s">
        <v>19</v>
      </c>
      <c r="G259">
        <v>5.2</v>
      </c>
      <c r="H259">
        <v>1.8</v>
      </c>
      <c r="I259" t="str" cm="1">
        <f t="array" ref="I259">_xlfn.IFS(G259&lt;3, "0–2 Years", G259&lt;6, "3–5 Years", G259&lt;9, "6–8 Years", G259&lt;12, "9-11 Years", G259&gt;=12, "12-14 Years")</f>
        <v>3–5 Years</v>
      </c>
      <c r="J259">
        <v>2</v>
      </c>
      <c r="K259" t="s">
        <v>20</v>
      </c>
      <c r="L259">
        <v>72500</v>
      </c>
      <c r="M259">
        <v>4200</v>
      </c>
      <c r="N259">
        <v>76700</v>
      </c>
      <c r="O259" t="s">
        <v>21</v>
      </c>
      <c r="P259" s="3">
        <v>44118</v>
      </c>
      <c r="Q259" t="s">
        <v>19</v>
      </c>
    </row>
    <row r="260" spans="1:17" x14ac:dyDescent="0.35">
      <c r="A260" t="s">
        <v>312</v>
      </c>
      <c r="B260" t="s">
        <v>23</v>
      </c>
      <c r="C260">
        <v>41</v>
      </c>
      <c r="D260" t="s">
        <v>55</v>
      </c>
      <c r="E260" t="s">
        <v>56</v>
      </c>
      <c r="F260" t="s">
        <v>28</v>
      </c>
      <c r="G260">
        <v>9.1</v>
      </c>
      <c r="H260">
        <v>6.9</v>
      </c>
      <c r="I260" t="str" cm="1">
        <f t="array" ref="I260">_xlfn.IFS(G260&lt;3, "0–2 Years", G260&lt;6, "3–5 Years", G260&lt;9, "6–8 Years", G260&lt;12, "9-11 Years", G260&gt;=12, "12-14 Years")</f>
        <v>9-11 Years</v>
      </c>
      <c r="J260">
        <v>4</v>
      </c>
      <c r="K260" t="s">
        <v>20</v>
      </c>
      <c r="L260">
        <v>107000</v>
      </c>
      <c r="M260">
        <v>9000</v>
      </c>
      <c r="N260">
        <v>116000</v>
      </c>
      <c r="O260" t="s">
        <v>57</v>
      </c>
      <c r="P260" s="3">
        <v>42688</v>
      </c>
      <c r="Q260" t="s">
        <v>28</v>
      </c>
    </row>
    <row r="261" spans="1:17" x14ac:dyDescent="0.35">
      <c r="A261" t="s">
        <v>313</v>
      </c>
      <c r="B261" t="s">
        <v>16</v>
      </c>
      <c r="C261">
        <v>48</v>
      </c>
      <c r="D261" t="s">
        <v>55</v>
      </c>
      <c r="E261" t="s">
        <v>56</v>
      </c>
      <c r="F261" t="s">
        <v>28</v>
      </c>
      <c r="G261">
        <v>8</v>
      </c>
      <c r="H261">
        <v>6.4</v>
      </c>
      <c r="I261" t="str" cm="1">
        <f t="array" ref="I261">_xlfn.IFS(G261&lt;3, "0–2 Years", G261&lt;6, "3–5 Years", G261&lt;9, "6–8 Years", G261&lt;12, "9-11 Years", G261&gt;=12, "12-14 Years")</f>
        <v>6–8 Years</v>
      </c>
      <c r="J261">
        <v>4</v>
      </c>
      <c r="K261" t="s">
        <v>69</v>
      </c>
      <c r="L261">
        <v>90400</v>
      </c>
      <c r="M261">
        <v>12300</v>
      </c>
      <c r="N261">
        <v>102700</v>
      </c>
      <c r="O261" t="s">
        <v>30</v>
      </c>
      <c r="P261" s="3">
        <v>43089</v>
      </c>
      <c r="Q261" t="s">
        <v>28</v>
      </c>
    </row>
    <row r="262" spans="1:17" x14ac:dyDescent="0.35">
      <c r="A262" t="s">
        <v>314</v>
      </c>
      <c r="B262" t="s">
        <v>23</v>
      </c>
      <c r="C262">
        <v>53</v>
      </c>
      <c r="D262" t="s">
        <v>34</v>
      </c>
      <c r="E262" t="s">
        <v>35</v>
      </c>
      <c r="F262" t="s">
        <v>36</v>
      </c>
      <c r="G262">
        <v>10.1</v>
      </c>
      <c r="H262">
        <v>7.1</v>
      </c>
      <c r="I262" t="str" cm="1">
        <f t="array" ref="I262">_xlfn.IFS(G262&lt;3, "0–2 Years", G262&lt;6, "3–5 Years", G262&lt;9, "6–8 Years", G262&lt;12, "9-11 Years", G262&gt;=12, "12-14 Years")</f>
        <v>9-11 Years</v>
      </c>
      <c r="J262">
        <v>4</v>
      </c>
      <c r="K262" t="s">
        <v>24</v>
      </c>
      <c r="L262">
        <v>53500</v>
      </c>
      <c r="M262">
        <v>4700</v>
      </c>
      <c r="N262">
        <v>58200</v>
      </c>
      <c r="O262" t="s">
        <v>25</v>
      </c>
      <c r="P262" s="3">
        <v>42318</v>
      </c>
      <c r="Q262" t="s">
        <v>36</v>
      </c>
    </row>
    <row r="263" spans="1:17" x14ac:dyDescent="0.35">
      <c r="A263" t="s">
        <v>315</v>
      </c>
      <c r="B263" t="s">
        <v>16</v>
      </c>
      <c r="C263" s="7">
        <v>40</v>
      </c>
      <c r="D263" t="s">
        <v>38</v>
      </c>
      <c r="E263" t="s">
        <v>61</v>
      </c>
      <c r="F263" t="s">
        <v>19</v>
      </c>
      <c r="G263" s="9">
        <v>12.9</v>
      </c>
      <c r="H263" s="7">
        <v>9.1999999999999993</v>
      </c>
      <c r="I263" t="str" cm="1">
        <f t="array" ref="I263">_xlfn.IFS(G263&lt;3, "0–2 Years", G263&lt;6, "3–5 Years", G263&lt;9, "6–8 Years", G263&lt;12, "9-11 Years", G263&gt;=12, "12-14 Years")</f>
        <v>12-14 Years</v>
      </c>
      <c r="J263" s="7">
        <v>2</v>
      </c>
      <c r="K263" t="s">
        <v>20</v>
      </c>
      <c r="L263" s="7">
        <v>116400</v>
      </c>
      <c r="M263" s="7">
        <v>8200</v>
      </c>
      <c r="N263" s="7">
        <v>124600</v>
      </c>
      <c r="O263" t="s">
        <v>57</v>
      </c>
      <c r="P263" s="3">
        <v>41321</v>
      </c>
      <c r="Q263" t="s">
        <v>19</v>
      </c>
    </row>
    <row r="264" spans="1:17" x14ac:dyDescent="0.35">
      <c r="A264" t="s">
        <v>316</v>
      </c>
      <c r="B264" t="s">
        <v>23</v>
      </c>
      <c r="C264">
        <v>34</v>
      </c>
      <c r="D264" t="s">
        <v>17</v>
      </c>
      <c r="E264" t="s">
        <v>32</v>
      </c>
      <c r="F264" t="s">
        <v>28</v>
      </c>
      <c r="G264">
        <v>6.6</v>
      </c>
      <c r="H264">
        <v>4.4000000000000004</v>
      </c>
      <c r="I264" t="str" cm="1">
        <f t="array" ref="I264">_xlfn.IFS(G264&lt;3, "0–2 Years", G264&lt;6, "3–5 Years", G264&lt;9, "6–8 Years", G264&lt;12, "9-11 Years", G264&gt;=12, "12-14 Years")</f>
        <v>6–8 Years</v>
      </c>
      <c r="J264">
        <v>4</v>
      </c>
      <c r="K264" t="s">
        <v>20</v>
      </c>
      <c r="L264">
        <v>70800</v>
      </c>
      <c r="M264">
        <v>8300</v>
      </c>
      <c r="N264">
        <v>79100</v>
      </c>
      <c r="O264" t="s">
        <v>21</v>
      </c>
      <c r="P264" s="3">
        <v>43612</v>
      </c>
      <c r="Q264" t="s">
        <v>28</v>
      </c>
    </row>
    <row r="265" spans="1:17" x14ac:dyDescent="0.35">
      <c r="A265" t="s">
        <v>317</v>
      </c>
      <c r="B265" t="s">
        <v>16</v>
      </c>
      <c r="C265">
        <v>28</v>
      </c>
      <c r="D265" t="s">
        <v>41</v>
      </c>
      <c r="E265" t="s">
        <v>73</v>
      </c>
      <c r="F265" t="s">
        <v>28</v>
      </c>
      <c r="G265">
        <v>1.1000000000000001</v>
      </c>
      <c r="H265">
        <v>0.9</v>
      </c>
      <c r="I265" t="str" cm="1">
        <f t="array" ref="I265">_xlfn.IFS(G265&lt;3, "0–2 Years", G265&lt;6, "3–5 Years", G265&lt;9, "6–8 Years", G265&lt;12, "9-11 Years", G265&gt;=12, "12-14 Years")</f>
        <v>0–2 Years</v>
      </c>
      <c r="J265">
        <v>4</v>
      </c>
      <c r="K265" t="s">
        <v>69</v>
      </c>
      <c r="L265">
        <v>77100</v>
      </c>
      <c r="M265">
        <v>6100</v>
      </c>
      <c r="N265">
        <v>83200</v>
      </c>
      <c r="O265" t="s">
        <v>21</v>
      </c>
      <c r="P265" s="3">
        <v>45632</v>
      </c>
      <c r="Q265" t="s">
        <v>28</v>
      </c>
    </row>
    <row r="266" spans="1:17" x14ac:dyDescent="0.35">
      <c r="A266" t="s">
        <v>318</v>
      </c>
      <c r="B266" t="s">
        <v>23</v>
      </c>
      <c r="C266">
        <v>36</v>
      </c>
      <c r="D266" t="s">
        <v>38</v>
      </c>
      <c r="E266" t="s">
        <v>39</v>
      </c>
      <c r="F266" t="s">
        <v>36</v>
      </c>
      <c r="G266">
        <v>3.8</v>
      </c>
      <c r="H266">
        <v>0.6</v>
      </c>
      <c r="I266" t="str" cm="1">
        <f t="array" ref="I266">_xlfn.IFS(G266&lt;3, "0–2 Years", G266&lt;6, "3–5 Years", G266&lt;9, "6–8 Years", G266&lt;12, "9-11 Years", G266&gt;=12, "12-14 Years")</f>
        <v>3–5 Years</v>
      </c>
      <c r="J266">
        <v>3</v>
      </c>
      <c r="K266" t="s">
        <v>20</v>
      </c>
      <c r="L266">
        <v>86900</v>
      </c>
      <c r="M266">
        <v>3700</v>
      </c>
      <c r="N266">
        <v>90600</v>
      </c>
      <c r="O266" t="s">
        <v>30</v>
      </c>
      <c r="P266" s="3">
        <v>44636</v>
      </c>
      <c r="Q266" t="s">
        <v>36</v>
      </c>
    </row>
    <row r="267" spans="1:17" x14ac:dyDescent="0.35">
      <c r="A267" t="s">
        <v>319</v>
      </c>
      <c r="B267" t="s">
        <v>23</v>
      </c>
      <c r="C267">
        <v>36</v>
      </c>
      <c r="D267" t="s">
        <v>41</v>
      </c>
      <c r="E267" t="s">
        <v>73</v>
      </c>
      <c r="F267" t="s">
        <v>28</v>
      </c>
      <c r="G267">
        <v>7.2</v>
      </c>
      <c r="H267">
        <v>3.4</v>
      </c>
      <c r="I267" t="str" cm="1">
        <f t="array" ref="I267">_xlfn.IFS(G267&lt;3, "0–2 Years", G267&lt;6, "3–5 Years", G267&lt;9, "6–8 Years", G267&lt;12, "9-11 Years", G267&gt;=12, "12-14 Years")</f>
        <v>6–8 Years</v>
      </c>
      <c r="J267">
        <v>4</v>
      </c>
      <c r="K267" t="s">
        <v>20</v>
      </c>
      <c r="L267">
        <v>100200</v>
      </c>
      <c r="M267">
        <v>3400</v>
      </c>
      <c r="N267">
        <v>103600</v>
      </c>
      <c r="O267" t="s">
        <v>57</v>
      </c>
      <c r="P267" s="3">
        <v>43404</v>
      </c>
      <c r="Q267" t="s">
        <v>28</v>
      </c>
    </row>
    <row r="268" spans="1:17" x14ac:dyDescent="0.35">
      <c r="A268" t="s">
        <v>320</v>
      </c>
      <c r="B268" t="s">
        <v>16</v>
      </c>
      <c r="C268">
        <v>32</v>
      </c>
      <c r="D268" t="s">
        <v>38</v>
      </c>
      <c r="E268" t="s">
        <v>39</v>
      </c>
      <c r="F268" t="s">
        <v>28</v>
      </c>
      <c r="G268">
        <v>9.1</v>
      </c>
      <c r="H268">
        <v>7.7</v>
      </c>
      <c r="I268" t="str" cm="1">
        <f t="array" ref="I268">_xlfn.IFS(G268&lt;3, "0–2 Years", G268&lt;6, "3–5 Years", G268&lt;9, "6–8 Years", G268&lt;12, "9-11 Years", G268&gt;=12, "12-14 Years")</f>
        <v>9-11 Years</v>
      </c>
      <c r="J268">
        <v>3</v>
      </c>
      <c r="K268" t="s">
        <v>20</v>
      </c>
      <c r="L268">
        <v>93400</v>
      </c>
      <c r="M268">
        <v>8000</v>
      </c>
      <c r="N268">
        <v>101400</v>
      </c>
      <c r="O268" t="s">
        <v>30</v>
      </c>
      <c r="P268" s="3">
        <v>42693</v>
      </c>
      <c r="Q268" t="s">
        <v>28</v>
      </c>
    </row>
    <row r="269" spans="1:17" x14ac:dyDescent="0.35">
      <c r="A269" t="s">
        <v>321</v>
      </c>
      <c r="B269" t="s">
        <v>16</v>
      </c>
      <c r="C269">
        <v>38</v>
      </c>
      <c r="D269" t="s">
        <v>17</v>
      </c>
      <c r="E269" t="s">
        <v>27</v>
      </c>
      <c r="F269" t="s">
        <v>28</v>
      </c>
      <c r="G269">
        <v>4</v>
      </c>
      <c r="H269">
        <v>2.1</v>
      </c>
      <c r="I269" t="str" cm="1">
        <f t="array" ref="I269">_xlfn.IFS(G269&lt;3, "0–2 Years", G269&lt;6, "3–5 Years", G269&lt;9, "6–8 Years", G269&lt;12, "9-11 Years", G269&gt;=12, "12-14 Years")</f>
        <v>3–5 Years</v>
      </c>
      <c r="J269">
        <v>4</v>
      </c>
      <c r="K269" t="s">
        <v>20</v>
      </c>
      <c r="L269">
        <v>79900</v>
      </c>
      <c r="M269">
        <v>6900</v>
      </c>
      <c r="N269">
        <v>86800</v>
      </c>
      <c r="O269" t="s">
        <v>21</v>
      </c>
      <c r="P269" s="3">
        <v>44569</v>
      </c>
      <c r="Q269" t="s">
        <v>28</v>
      </c>
    </row>
    <row r="270" spans="1:17" x14ac:dyDescent="0.35">
      <c r="A270" t="s">
        <v>322</v>
      </c>
      <c r="B270" t="s">
        <v>23</v>
      </c>
      <c r="C270">
        <v>32</v>
      </c>
      <c r="D270" t="s">
        <v>38</v>
      </c>
      <c r="E270" t="s">
        <v>39</v>
      </c>
      <c r="F270" t="s">
        <v>28</v>
      </c>
      <c r="G270">
        <v>8.5</v>
      </c>
      <c r="H270">
        <v>7.2</v>
      </c>
      <c r="I270" t="str" cm="1">
        <f t="array" ref="I270">_xlfn.IFS(G270&lt;3, "0–2 Years", G270&lt;6, "3–5 Years", G270&lt;9, "6–8 Years", G270&lt;12, "9-11 Years", G270&gt;=12, "12-14 Years")</f>
        <v>6–8 Years</v>
      </c>
      <c r="J270">
        <v>2</v>
      </c>
      <c r="K270" t="s">
        <v>20</v>
      </c>
      <c r="L270">
        <v>64100</v>
      </c>
      <c r="M270">
        <v>5300</v>
      </c>
      <c r="N270">
        <v>69400</v>
      </c>
      <c r="O270" t="s">
        <v>25</v>
      </c>
      <c r="P270" s="3">
        <v>42929</v>
      </c>
      <c r="Q270" t="s">
        <v>28</v>
      </c>
    </row>
    <row r="271" spans="1:17" x14ac:dyDescent="0.35">
      <c r="A271" t="s">
        <v>323</v>
      </c>
      <c r="B271" t="s">
        <v>16</v>
      </c>
      <c r="C271">
        <v>29</v>
      </c>
      <c r="D271" t="s">
        <v>34</v>
      </c>
      <c r="E271" t="s">
        <v>59</v>
      </c>
      <c r="F271" t="s">
        <v>19</v>
      </c>
      <c r="G271">
        <v>8.3000000000000007</v>
      </c>
      <c r="H271">
        <v>5.3</v>
      </c>
      <c r="I271" t="str" cm="1">
        <f t="array" ref="I271">_xlfn.IFS(G271&lt;3, "0–2 Years", G271&lt;6, "3–5 Years", G271&lt;9, "6–8 Years", G271&lt;12, "9-11 Years", G271&gt;=12, "12-14 Years")</f>
        <v>6–8 Years</v>
      </c>
      <c r="J271">
        <v>3</v>
      </c>
      <c r="K271" t="s">
        <v>20</v>
      </c>
      <c r="L271">
        <v>99300</v>
      </c>
      <c r="M271">
        <v>11600</v>
      </c>
      <c r="N271">
        <v>110900</v>
      </c>
      <c r="O271" t="s">
        <v>30</v>
      </c>
      <c r="P271" s="3">
        <v>43009</v>
      </c>
      <c r="Q271" t="s">
        <v>19</v>
      </c>
    </row>
    <row r="272" spans="1:17" x14ac:dyDescent="0.35">
      <c r="A272" t="s">
        <v>324</v>
      </c>
      <c r="B272" t="s">
        <v>23</v>
      </c>
      <c r="C272">
        <v>32</v>
      </c>
      <c r="D272" t="s">
        <v>41</v>
      </c>
      <c r="E272" t="s">
        <v>42</v>
      </c>
      <c r="F272" t="s">
        <v>19</v>
      </c>
      <c r="G272">
        <v>10.5</v>
      </c>
      <c r="H272">
        <v>5.3</v>
      </c>
      <c r="I272" t="str" cm="1">
        <f t="array" ref="I272">_xlfn.IFS(G272&lt;3, "0–2 Years", G272&lt;6, "3–5 Years", G272&lt;9, "6–8 Years", G272&lt;12, "9-11 Years", G272&gt;=12, "12-14 Years")</f>
        <v>9-11 Years</v>
      </c>
      <c r="J272">
        <v>4</v>
      </c>
      <c r="K272" t="s">
        <v>20</v>
      </c>
      <c r="L272">
        <v>79200</v>
      </c>
      <c r="M272">
        <v>5800</v>
      </c>
      <c r="N272">
        <v>85000</v>
      </c>
      <c r="O272" t="s">
        <v>21</v>
      </c>
      <c r="P272" s="3">
        <v>42177</v>
      </c>
      <c r="Q272" t="s">
        <v>19</v>
      </c>
    </row>
    <row r="273" spans="1:17" x14ac:dyDescent="0.35">
      <c r="A273" t="s">
        <v>325</v>
      </c>
      <c r="B273" t="s">
        <v>16</v>
      </c>
      <c r="C273">
        <v>32</v>
      </c>
      <c r="D273" t="s">
        <v>17</v>
      </c>
      <c r="E273" t="s">
        <v>32</v>
      </c>
      <c r="F273" t="s">
        <v>19</v>
      </c>
      <c r="G273">
        <v>10.5</v>
      </c>
      <c r="H273">
        <v>5.2</v>
      </c>
      <c r="I273" t="str" cm="1">
        <f t="array" ref="I273">_xlfn.IFS(G273&lt;3, "0–2 Years", G273&lt;6, "3–5 Years", G273&lt;9, "6–8 Years", G273&lt;12, "9-11 Years", G273&gt;=12, "12-14 Years")</f>
        <v>9-11 Years</v>
      </c>
      <c r="J273">
        <v>3</v>
      </c>
      <c r="K273" t="s">
        <v>20</v>
      </c>
      <c r="L273">
        <v>70000</v>
      </c>
      <c r="M273">
        <v>8500</v>
      </c>
      <c r="N273">
        <v>78500</v>
      </c>
      <c r="O273" t="s">
        <v>21</v>
      </c>
      <c r="P273" s="3">
        <v>42196</v>
      </c>
      <c r="Q273" t="s">
        <v>19</v>
      </c>
    </row>
    <row r="274" spans="1:17" x14ac:dyDescent="0.35">
      <c r="A274" t="s">
        <v>326</v>
      </c>
      <c r="B274" t="s">
        <v>23</v>
      </c>
      <c r="C274">
        <v>44</v>
      </c>
      <c r="D274" t="s">
        <v>17</v>
      </c>
      <c r="E274" t="s">
        <v>18</v>
      </c>
      <c r="F274" t="s">
        <v>19</v>
      </c>
      <c r="G274">
        <v>11.6</v>
      </c>
      <c r="H274">
        <v>9.3000000000000007</v>
      </c>
      <c r="I274" t="str" cm="1">
        <f t="array" ref="I274">_xlfn.IFS(G274&lt;3, "0–2 Years", G274&lt;6, "3–5 Years", G274&lt;9, "6–8 Years", G274&lt;12, "9-11 Years", G274&gt;=12, "12-14 Years")</f>
        <v>9-11 Years</v>
      </c>
      <c r="J274">
        <v>4</v>
      </c>
      <c r="K274" t="s">
        <v>20</v>
      </c>
      <c r="L274">
        <v>110900</v>
      </c>
      <c r="M274">
        <v>5600</v>
      </c>
      <c r="N274">
        <v>116500</v>
      </c>
      <c r="O274" t="s">
        <v>57</v>
      </c>
      <c r="P274" s="3">
        <v>41770</v>
      </c>
      <c r="Q274" t="s">
        <v>19</v>
      </c>
    </row>
    <row r="275" spans="1:17" x14ac:dyDescent="0.35">
      <c r="A275" t="s">
        <v>327</v>
      </c>
      <c r="B275" t="s">
        <v>16</v>
      </c>
      <c r="C275">
        <v>33</v>
      </c>
      <c r="D275" t="s">
        <v>55</v>
      </c>
      <c r="E275" t="s">
        <v>56</v>
      </c>
      <c r="F275" t="s">
        <v>28</v>
      </c>
      <c r="G275">
        <v>2.8</v>
      </c>
      <c r="H275">
        <v>2.6</v>
      </c>
      <c r="I275" t="str" cm="1">
        <f t="array" ref="I275">_xlfn.IFS(G275&lt;3, "0–2 Years", G275&lt;6, "3–5 Years", G275&lt;9, "6–8 Years", G275&lt;12, "9-11 Years", G275&gt;=12, "12-14 Years")</f>
        <v>0–2 Years</v>
      </c>
      <c r="J275">
        <v>4</v>
      </c>
      <c r="K275" t="s">
        <v>20</v>
      </c>
      <c r="L275">
        <v>109900</v>
      </c>
      <c r="M275">
        <v>20500</v>
      </c>
      <c r="N275">
        <v>130400</v>
      </c>
      <c r="O275" t="s">
        <v>57</v>
      </c>
      <c r="P275" s="3">
        <v>45013</v>
      </c>
      <c r="Q275" t="s">
        <v>28</v>
      </c>
    </row>
    <row r="276" spans="1:17" x14ac:dyDescent="0.35">
      <c r="A276" t="s">
        <v>328</v>
      </c>
      <c r="B276" t="s">
        <v>23</v>
      </c>
      <c r="C276">
        <v>47</v>
      </c>
      <c r="D276" t="s">
        <v>38</v>
      </c>
      <c r="E276" t="s">
        <v>39</v>
      </c>
      <c r="F276" t="s">
        <v>36</v>
      </c>
      <c r="G276">
        <v>7.5</v>
      </c>
      <c r="H276">
        <v>3.8</v>
      </c>
      <c r="I276" t="str" cm="1">
        <f t="array" ref="I276">_xlfn.IFS(G276&lt;3, "0–2 Years", G276&lt;6, "3–5 Years", G276&lt;9, "6–8 Years", G276&lt;12, "9-11 Years", G276&gt;=12, "12-14 Years")</f>
        <v>6–8 Years</v>
      </c>
      <c r="J276">
        <v>4</v>
      </c>
      <c r="K276" t="s">
        <v>20</v>
      </c>
      <c r="L276">
        <v>90900</v>
      </c>
      <c r="M276">
        <v>8100</v>
      </c>
      <c r="N276">
        <v>99000</v>
      </c>
      <c r="O276" t="s">
        <v>30</v>
      </c>
      <c r="P276" s="3">
        <v>43295</v>
      </c>
      <c r="Q276" t="s">
        <v>36</v>
      </c>
    </row>
    <row r="277" spans="1:17" x14ac:dyDescent="0.35">
      <c r="A277" t="s">
        <v>329</v>
      </c>
      <c r="B277" t="s">
        <v>16</v>
      </c>
      <c r="C277">
        <v>33</v>
      </c>
      <c r="D277" t="s">
        <v>34</v>
      </c>
      <c r="E277" t="s">
        <v>35</v>
      </c>
      <c r="F277" t="s">
        <v>28</v>
      </c>
      <c r="G277">
        <v>5.3</v>
      </c>
      <c r="H277">
        <v>1.8</v>
      </c>
      <c r="I277" t="str" cm="1">
        <f t="array" ref="I277">_xlfn.IFS(G277&lt;3, "0–2 Years", G277&lt;6, "3–5 Years", G277&lt;9, "6–8 Years", G277&lt;12, "9-11 Years", G277&gt;=12, "12-14 Years")</f>
        <v>3–5 Years</v>
      </c>
      <c r="J277">
        <v>2</v>
      </c>
      <c r="K277" t="s">
        <v>20</v>
      </c>
      <c r="L277">
        <v>84100</v>
      </c>
      <c r="M277">
        <v>6900</v>
      </c>
      <c r="N277">
        <v>91000</v>
      </c>
      <c r="O277" t="s">
        <v>30</v>
      </c>
      <c r="P277" s="3">
        <v>44075</v>
      </c>
      <c r="Q277" t="s">
        <v>28</v>
      </c>
    </row>
    <row r="278" spans="1:17" x14ac:dyDescent="0.35">
      <c r="A278" t="s">
        <v>330</v>
      </c>
      <c r="B278" t="s">
        <v>16</v>
      </c>
      <c r="C278">
        <v>45</v>
      </c>
      <c r="D278" t="s">
        <v>41</v>
      </c>
      <c r="E278" t="s">
        <v>67</v>
      </c>
      <c r="F278" t="s">
        <v>28</v>
      </c>
      <c r="G278">
        <v>3.3</v>
      </c>
      <c r="H278">
        <v>2.1</v>
      </c>
      <c r="I278" t="str" cm="1">
        <f t="array" ref="I278">_xlfn.IFS(G278&lt;3, "0–2 Years", G278&lt;6, "3–5 Years", G278&lt;9, "6–8 Years", G278&lt;12, "9-11 Years", G278&gt;=12, "12-14 Years")</f>
        <v>3–5 Years</v>
      </c>
      <c r="J278">
        <v>3</v>
      </c>
      <c r="K278" t="s">
        <v>20</v>
      </c>
      <c r="L278">
        <v>70600</v>
      </c>
      <c r="M278">
        <v>2400</v>
      </c>
      <c r="N278">
        <v>73000</v>
      </c>
      <c r="O278" t="s">
        <v>21</v>
      </c>
      <c r="P278" s="3">
        <v>44826</v>
      </c>
      <c r="Q278" t="s">
        <v>28</v>
      </c>
    </row>
    <row r="279" spans="1:17" x14ac:dyDescent="0.35">
      <c r="A279" t="s">
        <v>331</v>
      </c>
      <c r="B279" t="s">
        <v>16</v>
      </c>
      <c r="C279">
        <v>47</v>
      </c>
      <c r="D279" t="s">
        <v>44</v>
      </c>
      <c r="E279" t="s">
        <v>45</v>
      </c>
      <c r="F279" t="s">
        <v>19</v>
      </c>
      <c r="G279">
        <v>9.6999999999999993</v>
      </c>
      <c r="H279">
        <v>6.1</v>
      </c>
      <c r="I279" t="str" cm="1">
        <f t="array" ref="I279">_xlfn.IFS(G279&lt;3, "0–2 Years", G279&lt;6, "3–5 Years", G279&lt;9, "6–8 Years", G279&lt;12, "9-11 Years", G279&gt;=12, "12-14 Years")</f>
        <v>9-11 Years</v>
      </c>
      <c r="J279">
        <v>3</v>
      </c>
      <c r="K279" t="s">
        <v>69</v>
      </c>
      <c r="L279">
        <v>62200</v>
      </c>
      <c r="M279">
        <v>8600</v>
      </c>
      <c r="N279">
        <v>70800</v>
      </c>
      <c r="O279" t="s">
        <v>25</v>
      </c>
      <c r="P279" s="3">
        <v>42471</v>
      </c>
      <c r="Q279" t="s">
        <v>19</v>
      </c>
    </row>
    <row r="280" spans="1:17" x14ac:dyDescent="0.35">
      <c r="A280" t="s">
        <v>332</v>
      </c>
      <c r="B280" t="s">
        <v>16</v>
      </c>
      <c r="C280">
        <v>42</v>
      </c>
      <c r="D280" t="s">
        <v>38</v>
      </c>
      <c r="E280" t="s">
        <v>112</v>
      </c>
      <c r="F280" t="s">
        <v>28</v>
      </c>
      <c r="G280">
        <v>11</v>
      </c>
      <c r="H280">
        <v>8.1999999999999993</v>
      </c>
      <c r="I280" t="str" cm="1">
        <f t="array" ref="I280">_xlfn.IFS(G280&lt;3, "0–2 Years", G280&lt;6, "3–5 Years", G280&lt;9, "6–8 Years", G280&lt;12, "9-11 Years", G280&gt;=12, "12-14 Years")</f>
        <v>9-11 Years</v>
      </c>
      <c r="J280">
        <v>1</v>
      </c>
      <c r="K280" t="s">
        <v>20</v>
      </c>
      <c r="L280">
        <v>68200</v>
      </c>
      <c r="M280">
        <v>5300</v>
      </c>
      <c r="N280">
        <v>73500</v>
      </c>
      <c r="O280" t="s">
        <v>21</v>
      </c>
      <c r="P280" s="3">
        <v>42014</v>
      </c>
      <c r="Q280" t="s">
        <v>28</v>
      </c>
    </row>
    <row r="281" spans="1:17" x14ac:dyDescent="0.35">
      <c r="A281" t="s">
        <v>333</v>
      </c>
      <c r="B281" t="s">
        <v>16</v>
      </c>
      <c r="C281">
        <v>23</v>
      </c>
      <c r="D281" t="s">
        <v>41</v>
      </c>
      <c r="E281" t="s">
        <v>73</v>
      </c>
      <c r="F281" t="s">
        <v>36</v>
      </c>
      <c r="G281">
        <v>2</v>
      </c>
      <c r="H281">
        <v>0.3</v>
      </c>
      <c r="I281" t="str" cm="1">
        <f t="array" ref="I281">_xlfn.IFS(G281&lt;3, "0–2 Years", G281&lt;6, "3–5 Years", G281&lt;9, "6–8 Years", G281&lt;12, "9-11 Years", G281&gt;=12, "12-14 Years")</f>
        <v>0–2 Years</v>
      </c>
      <c r="J281">
        <v>3</v>
      </c>
      <c r="K281" t="s">
        <v>69</v>
      </c>
      <c r="L281">
        <v>85100</v>
      </c>
      <c r="M281">
        <v>7500</v>
      </c>
      <c r="N281">
        <v>92600</v>
      </c>
      <c r="O281" t="s">
        <v>30</v>
      </c>
      <c r="P281" s="3">
        <v>45309</v>
      </c>
      <c r="Q281" t="s">
        <v>36</v>
      </c>
    </row>
    <row r="282" spans="1:17" x14ac:dyDescent="0.35">
      <c r="A282" t="s">
        <v>334</v>
      </c>
      <c r="B282" t="s">
        <v>16</v>
      </c>
      <c r="C282">
        <v>33</v>
      </c>
      <c r="D282" t="s">
        <v>41</v>
      </c>
      <c r="E282" t="s">
        <v>42</v>
      </c>
      <c r="F282" t="s">
        <v>19</v>
      </c>
      <c r="G282">
        <v>4.2</v>
      </c>
      <c r="H282">
        <v>2.6</v>
      </c>
      <c r="I282" t="str" cm="1">
        <f t="array" ref="I282">_xlfn.IFS(G282&lt;3, "0–2 Years", G282&lt;6, "3–5 Years", G282&lt;9, "6–8 Years", G282&lt;12, "9-11 Years", G282&gt;=12, "12-14 Years")</f>
        <v>3–5 Years</v>
      </c>
      <c r="J282">
        <v>4</v>
      </c>
      <c r="K282" t="s">
        <v>20</v>
      </c>
      <c r="L282">
        <v>72000</v>
      </c>
      <c r="M282">
        <v>3900</v>
      </c>
      <c r="N282">
        <v>75900</v>
      </c>
      <c r="O282" t="s">
        <v>21</v>
      </c>
      <c r="P282" s="3">
        <v>44483</v>
      </c>
      <c r="Q282" t="s">
        <v>19</v>
      </c>
    </row>
    <row r="283" spans="1:17" x14ac:dyDescent="0.35">
      <c r="A283" t="s">
        <v>335</v>
      </c>
      <c r="B283" t="s">
        <v>23</v>
      </c>
      <c r="C283">
        <v>27</v>
      </c>
      <c r="D283" t="s">
        <v>17</v>
      </c>
      <c r="E283" t="s">
        <v>32</v>
      </c>
      <c r="F283" t="s">
        <v>62</v>
      </c>
      <c r="G283">
        <v>6.7</v>
      </c>
      <c r="H283">
        <v>4.5</v>
      </c>
      <c r="I283" t="str" cm="1">
        <f t="array" ref="I283">_xlfn.IFS(G283&lt;3, "0–2 Years", G283&lt;6, "3–5 Years", G283&lt;9, "6–8 Years", G283&lt;12, "9-11 Years", G283&gt;=12, "12-14 Years")</f>
        <v>6–8 Years</v>
      </c>
      <c r="J283">
        <v>3</v>
      </c>
      <c r="K283" t="s">
        <v>20</v>
      </c>
      <c r="L283">
        <v>78200</v>
      </c>
      <c r="M283">
        <v>4800</v>
      </c>
      <c r="N283">
        <v>83000</v>
      </c>
      <c r="O283" t="s">
        <v>21</v>
      </c>
      <c r="P283" s="3">
        <v>43590</v>
      </c>
      <c r="Q283" t="s">
        <v>62</v>
      </c>
    </row>
    <row r="284" spans="1:17" x14ac:dyDescent="0.35">
      <c r="A284" t="s">
        <v>336</v>
      </c>
      <c r="B284" t="s">
        <v>23</v>
      </c>
      <c r="C284">
        <v>35</v>
      </c>
      <c r="D284" t="s">
        <v>55</v>
      </c>
      <c r="E284" t="s">
        <v>92</v>
      </c>
      <c r="F284" t="s">
        <v>19</v>
      </c>
      <c r="G284">
        <v>9.4</v>
      </c>
      <c r="H284">
        <v>5.3</v>
      </c>
      <c r="I284" t="str" cm="1">
        <f t="array" ref="I284">_xlfn.IFS(G284&lt;3, "0–2 Years", G284&lt;6, "3–5 Years", G284&lt;9, "6–8 Years", G284&lt;12, "9-11 Years", G284&gt;=12, "12-14 Years")</f>
        <v>9-11 Years</v>
      </c>
      <c r="J284">
        <v>3</v>
      </c>
      <c r="K284" t="s">
        <v>24</v>
      </c>
      <c r="L284">
        <v>52600</v>
      </c>
      <c r="M284">
        <v>5700</v>
      </c>
      <c r="N284">
        <v>58300</v>
      </c>
      <c r="O284" t="s">
        <v>25</v>
      </c>
      <c r="P284" s="3">
        <v>42574</v>
      </c>
      <c r="Q284" t="s">
        <v>19</v>
      </c>
    </row>
    <row r="285" spans="1:17" x14ac:dyDescent="0.35">
      <c r="A285" t="s">
        <v>337</v>
      </c>
      <c r="B285" t="s">
        <v>23</v>
      </c>
      <c r="C285">
        <v>35</v>
      </c>
      <c r="D285" t="s">
        <v>38</v>
      </c>
      <c r="E285" t="s">
        <v>61</v>
      </c>
      <c r="F285" t="s">
        <v>62</v>
      </c>
      <c r="G285">
        <v>5.4</v>
      </c>
      <c r="H285">
        <v>4.8</v>
      </c>
      <c r="I285" t="str" cm="1">
        <f t="array" ref="I285">_xlfn.IFS(G285&lt;3, "0–2 Years", G285&lt;6, "3–5 Years", G285&lt;9, "6–8 Years", G285&lt;12, "9-11 Years", G285&gt;=12, "12-14 Years")</f>
        <v>3–5 Years</v>
      </c>
      <c r="J285">
        <v>2</v>
      </c>
      <c r="K285" t="s">
        <v>24</v>
      </c>
      <c r="L285">
        <v>72400</v>
      </c>
      <c r="M285">
        <v>7300</v>
      </c>
      <c r="N285">
        <v>79700</v>
      </c>
      <c r="O285" t="s">
        <v>21</v>
      </c>
      <c r="P285" s="3">
        <v>44052</v>
      </c>
      <c r="Q285" t="s">
        <v>62</v>
      </c>
    </row>
    <row r="286" spans="1:17" x14ac:dyDescent="0.35">
      <c r="A286" t="s">
        <v>338</v>
      </c>
      <c r="B286" t="s">
        <v>23</v>
      </c>
      <c r="C286">
        <v>28</v>
      </c>
      <c r="D286" t="s">
        <v>41</v>
      </c>
      <c r="E286" t="s">
        <v>42</v>
      </c>
      <c r="F286" t="s">
        <v>28</v>
      </c>
      <c r="G286">
        <v>2.6</v>
      </c>
      <c r="H286">
        <v>2.6</v>
      </c>
      <c r="I286" t="str" cm="1">
        <f t="array" ref="I286">_xlfn.IFS(G286&lt;3, "0–2 Years", G286&lt;6, "3–5 Years", G286&lt;9, "6–8 Years", G286&lt;12, "9-11 Years", G286&gt;=12, "12-14 Years")</f>
        <v>0–2 Years</v>
      </c>
      <c r="J286">
        <v>4</v>
      </c>
      <c r="K286" t="s">
        <v>20</v>
      </c>
      <c r="L286">
        <v>71500</v>
      </c>
      <c r="M286">
        <v>5700</v>
      </c>
      <c r="N286">
        <v>77200</v>
      </c>
      <c r="O286" t="s">
        <v>21</v>
      </c>
      <c r="P286" s="3">
        <v>45079</v>
      </c>
      <c r="Q286" t="s">
        <v>28</v>
      </c>
    </row>
    <row r="287" spans="1:17" x14ac:dyDescent="0.35">
      <c r="A287" t="s">
        <v>339</v>
      </c>
      <c r="B287" t="s">
        <v>16</v>
      </c>
      <c r="C287">
        <v>26</v>
      </c>
      <c r="D287" t="s">
        <v>34</v>
      </c>
      <c r="E287" t="s">
        <v>35</v>
      </c>
      <c r="F287" t="s">
        <v>28</v>
      </c>
      <c r="G287">
        <v>5.2</v>
      </c>
      <c r="H287">
        <v>2.4</v>
      </c>
      <c r="I287" t="str" cm="1">
        <f t="array" ref="I287">_xlfn.IFS(G287&lt;3, "0–2 Years", G287&lt;6, "3–5 Years", G287&lt;9, "6–8 Years", G287&lt;12, "9-11 Years", G287&gt;=12, "12-14 Years")</f>
        <v>3–5 Years</v>
      </c>
      <c r="J287">
        <v>4</v>
      </c>
      <c r="K287" t="s">
        <v>20</v>
      </c>
      <c r="L287">
        <v>75600</v>
      </c>
      <c r="M287">
        <v>5500</v>
      </c>
      <c r="N287">
        <v>81100</v>
      </c>
      <c r="O287" t="s">
        <v>21</v>
      </c>
      <c r="P287" s="3">
        <v>44125</v>
      </c>
      <c r="Q287" t="s">
        <v>28</v>
      </c>
    </row>
    <row r="288" spans="1:17" x14ac:dyDescent="0.35">
      <c r="A288" t="s">
        <v>340</v>
      </c>
      <c r="B288" t="s">
        <v>23</v>
      </c>
      <c r="C288">
        <v>21</v>
      </c>
      <c r="D288" t="s">
        <v>17</v>
      </c>
      <c r="E288" t="s">
        <v>18</v>
      </c>
      <c r="F288" t="s">
        <v>28</v>
      </c>
      <c r="G288">
        <v>11.8</v>
      </c>
      <c r="H288">
        <v>6.9</v>
      </c>
      <c r="I288" t="str" cm="1">
        <f t="array" ref="I288">_xlfn.IFS(G288&lt;3, "0–2 Years", G288&lt;6, "3–5 Years", G288&lt;9, "6–8 Years", G288&lt;12, "9-11 Years", G288&gt;=12, "12-14 Years")</f>
        <v>9-11 Years</v>
      </c>
      <c r="J288">
        <v>3</v>
      </c>
      <c r="K288" t="s">
        <v>20</v>
      </c>
      <c r="L288">
        <v>109100</v>
      </c>
      <c r="M288">
        <v>9800</v>
      </c>
      <c r="N288">
        <v>118900</v>
      </c>
      <c r="O288" t="s">
        <v>57</v>
      </c>
      <c r="P288" s="3">
        <v>41710</v>
      </c>
      <c r="Q288" t="s">
        <v>28</v>
      </c>
    </row>
    <row r="289" spans="1:17" x14ac:dyDescent="0.35">
      <c r="A289" t="s">
        <v>341</v>
      </c>
      <c r="B289" t="s">
        <v>16</v>
      </c>
      <c r="C289">
        <v>24</v>
      </c>
      <c r="D289" t="s">
        <v>55</v>
      </c>
      <c r="E289" t="s">
        <v>92</v>
      </c>
      <c r="F289" t="s">
        <v>28</v>
      </c>
      <c r="G289">
        <v>5.4</v>
      </c>
      <c r="H289">
        <v>1.5</v>
      </c>
      <c r="I289" t="str" cm="1">
        <f t="array" ref="I289">_xlfn.IFS(G289&lt;3, "0–2 Years", G289&lt;6, "3–5 Years", G289&lt;9, "6–8 Years", G289&lt;12, "9-11 Years", G289&gt;=12, "12-14 Years")</f>
        <v>3–5 Years</v>
      </c>
      <c r="J289">
        <v>3</v>
      </c>
      <c r="K289" t="s">
        <v>20</v>
      </c>
      <c r="L289">
        <v>117700</v>
      </c>
      <c r="M289">
        <v>18500</v>
      </c>
      <c r="N289">
        <v>136200</v>
      </c>
      <c r="O289" t="s">
        <v>57</v>
      </c>
      <c r="P289" s="3">
        <v>44049</v>
      </c>
      <c r="Q289" t="s">
        <v>28</v>
      </c>
    </row>
    <row r="290" spans="1:17" x14ac:dyDescent="0.35">
      <c r="A290" t="s">
        <v>342</v>
      </c>
      <c r="B290" t="s">
        <v>23</v>
      </c>
      <c r="C290">
        <v>29</v>
      </c>
      <c r="D290" t="s">
        <v>55</v>
      </c>
      <c r="E290" t="s">
        <v>56</v>
      </c>
      <c r="F290" t="s">
        <v>28</v>
      </c>
      <c r="G290">
        <v>7.9</v>
      </c>
      <c r="H290">
        <v>4.2</v>
      </c>
      <c r="I290" t="str" cm="1">
        <f t="array" ref="I290">_xlfn.IFS(G290&lt;3, "0–2 Years", G290&lt;6, "3–5 Years", G290&lt;9, "6–8 Years", G290&lt;12, "9-11 Years", G290&gt;=12, "12-14 Years")</f>
        <v>6–8 Years</v>
      </c>
      <c r="J290">
        <v>4</v>
      </c>
      <c r="K290" t="s">
        <v>20</v>
      </c>
      <c r="L290">
        <v>98400</v>
      </c>
      <c r="M290">
        <v>7900</v>
      </c>
      <c r="N290">
        <v>106300</v>
      </c>
      <c r="O290" t="s">
        <v>30</v>
      </c>
      <c r="P290" s="3">
        <v>43145</v>
      </c>
      <c r="Q290" t="s">
        <v>28</v>
      </c>
    </row>
    <row r="291" spans="1:17" x14ac:dyDescent="0.35">
      <c r="A291" t="s">
        <v>343</v>
      </c>
      <c r="B291" t="s">
        <v>23</v>
      </c>
      <c r="C291">
        <v>29</v>
      </c>
      <c r="D291" t="s">
        <v>41</v>
      </c>
      <c r="E291" t="s">
        <v>67</v>
      </c>
      <c r="F291" t="s">
        <v>36</v>
      </c>
      <c r="G291">
        <v>9.5</v>
      </c>
      <c r="H291">
        <v>5.4</v>
      </c>
      <c r="I291" t="str" cm="1">
        <f t="array" ref="I291">_xlfn.IFS(G291&lt;3, "0–2 Years", G291&lt;6, "3–5 Years", G291&lt;9, "6–8 Years", G291&lt;12, "9-11 Years", G291&gt;=12, "12-14 Years")</f>
        <v>9-11 Years</v>
      </c>
      <c r="J291">
        <v>2</v>
      </c>
      <c r="K291" t="s">
        <v>20</v>
      </c>
      <c r="L291">
        <v>77800</v>
      </c>
      <c r="M291">
        <v>5000</v>
      </c>
      <c r="N291">
        <v>82800</v>
      </c>
      <c r="O291" t="s">
        <v>21</v>
      </c>
      <c r="P291" s="3">
        <v>42547</v>
      </c>
      <c r="Q291" t="s">
        <v>36</v>
      </c>
    </row>
    <row r="292" spans="1:17" x14ac:dyDescent="0.35">
      <c r="A292" t="s">
        <v>344</v>
      </c>
      <c r="B292" t="s">
        <v>23</v>
      </c>
      <c r="C292">
        <v>34</v>
      </c>
      <c r="D292" t="s">
        <v>41</v>
      </c>
      <c r="E292" t="s">
        <v>42</v>
      </c>
      <c r="F292" t="s">
        <v>36</v>
      </c>
      <c r="G292">
        <v>11.2</v>
      </c>
      <c r="H292">
        <v>7</v>
      </c>
      <c r="I292" t="str" cm="1">
        <f t="array" ref="I292">_xlfn.IFS(G292&lt;3, "0–2 Years", G292&lt;6, "3–5 Years", G292&lt;9, "6–8 Years", G292&lt;12, "9-11 Years", G292&gt;=12, "12-14 Years")</f>
        <v>9-11 Years</v>
      </c>
      <c r="J292">
        <v>3</v>
      </c>
      <c r="K292" t="s">
        <v>20</v>
      </c>
      <c r="L292">
        <v>78300</v>
      </c>
      <c r="M292">
        <v>2600</v>
      </c>
      <c r="N292">
        <v>80900</v>
      </c>
      <c r="O292" t="s">
        <v>21</v>
      </c>
      <c r="P292" s="3">
        <v>41936</v>
      </c>
      <c r="Q292" t="s">
        <v>36</v>
      </c>
    </row>
    <row r="293" spans="1:17" x14ac:dyDescent="0.35">
      <c r="A293" t="s">
        <v>345</v>
      </c>
      <c r="B293" t="s">
        <v>23</v>
      </c>
      <c r="C293">
        <v>40</v>
      </c>
      <c r="D293" t="s">
        <v>41</v>
      </c>
      <c r="E293" t="s">
        <v>67</v>
      </c>
      <c r="F293" t="s">
        <v>19</v>
      </c>
      <c r="G293">
        <v>9.1999999999999993</v>
      </c>
      <c r="H293">
        <v>6.8</v>
      </c>
      <c r="I293" t="str" cm="1">
        <f t="array" ref="I293">_xlfn.IFS(G293&lt;3, "0–2 Years", G293&lt;6, "3–5 Years", G293&lt;9, "6–8 Years", G293&lt;12, "9-11 Years", G293&gt;=12, "12-14 Years")</f>
        <v>9-11 Years</v>
      </c>
      <c r="J293">
        <v>3</v>
      </c>
      <c r="K293" t="s">
        <v>20</v>
      </c>
      <c r="L293">
        <v>69600</v>
      </c>
      <c r="M293">
        <v>4000</v>
      </c>
      <c r="N293">
        <v>73600</v>
      </c>
      <c r="O293" t="s">
        <v>21</v>
      </c>
      <c r="P293" s="3">
        <v>42679</v>
      </c>
      <c r="Q293" t="s">
        <v>19</v>
      </c>
    </row>
    <row r="294" spans="1:17" x14ac:dyDescent="0.35">
      <c r="A294" t="s">
        <v>346</v>
      </c>
      <c r="B294" t="s">
        <v>16</v>
      </c>
      <c r="C294">
        <v>41</v>
      </c>
      <c r="D294" t="s">
        <v>34</v>
      </c>
      <c r="E294" t="s">
        <v>59</v>
      </c>
      <c r="F294" t="s">
        <v>28</v>
      </c>
      <c r="G294">
        <v>11.6</v>
      </c>
      <c r="H294">
        <v>7.8</v>
      </c>
      <c r="I294" t="str" cm="1">
        <f t="array" ref="I294">_xlfn.IFS(G294&lt;3, "0–2 Years", G294&lt;6, "3–5 Years", G294&lt;9, "6–8 Years", G294&lt;12, "9-11 Years", G294&gt;=12, "12-14 Years")</f>
        <v>9-11 Years</v>
      </c>
      <c r="J294">
        <v>3</v>
      </c>
      <c r="K294" t="s">
        <v>20</v>
      </c>
      <c r="L294">
        <v>110300</v>
      </c>
      <c r="M294">
        <v>10400</v>
      </c>
      <c r="N294">
        <v>120700</v>
      </c>
      <c r="O294" t="s">
        <v>57</v>
      </c>
      <c r="P294" s="3">
        <v>41796</v>
      </c>
      <c r="Q294" t="s">
        <v>28</v>
      </c>
    </row>
    <row r="295" spans="1:17" x14ac:dyDescent="0.35">
      <c r="A295" t="s">
        <v>347</v>
      </c>
      <c r="B295" t="s">
        <v>16</v>
      </c>
      <c r="C295" s="7">
        <v>35</v>
      </c>
      <c r="D295" t="s">
        <v>17</v>
      </c>
      <c r="E295" t="s">
        <v>18</v>
      </c>
      <c r="F295" t="s">
        <v>19</v>
      </c>
      <c r="G295" s="9">
        <v>12.9</v>
      </c>
      <c r="H295" s="7">
        <v>6.8</v>
      </c>
      <c r="I295" t="str" cm="1">
        <f t="array" ref="I295">_xlfn.IFS(G295&lt;3, "0–2 Years", G295&lt;6, "3–5 Years", G295&lt;9, "6–8 Years", G295&lt;12, "9-11 Years", G295&gt;=12, "12-14 Years")</f>
        <v>12-14 Years</v>
      </c>
      <c r="J295" s="7">
        <v>3</v>
      </c>
      <c r="K295" t="s">
        <v>20</v>
      </c>
      <c r="L295" s="7">
        <v>105000</v>
      </c>
      <c r="M295" s="7">
        <v>4800</v>
      </c>
      <c r="N295" s="7">
        <v>109800</v>
      </c>
      <c r="O295" t="s">
        <v>57</v>
      </c>
      <c r="P295" s="3">
        <v>41301</v>
      </c>
      <c r="Q295" t="s">
        <v>19</v>
      </c>
    </row>
    <row r="296" spans="1:17" x14ac:dyDescent="0.35">
      <c r="A296" t="s">
        <v>348</v>
      </c>
      <c r="B296" t="s">
        <v>23</v>
      </c>
      <c r="C296" s="7">
        <v>37</v>
      </c>
      <c r="D296" t="s">
        <v>34</v>
      </c>
      <c r="E296" t="s">
        <v>35</v>
      </c>
      <c r="F296" t="s">
        <v>28</v>
      </c>
      <c r="G296" s="9">
        <v>12.3</v>
      </c>
      <c r="H296" s="7">
        <v>5.6</v>
      </c>
      <c r="I296" t="str" cm="1">
        <f t="array" ref="I296">_xlfn.IFS(G296&lt;3, "0–2 Years", G296&lt;6, "3–5 Years", G296&lt;9, "6–8 Years", G296&lt;12, "9-11 Years", G296&gt;=12, "12-14 Years")</f>
        <v>12-14 Years</v>
      </c>
      <c r="J296" s="7">
        <v>3</v>
      </c>
      <c r="K296" t="s">
        <v>24</v>
      </c>
      <c r="L296" s="7">
        <v>43300</v>
      </c>
      <c r="M296" s="7">
        <v>3200</v>
      </c>
      <c r="N296" s="7">
        <v>46500</v>
      </c>
      <c r="O296" t="s">
        <v>65</v>
      </c>
      <c r="P296" s="3">
        <v>41514</v>
      </c>
      <c r="Q296" t="s">
        <v>28</v>
      </c>
    </row>
    <row r="297" spans="1:17" x14ac:dyDescent="0.35">
      <c r="A297" t="s">
        <v>349</v>
      </c>
      <c r="B297" t="s">
        <v>16</v>
      </c>
      <c r="C297" s="7">
        <v>31</v>
      </c>
      <c r="D297" t="s">
        <v>17</v>
      </c>
      <c r="E297" t="s">
        <v>18</v>
      </c>
      <c r="F297" t="s">
        <v>28</v>
      </c>
      <c r="G297" s="9">
        <v>13.9</v>
      </c>
      <c r="H297" s="7">
        <v>9.5</v>
      </c>
      <c r="I297" t="str" cm="1">
        <f t="array" ref="I297">_xlfn.IFS(G297&lt;3, "0–2 Years", G297&lt;6, "3–5 Years", G297&lt;9, "6–8 Years", G297&lt;12, "9-11 Years", G297&gt;=12, "12-14 Years")</f>
        <v>12-14 Years</v>
      </c>
      <c r="J297" s="7">
        <v>3</v>
      </c>
      <c r="K297" t="s">
        <v>20</v>
      </c>
      <c r="L297" s="7">
        <v>103000</v>
      </c>
      <c r="M297" s="7">
        <v>9900</v>
      </c>
      <c r="N297" s="7">
        <v>112900</v>
      </c>
      <c r="O297" t="s">
        <v>57</v>
      </c>
      <c r="P297" s="3">
        <v>40947</v>
      </c>
      <c r="Q297" t="s">
        <v>28</v>
      </c>
    </row>
    <row r="298" spans="1:17" x14ac:dyDescent="0.35">
      <c r="A298" t="s">
        <v>350</v>
      </c>
      <c r="B298" t="s">
        <v>23</v>
      </c>
      <c r="C298">
        <v>42</v>
      </c>
      <c r="D298" t="s">
        <v>55</v>
      </c>
      <c r="E298" t="s">
        <v>56</v>
      </c>
      <c r="F298" t="s">
        <v>36</v>
      </c>
      <c r="G298">
        <v>10.9</v>
      </c>
      <c r="H298">
        <v>7.7</v>
      </c>
      <c r="I298" t="str" cm="1">
        <f t="array" ref="I298">_xlfn.IFS(G298&lt;3, "0–2 Years", G298&lt;6, "3–5 Years", G298&lt;9, "6–8 Years", G298&lt;12, "9-11 Years", G298&gt;=12, "12-14 Years")</f>
        <v>9-11 Years</v>
      </c>
      <c r="J298">
        <v>2</v>
      </c>
      <c r="K298" t="s">
        <v>20</v>
      </c>
      <c r="L298">
        <v>113300</v>
      </c>
      <c r="M298">
        <v>11300</v>
      </c>
      <c r="N298">
        <v>124600</v>
      </c>
      <c r="O298" t="s">
        <v>57</v>
      </c>
      <c r="P298" s="3">
        <v>42046</v>
      </c>
      <c r="Q298" t="s">
        <v>36</v>
      </c>
    </row>
    <row r="299" spans="1:17" x14ac:dyDescent="0.35">
      <c r="A299" t="s">
        <v>351</v>
      </c>
      <c r="B299" t="s">
        <v>23</v>
      </c>
      <c r="C299">
        <v>32</v>
      </c>
      <c r="D299" t="s">
        <v>17</v>
      </c>
      <c r="E299" t="s">
        <v>32</v>
      </c>
      <c r="F299" t="s">
        <v>28</v>
      </c>
      <c r="G299">
        <v>2.5</v>
      </c>
      <c r="H299">
        <v>2.1</v>
      </c>
      <c r="I299" t="str" cm="1">
        <f t="array" ref="I299">_xlfn.IFS(G299&lt;3, "0–2 Years", G299&lt;6, "3–5 Years", G299&lt;9, "6–8 Years", G299&lt;12, "9-11 Years", G299&gt;=12, "12-14 Years")</f>
        <v>0–2 Years</v>
      </c>
      <c r="J299">
        <v>3</v>
      </c>
      <c r="K299" t="s">
        <v>20</v>
      </c>
      <c r="L299">
        <v>64800</v>
      </c>
      <c r="M299">
        <v>3300</v>
      </c>
      <c r="N299">
        <v>68100</v>
      </c>
      <c r="O299" t="s">
        <v>25</v>
      </c>
      <c r="P299" s="3">
        <v>45113</v>
      </c>
      <c r="Q299" t="s">
        <v>28</v>
      </c>
    </row>
    <row r="300" spans="1:17" x14ac:dyDescent="0.35">
      <c r="A300" t="s">
        <v>352</v>
      </c>
      <c r="B300" t="s">
        <v>16</v>
      </c>
      <c r="C300">
        <v>23</v>
      </c>
      <c r="D300" t="s">
        <v>17</v>
      </c>
      <c r="E300" t="s">
        <v>32</v>
      </c>
      <c r="F300" t="s">
        <v>28</v>
      </c>
      <c r="G300">
        <v>1.7</v>
      </c>
      <c r="H300">
        <v>0</v>
      </c>
      <c r="I300" t="str" cm="1">
        <f t="array" ref="I300">_xlfn.IFS(G300&lt;3, "0–2 Years", G300&lt;6, "3–5 Years", G300&lt;9, "6–8 Years", G300&lt;12, "9-11 Years", G300&gt;=12, "12-14 Years")</f>
        <v>0–2 Years</v>
      </c>
      <c r="J300">
        <v>4</v>
      </c>
      <c r="K300" t="s">
        <v>20</v>
      </c>
      <c r="L300">
        <v>65400</v>
      </c>
      <c r="M300">
        <v>3800</v>
      </c>
      <c r="N300">
        <v>69200</v>
      </c>
      <c r="O300" t="s">
        <v>21</v>
      </c>
      <c r="P300" s="3">
        <v>45406</v>
      </c>
      <c r="Q300" t="s">
        <v>28</v>
      </c>
    </row>
    <row r="301" spans="1:17" x14ac:dyDescent="0.35">
      <c r="A301" t="s">
        <v>353</v>
      </c>
      <c r="B301" t="s">
        <v>23</v>
      </c>
      <c r="C301">
        <v>34</v>
      </c>
      <c r="D301" t="s">
        <v>41</v>
      </c>
      <c r="E301" t="s">
        <v>42</v>
      </c>
      <c r="F301" t="s">
        <v>28</v>
      </c>
      <c r="G301">
        <v>10.1</v>
      </c>
      <c r="H301">
        <v>6.3</v>
      </c>
      <c r="I301" t="str" cm="1">
        <f t="array" ref="I301">_xlfn.IFS(G301&lt;3, "0–2 Years", G301&lt;6, "3–5 Years", G301&lt;9, "6–8 Years", G301&lt;12, "9-11 Years", G301&gt;=12, "12-14 Years")</f>
        <v>9-11 Years</v>
      </c>
      <c r="J301">
        <v>3</v>
      </c>
      <c r="K301" t="s">
        <v>20</v>
      </c>
      <c r="L301">
        <v>84700</v>
      </c>
      <c r="M301">
        <v>6400</v>
      </c>
      <c r="N301">
        <v>91100</v>
      </c>
      <c r="O301" t="s">
        <v>30</v>
      </c>
      <c r="P301" s="3">
        <v>42327</v>
      </c>
      <c r="Q301" t="s">
        <v>28</v>
      </c>
    </row>
    <row r="302" spans="1:17" x14ac:dyDescent="0.35">
      <c r="A302" t="s">
        <v>354</v>
      </c>
      <c r="B302" t="s">
        <v>16</v>
      </c>
      <c r="C302">
        <v>23</v>
      </c>
      <c r="D302" t="s">
        <v>17</v>
      </c>
      <c r="E302" t="s">
        <v>18</v>
      </c>
      <c r="F302" t="s">
        <v>19</v>
      </c>
      <c r="G302">
        <v>3.1</v>
      </c>
      <c r="H302">
        <v>1.9</v>
      </c>
      <c r="I302" t="str" cm="1">
        <f t="array" ref="I302">_xlfn.IFS(G302&lt;3, "0–2 Years", G302&lt;6, "3–5 Years", G302&lt;9, "6–8 Years", G302&lt;12, "9-11 Years", G302&gt;=12, "12-14 Years")</f>
        <v>3–5 Years</v>
      </c>
      <c r="J302">
        <v>4</v>
      </c>
      <c r="K302" t="s">
        <v>24</v>
      </c>
      <c r="L302">
        <v>60700</v>
      </c>
      <c r="M302">
        <v>5400</v>
      </c>
      <c r="N302">
        <v>66100</v>
      </c>
      <c r="O302" t="s">
        <v>25</v>
      </c>
      <c r="P302" s="3">
        <v>44906</v>
      </c>
      <c r="Q302" t="s">
        <v>19</v>
      </c>
    </row>
    <row r="303" spans="1:17" x14ac:dyDescent="0.35">
      <c r="A303" t="s">
        <v>355</v>
      </c>
      <c r="B303" t="s">
        <v>16</v>
      </c>
      <c r="C303" s="7">
        <v>26</v>
      </c>
      <c r="D303" t="s">
        <v>41</v>
      </c>
      <c r="E303" t="s">
        <v>73</v>
      </c>
      <c r="F303" t="s">
        <v>36</v>
      </c>
      <c r="G303" s="9">
        <v>12.2</v>
      </c>
      <c r="H303" s="7">
        <v>6.4</v>
      </c>
      <c r="I303" t="str" cm="1">
        <f t="array" ref="I303">_xlfn.IFS(G303&lt;3, "0–2 Years", G303&lt;6, "3–5 Years", G303&lt;9, "6–8 Years", G303&lt;12, "9-11 Years", G303&gt;=12, "12-14 Years")</f>
        <v>12-14 Years</v>
      </c>
      <c r="J303" s="7">
        <v>4</v>
      </c>
      <c r="K303" t="s">
        <v>20</v>
      </c>
      <c r="L303" s="7">
        <v>114300</v>
      </c>
      <c r="M303" s="7">
        <v>6200</v>
      </c>
      <c r="N303" s="7">
        <v>120500</v>
      </c>
      <c r="O303" t="s">
        <v>57</v>
      </c>
      <c r="P303" s="3">
        <v>41574</v>
      </c>
      <c r="Q303" t="s">
        <v>36</v>
      </c>
    </row>
    <row r="304" spans="1:17" x14ac:dyDescent="0.35">
      <c r="A304" t="s">
        <v>356</v>
      </c>
      <c r="B304" t="s">
        <v>23</v>
      </c>
      <c r="C304">
        <v>46</v>
      </c>
      <c r="D304" t="s">
        <v>17</v>
      </c>
      <c r="E304" t="s">
        <v>18</v>
      </c>
      <c r="F304" t="s">
        <v>36</v>
      </c>
      <c r="G304">
        <v>6.7</v>
      </c>
      <c r="H304">
        <v>3.3</v>
      </c>
      <c r="I304" t="str" cm="1">
        <f t="array" ref="I304">_xlfn.IFS(G304&lt;3, "0–2 Years", G304&lt;6, "3–5 Years", G304&lt;9, "6–8 Years", G304&lt;12, "9-11 Years", G304&gt;=12, "12-14 Years")</f>
        <v>6–8 Years</v>
      </c>
      <c r="J304">
        <v>3</v>
      </c>
      <c r="K304" t="s">
        <v>20</v>
      </c>
      <c r="L304">
        <v>105400</v>
      </c>
      <c r="M304">
        <v>6000</v>
      </c>
      <c r="N304">
        <v>111400</v>
      </c>
      <c r="O304" t="s">
        <v>57</v>
      </c>
      <c r="P304" s="3">
        <v>43582</v>
      </c>
      <c r="Q304" t="s">
        <v>36</v>
      </c>
    </row>
    <row r="305" spans="1:17" x14ac:dyDescent="0.35">
      <c r="A305" t="s">
        <v>357</v>
      </c>
      <c r="B305" t="s">
        <v>23</v>
      </c>
      <c r="C305" s="7">
        <v>50</v>
      </c>
      <c r="D305" t="s">
        <v>41</v>
      </c>
      <c r="E305" t="s">
        <v>73</v>
      </c>
      <c r="F305" t="s">
        <v>36</v>
      </c>
      <c r="G305" s="9">
        <v>13.1</v>
      </c>
      <c r="H305" s="7">
        <v>8.9</v>
      </c>
      <c r="I305" t="str" cm="1">
        <f t="array" ref="I305">_xlfn.IFS(G305&lt;3, "0–2 Years", G305&lt;6, "3–5 Years", G305&lt;9, "6–8 Years", G305&lt;12, "9-11 Years", G305&gt;=12, "12-14 Years")</f>
        <v>12-14 Years</v>
      </c>
      <c r="J305" s="7">
        <v>4</v>
      </c>
      <c r="K305" t="s">
        <v>20</v>
      </c>
      <c r="L305" s="7">
        <v>128200</v>
      </c>
      <c r="M305" s="7">
        <v>10500</v>
      </c>
      <c r="N305" s="7">
        <v>138700</v>
      </c>
      <c r="O305" t="s">
        <v>57</v>
      </c>
      <c r="P305" s="3">
        <v>41227</v>
      </c>
      <c r="Q305" t="s">
        <v>36</v>
      </c>
    </row>
    <row r="306" spans="1:17" x14ac:dyDescent="0.35">
      <c r="A306" t="s">
        <v>358</v>
      </c>
      <c r="B306" t="s">
        <v>16</v>
      </c>
      <c r="C306" s="7">
        <v>23</v>
      </c>
      <c r="D306" t="s">
        <v>44</v>
      </c>
      <c r="E306" t="s">
        <v>81</v>
      </c>
      <c r="F306" t="s">
        <v>19</v>
      </c>
      <c r="G306" s="9">
        <v>13.2</v>
      </c>
      <c r="H306" s="7">
        <v>10.199999999999999</v>
      </c>
      <c r="I306" t="str" cm="1">
        <f t="array" ref="I306">_xlfn.IFS(G306&lt;3, "0–2 Years", G306&lt;6, "3–5 Years", G306&lt;9, "6–8 Years", G306&lt;12, "9-11 Years", G306&gt;=12, "12-14 Years")</f>
        <v>12-14 Years</v>
      </c>
      <c r="J306" s="7">
        <v>4</v>
      </c>
      <c r="K306" t="s">
        <v>20</v>
      </c>
      <c r="L306" s="7">
        <v>110100</v>
      </c>
      <c r="M306" s="7">
        <v>7700</v>
      </c>
      <c r="N306" s="7">
        <v>117800</v>
      </c>
      <c r="O306" t="s">
        <v>57</v>
      </c>
      <c r="P306" s="3">
        <v>41210</v>
      </c>
      <c r="Q306" t="s">
        <v>19</v>
      </c>
    </row>
    <row r="307" spans="1:17" x14ac:dyDescent="0.35">
      <c r="A307" t="s">
        <v>359</v>
      </c>
      <c r="B307" t="s">
        <v>23</v>
      </c>
      <c r="C307">
        <v>40</v>
      </c>
      <c r="D307" t="s">
        <v>17</v>
      </c>
      <c r="E307" t="s">
        <v>18</v>
      </c>
      <c r="F307" t="s">
        <v>28</v>
      </c>
      <c r="G307">
        <v>3.8</v>
      </c>
      <c r="H307">
        <v>0.5</v>
      </c>
      <c r="I307" t="str" cm="1">
        <f t="array" ref="I307">_xlfn.IFS(G307&lt;3, "0–2 Years", G307&lt;6, "3–5 Years", G307&lt;9, "6–8 Years", G307&lt;12, "9-11 Years", G307&gt;=12, "12-14 Years")</f>
        <v>3–5 Years</v>
      </c>
      <c r="J307">
        <v>2</v>
      </c>
      <c r="K307" t="s">
        <v>20</v>
      </c>
      <c r="L307">
        <v>94800</v>
      </c>
      <c r="M307">
        <v>8100</v>
      </c>
      <c r="N307">
        <v>102900</v>
      </c>
      <c r="O307" t="s">
        <v>30</v>
      </c>
      <c r="P307" s="3">
        <v>44618</v>
      </c>
      <c r="Q307" t="s">
        <v>28</v>
      </c>
    </row>
    <row r="308" spans="1:17" x14ac:dyDescent="0.35">
      <c r="A308" t="s">
        <v>360</v>
      </c>
      <c r="B308" t="s">
        <v>23</v>
      </c>
      <c r="C308">
        <v>47</v>
      </c>
      <c r="D308" t="s">
        <v>44</v>
      </c>
      <c r="E308" t="s">
        <v>51</v>
      </c>
      <c r="F308" t="s">
        <v>28</v>
      </c>
      <c r="G308">
        <v>9.9</v>
      </c>
      <c r="H308">
        <v>6.8</v>
      </c>
      <c r="I308" t="str" cm="1">
        <f t="array" ref="I308">_xlfn.IFS(G308&lt;3, "0–2 Years", G308&lt;6, "3–5 Years", G308&lt;9, "6–8 Years", G308&lt;12, "9-11 Years", G308&gt;=12, "12-14 Years")</f>
        <v>9-11 Years</v>
      </c>
      <c r="J308">
        <v>5</v>
      </c>
      <c r="K308" t="s">
        <v>20</v>
      </c>
      <c r="L308">
        <v>101900</v>
      </c>
      <c r="M308">
        <v>10700</v>
      </c>
      <c r="N308">
        <v>112600</v>
      </c>
      <c r="O308" t="s">
        <v>57</v>
      </c>
      <c r="P308" s="3">
        <v>42406</v>
      </c>
      <c r="Q308" t="s">
        <v>28</v>
      </c>
    </row>
    <row r="309" spans="1:17" x14ac:dyDescent="0.35">
      <c r="A309" t="s">
        <v>361</v>
      </c>
      <c r="B309" t="s">
        <v>23</v>
      </c>
      <c r="C309" s="7">
        <v>21</v>
      </c>
      <c r="D309" t="s">
        <v>38</v>
      </c>
      <c r="E309" t="s">
        <v>39</v>
      </c>
      <c r="F309" t="s">
        <v>28</v>
      </c>
      <c r="G309" s="9">
        <v>12.9</v>
      </c>
      <c r="H309" s="7">
        <v>7.4</v>
      </c>
      <c r="I309" t="str" cm="1">
        <f t="array" ref="I309">_xlfn.IFS(G309&lt;3, "0–2 Years", G309&lt;6, "3–5 Years", G309&lt;9, "6–8 Years", G309&lt;12, "9-11 Years", G309&gt;=12, "12-14 Years")</f>
        <v>12-14 Years</v>
      </c>
      <c r="J309" s="7">
        <v>5</v>
      </c>
      <c r="K309" t="s">
        <v>69</v>
      </c>
      <c r="L309" s="7">
        <v>66500</v>
      </c>
      <c r="M309" s="7">
        <v>4900</v>
      </c>
      <c r="N309" s="7">
        <v>71400</v>
      </c>
      <c r="O309" t="s">
        <v>21</v>
      </c>
      <c r="P309" s="3">
        <v>41321</v>
      </c>
      <c r="Q309" t="s">
        <v>28</v>
      </c>
    </row>
    <row r="310" spans="1:17" x14ac:dyDescent="0.35">
      <c r="A310" t="s">
        <v>362</v>
      </c>
      <c r="B310" t="s">
        <v>16</v>
      </c>
      <c r="C310">
        <v>47</v>
      </c>
      <c r="D310" t="s">
        <v>17</v>
      </c>
      <c r="E310" t="s">
        <v>18</v>
      </c>
      <c r="F310" t="s">
        <v>19</v>
      </c>
      <c r="G310">
        <v>8.8000000000000007</v>
      </c>
      <c r="H310">
        <v>7.4</v>
      </c>
      <c r="I310" t="str" cm="1">
        <f t="array" ref="I310">_xlfn.IFS(G310&lt;3, "0–2 Years", G310&lt;6, "3–5 Years", G310&lt;9, "6–8 Years", G310&lt;12, "9-11 Years", G310&gt;=12, "12-14 Years")</f>
        <v>6–8 Years</v>
      </c>
      <c r="J310">
        <v>3</v>
      </c>
      <c r="K310" t="s">
        <v>20</v>
      </c>
      <c r="L310">
        <v>100800</v>
      </c>
      <c r="M310">
        <v>13300</v>
      </c>
      <c r="N310">
        <v>114100</v>
      </c>
      <c r="O310" t="s">
        <v>57</v>
      </c>
      <c r="P310" s="3">
        <v>42805</v>
      </c>
      <c r="Q310" t="s">
        <v>19</v>
      </c>
    </row>
    <row r="311" spans="1:17" x14ac:dyDescent="0.35">
      <c r="A311" t="s">
        <v>363</v>
      </c>
      <c r="B311" t="s">
        <v>16</v>
      </c>
      <c r="C311">
        <v>29</v>
      </c>
      <c r="D311" t="s">
        <v>34</v>
      </c>
      <c r="E311" t="s">
        <v>47</v>
      </c>
      <c r="F311" t="s">
        <v>19</v>
      </c>
      <c r="G311">
        <v>1.1000000000000001</v>
      </c>
      <c r="H311">
        <v>1.1000000000000001</v>
      </c>
      <c r="I311" t="str" cm="1">
        <f t="array" ref="I311">_xlfn.IFS(G311&lt;3, "0–2 Years", G311&lt;6, "3–5 Years", G311&lt;9, "6–8 Years", G311&lt;12, "9-11 Years", G311&gt;=12, "12-14 Years")</f>
        <v>0–2 Years</v>
      </c>
      <c r="J311">
        <v>5</v>
      </c>
      <c r="K311" t="s">
        <v>20</v>
      </c>
      <c r="L311">
        <v>76000</v>
      </c>
      <c r="M311">
        <v>3900</v>
      </c>
      <c r="N311">
        <v>79900</v>
      </c>
      <c r="O311" t="s">
        <v>21</v>
      </c>
      <c r="P311" s="3">
        <v>45630</v>
      </c>
      <c r="Q311" t="s">
        <v>19</v>
      </c>
    </row>
    <row r="312" spans="1:17" x14ac:dyDescent="0.35">
      <c r="A312" t="s">
        <v>364</v>
      </c>
      <c r="B312" t="s">
        <v>23</v>
      </c>
      <c r="C312">
        <v>36</v>
      </c>
      <c r="D312" t="s">
        <v>55</v>
      </c>
      <c r="E312" t="s">
        <v>56</v>
      </c>
      <c r="F312" t="s">
        <v>36</v>
      </c>
      <c r="G312">
        <v>11.7</v>
      </c>
      <c r="H312">
        <v>8.5</v>
      </c>
      <c r="I312" t="str" cm="1">
        <f t="array" ref="I312">_xlfn.IFS(G312&lt;3, "0–2 Years", G312&lt;6, "3–5 Years", G312&lt;9, "6–8 Years", G312&lt;12, "9-11 Years", G312&gt;=12, "12-14 Years")</f>
        <v>9-11 Years</v>
      </c>
      <c r="J312">
        <v>1</v>
      </c>
      <c r="K312" t="s">
        <v>20</v>
      </c>
      <c r="L312">
        <v>108000</v>
      </c>
      <c r="M312">
        <v>15500</v>
      </c>
      <c r="N312">
        <v>123500</v>
      </c>
      <c r="O312" t="s">
        <v>57</v>
      </c>
      <c r="P312" s="3">
        <v>41751</v>
      </c>
      <c r="Q312" t="s">
        <v>36</v>
      </c>
    </row>
    <row r="313" spans="1:17" x14ac:dyDescent="0.35">
      <c r="A313" t="s">
        <v>365</v>
      </c>
      <c r="B313" t="s">
        <v>23</v>
      </c>
      <c r="C313">
        <v>28</v>
      </c>
      <c r="D313" t="s">
        <v>41</v>
      </c>
      <c r="E313" t="s">
        <v>73</v>
      </c>
      <c r="F313" t="s">
        <v>28</v>
      </c>
      <c r="G313">
        <v>11.5</v>
      </c>
      <c r="H313">
        <v>7.7</v>
      </c>
      <c r="I313" t="str" cm="1">
        <f t="array" ref="I313">_xlfn.IFS(G313&lt;3, "0–2 Years", G313&lt;6, "3–5 Years", G313&lt;9, "6–8 Years", G313&lt;12, "9-11 Years", G313&gt;=12, "12-14 Years")</f>
        <v>9-11 Years</v>
      </c>
      <c r="J313">
        <v>3</v>
      </c>
      <c r="K313" t="s">
        <v>20</v>
      </c>
      <c r="L313">
        <v>108900</v>
      </c>
      <c r="M313">
        <v>8900</v>
      </c>
      <c r="N313">
        <v>117800</v>
      </c>
      <c r="O313" t="s">
        <v>57</v>
      </c>
      <c r="P313" s="3">
        <v>41833</v>
      </c>
      <c r="Q313" t="s">
        <v>28</v>
      </c>
    </row>
    <row r="314" spans="1:17" x14ac:dyDescent="0.35">
      <c r="A314" t="s">
        <v>366</v>
      </c>
      <c r="B314" t="s">
        <v>23</v>
      </c>
      <c r="C314">
        <v>41</v>
      </c>
      <c r="D314" t="s">
        <v>55</v>
      </c>
      <c r="E314" t="s">
        <v>92</v>
      </c>
      <c r="F314" t="s">
        <v>28</v>
      </c>
      <c r="G314">
        <v>10.6</v>
      </c>
      <c r="H314">
        <v>6.4</v>
      </c>
      <c r="I314" t="str" cm="1">
        <f t="array" ref="I314">_xlfn.IFS(G314&lt;3, "0–2 Years", G314&lt;6, "3–5 Years", G314&lt;9, "6–8 Years", G314&lt;12, "9-11 Years", G314&gt;=12, "12-14 Years")</f>
        <v>9-11 Years</v>
      </c>
      <c r="J314">
        <v>1</v>
      </c>
      <c r="K314" t="s">
        <v>20</v>
      </c>
      <c r="L314">
        <v>92000</v>
      </c>
      <c r="M314">
        <v>14200</v>
      </c>
      <c r="N314">
        <v>106200</v>
      </c>
      <c r="O314" t="s">
        <v>30</v>
      </c>
      <c r="P314" s="3">
        <v>42144</v>
      </c>
      <c r="Q314" t="s">
        <v>28</v>
      </c>
    </row>
    <row r="315" spans="1:17" x14ac:dyDescent="0.35">
      <c r="A315" t="s">
        <v>367</v>
      </c>
      <c r="B315" t="s">
        <v>23</v>
      </c>
      <c r="C315">
        <v>32</v>
      </c>
      <c r="D315" t="s">
        <v>17</v>
      </c>
      <c r="E315" t="s">
        <v>32</v>
      </c>
      <c r="F315" t="s">
        <v>19</v>
      </c>
      <c r="G315">
        <v>6.8</v>
      </c>
      <c r="H315">
        <v>6.4</v>
      </c>
      <c r="I315" t="str" cm="1">
        <f t="array" ref="I315">_xlfn.IFS(G315&lt;3, "0–2 Years", G315&lt;6, "3–5 Years", G315&lt;9, "6–8 Years", G315&lt;12, "9-11 Years", G315&gt;=12, "12-14 Years")</f>
        <v>6–8 Years</v>
      </c>
      <c r="J315">
        <v>3</v>
      </c>
      <c r="K315" t="s">
        <v>20</v>
      </c>
      <c r="L315">
        <v>65400</v>
      </c>
      <c r="M315">
        <v>8000</v>
      </c>
      <c r="N315">
        <v>73400</v>
      </c>
      <c r="O315" t="s">
        <v>21</v>
      </c>
      <c r="P315" s="3">
        <v>43547</v>
      </c>
      <c r="Q315" t="s">
        <v>19</v>
      </c>
    </row>
    <row r="316" spans="1:17" x14ac:dyDescent="0.35">
      <c r="A316" t="s">
        <v>368</v>
      </c>
      <c r="B316" t="s">
        <v>23</v>
      </c>
      <c r="C316">
        <v>30</v>
      </c>
      <c r="D316" t="s">
        <v>44</v>
      </c>
      <c r="E316" t="s">
        <v>51</v>
      </c>
      <c r="F316" t="s">
        <v>62</v>
      </c>
      <c r="G316">
        <v>8.5</v>
      </c>
      <c r="H316">
        <v>4.3</v>
      </c>
      <c r="I316" t="str" cm="1">
        <f t="array" ref="I316">_xlfn.IFS(G316&lt;3, "0–2 Years", G316&lt;6, "3–5 Years", G316&lt;9, "6–8 Years", G316&lt;12, "9-11 Years", G316&gt;=12, "12-14 Years")</f>
        <v>6–8 Years</v>
      </c>
      <c r="J316">
        <v>3</v>
      </c>
      <c r="K316" t="s">
        <v>20</v>
      </c>
      <c r="L316">
        <v>89600</v>
      </c>
      <c r="M316">
        <v>10000</v>
      </c>
      <c r="N316">
        <v>99600</v>
      </c>
      <c r="O316" t="s">
        <v>30</v>
      </c>
      <c r="P316" s="3">
        <v>42928</v>
      </c>
      <c r="Q316" t="s">
        <v>62</v>
      </c>
    </row>
    <row r="317" spans="1:17" x14ac:dyDescent="0.35">
      <c r="A317" t="s">
        <v>369</v>
      </c>
      <c r="B317" t="s">
        <v>16</v>
      </c>
      <c r="C317">
        <v>28</v>
      </c>
      <c r="D317" t="s">
        <v>34</v>
      </c>
      <c r="E317" t="s">
        <v>47</v>
      </c>
      <c r="F317" t="s">
        <v>28</v>
      </c>
      <c r="G317">
        <v>1.9</v>
      </c>
      <c r="H317">
        <v>1.9</v>
      </c>
      <c r="I317" t="str" cm="1">
        <f t="array" ref="I317">_xlfn.IFS(G317&lt;3, "0–2 Years", G317&lt;6, "3–5 Years", G317&lt;9, "6–8 Years", G317&lt;12, "9-11 Years", G317&gt;=12, "12-14 Years")</f>
        <v>0–2 Years</v>
      </c>
      <c r="J317">
        <v>3</v>
      </c>
      <c r="K317" t="s">
        <v>20</v>
      </c>
      <c r="L317">
        <v>72700</v>
      </c>
      <c r="M317">
        <v>5100</v>
      </c>
      <c r="N317">
        <v>77800</v>
      </c>
      <c r="O317" t="s">
        <v>21</v>
      </c>
      <c r="P317" s="3">
        <v>45317</v>
      </c>
      <c r="Q317" t="s">
        <v>28</v>
      </c>
    </row>
    <row r="318" spans="1:17" x14ac:dyDescent="0.35">
      <c r="A318" t="s">
        <v>370</v>
      </c>
      <c r="B318" t="s">
        <v>16</v>
      </c>
      <c r="C318">
        <v>31</v>
      </c>
      <c r="D318" t="s">
        <v>44</v>
      </c>
      <c r="E318" t="s">
        <v>81</v>
      </c>
      <c r="F318" t="s">
        <v>28</v>
      </c>
      <c r="G318">
        <v>5.4</v>
      </c>
      <c r="H318">
        <v>4.5</v>
      </c>
      <c r="I318" t="str" cm="1">
        <f t="array" ref="I318">_xlfn.IFS(G318&lt;3, "0–2 Years", G318&lt;6, "3–5 Years", G318&lt;9, "6–8 Years", G318&lt;12, "9-11 Years", G318&gt;=12, "12-14 Years")</f>
        <v>3–5 Years</v>
      </c>
      <c r="J318">
        <v>3</v>
      </c>
      <c r="K318" t="s">
        <v>24</v>
      </c>
      <c r="L318">
        <v>64700</v>
      </c>
      <c r="M318">
        <v>3800</v>
      </c>
      <c r="N318">
        <v>68500</v>
      </c>
      <c r="O318" t="s">
        <v>25</v>
      </c>
      <c r="P318" s="3">
        <v>44050</v>
      </c>
      <c r="Q318" t="s">
        <v>28</v>
      </c>
    </row>
    <row r="319" spans="1:17" x14ac:dyDescent="0.35">
      <c r="A319" t="s">
        <v>371</v>
      </c>
      <c r="B319" t="s">
        <v>23</v>
      </c>
      <c r="C319">
        <v>43</v>
      </c>
      <c r="D319" t="s">
        <v>55</v>
      </c>
      <c r="E319" t="s">
        <v>56</v>
      </c>
      <c r="F319" t="s">
        <v>62</v>
      </c>
      <c r="G319">
        <v>11.8</v>
      </c>
      <c r="H319">
        <v>6</v>
      </c>
      <c r="I319" t="str" cm="1">
        <f t="array" ref="I319">_xlfn.IFS(G319&lt;3, "0–2 Years", G319&lt;6, "3–5 Years", G319&lt;9, "6–8 Years", G319&lt;12, "9-11 Years", G319&gt;=12, "12-14 Years")</f>
        <v>9-11 Years</v>
      </c>
      <c r="J319">
        <v>4</v>
      </c>
      <c r="K319" t="s">
        <v>20</v>
      </c>
      <c r="L319">
        <v>131800</v>
      </c>
      <c r="M319">
        <v>26900</v>
      </c>
      <c r="N319">
        <v>158700</v>
      </c>
      <c r="O319" t="s">
        <v>57</v>
      </c>
      <c r="P319" s="3">
        <v>41718</v>
      </c>
      <c r="Q319" t="s">
        <v>62</v>
      </c>
    </row>
    <row r="320" spans="1:17" x14ac:dyDescent="0.35">
      <c r="A320" t="s">
        <v>372</v>
      </c>
      <c r="B320" t="s">
        <v>23</v>
      </c>
      <c r="C320">
        <v>52</v>
      </c>
      <c r="D320" t="s">
        <v>41</v>
      </c>
      <c r="E320" t="s">
        <v>42</v>
      </c>
      <c r="F320" t="s">
        <v>28</v>
      </c>
      <c r="G320">
        <v>4.3</v>
      </c>
      <c r="H320">
        <v>1.8</v>
      </c>
      <c r="I320" t="str" cm="1">
        <f t="array" ref="I320">_xlfn.IFS(G320&lt;3, "0–2 Years", G320&lt;6, "3–5 Years", G320&lt;9, "6–8 Years", G320&lt;12, "9-11 Years", G320&gt;=12, "12-14 Years")</f>
        <v>3–5 Years</v>
      </c>
      <c r="J320">
        <v>4</v>
      </c>
      <c r="K320" t="s">
        <v>69</v>
      </c>
      <c r="L320">
        <v>63700</v>
      </c>
      <c r="M320">
        <v>2600</v>
      </c>
      <c r="N320">
        <v>66300</v>
      </c>
      <c r="O320" t="s">
        <v>25</v>
      </c>
      <c r="P320" s="3">
        <v>44464</v>
      </c>
      <c r="Q320" t="s">
        <v>28</v>
      </c>
    </row>
    <row r="321" spans="1:17" x14ac:dyDescent="0.35">
      <c r="A321" t="s">
        <v>373</v>
      </c>
      <c r="B321" t="s">
        <v>16</v>
      </c>
      <c r="C321">
        <v>35</v>
      </c>
      <c r="D321" t="s">
        <v>17</v>
      </c>
      <c r="E321" t="s">
        <v>32</v>
      </c>
      <c r="F321" t="s">
        <v>62</v>
      </c>
      <c r="G321">
        <v>2.4</v>
      </c>
      <c r="H321">
        <v>1.5</v>
      </c>
      <c r="I321" t="str" cm="1">
        <f t="array" ref="I321">_xlfn.IFS(G321&lt;3, "0–2 Years", G321&lt;6, "3–5 Years", G321&lt;9, "6–8 Years", G321&lt;12, "9-11 Years", G321&gt;=12, "12-14 Years")</f>
        <v>0–2 Years</v>
      </c>
      <c r="J321">
        <v>2</v>
      </c>
      <c r="K321" t="s">
        <v>20</v>
      </c>
      <c r="L321">
        <v>61900</v>
      </c>
      <c r="M321">
        <v>6900</v>
      </c>
      <c r="N321">
        <v>68800</v>
      </c>
      <c r="O321" t="s">
        <v>25</v>
      </c>
      <c r="P321" s="3">
        <v>45162</v>
      </c>
      <c r="Q321" t="s">
        <v>62</v>
      </c>
    </row>
    <row r="322" spans="1:17" x14ac:dyDescent="0.35">
      <c r="A322" t="s">
        <v>374</v>
      </c>
      <c r="B322" t="s">
        <v>23</v>
      </c>
      <c r="C322">
        <v>31</v>
      </c>
      <c r="D322" t="s">
        <v>44</v>
      </c>
      <c r="E322" t="s">
        <v>81</v>
      </c>
      <c r="F322" t="s">
        <v>28</v>
      </c>
      <c r="G322">
        <v>7.8</v>
      </c>
      <c r="H322">
        <v>5</v>
      </c>
      <c r="I322" t="str" cm="1">
        <f t="array" ref="I322">_xlfn.IFS(G322&lt;3, "0–2 Years", G322&lt;6, "3–5 Years", G322&lt;9, "6–8 Years", G322&lt;12, "9-11 Years", G322&gt;=12, "12-14 Years")</f>
        <v>6–8 Years</v>
      </c>
      <c r="J322">
        <v>3</v>
      </c>
      <c r="K322" t="s">
        <v>20</v>
      </c>
      <c r="L322">
        <v>90000</v>
      </c>
      <c r="M322">
        <v>10900</v>
      </c>
      <c r="N322">
        <v>100900</v>
      </c>
      <c r="O322" t="s">
        <v>30</v>
      </c>
      <c r="P322" s="3">
        <v>43186</v>
      </c>
      <c r="Q322" t="s">
        <v>28</v>
      </c>
    </row>
    <row r="323" spans="1:17" x14ac:dyDescent="0.35">
      <c r="A323" t="s">
        <v>375</v>
      </c>
      <c r="B323" t="s">
        <v>23</v>
      </c>
      <c r="C323">
        <v>32</v>
      </c>
      <c r="D323" t="s">
        <v>38</v>
      </c>
      <c r="E323" t="s">
        <v>61</v>
      </c>
      <c r="F323" t="s">
        <v>36</v>
      </c>
      <c r="G323">
        <v>10.4</v>
      </c>
      <c r="H323">
        <v>8</v>
      </c>
      <c r="I323" t="str" cm="1">
        <f t="array" ref="I323">_xlfn.IFS(G323&lt;3, "0–2 Years", G323&lt;6, "3–5 Years", G323&lt;9, "6–8 Years", G323&lt;12, "9-11 Years", G323&gt;=12, "12-14 Years")</f>
        <v>9-11 Years</v>
      </c>
      <c r="J323">
        <v>3</v>
      </c>
      <c r="K323" t="s">
        <v>20</v>
      </c>
      <c r="L323">
        <v>110800</v>
      </c>
      <c r="M323">
        <v>4300</v>
      </c>
      <c r="N323">
        <v>115100</v>
      </c>
      <c r="O323" t="s">
        <v>57</v>
      </c>
      <c r="P323" s="3">
        <v>42229</v>
      </c>
      <c r="Q323" t="s">
        <v>36</v>
      </c>
    </row>
    <row r="324" spans="1:17" x14ac:dyDescent="0.35">
      <c r="A324" t="s">
        <v>376</v>
      </c>
      <c r="B324" t="s">
        <v>16</v>
      </c>
      <c r="C324">
        <v>37</v>
      </c>
      <c r="D324" t="s">
        <v>44</v>
      </c>
      <c r="E324" t="s">
        <v>45</v>
      </c>
      <c r="F324" t="s">
        <v>36</v>
      </c>
      <c r="G324">
        <v>10.6</v>
      </c>
      <c r="H324">
        <v>5.5</v>
      </c>
      <c r="I324" t="str" cm="1">
        <f t="array" ref="I324">_xlfn.IFS(G324&lt;3, "0–2 Years", G324&lt;6, "3–5 Years", G324&lt;9, "6–8 Years", G324&lt;12, "9-11 Years", G324&gt;=12, "12-14 Years")</f>
        <v>9-11 Years</v>
      </c>
      <c r="J324">
        <v>4</v>
      </c>
      <c r="K324" t="s">
        <v>69</v>
      </c>
      <c r="L324">
        <v>74100</v>
      </c>
      <c r="M324">
        <v>3700</v>
      </c>
      <c r="N324">
        <v>77800</v>
      </c>
      <c r="O324" t="s">
        <v>21</v>
      </c>
      <c r="P324" s="3">
        <v>42153</v>
      </c>
      <c r="Q324" t="s">
        <v>36</v>
      </c>
    </row>
    <row r="325" spans="1:17" x14ac:dyDescent="0.35">
      <c r="A325" t="s">
        <v>377</v>
      </c>
      <c r="B325" t="s">
        <v>16</v>
      </c>
      <c r="C325">
        <v>18</v>
      </c>
      <c r="D325" t="s">
        <v>38</v>
      </c>
      <c r="E325" t="s">
        <v>39</v>
      </c>
      <c r="F325" t="s">
        <v>36</v>
      </c>
      <c r="G325">
        <v>6.2</v>
      </c>
      <c r="H325">
        <v>4</v>
      </c>
      <c r="I325" t="str" cm="1">
        <f t="array" ref="I325">_xlfn.IFS(G325&lt;3, "0–2 Years", G325&lt;6, "3–5 Years", G325&lt;9, "6–8 Years", G325&lt;12, "9-11 Years", G325&gt;=12, "12-14 Years")</f>
        <v>6–8 Years</v>
      </c>
      <c r="J325">
        <v>3</v>
      </c>
      <c r="K325" t="s">
        <v>20</v>
      </c>
      <c r="L325">
        <v>74700</v>
      </c>
      <c r="M325">
        <v>3200</v>
      </c>
      <c r="N325">
        <v>77900</v>
      </c>
      <c r="O325" t="s">
        <v>21</v>
      </c>
      <c r="P325" s="3">
        <v>43762</v>
      </c>
      <c r="Q325" t="s">
        <v>36</v>
      </c>
    </row>
    <row r="326" spans="1:17" x14ac:dyDescent="0.35">
      <c r="A326" t="s">
        <v>378</v>
      </c>
      <c r="B326" t="s">
        <v>16</v>
      </c>
      <c r="C326">
        <v>42</v>
      </c>
      <c r="D326" t="s">
        <v>41</v>
      </c>
      <c r="E326" t="s">
        <v>42</v>
      </c>
      <c r="F326" t="s">
        <v>36</v>
      </c>
      <c r="G326">
        <v>4.5</v>
      </c>
      <c r="H326">
        <v>3.5</v>
      </c>
      <c r="I326" t="str" cm="1">
        <f t="array" ref="I326">_xlfn.IFS(G326&lt;3, "0–2 Years", G326&lt;6, "3–5 Years", G326&lt;9, "6–8 Years", G326&lt;12, "9-11 Years", G326&gt;=12, "12-14 Years")</f>
        <v>3–5 Years</v>
      </c>
      <c r="J326">
        <v>2</v>
      </c>
      <c r="K326" t="s">
        <v>20</v>
      </c>
      <c r="L326">
        <v>60000</v>
      </c>
      <c r="M326">
        <v>4500</v>
      </c>
      <c r="N326">
        <v>64500</v>
      </c>
      <c r="O326" t="s">
        <v>25</v>
      </c>
      <c r="P326" s="3">
        <v>44367</v>
      </c>
      <c r="Q326" t="s">
        <v>36</v>
      </c>
    </row>
    <row r="327" spans="1:17" x14ac:dyDescent="0.35">
      <c r="A327" t="s">
        <v>379</v>
      </c>
      <c r="B327" t="s">
        <v>16</v>
      </c>
      <c r="C327" s="7">
        <v>38</v>
      </c>
      <c r="D327" t="s">
        <v>17</v>
      </c>
      <c r="E327" t="s">
        <v>18</v>
      </c>
      <c r="F327" t="s">
        <v>36</v>
      </c>
      <c r="G327" s="9">
        <v>13.6</v>
      </c>
      <c r="H327" s="7">
        <v>8.6</v>
      </c>
      <c r="I327" t="str" cm="1">
        <f t="array" ref="I327">_xlfn.IFS(G327&lt;3, "0–2 Years", G327&lt;6, "3–5 Years", G327&lt;9, "6–8 Years", G327&lt;12, "9-11 Years", G327&gt;=12, "12-14 Years")</f>
        <v>12-14 Years</v>
      </c>
      <c r="J327" s="7">
        <v>3</v>
      </c>
      <c r="K327" t="s">
        <v>20</v>
      </c>
      <c r="L327" s="7">
        <v>95300</v>
      </c>
      <c r="M327" s="7">
        <v>6900</v>
      </c>
      <c r="N327" s="7">
        <v>102200</v>
      </c>
      <c r="O327" t="s">
        <v>30</v>
      </c>
      <c r="P327" s="3">
        <v>41048</v>
      </c>
      <c r="Q327" t="s">
        <v>36</v>
      </c>
    </row>
    <row r="328" spans="1:17" x14ac:dyDescent="0.35">
      <c r="A328" t="s">
        <v>380</v>
      </c>
      <c r="B328" t="s">
        <v>16</v>
      </c>
      <c r="C328">
        <v>49</v>
      </c>
      <c r="D328" t="s">
        <v>44</v>
      </c>
      <c r="E328" t="s">
        <v>76</v>
      </c>
      <c r="F328" t="s">
        <v>28</v>
      </c>
      <c r="G328">
        <v>2.6</v>
      </c>
      <c r="H328">
        <v>1.4</v>
      </c>
      <c r="I328" t="str" cm="1">
        <f t="array" ref="I328">_xlfn.IFS(G328&lt;3, "0–2 Years", G328&lt;6, "3–5 Years", G328&lt;9, "6–8 Years", G328&lt;12, "9-11 Years", G328&gt;=12, "12-14 Years")</f>
        <v>0–2 Years</v>
      </c>
      <c r="J328">
        <v>4</v>
      </c>
      <c r="K328" t="s">
        <v>20</v>
      </c>
      <c r="L328">
        <v>95300</v>
      </c>
      <c r="M328">
        <v>8000</v>
      </c>
      <c r="N328">
        <v>103300</v>
      </c>
      <c r="O328" t="s">
        <v>30</v>
      </c>
      <c r="P328" s="3">
        <v>45091</v>
      </c>
      <c r="Q328" t="s">
        <v>28</v>
      </c>
    </row>
    <row r="329" spans="1:17" x14ac:dyDescent="0.35">
      <c r="A329" t="s">
        <v>381</v>
      </c>
      <c r="B329" t="s">
        <v>23</v>
      </c>
      <c r="C329">
        <v>37</v>
      </c>
      <c r="D329" t="s">
        <v>44</v>
      </c>
      <c r="E329" t="s">
        <v>76</v>
      </c>
      <c r="F329" t="s">
        <v>28</v>
      </c>
      <c r="G329">
        <v>9.6999999999999993</v>
      </c>
      <c r="H329">
        <v>7.4</v>
      </c>
      <c r="I329" t="str" cm="1">
        <f t="array" ref="I329">_xlfn.IFS(G329&lt;3, "0–2 Years", G329&lt;6, "3–5 Years", G329&lt;9, "6–8 Years", G329&lt;12, "9-11 Years", G329&gt;=12, "12-14 Years")</f>
        <v>9-11 Years</v>
      </c>
      <c r="J329">
        <v>3</v>
      </c>
      <c r="K329" t="s">
        <v>20</v>
      </c>
      <c r="L329">
        <v>118300</v>
      </c>
      <c r="M329">
        <v>7200</v>
      </c>
      <c r="N329">
        <v>125500</v>
      </c>
      <c r="O329" t="s">
        <v>57</v>
      </c>
      <c r="P329" s="3">
        <v>42463</v>
      </c>
      <c r="Q329" t="s">
        <v>28</v>
      </c>
    </row>
    <row r="330" spans="1:17" x14ac:dyDescent="0.35">
      <c r="A330" t="s">
        <v>382</v>
      </c>
      <c r="B330" t="s">
        <v>16</v>
      </c>
      <c r="C330">
        <v>37</v>
      </c>
      <c r="D330" t="s">
        <v>41</v>
      </c>
      <c r="E330" t="s">
        <v>42</v>
      </c>
      <c r="F330" t="s">
        <v>36</v>
      </c>
      <c r="G330">
        <v>11.7</v>
      </c>
      <c r="H330">
        <v>7.3</v>
      </c>
      <c r="I330" t="str" cm="1">
        <f t="array" ref="I330">_xlfn.IFS(G330&lt;3, "0–2 Years", G330&lt;6, "3–5 Years", G330&lt;9, "6–8 Years", G330&lt;12, "9-11 Years", G330&gt;=12, "12-14 Years")</f>
        <v>9-11 Years</v>
      </c>
      <c r="J330">
        <v>3</v>
      </c>
      <c r="K330" t="s">
        <v>69</v>
      </c>
      <c r="L330">
        <v>70700</v>
      </c>
      <c r="M330">
        <v>2300</v>
      </c>
      <c r="N330">
        <v>73000</v>
      </c>
      <c r="O330" t="s">
        <v>21</v>
      </c>
      <c r="P330" s="3">
        <v>41745</v>
      </c>
      <c r="Q330" t="s">
        <v>36</v>
      </c>
    </row>
    <row r="331" spans="1:17" x14ac:dyDescent="0.35">
      <c r="A331" t="s">
        <v>383</v>
      </c>
      <c r="B331" t="s">
        <v>16</v>
      </c>
      <c r="C331" s="7">
        <v>45</v>
      </c>
      <c r="D331" t="s">
        <v>17</v>
      </c>
      <c r="E331" t="s">
        <v>32</v>
      </c>
      <c r="F331" t="s">
        <v>28</v>
      </c>
      <c r="G331" s="9">
        <v>14</v>
      </c>
      <c r="H331" s="7">
        <v>11.1</v>
      </c>
      <c r="I331" t="str" cm="1">
        <f t="array" ref="I331">_xlfn.IFS(G331&lt;3, "0–2 Years", G331&lt;6, "3–5 Years", G331&lt;9, "6–8 Years", G331&lt;12, "9-11 Years", G331&gt;=12, "12-14 Years")</f>
        <v>12-14 Years</v>
      </c>
      <c r="J331" s="7">
        <v>3</v>
      </c>
      <c r="K331" t="s">
        <v>20</v>
      </c>
      <c r="L331" s="7">
        <v>78500</v>
      </c>
      <c r="M331" s="7">
        <v>9200</v>
      </c>
      <c r="N331" s="7">
        <v>87700</v>
      </c>
      <c r="O331" t="s">
        <v>21</v>
      </c>
      <c r="P331" s="3">
        <v>40913</v>
      </c>
      <c r="Q331" t="s">
        <v>28</v>
      </c>
    </row>
    <row r="332" spans="1:17" x14ac:dyDescent="0.35">
      <c r="A332" t="s">
        <v>384</v>
      </c>
      <c r="B332" t="s">
        <v>16</v>
      </c>
      <c r="C332">
        <v>51</v>
      </c>
      <c r="D332" t="s">
        <v>17</v>
      </c>
      <c r="E332" t="s">
        <v>27</v>
      </c>
      <c r="F332" t="s">
        <v>28</v>
      </c>
      <c r="G332">
        <v>4.3</v>
      </c>
      <c r="H332">
        <v>3.3</v>
      </c>
      <c r="I332" t="str" cm="1">
        <f t="array" ref="I332">_xlfn.IFS(G332&lt;3, "0–2 Years", G332&lt;6, "3–5 Years", G332&lt;9, "6–8 Years", G332&lt;12, "9-11 Years", G332&gt;=12, "12-14 Years")</f>
        <v>3–5 Years</v>
      </c>
      <c r="J332">
        <v>3</v>
      </c>
      <c r="K332" t="s">
        <v>20</v>
      </c>
      <c r="L332">
        <v>67400</v>
      </c>
      <c r="M332">
        <v>7300</v>
      </c>
      <c r="N332">
        <v>74700</v>
      </c>
      <c r="O332" t="s">
        <v>21</v>
      </c>
      <c r="P332" s="3">
        <v>44447</v>
      </c>
      <c r="Q332" t="s">
        <v>28</v>
      </c>
    </row>
    <row r="333" spans="1:17" x14ac:dyDescent="0.35">
      <c r="A333" t="s">
        <v>385</v>
      </c>
      <c r="B333" t="s">
        <v>23</v>
      </c>
      <c r="C333">
        <v>41</v>
      </c>
      <c r="D333" t="s">
        <v>38</v>
      </c>
      <c r="E333" t="s">
        <v>61</v>
      </c>
      <c r="F333" t="s">
        <v>36</v>
      </c>
      <c r="G333">
        <v>10</v>
      </c>
      <c r="H333">
        <v>9.1999999999999993</v>
      </c>
      <c r="I333" t="str" cm="1">
        <f t="array" ref="I333">_xlfn.IFS(G333&lt;3, "0–2 Years", G333&lt;6, "3–5 Years", G333&lt;9, "6–8 Years", G333&lt;12, "9-11 Years", G333&gt;=12, "12-14 Years")</f>
        <v>9-11 Years</v>
      </c>
      <c r="J333">
        <v>3</v>
      </c>
      <c r="K333" t="s">
        <v>20</v>
      </c>
      <c r="L333">
        <v>109800</v>
      </c>
      <c r="M333">
        <v>4800</v>
      </c>
      <c r="N333">
        <v>114600</v>
      </c>
      <c r="O333" t="s">
        <v>57</v>
      </c>
      <c r="P333" s="3">
        <v>42374</v>
      </c>
      <c r="Q333" t="s">
        <v>36</v>
      </c>
    </row>
    <row r="334" spans="1:17" x14ac:dyDescent="0.35">
      <c r="A334" t="s">
        <v>386</v>
      </c>
      <c r="B334" t="s">
        <v>16</v>
      </c>
      <c r="C334">
        <v>42</v>
      </c>
      <c r="D334" t="s">
        <v>17</v>
      </c>
      <c r="E334" t="s">
        <v>18</v>
      </c>
      <c r="F334" t="s">
        <v>28</v>
      </c>
      <c r="G334">
        <v>6.4</v>
      </c>
      <c r="H334">
        <v>4.5999999999999996</v>
      </c>
      <c r="I334" t="str" cm="1">
        <f t="array" ref="I334">_xlfn.IFS(G334&lt;3, "0–2 Years", G334&lt;6, "3–5 Years", G334&lt;9, "6–8 Years", G334&lt;12, "9-11 Years", G334&gt;=12, "12-14 Years")</f>
        <v>6–8 Years</v>
      </c>
      <c r="J334">
        <v>2</v>
      </c>
      <c r="K334" t="s">
        <v>20</v>
      </c>
      <c r="L334">
        <v>98600</v>
      </c>
      <c r="M334">
        <v>8300</v>
      </c>
      <c r="N334">
        <v>106900</v>
      </c>
      <c r="O334" t="s">
        <v>30</v>
      </c>
      <c r="P334" s="3">
        <v>43673</v>
      </c>
      <c r="Q334" t="s">
        <v>28</v>
      </c>
    </row>
    <row r="335" spans="1:17" x14ac:dyDescent="0.35">
      <c r="A335" t="s">
        <v>387</v>
      </c>
      <c r="B335" t="s">
        <v>16</v>
      </c>
      <c r="C335">
        <v>38</v>
      </c>
      <c r="D335" t="s">
        <v>17</v>
      </c>
      <c r="E335" t="s">
        <v>32</v>
      </c>
      <c r="F335" t="s">
        <v>19</v>
      </c>
      <c r="G335">
        <v>6.9</v>
      </c>
      <c r="H335">
        <v>4</v>
      </c>
      <c r="I335" t="str" cm="1">
        <f t="array" ref="I335">_xlfn.IFS(G335&lt;3, "0–2 Years", G335&lt;6, "3–5 Years", G335&lt;9, "6–8 Years", G335&lt;12, "9-11 Years", G335&gt;=12, "12-14 Years")</f>
        <v>6–8 Years</v>
      </c>
      <c r="J335">
        <v>5</v>
      </c>
      <c r="K335" t="s">
        <v>69</v>
      </c>
      <c r="L335">
        <v>52900</v>
      </c>
      <c r="M335">
        <v>2500</v>
      </c>
      <c r="N335">
        <v>55400</v>
      </c>
      <c r="O335" t="s">
        <v>25</v>
      </c>
      <c r="P335" s="3">
        <v>43500</v>
      </c>
      <c r="Q335" t="s">
        <v>19</v>
      </c>
    </row>
    <row r="336" spans="1:17" x14ac:dyDescent="0.35">
      <c r="A336" t="s">
        <v>388</v>
      </c>
      <c r="B336" t="s">
        <v>23</v>
      </c>
      <c r="C336">
        <v>43</v>
      </c>
      <c r="D336" t="s">
        <v>17</v>
      </c>
      <c r="E336" t="s">
        <v>18</v>
      </c>
      <c r="F336" t="s">
        <v>19</v>
      </c>
      <c r="G336">
        <v>3.1</v>
      </c>
      <c r="H336">
        <v>3.1</v>
      </c>
      <c r="I336" t="str" cm="1">
        <f t="array" ref="I336">_xlfn.IFS(G336&lt;3, "0–2 Years", G336&lt;6, "3–5 Years", G336&lt;9, "6–8 Years", G336&lt;12, "9-11 Years", G336&gt;=12, "12-14 Years")</f>
        <v>3–5 Years</v>
      </c>
      <c r="J336">
        <v>1</v>
      </c>
      <c r="K336" t="s">
        <v>20</v>
      </c>
      <c r="L336">
        <v>80600</v>
      </c>
      <c r="M336">
        <v>9300</v>
      </c>
      <c r="N336">
        <v>89900</v>
      </c>
      <c r="O336" t="s">
        <v>30</v>
      </c>
      <c r="P336" s="3">
        <v>44874</v>
      </c>
      <c r="Q336" t="s">
        <v>19</v>
      </c>
    </row>
    <row r="337" spans="1:17" x14ac:dyDescent="0.35">
      <c r="A337" t="s">
        <v>389</v>
      </c>
      <c r="B337" t="s">
        <v>23</v>
      </c>
      <c r="C337">
        <v>33</v>
      </c>
      <c r="D337" t="s">
        <v>55</v>
      </c>
      <c r="E337" t="s">
        <v>92</v>
      </c>
      <c r="F337" t="s">
        <v>28</v>
      </c>
      <c r="G337">
        <v>7</v>
      </c>
      <c r="H337">
        <v>2.5</v>
      </c>
      <c r="I337" t="str" cm="1">
        <f t="array" ref="I337">_xlfn.IFS(G337&lt;3, "0–2 Years", G337&lt;6, "3–5 Years", G337&lt;9, "6–8 Years", G337&lt;12, "9-11 Years", G337&gt;=12, "12-14 Years")</f>
        <v>6–8 Years</v>
      </c>
      <c r="J337">
        <v>3</v>
      </c>
      <c r="K337" t="s">
        <v>24</v>
      </c>
      <c r="L337">
        <v>68600</v>
      </c>
      <c r="M337">
        <v>14100</v>
      </c>
      <c r="N337">
        <v>82700</v>
      </c>
      <c r="O337" t="s">
        <v>21</v>
      </c>
      <c r="P337" s="3">
        <v>43467</v>
      </c>
      <c r="Q337" t="s">
        <v>28</v>
      </c>
    </row>
    <row r="338" spans="1:17" x14ac:dyDescent="0.35">
      <c r="A338" t="s">
        <v>390</v>
      </c>
      <c r="B338" t="s">
        <v>23</v>
      </c>
      <c r="C338">
        <v>24</v>
      </c>
      <c r="D338" t="s">
        <v>55</v>
      </c>
      <c r="E338" t="s">
        <v>92</v>
      </c>
      <c r="F338" t="s">
        <v>62</v>
      </c>
      <c r="G338">
        <v>11.7</v>
      </c>
      <c r="H338">
        <v>6.3</v>
      </c>
      <c r="I338" t="str" cm="1">
        <f t="array" ref="I338">_xlfn.IFS(G338&lt;3, "0–2 Years", G338&lt;6, "3–5 Years", G338&lt;9, "6–8 Years", G338&lt;12, "9-11 Years", G338&gt;=12, "12-14 Years")</f>
        <v>9-11 Years</v>
      </c>
      <c r="J338">
        <v>5</v>
      </c>
      <c r="K338" t="s">
        <v>20</v>
      </c>
      <c r="L338">
        <v>120900</v>
      </c>
      <c r="M338">
        <v>25100</v>
      </c>
      <c r="N338">
        <v>146000</v>
      </c>
      <c r="O338" t="s">
        <v>57</v>
      </c>
      <c r="P338" s="3">
        <v>41752</v>
      </c>
      <c r="Q338" t="s">
        <v>62</v>
      </c>
    </row>
    <row r="339" spans="1:17" x14ac:dyDescent="0.35">
      <c r="A339" t="s">
        <v>391</v>
      </c>
      <c r="B339" t="s">
        <v>16</v>
      </c>
      <c r="C339">
        <v>28</v>
      </c>
      <c r="D339" t="s">
        <v>41</v>
      </c>
      <c r="E339" t="s">
        <v>42</v>
      </c>
      <c r="F339" t="s">
        <v>36</v>
      </c>
      <c r="G339">
        <v>9.3000000000000007</v>
      </c>
      <c r="H339">
        <v>6.4</v>
      </c>
      <c r="I339" t="str" cm="1">
        <f t="array" ref="I339">_xlfn.IFS(G339&lt;3, "0–2 Years", G339&lt;6, "3–5 Years", G339&lt;9, "6–8 Years", G339&lt;12, "9-11 Years", G339&gt;=12, "12-14 Years")</f>
        <v>9-11 Years</v>
      </c>
      <c r="J339">
        <v>4</v>
      </c>
      <c r="K339" t="s">
        <v>20</v>
      </c>
      <c r="L339">
        <v>81100</v>
      </c>
      <c r="M339">
        <v>3600</v>
      </c>
      <c r="N339">
        <v>84700</v>
      </c>
      <c r="O339" t="s">
        <v>30</v>
      </c>
      <c r="P339" s="3">
        <v>42612</v>
      </c>
      <c r="Q339" t="s">
        <v>36</v>
      </c>
    </row>
    <row r="340" spans="1:17" x14ac:dyDescent="0.35">
      <c r="A340" t="s">
        <v>392</v>
      </c>
      <c r="B340" t="s">
        <v>23</v>
      </c>
      <c r="C340">
        <v>41</v>
      </c>
      <c r="D340" t="s">
        <v>17</v>
      </c>
      <c r="E340" t="s">
        <v>27</v>
      </c>
      <c r="F340" t="s">
        <v>28</v>
      </c>
      <c r="G340">
        <v>10</v>
      </c>
      <c r="H340">
        <v>7.6</v>
      </c>
      <c r="I340" t="str" cm="1">
        <f t="array" ref="I340">_xlfn.IFS(G340&lt;3, "0–2 Years", G340&lt;6, "3–5 Years", G340&lt;9, "6–8 Years", G340&lt;12, "9-11 Years", G340&gt;=12, "12-14 Years")</f>
        <v>9-11 Years</v>
      </c>
      <c r="J340">
        <v>3</v>
      </c>
      <c r="K340" t="s">
        <v>20</v>
      </c>
      <c r="L340">
        <v>79400</v>
      </c>
      <c r="M340">
        <v>8300</v>
      </c>
      <c r="N340">
        <v>87700</v>
      </c>
      <c r="O340" t="s">
        <v>21</v>
      </c>
      <c r="P340" s="3">
        <v>42361</v>
      </c>
      <c r="Q340" t="s">
        <v>28</v>
      </c>
    </row>
    <row r="341" spans="1:17" x14ac:dyDescent="0.35">
      <c r="A341" t="s">
        <v>393</v>
      </c>
      <c r="B341" t="s">
        <v>23</v>
      </c>
      <c r="C341">
        <v>41</v>
      </c>
      <c r="D341" t="s">
        <v>55</v>
      </c>
      <c r="E341" t="s">
        <v>79</v>
      </c>
      <c r="F341" t="s">
        <v>62</v>
      </c>
      <c r="G341">
        <v>11.6</v>
      </c>
      <c r="H341">
        <v>8.1999999999999993</v>
      </c>
      <c r="I341" t="str" cm="1">
        <f t="array" ref="I341">_xlfn.IFS(G341&lt;3, "0–2 Years", G341&lt;6, "3–5 Years", G341&lt;9, "6–8 Years", G341&lt;12, "9-11 Years", G341&gt;=12, "12-14 Years")</f>
        <v>9-11 Years</v>
      </c>
      <c r="J341">
        <v>3</v>
      </c>
      <c r="K341" t="s">
        <v>20</v>
      </c>
      <c r="L341">
        <v>75500</v>
      </c>
      <c r="M341">
        <v>13100</v>
      </c>
      <c r="N341">
        <v>88600</v>
      </c>
      <c r="O341" t="s">
        <v>21</v>
      </c>
      <c r="P341" s="3">
        <v>41783</v>
      </c>
      <c r="Q341" t="s">
        <v>62</v>
      </c>
    </row>
    <row r="342" spans="1:17" x14ac:dyDescent="0.35">
      <c r="A342" t="s">
        <v>394</v>
      </c>
      <c r="B342" t="s">
        <v>16</v>
      </c>
      <c r="C342">
        <v>24</v>
      </c>
      <c r="D342" t="s">
        <v>34</v>
      </c>
      <c r="E342" t="s">
        <v>35</v>
      </c>
      <c r="F342" t="s">
        <v>28</v>
      </c>
      <c r="G342">
        <v>6.1</v>
      </c>
      <c r="H342">
        <v>2.8</v>
      </c>
      <c r="I342" t="str" cm="1">
        <f t="array" ref="I342">_xlfn.IFS(G342&lt;3, "0–2 Years", G342&lt;6, "3–5 Years", G342&lt;9, "6–8 Years", G342&lt;12, "9-11 Years", G342&gt;=12, "12-14 Years")</f>
        <v>6–8 Years</v>
      </c>
      <c r="J342">
        <v>3</v>
      </c>
      <c r="K342" t="s">
        <v>20</v>
      </c>
      <c r="L342">
        <v>74000</v>
      </c>
      <c r="M342">
        <v>8400</v>
      </c>
      <c r="N342">
        <v>82400</v>
      </c>
      <c r="O342" t="s">
        <v>21</v>
      </c>
      <c r="P342" s="3">
        <v>43807</v>
      </c>
      <c r="Q342" t="s">
        <v>28</v>
      </c>
    </row>
    <row r="343" spans="1:17" x14ac:dyDescent="0.35">
      <c r="A343" t="s">
        <v>395</v>
      </c>
      <c r="B343" t="s">
        <v>23</v>
      </c>
      <c r="C343">
        <v>48</v>
      </c>
      <c r="D343" t="s">
        <v>38</v>
      </c>
      <c r="E343" t="s">
        <v>61</v>
      </c>
      <c r="F343" t="s">
        <v>19</v>
      </c>
      <c r="G343">
        <v>6</v>
      </c>
      <c r="H343">
        <v>1.9</v>
      </c>
      <c r="I343" t="str" cm="1">
        <f t="array" ref="I343">_xlfn.IFS(G343&lt;3, "0–2 Years", G343&lt;6, "3–5 Years", G343&lt;9, "6–8 Years", G343&lt;12, "9-11 Years", G343&gt;=12, "12-14 Years")</f>
        <v>6–8 Years</v>
      </c>
      <c r="J343">
        <v>3</v>
      </c>
      <c r="K343" t="s">
        <v>20</v>
      </c>
      <c r="L343">
        <v>98900</v>
      </c>
      <c r="M343">
        <v>9300</v>
      </c>
      <c r="N343">
        <v>108200</v>
      </c>
      <c r="O343" t="s">
        <v>30</v>
      </c>
      <c r="P343" s="3">
        <v>43838</v>
      </c>
      <c r="Q343" t="s">
        <v>19</v>
      </c>
    </row>
    <row r="344" spans="1:17" x14ac:dyDescent="0.35">
      <c r="A344" t="s">
        <v>396</v>
      </c>
      <c r="B344" t="s">
        <v>23</v>
      </c>
      <c r="C344">
        <v>36</v>
      </c>
      <c r="D344" t="s">
        <v>55</v>
      </c>
      <c r="E344" t="s">
        <v>56</v>
      </c>
      <c r="F344" t="s">
        <v>62</v>
      </c>
      <c r="G344">
        <v>8.9</v>
      </c>
      <c r="H344">
        <v>8.1</v>
      </c>
      <c r="I344" t="str" cm="1">
        <f t="array" ref="I344">_xlfn.IFS(G344&lt;3, "0–2 Years", G344&lt;6, "3–5 Years", G344&lt;9, "6–8 Years", G344&lt;12, "9-11 Years", G344&gt;=12, "12-14 Years")</f>
        <v>6–8 Years</v>
      </c>
      <c r="J344">
        <v>3</v>
      </c>
      <c r="K344" t="s">
        <v>20</v>
      </c>
      <c r="L344">
        <v>101100</v>
      </c>
      <c r="M344">
        <v>17800</v>
      </c>
      <c r="N344">
        <v>118900</v>
      </c>
      <c r="O344" t="s">
        <v>57</v>
      </c>
      <c r="P344" s="3">
        <v>42784</v>
      </c>
      <c r="Q344" t="s">
        <v>62</v>
      </c>
    </row>
    <row r="345" spans="1:17" x14ac:dyDescent="0.35">
      <c r="A345" t="s">
        <v>397</v>
      </c>
      <c r="B345" t="s">
        <v>16</v>
      </c>
      <c r="C345">
        <v>29</v>
      </c>
      <c r="D345" t="s">
        <v>17</v>
      </c>
      <c r="E345" t="s">
        <v>18</v>
      </c>
      <c r="F345" t="s">
        <v>28</v>
      </c>
      <c r="G345">
        <v>1.3</v>
      </c>
      <c r="H345">
        <v>1.3</v>
      </c>
      <c r="I345" t="str" cm="1">
        <f t="array" ref="I345">_xlfn.IFS(G345&lt;3, "0–2 Years", G345&lt;6, "3–5 Years", G345&lt;9, "6–8 Years", G345&lt;12, "9-11 Years", G345&gt;=12, "12-14 Years")</f>
        <v>0–2 Years</v>
      </c>
      <c r="J345">
        <v>4</v>
      </c>
      <c r="K345" t="s">
        <v>20</v>
      </c>
      <c r="L345">
        <v>86000</v>
      </c>
      <c r="M345">
        <v>6400</v>
      </c>
      <c r="N345">
        <v>92400</v>
      </c>
      <c r="O345" t="s">
        <v>30</v>
      </c>
      <c r="P345" s="3">
        <v>45549</v>
      </c>
      <c r="Q345" t="s">
        <v>28</v>
      </c>
    </row>
    <row r="346" spans="1:17" x14ac:dyDescent="0.35">
      <c r="A346" t="s">
        <v>398</v>
      </c>
      <c r="B346" t="s">
        <v>16</v>
      </c>
      <c r="C346" s="7">
        <v>37</v>
      </c>
      <c r="D346" t="s">
        <v>38</v>
      </c>
      <c r="E346" t="s">
        <v>112</v>
      </c>
      <c r="F346" t="s">
        <v>28</v>
      </c>
      <c r="G346" s="9">
        <v>13.4</v>
      </c>
      <c r="H346" s="7">
        <v>5</v>
      </c>
      <c r="I346" t="str" cm="1">
        <f t="array" ref="I346">_xlfn.IFS(G346&lt;3, "0–2 Years", G346&lt;6, "3–5 Years", G346&lt;9, "6–8 Years", G346&lt;12, "9-11 Years", G346&gt;=12, "12-14 Years")</f>
        <v>12-14 Years</v>
      </c>
      <c r="J346" s="7">
        <v>3</v>
      </c>
      <c r="K346" t="s">
        <v>20</v>
      </c>
      <c r="L346" s="7">
        <v>80000</v>
      </c>
      <c r="M346" s="7">
        <v>7700</v>
      </c>
      <c r="N346" s="7">
        <v>87700</v>
      </c>
      <c r="O346" t="s">
        <v>30</v>
      </c>
      <c r="P346" s="3">
        <v>41123</v>
      </c>
      <c r="Q346" t="s">
        <v>28</v>
      </c>
    </row>
    <row r="347" spans="1:17" x14ac:dyDescent="0.35">
      <c r="A347" t="s">
        <v>399</v>
      </c>
      <c r="B347" t="s">
        <v>23</v>
      </c>
      <c r="C347">
        <v>52</v>
      </c>
      <c r="D347" t="s">
        <v>17</v>
      </c>
      <c r="E347" t="s">
        <v>18</v>
      </c>
      <c r="F347" t="s">
        <v>19</v>
      </c>
      <c r="G347">
        <v>11.7</v>
      </c>
      <c r="H347">
        <v>8.4</v>
      </c>
      <c r="I347" t="str" cm="1">
        <f t="array" ref="I347">_xlfn.IFS(G347&lt;3, "0–2 Years", G347&lt;6, "3–5 Years", G347&lt;9, "6–8 Years", G347&lt;12, "9-11 Years", G347&gt;=12, "12-14 Years")</f>
        <v>9-11 Years</v>
      </c>
      <c r="J347">
        <v>4</v>
      </c>
      <c r="K347" t="s">
        <v>69</v>
      </c>
      <c r="L347">
        <v>91500</v>
      </c>
      <c r="M347">
        <v>6000</v>
      </c>
      <c r="N347">
        <v>97500</v>
      </c>
      <c r="O347" t="s">
        <v>30</v>
      </c>
      <c r="P347" s="3">
        <v>41734</v>
      </c>
      <c r="Q347" t="s">
        <v>19</v>
      </c>
    </row>
    <row r="348" spans="1:17" x14ac:dyDescent="0.35">
      <c r="A348" t="s">
        <v>400</v>
      </c>
      <c r="B348" t="s">
        <v>23</v>
      </c>
      <c r="C348">
        <v>43</v>
      </c>
      <c r="D348" t="s">
        <v>44</v>
      </c>
      <c r="E348" t="s">
        <v>81</v>
      </c>
      <c r="F348" t="s">
        <v>28</v>
      </c>
      <c r="G348">
        <v>11.7</v>
      </c>
      <c r="H348">
        <v>8.3000000000000007</v>
      </c>
      <c r="I348" t="str" cm="1">
        <f t="array" ref="I348">_xlfn.IFS(G348&lt;3, "0–2 Years", G348&lt;6, "3–5 Years", G348&lt;9, "6–8 Years", G348&lt;12, "9-11 Years", G348&gt;=12, "12-14 Years")</f>
        <v>9-11 Years</v>
      </c>
      <c r="J348">
        <v>3</v>
      </c>
      <c r="K348" t="s">
        <v>20</v>
      </c>
      <c r="L348">
        <v>111700</v>
      </c>
      <c r="M348">
        <v>16200</v>
      </c>
      <c r="N348">
        <v>127900</v>
      </c>
      <c r="O348" t="s">
        <v>57</v>
      </c>
      <c r="P348" s="3">
        <v>41765</v>
      </c>
      <c r="Q348" t="s">
        <v>28</v>
      </c>
    </row>
    <row r="349" spans="1:17" x14ac:dyDescent="0.35">
      <c r="A349" t="s">
        <v>401</v>
      </c>
      <c r="B349" t="s">
        <v>16</v>
      </c>
      <c r="C349">
        <v>39</v>
      </c>
      <c r="D349" t="s">
        <v>34</v>
      </c>
      <c r="E349" t="s">
        <v>59</v>
      </c>
      <c r="F349" t="s">
        <v>36</v>
      </c>
      <c r="G349">
        <v>6.5</v>
      </c>
      <c r="H349">
        <v>4.5</v>
      </c>
      <c r="I349" t="str" cm="1">
        <f t="array" ref="I349">_xlfn.IFS(G349&lt;3, "0–2 Years", G349&lt;6, "3–5 Years", G349&lt;9, "6–8 Years", G349&lt;12, "9-11 Years", G349&gt;=12, "12-14 Years")</f>
        <v>6–8 Years</v>
      </c>
      <c r="J349">
        <v>3</v>
      </c>
      <c r="K349" t="s">
        <v>20</v>
      </c>
      <c r="L349">
        <v>91700</v>
      </c>
      <c r="M349">
        <v>6000</v>
      </c>
      <c r="N349">
        <v>97700</v>
      </c>
      <c r="O349" t="s">
        <v>30</v>
      </c>
      <c r="P349" s="3">
        <v>43632</v>
      </c>
      <c r="Q349" t="s">
        <v>36</v>
      </c>
    </row>
    <row r="350" spans="1:17" x14ac:dyDescent="0.35">
      <c r="A350" t="s">
        <v>402</v>
      </c>
      <c r="B350" t="s">
        <v>23</v>
      </c>
      <c r="C350">
        <v>21</v>
      </c>
      <c r="D350" t="s">
        <v>34</v>
      </c>
      <c r="E350" t="s">
        <v>35</v>
      </c>
      <c r="F350" t="s">
        <v>62</v>
      </c>
      <c r="G350">
        <v>1.2</v>
      </c>
      <c r="H350">
        <v>0.7</v>
      </c>
      <c r="I350" t="str" cm="1">
        <f t="array" ref="I350">_xlfn.IFS(G350&lt;3, "0–2 Years", G350&lt;6, "3–5 Years", G350&lt;9, "6–8 Years", G350&lt;12, "9-11 Years", G350&gt;=12, "12-14 Years")</f>
        <v>0–2 Years</v>
      </c>
      <c r="J350">
        <v>3</v>
      </c>
      <c r="K350" t="s">
        <v>20</v>
      </c>
      <c r="L350">
        <v>75100</v>
      </c>
      <c r="M350">
        <v>4600</v>
      </c>
      <c r="N350">
        <v>79700</v>
      </c>
      <c r="O350" t="s">
        <v>21</v>
      </c>
      <c r="P350" s="3">
        <v>45569</v>
      </c>
      <c r="Q350" t="s">
        <v>62</v>
      </c>
    </row>
    <row r="351" spans="1:17" x14ac:dyDescent="0.35">
      <c r="A351" t="s">
        <v>403</v>
      </c>
      <c r="B351" t="s">
        <v>16</v>
      </c>
      <c r="C351">
        <v>29</v>
      </c>
      <c r="D351" t="s">
        <v>38</v>
      </c>
      <c r="E351" t="s">
        <v>112</v>
      </c>
      <c r="F351" t="s">
        <v>28</v>
      </c>
      <c r="G351">
        <v>5.4</v>
      </c>
      <c r="H351">
        <v>4.5</v>
      </c>
      <c r="I351" t="str" cm="1">
        <f t="array" ref="I351">_xlfn.IFS(G351&lt;3, "0–2 Years", G351&lt;6, "3–5 Years", G351&lt;9, "6–8 Years", G351&lt;12, "9-11 Years", G351&gt;=12, "12-14 Years")</f>
        <v>3–5 Years</v>
      </c>
      <c r="J351">
        <v>3</v>
      </c>
      <c r="K351" t="s">
        <v>20</v>
      </c>
      <c r="L351">
        <v>59200</v>
      </c>
      <c r="M351">
        <v>6000</v>
      </c>
      <c r="N351">
        <v>65200</v>
      </c>
      <c r="O351" t="s">
        <v>25</v>
      </c>
      <c r="P351" s="3">
        <v>44049</v>
      </c>
      <c r="Q351" t="s">
        <v>28</v>
      </c>
    </row>
    <row r="352" spans="1:17" x14ac:dyDescent="0.35">
      <c r="A352" t="s">
        <v>404</v>
      </c>
      <c r="B352" t="s">
        <v>23</v>
      </c>
      <c r="C352">
        <v>34</v>
      </c>
      <c r="D352" t="s">
        <v>44</v>
      </c>
      <c r="E352" t="s">
        <v>45</v>
      </c>
      <c r="F352" t="s">
        <v>28</v>
      </c>
      <c r="G352">
        <v>7.2</v>
      </c>
      <c r="H352">
        <v>5.3</v>
      </c>
      <c r="I352" t="str" cm="1">
        <f t="array" ref="I352">_xlfn.IFS(G352&lt;3, "0–2 Years", G352&lt;6, "3–5 Years", G352&lt;9, "6–8 Years", G352&lt;12, "9-11 Years", G352&gt;=12, "12-14 Years")</f>
        <v>6–8 Years</v>
      </c>
      <c r="J352">
        <v>5</v>
      </c>
      <c r="K352" t="s">
        <v>20</v>
      </c>
      <c r="L352">
        <v>84600</v>
      </c>
      <c r="M352">
        <v>8300</v>
      </c>
      <c r="N352">
        <v>92900</v>
      </c>
      <c r="O352" t="s">
        <v>30</v>
      </c>
      <c r="P352" s="3">
        <v>43392</v>
      </c>
      <c r="Q352" t="s">
        <v>28</v>
      </c>
    </row>
    <row r="353" spans="1:17" x14ac:dyDescent="0.35">
      <c r="A353" t="s">
        <v>405</v>
      </c>
      <c r="B353" t="s">
        <v>16</v>
      </c>
      <c r="C353">
        <v>40</v>
      </c>
      <c r="D353" t="s">
        <v>55</v>
      </c>
      <c r="E353" t="s">
        <v>79</v>
      </c>
      <c r="F353" t="s">
        <v>62</v>
      </c>
      <c r="G353">
        <v>1.8</v>
      </c>
      <c r="H353">
        <v>0</v>
      </c>
      <c r="I353" t="str" cm="1">
        <f t="array" ref="I353">_xlfn.IFS(G353&lt;3, "0–2 Years", G353&lt;6, "3–5 Years", G353&lt;9, "6–8 Years", G353&lt;12, "9-11 Years", G353&gt;=12, "12-14 Years")</f>
        <v>0–2 Years</v>
      </c>
      <c r="J353">
        <v>3</v>
      </c>
      <c r="K353" t="s">
        <v>20</v>
      </c>
      <c r="L353">
        <v>65200</v>
      </c>
      <c r="M353">
        <v>12900</v>
      </c>
      <c r="N353">
        <v>78100</v>
      </c>
      <c r="O353" t="s">
        <v>21</v>
      </c>
      <c r="P353" s="3">
        <v>45382</v>
      </c>
      <c r="Q353" t="s">
        <v>62</v>
      </c>
    </row>
    <row r="354" spans="1:17" x14ac:dyDescent="0.35">
      <c r="A354" t="s">
        <v>406</v>
      </c>
      <c r="B354" t="s">
        <v>16</v>
      </c>
      <c r="C354">
        <v>30</v>
      </c>
      <c r="D354" t="s">
        <v>41</v>
      </c>
      <c r="E354" t="s">
        <v>67</v>
      </c>
      <c r="F354" t="s">
        <v>28</v>
      </c>
      <c r="G354">
        <v>1.9</v>
      </c>
      <c r="H354">
        <v>1.3</v>
      </c>
      <c r="I354" t="str" cm="1">
        <f t="array" ref="I354">_xlfn.IFS(G354&lt;3, "0–2 Years", G354&lt;6, "3–5 Years", G354&lt;9, "6–8 Years", G354&lt;12, "9-11 Years", G354&gt;=12, "12-14 Years")</f>
        <v>0–2 Years</v>
      </c>
      <c r="J354">
        <v>4</v>
      </c>
      <c r="K354" t="s">
        <v>20</v>
      </c>
      <c r="L354">
        <v>65800</v>
      </c>
      <c r="M354">
        <v>2500</v>
      </c>
      <c r="N354">
        <v>68300</v>
      </c>
      <c r="O354" t="s">
        <v>21</v>
      </c>
      <c r="P354" s="3">
        <v>45320</v>
      </c>
      <c r="Q354" t="s">
        <v>28</v>
      </c>
    </row>
    <row r="355" spans="1:17" x14ac:dyDescent="0.35">
      <c r="A355" t="s">
        <v>407</v>
      </c>
      <c r="B355" t="s">
        <v>16</v>
      </c>
      <c r="C355">
        <v>41</v>
      </c>
      <c r="D355" t="s">
        <v>17</v>
      </c>
      <c r="E355" t="s">
        <v>32</v>
      </c>
      <c r="F355" t="s">
        <v>19</v>
      </c>
      <c r="G355">
        <v>8.5</v>
      </c>
      <c r="H355">
        <v>2.9</v>
      </c>
      <c r="I355" t="str" cm="1">
        <f t="array" ref="I355">_xlfn.IFS(G355&lt;3, "0–2 Years", G355&lt;6, "3–5 Years", G355&lt;9, "6–8 Years", G355&lt;12, "9-11 Years", G355&gt;=12, "12-14 Years")</f>
        <v>6–8 Years</v>
      </c>
      <c r="J355">
        <v>1</v>
      </c>
      <c r="K355" t="s">
        <v>24</v>
      </c>
      <c r="L355">
        <v>35600</v>
      </c>
      <c r="M355">
        <v>3200</v>
      </c>
      <c r="N355">
        <v>38800</v>
      </c>
      <c r="O355" t="s">
        <v>65</v>
      </c>
      <c r="P355" s="3">
        <v>42930</v>
      </c>
      <c r="Q355" t="s">
        <v>19</v>
      </c>
    </row>
    <row r="356" spans="1:17" x14ac:dyDescent="0.35">
      <c r="A356" t="s">
        <v>408</v>
      </c>
      <c r="B356" t="s">
        <v>23</v>
      </c>
      <c r="C356">
        <v>40</v>
      </c>
      <c r="D356" t="s">
        <v>41</v>
      </c>
      <c r="E356" t="s">
        <v>42</v>
      </c>
      <c r="F356" t="s">
        <v>36</v>
      </c>
      <c r="G356">
        <v>6.7</v>
      </c>
      <c r="H356">
        <v>3.7</v>
      </c>
      <c r="I356" t="str" cm="1">
        <f t="array" ref="I356">_xlfn.IFS(G356&lt;3, "0–2 Years", G356&lt;6, "3–5 Years", G356&lt;9, "6–8 Years", G356&lt;12, "9-11 Years", G356&gt;=12, "12-14 Years")</f>
        <v>6–8 Years</v>
      </c>
      <c r="J356">
        <v>5</v>
      </c>
      <c r="K356" t="s">
        <v>20</v>
      </c>
      <c r="L356">
        <v>86200</v>
      </c>
      <c r="M356">
        <v>7000</v>
      </c>
      <c r="N356">
        <v>93200</v>
      </c>
      <c r="O356" t="s">
        <v>30</v>
      </c>
      <c r="P356" s="3">
        <v>43569</v>
      </c>
      <c r="Q356" t="s">
        <v>36</v>
      </c>
    </row>
    <row r="357" spans="1:17" x14ac:dyDescent="0.35">
      <c r="A357" t="s">
        <v>409</v>
      </c>
      <c r="B357" t="s">
        <v>16</v>
      </c>
      <c r="C357">
        <v>47</v>
      </c>
      <c r="D357" t="s">
        <v>34</v>
      </c>
      <c r="E357" t="s">
        <v>59</v>
      </c>
      <c r="F357" t="s">
        <v>28</v>
      </c>
      <c r="G357">
        <v>5.6</v>
      </c>
      <c r="H357">
        <v>1.7</v>
      </c>
      <c r="I357" t="str" cm="1">
        <f t="array" ref="I357">_xlfn.IFS(G357&lt;3, "0–2 Years", G357&lt;6, "3–5 Years", G357&lt;9, "6–8 Years", G357&lt;12, "9-11 Years", G357&gt;=12, "12-14 Years")</f>
        <v>3–5 Years</v>
      </c>
      <c r="J357">
        <v>3</v>
      </c>
      <c r="K357" t="s">
        <v>20</v>
      </c>
      <c r="L357">
        <v>110000</v>
      </c>
      <c r="M357">
        <v>10400</v>
      </c>
      <c r="N357">
        <v>120400</v>
      </c>
      <c r="O357" t="s">
        <v>57</v>
      </c>
      <c r="P357" s="3">
        <v>43965</v>
      </c>
      <c r="Q357" t="s">
        <v>28</v>
      </c>
    </row>
    <row r="358" spans="1:17" x14ac:dyDescent="0.35">
      <c r="A358" t="s">
        <v>410</v>
      </c>
      <c r="B358" t="s">
        <v>23</v>
      </c>
      <c r="C358">
        <v>42</v>
      </c>
      <c r="D358" t="s">
        <v>17</v>
      </c>
      <c r="E358" t="s">
        <v>32</v>
      </c>
      <c r="F358" t="s">
        <v>28</v>
      </c>
      <c r="G358">
        <v>2.1</v>
      </c>
      <c r="H358">
        <v>2</v>
      </c>
      <c r="I358" t="str" cm="1">
        <f t="array" ref="I358">_xlfn.IFS(G358&lt;3, "0–2 Years", G358&lt;6, "3–5 Years", G358&lt;9, "6–8 Years", G358&lt;12, "9-11 Years", G358&gt;=12, "12-14 Years")</f>
        <v>0–2 Years</v>
      </c>
      <c r="J358">
        <v>5</v>
      </c>
      <c r="K358" t="s">
        <v>24</v>
      </c>
      <c r="L358">
        <v>43700</v>
      </c>
      <c r="M358">
        <v>3100</v>
      </c>
      <c r="N358">
        <v>46800</v>
      </c>
      <c r="O358" t="s">
        <v>65</v>
      </c>
      <c r="P358" s="3">
        <v>45242</v>
      </c>
      <c r="Q358" t="s">
        <v>28</v>
      </c>
    </row>
    <row r="359" spans="1:17" x14ac:dyDescent="0.35">
      <c r="A359" t="s">
        <v>411</v>
      </c>
      <c r="B359" t="s">
        <v>23</v>
      </c>
      <c r="C359" s="7">
        <v>29</v>
      </c>
      <c r="D359" t="s">
        <v>41</v>
      </c>
      <c r="E359" t="s">
        <v>73</v>
      </c>
      <c r="F359" t="s">
        <v>19</v>
      </c>
      <c r="G359" s="9">
        <v>12.1</v>
      </c>
      <c r="H359" s="7">
        <v>8.1</v>
      </c>
      <c r="I359" t="str" cm="1">
        <f t="array" ref="I359">_xlfn.IFS(G359&lt;3, "0–2 Years", G359&lt;6, "3–5 Years", G359&lt;9, "6–8 Years", G359&lt;12, "9-11 Years", G359&gt;=12, "12-14 Years")</f>
        <v>12-14 Years</v>
      </c>
      <c r="J359" s="7">
        <v>3</v>
      </c>
      <c r="K359" t="s">
        <v>69</v>
      </c>
      <c r="L359" s="7">
        <v>77400</v>
      </c>
      <c r="M359" s="7">
        <v>4200</v>
      </c>
      <c r="N359" s="7">
        <v>81600</v>
      </c>
      <c r="O359" t="s">
        <v>21</v>
      </c>
      <c r="P359" s="3">
        <v>41592</v>
      </c>
      <c r="Q359" t="s">
        <v>19</v>
      </c>
    </row>
    <row r="360" spans="1:17" x14ac:dyDescent="0.35">
      <c r="A360" t="s">
        <v>412</v>
      </c>
      <c r="B360" t="s">
        <v>23</v>
      </c>
      <c r="C360">
        <v>27</v>
      </c>
      <c r="D360" t="s">
        <v>44</v>
      </c>
      <c r="E360" t="s">
        <v>81</v>
      </c>
      <c r="F360" t="s">
        <v>62</v>
      </c>
      <c r="G360">
        <v>7.6</v>
      </c>
      <c r="H360">
        <v>5</v>
      </c>
      <c r="I360" t="str" cm="1">
        <f t="array" ref="I360">_xlfn.IFS(G360&lt;3, "0–2 Years", G360&lt;6, "3–5 Years", G360&lt;9, "6–8 Years", G360&lt;12, "9-11 Years", G360&gt;=12, "12-14 Years")</f>
        <v>6–8 Years</v>
      </c>
      <c r="J360">
        <v>3</v>
      </c>
      <c r="K360" t="s">
        <v>24</v>
      </c>
      <c r="L360">
        <v>70900</v>
      </c>
      <c r="M360">
        <v>6500</v>
      </c>
      <c r="N360">
        <v>77400</v>
      </c>
      <c r="O360" t="s">
        <v>21</v>
      </c>
      <c r="P360" s="3">
        <v>43231</v>
      </c>
      <c r="Q360" t="s">
        <v>62</v>
      </c>
    </row>
    <row r="361" spans="1:17" x14ac:dyDescent="0.35">
      <c r="A361" t="s">
        <v>413</v>
      </c>
      <c r="B361" t="s">
        <v>23</v>
      </c>
      <c r="C361">
        <v>37</v>
      </c>
      <c r="D361" t="s">
        <v>34</v>
      </c>
      <c r="E361" t="s">
        <v>47</v>
      </c>
      <c r="F361" t="s">
        <v>28</v>
      </c>
      <c r="G361">
        <v>9.9</v>
      </c>
      <c r="H361">
        <v>4.8</v>
      </c>
      <c r="I361" t="str" cm="1">
        <f t="array" ref="I361">_xlfn.IFS(G361&lt;3, "0–2 Years", G361&lt;6, "3–5 Years", G361&lt;9, "6–8 Years", G361&lt;12, "9-11 Years", G361&gt;=12, "12-14 Years")</f>
        <v>9-11 Years</v>
      </c>
      <c r="J361">
        <v>2</v>
      </c>
      <c r="K361" t="s">
        <v>20</v>
      </c>
      <c r="L361">
        <v>78400</v>
      </c>
      <c r="M361">
        <v>5700</v>
      </c>
      <c r="N361">
        <v>84100</v>
      </c>
      <c r="O361" t="s">
        <v>21</v>
      </c>
      <c r="P361" s="3">
        <v>42402</v>
      </c>
      <c r="Q361" t="s">
        <v>28</v>
      </c>
    </row>
    <row r="362" spans="1:17" x14ac:dyDescent="0.35">
      <c r="A362" t="s">
        <v>414</v>
      </c>
      <c r="B362" t="s">
        <v>23</v>
      </c>
      <c r="C362" s="7">
        <v>30</v>
      </c>
      <c r="D362" t="s">
        <v>55</v>
      </c>
      <c r="E362" t="s">
        <v>79</v>
      </c>
      <c r="F362" t="s">
        <v>19</v>
      </c>
      <c r="G362" s="9">
        <v>13.3</v>
      </c>
      <c r="H362" s="7">
        <v>9.4</v>
      </c>
      <c r="I362" t="str" cm="1">
        <f t="array" ref="I362">_xlfn.IFS(G362&lt;3, "0–2 Years", G362&lt;6, "3–5 Years", G362&lt;9, "6–8 Years", G362&lt;12, "9-11 Years", G362&gt;=12, "12-14 Years")</f>
        <v>12-14 Years</v>
      </c>
      <c r="J362" s="7">
        <v>4</v>
      </c>
      <c r="K362" t="s">
        <v>20</v>
      </c>
      <c r="L362" s="7">
        <v>81000</v>
      </c>
      <c r="M362" s="7">
        <v>13600</v>
      </c>
      <c r="N362" s="7">
        <v>94600</v>
      </c>
      <c r="O362" t="s">
        <v>30</v>
      </c>
      <c r="P362" s="3">
        <v>41181</v>
      </c>
      <c r="Q362" t="s">
        <v>19</v>
      </c>
    </row>
    <row r="363" spans="1:17" x14ac:dyDescent="0.35">
      <c r="A363" t="s">
        <v>415</v>
      </c>
      <c r="B363" t="s">
        <v>23</v>
      </c>
      <c r="C363" s="7">
        <v>44</v>
      </c>
      <c r="D363" t="s">
        <v>38</v>
      </c>
      <c r="E363" t="s">
        <v>39</v>
      </c>
      <c r="F363" t="s">
        <v>36</v>
      </c>
      <c r="G363" s="9">
        <v>12.5</v>
      </c>
      <c r="H363" s="7">
        <v>9.6999999999999993</v>
      </c>
      <c r="I363" t="str" cm="1">
        <f t="array" ref="I363">_xlfn.IFS(G363&lt;3, "0–2 Years", G363&lt;6, "3–5 Years", G363&lt;9, "6–8 Years", G363&lt;12, "9-11 Years", G363&gt;=12, "12-14 Years")</f>
        <v>12-14 Years</v>
      </c>
      <c r="J363" s="7">
        <v>4</v>
      </c>
      <c r="K363" t="s">
        <v>20</v>
      </c>
      <c r="L363" s="7">
        <v>83000</v>
      </c>
      <c r="M363" s="7">
        <v>7000</v>
      </c>
      <c r="N363" s="7">
        <v>90000</v>
      </c>
      <c r="O363" t="s">
        <v>30</v>
      </c>
      <c r="P363" s="3">
        <v>41473</v>
      </c>
      <c r="Q363" t="s">
        <v>36</v>
      </c>
    </row>
    <row r="364" spans="1:17" x14ac:dyDescent="0.35">
      <c r="A364" t="s">
        <v>416</v>
      </c>
      <c r="B364" t="s">
        <v>16</v>
      </c>
      <c r="C364">
        <v>29</v>
      </c>
      <c r="D364" t="s">
        <v>34</v>
      </c>
      <c r="E364" t="s">
        <v>35</v>
      </c>
      <c r="F364" t="s">
        <v>62</v>
      </c>
      <c r="G364">
        <v>7.5</v>
      </c>
      <c r="H364">
        <v>5.0999999999999996</v>
      </c>
      <c r="I364" t="str" cm="1">
        <f t="array" ref="I364">_xlfn.IFS(G364&lt;3, "0–2 Years", G364&lt;6, "3–5 Years", G364&lt;9, "6–8 Years", G364&lt;12, "9-11 Years", G364&gt;=12, "12-14 Years")</f>
        <v>6–8 Years</v>
      </c>
      <c r="J364">
        <v>1</v>
      </c>
      <c r="K364" t="s">
        <v>20</v>
      </c>
      <c r="L364">
        <v>85400</v>
      </c>
      <c r="M364">
        <v>3700</v>
      </c>
      <c r="N364">
        <v>89100</v>
      </c>
      <c r="O364" t="s">
        <v>30</v>
      </c>
      <c r="P364" s="3">
        <v>43286</v>
      </c>
      <c r="Q364" t="s">
        <v>62</v>
      </c>
    </row>
    <row r="365" spans="1:17" x14ac:dyDescent="0.35">
      <c r="A365" t="s">
        <v>417</v>
      </c>
      <c r="B365" t="s">
        <v>16</v>
      </c>
      <c r="C365">
        <v>30</v>
      </c>
      <c r="D365" t="s">
        <v>17</v>
      </c>
      <c r="E365" t="s">
        <v>27</v>
      </c>
      <c r="F365" t="s">
        <v>36</v>
      </c>
      <c r="G365">
        <v>11.9</v>
      </c>
      <c r="H365">
        <v>9</v>
      </c>
      <c r="I365" t="str" cm="1">
        <f t="array" ref="I365">_xlfn.IFS(G365&lt;3, "0–2 Years", G365&lt;6, "3–5 Years", G365&lt;9, "6–8 Years", G365&lt;12, "9-11 Years", G365&gt;=12, "12-14 Years")</f>
        <v>9-11 Years</v>
      </c>
      <c r="J365">
        <v>5</v>
      </c>
      <c r="K365" t="s">
        <v>20</v>
      </c>
      <c r="L365">
        <v>93800</v>
      </c>
      <c r="M365">
        <v>8200</v>
      </c>
      <c r="N365">
        <v>102000</v>
      </c>
      <c r="O365" t="s">
        <v>30</v>
      </c>
      <c r="P365" s="3">
        <v>41681</v>
      </c>
      <c r="Q365" t="s">
        <v>36</v>
      </c>
    </row>
    <row r="366" spans="1:17" x14ac:dyDescent="0.35">
      <c r="A366" t="s">
        <v>418</v>
      </c>
      <c r="B366" t="s">
        <v>23</v>
      </c>
      <c r="C366">
        <v>21</v>
      </c>
      <c r="D366" t="s">
        <v>44</v>
      </c>
      <c r="E366" t="s">
        <v>81</v>
      </c>
      <c r="F366" t="s">
        <v>36</v>
      </c>
      <c r="G366">
        <v>2.4</v>
      </c>
      <c r="H366">
        <v>1</v>
      </c>
      <c r="I366" t="str" cm="1">
        <f t="array" ref="I366">_xlfn.IFS(G366&lt;3, "0–2 Years", G366&lt;6, "3–5 Years", G366&lt;9, "6–8 Years", G366&lt;12, "9-11 Years", G366&gt;=12, "12-14 Years")</f>
        <v>0–2 Years</v>
      </c>
      <c r="J366">
        <v>3</v>
      </c>
      <c r="K366" t="s">
        <v>20</v>
      </c>
      <c r="L366">
        <v>94200</v>
      </c>
      <c r="M366">
        <v>12200</v>
      </c>
      <c r="N366">
        <v>106400</v>
      </c>
      <c r="O366" t="s">
        <v>30</v>
      </c>
      <c r="P366" s="3">
        <v>45133</v>
      </c>
      <c r="Q366" t="s">
        <v>36</v>
      </c>
    </row>
    <row r="367" spans="1:17" x14ac:dyDescent="0.35">
      <c r="A367" t="s">
        <v>419</v>
      </c>
      <c r="B367" t="s">
        <v>16</v>
      </c>
      <c r="C367" s="7">
        <v>40</v>
      </c>
      <c r="D367" t="s">
        <v>17</v>
      </c>
      <c r="E367" t="s">
        <v>27</v>
      </c>
      <c r="F367" t="s">
        <v>28</v>
      </c>
      <c r="G367" s="9">
        <v>13</v>
      </c>
      <c r="H367" s="7">
        <v>10</v>
      </c>
      <c r="I367" t="str" cm="1">
        <f t="array" ref="I367">_xlfn.IFS(G367&lt;3, "0–2 Years", G367&lt;6, "3–5 Years", G367&lt;9, "6–8 Years", G367&lt;12, "9-11 Years", G367&gt;=12, "12-14 Years")</f>
        <v>12-14 Years</v>
      </c>
      <c r="J367" s="7">
        <v>4</v>
      </c>
      <c r="K367" t="s">
        <v>20</v>
      </c>
      <c r="L367" s="7">
        <v>80200</v>
      </c>
      <c r="M367" s="7">
        <v>4300</v>
      </c>
      <c r="N367" s="7">
        <v>84500</v>
      </c>
      <c r="O367" t="s">
        <v>30</v>
      </c>
      <c r="P367" s="3">
        <v>41288</v>
      </c>
      <c r="Q367" t="s">
        <v>28</v>
      </c>
    </row>
    <row r="368" spans="1:17" x14ac:dyDescent="0.35">
      <c r="A368" t="s">
        <v>420</v>
      </c>
      <c r="B368" t="s">
        <v>16</v>
      </c>
      <c r="C368">
        <v>39</v>
      </c>
      <c r="D368" t="s">
        <v>41</v>
      </c>
      <c r="E368" t="s">
        <v>73</v>
      </c>
      <c r="F368" t="s">
        <v>28</v>
      </c>
      <c r="G368">
        <v>4</v>
      </c>
      <c r="H368">
        <v>4</v>
      </c>
      <c r="I368" t="str" cm="1">
        <f t="array" ref="I368">_xlfn.IFS(G368&lt;3, "0–2 Years", G368&lt;6, "3–5 Years", G368&lt;9, "6–8 Years", G368&lt;12, "9-11 Years", G368&gt;=12, "12-14 Years")</f>
        <v>3–5 Years</v>
      </c>
      <c r="J368">
        <v>4</v>
      </c>
      <c r="K368" t="s">
        <v>24</v>
      </c>
      <c r="L368">
        <v>71800</v>
      </c>
      <c r="M368">
        <v>3600</v>
      </c>
      <c r="N368">
        <v>75400</v>
      </c>
      <c r="O368" t="s">
        <v>21</v>
      </c>
      <c r="P368" s="3">
        <v>44553</v>
      </c>
      <c r="Q368" t="s">
        <v>28</v>
      </c>
    </row>
    <row r="369" spans="1:17" x14ac:dyDescent="0.35">
      <c r="A369" t="s">
        <v>421</v>
      </c>
      <c r="B369" t="s">
        <v>23</v>
      </c>
      <c r="C369">
        <v>33</v>
      </c>
      <c r="D369" t="s">
        <v>38</v>
      </c>
      <c r="E369" t="s">
        <v>112</v>
      </c>
      <c r="F369" t="s">
        <v>28</v>
      </c>
      <c r="G369">
        <v>2.5</v>
      </c>
      <c r="H369">
        <v>0.8</v>
      </c>
      <c r="I369" t="str" cm="1">
        <f t="array" ref="I369">_xlfn.IFS(G369&lt;3, "0–2 Years", G369&lt;6, "3–5 Years", G369&lt;9, "6–8 Years", G369&lt;12, "9-11 Years", G369&gt;=12, "12-14 Years")</f>
        <v>0–2 Years</v>
      </c>
      <c r="J369">
        <v>3</v>
      </c>
      <c r="K369" t="s">
        <v>20</v>
      </c>
      <c r="L369">
        <v>57700</v>
      </c>
      <c r="M369">
        <v>4500</v>
      </c>
      <c r="N369">
        <v>62200</v>
      </c>
      <c r="O369" t="s">
        <v>25</v>
      </c>
      <c r="P369" s="3">
        <v>45095</v>
      </c>
      <c r="Q369" t="s">
        <v>28</v>
      </c>
    </row>
    <row r="370" spans="1:17" x14ac:dyDescent="0.35">
      <c r="A370" t="s">
        <v>422</v>
      </c>
      <c r="B370" t="s">
        <v>23</v>
      </c>
      <c r="C370">
        <v>42</v>
      </c>
      <c r="D370" t="s">
        <v>17</v>
      </c>
      <c r="E370" t="s">
        <v>32</v>
      </c>
      <c r="F370" t="s">
        <v>36</v>
      </c>
      <c r="G370">
        <v>3.3</v>
      </c>
      <c r="H370">
        <v>1.6</v>
      </c>
      <c r="I370" t="str" cm="1">
        <f t="array" ref="I370">_xlfn.IFS(G370&lt;3, "0–2 Years", G370&lt;6, "3–5 Years", G370&lt;9, "6–8 Years", G370&lt;12, "9-11 Years", G370&gt;=12, "12-14 Years")</f>
        <v>3–5 Years</v>
      </c>
      <c r="J370">
        <v>3</v>
      </c>
      <c r="K370" t="s">
        <v>20</v>
      </c>
      <c r="L370">
        <v>64400</v>
      </c>
      <c r="M370">
        <v>5700</v>
      </c>
      <c r="N370">
        <v>70100</v>
      </c>
      <c r="O370" t="s">
        <v>25</v>
      </c>
      <c r="P370" s="3">
        <v>44822</v>
      </c>
      <c r="Q370" t="s">
        <v>36</v>
      </c>
    </row>
    <row r="371" spans="1:17" x14ac:dyDescent="0.35">
      <c r="A371" t="s">
        <v>423</v>
      </c>
      <c r="B371" t="s">
        <v>16</v>
      </c>
      <c r="C371" s="7">
        <v>30</v>
      </c>
      <c r="D371" t="s">
        <v>41</v>
      </c>
      <c r="E371" t="s">
        <v>67</v>
      </c>
      <c r="F371" t="s">
        <v>19</v>
      </c>
      <c r="G371" s="9">
        <v>13</v>
      </c>
      <c r="H371" s="7">
        <v>8.6999999999999993</v>
      </c>
      <c r="I371" t="str" cm="1">
        <f t="array" ref="I371">_xlfn.IFS(G371&lt;3, "0–2 Years", G371&lt;6, "3–5 Years", G371&lt;9, "6–8 Years", G371&lt;12, "9-11 Years", G371&gt;=12, "12-14 Years")</f>
        <v>12-14 Years</v>
      </c>
      <c r="J371" s="7">
        <v>3</v>
      </c>
      <c r="K371" t="s">
        <v>20</v>
      </c>
      <c r="L371" s="7">
        <v>73000</v>
      </c>
      <c r="M371" s="7">
        <v>3100</v>
      </c>
      <c r="N371" s="7">
        <v>76100</v>
      </c>
      <c r="O371" t="s">
        <v>21</v>
      </c>
      <c r="P371" s="3">
        <v>41264</v>
      </c>
      <c r="Q371" t="s">
        <v>19</v>
      </c>
    </row>
    <row r="372" spans="1:17" x14ac:dyDescent="0.35">
      <c r="A372" t="s">
        <v>424</v>
      </c>
      <c r="B372" t="s">
        <v>16</v>
      </c>
      <c r="C372">
        <v>50</v>
      </c>
      <c r="D372" t="s">
        <v>17</v>
      </c>
      <c r="E372" t="s">
        <v>32</v>
      </c>
      <c r="F372" t="s">
        <v>28</v>
      </c>
      <c r="G372">
        <v>1.7</v>
      </c>
      <c r="H372">
        <v>0.7</v>
      </c>
      <c r="I372" t="str" cm="1">
        <f t="array" ref="I372">_xlfn.IFS(G372&lt;3, "0–2 Years", G372&lt;6, "3–5 Years", G372&lt;9, "6–8 Years", G372&lt;12, "9-11 Years", G372&gt;=12, "12-14 Years")</f>
        <v>0–2 Years</v>
      </c>
      <c r="J372">
        <v>3</v>
      </c>
      <c r="K372" t="s">
        <v>20</v>
      </c>
      <c r="L372">
        <v>51800</v>
      </c>
      <c r="M372">
        <v>4400</v>
      </c>
      <c r="N372">
        <v>56200</v>
      </c>
      <c r="O372" t="s">
        <v>25</v>
      </c>
      <c r="P372" s="3">
        <v>45393</v>
      </c>
      <c r="Q372" t="s">
        <v>28</v>
      </c>
    </row>
    <row r="373" spans="1:17" x14ac:dyDescent="0.35">
      <c r="A373" t="s">
        <v>425</v>
      </c>
      <c r="B373" t="s">
        <v>23</v>
      </c>
      <c r="C373">
        <v>27</v>
      </c>
      <c r="D373" t="s">
        <v>55</v>
      </c>
      <c r="E373" t="s">
        <v>92</v>
      </c>
      <c r="F373" t="s">
        <v>28</v>
      </c>
      <c r="G373">
        <v>8.4</v>
      </c>
      <c r="H373">
        <v>5.4</v>
      </c>
      <c r="I373" t="str" cm="1">
        <f t="array" ref="I373">_xlfn.IFS(G373&lt;3, "0–2 Years", G373&lt;6, "3–5 Years", G373&lt;9, "6–8 Years", G373&lt;12, "9-11 Years", G373&gt;=12, "12-14 Years")</f>
        <v>6–8 Years</v>
      </c>
      <c r="J373">
        <v>3</v>
      </c>
      <c r="K373" t="s">
        <v>20</v>
      </c>
      <c r="L373">
        <v>114500</v>
      </c>
      <c r="M373">
        <v>8600</v>
      </c>
      <c r="N373">
        <v>123100</v>
      </c>
      <c r="O373" t="s">
        <v>57</v>
      </c>
      <c r="P373" s="3">
        <v>42953</v>
      </c>
      <c r="Q373" t="s">
        <v>28</v>
      </c>
    </row>
    <row r="374" spans="1:17" x14ac:dyDescent="0.35">
      <c r="A374" t="s">
        <v>426</v>
      </c>
      <c r="B374" t="s">
        <v>23</v>
      </c>
      <c r="C374">
        <v>41</v>
      </c>
      <c r="D374" t="s">
        <v>44</v>
      </c>
      <c r="E374" t="s">
        <v>51</v>
      </c>
      <c r="F374" t="s">
        <v>28</v>
      </c>
      <c r="G374">
        <v>11.3</v>
      </c>
      <c r="H374">
        <v>7.5</v>
      </c>
      <c r="I374" t="str" cm="1">
        <f t="array" ref="I374">_xlfn.IFS(G374&lt;3, "0–2 Years", G374&lt;6, "3–5 Years", G374&lt;9, "6–8 Years", G374&lt;12, "9-11 Years", G374&gt;=12, "12-14 Years")</f>
        <v>9-11 Years</v>
      </c>
      <c r="J374">
        <v>3</v>
      </c>
      <c r="K374" t="s">
        <v>20</v>
      </c>
      <c r="L374">
        <v>88600</v>
      </c>
      <c r="M374">
        <v>7600</v>
      </c>
      <c r="N374">
        <v>96200</v>
      </c>
      <c r="O374" t="s">
        <v>30</v>
      </c>
      <c r="P374" s="3">
        <v>41905</v>
      </c>
      <c r="Q374" t="s">
        <v>28</v>
      </c>
    </row>
    <row r="375" spans="1:17" x14ac:dyDescent="0.35">
      <c r="A375" t="s">
        <v>427</v>
      </c>
      <c r="B375" t="s">
        <v>23</v>
      </c>
      <c r="C375">
        <v>29</v>
      </c>
      <c r="D375" t="s">
        <v>17</v>
      </c>
      <c r="E375" t="s">
        <v>18</v>
      </c>
      <c r="F375" t="s">
        <v>19</v>
      </c>
      <c r="G375">
        <v>7.5</v>
      </c>
      <c r="H375">
        <v>5.3</v>
      </c>
      <c r="I375" t="str" cm="1">
        <f t="array" ref="I375">_xlfn.IFS(G375&lt;3, "0–2 Years", G375&lt;6, "3–5 Years", G375&lt;9, "6–8 Years", G375&lt;12, "9-11 Years", G375&gt;=12, "12-14 Years")</f>
        <v>6–8 Years</v>
      </c>
      <c r="J375">
        <v>3</v>
      </c>
      <c r="K375" t="s">
        <v>20</v>
      </c>
      <c r="L375">
        <v>89800</v>
      </c>
      <c r="M375">
        <v>6900</v>
      </c>
      <c r="N375">
        <v>96700</v>
      </c>
      <c r="O375" t="s">
        <v>30</v>
      </c>
      <c r="P375" s="3">
        <v>43275</v>
      </c>
      <c r="Q375" t="s">
        <v>19</v>
      </c>
    </row>
    <row r="376" spans="1:17" x14ac:dyDescent="0.35">
      <c r="A376" t="s">
        <v>428</v>
      </c>
      <c r="B376" t="s">
        <v>23</v>
      </c>
      <c r="C376">
        <v>32</v>
      </c>
      <c r="D376" t="s">
        <v>44</v>
      </c>
      <c r="E376" t="s">
        <v>81</v>
      </c>
      <c r="F376" t="s">
        <v>36</v>
      </c>
      <c r="G376">
        <v>8.1</v>
      </c>
      <c r="H376">
        <v>2.1</v>
      </c>
      <c r="I376" t="str" cm="1">
        <f t="array" ref="I376">_xlfn.IFS(G376&lt;3, "0–2 Years", G376&lt;6, "3–5 Years", G376&lt;9, "6–8 Years", G376&lt;12, "9-11 Years", G376&gt;=12, "12-14 Years")</f>
        <v>6–8 Years</v>
      </c>
      <c r="J376">
        <v>3</v>
      </c>
      <c r="K376" t="s">
        <v>20</v>
      </c>
      <c r="L376">
        <v>104700</v>
      </c>
      <c r="M376">
        <v>15200</v>
      </c>
      <c r="N376">
        <v>119900</v>
      </c>
      <c r="O376" t="s">
        <v>57</v>
      </c>
      <c r="P376" s="3">
        <v>43080</v>
      </c>
      <c r="Q376" t="s">
        <v>36</v>
      </c>
    </row>
    <row r="377" spans="1:17" x14ac:dyDescent="0.35">
      <c r="A377" t="s">
        <v>429</v>
      </c>
      <c r="B377" t="s">
        <v>16</v>
      </c>
      <c r="C377">
        <v>41</v>
      </c>
      <c r="D377" t="s">
        <v>44</v>
      </c>
      <c r="E377" t="s">
        <v>81</v>
      </c>
      <c r="F377" t="s">
        <v>62</v>
      </c>
      <c r="G377">
        <v>8.4</v>
      </c>
      <c r="H377">
        <v>3.1</v>
      </c>
      <c r="I377" t="str" cm="1">
        <f t="array" ref="I377">_xlfn.IFS(G377&lt;3, "0–2 Years", G377&lt;6, "3–5 Years", G377&lt;9, "6–8 Years", G377&lt;12, "9-11 Years", G377&gt;=12, "12-14 Years")</f>
        <v>6–8 Years</v>
      </c>
      <c r="J377">
        <v>2</v>
      </c>
      <c r="K377" t="s">
        <v>69</v>
      </c>
      <c r="L377">
        <v>86700</v>
      </c>
      <c r="M377">
        <v>6000</v>
      </c>
      <c r="N377">
        <v>92700</v>
      </c>
      <c r="O377" t="s">
        <v>30</v>
      </c>
      <c r="P377" s="3">
        <v>42938</v>
      </c>
      <c r="Q377" t="s">
        <v>62</v>
      </c>
    </row>
    <row r="378" spans="1:17" x14ac:dyDescent="0.35">
      <c r="A378" t="s">
        <v>430</v>
      </c>
      <c r="B378" t="s">
        <v>16</v>
      </c>
      <c r="C378">
        <v>37</v>
      </c>
      <c r="D378" t="s">
        <v>17</v>
      </c>
      <c r="E378" t="s">
        <v>27</v>
      </c>
      <c r="F378" t="s">
        <v>36</v>
      </c>
      <c r="G378">
        <v>6.7</v>
      </c>
      <c r="H378">
        <v>3.6</v>
      </c>
      <c r="I378" t="str" cm="1">
        <f t="array" ref="I378">_xlfn.IFS(G378&lt;3, "0–2 Years", G378&lt;6, "3–5 Years", G378&lt;9, "6–8 Years", G378&lt;12, "9-11 Years", G378&gt;=12, "12-14 Years")</f>
        <v>6–8 Years</v>
      </c>
      <c r="J378">
        <v>3</v>
      </c>
      <c r="K378" t="s">
        <v>20</v>
      </c>
      <c r="L378">
        <v>74100</v>
      </c>
      <c r="M378">
        <v>3800</v>
      </c>
      <c r="N378">
        <v>77900</v>
      </c>
      <c r="O378" t="s">
        <v>21</v>
      </c>
      <c r="P378" s="3">
        <v>43587</v>
      </c>
      <c r="Q378" t="s">
        <v>36</v>
      </c>
    </row>
    <row r="379" spans="1:17" x14ac:dyDescent="0.35">
      <c r="A379" t="s">
        <v>431</v>
      </c>
      <c r="B379" t="s">
        <v>23</v>
      </c>
      <c r="C379" s="7">
        <v>37</v>
      </c>
      <c r="D379" t="s">
        <v>38</v>
      </c>
      <c r="E379" t="s">
        <v>112</v>
      </c>
      <c r="F379" t="s">
        <v>19</v>
      </c>
      <c r="G379" s="9">
        <v>13.6</v>
      </c>
      <c r="H379" s="7">
        <v>7.7</v>
      </c>
      <c r="I379" t="str" cm="1">
        <f t="array" ref="I379">_xlfn.IFS(G379&lt;3, "0–2 Years", G379&lt;6, "3–5 Years", G379&lt;9, "6–8 Years", G379&lt;12, "9-11 Years", G379&gt;=12, "12-14 Years")</f>
        <v>12-14 Years</v>
      </c>
      <c r="J379" s="7">
        <v>4</v>
      </c>
      <c r="K379" t="s">
        <v>20</v>
      </c>
      <c r="L379" s="7">
        <v>75800</v>
      </c>
      <c r="M379" s="7">
        <v>7600</v>
      </c>
      <c r="N379" s="7">
        <v>83400</v>
      </c>
      <c r="O379" t="s">
        <v>21</v>
      </c>
      <c r="P379" s="3">
        <v>41049</v>
      </c>
      <c r="Q379" t="s">
        <v>19</v>
      </c>
    </row>
    <row r="380" spans="1:17" x14ac:dyDescent="0.35">
      <c r="A380" t="s">
        <v>432</v>
      </c>
      <c r="B380" t="s">
        <v>16</v>
      </c>
      <c r="C380">
        <v>35</v>
      </c>
      <c r="D380" t="s">
        <v>34</v>
      </c>
      <c r="E380" t="s">
        <v>35</v>
      </c>
      <c r="F380" t="s">
        <v>62</v>
      </c>
      <c r="G380">
        <v>8.8000000000000007</v>
      </c>
      <c r="H380">
        <v>4.4000000000000004</v>
      </c>
      <c r="I380" t="str" cm="1">
        <f t="array" ref="I380">_xlfn.IFS(G380&lt;3, "0–2 Years", G380&lt;6, "3–5 Years", G380&lt;9, "6–8 Years", G380&lt;12, "9-11 Years", G380&gt;=12, "12-14 Years")</f>
        <v>6–8 Years</v>
      </c>
      <c r="J380">
        <v>5</v>
      </c>
      <c r="K380" t="s">
        <v>20</v>
      </c>
      <c r="L380">
        <v>82700</v>
      </c>
      <c r="M380">
        <v>5000</v>
      </c>
      <c r="N380">
        <v>87700</v>
      </c>
      <c r="O380" t="s">
        <v>30</v>
      </c>
      <c r="P380" s="3">
        <v>42816</v>
      </c>
      <c r="Q380" t="s">
        <v>62</v>
      </c>
    </row>
    <row r="381" spans="1:17" x14ac:dyDescent="0.35">
      <c r="A381" t="s">
        <v>433</v>
      </c>
      <c r="B381" t="s">
        <v>23</v>
      </c>
      <c r="C381">
        <v>31</v>
      </c>
      <c r="D381" t="s">
        <v>44</v>
      </c>
      <c r="E381" t="s">
        <v>45</v>
      </c>
      <c r="F381" t="s">
        <v>28</v>
      </c>
      <c r="G381">
        <v>10.4</v>
      </c>
      <c r="H381">
        <v>5.9</v>
      </c>
      <c r="I381" t="str" cm="1">
        <f t="array" ref="I381">_xlfn.IFS(G381&lt;3, "0–2 Years", G381&lt;6, "3–5 Years", G381&lt;9, "6–8 Years", G381&lt;12, "9-11 Years", G381&gt;=12, "12-14 Years")</f>
        <v>9-11 Years</v>
      </c>
      <c r="J381">
        <v>3</v>
      </c>
      <c r="K381" t="s">
        <v>20</v>
      </c>
      <c r="L381">
        <v>65500</v>
      </c>
      <c r="M381">
        <v>6800</v>
      </c>
      <c r="N381">
        <v>72300</v>
      </c>
      <c r="O381" t="s">
        <v>21</v>
      </c>
      <c r="P381" s="3">
        <v>42217</v>
      </c>
      <c r="Q381" t="s">
        <v>28</v>
      </c>
    </row>
    <row r="382" spans="1:17" x14ac:dyDescent="0.35">
      <c r="A382" t="s">
        <v>434</v>
      </c>
      <c r="B382" t="s">
        <v>23</v>
      </c>
      <c r="C382">
        <v>28</v>
      </c>
      <c r="D382" t="s">
        <v>38</v>
      </c>
      <c r="E382" t="s">
        <v>39</v>
      </c>
      <c r="F382" t="s">
        <v>36</v>
      </c>
      <c r="G382">
        <v>2.6</v>
      </c>
      <c r="H382">
        <v>0</v>
      </c>
      <c r="I382" t="str" cm="1">
        <f t="array" ref="I382">_xlfn.IFS(G382&lt;3, "0–2 Years", G382&lt;6, "3–5 Years", G382&lt;9, "6–8 Years", G382&lt;12, "9-11 Years", G382&gt;=12, "12-14 Years")</f>
        <v>0–2 Years</v>
      </c>
      <c r="J382">
        <v>4</v>
      </c>
      <c r="K382" t="s">
        <v>20</v>
      </c>
      <c r="L382">
        <v>75100</v>
      </c>
      <c r="M382">
        <v>4500</v>
      </c>
      <c r="N382">
        <v>79600</v>
      </c>
      <c r="O382" t="s">
        <v>21</v>
      </c>
      <c r="P382" s="3">
        <v>45088</v>
      </c>
      <c r="Q382" t="s">
        <v>36</v>
      </c>
    </row>
    <row r="383" spans="1:17" x14ac:dyDescent="0.35">
      <c r="A383" t="s">
        <v>435</v>
      </c>
      <c r="B383" t="s">
        <v>16</v>
      </c>
      <c r="C383">
        <v>41</v>
      </c>
      <c r="D383" t="s">
        <v>17</v>
      </c>
      <c r="E383" t="s">
        <v>32</v>
      </c>
      <c r="F383" t="s">
        <v>36</v>
      </c>
      <c r="G383">
        <v>6.5</v>
      </c>
      <c r="H383">
        <v>3.9</v>
      </c>
      <c r="I383" t="str" cm="1">
        <f t="array" ref="I383">_xlfn.IFS(G383&lt;3, "0–2 Years", G383&lt;6, "3–5 Years", G383&lt;9, "6–8 Years", G383&lt;12, "9-11 Years", G383&gt;=12, "12-14 Years")</f>
        <v>6–8 Years</v>
      </c>
      <c r="J383">
        <v>5</v>
      </c>
      <c r="K383" t="s">
        <v>20</v>
      </c>
      <c r="L383">
        <v>78500</v>
      </c>
      <c r="M383">
        <v>8700</v>
      </c>
      <c r="N383">
        <v>87200</v>
      </c>
      <c r="O383" t="s">
        <v>21</v>
      </c>
      <c r="P383" s="3">
        <v>43635</v>
      </c>
      <c r="Q383" t="s">
        <v>36</v>
      </c>
    </row>
    <row r="384" spans="1:17" x14ac:dyDescent="0.35">
      <c r="A384" t="s">
        <v>436</v>
      </c>
      <c r="B384" t="s">
        <v>23</v>
      </c>
      <c r="C384">
        <v>39</v>
      </c>
      <c r="D384" t="s">
        <v>44</v>
      </c>
      <c r="E384" t="s">
        <v>51</v>
      </c>
      <c r="F384" t="s">
        <v>28</v>
      </c>
      <c r="G384">
        <v>3.4</v>
      </c>
      <c r="H384">
        <v>1.7</v>
      </c>
      <c r="I384" t="str" cm="1">
        <f t="array" ref="I384">_xlfn.IFS(G384&lt;3, "0–2 Years", G384&lt;6, "3–5 Years", G384&lt;9, "6–8 Years", G384&lt;12, "9-11 Years", G384&gt;=12, "12-14 Years")</f>
        <v>3–5 Years</v>
      </c>
      <c r="J384">
        <v>2</v>
      </c>
      <c r="K384" t="s">
        <v>20</v>
      </c>
      <c r="L384">
        <v>79800</v>
      </c>
      <c r="M384">
        <v>8200</v>
      </c>
      <c r="N384">
        <v>88000</v>
      </c>
      <c r="O384" t="s">
        <v>21</v>
      </c>
      <c r="P384" s="3">
        <v>44770</v>
      </c>
      <c r="Q384" t="s">
        <v>28</v>
      </c>
    </row>
    <row r="385" spans="1:17" x14ac:dyDescent="0.35">
      <c r="A385" t="s">
        <v>437</v>
      </c>
      <c r="B385" t="s">
        <v>16</v>
      </c>
      <c r="C385">
        <v>30</v>
      </c>
      <c r="D385" t="s">
        <v>44</v>
      </c>
      <c r="E385" t="s">
        <v>51</v>
      </c>
      <c r="F385" t="s">
        <v>28</v>
      </c>
      <c r="G385">
        <v>4.5</v>
      </c>
      <c r="H385">
        <v>2.4</v>
      </c>
      <c r="I385" t="str" cm="1">
        <f t="array" ref="I385">_xlfn.IFS(G385&lt;3, "0–2 Years", G385&lt;6, "3–5 Years", G385&lt;9, "6–8 Years", G385&lt;12, "9-11 Years", G385&gt;=12, "12-14 Years")</f>
        <v>3–5 Years</v>
      </c>
      <c r="J385">
        <v>4</v>
      </c>
      <c r="K385" t="s">
        <v>24</v>
      </c>
      <c r="L385">
        <v>49800</v>
      </c>
      <c r="M385">
        <v>6600</v>
      </c>
      <c r="N385">
        <v>56400</v>
      </c>
      <c r="O385" t="s">
        <v>65</v>
      </c>
      <c r="P385" s="3">
        <v>44379</v>
      </c>
      <c r="Q385" t="s">
        <v>28</v>
      </c>
    </row>
    <row r="386" spans="1:17" x14ac:dyDescent="0.35">
      <c r="A386" t="s">
        <v>438</v>
      </c>
      <c r="B386" t="s">
        <v>23</v>
      </c>
      <c r="C386" s="7">
        <v>50</v>
      </c>
      <c r="D386" t="s">
        <v>41</v>
      </c>
      <c r="E386" t="s">
        <v>67</v>
      </c>
      <c r="F386" t="s">
        <v>36</v>
      </c>
      <c r="G386" s="9">
        <v>13.6</v>
      </c>
      <c r="H386" s="7">
        <v>7.8</v>
      </c>
      <c r="I386" t="str" cm="1">
        <f t="array" ref="I386">_xlfn.IFS(G386&lt;3, "0–2 Years", G386&lt;6, "3–5 Years", G386&lt;9, "6–8 Years", G386&lt;12, "9-11 Years", G386&gt;=12, "12-14 Years")</f>
        <v>12-14 Years</v>
      </c>
      <c r="J386" s="7">
        <v>3</v>
      </c>
      <c r="K386" t="s">
        <v>20</v>
      </c>
      <c r="L386" s="7">
        <v>93500</v>
      </c>
      <c r="M386" s="7">
        <v>8300</v>
      </c>
      <c r="N386" s="7">
        <v>101800</v>
      </c>
      <c r="O386" t="s">
        <v>30</v>
      </c>
      <c r="P386" s="3">
        <v>41058</v>
      </c>
      <c r="Q386" t="s">
        <v>36</v>
      </c>
    </row>
    <row r="387" spans="1:17" x14ac:dyDescent="0.35">
      <c r="A387" t="s">
        <v>439</v>
      </c>
      <c r="B387" t="s">
        <v>23</v>
      </c>
      <c r="C387">
        <v>35</v>
      </c>
      <c r="D387" t="s">
        <v>55</v>
      </c>
      <c r="E387" t="s">
        <v>92</v>
      </c>
      <c r="F387" t="s">
        <v>62</v>
      </c>
      <c r="G387">
        <v>3.3</v>
      </c>
      <c r="H387">
        <v>0.9</v>
      </c>
      <c r="I387" t="str" cm="1">
        <f t="array" ref="I387">_xlfn.IFS(G387&lt;3, "0–2 Years", G387&lt;6, "3–5 Years", G387&lt;9, "6–8 Years", G387&lt;12, "9-11 Years", G387&gt;=12, "12-14 Years")</f>
        <v>3–5 Years</v>
      </c>
      <c r="J387">
        <v>4</v>
      </c>
      <c r="K387" t="s">
        <v>20</v>
      </c>
      <c r="L387">
        <v>102000</v>
      </c>
      <c r="M387">
        <v>11800</v>
      </c>
      <c r="N387">
        <v>113800</v>
      </c>
      <c r="O387" t="s">
        <v>57</v>
      </c>
      <c r="P387" s="3">
        <v>44801</v>
      </c>
      <c r="Q387" t="s">
        <v>62</v>
      </c>
    </row>
    <row r="388" spans="1:17" x14ac:dyDescent="0.35">
      <c r="A388" t="s">
        <v>440</v>
      </c>
      <c r="B388" t="s">
        <v>23</v>
      </c>
      <c r="C388">
        <v>28</v>
      </c>
      <c r="D388" t="s">
        <v>41</v>
      </c>
      <c r="E388" t="s">
        <v>67</v>
      </c>
      <c r="F388" t="s">
        <v>28</v>
      </c>
      <c r="G388">
        <v>5.9</v>
      </c>
      <c r="H388">
        <v>1.6</v>
      </c>
      <c r="I388" t="str" cm="1">
        <f t="array" ref="I388">_xlfn.IFS(G388&lt;3, "0–2 Years", G388&lt;6, "3–5 Years", G388&lt;9, "6–8 Years", G388&lt;12, "9-11 Years", G388&gt;=12, "12-14 Years")</f>
        <v>3–5 Years</v>
      </c>
      <c r="J388">
        <v>4</v>
      </c>
      <c r="K388" t="s">
        <v>20</v>
      </c>
      <c r="L388">
        <v>65700</v>
      </c>
      <c r="M388">
        <v>2100</v>
      </c>
      <c r="N388">
        <v>67800</v>
      </c>
      <c r="O388" t="s">
        <v>21</v>
      </c>
      <c r="P388" s="3">
        <v>43885</v>
      </c>
      <c r="Q388" t="s">
        <v>28</v>
      </c>
    </row>
    <row r="389" spans="1:17" x14ac:dyDescent="0.35">
      <c r="A389" t="s">
        <v>441</v>
      </c>
      <c r="B389" t="s">
        <v>16</v>
      </c>
      <c r="C389">
        <v>33</v>
      </c>
      <c r="D389" t="s">
        <v>44</v>
      </c>
      <c r="E389" t="s">
        <v>45</v>
      </c>
      <c r="F389" t="s">
        <v>36</v>
      </c>
      <c r="G389">
        <v>2.2000000000000002</v>
      </c>
      <c r="H389">
        <v>2.2000000000000002</v>
      </c>
      <c r="I389" t="str" cm="1">
        <f t="array" ref="I389">_xlfn.IFS(G389&lt;3, "0–2 Years", G389&lt;6, "3–5 Years", G389&lt;9, "6–8 Years", G389&lt;12, "9-11 Years", G389&gt;=12, "12-14 Years")</f>
        <v>0–2 Years</v>
      </c>
      <c r="J389">
        <v>3</v>
      </c>
      <c r="K389" t="s">
        <v>20</v>
      </c>
      <c r="L389">
        <v>82700</v>
      </c>
      <c r="M389">
        <v>7700</v>
      </c>
      <c r="N389">
        <v>90400</v>
      </c>
      <c r="O389" t="s">
        <v>30</v>
      </c>
      <c r="Q389" t="s">
        <v>36</v>
      </c>
    </row>
    <row r="390" spans="1:17" x14ac:dyDescent="0.35">
      <c r="A390" t="s">
        <v>442</v>
      </c>
      <c r="B390" t="s">
        <v>16</v>
      </c>
      <c r="C390">
        <v>36</v>
      </c>
      <c r="D390" t="s">
        <v>38</v>
      </c>
      <c r="E390" t="s">
        <v>112</v>
      </c>
      <c r="F390" t="s">
        <v>36</v>
      </c>
      <c r="G390">
        <v>5.5</v>
      </c>
      <c r="H390">
        <v>3.2</v>
      </c>
      <c r="I390" t="str" cm="1">
        <f t="array" ref="I390">_xlfn.IFS(G390&lt;3, "0–2 Years", G390&lt;6, "3–5 Years", G390&lt;9, "6–8 Years", G390&lt;12, "9-11 Years", G390&gt;=12, "12-14 Years")</f>
        <v>3–5 Years</v>
      </c>
      <c r="J390">
        <v>3</v>
      </c>
      <c r="K390" t="s">
        <v>69</v>
      </c>
      <c r="L390">
        <v>55000</v>
      </c>
      <c r="M390">
        <v>5300</v>
      </c>
      <c r="N390">
        <v>60300</v>
      </c>
      <c r="O390" t="s">
        <v>25</v>
      </c>
      <c r="P390" s="3">
        <v>44015</v>
      </c>
      <c r="Q390" t="s">
        <v>36</v>
      </c>
    </row>
    <row r="391" spans="1:17" x14ac:dyDescent="0.35">
      <c r="A391" t="s">
        <v>443</v>
      </c>
      <c r="B391" t="s">
        <v>23</v>
      </c>
      <c r="C391">
        <v>46</v>
      </c>
      <c r="D391" t="s">
        <v>44</v>
      </c>
      <c r="E391" t="s">
        <v>51</v>
      </c>
      <c r="F391" t="s">
        <v>28</v>
      </c>
      <c r="G391">
        <v>1.7</v>
      </c>
      <c r="H391">
        <v>0.6</v>
      </c>
      <c r="I391" t="str" cm="1">
        <f t="array" ref="I391">_xlfn.IFS(G391&lt;3, "0–2 Years", G391&lt;6, "3–5 Years", G391&lt;9, "6–8 Years", G391&lt;12, "9-11 Years", G391&gt;=12, "12-14 Years")</f>
        <v>0–2 Years</v>
      </c>
      <c r="J391">
        <v>2</v>
      </c>
      <c r="K391" t="s">
        <v>20</v>
      </c>
      <c r="L391">
        <v>69400</v>
      </c>
      <c r="M391">
        <v>3800</v>
      </c>
      <c r="N391">
        <v>73200</v>
      </c>
      <c r="O391" t="s">
        <v>21</v>
      </c>
      <c r="P391" s="3">
        <v>45390</v>
      </c>
      <c r="Q391" t="s">
        <v>28</v>
      </c>
    </row>
    <row r="392" spans="1:17" x14ac:dyDescent="0.35">
      <c r="A392" t="s">
        <v>444</v>
      </c>
      <c r="B392" t="s">
        <v>16</v>
      </c>
      <c r="C392">
        <v>32</v>
      </c>
      <c r="D392" t="s">
        <v>38</v>
      </c>
      <c r="E392" t="s">
        <v>112</v>
      </c>
      <c r="F392" t="s">
        <v>28</v>
      </c>
      <c r="G392">
        <v>4</v>
      </c>
      <c r="H392">
        <v>2.8</v>
      </c>
      <c r="I392" t="str" cm="1">
        <f t="array" ref="I392">_xlfn.IFS(G392&lt;3, "0–2 Years", G392&lt;6, "3–5 Years", G392&lt;9, "6–8 Years", G392&lt;12, "9-11 Years", G392&gt;=12, "12-14 Years")</f>
        <v>3–5 Years</v>
      </c>
      <c r="J392">
        <v>2</v>
      </c>
      <c r="K392" t="s">
        <v>20</v>
      </c>
      <c r="L392">
        <v>67100</v>
      </c>
      <c r="M392">
        <v>5800</v>
      </c>
      <c r="N392">
        <v>72900</v>
      </c>
      <c r="O392" t="s">
        <v>21</v>
      </c>
      <c r="P392" s="3">
        <v>44554</v>
      </c>
      <c r="Q392" t="s">
        <v>28</v>
      </c>
    </row>
    <row r="393" spans="1:17" x14ac:dyDescent="0.35">
      <c r="A393" t="s">
        <v>445</v>
      </c>
      <c r="B393" t="s">
        <v>23</v>
      </c>
      <c r="C393" s="7">
        <v>34</v>
      </c>
      <c r="D393" t="s">
        <v>38</v>
      </c>
      <c r="E393" t="s">
        <v>112</v>
      </c>
      <c r="F393" t="s">
        <v>28</v>
      </c>
      <c r="G393" s="9">
        <v>12</v>
      </c>
      <c r="H393" s="7">
        <v>8.6</v>
      </c>
      <c r="I393" t="str" cm="1">
        <f t="array" ref="I393">_xlfn.IFS(G393&lt;3, "0–2 Years", G393&lt;6, "3–5 Years", G393&lt;9, "6–8 Years", G393&lt;12, "9-11 Years", G393&gt;=12, "12-14 Years")</f>
        <v>12-14 Years</v>
      </c>
      <c r="J393" s="7">
        <v>4</v>
      </c>
      <c r="K393" t="s">
        <v>20</v>
      </c>
      <c r="L393" s="7">
        <v>87400</v>
      </c>
      <c r="M393" s="7">
        <v>4700</v>
      </c>
      <c r="N393" s="7">
        <v>92100</v>
      </c>
      <c r="O393" t="s">
        <v>30</v>
      </c>
      <c r="P393" s="3">
        <v>41640</v>
      </c>
      <c r="Q393" t="s">
        <v>28</v>
      </c>
    </row>
    <row r="394" spans="1:17" x14ac:dyDescent="0.35">
      <c r="A394" t="s">
        <v>446</v>
      </c>
      <c r="B394" t="s">
        <v>23</v>
      </c>
      <c r="C394">
        <v>36</v>
      </c>
      <c r="D394" t="s">
        <v>55</v>
      </c>
      <c r="E394" t="s">
        <v>56</v>
      </c>
      <c r="F394" t="s">
        <v>36</v>
      </c>
      <c r="G394">
        <v>2.6</v>
      </c>
      <c r="H394">
        <v>2.6</v>
      </c>
      <c r="I394" t="str" cm="1">
        <f t="array" ref="I394">_xlfn.IFS(G394&lt;3, "0–2 Years", G394&lt;6, "3–5 Years", G394&lt;9, "6–8 Years", G394&lt;12, "9-11 Years", G394&gt;=12, "12-14 Years")</f>
        <v>0–2 Years</v>
      </c>
      <c r="J394">
        <v>3</v>
      </c>
      <c r="K394" t="s">
        <v>69</v>
      </c>
      <c r="L394">
        <v>83600</v>
      </c>
      <c r="M394">
        <v>7400</v>
      </c>
      <c r="N394">
        <v>91000</v>
      </c>
      <c r="O394" t="s">
        <v>30</v>
      </c>
      <c r="P394" s="3">
        <v>45076</v>
      </c>
      <c r="Q394" t="s">
        <v>36</v>
      </c>
    </row>
    <row r="395" spans="1:17" x14ac:dyDescent="0.35">
      <c r="A395" t="s">
        <v>447</v>
      </c>
      <c r="B395" t="s">
        <v>16</v>
      </c>
      <c r="C395">
        <v>43</v>
      </c>
      <c r="D395" t="s">
        <v>55</v>
      </c>
      <c r="E395" t="s">
        <v>79</v>
      </c>
      <c r="F395" t="s">
        <v>62</v>
      </c>
      <c r="G395">
        <v>6.3</v>
      </c>
      <c r="H395">
        <v>4</v>
      </c>
      <c r="I395" t="str" cm="1">
        <f t="array" ref="I395">_xlfn.IFS(G395&lt;3, "0–2 Years", G395&lt;6, "3–5 Years", G395&lt;9, "6–8 Years", G395&lt;12, "9-11 Years", G395&gt;=12, "12-14 Years")</f>
        <v>6–8 Years</v>
      </c>
      <c r="J395">
        <v>4</v>
      </c>
      <c r="K395" t="s">
        <v>24</v>
      </c>
      <c r="L395">
        <v>46800</v>
      </c>
      <c r="M395">
        <v>8600</v>
      </c>
      <c r="N395">
        <v>55400</v>
      </c>
      <c r="O395" t="s">
        <v>65</v>
      </c>
      <c r="P395" s="3">
        <v>43707</v>
      </c>
      <c r="Q395" t="s">
        <v>62</v>
      </c>
    </row>
    <row r="396" spans="1:17" x14ac:dyDescent="0.35">
      <c r="A396" t="s">
        <v>448</v>
      </c>
      <c r="B396" t="s">
        <v>23</v>
      </c>
      <c r="C396">
        <v>46</v>
      </c>
      <c r="D396" t="s">
        <v>41</v>
      </c>
      <c r="E396" t="s">
        <v>73</v>
      </c>
      <c r="F396" t="s">
        <v>28</v>
      </c>
      <c r="G396">
        <v>11.4</v>
      </c>
      <c r="H396">
        <v>6.6</v>
      </c>
      <c r="I396" t="str" cm="1">
        <f t="array" ref="I396">_xlfn.IFS(G396&lt;3, "0–2 Years", G396&lt;6, "3–5 Years", G396&lt;9, "6–8 Years", G396&lt;12, "9-11 Years", G396&gt;=12, "12-14 Years")</f>
        <v>9-11 Years</v>
      </c>
      <c r="J396">
        <v>3</v>
      </c>
      <c r="K396" t="s">
        <v>69</v>
      </c>
      <c r="L396">
        <v>75000</v>
      </c>
      <c r="M396">
        <v>3000</v>
      </c>
      <c r="N396">
        <v>78000</v>
      </c>
      <c r="O396" t="s">
        <v>21</v>
      </c>
      <c r="P396" s="3">
        <v>41865</v>
      </c>
      <c r="Q396" t="s">
        <v>28</v>
      </c>
    </row>
    <row r="397" spans="1:17" x14ac:dyDescent="0.35">
      <c r="A397" t="s">
        <v>449</v>
      </c>
      <c r="B397" t="s">
        <v>16</v>
      </c>
      <c r="C397">
        <v>34</v>
      </c>
      <c r="D397" t="s">
        <v>17</v>
      </c>
      <c r="E397" t="s">
        <v>18</v>
      </c>
      <c r="F397" t="s">
        <v>36</v>
      </c>
      <c r="G397">
        <v>3.2</v>
      </c>
      <c r="H397">
        <v>3.2</v>
      </c>
      <c r="I397" t="str" cm="1">
        <f t="array" ref="I397">_xlfn.IFS(G397&lt;3, "0–2 Years", G397&lt;6, "3–5 Years", G397&lt;9, "6–8 Years", G397&lt;12, "9-11 Years", G397&gt;=12, "12-14 Years")</f>
        <v>3–5 Years</v>
      </c>
      <c r="J397">
        <v>3</v>
      </c>
      <c r="K397" t="s">
        <v>20</v>
      </c>
      <c r="L397">
        <v>106800</v>
      </c>
      <c r="M397">
        <v>4900</v>
      </c>
      <c r="N397">
        <v>111700</v>
      </c>
      <c r="O397" t="s">
        <v>57</v>
      </c>
      <c r="P397" s="3">
        <v>44848</v>
      </c>
      <c r="Q397" t="s">
        <v>36</v>
      </c>
    </row>
    <row r="398" spans="1:17" x14ac:dyDescent="0.35">
      <c r="A398" t="s">
        <v>450</v>
      </c>
      <c r="B398" t="s">
        <v>23</v>
      </c>
      <c r="C398">
        <v>40</v>
      </c>
      <c r="D398" t="s">
        <v>17</v>
      </c>
      <c r="E398" t="s">
        <v>27</v>
      </c>
      <c r="F398" t="s">
        <v>28</v>
      </c>
      <c r="G398">
        <v>1.2</v>
      </c>
      <c r="H398">
        <v>1.2</v>
      </c>
      <c r="I398" t="str" cm="1">
        <f t="array" ref="I398">_xlfn.IFS(G398&lt;3, "0–2 Years", G398&lt;6, "3–5 Years", G398&lt;9, "6–8 Years", G398&lt;12, "9-11 Years", G398&gt;=12, "12-14 Years")</f>
        <v>0–2 Years</v>
      </c>
      <c r="J398">
        <v>2</v>
      </c>
      <c r="K398" t="s">
        <v>20</v>
      </c>
      <c r="L398">
        <v>56500</v>
      </c>
      <c r="M398">
        <v>6100</v>
      </c>
      <c r="N398">
        <v>62600</v>
      </c>
      <c r="O398" t="s">
        <v>25</v>
      </c>
      <c r="P398" s="3">
        <v>45594</v>
      </c>
      <c r="Q398" t="s">
        <v>28</v>
      </c>
    </row>
    <row r="399" spans="1:17" x14ac:dyDescent="0.35">
      <c r="A399" t="s">
        <v>451</v>
      </c>
      <c r="B399" t="s">
        <v>23</v>
      </c>
      <c r="C399">
        <v>37</v>
      </c>
      <c r="D399" t="s">
        <v>55</v>
      </c>
      <c r="E399" t="s">
        <v>92</v>
      </c>
      <c r="F399" t="s">
        <v>62</v>
      </c>
      <c r="G399">
        <v>10.4</v>
      </c>
      <c r="H399">
        <v>8.3000000000000007</v>
      </c>
      <c r="I399" t="str" cm="1">
        <f t="array" ref="I399">_xlfn.IFS(G399&lt;3, "0–2 Years", G399&lt;6, "3–5 Years", G399&lt;9, "6–8 Years", G399&lt;12, "9-11 Years", G399&gt;=12, "12-14 Years")</f>
        <v>9-11 Years</v>
      </c>
      <c r="J399">
        <v>4</v>
      </c>
      <c r="K399" t="s">
        <v>69</v>
      </c>
      <c r="L399">
        <v>104300</v>
      </c>
      <c r="M399">
        <v>21800</v>
      </c>
      <c r="N399">
        <v>126100</v>
      </c>
      <c r="O399" t="s">
        <v>57</v>
      </c>
      <c r="P399" s="3">
        <v>42242</v>
      </c>
      <c r="Q399" t="s">
        <v>62</v>
      </c>
    </row>
    <row r="400" spans="1:17" x14ac:dyDescent="0.35">
      <c r="A400" t="s">
        <v>452</v>
      </c>
      <c r="B400" t="s">
        <v>16</v>
      </c>
      <c r="C400">
        <v>41</v>
      </c>
      <c r="D400" t="s">
        <v>55</v>
      </c>
      <c r="E400" t="s">
        <v>79</v>
      </c>
      <c r="F400" t="s">
        <v>28</v>
      </c>
      <c r="G400">
        <v>3.8</v>
      </c>
      <c r="H400">
        <v>0.5</v>
      </c>
      <c r="I400" t="str" cm="1">
        <f t="array" ref="I400">_xlfn.IFS(G400&lt;3, "0–2 Years", G400&lt;6, "3–5 Years", G400&lt;9, "6–8 Years", G400&lt;12, "9-11 Years", G400&gt;=12, "12-14 Years")</f>
        <v>3–5 Years</v>
      </c>
      <c r="J400">
        <v>3</v>
      </c>
      <c r="K400" t="s">
        <v>20</v>
      </c>
      <c r="L400">
        <v>56600</v>
      </c>
      <c r="M400">
        <v>10400</v>
      </c>
      <c r="N400">
        <v>67000</v>
      </c>
      <c r="O400" t="s">
        <v>25</v>
      </c>
      <c r="P400" s="3">
        <v>44644</v>
      </c>
      <c r="Q400" t="s">
        <v>28</v>
      </c>
    </row>
    <row r="401" spans="1:17" x14ac:dyDescent="0.35">
      <c r="A401" t="s">
        <v>453</v>
      </c>
      <c r="B401" t="s">
        <v>23</v>
      </c>
      <c r="C401">
        <v>37</v>
      </c>
      <c r="D401" t="s">
        <v>38</v>
      </c>
      <c r="E401" t="s">
        <v>39</v>
      </c>
      <c r="F401" t="s">
        <v>28</v>
      </c>
      <c r="G401">
        <v>11.4</v>
      </c>
      <c r="H401">
        <v>6.8</v>
      </c>
      <c r="I401" t="str" cm="1">
        <f t="array" ref="I401">_xlfn.IFS(G401&lt;3, "0–2 Years", G401&lt;6, "3–5 Years", G401&lt;9, "6–8 Years", G401&lt;12, "9-11 Years", G401&gt;=12, "12-14 Years")</f>
        <v>9-11 Years</v>
      </c>
      <c r="J401">
        <v>3</v>
      </c>
      <c r="K401" t="s">
        <v>20</v>
      </c>
      <c r="L401">
        <v>80100</v>
      </c>
      <c r="M401">
        <v>5300</v>
      </c>
      <c r="N401">
        <v>85400</v>
      </c>
      <c r="O401" t="s">
        <v>30</v>
      </c>
      <c r="P401" s="3">
        <v>41874</v>
      </c>
      <c r="Q401" t="s">
        <v>28</v>
      </c>
    </row>
    <row r="402" spans="1:17" x14ac:dyDescent="0.35">
      <c r="A402" t="s">
        <v>454</v>
      </c>
      <c r="B402" t="s">
        <v>23</v>
      </c>
      <c r="C402">
        <v>31</v>
      </c>
      <c r="D402" t="s">
        <v>38</v>
      </c>
      <c r="E402" t="s">
        <v>39</v>
      </c>
      <c r="F402" t="s">
        <v>28</v>
      </c>
      <c r="G402">
        <v>1.5</v>
      </c>
      <c r="H402">
        <v>0.3</v>
      </c>
      <c r="I402" t="str" cm="1">
        <f t="array" ref="I402">_xlfn.IFS(G402&lt;3, "0–2 Years", G402&lt;6, "3–5 Years", G402&lt;9, "6–8 Years", G402&lt;12, "9-11 Years", G402&gt;=12, "12-14 Years")</f>
        <v>0–2 Years</v>
      </c>
      <c r="J402">
        <v>3</v>
      </c>
      <c r="K402" t="s">
        <v>20</v>
      </c>
      <c r="L402">
        <v>72800</v>
      </c>
      <c r="M402">
        <v>4100</v>
      </c>
      <c r="N402">
        <v>76900</v>
      </c>
      <c r="O402" t="s">
        <v>21</v>
      </c>
      <c r="P402" s="3">
        <v>45467</v>
      </c>
      <c r="Q402" t="s">
        <v>28</v>
      </c>
    </row>
    <row r="403" spans="1:17" x14ac:dyDescent="0.35">
      <c r="A403" t="s">
        <v>455</v>
      </c>
      <c r="B403" t="s">
        <v>16</v>
      </c>
      <c r="C403">
        <v>28</v>
      </c>
      <c r="D403" t="s">
        <v>38</v>
      </c>
      <c r="E403" t="s">
        <v>112</v>
      </c>
      <c r="F403" t="s">
        <v>36</v>
      </c>
      <c r="G403">
        <v>3.7</v>
      </c>
      <c r="H403">
        <v>3.7</v>
      </c>
      <c r="I403" t="str" cm="1">
        <f t="array" ref="I403">_xlfn.IFS(G403&lt;3, "0–2 Years", G403&lt;6, "3–5 Years", G403&lt;9, "6–8 Years", G403&lt;12, "9-11 Years", G403&gt;=12, "12-14 Years")</f>
        <v>3–5 Years</v>
      </c>
      <c r="J403">
        <v>3</v>
      </c>
      <c r="K403" t="s">
        <v>20</v>
      </c>
      <c r="L403">
        <v>74200</v>
      </c>
      <c r="M403">
        <v>5700</v>
      </c>
      <c r="N403">
        <v>79900</v>
      </c>
      <c r="O403" t="s">
        <v>21</v>
      </c>
      <c r="P403" s="3">
        <v>44662</v>
      </c>
      <c r="Q403" t="s">
        <v>36</v>
      </c>
    </row>
    <row r="404" spans="1:17" x14ac:dyDescent="0.35">
      <c r="A404" t="s">
        <v>456</v>
      </c>
      <c r="B404" t="s">
        <v>23</v>
      </c>
      <c r="C404" s="7">
        <v>35</v>
      </c>
      <c r="D404" t="s">
        <v>38</v>
      </c>
      <c r="E404" t="s">
        <v>39</v>
      </c>
      <c r="F404" t="s">
        <v>36</v>
      </c>
      <c r="G404" s="9">
        <v>12.6</v>
      </c>
      <c r="H404" s="7">
        <v>7.9</v>
      </c>
      <c r="I404" t="str" cm="1">
        <f t="array" ref="I404">_xlfn.IFS(G404&lt;3, "0–2 Years", G404&lt;6, "3–5 Years", G404&lt;9, "6–8 Years", G404&lt;12, "9-11 Years", G404&gt;=12, "12-14 Years")</f>
        <v>12-14 Years</v>
      </c>
      <c r="J404" s="7">
        <v>3</v>
      </c>
      <c r="K404" t="s">
        <v>69</v>
      </c>
      <c r="L404" s="7">
        <v>64400</v>
      </c>
      <c r="M404" s="7">
        <v>5500</v>
      </c>
      <c r="N404" s="7">
        <v>69900</v>
      </c>
      <c r="O404" t="s">
        <v>25</v>
      </c>
      <c r="P404" s="3">
        <v>41407</v>
      </c>
      <c r="Q404" t="s">
        <v>36</v>
      </c>
    </row>
    <row r="405" spans="1:17" x14ac:dyDescent="0.35">
      <c r="A405" t="s">
        <v>457</v>
      </c>
      <c r="B405" t="s">
        <v>23</v>
      </c>
      <c r="C405">
        <v>35</v>
      </c>
      <c r="D405" t="s">
        <v>41</v>
      </c>
      <c r="E405" t="s">
        <v>42</v>
      </c>
      <c r="F405" t="s">
        <v>36</v>
      </c>
      <c r="G405">
        <v>5.7</v>
      </c>
      <c r="H405">
        <v>3.5</v>
      </c>
      <c r="I405" t="str" cm="1">
        <f t="array" ref="I405">_xlfn.IFS(G405&lt;3, "0–2 Years", G405&lt;6, "3–5 Years", G405&lt;9, "6–8 Years", G405&lt;12, "9-11 Years", G405&gt;=12, "12-14 Years")</f>
        <v>3–5 Years</v>
      </c>
      <c r="J405">
        <v>4</v>
      </c>
      <c r="K405" t="s">
        <v>20</v>
      </c>
      <c r="L405">
        <v>90700</v>
      </c>
      <c r="M405">
        <v>3200</v>
      </c>
      <c r="N405">
        <v>93900</v>
      </c>
      <c r="O405" t="s">
        <v>30</v>
      </c>
      <c r="P405" s="3">
        <v>43945</v>
      </c>
      <c r="Q405" t="s">
        <v>36</v>
      </c>
    </row>
    <row r="406" spans="1:17" x14ac:dyDescent="0.35">
      <c r="A406" t="s">
        <v>458</v>
      </c>
      <c r="B406" t="s">
        <v>16</v>
      </c>
      <c r="C406">
        <v>26</v>
      </c>
      <c r="D406" t="s">
        <v>55</v>
      </c>
      <c r="E406" t="s">
        <v>56</v>
      </c>
      <c r="F406" t="s">
        <v>28</v>
      </c>
      <c r="G406">
        <v>9.8000000000000007</v>
      </c>
      <c r="H406">
        <v>7.1</v>
      </c>
      <c r="I406" t="str" cm="1">
        <f t="array" ref="I406">_xlfn.IFS(G406&lt;3, "0–2 Years", G406&lt;6, "3–5 Years", G406&lt;9, "6–8 Years", G406&lt;12, "9-11 Years", G406&gt;=12, "12-14 Years")</f>
        <v>9-11 Years</v>
      </c>
      <c r="J406">
        <v>3</v>
      </c>
      <c r="K406" t="s">
        <v>20</v>
      </c>
      <c r="L406">
        <v>92300</v>
      </c>
      <c r="M406">
        <v>10600</v>
      </c>
      <c r="N406">
        <v>102900</v>
      </c>
      <c r="O406" t="s">
        <v>30</v>
      </c>
      <c r="P406" s="3">
        <v>42440</v>
      </c>
      <c r="Q406" t="s">
        <v>28</v>
      </c>
    </row>
    <row r="407" spans="1:17" x14ac:dyDescent="0.35">
      <c r="A407" t="s">
        <v>459</v>
      </c>
      <c r="B407" t="s">
        <v>23</v>
      </c>
      <c r="C407" s="7">
        <v>41</v>
      </c>
      <c r="D407" t="s">
        <v>34</v>
      </c>
      <c r="E407" t="s">
        <v>35</v>
      </c>
      <c r="F407" t="s">
        <v>28</v>
      </c>
      <c r="G407" s="9">
        <v>12.8</v>
      </c>
      <c r="H407" s="7">
        <v>9.4</v>
      </c>
      <c r="I407" t="str" cm="1">
        <f t="array" ref="I407">_xlfn.IFS(G407&lt;3, "0–2 Years", G407&lt;6, "3–5 Years", G407&lt;9, "6–8 Years", G407&lt;12, "9-11 Years", G407&gt;=12, "12-14 Years")</f>
        <v>12-14 Years</v>
      </c>
      <c r="J407" s="7">
        <v>2</v>
      </c>
      <c r="K407" t="s">
        <v>20</v>
      </c>
      <c r="L407" s="7">
        <v>86800</v>
      </c>
      <c r="M407" s="7">
        <v>5700</v>
      </c>
      <c r="N407" s="7">
        <v>92500</v>
      </c>
      <c r="O407" t="s">
        <v>30</v>
      </c>
      <c r="P407" s="3">
        <v>41336</v>
      </c>
      <c r="Q407" t="s">
        <v>28</v>
      </c>
    </row>
    <row r="408" spans="1:17" x14ac:dyDescent="0.35">
      <c r="A408" t="s">
        <v>460</v>
      </c>
      <c r="B408" t="s">
        <v>16</v>
      </c>
      <c r="C408">
        <v>22</v>
      </c>
      <c r="D408" t="s">
        <v>44</v>
      </c>
      <c r="E408" t="s">
        <v>81</v>
      </c>
      <c r="F408" t="s">
        <v>36</v>
      </c>
      <c r="G408">
        <v>10.3</v>
      </c>
      <c r="H408">
        <v>6.6</v>
      </c>
      <c r="I408" t="str" cm="1">
        <f t="array" ref="I408">_xlfn.IFS(G408&lt;3, "0–2 Years", G408&lt;6, "3–5 Years", G408&lt;9, "6–8 Years", G408&lt;12, "9-11 Years", G408&gt;=12, "12-14 Years")</f>
        <v>9-11 Years</v>
      </c>
      <c r="J408">
        <v>5</v>
      </c>
      <c r="K408" t="s">
        <v>20</v>
      </c>
      <c r="L408">
        <v>94600</v>
      </c>
      <c r="M408">
        <v>13900</v>
      </c>
      <c r="N408">
        <v>108500</v>
      </c>
      <c r="O408" t="s">
        <v>30</v>
      </c>
      <c r="P408" s="3">
        <v>42279</v>
      </c>
      <c r="Q408" t="s">
        <v>36</v>
      </c>
    </row>
    <row r="409" spans="1:17" x14ac:dyDescent="0.35">
      <c r="A409" t="s">
        <v>461</v>
      </c>
      <c r="B409" t="s">
        <v>23</v>
      </c>
      <c r="C409">
        <v>28</v>
      </c>
      <c r="D409" t="s">
        <v>38</v>
      </c>
      <c r="E409" t="s">
        <v>112</v>
      </c>
      <c r="F409" t="s">
        <v>28</v>
      </c>
      <c r="G409">
        <v>10.5</v>
      </c>
      <c r="H409">
        <v>5.9</v>
      </c>
      <c r="I409" t="str" cm="1">
        <f t="array" ref="I409">_xlfn.IFS(G409&lt;3, "0–2 Years", G409&lt;6, "3–5 Years", G409&lt;9, "6–8 Years", G409&lt;12, "9-11 Years", G409&gt;=12, "12-14 Years")</f>
        <v>9-11 Years</v>
      </c>
      <c r="J409">
        <v>3</v>
      </c>
      <c r="K409" t="s">
        <v>20</v>
      </c>
      <c r="L409">
        <v>73100</v>
      </c>
      <c r="M409">
        <v>4400</v>
      </c>
      <c r="N409">
        <v>77500</v>
      </c>
      <c r="O409" t="s">
        <v>21</v>
      </c>
      <c r="P409" s="3">
        <v>42198</v>
      </c>
      <c r="Q409" t="s">
        <v>28</v>
      </c>
    </row>
    <row r="410" spans="1:17" x14ac:dyDescent="0.35">
      <c r="A410" t="s">
        <v>462</v>
      </c>
      <c r="B410" t="s">
        <v>23</v>
      </c>
      <c r="C410">
        <v>23</v>
      </c>
      <c r="D410" t="s">
        <v>55</v>
      </c>
      <c r="E410" t="s">
        <v>79</v>
      </c>
      <c r="F410" t="s">
        <v>62</v>
      </c>
      <c r="G410">
        <v>8</v>
      </c>
      <c r="I410" t="str" cm="1">
        <f t="array" ref="I410">_xlfn.IFS(G410&lt;3, "0–2 Years", G410&lt;6, "3–5 Years", G410&lt;9, "6–8 Years", G410&lt;12, "9-11 Years", G410&gt;=12, "12-14 Years")</f>
        <v>6–8 Years</v>
      </c>
      <c r="J410">
        <v>3</v>
      </c>
      <c r="K410" t="s">
        <v>20</v>
      </c>
      <c r="L410">
        <v>69700</v>
      </c>
      <c r="M410">
        <v>7800</v>
      </c>
      <c r="N410">
        <v>77500</v>
      </c>
      <c r="O410" t="s">
        <v>21</v>
      </c>
      <c r="P410" s="3">
        <v>43116</v>
      </c>
      <c r="Q410" t="s">
        <v>62</v>
      </c>
    </row>
    <row r="411" spans="1:17" x14ac:dyDescent="0.35">
      <c r="A411" t="s">
        <v>463</v>
      </c>
      <c r="B411" t="s">
        <v>23</v>
      </c>
      <c r="C411">
        <v>39</v>
      </c>
      <c r="D411" t="s">
        <v>34</v>
      </c>
      <c r="E411" t="s">
        <v>59</v>
      </c>
      <c r="F411" t="s">
        <v>19</v>
      </c>
      <c r="G411">
        <v>8.1999999999999993</v>
      </c>
      <c r="H411">
        <v>4.9000000000000004</v>
      </c>
      <c r="I411" t="str" cm="1">
        <f t="array" ref="I411">_xlfn.IFS(G411&lt;3, "0–2 Years", G411&lt;6, "3–5 Years", G411&lt;9, "6–8 Years", G411&lt;12, "9-11 Years", G411&gt;=12, "12-14 Years")</f>
        <v>6–8 Years</v>
      </c>
      <c r="J411">
        <v>3</v>
      </c>
      <c r="K411" t="s">
        <v>69</v>
      </c>
      <c r="L411">
        <v>90400</v>
      </c>
      <c r="M411">
        <v>5200</v>
      </c>
      <c r="N411">
        <v>95600</v>
      </c>
      <c r="O411" t="s">
        <v>30</v>
      </c>
      <c r="P411" s="3">
        <v>43030</v>
      </c>
      <c r="Q411" t="s">
        <v>19</v>
      </c>
    </row>
    <row r="412" spans="1:17" x14ac:dyDescent="0.35">
      <c r="A412" t="s">
        <v>464</v>
      </c>
      <c r="B412" t="s">
        <v>16</v>
      </c>
      <c r="C412">
        <v>24</v>
      </c>
      <c r="D412" t="s">
        <v>17</v>
      </c>
      <c r="E412" t="s">
        <v>18</v>
      </c>
      <c r="F412" t="s">
        <v>36</v>
      </c>
      <c r="G412">
        <v>3.5</v>
      </c>
      <c r="H412">
        <v>0</v>
      </c>
      <c r="I412" t="str" cm="1">
        <f t="array" ref="I412">_xlfn.IFS(G412&lt;3, "0–2 Years", G412&lt;6, "3–5 Years", G412&lt;9, "6–8 Years", G412&lt;12, "9-11 Years", G412&gt;=12, "12-14 Years")</f>
        <v>3–5 Years</v>
      </c>
      <c r="J412">
        <v>4</v>
      </c>
      <c r="K412" t="s">
        <v>20</v>
      </c>
      <c r="L412">
        <v>111200</v>
      </c>
      <c r="M412">
        <v>10200</v>
      </c>
      <c r="N412">
        <v>121400</v>
      </c>
      <c r="O412" t="s">
        <v>57</v>
      </c>
      <c r="P412" s="3">
        <v>44727</v>
      </c>
      <c r="Q412" t="s">
        <v>36</v>
      </c>
    </row>
    <row r="413" spans="1:17" x14ac:dyDescent="0.35">
      <c r="A413" t="s">
        <v>465</v>
      </c>
      <c r="B413" t="s">
        <v>23</v>
      </c>
      <c r="C413" s="7">
        <v>41</v>
      </c>
      <c r="D413" t="s">
        <v>38</v>
      </c>
      <c r="E413" t="s">
        <v>39</v>
      </c>
      <c r="F413" t="s">
        <v>28</v>
      </c>
      <c r="G413" s="9">
        <v>12.1</v>
      </c>
      <c r="H413" s="7">
        <v>7.2</v>
      </c>
      <c r="I413" t="str" cm="1">
        <f t="array" ref="I413">_xlfn.IFS(G413&lt;3, "0–2 Years", G413&lt;6, "3–5 Years", G413&lt;9, "6–8 Years", G413&lt;12, "9-11 Years", G413&gt;=12, "12-14 Years")</f>
        <v>12-14 Years</v>
      </c>
      <c r="J413" s="7">
        <v>3</v>
      </c>
      <c r="K413" t="s">
        <v>20</v>
      </c>
      <c r="L413" s="7">
        <v>86100</v>
      </c>
      <c r="M413" s="7">
        <v>5400</v>
      </c>
      <c r="N413" s="7">
        <v>91500</v>
      </c>
      <c r="O413" t="s">
        <v>30</v>
      </c>
      <c r="P413" s="3">
        <v>41588</v>
      </c>
      <c r="Q413" t="s">
        <v>28</v>
      </c>
    </row>
    <row r="414" spans="1:17" x14ac:dyDescent="0.35">
      <c r="A414" t="s">
        <v>466</v>
      </c>
      <c r="B414" t="s">
        <v>16</v>
      </c>
      <c r="C414">
        <v>45</v>
      </c>
      <c r="D414" t="s">
        <v>41</v>
      </c>
      <c r="E414" t="s">
        <v>67</v>
      </c>
      <c r="F414" t="s">
        <v>28</v>
      </c>
      <c r="G414">
        <v>11.8</v>
      </c>
      <c r="H414">
        <v>8.1</v>
      </c>
      <c r="I414" t="str" cm="1">
        <f t="array" ref="I414">_xlfn.IFS(G414&lt;3, "0–2 Years", G414&lt;6, "3–5 Years", G414&lt;9, "6–8 Years", G414&lt;12, "9-11 Years", G414&gt;=12, "12-14 Years")</f>
        <v>9-11 Years</v>
      </c>
      <c r="J414">
        <v>4</v>
      </c>
      <c r="K414" t="s">
        <v>20</v>
      </c>
      <c r="L414">
        <v>77600</v>
      </c>
      <c r="M414">
        <v>5400</v>
      </c>
      <c r="N414">
        <v>83000</v>
      </c>
      <c r="O414" t="s">
        <v>21</v>
      </c>
      <c r="P414" s="3">
        <v>41719</v>
      </c>
      <c r="Q414" t="s">
        <v>28</v>
      </c>
    </row>
    <row r="415" spans="1:17" x14ac:dyDescent="0.35">
      <c r="A415" t="s">
        <v>467</v>
      </c>
      <c r="B415" t="s">
        <v>16</v>
      </c>
      <c r="C415" s="7">
        <v>25</v>
      </c>
      <c r="D415" t="s">
        <v>38</v>
      </c>
      <c r="E415" t="s">
        <v>39</v>
      </c>
      <c r="F415" t="s">
        <v>36</v>
      </c>
      <c r="G415" s="9">
        <v>12.2</v>
      </c>
      <c r="H415" s="7">
        <v>6.9</v>
      </c>
      <c r="I415" t="str" cm="1">
        <f t="array" ref="I415">_xlfn.IFS(G415&lt;3, "0–2 Years", G415&lt;6, "3–5 Years", G415&lt;9, "6–8 Years", G415&lt;12, "9-11 Years", G415&gt;=12, "12-14 Years")</f>
        <v>12-14 Years</v>
      </c>
      <c r="J415" s="7">
        <v>3</v>
      </c>
      <c r="K415" t="s">
        <v>20</v>
      </c>
      <c r="L415" s="7">
        <v>88000</v>
      </c>
      <c r="M415" s="7">
        <v>4600</v>
      </c>
      <c r="N415" s="7">
        <v>92600</v>
      </c>
      <c r="O415" t="s">
        <v>30</v>
      </c>
      <c r="P415" s="3">
        <v>41553</v>
      </c>
      <c r="Q415" t="s">
        <v>36</v>
      </c>
    </row>
    <row r="416" spans="1:17" x14ac:dyDescent="0.35">
      <c r="A416" t="s">
        <v>468</v>
      </c>
      <c r="B416" t="s">
        <v>23</v>
      </c>
      <c r="C416">
        <v>38</v>
      </c>
      <c r="D416" t="s">
        <v>44</v>
      </c>
      <c r="E416" t="s">
        <v>45</v>
      </c>
      <c r="F416" t="s">
        <v>28</v>
      </c>
      <c r="G416">
        <v>5.7</v>
      </c>
      <c r="H416">
        <v>4.3</v>
      </c>
      <c r="I416" t="str" cm="1">
        <f t="array" ref="I416">_xlfn.IFS(G416&lt;3, "0–2 Years", G416&lt;6, "3–5 Years", G416&lt;9, "6–8 Years", G416&lt;12, "9-11 Years", G416&gt;=12, "12-14 Years")</f>
        <v>3–5 Years</v>
      </c>
      <c r="J416">
        <v>4</v>
      </c>
      <c r="K416" t="s">
        <v>20</v>
      </c>
      <c r="L416">
        <v>72000</v>
      </c>
      <c r="M416">
        <v>5000</v>
      </c>
      <c r="N416">
        <v>77000</v>
      </c>
      <c r="O416" t="s">
        <v>21</v>
      </c>
      <c r="P416" s="3">
        <v>43956</v>
      </c>
      <c r="Q416" t="s">
        <v>28</v>
      </c>
    </row>
    <row r="417" spans="1:17" x14ac:dyDescent="0.35">
      <c r="A417" t="s">
        <v>469</v>
      </c>
      <c r="B417" t="s">
        <v>16</v>
      </c>
      <c r="C417">
        <v>33</v>
      </c>
      <c r="D417" t="s">
        <v>55</v>
      </c>
      <c r="E417" t="s">
        <v>56</v>
      </c>
      <c r="F417" t="s">
        <v>28</v>
      </c>
      <c r="G417">
        <v>11.9</v>
      </c>
      <c r="H417">
        <v>7.8</v>
      </c>
      <c r="I417" t="str" cm="1">
        <f t="array" ref="I417">_xlfn.IFS(G417&lt;3, "0–2 Years", G417&lt;6, "3–5 Years", G417&lt;9, "6–8 Years", G417&lt;12, "9-11 Years", G417&gt;=12, "12-14 Years")</f>
        <v>9-11 Years</v>
      </c>
      <c r="J417">
        <v>3</v>
      </c>
      <c r="K417" t="s">
        <v>20</v>
      </c>
      <c r="L417">
        <v>99600</v>
      </c>
      <c r="M417">
        <v>7600</v>
      </c>
      <c r="N417">
        <v>107200</v>
      </c>
      <c r="O417" t="s">
        <v>30</v>
      </c>
      <c r="P417" s="3">
        <v>41667</v>
      </c>
      <c r="Q417" t="s">
        <v>28</v>
      </c>
    </row>
    <row r="418" spans="1:17" x14ac:dyDescent="0.35">
      <c r="A418" t="s">
        <v>470</v>
      </c>
      <c r="B418" t="s">
        <v>16</v>
      </c>
      <c r="C418">
        <v>46</v>
      </c>
      <c r="D418" t="s">
        <v>55</v>
      </c>
      <c r="E418" t="s">
        <v>56</v>
      </c>
      <c r="F418" t="s">
        <v>28</v>
      </c>
      <c r="G418">
        <v>1.4</v>
      </c>
      <c r="H418">
        <v>1.4</v>
      </c>
      <c r="I418" t="str" cm="1">
        <f t="array" ref="I418">_xlfn.IFS(G418&lt;3, "0–2 Years", G418&lt;6, "3–5 Years", G418&lt;9, "6–8 Years", G418&lt;12, "9-11 Years", G418&gt;=12, "12-14 Years")</f>
        <v>0–2 Years</v>
      </c>
      <c r="J418">
        <v>5</v>
      </c>
      <c r="K418" t="s">
        <v>20</v>
      </c>
      <c r="L418">
        <v>103000</v>
      </c>
      <c r="M418">
        <v>7800</v>
      </c>
      <c r="N418">
        <v>110800</v>
      </c>
      <c r="O418" t="s">
        <v>57</v>
      </c>
      <c r="P418" s="3">
        <v>45514</v>
      </c>
      <c r="Q418" t="s">
        <v>28</v>
      </c>
    </row>
    <row r="419" spans="1:17" x14ac:dyDescent="0.35">
      <c r="A419" t="s">
        <v>471</v>
      </c>
      <c r="B419" t="s">
        <v>23</v>
      </c>
      <c r="C419">
        <v>31</v>
      </c>
      <c r="D419" t="s">
        <v>41</v>
      </c>
      <c r="E419" t="s">
        <v>73</v>
      </c>
      <c r="F419" t="s">
        <v>28</v>
      </c>
      <c r="G419">
        <v>10.9</v>
      </c>
      <c r="H419">
        <v>9.3000000000000007</v>
      </c>
      <c r="I419" t="str" cm="1">
        <f t="array" ref="I419">_xlfn.IFS(G419&lt;3, "0–2 Years", G419&lt;6, "3–5 Years", G419&lt;9, "6–8 Years", G419&lt;12, "9-11 Years", G419&gt;=12, "12-14 Years")</f>
        <v>9-11 Years</v>
      </c>
      <c r="J419">
        <v>4</v>
      </c>
      <c r="K419" t="s">
        <v>20</v>
      </c>
      <c r="L419">
        <v>108800</v>
      </c>
      <c r="M419">
        <v>8200</v>
      </c>
      <c r="N419">
        <v>117000</v>
      </c>
      <c r="O419" t="s">
        <v>57</v>
      </c>
      <c r="P419" s="3">
        <v>42030</v>
      </c>
      <c r="Q419" t="s">
        <v>28</v>
      </c>
    </row>
    <row r="420" spans="1:17" x14ac:dyDescent="0.35">
      <c r="A420" t="s">
        <v>472</v>
      </c>
      <c r="B420" t="s">
        <v>23</v>
      </c>
      <c r="C420">
        <v>39</v>
      </c>
      <c r="D420" t="s">
        <v>17</v>
      </c>
      <c r="E420" t="s">
        <v>18</v>
      </c>
      <c r="F420" t="s">
        <v>28</v>
      </c>
      <c r="G420">
        <v>4.7</v>
      </c>
      <c r="H420">
        <v>2.2999999999999998</v>
      </c>
      <c r="I420" t="str" cm="1">
        <f t="array" ref="I420">_xlfn.IFS(G420&lt;3, "0–2 Years", G420&lt;6, "3–5 Years", G420&lt;9, "6–8 Years", G420&lt;12, "9-11 Years", G420&gt;=12, "12-14 Years")</f>
        <v>3–5 Years</v>
      </c>
      <c r="J420">
        <v>4</v>
      </c>
      <c r="K420" t="s">
        <v>20</v>
      </c>
      <c r="L420">
        <v>108200</v>
      </c>
      <c r="M420">
        <v>10600</v>
      </c>
      <c r="N420">
        <v>118800</v>
      </c>
      <c r="O420" t="s">
        <v>57</v>
      </c>
      <c r="P420" s="3">
        <v>44295</v>
      </c>
      <c r="Q420" t="s">
        <v>28</v>
      </c>
    </row>
    <row r="421" spans="1:17" x14ac:dyDescent="0.35">
      <c r="A421" t="s">
        <v>473</v>
      </c>
      <c r="B421" t="s">
        <v>23</v>
      </c>
      <c r="C421">
        <v>54</v>
      </c>
      <c r="D421" t="s">
        <v>34</v>
      </c>
      <c r="E421" t="s">
        <v>47</v>
      </c>
      <c r="F421" t="s">
        <v>36</v>
      </c>
      <c r="G421">
        <v>10.4</v>
      </c>
      <c r="H421">
        <v>7.5</v>
      </c>
      <c r="I421" t="str" cm="1">
        <f t="array" ref="I421">_xlfn.IFS(G421&lt;3, "0–2 Years", G421&lt;6, "3–5 Years", G421&lt;9, "6–8 Years", G421&lt;12, "9-11 Years", G421&gt;=12, "12-14 Years")</f>
        <v>9-11 Years</v>
      </c>
      <c r="J421">
        <v>3</v>
      </c>
      <c r="K421" t="s">
        <v>20</v>
      </c>
      <c r="L421">
        <v>89900</v>
      </c>
      <c r="M421">
        <v>8900</v>
      </c>
      <c r="N421">
        <v>98800</v>
      </c>
      <c r="O421" t="s">
        <v>30</v>
      </c>
      <c r="P421" s="3">
        <v>42228</v>
      </c>
      <c r="Q421" t="s">
        <v>36</v>
      </c>
    </row>
    <row r="422" spans="1:17" x14ac:dyDescent="0.35">
      <c r="A422" t="s">
        <v>474</v>
      </c>
      <c r="B422" t="s">
        <v>23</v>
      </c>
      <c r="C422">
        <v>42</v>
      </c>
      <c r="D422" t="s">
        <v>34</v>
      </c>
      <c r="E422" t="s">
        <v>59</v>
      </c>
      <c r="F422" t="s">
        <v>28</v>
      </c>
      <c r="G422">
        <v>1.9</v>
      </c>
      <c r="H422">
        <v>0</v>
      </c>
      <c r="I422" t="str" cm="1">
        <f t="array" ref="I422">_xlfn.IFS(G422&lt;3, "0–2 Years", G422&lt;6, "3–5 Years", G422&lt;9, "6–8 Years", G422&lt;12, "9-11 Years", G422&gt;=12, "12-14 Years")</f>
        <v>0–2 Years</v>
      </c>
      <c r="J422">
        <v>3</v>
      </c>
      <c r="K422" t="s">
        <v>69</v>
      </c>
      <c r="L422">
        <v>79400</v>
      </c>
      <c r="M422">
        <v>5700</v>
      </c>
      <c r="N422">
        <v>85100</v>
      </c>
      <c r="O422" t="s">
        <v>21</v>
      </c>
      <c r="P422" s="3">
        <v>45324</v>
      </c>
      <c r="Q422" t="s">
        <v>28</v>
      </c>
    </row>
    <row r="423" spans="1:17" x14ac:dyDescent="0.35">
      <c r="A423" t="s">
        <v>475</v>
      </c>
      <c r="B423" t="s">
        <v>23</v>
      </c>
      <c r="C423">
        <v>43</v>
      </c>
      <c r="D423" t="s">
        <v>41</v>
      </c>
      <c r="E423" t="s">
        <v>67</v>
      </c>
      <c r="F423" t="s">
        <v>36</v>
      </c>
      <c r="G423">
        <v>6.4</v>
      </c>
      <c r="H423">
        <v>6.4</v>
      </c>
      <c r="I423" t="str" cm="1">
        <f t="array" ref="I423">_xlfn.IFS(G423&lt;3, "0–2 Years", G423&lt;6, "3–5 Years", G423&lt;9, "6–8 Years", G423&lt;12, "9-11 Years", G423&gt;=12, "12-14 Years")</f>
        <v>6–8 Years</v>
      </c>
      <c r="J423">
        <v>3</v>
      </c>
      <c r="K423" t="s">
        <v>20</v>
      </c>
      <c r="L423">
        <v>68200</v>
      </c>
      <c r="M423">
        <v>4300</v>
      </c>
      <c r="N423">
        <v>72500</v>
      </c>
      <c r="O423" t="s">
        <v>21</v>
      </c>
      <c r="P423" s="3">
        <v>43683</v>
      </c>
      <c r="Q423" t="s">
        <v>36</v>
      </c>
    </row>
    <row r="424" spans="1:17" x14ac:dyDescent="0.35">
      <c r="A424" t="s">
        <v>476</v>
      </c>
      <c r="B424" t="s">
        <v>23</v>
      </c>
      <c r="C424">
        <v>35</v>
      </c>
      <c r="D424" t="s">
        <v>44</v>
      </c>
      <c r="E424" t="s">
        <v>81</v>
      </c>
      <c r="F424" t="s">
        <v>19</v>
      </c>
      <c r="G424">
        <v>8.1</v>
      </c>
      <c r="H424">
        <v>3.7</v>
      </c>
      <c r="I424" t="str" cm="1">
        <f t="array" ref="I424">_xlfn.IFS(G424&lt;3, "0–2 Years", G424&lt;6, "3–5 Years", G424&lt;9, "6–8 Years", G424&lt;12, "9-11 Years", G424&gt;=12, "12-14 Years")</f>
        <v>6–8 Years</v>
      </c>
      <c r="J424">
        <v>3</v>
      </c>
      <c r="K424" t="s">
        <v>20</v>
      </c>
      <c r="L424">
        <v>97800</v>
      </c>
      <c r="M424">
        <v>7500</v>
      </c>
      <c r="N424">
        <v>105300</v>
      </c>
      <c r="O424" t="s">
        <v>30</v>
      </c>
      <c r="P424" s="3">
        <v>43076</v>
      </c>
      <c r="Q424" t="s">
        <v>19</v>
      </c>
    </row>
    <row r="425" spans="1:17" x14ac:dyDescent="0.35">
      <c r="A425" t="s">
        <v>477</v>
      </c>
      <c r="B425" t="s">
        <v>23</v>
      </c>
      <c r="C425">
        <v>45</v>
      </c>
      <c r="D425" t="s">
        <v>44</v>
      </c>
      <c r="E425" t="s">
        <v>76</v>
      </c>
      <c r="F425" t="s">
        <v>36</v>
      </c>
      <c r="G425">
        <v>3.6</v>
      </c>
      <c r="H425">
        <v>1.8</v>
      </c>
      <c r="I425" t="str" cm="1">
        <f t="array" ref="I425">_xlfn.IFS(G425&lt;3, "0–2 Years", G425&lt;6, "3–5 Years", G425&lt;9, "6–8 Years", G425&lt;12, "9-11 Years", G425&gt;=12, "12-14 Years")</f>
        <v>3–5 Years</v>
      </c>
      <c r="J425">
        <v>4</v>
      </c>
      <c r="K425" t="s">
        <v>20</v>
      </c>
      <c r="L425">
        <v>109600</v>
      </c>
      <c r="M425">
        <v>5700</v>
      </c>
      <c r="N425">
        <v>115300</v>
      </c>
      <c r="O425" t="s">
        <v>57</v>
      </c>
      <c r="P425" s="3">
        <v>44706</v>
      </c>
      <c r="Q425" t="s">
        <v>36</v>
      </c>
    </row>
    <row r="426" spans="1:17" x14ac:dyDescent="0.35">
      <c r="A426" t="s">
        <v>478</v>
      </c>
      <c r="B426" t="s">
        <v>16</v>
      </c>
      <c r="C426">
        <v>43</v>
      </c>
      <c r="D426" t="s">
        <v>55</v>
      </c>
      <c r="E426" t="s">
        <v>79</v>
      </c>
      <c r="F426" t="s">
        <v>36</v>
      </c>
      <c r="G426">
        <v>9.4</v>
      </c>
      <c r="H426">
        <v>5.2</v>
      </c>
      <c r="I426" t="str" cm="1">
        <f t="array" ref="I426">_xlfn.IFS(G426&lt;3, "0–2 Years", G426&lt;6, "3–5 Years", G426&lt;9, "6–8 Years", G426&lt;12, "9-11 Years", G426&gt;=12, "12-14 Years")</f>
        <v>9-11 Years</v>
      </c>
      <c r="J426">
        <v>4</v>
      </c>
      <c r="K426" t="s">
        <v>20</v>
      </c>
      <c r="L426">
        <v>79200</v>
      </c>
      <c r="M426">
        <v>15000</v>
      </c>
      <c r="N426">
        <v>94200</v>
      </c>
      <c r="O426" t="s">
        <v>21</v>
      </c>
      <c r="P426" s="3">
        <v>42584</v>
      </c>
      <c r="Q426" t="s">
        <v>36</v>
      </c>
    </row>
    <row r="427" spans="1:17" x14ac:dyDescent="0.35">
      <c r="A427" t="s">
        <v>479</v>
      </c>
      <c r="B427" t="s">
        <v>16</v>
      </c>
      <c r="C427">
        <v>35</v>
      </c>
      <c r="D427" t="s">
        <v>38</v>
      </c>
      <c r="E427" t="s">
        <v>39</v>
      </c>
      <c r="F427" t="s">
        <v>36</v>
      </c>
      <c r="G427">
        <v>8.4</v>
      </c>
      <c r="H427">
        <v>6</v>
      </c>
      <c r="I427" t="str" cm="1">
        <f t="array" ref="I427">_xlfn.IFS(G427&lt;3, "0–2 Years", G427&lt;6, "3–5 Years", G427&lt;9, "6–8 Years", G427&lt;12, "9-11 Years", G427&gt;=12, "12-14 Years")</f>
        <v>6–8 Years</v>
      </c>
      <c r="J427">
        <v>4</v>
      </c>
      <c r="K427" t="s">
        <v>20</v>
      </c>
      <c r="L427">
        <v>72100</v>
      </c>
      <c r="M427">
        <v>5700</v>
      </c>
      <c r="N427">
        <v>77800</v>
      </c>
      <c r="O427" t="s">
        <v>21</v>
      </c>
      <c r="P427" s="3">
        <v>42961</v>
      </c>
      <c r="Q427" t="s">
        <v>36</v>
      </c>
    </row>
    <row r="428" spans="1:17" x14ac:dyDescent="0.35">
      <c r="A428" t="s">
        <v>480</v>
      </c>
      <c r="B428" t="s">
        <v>23</v>
      </c>
      <c r="C428">
        <v>29</v>
      </c>
      <c r="D428" t="s">
        <v>44</v>
      </c>
      <c r="E428" t="s">
        <v>51</v>
      </c>
      <c r="F428" t="s">
        <v>36</v>
      </c>
      <c r="G428">
        <v>1.4</v>
      </c>
      <c r="H428">
        <v>0.4</v>
      </c>
      <c r="I428" t="str" cm="1">
        <f t="array" ref="I428">_xlfn.IFS(G428&lt;3, "0–2 Years", G428&lt;6, "3–5 Years", G428&lt;9, "6–8 Years", G428&lt;12, "9-11 Years", G428&gt;=12, "12-14 Years")</f>
        <v>0–2 Years</v>
      </c>
      <c r="J428">
        <v>4</v>
      </c>
      <c r="K428" t="s">
        <v>20</v>
      </c>
      <c r="L428">
        <v>79800</v>
      </c>
      <c r="M428">
        <v>8000</v>
      </c>
      <c r="N428">
        <v>87800</v>
      </c>
      <c r="O428" t="s">
        <v>21</v>
      </c>
      <c r="P428" s="3">
        <v>45515</v>
      </c>
      <c r="Q428" t="s">
        <v>36</v>
      </c>
    </row>
    <row r="429" spans="1:17" x14ac:dyDescent="0.35">
      <c r="A429" t="s">
        <v>481</v>
      </c>
      <c r="B429" t="s">
        <v>16</v>
      </c>
      <c r="C429">
        <v>38</v>
      </c>
      <c r="D429" t="s">
        <v>55</v>
      </c>
      <c r="E429" t="s">
        <v>92</v>
      </c>
      <c r="F429" t="s">
        <v>28</v>
      </c>
      <c r="G429">
        <v>9.6</v>
      </c>
      <c r="H429">
        <v>6.9</v>
      </c>
      <c r="I429" t="str" cm="1">
        <f t="array" ref="I429">_xlfn.IFS(G429&lt;3, "0–2 Years", G429&lt;6, "3–5 Years", G429&lt;9, "6–8 Years", G429&lt;12, "9-11 Years", G429&gt;=12, "12-14 Years")</f>
        <v>9-11 Years</v>
      </c>
      <c r="J429">
        <v>4</v>
      </c>
      <c r="K429" t="s">
        <v>20</v>
      </c>
      <c r="L429">
        <v>110300</v>
      </c>
      <c r="M429">
        <v>13800</v>
      </c>
      <c r="N429">
        <v>124100</v>
      </c>
      <c r="O429" t="s">
        <v>57</v>
      </c>
      <c r="P429" s="3">
        <v>42533</v>
      </c>
      <c r="Q429" t="s">
        <v>28</v>
      </c>
    </row>
    <row r="430" spans="1:17" x14ac:dyDescent="0.35">
      <c r="A430" t="s">
        <v>482</v>
      </c>
      <c r="B430" t="s">
        <v>16</v>
      </c>
      <c r="C430">
        <v>29</v>
      </c>
      <c r="D430" t="s">
        <v>41</v>
      </c>
      <c r="E430" t="s">
        <v>67</v>
      </c>
      <c r="F430" t="s">
        <v>36</v>
      </c>
      <c r="G430">
        <v>5.3</v>
      </c>
      <c r="H430">
        <v>3.5</v>
      </c>
      <c r="I430" t="str" cm="1">
        <f t="array" ref="I430">_xlfn.IFS(G430&lt;3, "0–2 Years", G430&lt;6, "3–5 Years", G430&lt;9, "6–8 Years", G430&lt;12, "9-11 Years", G430&gt;=12, "12-14 Years")</f>
        <v>3–5 Years</v>
      </c>
      <c r="J430">
        <v>3</v>
      </c>
      <c r="K430" t="s">
        <v>20</v>
      </c>
      <c r="L430">
        <v>67600</v>
      </c>
      <c r="M430">
        <v>5200</v>
      </c>
      <c r="N430">
        <v>72800</v>
      </c>
      <c r="O430" t="s">
        <v>21</v>
      </c>
      <c r="P430" s="3">
        <v>44083</v>
      </c>
      <c r="Q430" t="s">
        <v>36</v>
      </c>
    </row>
    <row r="431" spans="1:17" x14ac:dyDescent="0.35">
      <c r="A431" t="s">
        <v>483</v>
      </c>
      <c r="B431" t="s">
        <v>23</v>
      </c>
      <c r="C431">
        <v>35</v>
      </c>
      <c r="D431" t="s">
        <v>17</v>
      </c>
      <c r="E431" t="s">
        <v>27</v>
      </c>
      <c r="F431" t="s">
        <v>36</v>
      </c>
      <c r="G431">
        <v>8</v>
      </c>
      <c r="H431">
        <v>5.0999999999999996</v>
      </c>
      <c r="I431" t="str" cm="1">
        <f t="array" ref="I431">_xlfn.IFS(G431&lt;3, "0–2 Years", G431&lt;6, "3–5 Years", G431&lt;9, "6–8 Years", G431&lt;12, "9-11 Years", G431&gt;=12, "12-14 Years")</f>
        <v>6–8 Years</v>
      </c>
      <c r="J431">
        <v>3</v>
      </c>
      <c r="K431" t="s">
        <v>20</v>
      </c>
      <c r="L431">
        <v>72100</v>
      </c>
      <c r="M431">
        <v>8400</v>
      </c>
      <c r="N431">
        <v>80500</v>
      </c>
      <c r="O431" t="s">
        <v>21</v>
      </c>
      <c r="P431" s="3">
        <v>43104</v>
      </c>
      <c r="Q431" t="s">
        <v>36</v>
      </c>
    </row>
    <row r="432" spans="1:17" x14ac:dyDescent="0.35">
      <c r="A432" t="s">
        <v>484</v>
      </c>
      <c r="B432" t="s">
        <v>16</v>
      </c>
      <c r="C432">
        <v>31</v>
      </c>
      <c r="D432" t="s">
        <v>44</v>
      </c>
      <c r="E432" t="s">
        <v>76</v>
      </c>
      <c r="F432" t="s">
        <v>28</v>
      </c>
      <c r="G432">
        <v>3.5</v>
      </c>
      <c r="H432">
        <v>2.6</v>
      </c>
      <c r="I432" t="str" cm="1">
        <f t="array" ref="I432">_xlfn.IFS(G432&lt;3, "0–2 Years", G432&lt;6, "3–5 Years", G432&lt;9, "6–8 Years", G432&lt;12, "9-11 Years", G432&gt;=12, "12-14 Years")</f>
        <v>3–5 Years</v>
      </c>
      <c r="J432">
        <v>4</v>
      </c>
      <c r="K432" t="s">
        <v>20</v>
      </c>
      <c r="L432">
        <v>104600</v>
      </c>
      <c r="M432">
        <v>10100</v>
      </c>
      <c r="N432">
        <v>114700</v>
      </c>
      <c r="O432" t="s">
        <v>57</v>
      </c>
      <c r="P432" s="3">
        <v>44749</v>
      </c>
      <c r="Q432" t="s">
        <v>28</v>
      </c>
    </row>
    <row r="433" spans="1:17" x14ac:dyDescent="0.35">
      <c r="A433" t="s">
        <v>485</v>
      </c>
      <c r="B433" t="s">
        <v>16</v>
      </c>
      <c r="C433">
        <v>30</v>
      </c>
      <c r="D433" t="s">
        <v>17</v>
      </c>
      <c r="E433" t="s">
        <v>32</v>
      </c>
      <c r="F433" t="s">
        <v>28</v>
      </c>
      <c r="G433">
        <v>8.6999999999999993</v>
      </c>
      <c r="H433">
        <v>6.2</v>
      </c>
      <c r="I433" t="str" cm="1">
        <f t="array" ref="I433">_xlfn.IFS(G433&lt;3, "0–2 Years", G433&lt;6, "3–5 Years", G433&lt;9, "6–8 Years", G433&lt;12, "9-11 Years", G433&gt;=12, "12-14 Years")</f>
        <v>6–8 Years</v>
      </c>
      <c r="J433">
        <v>3</v>
      </c>
      <c r="K433" t="s">
        <v>20</v>
      </c>
      <c r="L433">
        <v>71100</v>
      </c>
      <c r="M433">
        <v>6600</v>
      </c>
      <c r="N433">
        <v>77700</v>
      </c>
      <c r="O433" t="s">
        <v>21</v>
      </c>
      <c r="P433" s="3">
        <v>42843</v>
      </c>
      <c r="Q433" t="s">
        <v>28</v>
      </c>
    </row>
    <row r="434" spans="1:17" x14ac:dyDescent="0.35">
      <c r="A434" t="s">
        <v>486</v>
      </c>
      <c r="B434" t="s">
        <v>16</v>
      </c>
      <c r="C434">
        <v>47</v>
      </c>
      <c r="D434" t="s">
        <v>41</v>
      </c>
      <c r="E434" t="s">
        <v>67</v>
      </c>
      <c r="F434" t="s">
        <v>19</v>
      </c>
      <c r="G434">
        <v>10.7</v>
      </c>
      <c r="H434">
        <v>5.7</v>
      </c>
      <c r="I434" t="str" cm="1">
        <f t="array" ref="I434">_xlfn.IFS(G434&lt;3, "0–2 Years", G434&lt;6, "3–5 Years", G434&lt;9, "6–8 Years", G434&lt;12, "9-11 Years", G434&gt;=12, "12-14 Years")</f>
        <v>9-11 Years</v>
      </c>
      <c r="J434">
        <v>4</v>
      </c>
      <c r="K434" t="s">
        <v>20</v>
      </c>
      <c r="L434">
        <v>66300</v>
      </c>
      <c r="M434">
        <v>3800</v>
      </c>
      <c r="N434">
        <v>70100</v>
      </c>
      <c r="O434" t="s">
        <v>21</v>
      </c>
      <c r="P434" s="3">
        <v>42104</v>
      </c>
      <c r="Q434" t="s">
        <v>19</v>
      </c>
    </row>
    <row r="435" spans="1:17" x14ac:dyDescent="0.35">
      <c r="A435" t="s">
        <v>487</v>
      </c>
      <c r="B435" t="s">
        <v>16</v>
      </c>
      <c r="C435">
        <v>39</v>
      </c>
      <c r="D435" t="s">
        <v>34</v>
      </c>
      <c r="E435" t="s">
        <v>35</v>
      </c>
      <c r="F435" t="s">
        <v>28</v>
      </c>
      <c r="G435">
        <v>5</v>
      </c>
      <c r="H435">
        <v>3.4</v>
      </c>
      <c r="I435" t="str" cm="1">
        <f t="array" ref="I435">_xlfn.IFS(G435&lt;3, "0–2 Years", G435&lt;6, "3–5 Years", G435&lt;9, "6–8 Years", G435&lt;12, "9-11 Years", G435&gt;=12, "12-14 Years")</f>
        <v>3–5 Years</v>
      </c>
      <c r="J435">
        <v>5</v>
      </c>
      <c r="K435" t="s">
        <v>20</v>
      </c>
      <c r="L435">
        <v>77600</v>
      </c>
      <c r="M435">
        <v>7100</v>
      </c>
      <c r="N435">
        <v>84700</v>
      </c>
      <c r="O435" t="s">
        <v>21</v>
      </c>
      <c r="P435" s="3">
        <v>44197</v>
      </c>
      <c r="Q435" t="s">
        <v>28</v>
      </c>
    </row>
    <row r="436" spans="1:17" x14ac:dyDescent="0.35">
      <c r="A436" t="s">
        <v>488</v>
      </c>
      <c r="B436" t="s">
        <v>23</v>
      </c>
      <c r="C436">
        <v>37</v>
      </c>
      <c r="D436" t="s">
        <v>17</v>
      </c>
      <c r="E436" t="s">
        <v>27</v>
      </c>
      <c r="F436" t="s">
        <v>36</v>
      </c>
      <c r="G436">
        <v>3.4</v>
      </c>
      <c r="H436">
        <v>2.9</v>
      </c>
      <c r="I436" t="str" cm="1">
        <f t="array" ref="I436">_xlfn.IFS(G436&lt;3, "0–2 Years", G436&lt;6, "3–5 Years", G436&lt;9, "6–8 Years", G436&lt;12, "9-11 Years", G436&gt;=12, "12-14 Years")</f>
        <v>3–5 Years</v>
      </c>
      <c r="J436">
        <v>3</v>
      </c>
      <c r="K436" t="s">
        <v>20</v>
      </c>
      <c r="L436">
        <v>76400</v>
      </c>
      <c r="M436">
        <v>8300</v>
      </c>
      <c r="N436">
        <v>84700</v>
      </c>
      <c r="O436" t="s">
        <v>21</v>
      </c>
      <c r="P436" s="3">
        <v>44765</v>
      </c>
      <c r="Q436" t="s">
        <v>36</v>
      </c>
    </row>
    <row r="437" spans="1:17" x14ac:dyDescent="0.35">
      <c r="A437" t="s">
        <v>489</v>
      </c>
      <c r="B437" t="s">
        <v>23</v>
      </c>
      <c r="C437">
        <v>26</v>
      </c>
      <c r="D437" t="s">
        <v>55</v>
      </c>
      <c r="E437" t="s">
        <v>56</v>
      </c>
      <c r="F437" t="s">
        <v>36</v>
      </c>
      <c r="G437">
        <v>6.4</v>
      </c>
      <c r="H437">
        <v>3.9</v>
      </c>
      <c r="I437" t="str" cm="1">
        <f t="array" ref="I437">_xlfn.IFS(G437&lt;3, "0–2 Years", G437&lt;6, "3–5 Years", G437&lt;9, "6–8 Years", G437&lt;12, "9-11 Years", G437&gt;=12, "12-14 Years")</f>
        <v>6–8 Years</v>
      </c>
      <c r="J437">
        <v>3</v>
      </c>
      <c r="K437" t="s">
        <v>20</v>
      </c>
      <c r="L437">
        <v>91800</v>
      </c>
      <c r="M437">
        <v>17800</v>
      </c>
      <c r="N437">
        <v>109600</v>
      </c>
      <c r="O437" t="s">
        <v>30</v>
      </c>
      <c r="P437" s="3">
        <v>43668</v>
      </c>
      <c r="Q437" t="s">
        <v>36</v>
      </c>
    </row>
    <row r="438" spans="1:17" x14ac:dyDescent="0.35">
      <c r="A438" t="s">
        <v>490</v>
      </c>
      <c r="B438" t="s">
        <v>23</v>
      </c>
      <c r="C438">
        <v>23</v>
      </c>
      <c r="D438" t="s">
        <v>34</v>
      </c>
      <c r="E438" t="s">
        <v>35</v>
      </c>
      <c r="F438" t="s">
        <v>28</v>
      </c>
      <c r="G438">
        <v>9.5</v>
      </c>
      <c r="H438">
        <v>5.2</v>
      </c>
      <c r="I438" t="str" cm="1">
        <f t="array" ref="I438">_xlfn.IFS(G438&lt;3, "0–2 Years", G438&lt;6, "3–5 Years", G438&lt;9, "6–8 Years", G438&lt;12, "9-11 Years", G438&gt;=12, "12-14 Years")</f>
        <v>9-11 Years</v>
      </c>
      <c r="J438">
        <v>3</v>
      </c>
      <c r="K438" t="s">
        <v>20</v>
      </c>
      <c r="L438">
        <v>82800</v>
      </c>
      <c r="M438">
        <v>9100</v>
      </c>
      <c r="N438">
        <v>91900</v>
      </c>
      <c r="O438" t="s">
        <v>30</v>
      </c>
      <c r="P438" s="3">
        <v>42555</v>
      </c>
      <c r="Q438" t="s">
        <v>28</v>
      </c>
    </row>
    <row r="439" spans="1:17" x14ac:dyDescent="0.35">
      <c r="A439" t="s">
        <v>491</v>
      </c>
      <c r="B439" t="s">
        <v>23</v>
      </c>
      <c r="C439">
        <v>30</v>
      </c>
      <c r="D439" t="s">
        <v>44</v>
      </c>
      <c r="E439" t="s">
        <v>45</v>
      </c>
      <c r="F439" t="s">
        <v>28</v>
      </c>
      <c r="G439">
        <v>7.5</v>
      </c>
      <c r="H439">
        <v>5.5</v>
      </c>
      <c r="I439" t="str" cm="1">
        <f t="array" ref="I439">_xlfn.IFS(G439&lt;3, "0–2 Years", G439&lt;6, "3–5 Years", G439&lt;9, "6–8 Years", G439&lt;12, "9-11 Years", G439&gt;=12, "12-14 Years")</f>
        <v>6–8 Years</v>
      </c>
      <c r="J439">
        <v>3</v>
      </c>
      <c r="K439" t="s">
        <v>20</v>
      </c>
      <c r="L439">
        <v>81000</v>
      </c>
      <c r="M439">
        <v>11300</v>
      </c>
      <c r="N439">
        <v>92300</v>
      </c>
      <c r="O439" t="s">
        <v>30</v>
      </c>
      <c r="P439" s="3">
        <v>43277</v>
      </c>
      <c r="Q439" t="s">
        <v>28</v>
      </c>
    </row>
    <row r="440" spans="1:17" x14ac:dyDescent="0.35">
      <c r="A440" t="s">
        <v>492</v>
      </c>
      <c r="B440" t="s">
        <v>23</v>
      </c>
      <c r="C440" s="7">
        <v>26</v>
      </c>
      <c r="D440" t="s">
        <v>34</v>
      </c>
      <c r="E440" t="s">
        <v>59</v>
      </c>
      <c r="F440" t="s">
        <v>28</v>
      </c>
      <c r="G440" s="9">
        <v>13.1</v>
      </c>
      <c r="H440" s="7">
        <v>8</v>
      </c>
      <c r="I440" t="str" cm="1">
        <f t="array" ref="I440">_xlfn.IFS(G440&lt;3, "0–2 Years", G440&lt;6, "3–5 Years", G440&lt;9, "6–8 Years", G440&lt;12, "9-11 Years", G440&gt;=12, "12-14 Years")</f>
        <v>12-14 Years</v>
      </c>
      <c r="J440" s="7">
        <v>3</v>
      </c>
      <c r="K440" t="s">
        <v>69</v>
      </c>
      <c r="L440" s="7">
        <v>95400</v>
      </c>
      <c r="M440" s="7">
        <v>4800</v>
      </c>
      <c r="N440" s="7">
        <v>100200</v>
      </c>
      <c r="O440" t="s">
        <v>30</v>
      </c>
      <c r="P440" s="3">
        <v>41248</v>
      </c>
      <c r="Q440" t="s">
        <v>28</v>
      </c>
    </row>
    <row r="441" spans="1:17" x14ac:dyDescent="0.35">
      <c r="A441" t="s">
        <v>493</v>
      </c>
      <c r="B441" t="s">
        <v>23</v>
      </c>
      <c r="C441">
        <v>37</v>
      </c>
      <c r="D441" t="s">
        <v>41</v>
      </c>
      <c r="E441" t="s">
        <v>42</v>
      </c>
      <c r="F441" t="s">
        <v>36</v>
      </c>
      <c r="G441">
        <v>9.1999999999999993</v>
      </c>
      <c r="H441">
        <v>6</v>
      </c>
      <c r="I441" t="str" cm="1">
        <f t="array" ref="I441">_xlfn.IFS(G441&lt;3, "0–2 Years", G441&lt;6, "3–5 Years", G441&lt;9, "6–8 Years", G441&lt;12, "9-11 Years", G441&gt;=12, "12-14 Years")</f>
        <v>9-11 Years</v>
      </c>
      <c r="J441">
        <v>5</v>
      </c>
      <c r="K441" t="s">
        <v>20</v>
      </c>
      <c r="L441">
        <v>80000</v>
      </c>
      <c r="M441">
        <v>3900</v>
      </c>
      <c r="N441">
        <v>83900</v>
      </c>
      <c r="O441" t="s">
        <v>30</v>
      </c>
      <c r="P441" s="3">
        <v>42663</v>
      </c>
      <c r="Q441" t="s">
        <v>36</v>
      </c>
    </row>
    <row r="442" spans="1:17" x14ac:dyDescent="0.35">
      <c r="A442" t="s">
        <v>494</v>
      </c>
      <c r="B442" t="s">
        <v>23</v>
      </c>
      <c r="C442">
        <v>40</v>
      </c>
      <c r="D442" t="s">
        <v>38</v>
      </c>
      <c r="E442" t="s">
        <v>112</v>
      </c>
      <c r="F442" t="s">
        <v>36</v>
      </c>
      <c r="G442">
        <v>5.3</v>
      </c>
      <c r="H442">
        <v>3.3</v>
      </c>
      <c r="I442" t="str" cm="1">
        <f t="array" ref="I442">_xlfn.IFS(G442&lt;3, "0–2 Years", G442&lt;6, "3–5 Years", G442&lt;9, "6–8 Years", G442&lt;12, "9-11 Years", G442&gt;=12, "12-14 Years")</f>
        <v>3–5 Years</v>
      </c>
      <c r="J442">
        <v>3</v>
      </c>
      <c r="K442" t="s">
        <v>24</v>
      </c>
      <c r="L442">
        <v>49200</v>
      </c>
      <c r="M442">
        <v>3800</v>
      </c>
      <c r="N442">
        <v>53000</v>
      </c>
      <c r="O442" t="s">
        <v>65</v>
      </c>
      <c r="P442" s="3">
        <v>44093</v>
      </c>
      <c r="Q442" t="s">
        <v>36</v>
      </c>
    </row>
    <row r="443" spans="1:17" x14ac:dyDescent="0.35">
      <c r="A443" t="s">
        <v>495</v>
      </c>
      <c r="B443" t="s">
        <v>23</v>
      </c>
      <c r="C443" s="7">
        <v>33</v>
      </c>
      <c r="D443" t="s">
        <v>41</v>
      </c>
      <c r="E443" t="s">
        <v>73</v>
      </c>
      <c r="F443" t="s">
        <v>28</v>
      </c>
      <c r="G443" s="9">
        <v>12.2</v>
      </c>
      <c r="H443" s="7">
        <v>7.4</v>
      </c>
      <c r="I443" t="str" cm="1">
        <f t="array" ref="I443">_xlfn.IFS(G443&lt;3, "0–2 Years", G443&lt;6, "3–5 Years", G443&lt;9, "6–8 Years", G443&lt;12, "9-11 Years", G443&gt;=12, "12-14 Years")</f>
        <v>12-14 Years</v>
      </c>
      <c r="J443" s="7">
        <v>2</v>
      </c>
      <c r="K443" t="s">
        <v>20</v>
      </c>
      <c r="L443" s="7">
        <v>100700</v>
      </c>
      <c r="M443" s="7">
        <v>6800</v>
      </c>
      <c r="N443" s="7">
        <v>107500</v>
      </c>
      <c r="O443" t="s">
        <v>57</v>
      </c>
      <c r="P443" s="3">
        <v>41584</v>
      </c>
      <c r="Q443" t="s">
        <v>28</v>
      </c>
    </row>
    <row r="444" spans="1:17" x14ac:dyDescent="0.35">
      <c r="A444" t="s">
        <v>496</v>
      </c>
      <c r="B444" t="s">
        <v>16</v>
      </c>
      <c r="C444">
        <v>32</v>
      </c>
      <c r="D444" t="s">
        <v>38</v>
      </c>
      <c r="E444" t="s">
        <v>61</v>
      </c>
      <c r="F444" t="s">
        <v>28</v>
      </c>
      <c r="G444">
        <v>5.6</v>
      </c>
      <c r="H444">
        <v>4</v>
      </c>
      <c r="I444" t="str" cm="1">
        <f t="array" ref="I444">_xlfn.IFS(G444&lt;3, "0–2 Years", G444&lt;6, "3–5 Years", G444&lt;9, "6–8 Years", G444&lt;12, "9-11 Years", G444&gt;=12, "12-14 Years")</f>
        <v>3–5 Years</v>
      </c>
      <c r="J444">
        <v>3</v>
      </c>
      <c r="K444" t="s">
        <v>20</v>
      </c>
      <c r="L444">
        <v>104600</v>
      </c>
      <c r="M444">
        <v>7100</v>
      </c>
      <c r="N444">
        <v>111700</v>
      </c>
      <c r="O444" t="s">
        <v>57</v>
      </c>
      <c r="P444" s="3">
        <v>43990</v>
      </c>
      <c r="Q444" t="s">
        <v>28</v>
      </c>
    </row>
    <row r="445" spans="1:17" x14ac:dyDescent="0.35">
      <c r="A445" t="s">
        <v>497</v>
      </c>
      <c r="B445" t="s">
        <v>23</v>
      </c>
      <c r="C445">
        <v>45</v>
      </c>
      <c r="D445" t="s">
        <v>55</v>
      </c>
      <c r="E445" t="s">
        <v>92</v>
      </c>
      <c r="F445" t="s">
        <v>36</v>
      </c>
      <c r="G445">
        <v>9.5</v>
      </c>
      <c r="H445">
        <v>6.8</v>
      </c>
      <c r="I445" t="str" cm="1">
        <f t="array" ref="I445">_xlfn.IFS(G445&lt;3, "0–2 Years", G445&lt;6, "3–5 Years", G445&lt;9, "6–8 Years", G445&lt;12, "9-11 Years", G445&gt;=12, "12-14 Years")</f>
        <v>9-11 Years</v>
      </c>
      <c r="J445">
        <v>3</v>
      </c>
      <c r="K445" t="s">
        <v>20</v>
      </c>
      <c r="L445">
        <v>112200</v>
      </c>
      <c r="M445">
        <v>11900</v>
      </c>
      <c r="N445">
        <v>124100</v>
      </c>
      <c r="O445" t="s">
        <v>57</v>
      </c>
      <c r="P445" s="3">
        <v>42544</v>
      </c>
      <c r="Q445" t="s">
        <v>36</v>
      </c>
    </row>
    <row r="446" spans="1:17" x14ac:dyDescent="0.35">
      <c r="A446" t="s">
        <v>498</v>
      </c>
      <c r="B446" t="s">
        <v>23</v>
      </c>
      <c r="C446">
        <v>48</v>
      </c>
      <c r="D446" t="s">
        <v>44</v>
      </c>
      <c r="E446" t="s">
        <v>76</v>
      </c>
      <c r="F446" t="s">
        <v>36</v>
      </c>
      <c r="G446">
        <v>6.5</v>
      </c>
      <c r="H446">
        <v>2.5</v>
      </c>
      <c r="I446" t="str" cm="1">
        <f t="array" ref="I446">_xlfn.IFS(G446&lt;3, "0–2 Years", G446&lt;6, "3–5 Years", G446&lt;9, "6–8 Years", G446&lt;12, "9-11 Years", G446&gt;=12, "12-14 Years")</f>
        <v>6–8 Years</v>
      </c>
      <c r="J446">
        <v>3</v>
      </c>
      <c r="K446" t="s">
        <v>20</v>
      </c>
      <c r="L446">
        <v>110000</v>
      </c>
      <c r="M446">
        <v>7800</v>
      </c>
      <c r="N446">
        <v>117800</v>
      </c>
      <c r="O446" t="s">
        <v>57</v>
      </c>
      <c r="P446" s="3">
        <v>43633</v>
      </c>
      <c r="Q446" t="s">
        <v>36</v>
      </c>
    </row>
    <row r="447" spans="1:17" x14ac:dyDescent="0.35">
      <c r="A447" t="s">
        <v>499</v>
      </c>
      <c r="B447" t="s">
        <v>16</v>
      </c>
      <c r="C447">
        <v>41</v>
      </c>
      <c r="D447" t="s">
        <v>38</v>
      </c>
      <c r="E447" t="s">
        <v>61</v>
      </c>
      <c r="F447" t="s">
        <v>28</v>
      </c>
      <c r="G447">
        <v>8.6999999999999993</v>
      </c>
      <c r="H447">
        <v>7.6</v>
      </c>
      <c r="I447" t="str" cm="1">
        <f t="array" ref="I447">_xlfn.IFS(G447&lt;3, "0–2 Years", G447&lt;6, "3–5 Years", G447&lt;9, "6–8 Years", G447&lt;12, "9-11 Years", G447&gt;=12, "12-14 Years")</f>
        <v>6–8 Years</v>
      </c>
      <c r="J447">
        <v>3</v>
      </c>
      <c r="K447" t="s">
        <v>20</v>
      </c>
      <c r="L447">
        <v>103200</v>
      </c>
      <c r="M447">
        <v>3800</v>
      </c>
      <c r="N447">
        <v>107000</v>
      </c>
      <c r="O447" t="s">
        <v>57</v>
      </c>
      <c r="P447" s="3">
        <v>42860</v>
      </c>
      <c r="Q447" t="s">
        <v>28</v>
      </c>
    </row>
    <row r="448" spans="1:17" x14ac:dyDescent="0.35">
      <c r="A448" t="s">
        <v>500</v>
      </c>
      <c r="B448" t="s">
        <v>23</v>
      </c>
      <c r="C448">
        <v>41</v>
      </c>
      <c r="D448" t="s">
        <v>17</v>
      </c>
      <c r="E448" t="s">
        <v>18</v>
      </c>
      <c r="F448" t="s">
        <v>36</v>
      </c>
      <c r="G448">
        <v>6.3</v>
      </c>
      <c r="I448" t="str" cm="1">
        <f t="array" ref="I448">_xlfn.IFS(G448&lt;3, "0–2 Years", G448&lt;6, "3–5 Years", G448&lt;9, "6–8 Years", G448&lt;12, "9-11 Years", G448&gt;=12, "12-14 Years")</f>
        <v>6–8 Years</v>
      </c>
      <c r="J448">
        <v>4</v>
      </c>
      <c r="K448" t="s">
        <v>20</v>
      </c>
      <c r="L448">
        <v>98300</v>
      </c>
      <c r="M448">
        <v>12700</v>
      </c>
      <c r="N448">
        <v>111000</v>
      </c>
      <c r="O448" t="s">
        <v>30</v>
      </c>
      <c r="P448" s="3">
        <v>43737</v>
      </c>
      <c r="Q448" t="s">
        <v>36</v>
      </c>
    </row>
    <row r="449" spans="1:17" x14ac:dyDescent="0.35">
      <c r="A449" t="s">
        <v>501</v>
      </c>
      <c r="B449" t="s">
        <v>23</v>
      </c>
      <c r="C449">
        <v>21</v>
      </c>
      <c r="D449" t="s">
        <v>17</v>
      </c>
      <c r="E449" t="s">
        <v>18</v>
      </c>
      <c r="F449" t="s">
        <v>36</v>
      </c>
      <c r="G449">
        <v>11.4</v>
      </c>
      <c r="H449">
        <v>7.5</v>
      </c>
      <c r="I449" t="str" cm="1">
        <f t="array" ref="I449">_xlfn.IFS(G449&lt;3, "0–2 Years", G449&lt;6, "3–5 Years", G449&lt;9, "6–8 Years", G449&lt;12, "9-11 Years", G449&gt;=12, "12-14 Years")</f>
        <v>9-11 Years</v>
      </c>
      <c r="J449">
        <v>3</v>
      </c>
      <c r="K449" t="s">
        <v>20</v>
      </c>
      <c r="L449">
        <v>106300</v>
      </c>
      <c r="M449">
        <v>7600</v>
      </c>
      <c r="N449">
        <v>113900</v>
      </c>
      <c r="O449" t="s">
        <v>57</v>
      </c>
      <c r="P449" s="3">
        <v>41862</v>
      </c>
      <c r="Q449" t="s">
        <v>36</v>
      </c>
    </row>
    <row r="450" spans="1:17" x14ac:dyDescent="0.35">
      <c r="A450" t="s">
        <v>502</v>
      </c>
      <c r="B450" t="s">
        <v>23</v>
      </c>
      <c r="C450" s="7">
        <v>40</v>
      </c>
      <c r="D450" t="s">
        <v>17</v>
      </c>
      <c r="E450" t="s">
        <v>32</v>
      </c>
      <c r="F450" t="s">
        <v>36</v>
      </c>
      <c r="G450" s="9">
        <v>13.5</v>
      </c>
      <c r="H450" s="7">
        <v>7.2</v>
      </c>
      <c r="I450" t="str" cm="1">
        <f t="array" ref="I450">_xlfn.IFS(G450&lt;3, "0–2 Years", G450&lt;6, "3–5 Years", G450&lt;9, "6–8 Years", G450&lt;12, "9-11 Years", G450&gt;=12, "12-14 Years")</f>
        <v>12-14 Years</v>
      </c>
      <c r="J450" s="7">
        <v>3</v>
      </c>
      <c r="K450" t="s">
        <v>20</v>
      </c>
      <c r="L450" s="7">
        <v>75200</v>
      </c>
      <c r="M450" s="7">
        <v>7200</v>
      </c>
      <c r="N450" s="7">
        <v>82400</v>
      </c>
      <c r="O450" t="s">
        <v>21</v>
      </c>
      <c r="P450" s="3">
        <v>41079</v>
      </c>
      <c r="Q450" t="s">
        <v>36</v>
      </c>
    </row>
    <row r="451" spans="1:17" x14ac:dyDescent="0.35">
      <c r="A451" t="s">
        <v>503</v>
      </c>
      <c r="B451" t="s">
        <v>16</v>
      </c>
      <c r="C451">
        <v>38</v>
      </c>
      <c r="D451" t="s">
        <v>55</v>
      </c>
      <c r="E451" t="s">
        <v>79</v>
      </c>
      <c r="F451" t="s">
        <v>62</v>
      </c>
      <c r="G451">
        <v>10</v>
      </c>
      <c r="H451">
        <v>5.8</v>
      </c>
      <c r="I451" t="str" cm="1">
        <f t="array" ref="I451">_xlfn.IFS(G451&lt;3, "0–2 Years", G451&lt;6, "3–5 Years", G451&lt;9, "6–8 Years", G451&lt;12, "9-11 Years", G451&gt;=12, "12-14 Years")</f>
        <v>9-11 Years</v>
      </c>
      <c r="J451">
        <v>3</v>
      </c>
      <c r="K451" t="s">
        <v>20</v>
      </c>
      <c r="L451">
        <v>71500</v>
      </c>
      <c r="M451">
        <v>6800</v>
      </c>
      <c r="N451">
        <v>78300</v>
      </c>
      <c r="O451" t="s">
        <v>21</v>
      </c>
      <c r="P451" s="3">
        <v>42353</v>
      </c>
      <c r="Q451" t="s">
        <v>62</v>
      </c>
    </row>
    <row r="452" spans="1:17" x14ac:dyDescent="0.35">
      <c r="A452" t="s">
        <v>504</v>
      </c>
      <c r="B452" t="s">
        <v>23</v>
      </c>
      <c r="C452">
        <v>26</v>
      </c>
      <c r="D452" t="s">
        <v>41</v>
      </c>
      <c r="E452" t="s">
        <v>42</v>
      </c>
      <c r="F452" t="s">
        <v>28</v>
      </c>
      <c r="G452">
        <v>10.4</v>
      </c>
      <c r="H452">
        <v>8.4</v>
      </c>
      <c r="I452" t="str" cm="1">
        <f t="array" ref="I452">_xlfn.IFS(G452&lt;3, "0–2 Years", G452&lt;6, "3–5 Years", G452&lt;9, "6–8 Years", G452&lt;12, "9-11 Years", G452&gt;=12, "12-14 Years")</f>
        <v>9-11 Years</v>
      </c>
      <c r="J452">
        <v>3</v>
      </c>
      <c r="K452" t="s">
        <v>20</v>
      </c>
      <c r="L452">
        <v>71400</v>
      </c>
      <c r="M452">
        <v>6300</v>
      </c>
      <c r="N452">
        <v>77700</v>
      </c>
      <c r="O452" t="s">
        <v>21</v>
      </c>
      <c r="P452" s="3">
        <v>42234</v>
      </c>
      <c r="Q452" t="s">
        <v>28</v>
      </c>
    </row>
    <row r="453" spans="1:17" x14ac:dyDescent="0.35">
      <c r="A453" t="s">
        <v>505</v>
      </c>
      <c r="B453" t="s">
        <v>23</v>
      </c>
      <c r="C453">
        <v>35</v>
      </c>
      <c r="D453" t="s">
        <v>44</v>
      </c>
      <c r="E453" t="s">
        <v>76</v>
      </c>
      <c r="F453" t="s">
        <v>28</v>
      </c>
      <c r="G453">
        <v>2.4</v>
      </c>
      <c r="H453">
        <v>2.4</v>
      </c>
      <c r="I453" t="str" cm="1">
        <f t="array" ref="I453">_xlfn.IFS(G453&lt;3, "0–2 Years", G453&lt;6, "3–5 Years", G453&lt;9, "6–8 Years", G453&lt;12, "9-11 Years", G453&gt;=12, "12-14 Years")</f>
        <v>0–2 Years</v>
      </c>
      <c r="J453">
        <v>4</v>
      </c>
      <c r="K453" t="s">
        <v>69</v>
      </c>
      <c r="L453">
        <v>85500</v>
      </c>
      <c r="M453">
        <v>11300</v>
      </c>
      <c r="N453">
        <v>96800</v>
      </c>
      <c r="O453" t="s">
        <v>30</v>
      </c>
      <c r="P453" s="3">
        <v>45157</v>
      </c>
      <c r="Q453" t="s">
        <v>28</v>
      </c>
    </row>
    <row r="454" spans="1:17" x14ac:dyDescent="0.35">
      <c r="A454" t="s">
        <v>506</v>
      </c>
      <c r="B454" t="s">
        <v>16</v>
      </c>
      <c r="C454">
        <v>43</v>
      </c>
      <c r="D454" t="s">
        <v>55</v>
      </c>
      <c r="E454" t="s">
        <v>56</v>
      </c>
      <c r="F454" t="s">
        <v>36</v>
      </c>
      <c r="G454">
        <v>9.8000000000000007</v>
      </c>
      <c r="H454">
        <v>6.2</v>
      </c>
      <c r="I454" t="str" cm="1">
        <f t="array" ref="I454">_xlfn.IFS(G454&lt;3, "0–2 Years", G454&lt;6, "3–5 Years", G454&lt;9, "6–8 Years", G454&lt;12, "9-11 Years", G454&gt;=12, "12-14 Years")</f>
        <v>9-11 Years</v>
      </c>
      <c r="J454">
        <v>3</v>
      </c>
      <c r="K454" t="s">
        <v>20</v>
      </c>
      <c r="L454">
        <v>105800</v>
      </c>
      <c r="M454">
        <v>21600</v>
      </c>
      <c r="N454">
        <v>127400</v>
      </c>
      <c r="O454" t="s">
        <v>57</v>
      </c>
      <c r="P454" s="3">
        <v>42432</v>
      </c>
      <c r="Q454" t="s">
        <v>36</v>
      </c>
    </row>
    <row r="455" spans="1:17" x14ac:dyDescent="0.35">
      <c r="A455" t="s">
        <v>507</v>
      </c>
      <c r="B455" t="s">
        <v>16</v>
      </c>
      <c r="C455">
        <v>35</v>
      </c>
      <c r="D455" t="s">
        <v>34</v>
      </c>
      <c r="E455" t="s">
        <v>47</v>
      </c>
      <c r="F455" t="s">
        <v>28</v>
      </c>
      <c r="G455">
        <v>1.6</v>
      </c>
      <c r="H455">
        <v>1.5</v>
      </c>
      <c r="I455" t="str" cm="1">
        <f t="array" ref="I455">_xlfn.IFS(G455&lt;3, "0–2 Years", G455&lt;6, "3–5 Years", G455&lt;9, "6–8 Years", G455&lt;12, "9-11 Years", G455&gt;=12, "12-14 Years")</f>
        <v>0–2 Years</v>
      </c>
      <c r="J455">
        <v>3</v>
      </c>
      <c r="K455" t="s">
        <v>20</v>
      </c>
      <c r="L455">
        <v>67400</v>
      </c>
      <c r="M455">
        <v>6000</v>
      </c>
      <c r="N455">
        <v>73400</v>
      </c>
      <c r="O455" t="s">
        <v>21</v>
      </c>
      <c r="P455" s="3">
        <v>45438</v>
      </c>
      <c r="Q455" t="s">
        <v>28</v>
      </c>
    </row>
    <row r="456" spans="1:17" x14ac:dyDescent="0.35">
      <c r="A456" t="s">
        <v>508</v>
      </c>
      <c r="B456" t="s">
        <v>23</v>
      </c>
      <c r="C456" s="7">
        <v>25</v>
      </c>
      <c r="D456" t="s">
        <v>38</v>
      </c>
      <c r="E456" t="s">
        <v>112</v>
      </c>
      <c r="F456" t="s">
        <v>62</v>
      </c>
      <c r="G456" s="9">
        <v>13.6</v>
      </c>
      <c r="H456" s="7">
        <v>8.3000000000000007</v>
      </c>
      <c r="I456" t="str" cm="1">
        <f t="array" ref="I456">_xlfn.IFS(G456&lt;3, "0–2 Years", G456&lt;6, "3–5 Years", G456&lt;9, "6–8 Years", G456&lt;12, "9-11 Years", G456&gt;=12, "12-14 Years")</f>
        <v>12-14 Years</v>
      </c>
      <c r="J456" s="7">
        <v>4</v>
      </c>
      <c r="K456" t="s">
        <v>20</v>
      </c>
      <c r="L456" s="7">
        <v>95200</v>
      </c>
      <c r="M456" s="7">
        <v>5100</v>
      </c>
      <c r="N456" s="7">
        <v>100300</v>
      </c>
      <c r="O456" t="s">
        <v>30</v>
      </c>
      <c r="P456" s="3">
        <v>41072</v>
      </c>
      <c r="Q456" t="s">
        <v>62</v>
      </c>
    </row>
    <row r="457" spans="1:17" x14ac:dyDescent="0.35">
      <c r="A457" t="s">
        <v>509</v>
      </c>
      <c r="B457" t="s">
        <v>16</v>
      </c>
      <c r="C457" s="7">
        <v>35</v>
      </c>
      <c r="D457" t="s">
        <v>34</v>
      </c>
      <c r="E457" t="s">
        <v>35</v>
      </c>
      <c r="F457" t="s">
        <v>28</v>
      </c>
      <c r="G457" s="9">
        <v>13.7</v>
      </c>
      <c r="H457" s="7">
        <v>9.6999999999999993</v>
      </c>
      <c r="I457" t="str" cm="1">
        <f t="array" ref="I457">_xlfn.IFS(G457&lt;3, "0–2 Years", G457&lt;6, "3–5 Years", G457&lt;9, "6–8 Years", G457&lt;12, "9-11 Years", G457&gt;=12, "12-14 Years")</f>
        <v>12-14 Years</v>
      </c>
      <c r="J457" s="7">
        <v>4</v>
      </c>
      <c r="K457" t="s">
        <v>69</v>
      </c>
      <c r="L457" s="7">
        <v>79900</v>
      </c>
      <c r="M457" s="7">
        <v>9100</v>
      </c>
      <c r="N457" s="7">
        <v>89000</v>
      </c>
      <c r="O457" t="s">
        <v>21</v>
      </c>
      <c r="P457" s="3">
        <v>41010</v>
      </c>
      <c r="Q457" t="s">
        <v>28</v>
      </c>
    </row>
    <row r="458" spans="1:17" x14ac:dyDescent="0.35">
      <c r="A458" t="s">
        <v>510</v>
      </c>
      <c r="B458" t="s">
        <v>16</v>
      </c>
      <c r="C458">
        <v>24</v>
      </c>
      <c r="D458" t="s">
        <v>44</v>
      </c>
      <c r="E458" t="s">
        <v>81</v>
      </c>
      <c r="F458" t="s">
        <v>36</v>
      </c>
      <c r="G458">
        <v>8.9</v>
      </c>
      <c r="H458">
        <v>5.4</v>
      </c>
      <c r="I458" t="str" cm="1">
        <f t="array" ref="I458">_xlfn.IFS(G458&lt;3, "0–2 Years", G458&lt;6, "3–5 Years", G458&lt;9, "6–8 Years", G458&lt;12, "9-11 Years", G458&gt;=12, "12-14 Years")</f>
        <v>6–8 Years</v>
      </c>
      <c r="J458">
        <v>3</v>
      </c>
      <c r="K458" t="s">
        <v>20</v>
      </c>
      <c r="L458">
        <v>99600</v>
      </c>
      <c r="M458">
        <v>9500</v>
      </c>
      <c r="N458">
        <v>109100</v>
      </c>
      <c r="O458" t="s">
        <v>30</v>
      </c>
      <c r="P458" s="3">
        <v>42769</v>
      </c>
      <c r="Q458" t="s">
        <v>36</v>
      </c>
    </row>
    <row r="459" spans="1:17" x14ac:dyDescent="0.35">
      <c r="A459" t="s">
        <v>511</v>
      </c>
      <c r="B459" t="s">
        <v>23</v>
      </c>
      <c r="C459" s="7">
        <v>23</v>
      </c>
      <c r="D459" t="s">
        <v>55</v>
      </c>
      <c r="E459" t="s">
        <v>79</v>
      </c>
      <c r="F459" t="s">
        <v>62</v>
      </c>
      <c r="G459" s="9">
        <v>13.8</v>
      </c>
      <c r="H459" s="7">
        <v>9</v>
      </c>
      <c r="I459" t="str" cm="1">
        <f t="array" ref="I459">_xlfn.IFS(G459&lt;3, "0–2 Years", G459&lt;6, "3–5 Years", G459&lt;9, "6–8 Years", G459&lt;12, "9-11 Years", G459&gt;=12, "12-14 Years")</f>
        <v>12-14 Years</v>
      </c>
      <c r="J459" s="7">
        <v>4</v>
      </c>
      <c r="K459" t="s">
        <v>20</v>
      </c>
      <c r="L459" s="7">
        <v>84900</v>
      </c>
      <c r="M459" s="7">
        <v>11000</v>
      </c>
      <c r="N459" s="7">
        <v>95900</v>
      </c>
      <c r="O459" t="s">
        <v>30</v>
      </c>
      <c r="P459" s="3">
        <v>40984</v>
      </c>
      <c r="Q459" t="s">
        <v>62</v>
      </c>
    </row>
    <row r="460" spans="1:17" x14ac:dyDescent="0.35">
      <c r="A460" t="s">
        <v>512</v>
      </c>
      <c r="B460" t="s">
        <v>16</v>
      </c>
      <c r="C460">
        <v>38</v>
      </c>
      <c r="D460" t="s">
        <v>34</v>
      </c>
      <c r="E460" t="s">
        <v>59</v>
      </c>
      <c r="F460" t="s">
        <v>36</v>
      </c>
      <c r="G460">
        <v>10.3</v>
      </c>
      <c r="H460">
        <v>5.7</v>
      </c>
      <c r="I460" t="str" cm="1">
        <f t="array" ref="I460">_xlfn.IFS(G460&lt;3, "0–2 Years", G460&lt;6, "3–5 Years", G460&lt;9, "6–8 Years", G460&lt;12, "9-11 Years", G460&gt;=12, "12-14 Years")</f>
        <v>9-11 Years</v>
      </c>
      <c r="J460">
        <v>4</v>
      </c>
      <c r="K460" t="s">
        <v>69</v>
      </c>
      <c r="L460">
        <v>101000</v>
      </c>
      <c r="M460">
        <v>11300</v>
      </c>
      <c r="N460">
        <v>112300</v>
      </c>
      <c r="O460" t="s">
        <v>57</v>
      </c>
      <c r="P460" s="3">
        <v>42277</v>
      </c>
      <c r="Q460" t="s">
        <v>36</v>
      </c>
    </row>
    <row r="461" spans="1:17" x14ac:dyDescent="0.35">
      <c r="A461" t="s">
        <v>513</v>
      </c>
      <c r="B461" t="s">
        <v>16</v>
      </c>
      <c r="C461">
        <v>47</v>
      </c>
      <c r="D461" t="s">
        <v>17</v>
      </c>
      <c r="E461" t="s">
        <v>18</v>
      </c>
      <c r="F461" t="s">
        <v>28</v>
      </c>
      <c r="G461">
        <v>8</v>
      </c>
      <c r="H461">
        <v>5.8</v>
      </c>
      <c r="I461" t="str" cm="1">
        <f t="array" ref="I461">_xlfn.IFS(G461&lt;3, "0–2 Years", G461&lt;6, "3–5 Years", G461&lt;9, "6–8 Years", G461&lt;12, "9-11 Years", G461&gt;=12, "12-14 Years")</f>
        <v>6–8 Years</v>
      </c>
      <c r="J461">
        <v>2</v>
      </c>
      <c r="K461" t="s">
        <v>20</v>
      </c>
      <c r="L461">
        <v>97500</v>
      </c>
      <c r="M461">
        <v>11300</v>
      </c>
      <c r="N461">
        <v>108800</v>
      </c>
      <c r="O461" t="s">
        <v>30</v>
      </c>
      <c r="P461" s="3">
        <v>43094</v>
      </c>
      <c r="Q461" t="s">
        <v>28</v>
      </c>
    </row>
    <row r="462" spans="1:17" x14ac:dyDescent="0.35">
      <c r="A462" t="s">
        <v>514</v>
      </c>
      <c r="B462" t="s">
        <v>16</v>
      </c>
      <c r="C462">
        <v>31</v>
      </c>
      <c r="D462" t="s">
        <v>38</v>
      </c>
      <c r="E462" t="s">
        <v>61</v>
      </c>
      <c r="F462" t="s">
        <v>28</v>
      </c>
      <c r="G462">
        <v>2.9</v>
      </c>
      <c r="H462">
        <v>2.6</v>
      </c>
      <c r="I462" t="str" cm="1">
        <f t="array" ref="I462">_xlfn.IFS(G462&lt;3, "0–2 Years", G462&lt;6, "3–5 Years", G462&lt;9, "6–8 Years", G462&lt;12, "9-11 Years", G462&gt;=12, "12-14 Years")</f>
        <v>0–2 Years</v>
      </c>
      <c r="J462">
        <v>4</v>
      </c>
      <c r="K462" t="s">
        <v>20</v>
      </c>
      <c r="L462">
        <v>83100</v>
      </c>
      <c r="M462">
        <v>7800</v>
      </c>
      <c r="N462">
        <v>90900</v>
      </c>
      <c r="O462" t="s">
        <v>30</v>
      </c>
      <c r="P462" s="3">
        <v>44973</v>
      </c>
      <c r="Q462" t="s">
        <v>28</v>
      </c>
    </row>
    <row r="463" spans="1:17" x14ac:dyDescent="0.35">
      <c r="A463" t="s">
        <v>515</v>
      </c>
      <c r="B463" t="s">
        <v>16</v>
      </c>
      <c r="C463">
        <v>23</v>
      </c>
      <c r="D463" t="s">
        <v>44</v>
      </c>
      <c r="E463" t="s">
        <v>45</v>
      </c>
      <c r="F463" t="s">
        <v>62</v>
      </c>
      <c r="G463">
        <v>6.5</v>
      </c>
      <c r="H463">
        <v>3.1</v>
      </c>
      <c r="I463" t="str" cm="1">
        <f t="array" ref="I463">_xlfn.IFS(G463&lt;3, "0–2 Years", G463&lt;6, "3–5 Years", G463&lt;9, "6–8 Years", G463&lt;12, "9-11 Years", G463&gt;=12, "12-14 Years")</f>
        <v>6–8 Years</v>
      </c>
      <c r="J463">
        <v>3</v>
      </c>
      <c r="K463" t="s">
        <v>20</v>
      </c>
      <c r="L463">
        <v>72600</v>
      </c>
      <c r="M463">
        <v>8800</v>
      </c>
      <c r="N463">
        <v>81400</v>
      </c>
      <c r="O463" t="s">
        <v>21</v>
      </c>
      <c r="P463" s="3">
        <v>43636</v>
      </c>
      <c r="Q463" t="s">
        <v>62</v>
      </c>
    </row>
    <row r="464" spans="1:17" x14ac:dyDescent="0.35">
      <c r="A464" t="s">
        <v>516</v>
      </c>
      <c r="B464" t="s">
        <v>16</v>
      </c>
      <c r="C464" s="7">
        <v>59</v>
      </c>
      <c r="D464" t="s">
        <v>41</v>
      </c>
      <c r="E464" t="s">
        <v>73</v>
      </c>
      <c r="F464" t="s">
        <v>28</v>
      </c>
      <c r="G464" s="9">
        <v>13.1</v>
      </c>
      <c r="H464" s="7">
        <v>8.1</v>
      </c>
      <c r="I464" t="str" cm="1">
        <f t="array" ref="I464">_xlfn.IFS(G464&lt;3, "0–2 Years", G464&lt;6, "3–5 Years", G464&lt;9, "6–8 Years", G464&lt;12, "9-11 Years", G464&gt;=12, "12-14 Years")</f>
        <v>12-14 Years</v>
      </c>
      <c r="J464" s="7">
        <v>4</v>
      </c>
      <c r="K464" t="s">
        <v>69</v>
      </c>
      <c r="L464" s="7">
        <v>93800</v>
      </c>
      <c r="M464" s="7">
        <v>6200</v>
      </c>
      <c r="N464" s="7">
        <v>100000</v>
      </c>
      <c r="O464" t="s">
        <v>30</v>
      </c>
      <c r="P464" s="3">
        <v>41248</v>
      </c>
      <c r="Q464" t="s">
        <v>28</v>
      </c>
    </row>
    <row r="465" spans="1:17" x14ac:dyDescent="0.35">
      <c r="A465" t="s">
        <v>517</v>
      </c>
      <c r="B465" t="s">
        <v>16</v>
      </c>
      <c r="C465">
        <v>44</v>
      </c>
      <c r="D465" t="s">
        <v>38</v>
      </c>
      <c r="E465" t="s">
        <v>39</v>
      </c>
      <c r="F465" t="s">
        <v>28</v>
      </c>
      <c r="G465">
        <v>8.4</v>
      </c>
      <c r="H465">
        <v>4.8</v>
      </c>
      <c r="I465" t="str" cm="1">
        <f t="array" ref="I465">_xlfn.IFS(G465&lt;3, "0–2 Years", G465&lt;6, "3–5 Years", G465&lt;9, "6–8 Years", G465&lt;12, "9-11 Years", G465&gt;=12, "12-14 Years")</f>
        <v>6–8 Years</v>
      </c>
      <c r="J465">
        <v>5</v>
      </c>
      <c r="K465" t="s">
        <v>20</v>
      </c>
      <c r="L465">
        <v>84400</v>
      </c>
      <c r="M465">
        <v>5600</v>
      </c>
      <c r="N465">
        <v>90000</v>
      </c>
      <c r="O465" t="s">
        <v>30</v>
      </c>
      <c r="P465" s="3">
        <v>42938</v>
      </c>
      <c r="Q465" t="s">
        <v>28</v>
      </c>
    </row>
    <row r="466" spans="1:17" x14ac:dyDescent="0.35">
      <c r="A466" t="s">
        <v>518</v>
      </c>
      <c r="B466" t="s">
        <v>16</v>
      </c>
      <c r="C466">
        <v>42</v>
      </c>
      <c r="D466" t="s">
        <v>17</v>
      </c>
      <c r="E466" t="s">
        <v>18</v>
      </c>
      <c r="F466" t="s">
        <v>36</v>
      </c>
      <c r="G466">
        <v>11.6</v>
      </c>
      <c r="H466">
        <v>6.7</v>
      </c>
      <c r="I466" t="str" cm="1">
        <f t="array" ref="I466">_xlfn.IFS(G466&lt;3, "0–2 Years", G466&lt;6, "3–5 Years", G466&lt;9, "6–8 Years", G466&lt;12, "9-11 Years", G466&gt;=12, "12-14 Years")</f>
        <v>9-11 Years</v>
      </c>
      <c r="J466">
        <v>2</v>
      </c>
      <c r="K466" t="s">
        <v>20</v>
      </c>
      <c r="L466">
        <v>117000</v>
      </c>
      <c r="M466">
        <v>13500</v>
      </c>
      <c r="N466">
        <v>130500</v>
      </c>
      <c r="O466" t="s">
        <v>57</v>
      </c>
      <c r="P466" s="3">
        <v>41774</v>
      </c>
      <c r="Q466" t="s">
        <v>36</v>
      </c>
    </row>
    <row r="467" spans="1:17" x14ac:dyDescent="0.35">
      <c r="A467" t="s">
        <v>519</v>
      </c>
      <c r="B467" t="s">
        <v>23</v>
      </c>
      <c r="C467">
        <v>41</v>
      </c>
      <c r="D467" t="s">
        <v>55</v>
      </c>
      <c r="E467" t="s">
        <v>92</v>
      </c>
      <c r="F467" t="s">
        <v>28</v>
      </c>
      <c r="G467">
        <v>5.9</v>
      </c>
      <c r="H467">
        <v>4.3</v>
      </c>
      <c r="I467" t="str" cm="1">
        <f t="array" ref="I467">_xlfn.IFS(G467&lt;3, "0–2 Years", G467&lt;6, "3–5 Years", G467&lt;9, "6–8 Years", G467&lt;12, "9-11 Years", G467&gt;=12, "12-14 Years")</f>
        <v>3–5 Years</v>
      </c>
      <c r="J467">
        <v>4</v>
      </c>
      <c r="K467" t="s">
        <v>20</v>
      </c>
      <c r="L467">
        <v>88900</v>
      </c>
      <c r="M467">
        <v>16700</v>
      </c>
      <c r="N467">
        <v>105600</v>
      </c>
      <c r="O467" t="s">
        <v>30</v>
      </c>
      <c r="P467" s="3">
        <v>43857</v>
      </c>
      <c r="Q467" t="s">
        <v>28</v>
      </c>
    </row>
    <row r="468" spans="1:17" x14ac:dyDescent="0.35">
      <c r="A468" t="s">
        <v>520</v>
      </c>
      <c r="B468" t="s">
        <v>16</v>
      </c>
      <c r="C468">
        <v>35</v>
      </c>
      <c r="D468" t="s">
        <v>55</v>
      </c>
      <c r="E468" t="s">
        <v>92</v>
      </c>
      <c r="F468" t="s">
        <v>28</v>
      </c>
      <c r="G468">
        <v>3.8</v>
      </c>
      <c r="H468">
        <v>3.8</v>
      </c>
      <c r="I468" t="str" cm="1">
        <f t="array" ref="I468">_xlfn.IFS(G468&lt;3, "0–2 Years", G468&lt;6, "3–5 Years", G468&lt;9, "6–8 Years", G468&lt;12, "9-11 Years", G468&gt;=12, "12-14 Years")</f>
        <v>3–5 Years</v>
      </c>
      <c r="J468">
        <v>4</v>
      </c>
      <c r="K468" t="s">
        <v>20</v>
      </c>
      <c r="L468">
        <v>93200</v>
      </c>
      <c r="M468">
        <v>13400</v>
      </c>
      <c r="N468">
        <v>106600</v>
      </c>
      <c r="O468" t="s">
        <v>30</v>
      </c>
      <c r="P468" s="3">
        <v>44628</v>
      </c>
      <c r="Q468" t="s">
        <v>28</v>
      </c>
    </row>
    <row r="469" spans="1:17" x14ac:dyDescent="0.35">
      <c r="A469" t="s">
        <v>521</v>
      </c>
      <c r="B469" t="s">
        <v>16</v>
      </c>
      <c r="C469">
        <v>40</v>
      </c>
      <c r="D469" t="s">
        <v>41</v>
      </c>
      <c r="E469" t="s">
        <v>67</v>
      </c>
      <c r="F469" t="s">
        <v>28</v>
      </c>
      <c r="G469">
        <v>8.5</v>
      </c>
      <c r="H469">
        <v>4.3</v>
      </c>
      <c r="I469" t="str" cm="1">
        <f t="array" ref="I469">_xlfn.IFS(G469&lt;3, "0–2 Years", G469&lt;6, "3–5 Years", G469&lt;9, "6–8 Years", G469&lt;12, "9-11 Years", G469&gt;=12, "12-14 Years")</f>
        <v>6–8 Years</v>
      </c>
      <c r="J469">
        <v>5</v>
      </c>
      <c r="K469" t="s">
        <v>20</v>
      </c>
      <c r="L469">
        <v>67500</v>
      </c>
      <c r="M469">
        <v>4400</v>
      </c>
      <c r="N469">
        <v>71900</v>
      </c>
      <c r="O469" t="s">
        <v>21</v>
      </c>
      <c r="P469" s="3">
        <v>42911</v>
      </c>
      <c r="Q469" t="s">
        <v>28</v>
      </c>
    </row>
    <row r="470" spans="1:17" x14ac:dyDescent="0.35">
      <c r="A470" t="s">
        <v>522</v>
      </c>
      <c r="B470" t="s">
        <v>23</v>
      </c>
      <c r="C470">
        <v>29</v>
      </c>
      <c r="D470" t="s">
        <v>34</v>
      </c>
      <c r="E470" t="s">
        <v>59</v>
      </c>
      <c r="F470" t="s">
        <v>28</v>
      </c>
      <c r="G470">
        <v>4.9000000000000004</v>
      </c>
      <c r="H470">
        <v>1.1000000000000001</v>
      </c>
      <c r="I470" t="str" cm="1">
        <f t="array" ref="I470">_xlfn.IFS(G470&lt;3, "0–2 Years", G470&lt;6, "3–5 Years", G470&lt;9, "6–8 Years", G470&lt;12, "9-11 Years", G470&gt;=12, "12-14 Years")</f>
        <v>3–5 Years</v>
      </c>
      <c r="J470">
        <v>4</v>
      </c>
      <c r="K470" t="s">
        <v>69</v>
      </c>
      <c r="L470">
        <v>83600</v>
      </c>
      <c r="M470">
        <v>4800</v>
      </c>
      <c r="N470">
        <v>88400</v>
      </c>
      <c r="O470" t="s">
        <v>30</v>
      </c>
      <c r="P470" s="3">
        <v>44247</v>
      </c>
      <c r="Q470" t="s">
        <v>28</v>
      </c>
    </row>
    <row r="471" spans="1:17" x14ac:dyDescent="0.35">
      <c r="A471" t="s">
        <v>523</v>
      </c>
      <c r="B471" t="s">
        <v>23</v>
      </c>
      <c r="C471">
        <v>43</v>
      </c>
      <c r="D471" t="s">
        <v>55</v>
      </c>
      <c r="E471" t="s">
        <v>56</v>
      </c>
      <c r="F471" t="s">
        <v>28</v>
      </c>
      <c r="G471">
        <v>4.9000000000000004</v>
      </c>
      <c r="H471">
        <v>4.5999999999999996</v>
      </c>
      <c r="I471" t="str" cm="1">
        <f t="array" ref="I471">_xlfn.IFS(G471&lt;3, "0–2 Years", G471&lt;6, "3–5 Years", G471&lt;9, "6–8 Years", G471&lt;12, "9-11 Years", G471&gt;=12, "12-14 Years")</f>
        <v>3–5 Years</v>
      </c>
      <c r="J471">
        <v>5</v>
      </c>
      <c r="K471" t="s">
        <v>20</v>
      </c>
      <c r="L471">
        <v>105700</v>
      </c>
      <c r="M471">
        <v>12000</v>
      </c>
      <c r="N471">
        <v>117700</v>
      </c>
      <c r="O471" t="s">
        <v>57</v>
      </c>
      <c r="P471" s="3">
        <v>44236</v>
      </c>
      <c r="Q471" t="s">
        <v>28</v>
      </c>
    </row>
    <row r="472" spans="1:17" x14ac:dyDescent="0.35">
      <c r="A472" t="s">
        <v>524</v>
      </c>
      <c r="B472" t="s">
        <v>16</v>
      </c>
      <c r="C472">
        <v>31</v>
      </c>
      <c r="D472" t="s">
        <v>34</v>
      </c>
      <c r="E472" t="s">
        <v>47</v>
      </c>
      <c r="F472" t="s">
        <v>28</v>
      </c>
      <c r="G472">
        <v>6.8</v>
      </c>
      <c r="H472">
        <v>4.5999999999999996</v>
      </c>
      <c r="I472" t="str" cm="1">
        <f t="array" ref="I472">_xlfn.IFS(G472&lt;3, "0–2 Years", G472&lt;6, "3–5 Years", G472&lt;9, "6–8 Years", G472&lt;12, "9-11 Years", G472&gt;=12, "12-14 Years")</f>
        <v>6–8 Years</v>
      </c>
      <c r="J472">
        <v>3</v>
      </c>
      <c r="K472" t="s">
        <v>69</v>
      </c>
      <c r="L472">
        <v>58700</v>
      </c>
      <c r="M472">
        <v>6300</v>
      </c>
      <c r="N472">
        <v>65000</v>
      </c>
      <c r="O472" t="s">
        <v>25</v>
      </c>
      <c r="P472" s="3">
        <v>43553</v>
      </c>
      <c r="Q472" t="s">
        <v>28</v>
      </c>
    </row>
    <row r="473" spans="1:17" x14ac:dyDescent="0.35">
      <c r="A473" t="s">
        <v>525</v>
      </c>
      <c r="B473" t="s">
        <v>16</v>
      </c>
      <c r="C473">
        <v>35</v>
      </c>
      <c r="D473" t="s">
        <v>44</v>
      </c>
      <c r="E473" t="s">
        <v>51</v>
      </c>
      <c r="F473" t="s">
        <v>36</v>
      </c>
      <c r="G473">
        <v>9.1</v>
      </c>
      <c r="H473">
        <v>5.0999999999999996</v>
      </c>
      <c r="I473" t="str" cm="1">
        <f t="array" ref="I473">_xlfn.IFS(G473&lt;3, "0–2 Years", G473&lt;6, "3–5 Years", G473&lt;9, "6–8 Years", G473&lt;12, "9-11 Years", G473&gt;=12, "12-14 Years")</f>
        <v>9-11 Years</v>
      </c>
      <c r="J473">
        <v>3</v>
      </c>
      <c r="K473" t="s">
        <v>20</v>
      </c>
      <c r="L473">
        <v>92200</v>
      </c>
      <c r="M473">
        <v>8600</v>
      </c>
      <c r="N473">
        <v>100800</v>
      </c>
      <c r="O473" t="s">
        <v>30</v>
      </c>
      <c r="P473" s="3">
        <v>42698</v>
      </c>
      <c r="Q473" t="s">
        <v>36</v>
      </c>
    </row>
    <row r="474" spans="1:17" x14ac:dyDescent="0.35">
      <c r="A474" t="s">
        <v>526</v>
      </c>
      <c r="B474" t="s">
        <v>16</v>
      </c>
      <c r="C474">
        <v>32</v>
      </c>
      <c r="D474" t="s">
        <v>55</v>
      </c>
      <c r="E474" t="s">
        <v>92</v>
      </c>
      <c r="F474" t="s">
        <v>19</v>
      </c>
      <c r="G474">
        <v>7.4</v>
      </c>
      <c r="H474">
        <v>4.4000000000000004</v>
      </c>
      <c r="I474" t="str" cm="1">
        <f t="array" ref="I474">_xlfn.IFS(G474&lt;3, "0–2 Years", G474&lt;6, "3–5 Years", G474&lt;9, "6–8 Years", G474&lt;12, "9-11 Years", G474&gt;=12, "12-14 Years")</f>
        <v>6–8 Years</v>
      </c>
      <c r="J474">
        <v>3</v>
      </c>
      <c r="K474" t="s">
        <v>20</v>
      </c>
      <c r="L474">
        <v>90700</v>
      </c>
      <c r="M474">
        <v>8200</v>
      </c>
      <c r="N474">
        <v>98900</v>
      </c>
      <c r="O474" t="s">
        <v>30</v>
      </c>
      <c r="P474" s="3">
        <v>43310</v>
      </c>
      <c r="Q474" t="s">
        <v>19</v>
      </c>
    </row>
    <row r="475" spans="1:17" x14ac:dyDescent="0.35">
      <c r="A475" t="s">
        <v>527</v>
      </c>
      <c r="B475" t="s">
        <v>23</v>
      </c>
      <c r="C475">
        <v>31</v>
      </c>
      <c r="D475" t="s">
        <v>44</v>
      </c>
      <c r="E475" t="s">
        <v>51</v>
      </c>
      <c r="F475" t="s">
        <v>28</v>
      </c>
      <c r="G475">
        <v>6.5</v>
      </c>
      <c r="H475">
        <v>3.5</v>
      </c>
      <c r="I475" t="str" cm="1">
        <f t="array" ref="I475">_xlfn.IFS(G475&lt;3, "0–2 Years", G475&lt;6, "3–5 Years", G475&lt;9, "6–8 Years", G475&lt;12, "9-11 Years", G475&gt;=12, "12-14 Years")</f>
        <v>6–8 Years</v>
      </c>
      <c r="J475">
        <v>4</v>
      </c>
      <c r="K475" t="s">
        <v>20</v>
      </c>
      <c r="L475">
        <v>82400</v>
      </c>
      <c r="M475">
        <v>10200</v>
      </c>
      <c r="N475">
        <v>92600</v>
      </c>
      <c r="O475" t="s">
        <v>30</v>
      </c>
      <c r="P475" s="3">
        <v>43649</v>
      </c>
      <c r="Q475" t="s">
        <v>28</v>
      </c>
    </row>
    <row r="476" spans="1:17" x14ac:dyDescent="0.35">
      <c r="A476" t="s">
        <v>528</v>
      </c>
      <c r="B476" t="s">
        <v>23</v>
      </c>
      <c r="C476">
        <v>33</v>
      </c>
      <c r="D476" t="s">
        <v>41</v>
      </c>
      <c r="E476" t="s">
        <v>67</v>
      </c>
      <c r="F476" t="s">
        <v>28</v>
      </c>
      <c r="G476">
        <v>8.4</v>
      </c>
      <c r="H476">
        <v>5.0999999999999996</v>
      </c>
      <c r="I476" t="str" cm="1">
        <f t="array" ref="I476">_xlfn.IFS(G476&lt;3, "0–2 Years", G476&lt;6, "3–5 Years", G476&lt;9, "6–8 Years", G476&lt;12, "9-11 Years", G476&gt;=12, "12-14 Years")</f>
        <v>6–8 Years</v>
      </c>
      <c r="J476">
        <v>4</v>
      </c>
      <c r="K476" t="s">
        <v>24</v>
      </c>
      <c r="L476">
        <v>43200</v>
      </c>
      <c r="M476">
        <v>3000</v>
      </c>
      <c r="N476">
        <v>46200</v>
      </c>
      <c r="O476" t="s">
        <v>65</v>
      </c>
      <c r="P476" s="3">
        <v>42962</v>
      </c>
      <c r="Q476" t="s">
        <v>28</v>
      </c>
    </row>
    <row r="477" spans="1:17" x14ac:dyDescent="0.35">
      <c r="A477" t="s">
        <v>529</v>
      </c>
      <c r="B477" t="s">
        <v>16</v>
      </c>
      <c r="C477">
        <v>31</v>
      </c>
      <c r="D477" t="s">
        <v>44</v>
      </c>
      <c r="E477" t="s">
        <v>76</v>
      </c>
      <c r="F477" t="s">
        <v>28</v>
      </c>
      <c r="G477">
        <v>4.9000000000000004</v>
      </c>
      <c r="H477">
        <v>4.9000000000000004</v>
      </c>
      <c r="I477" t="str" cm="1">
        <f t="array" ref="I477">_xlfn.IFS(G477&lt;3, "0–2 Years", G477&lt;6, "3–5 Years", G477&lt;9, "6–8 Years", G477&lt;12, "9-11 Years", G477&gt;=12, "12-14 Years")</f>
        <v>3–5 Years</v>
      </c>
      <c r="J477">
        <v>3</v>
      </c>
      <c r="K477" t="s">
        <v>20</v>
      </c>
      <c r="L477">
        <v>97800</v>
      </c>
      <c r="M477">
        <v>6100</v>
      </c>
      <c r="N477">
        <v>103900</v>
      </c>
      <c r="O477" t="s">
        <v>30</v>
      </c>
      <c r="P477" s="3">
        <v>44241</v>
      </c>
      <c r="Q477" t="s">
        <v>28</v>
      </c>
    </row>
    <row r="478" spans="1:17" x14ac:dyDescent="0.35">
      <c r="A478" t="s">
        <v>530</v>
      </c>
      <c r="B478" t="s">
        <v>16</v>
      </c>
      <c r="C478" s="7">
        <v>43</v>
      </c>
      <c r="D478" t="s">
        <v>41</v>
      </c>
      <c r="E478" t="s">
        <v>67</v>
      </c>
      <c r="F478" t="s">
        <v>28</v>
      </c>
      <c r="G478" s="9">
        <v>12.9</v>
      </c>
      <c r="H478" s="7">
        <v>7.3</v>
      </c>
      <c r="I478" t="str" cm="1">
        <f t="array" ref="I478">_xlfn.IFS(G478&lt;3, "0–2 Years", G478&lt;6, "3–5 Years", G478&lt;9, "6–8 Years", G478&lt;12, "9-11 Years", G478&gt;=12, "12-14 Years")</f>
        <v>12-14 Years</v>
      </c>
      <c r="J478" s="7">
        <v>4</v>
      </c>
      <c r="K478" t="s">
        <v>20</v>
      </c>
      <c r="L478" s="7">
        <v>81900</v>
      </c>
      <c r="M478" s="7">
        <v>3300</v>
      </c>
      <c r="N478" s="7">
        <v>85200</v>
      </c>
      <c r="O478" t="s">
        <v>30</v>
      </c>
      <c r="P478" s="3">
        <v>41317</v>
      </c>
      <c r="Q478" t="s">
        <v>28</v>
      </c>
    </row>
    <row r="479" spans="1:17" x14ac:dyDescent="0.35">
      <c r="A479" t="s">
        <v>531</v>
      </c>
      <c r="B479" t="s">
        <v>23</v>
      </c>
      <c r="C479" s="7">
        <v>22</v>
      </c>
      <c r="D479" t="s">
        <v>41</v>
      </c>
      <c r="E479" t="s">
        <v>42</v>
      </c>
      <c r="F479" t="s">
        <v>28</v>
      </c>
      <c r="G479" s="9">
        <v>13.9</v>
      </c>
      <c r="H479" s="7">
        <v>8.9</v>
      </c>
      <c r="I479" t="str" cm="1">
        <f t="array" ref="I479">_xlfn.IFS(G479&lt;3, "0–2 Years", G479&lt;6, "3–5 Years", G479&lt;9, "6–8 Years", G479&lt;12, "9-11 Years", G479&gt;=12, "12-14 Years")</f>
        <v>12-14 Years</v>
      </c>
      <c r="J479" s="7">
        <v>3</v>
      </c>
      <c r="K479" t="s">
        <v>20</v>
      </c>
      <c r="L479" s="7">
        <v>89500</v>
      </c>
      <c r="M479" s="7">
        <v>6100</v>
      </c>
      <c r="N479" s="7">
        <v>95600</v>
      </c>
      <c r="O479" t="s">
        <v>30</v>
      </c>
      <c r="P479" s="3">
        <v>40953</v>
      </c>
      <c r="Q479" t="s">
        <v>28</v>
      </c>
    </row>
    <row r="480" spans="1:17" x14ac:dyDescent="0.35">
      <c r="A480" t="s">
        <v>532</v>
      </c>
      <c r="B480" t="s">
        <v>23</v>
      </c>
      <c r="C480">
        <v>31</v>
      </c>
      <c r="D480" t="s">
        <v>44</v>
      </c>
      <c r="E480" t="s">
        <v>81</v>
      </c>
      <c r="F480" t="s">
        <v>28</v>
      </c>
      <c r="G480">
        <v>11.4</v>
      </c>
      <c r="H480">
        <v>6.2</v>
      </c>
      <c r="I480" t="str" cm="1">
        <f t="array" ref="I480">_xlfn.IFS(G480&lt;3, "0–2 Years", G480&lt;6, "3–5 Years", G480&lt;9, "6–8 Years", G480&lt;12, "9-11 Years", G480&gt;=12, "12-14 Years")</f>
        <v>9-11 Years</v>
      </c>
      <c r="J480">
        <v>3</v>
      </c>
      <c r="K480" t="s">
        <v>20</v>
      </c>
      <c r="L480">
        <v>106000</v>
      </c>
      <c r="M480">
        <v>10900</v>
      </c>
      <c r="N480">
        <v>116900</v>
      </c>
      <c r="O480" t="s">
        <v>57</v>
      </c>
      <c r="P480" s="3">
        <v>41864</v>
      </c>
      <c r="Q480" t="s">
        <v>28</v>
      </c>
    </row>
    <row r="481" spans="1:17" x14ac:dyDescent="0.35">
      <c r="A481" t="s">
        <v>533</v>
      </c>
      <c r="B481" t="s">
        <v>23</v>
      </c>
      <c r="C481">
        <v>29</v>
      </c>
      <c r="D481" t="s">
        <v>44</v>
      </c>
      <c r="E481" t="s">
        <v>51</v>
      </c>
      <c r="F481" t="s">
        <v>19</v>
      </c>
      <c r="G481">
        <v>8.1</v>
      </c>
      <c r="H481">
        <v>4.5999999999999996</v>
      </c>
      <c r="I481" t="str" cm="1">
        <f t="array" ref="I481">_xlfn.IFS(G481&lt;3, "0–2 Years", G481&lt;6, "3–5 Years", G481&lt;9, "6–8 Years", G481&lt;12, "9-11 Years", G481&gt;=12, "12-14 Years")</f>
        <v>6–8 Years</v>
      </c>
      <c r="J481">
        <v>3</v>
      </c>
      <c r="K481" t="s">
        <v>69</v>
      </c>
      <c r="L481">
        <v>62700</v>
      </c>
      <c r="M481">
        <v>5000</v>
      </c>
      <c r="N481">
        <v>67700</v>
      </c>
      <c r="O481" t="s">
        <v>25</v>
      </c>
      <c r="P481" s="3">
        <v>43066</v>
      </c>
      <c r="Q481" t="s">
        <v>19</v>
      </c>
    </row>
    <row r="482" spans="1:17" x14ac:dyDescent="0.35">
      <c r="A482" t="s">
        <v>534</v>
      </c>
      <c r="B482" t="s">
        <v>23</v>
      </c>
      <c r="C482">
        <v>49</v>
      </c>
      <c r="D482" t="s">
        <v>38</v>
      </c>
      <c r="E482" t="s">
        <v>39</v>
      </c>
      <c r="F482" t="s">
        <v>28</v>
      </c>
      <c r="G482">
        <v>8.6999999999999993</v>
      </c>
      <c r="H482">
        <v>4.8</v>
      </c>
      <c r="I482" t="str" cm="1">
        <f t="array" ref="I482">_xlfn.IFS(G482&lt;3, "0–2 Years", G482&lt;6, "3–5 Years", G482&lt;9, "6–8 Years", G482&lt;12, "9-11 Years", G482&gt;=12, "12-14 Years")</f>
        <v>6–8 Years</v>
      </c>
      <c r="J482">
        <v>4</v>
      </c>
      <c r="K482" t="s">
        <v>20</v>
      </c>
      <c r="L482">
        <v>78500</v>
      </c>
      <c r="M482">
        <v>3400</v>
      </c>
      <c r="N482">
        <v>81900</v>
      </c>
      <c r="O482" t="s">
        <v>21</v>
      </c>
      <c r="P482" s="3">
        <v>42842</v>
      </c>
      <c r="Q482" t="s">
        <v>28</v>
      </c>
    </row>
    <row r="483" spans="1:17" x14ac:dyDescent="0.35">
      <c r="A483" t="s">
        <v>535</v>
      </c>
      <c r="B483" t="s">
        <v>16</v>
      </c>
      <c r="C483">
        <v>40</v>
      </c>
      <c r="D483" t="s">
        <v>17</v>
      </c>
      <c r="E483" t="s">
        <v>32</v>
      </c>
      <c r="F483" t="s">
        <v>19</v>
      </c>
      <c r="G483">
        <v>10.9</v>
      </c>
      <c r="H483">
        <v>5.5</v>
      </c>
      <c r="I483" t="str" cm="1">
        <f t="array" ref="I483">_xlfn.IFS(G483&lt;3, "0–2 Years", G483&lt;6, "3–5 Years", G483&lt;9, "6–8 Years", G483&lt;12, "9-11 Years", G483&gt;=12, "12-14 Years")</f>
        <v>9-11 Years</v>
      </c>
      <c r="J483">
        <v>3</v>
      </c>
      <c r="K483" t="s">
        <v>20</v>
      </c>
      <c r="L483">
        <v>77900</v>
      </c>
      <c r="M483">
        <v>4500</v>
      </c>
      <c r="N483">
        <v>82400</v>
      </c>
      <c r="O483" t="s">
        <v>21</v>
      </c>
      <c r="P483" s="3">
        <v>42028</v>
      </c>
      <c r="Q483" t="s">
        <v>19</v>
      </c>
    </row>
    <row r="484" spans="1:17" x14ac:dyDescent="0.35">
      <c r="A484" t="s">
        <v>536</v>
      </c>
      <c r="B484" t="s">
        <v>23</v>
      </c>
      <c r="C484">
        <v>40</v>
      </c>
      <c r="D484" t="s">
        <v>41</v>
      </c>
      <c r="E484" t="s">
        <v>42</v>
      </c>
      <c r="F484" t="s">
        <v>19</v>
      </c>
      <c r="G484">
        <v>10.3</v>
      </c>
      <c r="H484">
        <v>4.7</v>
      </c>
      <c r="I484" t="str" cm="1">
        <f t="array" ref="I484">_xlfn.IFS(G484&lt;3, "0–2 Years", G484&lt;6, "3–5 Years", G484&lt;9, "6–8 Years", G484&lt;12, "9-11 Years", G484&gt;=12, "12-14 Years")</f>
        <v>9-11 Years</v>
      </c>
      <c r="J484">
        <v>3</v>
      </c>
      <c r="K484" t="s">
        <v>69</v>
      </c>
      <c r="L484">
        <v>62400</v>
      </c>
      <c r="M484">
        <v>2600</v>
      </c>
      <c r="N484">
        <v>65000</v>
      </c>
      <c r="O484" t="s">
        <v>25</v>
      </c>
      <c r="P484" s="3">
        <v>42264</v>
      </c>
      <c r="Q484" t="s">
        <v>19</v>
      </c>
    </row>
    <row r="485" spans="1:17" x14ac:dyDescent="0.35">
      <c r="A485" t="s">
        <v>537</v>
      </c>
      <c r="B485" t="s">
        <v>16</v>
      </c>
      <c r="C485">
        <v>25</v>
      </c>
      <c r="D485" t="s">
        <v>55</v>
      </c>
      <c r="E485" t="s">
        <v>56</v>
      </c>
      <c r="F485" t="s">
        <v>28</v>
      </c>
      <c r="G485">
        <v>3.1</v>
      </c>
      <c r="H485">
        <v>3.1</v>
      </c>
      <c r="I485" t="str" cm="1">
        <f t="array" ref="I485">_xlfn.IFS(G485&lt;3, "0–2 Years", G485&lt;6, "3–5 Years", G485&lt;9, "6–8 Years", G485&lt;12, "9-11 Years", G485&gt;=12, "12-14 Years")</f>
        <v>3–5 Years</v>
      </c>
      <c r="J485">
        <v>2</v>
      </c>
      <c r="K485" t="s">
        <v>20</v>
      </c>
      <c r="L485">
        <v>80100</v>
      </c>
      <c r="M485">
        <v>7000</v>
      </c>
      <c r="N485">
        <v>87100</v>
      </c>
      <c r="O485" t="s">
        <v>30</v>
      </c>
      <c r="P485" s="3">
        <v>44878</v>
      </c>
      <c r="Q485" t="s">
        <v>28</v>
      </c>
    </row>
    <row r="486" spans="1:17" x14ac:dyDescent="0.35">
      <c r="A486" t="s">
        <v>538</v>
      </c>
      <c r="B486" t="s">
        <v>16</v>
      </c>
      <c r="C486">
        <v>24</v>
      </c>
      <c r="D486" t="s">
        <v>44</v>
      </c>
      <c r="E486" t="s">
        <v>45</v>
      </c>
      <c r="F486" t="s">
        <v>28</v>
      </c>
      <c r="G486">
        <v>6.9</v>
      </c>
      <c r="H486">
        <v>3.8</v>
      </c>
      <c r="I486" t="str" cm="1">
        <f t="array" ref="I486">_xlfn.IFS(G486&lt;3, "0–2 Years", G486&lt;6, "3–5 Years", G486&lt;9, "6–8 Years", G486&lt;12, "9-11 Years", G486&gt;=12, "12-14 Years")</f>
        <v>6–8 Years</v>
      </c>
      <c r="J486">
        <v>3</v>
      </c>
      <c r="K486" t="s">
        <v>24</v>
      </c>
      <c r="L486">
        <v>52700</v>
      </c>
      <c r="M486">
        <v>6900</v>
      </c>
      <c r="N486">
        <v>59600</v>
      </c>
      <c r="O486" t="s">
        <v>25</v>
      </c>
      <c r="P486" s="3">
        <v>43506</v>
      </c>
      <c r="Q486" t="s">
        <v>28</v>
      </c>
    </row>
    <row r="487" spans="1:17" x14ac:dyDescent="0.35">
      <c r="A487" t="s">
        <v>539</v>
      </c>
      <c r="B487" t="s">
        <v>23</v>
      </c>
      <c r="C487">
        <v>43</v>
      </c>
      <c r="D487" t="s">
        <v>17</v>
      </c>
      <c r="E487" t="s">
        <v>32</v>
      </c>
      <c r="F487" t="s">
        <v>28</v>
      </c>
      <c r="G487">
        <v>8</v>
      </c>
      <c r="H487">
        <v>3</v>
      </c>
      <c r="I487" t="str" cm="1">
        <f t="array" ref="I487">_xlfn.IFS(G487&lt;3, "0–2 Years", G487&lt;6, "3–5 Years", G487&lt;9, "6–8 Years", G487&lt;12, "9-11 Years", G487&gt;=12, "12-14 Years")</f>
        <v>6–8 Years</v>
      </c>
      <c r="J487">
        <v>3</v>
      </c>
      <c r="K487" t="s">
        <v>20</v>
      </c>
      <c r="L487">
        <v>72300</v>
      </c>
      <c r="M487">
        <v>4000</v>
      </c>
      <c r="N487">
        <v>76300</v>
      </c>
      <c r="O487" t="s">
        <v>21</v>
      </c>
      <c r="P487" s="3">
        <v>43111</v>
      </c>
      <c r="Q487" t="s">
        <v>28</v>
      </c>
    </row>
    <row r="488" spans="1:17" x14ac:dyDescent="0.35">
      <c r="A488" t="s">
        <v>540</v>
      </c>
      <c r="B488" t="s">
        <v>23</v>
      </c>
      <c r="C488">
        <v>40</v>
      </c>
      <c r="D488" t="s">
        <v>55</v>
      </c>
      <c r="E488" t="s">
        <v>79</v>
      </c>
      <c r="F488" t="s">
        <v>36</v>
      </c>
      <c r="G488">
        <v>8.9</v>
      </c>
      <c r="H488">
        <v>7</v>
      </c>
      <c r="I488" t="str" cm="1">
        <f t="array" ref="I488">_xlfn.IFS(G488&lt;3, "0–2 Years", G488&lt;6, "3–5 Years", G488&lt;9, "6–8 Years", G488&lt;12, "9-11 Years", G488&gt;=12, "12-14 Years")</f>
        <v>6–8 Years</v>
      </c>
      <c r="J488">
        <v>2</v>
      </c>
      <c r="K488" t="s">
        <v>20</v>
      </c>
      <c r="L488">
        <v>67900</v>
      </c>
      <c r="M488">
        <v>11200</v>
      </c>
      <c r="N488">
        <v>79100</v>
      </c>
      <c r="O488" t="s">
        <v>21</v>
      </c>
      <c r="P488" s="3">
        <v>42780</v>
      </c>
      <c r="Q488" t="s">
        <v>36</v>
      </c>
    </row>
    <row r="489" spans="1:17" x14ac:dyDescent="0.35">
      <c r="A489" t="s">
        <v>541</v>
      </c>
      <c r="B489" t="s">
        <v>23</v>
      </c>
      <c r="C489">
        <v>47</v>
      </c>
      <c r="D489" t="s">
        <v>38</v>
      </c>
      <c r="E489" t="s">
        <v>61</v>
      </c>
      <c r="F489" t="s">
        <v>28</v>
      </c>
      <c r="G489">
        <v>2.7</v>
      </c>
      <c r="H489">
        <v>2.1</v>
      </c>
      <c r="I489" t="str" cm="1">
        <f t="array" ref="I489">_xlfn.IFS(G489&lt;3, "0–2 Years", G489&lt;6, "3–5 Years", G489&lt;9, "6–8 Years", G489&lt;12, "9-11 Years", G489&gt;=12, "12-14 Years")</f>
        <v>0–2 Years</v>
      </c>
      <c r="J489">
        <v>4</v>
      </c>
      <c r="K489" t="s">
        <v>24</v>
      </c>
      <c r="L489">
        <v>59400</v>
      </c>
      <c r="M489">
        <v>4000</v>
      </c>
      <c r="N489">
        <v>63400</v>
      </c>
      <c r="O489" t="s">
        <v>25</v>
      </c>
      <c r="P489" s="3">
        <v>45046</v>
      </c>
      <c r="Q489" t="s">
        <v>28</v>
      </c>
    </row>
    <row r="490" spans="1:17" x14ac:dyDescent="0.35">
      <c r="A490" t="s">
        <v>542</v>
      </c>
      <c r="B490" t="s">
        <v>23</v>
      </c>
      <c r="C490">
        <v>23</v>
      </c>
      <c r="D490" t="s">
        <v>55</v>
      </c>
      <c r="E490" t="s">
        <v>56</v>
      </c>
      <c r="F490" t="s">
        <v>28</v>
      </c>
      <c r="G490">
        <v>6.1</v>
      </c>
      <c r="H490">
        <v>3.9</v>
      </c>
      <c r="I490" t="str" cm="1">
        <f t="array" ref="I490">_xlfn.IFS(G490&lt;3, "0–2 Years", G490&lt;6, "3–5 Years", G490&lt;9, "6–8 Years", G490&lt;12, "9-11 Years", G490&gt;=12, "12-14 Years")</f>
        <v>6–8 Years</v>
      </c>
      <c r="J490">
        <v>5</v>
      </c>
      <c r="K490" t="s">
        <v>20</v>
      </c>
      <c r="L490">
        <v>103100</v>
      </c>
      <c r="M490">
        <v>9300</v>
      </c>
      <c r="N490">
        <v>112400</v>
      </c>
      <c r="O490" t="s">
        <v>57</v>
      </c>
      <c r="P490" s="3">
        <v>43802</v>
      </c>
      <c r="Q490" t="s">
        <v>28</v>
      </c>
    </row>
    <row r="491" spans="1:17" x14ac:dyDescent="0.35">
      <c r="A491" t="s">
        <v>543</v>
      </c>
      <c r="B491" t="s">
        <v>23</v>
      </c>
      <c r="C491">
        <v>36</v>
      </c>
      <c r="D491" t="s">
        <v>38</v>
      </c>
      <c r="E491" t="s">
        <v>39</v>
      </c>
      <c r="F491" t="s">
        <v>28</v>
      </c>
      <c r="G491">
        <v>8</v>
      </c>
      <c r="H491">
        <v>5</v>
      </c>
      <c r="I491" t="str" cm="1">
        <f t="array" ref="I491">_xlfn.IFS(G491&lt;3, "0–2 Years", G491&lt;6, "3–5 Years", G491&lt;9, "6–8 Years", G491&lt;12, "9-11 Years", G491&gt;=12, "12-14 Years")</f>
        <v>6–8 Years</v>
      </c>
      <c r="J491">
        <v>3</v>
      </c>
      <c r="K491" t="s">
        <v>20</v>
      </c>
      <c r="L491">
        <v>63600</v>
      </c>
      <c r="M491">
        <v>4100</v>
      </c>
      <c r="N491">
        <v>67700</v>
      </c>
      <c r="O491" t="s">
        <v>25</v>
      </c>
      <c r="P491" s="3">
        <v>43087</v>
      </c>
      <c r="Q491" t="s">
        <v>28</v>
      </c>
    </row>
    <row r="492" spans="1:17" x14ac:dyDescent="0.35">
      <c r="A492" t="s">
        <v>544</v>
      </c>
      <c r="B492" t="s">
        <v>23</v>
      </c>
      <c r="C492">
        <v>23</v>
      </c>
      <c r="D492" t="s">
        <v>17</v>
      </c>
      <c r="E492" t="s">
        <v>27</v>
      </c>
      <c r="F492" t="s">
        <v>19</v>
      </c>
      <c r="G492">
        <v>8.8000000000000007</v>
      </c>
      <c r="H492">
        <v>5.4</v>
      </c>
      <c r="I492" t="str" cm="1">
        <f t="array" ref="I492">_xlfn.IFS(G492&lt;3, "0–2 Years", G492&lt;6, "3–5 Years", G492&lt;9, "6–8 Years", G492&lt;12, "9-11 Years", G492&gt;=12, "12-14 Years")</f>
        <v>6–8 Years</v>
      </c>
      <c r="J492">
        <v>3</v>
      </c>
      <c r="K492" t="s">
        <v>20</v>
      </c>
      <c r="L492">
        <v>81800</v>
      </c>
      <c r="M492">
        <v>7400</v>
      </c>
      <c r="N492">
        <v>89200</v>
      </c>
      <c r="O492" t="s">
        <v>30</v>
      </c>
      <c r="P492" s="3">
        <v>42817</v>
      </c>
      <c r="Q492" t="s">
        <v>19</v>
      </c>
    </row>
    <row r="493" spans="1:17" x14ac:dyDescent="0.35">
      <c r="A493" t="s">
        <v>545</v>
      </c>
      <c r="B493" t="s">
        <v>16</v>
      </c>
      <c r="C493">
        <v>39</v>
      </c>
      <c r="D493" t="s">
        <v>41</v>
      </c>
      <c r="E493" t="s">
        <v>67</v>
      </c>
      <c r="F493" t="s">
        <v>28</v>
      </c>
      <c r="G493">
        <v>9.1</v>
      </c>
      <c r="H493">
        <v>5.0999999999999996</v>
      </c>
      <c r="I493" t="str" cm="1">
        <f t="array" ref="I493">_xlfn.IFS(G493&lt;3, "0–2 Years", G493&lt;6, "3–5 Years", G493&lt;9, "6–8 Years", G493&lt;12, "9-11 Years", G493&gt;=12, "12-14 Years")</f>
        <v>9-11 Years</v>
      </c>
      <c r="J493">
        <v>3</v>
      </c>
      <c r="K493" t="s">
        <v>20</v>
      </c>
      <c r="L493">
        <v>69000</v>
      </c>
      <c r="M493">
        <v>3900</v>
      </c>
      <c r="N493">
        <v>72900</v>
      </c>
      <c r="O493" t="s">
        <v>21</v>
      </c>
      <c r="P493" s="3">
        <v>42697</v>
      </c>
      <c r="Q493" t="s">
        <v>28</v>
      </c>
    </row>
    <row r="494" spans="1:17" x14ac:dyDescent="0.35">
      <c r="A494" t="s">
        <v>546</v>
      </c>
      <c r="B494" t="s">
        <v>23</v>
      </c>
      <c r="C494" s="7">
        <v>36</v>
      </c>
      <c r="D494" t="s">
        <v>34</v>
      </c>
      <c r="E494" t="s">
        <v>35</v>
      </c>
      <c r="F494" t="s">
        <v>19</v>
      </c>
      <c r="G494" s="9">
        <v>12.4</v>
      </c>
      <c r="H494" s="7">
        <v>7.7</v>
      </c>
      <c r="I494" t="str" cm="1">
        <f t="array" ref="I494">_xlfn.IFS(G494&lt;3, "0–2 Years", G494&lt;6, "3–5 Years", G494&lt;9, "6–8 Years", G494&lt;12, "9-11 Years", G494&gt;=12, "12-14 Years")</f>
        <v>12-14 Years</v>
      </c>
      <c r="J494" s="7">
        <v>4</v>
      </c>
      <c r="K494" t="s">
        <v>20</v>
      </c>
      <c r="L494" s="7">
        <v>78800</v>
      </c>
      <c r="M494" s="7">
        <v>7300</v>
      </c>
      <c r="N494" s="7">
        <v>86100</v>
      </c>
      <c r="O494" t="s">
        <v>21</v>
      </c>
      <c r="P494" s="3">
        <v>41509</v>
      </c>
      <c r="Q494" t="s">
        <v>19</v>
      </c>
    </row>
    <row r="495" spans="1:17" x14ac:dyDescent="0.35">
      <c r="A495" t="s">
        <v>547</v>
      </c>
      <c r="B495" t="s">
        <v>23</v>
      </c>
      <c r="C495">
        <v>28</v>
      </c>
      <c r="D495" t="s">
        <v>44</v>
      </c>
      <c r="E495" t="s">
        <v>76</v>
      </c>
      <c r="F495" t="s">
        <v>19</v>
      </c>
      <c r="G495">
        <v>2.2000000000000002</v>
      </c>
      <c r="H495">
        <v>1.1000000000000001</v>
      </c>
      <c r="I495" t="str" cm="1">
        <f t="array" ref="I495">_xlfn.IFS(G495&lt;3, "0–2 Years", G495&lt;6, "3–5 Years", G495&lt;9, "6–8 Years", G495&lt;12, "9-11 Years", G495&gt;=12, "12-14 Years")</f>
        <v>0–2 Years</v>
      </c>
      <c r="J495">
        <v>3</v>
      </c>
      <c r="K495" t="s">
        <v>69</v>
      </c>
      <c r="L495">
        <v>81400</v>
      </c>
      <c r="M495">
        <v>5800</v>
      </c>
      <c r="N495">
        <v>87200</v>
      </c>
      <c r="O495" t="s">
        <v>30</v>
      </c>
      <c r="P495" s="3">
        <v>45223</v>
      </c>
      <c r="Q495" t="s">
        <v>19</v>
      </c>
    </row>
    <row r="496" spans="1:17" x14ac:dyDescent="0.35">
      <c r="A496" t="s">
        <v>548</v>
      </c>
      <c r="B496" t="s">
        <v>16</v>
      </c>
      <c r="C496">
        <v>34</v>
      </c>
      <c r="D496" t="s">
        <v>41</v>
      </c>
      <c r="E496" t="s">
        <v>67</v>
      </c>
      <c r="F496" t="s">
        <v>28</v>
      </c>
      <c r="G496">
        <v>6.8</v>
      </c>
      <c r="H496">
        <v>6.1</v>
      </c>
      <c r="I496" t="str" cm="1">
        <f t="array" ref="I496">_xlfn.IFS(G496&lt;3, "0–2 Years", G496&lt;6, "3–5 Years", G496&lt;9, "6–8 Years", G496&lt;12, "9-11 Years", G496&gt;=12, "12-14 Years")</f>
        <v>6–8 Years</v>
      </c>
      <c r="J496">
        <v>3</v>
      </c>
      <c r="K496" t="s">
        <v>20</v>
      </c>
      <c r="L496">
        <v>70800</v>
      </c>
      <c r="M496">
        <v>3500</v>
      </c>
      <c r="N496">
        <v>74300</v>
      </c>
      <c r="O496" t="s">
        <v>21</v>
      </c>
      <c r="P496" s="3">
        <v>43555</v>
      </c>
      <c r="Q496" t="s">
        <v>28</v>
      </c>
    </row>
    <row r="497" spans="1:17" x14ac:dyDescent="0.35">
      <c r="A497" t="s">
        <v>549</v>
      </c>
      <c r="B497" t="s">
        <v>23</v>
      </c>
      <c r="C497">
        <v>52</v>
      </c>
      <c r="D497" t="s">
        <v>44</v>
      </c>
      <c r="E497" t="s">
        <v>81</v>
      </c>
      <c r="G497">
        <v>1.4</v>
      </c>
      <c r="H497">
        <v>1.4</v>
      </c>
      <c r="I497" t="str" cm="1">
        <f t="array" ref="I497">_xlfn.IFS(G497&lt;3, "0–2 Years", G497&lt;6, "3–5 Years", G497&lt;9, "6–8 Years", G497&lt;12, "9-11 Years", G497&gt;=12, "12-14 Years")</f>
        <v>0–2 Years</v>
      </c>
      <c r="J497">
        <v>4</v>
      </c>
      <c r="K497" t="s">
        <v>20</v>
      </c>
      <c r="L497">
        <v>81100</v>
      </c>
      <c r="M497">
        <v>7000</v>
      </c>
      <c r="N497">
        <v>88100</v>
      </c>
      <c r="O497" t="s">
        <v>30</v>
      </c>
      <c r="P497" s="3">
        <v>45529</v>
      </c>
      <c r="Q497" t="s">
        <v>5104</v>
      </c>
    </row>
    <row r="498" spans="1:17" x14ac:dyDescent="0.35">
      <c r="A498" t="s">
        <v>550</v>
      </c>
      <c r="B498" t="s">
        <v>23</v>
      </c>
      <c r="C498">
        <v>43</v>
      </c>
      <c r="D498" t="s">
        <v>55</v>
      </c>
      <c r="E498" t="s">
        <v>56</v>
      </c>
      <c r="F498" t="s">
        <v>62</v>
      </c>
      <c r="G498">
        <v>3.4</v>
      </c>
      <c r="H498">
        <v>1.6</v>
      </c>
      <c r="I498" t="str" cm="1">
        <f t="array" ref="I498">_xlfn.IFS(G498&lt;3, "0–2 Years", G498&lt;6, "3–5 Years", G498&lt;9, "6–8 Years", G498&lt;12, "9-11 Years", G498&gt;=12, "12-14 Years")</f>
        <v>3–5 Years</v>
      </c>
      <c r="J498">
        <v>3</v>
      </c>
      <c r="K498" t="s">
        <v>20</v>
      </c>
      <c r="L498">
        <v>107000</v>
      </c>
      <c r="M498">
        <v>9300</v>
      </c>
      <c r="N498">
        <v>116300</v>
      </c>
      <c r="O498" t="s">
        <v>57</v>
      </c>
      <c r="P498" s="3">
        <v>44763</v>
      </c>
      <c r="Q498" t="s">
        <v>62</v>
      </c>
    </row>
    <row r="499" spans="1:17" x14ac:dyDescent="0.35">
      <c r="A499" t="s">
        <v>551</v>
      </c>
      <c r="B499" t="s">
        <v>16</v>
      </c>
      <c r="C499">
        <v>29</v>
      </c>
      <c r="D499" t="s">
        <v>44</v>
      </c>
      <c r="E499" t="s">
        <v>81</v>
      </c>
      <c r="F499" t="s">
        <v>28</v>
      </c>
      <c r="G499">
        <v>6</v>
      </c>
      <c r="H499">
        <v>3</v>
      </c>
      <c r="I499" t="str" cm="1">
        <f t="array" ref="I499">_xlfn.IFS(G499&lt;3, "0–2 Years", G499&lt;6, "3–5 Years", G499&lt;9, "6–8 Years", G499&lt;12, "9-11 Years", G499&gt;=12, "12-14 Years")</f>
        <v>6–8 Years</v>
      </c>
      <c r="J499">
        <v>3</v>
      </c>
      <c r="K499" t="s">
        <v>69</v>
      </c>
      <c r="L499">
        <v>73000</v>
      </c>
      <c r="M499">
        <v>6400</v>
      </c>
      <c r="N499">
        <v>79400</v>
      </c>
      <c r="O499" t="s">
        <v>21</v>
      </c>
      <c r="P499" s="3">
        <v>43839</v>
      </c>
      <c r="Q499" t="s">
        <v>28</v>
      </c>
    </row>
    <row r="500" spans="1:17" x14ac:dyDescent="0.35">
      <c r="A500" t="s">
        <v>552</v>
      </c>
      <c r="B500" t="s">
        <v>23</v>
      </c>
      <c r="C500">
        <v>28</v>
      </c>
      <c r="D500" t="s">
        <v>17</v>
      </c>
      <c r="E500" t="s">
        <v>27</v>
      </c>
      <c r="F500" t="s">
        <v>36</v>
      </c>
      <c r="G500">
        <v>6.8</v>
      </c>
      <c r="H500">
        <v>5.2</v>
      </c>
      <c r="I500" t="str" cm="1">
        <f t="array" ref="I500">_xlfn.IFS(G500&lt;3, "0–2 Years", G500&lt;6, "3–5 Years", G500&lt;9, "6–8 Years", G500&lt;12, "9-11 Years", G500&gt;=12, "12-14 Years")</f>
        <v>6–8 Years</v>
      </c>
      <c r="J500">
        <v>3</v>
      </c>
      <c r="K500" t="s">
        <v>20</v>
      </c>
      <c r="L500">
        <v>86100</v>
      </c>
      <c r="M500">
        <v>5800</v>
      </c>
      <c r="N500">
        <v>91900</v>
      </c>
      <c r="O500" t="s">
        <v>30</v>
      </c>
      <c r="P500" s="3">
        <v>43552</v>
      </c>
      <c r="Q500" t="s">
        <v>36</v>
      </c>
    </row>
    <row r="501" spans="1:17" x14ac:dyDescent="0.35">
      <c r="A501" t="s">
        <v>553</v>
      </c>
      <c r="B501" t="s">
        <v>23</v>
      </c>
      <c r="C501">
        <v>43</v>
      </c>
      <c r="D501" t="s">
        <v>41</v>
      </c>
      <c r="E501" t="s">
        <v>42</v>
      </c>
      <c r="F501" t="s">
        <v>28</v>
      </c>
      <c r="G501">
        <v>6</v>
      </c>
      <c r="H501">
        <v>3.2</v>
      </c>
      <c r="I501" t="str" cm="1">
        <f t="array" ref="I501">_xlfn.IFS(G501&lt;3, "0–2 Years", G501&lt;6, "3–5 Years", G501&lt;9, "6–8 Years", G501&lt;12, "9-11 Years", G501&gt;=12, "12-14 Years")</f>
        <v>6–8 Years</v>
      </c>
      <c r="J501">
        <v>3</v>
      </c>
      <c r="K501" t="s">
        <v>20</v>
      </c>
      <c r="L501">
        <v>79000</v>
      </c>
      <c r="M501">
        <v>5500</v>
      </c>
      <c r="N501">
        <v>84500</v>
      </c>
      <c r="O501" t="s">
        <v>21</v>
      </c>
      <c r="P501" s="3">
        <v>43833</v>
      </c>
      <c r="Q501" t="s">
        <v>28</v>
      </c>
    </row>
    <row r="502" spans="1:17" x14ac:dyDescent="0.35">
      <c r="A502" t="s">
        <v>554</v>
      </c>
      <c r="B502" t="s">
        <v>23</v>
      </c>
      <c r="C502" s="7">
        <v>34</v>
      </c>
      <c r="D502" t="s">
        <v>17</v>
      </c>
      <c r="E502" t="s">
        <v>18</v>
      </c>
      <c r="F502" t="s">
        <v>28</v>
      </c>
      <c r="G502" s="9">
        <v>13.6</v>
      </c>
      <c r="H502" s="7">
        <v>8.5</v>
      </c>
      <c r="I502" t="str" cm="1">
        <f t="array" ref="I502">_xlfn.IFS(G502&lt;3, "0–2 Years", G502&lt;6, "3–5 Years", G502&lt;9, "6–8 Years", G502&lt;12, "9-11 Years", G502&gt;=12, "12-14 Years")</f>
        <v>12-14 Years</v>
      </c>
      <c r="J502" s="7">
        <v>3</v>
      </c>
      <c r="K502" t="s">
        <v>24</v>
      </c>
      <c r="L502" s="7">
        <v>65300</v>
      </c>
      <c r="M502" s="7">
        <v>4000</v>
      </c>
      <c r="N502" s="7">
        <v>69300</v>
      </c>
      <c r="O502" t="s">
        <v>21</v>
      </c>
      <c r="P502" s="3">
        <v>41048</v>
      </c>
      <c r="Q502" t="s">
        <v>28</v>
      </c>
    </row>
    <row r="503" spans="1:17" x14ac:dyDescent="0.35">
      <c r="A503" t="s">
        <v>555</v>
      </c>
      <c r="B503" t="s">
        <v>23</v>
      </c>
      <c r="C503">
        <v>50</v>
      </c>
      <c r="D503" t="s">
        <v>17</v>
      </c>
      <c r="E503" t="s">
        <v>32</v>
      </c>
      <c r="F503" t="s">
        <v>36</v>
      </c>
      <c r="G503">
        <v>2.2000000000000002</v>
      </c>
      <c r="H503">
        <v>0.1</v>
      </c>
      <c r="I503" t="str" cm="1">
        <f t="array" ref="I503">_xlfn.IFS(G503&lt;3, "0–2 Years", G503&lt;6, "3–5 Years", G503&lt;9, "6–8 Years", G503&lt;12, "9-11 Years", G503&gt;=12, "12-14 Years")</f>
        <v>0–2 Years</v>
      </c>
      <c r="J503">
        <v>3</v>
      </c>
      <c r="K503" t="s">
        <v>20</v>
      </c>
      <c r="L503">
        <v>64800</v>
      </c>
      <c r="M503">
        <v>4500</v>
      </c>
      <c r="N503">
        <v>69300</v>
      </c>
      <c r="O503" t="s">
        <v>25</v>
      </c>
      <c r="P503" s="3">
        <v>45231</v>
      </c>
      <c r="Q503" t="s">
        <v>36</v>
      </c>
    </row>
    <row r="504" spans="1:17" x14ac:dyDescent="0.35">
      <c r="A504" t="s">
        <v>556</v>
      </c>
      <c r="B504" t="s">
        <v>23</v>
      </c>
      <c r="C504">
        <v>41</v>
      </c>
      <c r="D504" t="s">
        <v>55</v>
      </c>
      <c r="E504" t="s">
        <v>92</v>
      </c>
      <c r="F504" t="s">
        <v>36</v>
      </c>
      <c r="G504">
        <v>3.6</v>
      </c>
      <c r="H504">
        <v>2.2000000000000002</v>
      </c>
      <c r="I504" t="str" cm="1">
        <f t="array" ref="I504">_xlfn.IFS(G504&lt;3, "0–2 Years", G504&lt;6, "3–5 Years", G504&lt;9, "6–8 Years", G504&lt;12, "9-11 Years", G504&gt;=12, "12-14 Years")</f>
        <v>3–5 Years</v>
      </c>
      <c r="J504">
        <v>4</v>
      </c>
      <c r="K504" t="s">
        <v>20</v>
      </c>
      <c r="L504">
        <v>108300</v>
      </c>
      <c r="M504">
        <v>19500</v>
      </c>
      <c r="N504">
        <v>127800</v>
      </c>
      <c r="O504" t="s">
        <v>57</v>
      </c>
      <c r="P504" s="3">
        <v>44690</v>
      </c>
      <c r="Q504" t="s">
        <v>36</v>
      </c>
    </row>
    <row r="505" spans="1:17" x14ac:dyDescent="0.35">
      <c r="A505" t="s">
        <v>557</v>
      </c>
      <c r="B505" t="s">
        <v>23</v>
      </c>
      <c r="C505">
        <v>21</v>
      </c>
      <c r="D505" t="s">
        <v>17</v>
      </c>
      <c r="E505" t="s">
        <v>27</v>
      </c>
      <c r="F505" t="s">
        <v>36</v>
      </c>
      <c r="G505">
        <v>10.4</v>
      </c>
      <c r="H505">
        <v>7.5</v>
      </c>
      <c r="I505" t="str" cm="1">
        <f t="array" ref="I505">_xlfn.IFS(G505&lt;3, "0–2 Years", G505&lt;6, "3–5 Years", G505&lt;9, "6–8 Years", G505&lt;12, "9-11 Years", G505&gt;=12, "12-14 Years")</f>
        <v>9-11 Years</v>
      </c>
      <c r="J505">
        <v>3</v>
      </c>
      <c r="K505" t="s">
        <v>20</v>
      </c>
      <c r="L505">
        <v>80100</v>
      </c>
      <c r="M505">
        <v>10600</v>
      </c>
      <c r="N505">
        <v>90700</v>
      </c>
      <c r="O505" t="s">
        <v>30</v>
      </c>
      <c r="P505" s="3">
        <v>42213</v>
      </c>
      <c r="Q505" t="s">
        <v>36</v>
      </c>
    </row>
    <row r="506" spans="1:17" x14ac:dyDescent="0.35">
      <c r="A506" t="s">
        <v>558</v>
      </c>
      <c r="B506" t="s">
        <v>23</v>
      </c>
      <c r="C506">
        <v>40</v>
      </c>
      <c r="D506" t="s">
        <v>55</v>
      </c>
      <c r="E506" t="s">
        <v>56</v>
      </c>
      <c r="F506" t="s">
        <v>28</v>
      </c>
      <c r="G506">
        <v>5.4</v>
      </c>
      <c r="H506">
        <v>3.2</v>
      </c>
      <c r="I506" t="str" cm="1">
        <f t="array" ref="I506">_xlfn.IFS(G506&lt;3, "0–2 Years", G506&lt;6, "3–5 Years", G506&lt;9, "6–8 Years", G506&lt;12, "9-11 Years", G506&gt;=12, "12-14 Years")</f>
        <v>3–5 Years</v>
      </c>
      <c r="J506">
        <v>4</v>
      </c>
      <c r="K506" t="s">
        <v>20</v>
      </c>
      <c r="L506">
        <v>90500</v>
      </c>
      <c r="M506">
        <v>7500</v>
      </c>
      <c r="N506">
        <v>98000</v>
      </c>
      <c r="O506" t="s">
        <v>30</v>
      </c>
      <c r="P506" s="3">
        <v>44060</v>
      </c>
      <c r="Q506" t="s">
        <v>28</v>
      </c>
    </row>
    <row r="507" spans="1:17" x14ac:dyDescent="0.35">
      <c r="A507" t="s">
        <v>559</v>
      </c>
      <c r="B507" t="s">
        <v>16</v>
      </c>
      <c r="C507" s="7">
        <v>32</v>
      </c>
      <c r="D507" t="s">
        <v>34</v>
      </c>
      <c r="E507" t="s">
        <v>47</v>
      </c>
      <c r="F507" t="s">
        <v>28</v>
      </c>
      <c r="G507" s="9">
        <v>12.9</v>
      </c>
      <c r="H507" s="7">
        <v>8.6</v>
      </c>
      <c r="I507" t="str" cm="1">
        <f t="array" ref="I507">_xlfn.IFS(G507&lt;3, "0–2 Years", G507&lt;6, "3–5 Years", G507&lt;9, "6–8 Years", G507&lt;12, "9-11 Years", G507&gt;=12, "12-14 Years")</f>
        <v>12-14 Years</v>
      </c>
      <c r="J507" s="7">
        <v>3</v>
      </c>
      <c r="K507" t="s">
        <v>20</v>
      </c>
      <c r="L507" s="7">
        <v>84800</v>
      </c>
      <c r="M507" s="7">
        <v>9200</v>
      </c>
      <c r="N507" s="7">
        <v>94000</v>
      </c>
      <c r="O507" t="s">
        <v>30</v>
      </c>
      <c r="P507" s="3">
        <v>41298</v>
      </c>
      <c r="Q507" t="s">
        <v>28</v>
      </c>
    </row>
    <row r="508" spans="1:17" x14ac:dyDescent="0.35">
      <c r="A508" t="s">
        <v>560</v>
      </c>
      <c r="B508" t="s">
        <v>23</v>
      </c>
      <c r="C508">
        <v>21</v>
      </c>
      <c r="D508" t="s">
        <v>55</v>
      </c>
      <c r="E508" t="s">
        <v>56</v>
      </c>
      <c r="F508" t="s">
        <v>36</v>
      </c>
      <c r="G508">
        <v>9.5</v>
      </c>
      <c r="H508">
        <v>7.1</v>
      </c>
      <c r="I508" t="str" cm="1">
        <f t="array" ref="I508">_xlfn.IFS(G508&lt;3, "0–2 Years", G508&lt;6, "3–5 Years", G508&lt;9, "6–8 Years", G508&lt;12, "9-11 Years", G508&gt;=12, "12-14 Years")</f>
        <v>9-11 Years</v>
      </c>
      <c r="J508">
        <v>2</v>
      </c>
      <c r="K508" t="s">
        <v>20</v>
      </c>
      <c r="L508">
        <v>101300</v>
      </c>
      <c r="M508">
        <v>11800</v>
      </c>
      <c r="N508">
        <v>113100</v>
      </c>
      <c r="O508" t="s">
        <v>57</v>
      </c>
      <c r="P508" s="3">
        <v>42549</v>
      </c>
      <c r="Q508" t="s">
        <v>36</v>
      </c>
    </row>
    <row r="509" spans="1:17" x14ac:dyDescent="0.35">
      <c r="A509" t="s">
        <v>561</v>
      </c>
      <c r="B509" t="s">
        <v>23</v>
      </c>
      <c r="C509" s="7">
        <v>33</v>
      </c>
      <c r="D509" t="s">
        <v>55</v>
      </c>
      <c r="E509" t="s">
        <v>79</v>
      </c>
      <c r="F509" t="s">
        <v>28</v>
      </c>
      <c r="G509" s="9">
        <v>12.4</v>
      </c>
      <c r="H509" s="7">
        <v>7.8</v>
      </c>
      <c r="I509" t="str" cm="1">
        <f t="array" ref="I509">_xlfn.IFS(G509&lt;3, "0–2 Years", G509&lt;6, "3–5 Years", G509&lt;9, "6–8 Years", G509&lt;12, "9-11 Years", G509&gt;=12, "12-14 Years")</f>
        <v>12-14 Years</v>
      </c>
      <c r="J509" s="7">
        <v>3</v>
      </c>
      <c r="K509" t="s">
        <v>20</v>
      </c>
      <c r="L509" s="7">
        <v>71000</v>
      </c>
      <c r="M509" s="7">
        <v>10300</v>
      </c>
      <c r="N509" s="7">
        <v>81300</v>
      </c>
      <c r="O509" t="s">
        <v>21</v>
      </c>
      <c r="P509" s="3">
        <v>41509</v>
      </c>
      <c r="Q509" t="s">
        <v>28</v>
      </c>
    </row>
    <row r="510" spans="1:17" x14ac:dyDescent="0.35">
      <c r="A510" t="s">
        <v>562</v>
      </c>
      <c r="B510" t="s">
        <v>16</v>
      </c>
      <c r="C510">
        <v>24</v>
      </c>
      <c r="D510" t="s">
        <v>55</v>
      </c>
      <c r="E510" t="s">
        <v>92</v>
      </c>
      <c r="F510" t="s">
        <v>36</v>
      </c>
      <c r="G510">
        <v>5.2</v>
      </c>
      <c r="H510">
        <v>4.5</v>
      </c>
      <c r="I510" t="str" cm="1">
        <f t="array" ref="I510">_xlfn.IFS(G510&lt;3, "0–2 Years", G510&lt;6, "3–5 Years", G510&lt;9, "6–8 Years", G510&lt;12, "9-11 Years", G510&gt;=12, "12-14 Years")</f>
        <v>3–5 Years</v>
      </c>
      <c r="J510">
        <v>3</v>
      </c>
      <c r="K510" t="s">
        <v>24</v>
      </c>
      <c r="L510">
        <v>62800</v>
      </c>
      <c r="M510">
        <v>10700</v>
      </c>
      <c r="N510">
        <v>73500</v>
      </c>
      <c r="O510" t="s">
        <v>25</v>
      </c>
      <c r="P510" s="3">
        <v>44115</v>
      </c>
      <c r="Q510" t="s">
        <v>36</v>
      </c>
    </row>
    <row r="511" spans="1:17" x14ac:dyDescent="0.35">
      <c r="A511" t="s">
        <v>563</v>
      </c>
      <c r="B511" t="s">
        <v>23</v>
      </c>
      <c r="C511">
        <v>40</v>
      </c>
      <c r="D511" t="s">
        <v>55</v>
      </c>
      <c r="E511" t="s">
        <v>92</v>
      </c>
      <c r="F511" t="s">
        <v>62</v>
      </c>
      <c r="G511">
        <v>2</v>
      </c>
      <c r="H511">
        <v>0</v>
      </c>
      <c r="I511" t="str" cm="1">
        <f t="array" ref="I511">_xlfn.IFS(G511&lt;3, "0–2 Years", G511&lt;6, "3–5 Years", G511&lt;9, "6–8 Years", G511&lt;12, "9-11 Years", G511&gt;=12, "12-14 Years")</f>
        <v>0–2 Years</v>
      </c>
      <c r="J511">
        <v>5</v>
      </c>
      <c r="K511" t="s">
        <v>24</v>
      </c>
      <c r="L511">
        <v>61800</v>
      </c>
      <c r="M511">
        <v>11400</v>
      </c>
      <c r="N511">
        <v>73200</v>
      </c>
      <c r="O511" t="s">
        <v>25</v>
      </c>
      <c r="P511" s="3">
        <v>45308</v>
      </c>
      <c r="Q511" t="s">
        <v>62</v>
      </c>
    </row>
    <row r="512" spans="1:17" x14ac:dyDescent="0.35">
      <c r="A512" t="s">
        <v>564</v>
      </c>
      <c r="B512" t="s">
        <v>16</v>
      </c>
      <c r="C512">
        <v>33</v>
      </c>
      <c r="D512" t="s">
        <v>44</v>
      </c>
      <c r="E512" t="s">
        <v>45</v>
      </c>
      <c r="F512" t="s">
        <v>19</v>
      </c>
      <c r="G512">
        <v>1.9</v>
      </c>
      <c r="H512">
        <v>1</v>
      </c>
      <c r="I512" t="str" cm="1">
        <f t="array" ref="I512">_xlfn.IFS(G512&lt;3, "0–2 Years", G512&lt;6, "3–5 Years", G512&lt;9, "6–8 Years", G512&lt;12, "9-11 Years", G512&gt;=12, "12-14 Years")</f>
        <v>0–2 Years</v>
      </c>
      <c r="J512">
        <v>2</v>
      </c>
      <c r="K512" t="s">
        <v>20</v>
      </c>
      <c r="L512">
        <v>60500</v>
      </c>
      <c r="M512">
        <v>8400</v>
      </c>
      <c r="N512">
        <v>68900</v>
      </c>
      <c r="O512" t="s">
        <v>25</v>
      </c>
      <c r="P512" s="3">
        <v>45327</v>
      </c>
      <c r="Q512" t="s">
        <v>19</v>
      </c>
    </row>
    <row r="513" spans="1:17" x14ac:dyDescent="0.35">
      <c r="A513" t="s">
        <v>565</v>
      </c>
      <c r="B513" t="s">
        <v>23</v>
      </c>
      <c r="C513">
        <v>33</v>
      </c>
      <c r="D513" t="s">
        <v>38</v>
      </c>
      <c r="E513" t="s">
        <v>39</v>
      </c>
      <c r="F513" t="s">
        <v>19</v>
      </c>
      <c r="G513">
        <v>4.9000000000000004</v>
      </c>
      <c r="H513">
        <v>2.1</v>
      </c>
      <c r="I513" t="str" cm="1">
        <f t="array" ref="I513">_xlfn.IFS(G513&lt;3, "0–2 Years", G513&lt;6, "3–5 Years", G513&lt;9, "6–8 Years", G513&lt;12, "9-11 Years", G513&gt;=12, "12-14 Years")</f>
        <v>3–5 Years</v>
      </c>
      <c r="J513">
        <v>4</v>
      </c>
      <c r="K513" t="s">
        <v>20</v>
      </c>
      <c r="L513">
        <v>74100</v>
      </c>
      <c r="M513">
        <v>6000</v>
      </c>
      <c r="N513">
        <v>80100</v>
      </c>
      <c r="O513" t="s">
        <v>21</v>
      </c>
      <c r="P513" s="3">
        <v>44248</v>
      </c>
      <c r="Q513" t="s">
        <v>19</v>
      </c>
    </row>
    <row r="514" spans="1:17" x14ac:dyDescent="0.35">
      <c r="A514" t="s">
        <v>566</v>
      </c>
      <c r="B514" t="s">
        <v>23</v>
      </c>
      <c r="C514">
        <v>21</v>
      </c>
      <c r="D514" t="s">
        <v>44</v>
      </c>
      <c r="E514" t="s">
        <v>81</v>
      </c>
      <c r="F514" t="s">
        <v>19</v>
      </c>
      <c r="G514">
        <v>9.6</v>
      </c>
      <c r="H514">
        <v>6.9</v>
      </c>
      <c r="I514" t="str" cm="1">
        <f t="array" ref="I514">_xlfn.IFS(G514&lt;3, "0–2 Years", G514&lt;6, "3–5 Years", G514&lt;9, "6–8 Years", G514&lt;12, "9-11 Years", G514&gt;=12, "12-14 Years")</f>
        <v>9-11 Years</v>
      </c>
      <c r="J514">
        <v>3</v>
      </c>
      <c r="K514" t="s">
        <v>20</v>
      </c>
      <c r="L514">
        <v>104900</v>
      </c>
      <c r="M514">
        <v>10600</v>
      </c>
      <c r="N514">
        <v>115500</v>
      </c>
      <c r="O514" t="s">
        <v>57</v>
      </c>
      <c r="P514" s="3">
        <v>42504</v>
      </c>
      <c r="Q514" t="s">
        <v>19</v>
      </c>
    </row>
    <row r="515" spans="1:17" x14ac:dyDescent="0.35">
      <c r="A515" t="s">
        <v>567</v>
      </c>
      <c r="B515" t="s">
        <v>16</v>
      </c>
      <c r="C515">
        <v>48</v>
      </c>
      <c r="D515" t="s">
        <v>55</v>
      </c>
      <c r="E515" t="s">
        <v>56</v>
      </c>
      <c r="F515" t="s">
        <v>28</v>
      </c>
      <c r="G515">
        <v>8.1</v>
      </c>
      <c r="H515">
        <v>1.9</v>
      </c>
      <c r="I515" t="str" cm="1">
        <f t="array" ref="I515">_xlfn.IFS(G515&lt;3, "0–2 Years", G515&lt;6, "3–5 Years", G515&lt;9, "6–8 Years", G515&lt;12, "9-11 Years", G515&gt;=12, "12-14 Years")</f>
        <v>6–8 Years</v>
      </c>
      <c r="J515">
        <v>3</v>
      </c>
      <c r="K515" t="s">
        <v>20</v>
      </c>
      <c r="L515">
        <v>83200</v>
      </c>
      <c r="M515">
        <v>16600</v>
      </c>
      <c r="N515">
        <v>99800</v>
      </c>
      <c r="O515" t="s">
        <v>30</v>
      </c>
      <c r="P515" s="3">
        <v>43072</v>
      </c>
      <c r="Q515" t="s">
        <v>28</v>
      </c>
    </row>
    <row r="516" spans="1:17" x14ac:dyDescent="0.35">
      <c r="A516" t="s">
        <v>568</v>
      </c>
      <c r="B516" t="s">
        <v>16</v>
      </c>
      <c r="C516">
        <v>47</v>
      </c>
      <c r="D516" t="s">
        <v>44</v>
      </c>
      <c r="E516" t="s">
        <v>81</v>
      </c>
      <c r="F516" t="s">
        <v>36</v>
      </c>
      <c r="G516">
        <v>1.2</v>
      </c>
      <c r="H516">
        <v>1.2</v>
      </c>
      <c r="I516" t="str" cm="1">
        <f t="array" ref="I516">_xlfn.IFS(G516&lt;3, "0–2 Years", G516&lt;6, "3–5 Years", G516&lt;9, "6–8 Years", G516&lt;12, "9-11 Years", G516&gt;=12, "12-14 Years")</f>
        <v>0–2 Years</v>
      </c>
      <c r="J516">
        <v>4</v>
      </c>
      <c r="K516" t="s">
        <v>20</v>
      </c>
      <c r="L516">
        <v>96400</v>
      </c>
      <c r="M516">
        <v>5700</v>
      </c>
      <c r="N516">
        <v>102100</v>
      </c>
      <c r="O516" t="s">
        <v>30</v>
      </c>
      <c r="P516" s="3">
        <v>45575</v>
      </c>
      <c r="Q516" t="s">
        <v>36</v>
      </c>
    </row>
    <row r="517" spans="1:17" x14ac:dyDescent="0.35">
      <c r="A517" t="s">
        <v>569</v>
      </c>
      <c r="B517" t="s">
        <v>16</v>
      </c>
      <c r="C517">
        <v>35</v>
      </c>
      <c r="D517" t="s">
        <v>17</v>
      </c>
      <c r="E517" t="s">
        <v>27</v>
      </c>
      <c r="F517" t="s">
        <v>36</v>
      </c>
      <c r="G517">
        <v>8.8000000000000007</v>
      </c>
      <c r="H517">
        <v>6.7</v>
      </c>
      <c r="I517" t="str" cm="1">
        <f t="array" ref="I517">_xlfn.IFS(G517&lt;3, "0–2 Years", G517&lt;6, "3–5 Years", G517&lt;9, "6–8 Years", G517&lt;12, "9-11 Years", G517&gt;=12, "12-14 Years")</f>
        <v>6–8 Years</v>
      </c>
      <c r="J517">
        <v>3</v>
      </c>
      <c r="K517" t="s">
        <v>20</v>
      </c>
      <c r="L517">
        <v>81700</v>
      </c>
      <c r="M517">
        <v>10400</v>
      </c>
      <c r="N517">
        <v>92100</v>
      </c>
      <c r="O517" t="s">
        <v>30</v>
      </c>
      <c r="P517" s="3">
        <v>42816</v>
      </c>
      <c r="Q517" t="s">
        <v>36</v>
      </c>
    </row>
    <row r="518" spans="1:17" x14ac:dyDescent="0.35">
      <c r="A518" t="s">
        <v>570</v>
      </c>
      <c r="B518" t="s">
        <v>23</v>
      </c>
      <c r="C518">
        <v>24</v>
      </c>
      <c r="D518" t="s">
        <v>44</v>
      </c>
      <c r="E518" t="s">
        <v>51</v>
      </c>
      <c r="F518" t="s">
        <v>28</v>
      </c>
      <c r="G518">
        <v>7</v>
      </c>
      <c r="H518">
        <v>3.9</v>
      </c>
      <c r="I518" t="str" cm="1">
        <f t="array" ref="I518">_xlfn.IFS(G518&lt;3, "0–2 Years", G518&lt;6, "3–5 Years", G518&lt;9, "6–8 Years", G518&lt;12, "9-11 Years", G518&gt;=12, "12-14 Years")</f>
        <v>6–8 Years</v>
      </c>
      <c r="J518">
        <v>4</v>
      </c>
      <c r="K518" t="s">
        <v>20</v>
      </c>
      <c r="L518">
        <v>94200</v>
      </c>
      <c r="M518">
        <v>12100</v>
      </c>
      <c r="N518">
        <v>106300</v>
      </c>
      <c r="O518" t="s">
        <v>30</v>
      </c>
      <c r="P518" s="3">
        <v>43483</v>
      </c>
      <c r="Q518" t="s">
        <v>28</v>
      </c>
    </row>
    <row r="519" spans="1:17" x14ac:dyDescent="0.35">
      <c r="A519" t="s">
        <v>571</v>
      </c>
      <c r="B519" t="s">
        <v>23</v>
      </c>
      <c r="C519">
        <v>30</v>
      </c>
      <c r="D519" t="s">
        <v>41</v>
      </c>
      <c r="E519" t="s">
        <v>67</v>
      </c>
      <c r="F519" t="s">
        <v>28</v>
      </c>
      <c r="G519">
        <v>3.6</v>
      </c>
      <c r="H519">
        <v>2.6</v>
      </c>
      <c r="I519" t="str" cm="1">
        <f t="array" ref="I519">_xlfn.IFS(G519&lt;3, "0–2 Years", G519&lt;6, "3–5 Years", G519&lt;9, "6–8 Years", G519&lt;12, "9-11 Years", G519&gt;=12, "12-14 Years")</f>
        <v>3–5 Years</v>
      </c>
      <c r="J519">
        <v>3</v>
      </c>
      <c r="K519" t="s">
        <v>20</v>
      </c>
      <c r="L519">
        <v>63900</v>
      </c>
      <c r="M519">
        <v>4200</v>
      </c>
      <c r="N519">
        <v>68100</v>
      </c>
      <c r="O519" t="s">
        <v>25</v>
      </c>
      <c r="P519" s="3">
        <v>44710</v>
      </c>
      <c r="Q519" t="s">
        <v>28</v>
      </c>
    </row>
    <row r="520" spans="1:17" x14ac:dyDescent="0.35">
      <c r="A520" t="s">
        <v>572</v>
      </c>
      <c r="B520" t="s">
        <v>16</v>
      </c>
      <c r="C520">
        <v>29</v>
      </c>
      <c r="D520" t="s">
        <v>34</v>
      </c>
      <c r="E520" t="s">
        <v>35</v>
      </c>
      <c r="F520" t="s">
        <v>28</v>
      </c>
      <c r="G520">
        <v>3.7</v>
      </c>
      <c r="H520">
        <v>3.7</v>
      </c>
      <c r="I520" t="str" cm="1">
        <f t="array" ref="I520">_xlfn.IFS(G520&lt;3, "0–2 Years", G520&lt;6, "3–5 Years", G520&lt;9, "6–8 Years", G520&lt;12, "9-11 Years", G520&gt;=12, "12-14 Years")</f>
        <v>3–5 Years</v>
      </c>
      <c r="J520">
        <v>3</v>
      </c>
      <c r="K520" t="s">
        <v>20</v>
      </c>
      <c r="L520">
        <v>70700</v>
      </c>
      <c r="M520">
        <v>4000</v>
      </c>
      <c r="N520">
        <v>74700</v>
      </c>
      <c r="O520" t="s">
        <v>21</v>
      </c>
      <c r="P520" s="3">
        <v>44658</v>
      </c>
      <c r="Q520" t="s">
        <v>28</v>
      </c>
    </row>
    <row r="521" spans="1:17" x14ac:dyDescent="0.35">
      <c r="A521" t="s">
        <v>573</v>
      </c>
      <c r="B521" t="s">
        <v>23</v>
      </c>
      <c r="C521">
        <v>35</v>
      </c>
      <c r="D521" t="s">
        <v>44</v>
      </c>
      <c r="E521" t="s">
        <v>76</v>
      </c>
      <c r="F521" t="s">
        <v>19</v>
      </c>
      <c r="G521">
        <v>11.4</v>
      </c>
      <c r="H521">
        <v>6.5</v>
      </c>
      <c r="I521" t="str" cm="1">
        <f t="array" ref="I521">_xlfn.IFS(G521&lt;3, "0–2 Years", G521&lt;6, "3–5 Years", G521&lt;9, "6–8 Years", G521&lt;12, "9-11 Years", G521&gt;=12, "12-14 Years")</f>
        <v>9-11 Years</v>
      </c>
      <c r="J521">
        <v>4</v>
      </c>
      <c r="K521" t="s">
        <v>20</v>
      </c>
      <c r="L521">
        <v>122700</v>
      </c>
      <c r="M521">
        <v>15600</v>
      </c>
      <c r="N521">
        <v>138300</v>
      </c>
      <c r="O521" t="s">
        <v>57</v>
      </c>
      <c r="P521" s="3">
        <v>41862</v>
      </c>
      <c r="Q521" t="s">
        <v>19</v>
      </c>
    </row>
    <row r="522" spans="1:17" x14ac:dyDescent="0.35">
      <c r="A522" t="s">
        <v>574</v>
      </c>
      <c r="B522" t="s">
        <v>16</v>
      </c>
      <c r="C522">
        <v>43</v>
      </c>
      <c r="D522" t="s">
        <v>17</v>
      </c>
      <c r="E522" t="s">
        <v>18</v>
      </c>
      <c r="F522" t="s">
        <v>28</v>
      </c>
      <c r="G522">
        <v>7.8</v>
      </c>
      <c r="H522">
        <v>5.9</v>
      </c>
      <c r="I522" t="str" cm="1">
        <f t="array" ref="I522">_xlfn.IFS(G522&lt;3, "0–2 Years", G522&lt;6, "3–5 Years", G522&lt;9, "6–8 Years", G522&lt;12, "9-11 Years", G522&gt;=12, "12-14 Years")</f>
        <v>6–8 Years</v>
      </c>
      <c r="J522">
        <v>4</v>
      </c>
      <c r="K522" t="s">
        <v>69</v>
      </c>
      <c r="L522">
        <v>82100</v>
      </c>
      <c r="M522">
        <v>4100</v>
      </c>
      <c r="N522">
        <v>86200</v>
      </c>
      <c r="O522" t="s">
        <v>30</v>
      </c>
      <c r="P522" s="3">
        <v>43184</v>
      </c>
      <c r="Q522" t="s">
        <v>28</v>
      </c>
    </row>
    <row r="523" spans="1:17" x14ac:dyDescent="0.35">
      <c r="A523" t="s">
        <v>575</v>
      </c>
      <c r="B523" t="s">
        <v>23</v>
      </c>
      <c r="C523">
        <v>36</v>
      </c>
      <c r="D523" t="s">
        <v>38</v>
      </c>
      <c r="E523" t="s">
        <v>61</v>
      </c>
      <c r="F523" t="s">
        <v>28</v>
      </c>
      <c r="G523">
        <v>9.4</v>
      </c>
      <c r="H523">
        <v>6.9</v>
      </c>
      <c r="I523" t="str" cm="1">
        <f t="array" ref="I523">_xlfn.IFS(G523&lt;3, "0–2 Years", G523&lt;6, "3–5 Years", G523&lt;9, "6–8 Years", G523&lt;12, "9-11 Years", G523&gt;=12, "12-14 Years")</f>
        <v>9-11 Years</v>
      </c>
      <c r="J523">
        <v>4</v>
      </c>
      <c r="K523" t="s">
        <v>20</v>
      </c>
      <c r="L523">
        <v>102200</v>
      </c>
      <c r="M523">
        <v>4000</v>
      </c>
      <c r="N523">
        <v>106200</v>
      </c>
      <c r="O523" t="s">
        <v>57</v>
      </c>
      <c r="P523" s="3">
        <v>42581</v>
      </c>
      <c r="Q523" t="s">
        <v>28</v>
      </c>
    </row>
    <row r="524" spans="1:17" x14ac:dyDescent="0.35">
      <c r="A524" t="s">
        <v>576</v>
      </c>
      <c r="B524" t="s">
        <v>23</v>
      </c>
      <c r="C524">
        <v>31</v>
      </c>
      <c r="D524" t="s">
        <v>17</v>
      </c>
      <c r="E524" t="s">
        <v>32</v>
      </c>
      <c r="F524" t="s">
        <v>28</v>
      </c>
      <c r="G524">
        <v>4.4000000000000004</v>
      </c>
      <c r="H524">
        <v>4.4000000000000004</v>
      </c>
      <c r="I524" t="str" cm="1">
        <f t="array" ref="I524">_xlfn.IFS(G524&lt;3, "0–2 Years", G524&lt;6, "3–5 Years", G524&lt;9, "6–8 Years", G524&lt;12, "9-11 Years", G524&gt;=12, "12-14 Years")</f>
        <v>3–5 Years</v>
      </c>
      <c r="J524">
        <v>3</v>
      </c>
      <c r="K524" t="s">
        <v>20</v>
      </c>
      <c r="L524">
        <v>59900</v>
      </c>
      <c r="M524">
        <v>4100</v>
      </c>
      <c r="N524">
        <v>64000</v>
      </c>
      <c r="O524" t="s">
        <v>25</v>
      </c>
      <c r="P524" s="3">
        <v>44432</v>
      </c>
      <c r="Q524" t="s">
        <v>28</v>
      </c>
    </row>
    <row r="525" spans="1:17" x14ac:dyDescent="0.35">
      <c r="A525" t="s">
        <v>577</v>
      </c>
      <c r="B525" t="s">
        <v>23</v>
      </c>
      <c r="C525">
        <v>25</v>
      </c>
      <c r="D525" t="s">
        <v>41</v>
      </c>
      <c r="E525" t="s">
        <v>42</v>
      </c>
      <c r="F525" t="s">
        <v>19</v>
      </c>
      <c r="G525">
        <v>1.7</v>
      </c>
      <c r="H525">
        <v>1.5</v>
      </c>
      <c r="I525" t="str" cm="1">
        <f t="array" ref="I525">_xlfn.IFS(G525&lt;3, "0–2 Years", G525&lt;6, "3–5 Years", G525&lt;9, "6–8 Years", G525&lt;12, "9-11 Years", G525&gt;=12, "12-14 Years")</f>
        <v>0–2 Years</v>
      </c>
      <c r="J525">
        <v>4</v>
      </c>
      <c r="K525" t="s">
        <v>20</v>
      </c>
      <c r="L525">
        <v>71800</v>
      </c>
      <c r="M525">
        <v>6300</v>
      </c>
      <c r="N525">
        <v>78100</v>
      </c>
      <c r="O525" t="s">
        <v>21</v>
      </c>
      <c r="P525" s="3">
        <v>45392</v>
      </c>
      <c r="Q525" t="s">
        <v>19</v>
      </c>
    </row>
    <row r="526" spans="1:17" x14ac:dyDescent="0.35">
      <c r="A526" t="s">
        <v>578</v>
      </c>
      <c r="B526" t="s">
        <v>23</v>
      </c>
      <c r="C526">
        <v>33</v>
      </c>
      <c r="D526" t="s">
        <v>55</v>
      </c>
      <c r="E526" t="s">
        <v>79</v>
      </c>
      <c r="F526" t="s">
        <v>28</v>
      </c>
      <c r="G526">
        <v>6.2</v>
      </c>
      <c r="H526">
        <v>3.9</v>
      </c>
      <c r="I526" t="str" cm="1">
        <f t="array" ref="I526">_xlfn.IFS(G526&lt;3, "0–2 Years", G526&lt;6, "3–5 Years", G526&lt;9, "6–8 Years", G526&lt;12, "9-11 Years", G526&gt;=12, "12-14 Years")</f>
        <v>6–8 Years</v>
      </c>
      <c r="J526">
        <v>3</v>
      </c>
      <c r="K526" t="s">
        <v>20</v>
      </c>
      <c r="L526">
        <v>55900</v>
      </c>
      <c r="M526">
        <v>10000</v>
      </c>
      <c r="N526">
        <v>65900</v>
      </c>
      <c r="O526" t="s">
        <v>25</v>
      </c>
      <c r="P526" s="3">
        <v>43741</v>
      </c>
      <c r="Q526" t="s">
        <v>28</v>
      </c>
    </row>
    <row r="527" spans="1:17" x14ac:dyDescent="0.35">
      <c r="A527" t="s">
        <v>579</v>
      </c>
      <c r="B527" t="s">
        <v>23</v>
      </c>
      <c r="C527" s="7">
        <v>32</v>
      </c>
      <c r="D527" t="s">
        <v>41</v>
      </c>
      <c r="E527" t="s">
        <v>73</v>
      </c>
      <c r="F527" t="s">
        <v>28</v>
      </c>
      <c r="G527" s="9">
        <v>13.6</v>
      </c>
      <c r="H527" s="7">
        <v>7.1</v>
      </c>
      <c r="I527" t="str" cm="1">
        <f t="array" ref="I527">_xlfn.IFS(G527&lt;3, "0–2 Years", G527&lt;6, "3–5 Years", G527&lt;9, "6–8 Years", G527&lt;12, "9-11 Years", G527&gt;=12, "12-14 Years")</f>
        <v>12-14 Years</v>
      </c>
      <c r="J527" s="7">
        <v>4</v>
      </c>
      <c r="K527" t="s">
        <v>20</v>
      </c>
      <c r="L527" s="7">
        <v>106400</v>
      </c>
      <c r="M527" s="7">
        <v>8600</v>
      </c>
      <c r="N527" s="7">
        <v>115000</v>
      </c>
      <c r="O527" t="s">
        <v>57</v>
      </c>
      <c r="P527" s="3">
        <v>41041</v>
      </c>
      <c r="Q527" t="s">
        <v>28</v>
      </c>
    </row>
    <row r="528" spans="1:17" x14ac:dyDescent="0.35">
      <c r="A528" t="s">
        <v>580</v>
      </c>
      <c r="B528" t="s">
        <v>23</v>
      </c>
      <c r="C528">
        <v>44</v>
      </c>
      <c r="D528" t="s">
        <v>55</v>
      </c>
      <c r="E528" t="s">
        <v>79</v>
      </c>
      <c r="F528" t="s">
        <v>36</v>
      </c>
      <c r="G528">
        <v>7.7</v>
      </c>
      <c r="H528">
        <v>6.6</v>
      </c>
      <c r="I528" t="str" cm="1">
        <f t="array" ref="I528">_xlfn.IFS(G528&lt;3, "0–2 Years", G528&lt;6, "3–5 Years", G528&lt;9, "6–8 Years", G528&lt;12, "9-11 Years", G528&gt;=12, "12-14 Years")</f>
        <v>6–8 Years</v>
      </c>
      <c r="J528">
        <v>3</v>
      </c>
      <c r="K528" t="s">
        <v>20</v>
      </c>
      <c r="L528">
        <v>62600</v>
      </c>
      <c r="M528">
        <v>12300</v>
      </c>
      <c r="N528">
        <v>74900</v>
      </c>
      <c r="O528" t="s">
        <v>25</v>
      </c>
      <c r="P528" s="3">
        <v>43227</v>
      </c>
      <c r="Q528" t="s">
        <v>36</v>
      </c>
    </row>
    <row r="529" spans="1:17" x14ac:dyDescent="0.35">
      <c r="A529" t="s">
        <v>581</v>
      </c>
      <c r="B529" t="s">
        <v>16</v>
      </c>
      <c r="C529">
        <v>41</v>
      </c>
      <c r="D529" t="s">
        <v>44</v>
      </c>
      <c r="E529" t="s">
        <v>76</v>
      </c>
      <c r="F529" t="s">
        <v>28</v>
      </c>
      <c r="G529">
        <v>10.7</v>
      </c>
      <c r="H529">
        <v>6</v>
      </c>
      <c r="I529" t="str" cm="1">
        <f t="array" ref="I529">_xlfn.IFS(G529&lt;3, "0–2 Years", G529&lt;6, "3–5 Years", G529&lt;9, "6–8 Years", G529&lt;12, "9-11 Years", G529&gt;=12, "12-14 Years")</f>
        <v>9-11 Years</v>
      </c>
      <c r="J529">
        <v>3</v>
      </c>
      <c r="K529" t="s">
        <v>20</v>
      </c>
      <c r="L529">
        <v>121700</v>
      </c>
      <c r="M529">
        <v>9500</v>
      </c>
      <c r="N529">
        <v>131200</v>
      </c>
      <c r="O529" t="s">
        <v>57</v>
      </c>
      <c r="P529" s="3">
        <v>42097</v>
      </c>
      <c r="Q529" t="s">
        <v>28</v>
      </c>
    </row>
    <row r="530" spans="1:17" x14ac:dyDescent="0.35">
      <c r="A530" t="s">
        <v>582</v>
      </c>
      <c r="B530" t="s">
        <v>23</v>
      </c>
      <c r="C530">
        <v>39</v>
      </c>
      <c r="D530" t="s">
        <v>55</v>
      </c>
      <c r="E530" t="s">
        <v>56</v>
      </c>
      <c r="F530" t="s">
        <v>19</v>
      </c>
      <c r="G530">
        <v>9.3000000000000007</v>
      </c>
      <c r="H530">
        <v>6.2</v>
      </c>
      <c r="I530" t="str" cm="1">
        <f t="array" ref="I530">_xlfn.IFS(G530&lt;3, "0–2 Years", G530&lt;6, "3–5 Years", G530&lt;9, "6–8 Years", G530&lt;12, "9-11 Years", G530&gt;=12, "12-14 Years")</f>
        <v>9-11 Years</v>
      </c>
      <c r="J530">
        <v>3</v>
      </c>
      <c r="K530" t="s">
        <v>20</v>
      </c>
      <c r="L530">
        <v>86200</v>
      </c>
      <c r="M530">
        <v>13200</v>
      </c>
      <c r="N530">
        <v>99400</v>
      </c>
      <c r="O530" t="s">
        <v>30</v>
      </c>
      <c r="P530" s="3">
        <v>42613</v>
      </c>
      <c r="Q530" t="s">
        <v>19</v>
      </c>
    </row>
    <row r="531" spans="1:17" x14ac:dyDescent="0.35">
      <c r="A531" t="s">
        <v>583</v>
      </c>
      <c r="B531" t="s">
        <v>23</v>
      </c>
      <c r="C531">
        <v>41</v>
      </c>
      <c r="D531" t="s">
        <v>44</v>
      </c>
      <c r="E531" t="s">
        <v>76</v>
      </c>
      <c r="F531" t="s">
        <v>28</v>
      </c>
      <c r="G531">
        <v>5.6</v>
      </c>
      <c r="H531">
        <v>4.4000000000000004</v>
      </c>
      <c r="I531" t="str" cm="1">
        <f t="array" ref="I531">_xlfn.IFS(G531&lt;3, "0–2 Years", G531&lt;6, "3–5 Years", G531&lt;9, "6–8 Years", G531&lt;12, "9-11 Years", G531&gt;=12, "12-14 Years")</f>
        <v>3–5 Years</v>
      </c>
      <c r="J531">
        <v>5</v>
      </c>
      <c r="K531" t="s">
        <v>20</v>
      </c>
      <c r="L531">
        <v>113200</v>
      </c>
      <c r="M531">
        <v>6300</v>
      </c>
      <c r="N531">
        <v>119500</v>
      </c>
      <c r="O531" t="s">
        <v>57</v>
      </c>
      <c r="P531" s="3">
        <v>43971</v>
      </c>
      <c r="Q531" t="s">
        <v>28</v>
      </c>
    </row>
    <row r="532" spans="1:17" x14ac:dyDescent="0.35">
      <c r="A532" t="s">
        <v>584</v>
      </c>
      <c r="B532" t="s">
        <v>16</v>
      </c>
      <c r="C532">
        <v>45</v>
      </c>
      <c r="D532" t="s">
        <v>44</v>
      </c>
      <c r="E532" t="s">
        <v>51</v>
      </c>
      <c r="F532" t="s">
        <v>36</v>
      </c>
      <c r="G532">
        <v>6.8</v>
      </c>
      <c r="H532">
        <v>1.2</v>
      </c>
      <c r="I532" t="str" cm="1">
        <f t="array" ref="I532">_xlfn.IFS(G532&lt;3, "0–2 Years", G532&lt;6, "3–5 Years", G532&lt;9, "6–8 Years", G532&lt;12, "9-11 Years", G532&gt;=12, "12-14 Years")</f>
        <v>6–8 Years</v>
      </c>
      <c r="J532">
        <v>3</v>
      </c>
      <c r="K532" t="s">
        <v>20</v>
      </c>
      <c r="L532">
        <v>83900</v>
      </c>
      <c r="M532">
        <v>7900</v>
      </c>
      <c r="N532">
        <v>91800</v>
      </c>
      <c r="O532" t="s">
        <v>30</v>
      </c>
      <c r="P532" s="3">
        <v>43538</v>
      </c>
      <c r="Q532" t="s">
        <v>36</v>
      </c>
    </row>
    <row r="533" spans="1:17" x14ac:dyDescent="0.35">
      <c r="A533" t="s">
        <v>585</v>
      </c>
      <c r="B533" t="s">
        <v>16</v>
      </c>
      <c r="C533">
        <v>21</v>
      </c>
      <c r="D533" t="s">
        <v>34</v>
      </c>
      <c r="E533" t="s">
        <v>47</v>
      </c>
      <c r="F533" t="s">
        <v>28</v>
      </c>
      <c r="G533">
        <v>1.5</v>
      </c>
      <c r="H533">
        <v>1.5</v>
      </c>
      <c r="I533" t="str" cm="1">
        <f t="array" ref="I533">_xlfn.IFS(G533&lt;3, "0–2 Years", G533&lt;6, "3–5 Years", G533&lt;9, "6–8 Years", G533&lt;12, "9-11 Years", G533&gt;=12, "12-14 Years")</f>
        <v>0–2 Years</v>
      </c>
      <c r="J533">
        <v>2</v>
      </c>
      <c r="K533" t="s">
        <v>20</v>
      </c>
      <c r="L533">
        <v>69900</v>
      </c>
      <c r="M533">
        <v>7400</v>
      </c>
      <c r="N533">
        <v>77300</v>
      </c>
      <c r="O533" t="s">
        <v>21</v>
      </c>
      <c r="P533" s="3">
        <v>45493</v>
      </c>
      <c r="Q533" t="s">
        <v>28</v>
      </c>
    </row>
    <row r="534" spans="1:17" x14ac:dyDescent="0.35">
      <c r="A534" t="s">
        <v>586</v>
      </c>
      <c r="B534" t="s">
        <v>23</v>
      </c>
      <c r="C534">
        <v>44</v>
      </c>
      <c r="D534" t="s">
        <v>38</v>
      </c>
      <c r="E534" t="s">
        <v>39</v>
      </c>
      <c r="F534" t="s">
        <v>36</v>
      </c>
      <c r="G534">
        <v>7.5</v>
      </c>
      <c r="H534">
        <v>3.5</v>
      </c>
      <c r="I534" t="str" cm="1">
        <f t="array" ref="I534">_xlfn.IFS(G534&lt;3, "0–2 Years", G534&lt;6, "3–5 Years", G534&lt;9, "6–8 Years", G534&lt;12, "9-11 Years", G534&gt;=12, "12-14 Years")</f>
        <v>6–8 Years</v>
      </c>
      <c r="J534">
        <v>3</v>
      </c>
      <c r="K534" t="s">
        <v>20</v>
      </c>
      <c r="L534">
        <v>90900</v>
      </c>
      <c r="M534">
        <v>4400</v>
      </c>
      <c r="N534">
        <v>95300</v>
      </c>
      <c r="O534" t="s">
        <v>30</v>
      </c>
      <c r="P534" s="3">
        <v>43280</v>
      </c>
      <c r="Q534" t="s">
        <v>36</v>
      </c>
    </row>
    <row r="535" spans="1:17" x14ac:dyDescent="0.35">
      <c r="A535" t="s">
        <v>587</v>
      </c>
      <c r="B535" t="s">
        <v>16</v>
      </c>
      <c r="C535">
        <v>22</v>
      </c>
      <c r="D535" t="s">
        <v>55</v>
      </c>
      <c r="E535" t="s">
        <v>79</v>
      </c>
      <c r="F535" t="s">
        <v>28</v>
      </c>
      <c r="G535">
        <v>3</v>
      </c>
      <c r="H535">
        <v>1.4</v>
      </c>
      <c r="I535" t="str" cm="1">
        <f t="array" ref="I535">_xlfn.IFS(G535&lt;3, "0–2 Years", G535&lt;6, "3–5 Years", G535&lt;9, "6–8 Years", G535&lt;12, "9-11 Years", G535&gt;=12, "12-14 Years")</f>
        <v>3–5 Years</v>
      </c>
      <c r="J535">
        <v>2</v>
      </c>
      <c r="K535" t="s">
        <v>20</v>
      </c>
      <c r="L535">
        <v>57200</v>
      </c>
      <c r="M535">
        <v>9500</v>
      </c>
      <c r="N535">
        <v>66700</v>
      </c>
      <c r="O535" t="s">
        <v>25</v>
      </c>
      <c r="P535" s="3">
        <v>44919</v>
      </c>
      <c r="Q535" t="s">
        <v>28</v>
      </c>
    </row>
    <row r="536" spans="1:17" x14ac:dyDescent="0.35">
      <c r="A536" t="s">
        <v>588</v>
      </c>
      <c r="B536" t="s">
        <v>23</v>
      </c>
      <c r="C536">
        <v>47</v>
      </c>
      <c r="D536" t="s">
        <v>34</v>
      </c>
      <c r="E536" t="s">
        <v>59</v>
      </c>
      <c r="F536" t="s">
        <v>36</v>
      </c>
      <c r="G536">
        <v>10</v>
      </c>
      <c r="H536">
        <v>5.8</v>
      </c>
      <c r="I536" t="str" cm="1">
        <f t="array" ref="I536">_xlfn.IFS(G536&lt;3, "0–2 Years", G536&lt;6, "3–5 Years", G536&lt;9, "6–8 Years", G536&lt;12, "9-11 Years", G536&gt;=12, "12-14 Years")</f>
        <v>9-11 Years</v>
      </c>
      <c r="J536">
        <v>4</v>
      </c>
      <c r="K536" t="s">
        <v>20</v>
      </c>
      <c r="L536">
        <v>109500</v>
      </c>
      <c r="M536">
        <v>4900</v>
      </c>
      <c r="N536">
        <v>114400</v>
      </c>
      <c r="O536" t="s">
        <v>57</v>
      </c>
      <c r="P536" s="3">
        <v>42361</v>
      </c>
      <c r="Q536" t="s">
        <v>36</v>
      </c>
    </row>
    <row r="537" spans="1:17" x14ac:dyDescent="0.35">
      <c r="A537" t="s">
        <v>589</v>
      </c>
      <c r="B537" t="s">
        <v>16</v>
      </c>
      <c r="C537">
        <v>44</v>
      </c>
      <c r="D537" t="s">
        <v>55</v>
      </c>
      <c r="E537" t="s">
        <v>92</v>
      </c>
      <c r="F537" t="s">
        <v>28</v>
      </c>
      <c r="G537">
        <v>3.5</v>
      </c>
      <c r="H537">
        <v>0</v>
      </c>
      <c r="I537" t="str" cm="1">
        <f t="array" ref="I537">_xlfn.IFS(G537&lt;3, "0–2 Years", G537&lt;6, "3–5 Years", G537&lt;9, "6–8 Years", G537&lt;12, "9-11 Years", G537&gt;=12, "12-14 Years")</f>
        <v>3–5 Years</v>
      </c>
      <c r="J537">
        <v>4</v>
      </c>
      <c r="K537" t="s">
        <v>20</v>
      </c>
      <c r="L537">
        <v>86100</v>
      </c>
      <c r="M537">
        <v>16200</v>
      </c>
      <c r="N537">
        <v>102300</v>
      </c>
      <c r="O537" t="s">
        <v>30</v>
      </c>
      <c r="P537" s="3">
        <v>44755</v>
      </c>
      <c r="Q537" t="s">
        <v>28</v>
      </c>
    </row>
    <row r="538" spans="1:17" x14ac:dyDescent="0.35">
      <c r="A538" t="s">
        <v>590</v>
      </c>
      <c r="B538" t="s">
        <v>23</v>
      </c>
      <c r="C538">
        <v>43</v>
      </c>
      <c r="D538" t="s">
        <v>34</v>
      </c>
      <c r="E538" t="s">
        <v>47</v>
      </c>
      <c r="F538" t="s">
        <v>36</v>
      </c>
      <c r="G538">
        <v>9.6</v>
      </c>
      <c r="H538">
        <v>7</v>
      </c>
      <c r="I538" t="str" cm="1">
        <f t="array" ref="I538">_xlfn.IFS(G538&lt;3, "0–2 Years", G538&lt;6, "3–5 Years", G538&lt;9, "6–8 Years", G538&lt;12, "9-11 Years", G538&gt;=12, "12-14 Years")</f>
        <v>9-11 Years</v>
      </c>
      <c r="J538">
        <v>3</v>
      </c>
      <c r="K538" t="s">
        <v>20</v>
      </c>
      <c r="L538">
        <v>90100</v>
      </c>
      <c r="M538">
        <v>6400</v>
      </c>
      <c r="N538">
        <v>96500</v>
      </c>
      <c r="O538" t="s">
        <v>30</v>
      </c>
      <c r="P538" s="3">
        <v>42526</v>
      </c>
      <c r="Q538" t="s">
        <v>36</v>
      </c>
    </row>
    <row r="539" spans="1:17" x14ac:dyDescent="0.35">
      <c r="A539" t="s">
        <v>591</v>
      </c>
      <c r="B539" t="s">
        <v>23</v>
      </c>
      <c r="C539">
        <v>33</v>
      </c>
      <c r="D539" t="s">
        <v>44</v>
      </c>
      <c r="E539" t="s">
        <v>76</v>
      </c>
      <c r="F539" t="s">
        <v>28</v>
      </c>
      <c r="G539">
        <v>2.9</v>
      </c>
      <c r="H539">
        <v>0</v>
      </c>
      <c r="I539" t="str" cm="1">
        <f t="array" ref="I539">_xlfn.IFS(G539&lt;3, "0–2 Years", G539&lt;6, "3–5 Years", G539&lt;9, "6–8 Years", G539&lt;12, "9-11 Years", G539&gt;=12, "12-14 Years")</f>
        <v>0–2 Years</v>
      </c>
      <c r="J539">
        <v>5</v>
      </c>
      <c r="K539" t="s">
        <v>20</v>
      </c>
      <c r="L539">
        <v>100900</v>
      </c>
      <c r="M539">
        <v>11800</v>
      </c>
      <c r="N539">
        <v>112700</v>
      </c>
      <c r="O539" t="s">
        <v>57</v>
      </c>
      <c r="P539" s="3">
        <v>44964</v>
      </c>
      <c r="Q539" t="s">
        <v>28</v>
      </c>
    </row>
    <row r="540" spans="1:17" x14ac:dyDescent="0.35">
      <c r="A540" t="s">
        <v>592</v>
      </c>
      <c r="B540" t="s">
        <v>16</v>
      </c>
      <c r="C540">
        <v>33</v>
      </c>
      <c r="D540" t="s">
        <v>34</v>
      </c>
      <c r="E540" t="s">
        <v>47</v>
      </c>
      <c r="F540" t="s">
        <v>36</v>
      </c>
      <c r="G540">
        <v>3</v>
      </c>
      <c r="H540">
        <v>1.7</v>
      </c>
      <c r="I540" t="str" cm="1">
        <f t="array" ref="I540">_xlfn.IFS(G540&lt;3, "0–2 Years", G540&lt;6, "3–5 Years", G540&lt;9, "6–8 Years", G540&lt;12, "9-11 Years", G540&gt;=12, "12-14 Years")</f>
        <v>3–5 Years</v>
      </c>
      <c r="J540">
        <v>3</v>
      </c>
      <c r="K540" t="s">
        <v>24</v>
      </c>
      <c r="L540">
        <v>54100</v>
      </c>
      <c r="M540">
        <v>4100</v>
      </c>
      <c r="N540">
        <v>58200</v>
      </c>
      <c r="O540" t="s">
        <v>25</v>
      </c>
      <c r="P540" s="3">
        <v>44927</v>
      </c>
      <c r="Q540" t="s">
        <v>36</v>
      </c>
    </row>
    <row r="541" spans="1:17" x14ac:dyDescent="0.35">
      <c r="A541" t="s">
        <v>593</v>
      </c>
      <c r="B541" t="s">
        <v>23</v>
      </c>
      <c r="C541">
        <v>29</v>
      </c>
      <c r="D541" t="s">
        <v>44</v>
      </c>
      <c r="E541" t="s">
        <v>51</v>
      </c>
      <c r="F541" t="s">
        <v>28</v>
      </c>
      <c r="G541">
        <v>7.8</v>
      </c>
      <c r="H541">
        <v>3.5</v>
      </c>
      <c r="I541" t="str" cm="1">
        <f t="array" ref="I541">_xlfn.IFS(G541&lt;3, "0–2 Years", G541&lt;6, "3–5 Years", G541&lt;9, "6–8 Years", G541&lt;12, "9-11 Years", G541&gt;=12, "12-14 Years")</f>
        <v>6–8 Years</v>
      </c>
      <c r="J541">
        <v>2</v>
      </c>
      <c r="K541" t="s">
        <v>24</v>
      </c>
      <c r="L541">
        <v>43200</v>
      </c>
      <c r="M541">
        <v>2500</v>
      </c>
      <c r="N541">
        <v>45700</v>
      </c>
      <c r="O541" t="s">
        <v>65</v>
      </c>
      <c r="P541" s="3">
        <v>43167</v>
      </c>
      <c r="Q541" t="s">
        <v>28</v>
      </c>
    </row>
    <row r="542" spans="1:17" x14ac:dyDescent="0.35">
      <c r="A542" t="s">
        <v>594</v>
      </c>
      <c r="B542" t="s">
        <v>16</v>
      </c>
      <c r="C542">
        <v>41</v>
      </c>
      <c r="D542" t="s">
        <v>34</v>
      </c>
      <c r="E542" t="s">
        <v>59</v>
      </c>
      <c r="F542" t="s">
        <v>28</v>
      </c>
      <c r="G542">
        <v>10.4</v>
      </c>
      <c r="H542">
        <v>5.9</v>
      </c>
      <c r="I542" t="str" cm="1">
        <f t="array" ref="I542">_xlfn.IFS(G542&lt;3, "0–2 Years", G542&lt;6, "3–5 Years", G542&lt;9, "6–8 Years", G542&lt;12, "9-11 Years", G542&gt;=12, "12-14 Years")</f>
        <v>9-11 Years</v>
      </c>
      <c r="J542">
        <v>5</v>
      </c>
      <c r="K542" t="s">
        <v>20</v>
      </c>
      <c r="L542">
        <v>104300</v>
      </c>
      <c r="M542">
        <v>6000</v>
      </c>
      <c r="N542">
        <v>110300</v>
      </c>
      <c r="O542" t="s">
        <v>57</v>
      </c>
      <c r="P542" s="3">
        <v>42221</v>
      </c>
      <c r="Q542" t="s">
        <v>28</v>
      </c>
    </row>
    <row r="543" spans="1:17" x14ac:dyDescent="0.35">
      <c r="A543" t="s">
        <v>595</v>
      </c>
      <c r="B543" t="s">
        <v>16</v>
      </c>
      <c r="C543" s="7">
        <v>43</v>
      </c>
      <c r="D543" t="s">
        <v>44</v>
      </c>
      <c r="E543" t="s">
        <v>51</v>
      </c>
      <c r="F543" t="s">
        <v>28</v>
      </c>
      <c r="G543" s="9">
        <v>13.8</v>
      </c>
      <c r="H543" s="7">
        <v>9.9</v>
      </c>
      <c r="I543" t="str" cm="1">
        <f t="array" ref="I543">_xlfn.IFS(G543&lt;3, "0–2 Years", G543&lt;6, "3–5 Years", G543&lt;9, "6–8 Years", G543&lt;12, "9-11 Years", G543&gt;=12, "12-14 Years")</f>
        <v>12-14 Years</v>
      </c>
      <c r="J543" s="7">
        <v>4</v>
      </c>
      <c r="K543" t="s">
        <v>69</v>
      </c>
      <c r="L543" s="7">
        <v>68900</v>
      </c>
      <c r="M543" s="7">
        <v>10100</v>
      </c>
      <c r="N543" s="7">
        <v>79000</v>
      </c>
      <c r="O543" t="s">
        <v>21</v>
      </c>
      <c r="P543" s="3">
        <v>40983</v>
      </c>
      <c r="Q543" t="s">
        <v>28</v>
      </c>
    </row>
    <row r="544" spans="1:17" x14ac:dyDescent="0.35">
      <c r="A544" t="s">
        <v>596</v>
      </c>
      <c r="B544" t="s">
        <v>16</v>
      </c>
      <c r="C544">
        <v>25</v>
      </c>
      <c r="D544" t="s">
        <v>41</v>
      </c>
      <c r="E544" t="s">
        <v>42</v>
      </c>
      <c r="F544" t="s">
        <v>28</v>
      </c>
      <c r="G544">
        <v>8.4</v>
      </c>
      <c r="H544">
        <v>4.3</v>
      </c>
      <c r="I544" t="str" cm="1">
        <f t="array" ref="I544">_xlfn.IFS(G544&lt;3, "0–2 Years", G544&lt;6, "3–5 Years", G544&lt;9, "6–8 Years", G544&lt;12, "9-11 Years", G544&gt;=12, "12-14 Years")</f>
        <v>6–8 Years</v>
      </c>
      <c r="J544">
        <v>4</v>
      </c>
      <c r="K544" t="s">
        <v>20</v>
      </c>
      <c r="L544">
        <v>80400</v>
      </c>
      <c r="M544">
        <v>6800</v>
      </c>
      <c r="N544">
        <v>87200</v>
      </c>
      <c r="O544" t="s">
        <v>30</v>
      </c>
      <c r="P544" s="3">
        <v>42967</v>
      </c>
      <c r="Q544" t="s">
        <v>28</v>
      </c>
    </row>
    <row r="545" spans="1:17" x14ac:dyDescent="0.35">
      <c r="A545" t="s">
        <v>597</v>
      </c>
      <c r="B545" t="s">
        <v>23</v>
      </c>
      <c r="C545" s="7">
        <v>38</v>
      </c>
      <c r="D545" t="s">
        <v>41</v>
      </c>
      <c r="E545" t="s">
        <v>67</v>
      </c>
      <c r="F545" t="s">
        <v>28</v>
      </c>
      <c r="G545" s="9">
        <v>12.8</v>
      </c>
      <c r="H545" s="7">
        <v>5.9</v>
      </c>
      <c r="I545" t="str" cm="1">
        <f t="array" ref="I545">_xlfn.IFS(G545&lt;3, "0–2 Years", G545&lt;6, "3–5 Years", G545&lt;9, "6–8 Years", G545&lt;12, "9-11 Years", G545&gt;=12, "12-14 Years")</f>
        <v>12-14 Years</v>
      </c>
      <c r="J545" s="7">
        <v>3</v>
      </c>
      <c r="K545" t="s">
        <v>20</v>
      </c>
      <c r="L545" s="7">
        <v>80100</v>
      </c>
      <c r="M545" s="7">
        <v>4100</v>
      </c>
      <c r="N545" s="7">
        <v>84200</v>
      </c>
      <c r="O545" t="s">
        <v>30</v>
      </c>
      <c r="P545" s="3">
        <v>41346</v>
      </c>
      <c r="Q545" t="s">
        <v>28</v>
      </c>
    </row>
    <row r="546" spans="1:17" x14ac:dyDescent="0.35">
      <c r="A546" t="s">
        <v>598</v>
      </c>
      <c r="B546" t="s">
        <v>23</v>
      </c>
      <c r="C546">
        <v>31</v>
      </c>
      <c r="D546" t="s">
        <v>38</v>
      </c>
      <c r="E546" t="s">
        <v>112</v>
      </c>
      <c r="F546" t="s">
        <v>36</v>
      </c>
      <c r="G546">
        <v>9.9</v>
      </c>
      <c r="H546">
        <v>4.9000000000000004</v>
      </c>
      <c r="I546" t="str" cm="1">
        <f t="array" ref="I546">_xlfn.IFS(G546&lt;3, "0–2 Years", G546&lt;6, "3–5 Years", G546&lt;9, "6–8 Years", G546&lt;12, "9-11 Years", G546&gt;=12, "12-14 Years")</f>
        <v>9-11 Years</v>
      </c>
      <c r="J546">
        <v>3</v>
      </c>
      <c r="K546" t="s">
        <v>20</v>
      </c>
      <c r="L546">
        <v>89300</v>
      </c>
      <c r="M546">
        <v>3600</v>
      </c>
      <c r="N546">
        <v>92900</v>
      </c>
      <c r="O546" t="s">
        <v>30</v>
      </c>
      <c r="P546" s="3">
        <v>42394</v>
      </c>
      <c r="Q546" t="s">
        <v>36</v>
      </c>
    </row>
    <row r="547" spans="1:17" x14ac:dyDescent="0.35">
      <c r="A547" t="s">
        <v>599</v>
      </c>
      <c r="B547" t="s">
        <v>16</v>
      </c>
      <c r="C547">
        <v>33</v>
      </c>
      <c r="D547" t="s">
        <v>44</v>
      </c>
      <c r="E547" t="s">
        <v>76</v>
      </c>
      <c r="F547" t="s">
        <v>36</v>
      </c>
      <c r="G547">
        <v>3.4</v>
      </c>
      <c r="H547">
        <v>1.2</v>
      </c>
      <c r="I547" t="str" cm="1">
        <f t="array" ref="I547">_xlfn.IFS(G547&lt;3, "0–2 Years", G547&lt;6, "3–5 Years", G547&lt;9, "6–8 Years", G547&lt;12, "9-11 Years", G547&gt;=12, "12-14 Years")</f>
        <v>3–5 Years</v>
      </c>
      <c r="J547">
        <v>3</v>
      </c>
      <c r="K547" t="s">
        <v>20</v>
      </c>
      <c r="L547">
        <v>109600</v>
      </c>
      <c r="M547">
        <v>11900</v>
      </c>
      <c r="N547">
        <v>121500</v>
      </c>
      <c r="O547" t="s">
        <v>57</v>
      </c>
      <c r="P547" s="3">
        <v>44766</v>
      </c>
      <c r="Q547" t="s">
        <v>36</v>
      </c>
    </row>
    <row r="548" spans="1:17" x14ac:dyDescent="0.35">
      <c r="A548" t="s">
        <v>600</v>
      </c>
      <c r="B548" t="s">
        <v>23</v>
      </c>
      <c r="C548" s="7">
        <v>29</v>
      </c>
      <c r="D548" t="s">
        <v>34</v>
      </c>
      <c r="E548" t="s">
        <v>35</v>
      </c>
      <c r="F548" t="s">
        <v>36</v>
      </c>
      <c r="G548" s="9">
        <v>13.9</v>
      </c>
      <c r="H548" s="7">
        <v>9.5</v>
      </c>
      <c r="I548" t="str" cm="1">
        <f t="array" ref="I548">_xlfn.IFS(G548&lt;3, "0–2 Years", G548&lt;6, "3–5 Years", G548&lt;9, "6–8 Years", G548&lt;12, "9-11 Years", G548&gt;=12, "12-14 Years")</f>
        <v>12-14 Years</v>
      </c>
      <c r="J548" s="7">
        <v>3</v>
      </c>
      <c r="K548" t="s">
        <v>20</v>
      </c>
      <c r="L548" s="7">
        <v>82900</v>
      </c>
      <c r="M548" s="7">
        <v>9700</v>
      </c>
      <c r="N548" s="7">
        <v>92600</v>
      </c>
      <c r="O548" t="s">
        <v>30</v>
      </c>
      <c r="P548" s="3">
        <v>40950</v>
      </c>
      <c r="Q548" t="s">
        <v>36</v>
      </c>
    </row>
    <row r="549" spans="1:17" x14ac:dyDescent="0.35">
      <c r="A549" t="s">
        <v>601</v>
      </c>
      <c r="B549" t="s">
        <v>16</v>
      </c>
      <c r="C549">
        <v>41</v>
      </c>
      <c r="D549" t="s">
        <v>38</v>
      </c>
      <c r="E549" t="s">
        <v>61</v>
      </c>
      <c r="F549" t="s">
        <v>28</v>
      </c>
      <c r="G549">
        <v>5.8</v>
      </c>
      <c r="H549">
        <v>3.9</v>
      </c>
      <c r="I549" t="str" cm="1">
        <f t="array" ref="I549">_xlfn.IFS(G549&lt;3, "0–2 Years", G549&lt;6, "3–5 Years", G549&lt;9, "6–8 Years", G549&lt;12, "9-11 Years", G549&gt;=12, "12-14 Years")</f>
        <v>3–5 Years</v>
      </c>
      <c r="J549">
        <v>4</v>
      </c>
      <c r="K549" t="s">
        <v>20</v>
      </c>
      <c r="L549">
        <v>108600</v>
      </c>
      <c r="M549">
        <v>9000</v>
      </c>
      <c r="N549">
        <v>117600</v>
      </c>
      <c r="O549" t="s">
        <v>57</v>
      </c>
      <c r="P549" s="3">
        <v>43889</v>
      </c>
      <c r="Q549" t="s">
        <v>28</v>
      </c>
    </row>
    <row r="550" spans="1:17" x14ac:dyDescent="0.35">
      <c r="A550" t="s">
        <v>602</v>
      </c>
      <c r="B550" t="s">
        <v>16</v>
      </c>
      <c r="C550" s="7">
        <v>36</v>
      </c>
      <c r="D550" t="s">
        <v>38</v>
      </c>
      <c r="E550" t="s">
        <v>112</v>
      </c>
      <c r="F550" t="s">
        <v>28</v>
      </c>
      <c r="G550" s="9">
        <v>12.4</v>
      </c>
      <c r="H550" s="7">
        <v>8.4</v>
      </c>
      <c r="I550" t="str" cm="1">
        <f t="array" ref="I550">_xlfn.IFS(G550&lt;3, "0–2 Years", G550&lt;6, "3–5 Years", G550&lt;9, "6–8 Years", G550&lt;12, "9-11 Years", G550&gt;=12, "12-14 Years")</f>
        <v>12-14 Years</v>
      </c>
      <c r="J550" s="7">
        <v>3</v>
      </c>
      <c r="K550" t="s">
        <v>20</v>
      </c>
      <c r="L550" s="7">
        <v>81900</v>
      </c>
      <c r="M550" s="7">
        <v>4800</v>
      </c>
      <c r="N550" s="7">
        <v>86700</v>
      </c>
      <c r="O550" t="s">
        <v>30</v>
      </c>
      <c r="P550" s="3">
        <v>41480</v>
      </c>
      <c r="Q550" t="s">
        <v>28</v>
      </c>
    </row>
    <row r="551" spans="1:17" x14ac:dyDescent="0.35">
      <c r="A551" t="s">
        <v>603</v>
      </c>
      <c r="B551" t="s">
        <v>23</v>
      </c>
      <c r="C551">
        <v>43</v>
      </c>
      <c r="D551" t="s">
        <v>41</v>
      </c>
      <c r="E551" t="s">
        <v>67</v>
      </c>
      <c r="F551" t="s">
        <v>19</v>
      </c>
      <c r="G551">
        <v>10.5</v>
      </c>
      <c r="H551">
        <v>5.3</v>
      </c>
      <c r="I551" t="str" cm="1">
        <f t="array" ref="I551">_xlfn.IFS(G551&lt;3, "0–2 Years", G551&lt;6, "3–5 Years", G551&lt;9, "6–8 Years", G551&lt;12, "9-11 Years", G551&gt;=12, "12-14 Years")</f>
        <v>9-11 Years</v>
      </c>
      <c r="J551">
        <v>3</v>
      </c>
      <c r="K551" t="s">
        <v>20</v>
      </c>
      <c r="L551">
        <v>69800</v>
      </c>
      <c r="M551">
        <v>3500</v>
      </c>
      <c r="N551">
        <v>73300</v>
      </c>
      <c r="O551" t="s">
        <v>21</v>
      </c>
      <c r="P551" s="3">
        <v>42191</v>
      </c>
      <c r="Q551" t="s">
        <v>19</v>
      </c>
    </row>
    <row r="552" spans="1:17" x14ac:dyDescent="0.35">
      <c r="A552" t="s">
        <v>604</v>
      </c>
      <c r="B552" t="s">
        <v>23</v>
      </c>
      <c r="C552">
        <v>32</v>
      </c>
      <c r="D552" t="s">
        <v>38</v>
      </c>
      <c r="E552" t="s">
        <v>112</v>
      </c>
      <c r="F552" t="s">
        <v>28</v>
      </c>
      <c r="G552">
        <v>8.9</v>
      </c>
      <c r="H552">
        <v>4.5</v>
      </c>
      <c r="I552" t="str" cm="1">
        <f t="array" ref="I552">_xlfn.IFS(G552&lt;3, "0–2 Years", G552&lt;6, "3–5 Years", G552&lt;9, "6–8 Years", G552&lt;12, "9-11 Years", G552&gt;=12, "12-14 Years")</f>
        <v>6–8 Years</v>
      </c>
      <c r="J552">
        <v>3</v>
      </c>
      <c r="K552" t="s">
        <v>20</v>
      </c>
      <c r="L552">
        <v>74900</v>
      </c>
      <c r="M552">
        <v>4400</v>
      </c>
      <c r="N552">
        <v>79300</v>
      </c>
      <c r="O552" t="s">
        <v>21</v>
      </c>
      <c r="P552" s="3">
        <v>42779</v>
      </c>
      <c r="Q552" t="s">
        <v>28</v>
      </c>
    </row>
    <row r="553" spans="1:17" x14ac:dyDescent="0.35">
      <c r="A553" t="s">
        <v>605</v>
      </c>
      <c r="B553" t="s">
        <v>16</v>
      </c>
      <c r="C553">
        <v>49</v>
      </c>
      <c r="D553" t="s">
        <v>38</v>
      </c>
      <c r="E553" t="s">
        <v>61</v>
      </c>
      <c r="F553" t="s">
        <v>28</v>
      </c>
      <c r="G553">
        <v>9.4</v>
      </c>
      <c r="H553">
        <v>6.7</v>
      </c>
      <c r="I553" t="str" cm="1">
        <f t="array" ref="I553">_xlfn.IFS(G553&lt;3, "0–2 Years", G553&lt;6, "3–5 Years", G553&lt;9, "6–8 Years", G553&lt;12, "9-11 Years", G553&gt;=12, "12-14 Years")</f>
        <v>9-11 Years</v>
      </c>
      <c r="J553">
        <v>4</v>
      </c>
      <c r="K553" t="s">
        <v>24</v>
      </c>
      <c r="L553">
        <v>71700</v>
      </c>
      <c r="M553">
        <v>7500</v>
      </c>
      <c r="N553">
        <v>79200</v>
      </c>
      <c r="O553" t="s">
        <v>21</v>
      </c>
      <c r="P553" s="3">
        <v>42574</v>
      </c>
      <c r="Q553" t="s">
        <v>28</v>
      </c>
    </row>
    <row r="554" spans="1:17" x14ac:dyDescent="0.35">
      <c r="A554" t="s">
        <v>606</v>
      </c>
      <c r="B554" t="s">
        <v>16</v>
      </c>
      <c r="C554">
        <v>38</v>
      </c>
      <c r="D554" t="s">
        <v>41</v>
      </c>
      <c r="E554" t="s">
        <v>67</v>
      </c>
      <c r="F554" t="s">
        <v>28</v>
      </c>
      <c r="G554">
        <v>8.4</v>
      </c>
      <c r="H554">
        <v>2.4</v>
      </c>
      <c r="I554" t="str" cm="1">
        <f t="array" ref="I554">_xlfn.IFS(G554&lt;3, "0–2 Years", G554&lt;6, "3–5 Years", G554&lt;9, "6–8 Years", G554&lt;12, "9-11 Years", G554&gt;=12, "12-14 Years")</f>
        <v>6–8 Years</v>
      </c>
      <c r="J554">
        <v>2</v>
      </c>
      <c r="K554" t="s">
        <v>20</v>
      </c>
      <c r="L554">
        <v>72000</v>
      </c>
      <c r="M554">
        <v>4600</v>
      </c>
      <c r="N554">
        <v>76600</v>
      </c>
      <c r="O554" t="s">
        <v>21</v>
      </c>
      <c r="P554" s="3">
        <v>42970</v>
      </c>
      <c r="Q554" t="s">
        <v>28</v>
      </c>
    </row>
    <row r="555" spans="1:17" x14ac:dyDescent="0.35">
      <c r="A555" t="s">
        <v>607</v>
      </c>
      <c r="B555" t="s">
        <v>16</v>
      </c>
      <c r="C555">
        <v>25</v>
      </c>
      <c r="D555" t="s">
        <v>17</v>
      </c>
      <c r="E555" t="s">
        <v>32</v>
      </c>
      <c r="F555" t="s">
        <v>36</v>
      </c>
      <c r="G555">
        <v>9.1</v>
      </c>
      <c r="H555">
        <v>4.3</v>
      </c>
      <c r="I555" t="str" cm="1">
        <f t="array" ref="I555">_xlfn.IFS(G555&lt;3, "0–2 Years", G555&lt;6, "3–5 Years", G555&lt;9, "6–8 Years", G555&lt;12, "9-11 Years", G555&gt;=12, "12-14 Years")</f>
        <v>9-11 Years</v>
      </c>
      <c r="J555">
        <v>4</v>
      </c>
      <c r="K555" t="s">
        <v>20</v>
      </c>
      <c r="L555">
        <v>78700</v>
      </c>
      <c r="M555">
        <v>9400</v>
      </c>
      <c r="N555">
        <v>88100</v>
      </c>
      <c r="O555" t="s">
        <v>21</v>
      </c>
      <c r="P555" s="3">
        <v>42687</v>
      </c>
      <c r="Q555" t="s">
        <v>36</v>
      </c>
    </row>
    <row r="556" spans="1:17" x14ac:dyDescent="0.35">
      <c r="A556" t="s">
        <v>608</v>
      </c>
      <c r="B556" t="s">
        <v>23</v>
      </c>
      <c r="C556" s="7">
        <v>44</v>
      </c>
      <c r="D556" t="s">
        <v>34</v>
      </c>
      <c r="E556" t="s">
        <v>35</v>
      </c>
      <c r="F556" t="s">
        <v>28</v>
      </c>
      <c r="G556" s="9">
        <v>13.5</v>
      </c>
      <c r="H556" s="7">
        <v>9.6</v>
      </c>
      <c r="I556" t="str" cm="1">
        <f t="array" ref="I556">_xlfn.IFS(G556&lt;3, "0–2 Years", G556&lt;6, "3–5 Years", G556&lt;9, "6–8 Years", G556&lt;12, "9-11 Years", G556&gt;=12, "12-14 Years")</f>
        <v>12-14 Years</v>
      </c>
      <c r="J556" s="7">
        <v>2</v>
      </c>
      <c r="K556" t="s">
        <v>20</v>
      </c>
      <c r="L556" s="7">
        <v>86600</v>
      </c>
      <c r="M556" s="7">
        <v>5700</v>
      </c>
      <c r="N556" s="7">
        <v>92300</v>
      </c>
      <c r="O556" t="s">
        <v>30</v>
      </c>
      <c r="P556" s="3">
        <v>41080</v>
      </c>
      <c r="Q556" t="s">
        <v>28</v>
      </c>
    </row>
    <row r="557" spans="1:17" x14ac:dyDescent="0.35">
      <c r="A557" t="s">
        <v>609</v>
      </c>
      <c r="B557" t="s">
        <v>16</v>
      </c>
      <c r="C557">
        <v>40</v>
      </c>
      <c r="D557" t="s">
        <v>38</v>
      </c>
      <c r="E557" t="s">
        <v>112</v>
      </c>
      <c r="F557" t="s">
        <v>28</v>
      </c>
      <c r="G557">
        <v>2.9</v>
      </c>
      <c r="H557">
        <v>0.8</v>
      </c>
      <c r="I557" t="str" cm="1">
        <f t="array" ref="I557">_xlfn.IFS(G557&lt;3, "0–2 Years", G557&lt;6, "3–5 Years", G557&lt;9, "6–8 Years", G557&lt;12, "9-11 Years", G557&gt;=12, "12-14 Years")</f>
        <v>0–2 Years</v>
      </c>
      <c r="J557">
        <v>3</v>
      </c>
      <c r="K557" t="s">
        <v>20</v>
      </c>
      <c r="L557">
        <v>57200</v>
      </c>
      <c r="M557">
        <v>5700</v>
      </c>
      <c r="N557">
        <v>62900</v>
      </c>
      <c r="O557" t="s">
        <v>25</v>
      </c>
      <c r="P557" s="3">
        <v>44955</v>
      </c>
      <c r="Q557" t="s">
        <v>28</v>
      </c>
    </row>
    <row r="558" spans="1:17" x14ac:dyDescent="0.35">
      <c r="A558" t="s">
        <v>610</v>
      </c>
      <c r="B558" t="s">
        <v>16</v>
      </c>
      <c r="C558">
        <v>48</v>
      </c>
      <c r="D558" t="s">
        <v>44</v>
      </c>
      <c r="E558" t="s">
        <v>51</v>
      </c>
      <c r="F558" t="s">
        <v>28</v>
      </c>
      <c r="G558">
        <v>4.7</v>
      </c>
      <c r="H558">
        <v>0.2</v>
      </c>
      <c r="I558" t="str" cm="1">
        <f t="array" ref="I558">_xlfn.IFS(G558&lt;3, "0–2 Years", G558&lt;6, "3–5 Years", G558&lt;9, "6–8 Years", G558&lt;12, "9-11 Years", G558&gt;=12, "12-14 Years")</f>
        <v>3–5 Years</v>
      </c>
      <c r="J558">
        <v>1</v>
      </c>
      <c r="K558" t="s">
        <v>20</v>
      </c>
      <c r="L558">
        <v>71800</v>
      </c>
      <c r="M558">
        <v>10200</v>
      </c>
      <c r="N558">
        <v>82000</v>
      </c>
      <c r="O558" t="s">
        <v>21</v>
      </c>
      <c r="P558" s="3">
        <v>44299</v>
      </c>
      <c r="Q558" t="s">
        <v>28</v>
      </c>
    </row>
    <row r="559" spans="1:17" x14ac:dyDescent="0.35">
      <c r="A559" t="s">
        <v>611</v>
      </c>
      <c r="B559" t="s">
        <v>16</v>
      </c>
      <c r="C559">
        <v>31</v>
      </c>
      <c r="D559" t="s">
        <v>17</v>
      </c>
      <c r="E559" t="s">
        <v>18</v>
      </c>
      <c r="F559" t="s">
        <v>28</v>
      </c>
      <c r="G559">
        <v>5.6</v>
      </c>
      <c r="H559">
        <v>4.0999999999999996</v>
      </c>
      <c r="I559" t="str" cm="1">
        <f t="array" ref="I559">_xlfn.IFS(G559&lt;3, "0–2 Years", G559&lt;6, "3–5 Years", G559&lt;9, "6–8 Years", G559&lt;12, "9-11 Years", G559&gt;=12, "12-14 Years")</f>
        <v>3–5 Years</v>
      </c>
      <c r="J559">
        <v>2</v>
      </c>
      <c r="K559" t="s">
        <v>24</v>
      </c>
      <c r="L559">
        <v>60000</v>
      </c>
      <c r="M559">
        <v>3100</v>
      </c>
      <c r="N559">
        <v>63100</v>
      </c>
      <c r="O559" t="s">
        <v>25</v>
      </c>
      <c r="P559" s="3">
        <v>43962</v>
      </c>
      <c r="Q559" t="s">
        <v>28</v>
      </c>
    </row>
    <row r="560" spans="1:17" x14ac:dyDescent="0.35">
      <c r="A560" t="s">
        <v>612</v>
      </c>
      <c r="B560" t="s">
        <v>16</v>
      </c>
      <c r="C560">
        <v>30</v>
      </c>
      <c r="D560" t="s">
        <v>41</v>
      </c>
      <c r="E560" t="s">
        <v>67</v>
      </c>
      <c r="F560" t="s">
        <v>28</v>
      </c>
      <c r="G560">
        <v>8.5</v>
      </c>
      <c r="H560">
        <v>5.3</v>
      </c>
      <c r="I560" t="str" cm="1">
        <f t="array" ref="I560">_xlfn.IFS(G560&lt;3, "0–2 Years", G560&lt;6, "3–5 Years", G560&lt;9, "6–8 Years", G560&lt;12, "9-11 Years", G560&gt;=12, "12-14 Years")</f>
        <v>6–8 Years</v>
      </c>
      <c r="J560">
        <v>3</v>
      </c>
      <c r="K560" t="s">
        <v>20</v>
      </c>
      <c r="L560">
        <v>71700</v>
      </c>
      <c r="M560">
        <v>3100</v>
      </c>
      <c r="N560">
        <v>74800</v>
      </c>
      <c r="O560" t="s">
        <v>21</v>
      </c>
      <c r="P560" s="3">
        <v>42923</v>
      </c>
      <c r="Q560" t="s">
        <v>28</v>
      </c>
    </row>
    <row r="561" spans="1:17" x14ac:dyDescent="0.35">
      <c r="A561" t="s">
        <v>613</v>
      </c>
      <c r="B561" t="s">
        <v>16</v>
      </c>
      <c r="C561">
        <v>35</v>
      </c>
      <c r="D561" t="s">
        <v>44</v>
      </c>
      <c r="E561" t="s">
        <v>51</v>
      </c>
      <c r="F561" t="s">
        <v>36</v>
      </c>
      <c r="G561">
        <v>11.4</v>
      </c>
      <c r="H561">
        <v>6.6</v>
      </c>
      <c r="I561" t="str" cm="1">
        <f t="array" ref="I561">_xlfn.IFS(G561&lt;3, "0–2 Years", G561&lt;6, "3–5 Years", G561&lt;9, "6–8 Years", G561&lt;12, "9-11 Years", G561&gt;=12, "12-14 Years")</f>
        <v>9-11 Years</v>
      </c>
      <c r="J561">
        <v>4</v>
      </c>
      <c r="K561" t="s">
        <v>20</v>
      </c>
      <c r="L561">
        <v>77900</v>
      </c>
      <c r="M561">
        <v>10100</v>
      </c>
      <c r="N561">
        <v>88000</v>
      </c>
      <c r="O561" t="s">
        <v>21</v>
      </c>
      <c r="P561" s="3">
        <v>41864</v>
      </c>
      <c r="Q561" t="s">
        <v>36</v>
      </c>
    </row>
    <row r="562" spans="1:17" x14ac:dyDescent="0.35">
      <c r="A562" t="s">
        <v>614</v>
      </c>
      <c r="B562" t="s">
        <v>16</v>
      </c>
      <c r="C562" s="7">
        <v>36</v>
      </c>
      <c r="D562" t="s">
        <v>34</v>
      </c>
      <c r="E562" t="s">
        <v>35</v>
      </c>
      <c r="F562" t="s">
        <v>19</v>
      </c>
      <c r="G562" s="9">
        <v>13.8</v>
      </c>
      <c r="H562" s="7">
        <v>8.9</v>
      </c>
      <c r="I562" t="str" cm="1">
        <f t="array" ref="I562">_xlfn.IFS(G562&lt;3, "0–2 Years", G562&lt;6, "3–5 Years", G562&lt;9, "6–8 Years", G562&lt;12, "9-11 Years", G562&gt;=12, "12-14 Years")</f>
        <v>12-14 Years</v>
      </c>
      <c r="J562" s="7">
        <v>3</v>
      </c>
      <c r="K562" t="s">
        <v>69</v>
      </c>
      <c r="L562" s="7">
        <v>61800</v>
      </c>
      <c r="M562" s="7">
        <v>7000</v>
      </c>
      <c r="N562" s="7">
        <v>68800</v>
      </c>
      <c r="O562" t="s">
        <v>25</v>
      </c>
      <c r="P562" s="3">
        <v>40992</v>
      </c>
      <c r="Q562" t="s">
        <v>19</v>
      </c>
    </row>
    <row r="563" spans="1:17" x14ac:dyDescent="0.35">
      <c r="A563" t="s">
        <v>615</v>
      </c>
      <c r="B563" t="s">
        <v>23</v>
      </c>
      <c r="C563">
        <v>36</v>
      </c>
      <c r="D563" t="s">
        <v>38</v>
      </c>
      <c r="E563" t="s">
        <v>61</v>
      </c>
      <c r="F563" t="s">
        <v>36</v>
      </c>
      <c r="G563">
        <v>4.9000000000000004</v>
      </c>
      <c r="H563">
        <v>2.8</v>
      </c>
      <c r="I563" t="str" cm="1">
        <f t="array" ref="I563">_xlfn.IFS(G563&lt;3, "0–2 Years", G563&lt;6, "3–5 Years", G563&lt;9, "6–8 Years", G563&lt;12, "9-11 Years", G563&gt;=12, "12-14 Years")</f>
        <v>3–5 Years</v>
      </c>
      <c r="J563">
        <v>3</v>
      </c>
      <c r="K563" t="s">
        <v>69</v>
      </c>
      <c r="L563">
        <v>88100</v>
      </c>
      <c r="M563">
        <v>6300</v>
      </c>
      <c r="N563">
        <v>94400</v>
      </c>
      <c r="O563" t="s">
        <v>30</v>
      </c>
      <c r="P563" s="3">
        <v>44236</v>
      </c>
      <c r="Q563" t="s">
        <v>36</v>
      </c>
    </row>
    <row r="564" spans="1:17" x14ac:dyDescent="0.35">
      <c r="A564" t="s">
        <v>616</v>
      </c>
      <c r="B564" t="s">
        <v>23</v>
      </c>
      <c r="C564">
        <v>52</v>
      </c>
      <c r="D564" t="s">
        <v>55</v>
      </c>
      <c r="E564" t="s">
        <v>79</v>
      </c>
      <c r="F564" t="s">
        <v>36</v>
      </c>
      <c r="G564">
        <v>10.3</v>
      </c>
      <c r="H564">
        <v>6.1</v>
      </c>
      <c r="I564" t="str" cm="1">
        <f t="array" ref="I564">_xlfn.IFS(G564&lt;3, "0–2 Years", G564&lt;6, "3–5 Years", G564&lt;9, "6–8 Years", G564&lt;12, "9-11 Years", G564&gt;=12, "12-14 Years")</f>
        <v>9-11 Years</v>
      </c>
      <c r="J564">
        <v>1</v>
      </c>
      <c r="K564" t="s">
        <v>20</v>
      </c>
      <c r="L564">
        <v>71100</v>
      </c>
      <c r="M564">
        <v>5200</v>
      </c>
      <c r="N564">
        <v>76300</v>
      </c>
      <c r="O564" t="s">
        <v>21</v>
      </c>
      <c r="P564" s="3">
        <v>42263</v>
      </c>
      <c r="Q564" t="s">
        <v>36</v>
      </c>
    </row>
    <row r="565" spans="1:17" x14ac:dyDescent="0.35">
      <c r="A565" t="s">
        <v>617</v>
      </c>
      <c r="B565" t="s">
        <v>16</v>
      </c>
      <c r="C565">
        <v>37</v>
      </c>
      <c r="D565" t="s">
        <v>55</v>
      </c>
      <c r="E565" t="s">
        <v>92</v>
      </c>
      <c r="F565" t="s">
        <v>28</v>
      </c>
      <c r="G565">
        <v>6.9</v>
      </c>
      <c r="H565">
        <v>5.0999999999999996</v>
      </c>
      <c r="I565" t="str" cm="1">
        <f t="array" ref="I565">_xlfn.IFS(G565&lt;3, "0–2 Years", G565&lt;6, "3–5 Years", G565&lt;9, "6–8 Years", G565&lt;12, "9-11 Years", G565&gt;=12, "12-14 Years")</f>
        <v>6–8 Years</v>
      </c>
      <c r="J565">
        <v>3</v>
      </c>
      <c r="K565" t="s">
        <v>20</v>
      </c>
      <c r="L565">
        <v>109500</v>
      </c>
      <c r="M565">
        <v>21700</v>
      </c>
      <c r="N565">
        <v>131200</v>
      </c>
      <c r="O565" t="s">
        <v>57</v>
      </c>
      <c r="P565" s="3">
        <v>43507</v>
      </c>
      <c r="Q565" t="s">
        <v>28</v>
      </c>
    </row>
    <row r="566" spans="1:17" x14ac:dyDescent="0.35">
      <c r="A566" t="s">
        <v>618</v>
      </c>
      <c r="B566" t="s">
        <v>16</v>
      </c>
      <c r="C566">
        <v>32</v>
      </c>
      <c r="D566" t="s">
        <v>55</v>
      </c>
      <c r="E566" t="s">
        <v>92</v>
      </c>
      <c r="F566" t="s">
        <v>36</v>
      </c>
      <c r="G566">
        <v>10.3</v>
      </c>
      <c r="H566">
        <v>7.9</v>
      </c>
      <c r="I566" t="str" cm="1">
        <f t="array" ref="I566">_xlfn.IFS(G566&lt;3, "0–2 Years", G566&lt;6, "3–5 Years", G566&lt;9, "6–8 Years", G566&lt;12, "9-11 Years", G566&gt;=12, "12-14 Years")</f>
        <v>9-11 Years</v>
      </c>
      <c r="J566">
        <v>4</v>
      </c>
      <c r="K566" t="s">
        <v>24</v>
      </c>
      <c r="L566">
        <v>65500</v>
      </c>
      <c r="M566">
        <v>9100</v>
      </c>
      <c r="N566">
        <v>74600</v>
      </c>
      <c r="O566" t="s">
        <v>21</v>
      </c>
      <c r="P566" s="3">
        <v>42247</v>
      </c>
      <c r="Q566" t="s">
        <v>36</v>
      </c>
    </row>
    <row r="567" spans="1:17" x14ac:dyDescent="0.35">
      <c r="A567" t="s">
        <v>619</v>
      </c>
      <c r="B567" t="s">
        <v>16</v>
      </c>
      <c r="C567">
        <v>30</v>
      </c>
      <c r="D567" t="s">
        <v>55</v>
      </c>
      <c r="E567" t="s">
        <v>56</v>
      </c>
      <c r="F567" t="s">
        <v>19</v>
      </c>
      <c r="G567">
        <v>2.6</v>
      </c>
      <c r="H567">
        <v>1.4</v>
      </c>
      <c r="I567" t="str" cm="1">
        <f t="array" ref="I567">_xlfn.IFS(G567&lt;3, "0–2 Years", G567&lt;6, "3–5 Years", G567&lt;9, "6–8 Years", G567&lt;12, "9-11 Years", G567&gt;=12, "12-14 Years")</f>
        <v>0–2 Years</v>
      </c>
      <c r="J567">
        <v>3</v>
      </c>
      <c r="K567" t="s">
        <v>24</v>
      </c>
      <c r="L567">
        <v>49700</v>
      </c>
      <c r="M567">
        <v>5500</v>
      </c>
      <c r="N567">
        <v>55200</v>
      </c>
      <c r="O567" t="s">
        <v>65</v>
      </c>
      <c r="P567" s="3">
        <v>45080</v>
      </c>
      <c r="Q567" t="s">
        <v>19</v>
      </c>
    </row>
    <row r="568" spans="1:17" x14ac:dyDescent="0.35">
      <c r="A568" t="s">
        <v>620</v>
      </c>
      <c r="B568" t="s">
        <v>23</v>
      </c>
      <c r="C568" s="7">
        <v>29</v>
      </c>
      <c r="D568" t="s">
        <v>55</v>
      </c>
      <c r="E568" t="s">
        <v>79</v>
      </c>
      <c r="F568" t="s">
        <v>62</v>
      </c>
      <c r="G568" s="9">
        <v>13.3</v>
      </c>
      <c r="H568" s="7">
        <v>8.1</v>
      </c>
      <c r="I568" t="str" cm="1">
        <f t="array" ref="I568">_xlfn.IFS(G568&lt;3, "0–2 Years", G568&lt;6, "3–5 Years", G568&lt;9, "6–8 Years", G568&lt;12, "9-11 Years", G568&gt;=12, "12-14 Years")</f>
        <v>12-14 Years</v>
      </c>
      <c r="J568" s="7">
        <v>4</v>
      </c>
      <c r="K568" t="s">
        <v>20</v>
      </c>
      <c r="L568" s="7">
        <v>78100</v>
      </c>
      <c r="M568" s="7">
        <v>8900</v>
      </c>
      <c r="N568" s="7">
        <v>87000</v>
      </c>
      <c r="O568" t="s">
        <v>21</v>
      </c>
      <c r="P568" s="3">
        <v>41182</v>
      </c>
      <c r="Q568" t="s">
        <v>62</v>
      </c>
    </row>
    <row r="569" spans="1:17" x14ac:dyDescent="0.35">
      <c r="A569" t="s">
        <v>621</v>
      </c>
      <c r="B569" t="s">
        <v>23</v>
      </c>
      <c r="C569">
        <v>29</v>
      </c>
      <c r="D569" t="s">
        <v>34</v>
      </c>
      <c r="E569" t="s">
        <v>47</v>
      </c>
      <c r="F569" t="s">
        <v>28</v>
      </c>
      <c r="G569">
        <v>8.8000000000000007</v>
      </c>
      <c r="H569">
        <v>5.7</v>
      </c>
      <c r="I569" t="str" cm="1">
        <f t="array" ref="I569">_xlfn.IFS(G569&lt;3, "0–2 Years", G569&lt;6, "3–5 Years", G569&lt;9, "6–8 Years", G569&lt;12, "9-11 Years", G569&gt;=12, "12-14 Years")</f>
        <v>6–8 Years</v>
      </c>
      <c r="J569">
        <v>4</v>
      </c>
      <c r="K569" t="s">
        <v>20</v>
      </c>
      <c r="L569">
        <v>96800</v>
      </c>
      <c r="M569">
        <v>9400</v>
      </c>
      <c r="N569">
        <v>106200</v>
      </c>
      <c r="O569" t="s">
        <v>30</v>
      </c>
      <c r="P569" s="3">
        <v>42793</v>
      </c>
      <c r="Q569" t="s">
        <v>28</v>
      </c>
    </row>
    <row r="570" spans="1:17" x14ac:dyDescent="0.35">
      <c r="A570" t="s">
        <v>622</v>
      </c>
      <c r="B570" t="s">
        <v>16</v>
      </c>
      <c r="C570">
        <v>37</v>
      </c>
      <c r="D570" t="s">
        <v>17</v>
      </c>
      <c r="E570" t="s">
        <v>32</v>
      </c>
      <c r="F570" t="s">
        <v>36</v>
      </c>
      <c r="G570">
        <v>4.7</v>
      </c>
      <c r="H570">
        <v>2.8</v>
      </c>
      <c r="I570" t="str" cm="1">
        <f t="array" ref="I570">_xlfn.IFS(G570&lt;3, "0–2 Years", G570&lt;6, "3–5 Years", G570&lt;9, "6–8 Years", G570&lt;12, "9-11 Years", G570&gt;=12, "12-14 Years")</f>
        <v>3–5 Years</v>
      </c>
      <c r="J570">
        <v>2</v>
      </c>
      <c r="K570" t="s">
        <v>24</v>
      </c>
      <c r="L570">
        <v>40200</v>
      </c>
      <c r="M570">
        <v>2900</v>
      </c>
      <c r="N570">
        <v>43100</v>
      </c>
      <c r="O570" t="s">
        <v>65</v>
      </c>
      <c r="P570" s="3">
        <v>44315</v>
      </c>
      <c r="Q570" t="s">
        <v>36</v>
      </c>
    </row>
    <row r="571" spans="1:17" x14ac:dyDescent="0.35">
      <c r="A571" t="s">
        <v>623</v>
      </c>
      <c r="B571" t="s">
        <v>23</v>
      </c>
      <c r="C571">
        <v>32</v>
      </c>
      <c r="D571" t="s">
        <v>17</v>
      </c>
      <c r="E571" t="s">
        <v>27</v>
      </c>
      <c r="F571" t="s">
        <v>28</v>
      </c>
      <c r="G571">
        <v>3.7</v>
      </c>
      <c r="H571">
        <v>2.5</v>
      </c>
      <c r="I571" t="str" cm="1">
        <f t="array" ref="I571">_xlfn.IFS(G571&lt;3, "0–2 Years", G571&lt;6, "3–5 Years", G571&lt;9, "6–8 Years", G571&lt;12, "9-11 Years", G571&gt;=12, "12-14 Years")</f>
        <v>3–5 Years</v>
      </c>
      <c r="J571">
        <v>4</v>
      </c>
      <c r="K571" t="s">
        <v>20</v>
      </c>
      <c r="L571">
        <v>76900</v>
      </c>
      <c r="M571">
        <v>9500</v>
      </c>
      <c r="N571">
        <v>86400</v>
      </c>
      <c r="O571" t="s">
        <v>21</v>
      </c>
      <c r="P571" s="3">
        <v>44661</v>
      </c>
      <c r="Q571" t="s">
        <v>28</v>
      </c>
    </row>
    <row r="572" spans="1:17" x14ac:dyDescent="0.35">
      <c r="A572" t="s">
        <v>624</v>
      </c>
      <c r="B572" t="s">
        <v>16</v>
      </c>
      <c r="C572">
        <v>38</v>
      </c>
      <c r="D572" t="s">
        <v>34</v>
      </c>
      <c r="E572" t="s">
        <v>59</v>
      </c>
      <c r="F572" t="s">
        <v>36</v>
      </c>
      <c r="G572">
        <v>9.5</v>
      </c>
      <c r="H572">
        <v>6.7</v>
      </c>
      <c r="I572" t="str" cm="1">
        <f t="array" ref="I572">_xlfn.IFS(G572&lt;3, "0–2 Years", G572&lt;6, "3–5 Years", G572&lt;9, "6–8 Years", G572&lt;12, "9-11 Years", G572&gt;=12, "12-14 Years")</f>
        <v>9-11 Years</v>
      </c>
      <c r="J572">
        <v>3</v>
      </c>
      <c r="K572" t="s">
        <v>20</v>
      </c>
      <c r="L572">
        <v>102800</v>
      </c>
      <c r="M572">
        <v>5800</v>
      </c>
      <c r="N572">
        <v>108600</v>
      </c>
      <c r="O572" t="s">
        <v>57</v>
      </c>
      <c r="P572" s="3">
        <v>42564</v>
      </c>
      <c r="Q572" t="s">
        <v>36</v>
      </c>
    </row>
    <row r="573" spans="1:17" x14ac:dyDescent="0.35">
      <c r="A573" t="s">
        <v>625</v>
      </c>
      <c r="B573" t="s">
        <v>16</v>
      </c>
      <c r="C573">
        <v>40</v>
      </c>
      <c r="D573" t="s">
        <v>34</v>
      </c>
      <c r="E573" t="s">
        <v>59</v>
      </c>
      <c r="F573" t="s">
        <v>19</v>
      </c>
      <c r="G573">
        <v>9.6999999999999993</v>
      </c>
      <c r="H573">
        <v>6.8</v>
      </c>
      <c r="I573" t="str" cm="1">
        <f t="array" ref="I573">_xlfn.IFS(G573&lt;3, "0–2 Years", G573&lt;6, "3–5 Years", G573&lt;9, "6–8 Years", G573&lt;12, "9-11 Years", G573&gt;=12, "12-14 Years")</f>
        <v>9-11 Years</v>
      </c>
      <c r="J573">
        <v>3</v>
      </c>
      <c r="K573" t="s">
        <v>20</v>
      </c>
      <c r="L573">
        <v>105000</v>
      </c>
      <c r="M573">
        <v>10000</v>
      </c>
      <c r="N573">
        <v>115000</v>
      </c>
      <c r="O573" t="s">
        <v>57</v>
      </c>
      <c r="P573" s="3">
        <v>42486</v>
      </c>
      <c r="Q573" t="s">
        <v>19</v>
      </c>
    </row>
    <row r="574" spans="1:17" x14ac:dyDescent="0.35">
      <c r="A574" t="s">
        <v>626</v>
      </c>
      <c r="B574" t="s">
        <v>23</v>
      </c>
      <c r="C574">
        <v>31</v>
      </c>
      <c r="D574" t="s">
        <v>34</v>
      </c>
      <c r="E574" t="s">
        <v>59</v>
      </c>
      <c r="F574" t="s">
        <v>28</v>
      </c>
      <c r="G574">
        <v>7.4</v>
      </c>
      <c r="H574">
        <v>4.7</v>
      </c>
      <c r="I574" t="str" cm="1">
        <f t="array" ref="I574">_xlfn.IFS(G574&lt;3, "0–2 Years", G574&lt;6, "3–5 Years", G574&lt;9, "6–8 Years", G574&lt;12, "9-11 Years", G574&gt;=12, "12-14 Years")</f>
        <v>6–8 Years</v>
      </c>
      <c r="J574">
        <v>3</v>
      </c>
      <c r="K574" t="s">
        <v>20</v>
      </c>
      <c r="L574">
        <v>106700</v>
      </c>
      <c r="M574">
        <v>4700</v>
      </c>
      <c r="N574">
        <v>111400</v>
      </c>
      <c r="O574" t="s">
        <v>57</v>
      </c>
      <c r="P574" s="3">
        <v>43335</v>
      </c>
      <c r="Q574" t="s">
        <v>28</v>
      </c>
    </row>
    <row r="575" spans="1:17" x14ac:dyDescent="0.35">
      <c r="A575" t="s">
        <v>627</v>
      </c>
      <c r="B575" t="s">
        <v>16</v>
      </c>
      <c r="C575">
        <v>36</v>
      </c>
      <c r="D575" t="s">
        <v>55</v>
      </c>
      <c r="E575" t="s">
        <v>56</v>
      </c>
      <c r="F575" t="s">
        <v>28</v>
      </c>
      <c r="G575">
        <v>3.8</v>
      </c>
      <c r="H575">
        <v>0</v>
      </c>
      <c r="I575" t="str" cm="1">
        <f t="array" ref="I575">_xlfn.IFS(G575&lt;3, "0–2 Years", G575&lt;6, "3–5 Years", G575&lt;9, "6–8 Years", G575&lt;12, "9-11 Years", G575&gt;=12, "12-14 Years")</f>
        <v>3–5 Years</v>
      </c>
      <c r="J575">
        <v>4</v>
      </c>
      <c r="K575" t="s">
        <v>69</v>
      </c>
      <c r="L575">
        <v>73900</v>
      </c>
      <c r="M575">
        <v>7200</v>
      </c>
      <c r="N575">
        <v>81100</v>
      </c>
      <c r="O575" t="s">
        <v>21</v>
      </c>
      <c r="P575" s="3">
        <v>44642</v>
      </c>
      <c r="Q575" t="s">
        <v>28</v>
      </c>
    </row>
    <row r="576" spans="1:17" x14ac:dyDescent="0.35">
      <c r="A576" t="s">
        <v>628</v>
      </c>
      <c r="B576" t="s">
        <v>23</v>
      </c>
      <c r="C576">
        <v>36</v>
      </c>
      <c r="D576" t="s">
        <v>55</v>
      </c>
      <c r="E576" t="s">
        <v>79</v>
      </c>
      <c r="F576" t="s">
        <v>36</v>
      </c>
      <c r="G576">
        <v>4.9000000000000004</v>
      </c>
      <c r="H576">
        <v>2.7</v>
      </c>
      <c r="I576" t="str" cm="1">
        <f t="array" ref="I576">_xlfn.IFS(G576&lt;3, "0–2 Years", G576&lt;6, "3–5 Years", G576&lt;9, "6–8 Years", G576&lt;12, "9-11 Years", G576&gt;=12, "12-14 Years")</f>
        <v>3–5 Years</v>
      </c>
      <c r="J576">
        <v>2</v>
      </c>
      <c r="K576" t="s">
        <v>20</v>
      </c>
      <c r="L576">
        <v>68600</v>
      </c>
      <c r="M576">
        <v>9500</v>
      </c>
      <c r="N576">
        <v>78100</v>
      </c>
      <c r="O576" t="s">
        <v>21</v>
      </c>
      <c r="P576" s="3">
        <v>44235</v>
      </c>
      <c r="Q576" t="s">
        <v>36</v>
      </c>
    </row>
    <row r="577" spans="1:17" x14ac:dyDescent="0.35">
      <c r="A577" t="s">
        <v>629</v>
      </c>
      <c r="B577" t="s">
        <v>23</v>
      </c>
      <c r="C577">
        <v>42</v>
      </c>
      <c r="D577" t="s">
        <v>34</v>
      </c>
      <c r="E577" t="s">
        <v>47</v>
      </c>
      <c r="F577" t="s">
        <v>28</v>
      </c>
      <c r="G577">
        <v>7</v>
      </c>
      <c r="H577">
        <v>4.4000000000000004</v>
      </c>
      <c r="I577" t="str" cm="1">
        <f t="array" ref="I577">_xlfn.IFS(G577&lt;3, "0–2 Years", G577&lt;6, "3–5 Years", G577&lt;9, "6–8 Years", G577&lt;12, "9-11 Years", G577&gt;=12, "12-14 Years")</f>
        <v>6–8 Years</v>
      </c>
      <c r="J577">
        <v>2</v>
      </c>
      <c r="K577" t="s">
        <v>20</v>
      </c>
      <c r="L577">
        <v>72800</v>
      </c>
      <c r="M577">
        <v>3100</v>
      </c>
      <c r="N577">
        <v>75900</v>
      </c>
      <c r="O577" t="s">
        <v>21</v>
      </c>
      <c r="P577" s="3">
        <v>43482</v>
      </c>
      <c r="Q577" t="s">
        <v>28</v>
      </c>
    </row>
    <row r="578" spans="1:17" x14ac:dyDescent="0.35">
      <c r="A578" t="s">
        <v>630</v>
      </c>
      <c r="B578" t="s">
        <v>23</v>
      </c>
      <c r="C578">
        <v>46</v>
      </c>
      <c r="D578" t="s">
        <v>44</v>
      </c>
      <c r="E578" t="s">
        <v>81</v>
      </c>
      <c r="F578" t="s">
        <v>19</v>
      </c>
      <c r="G578">
        <v>3.6</v>
      </c>
      <c r="H578">
        <v>2.9</v>
      </c>
      <c r="I578" t="str" cm="1">
        <f t="array" ref="I578">_xlfn.IFS(G578&lt;3, "0–2 Years", G578&lt;6, "3–5 Years", G578&lt;9, "6–8 Years", G578&lt;12, "9-11 Years", G578&gt;=12, "12-14 Years")</f>
        <v>3–5 Years</v>
      </c>
      <c r="J578">
        <v>4</v>
      </c>
      <c r="K578" t="s">
        <v>20</v>
      </c>
      <c r="L578">
        <v>95100</v>
      </c>
      <c r="M578">
        <v>14300</v>
      </c>
      <c r="N578">
        <v>109400</v>
      </c>
      <c r="O578" t="s">
        <v>30</v>
      </c>
      <c r="P578" s="3">
        <v>44714</v>
      </c>
      <c r="Q578" t="s">
        <v>19</v>
      </c>
    </row>
    <row r="579" spans="1:17" x14ac:dyDescent="0.35">
      <c r="A579" t="s">
        <v>631</v>
      </c>
      <c r="B579" t="s">
        <v>16</v>
      </c>
      <c r="C579">
        <v>29</v>
      </c>
      <c r="D579" t="s">
        <v>55</v>
      </c>
      <c r="E579" t="s">
        <v>79</v>
      </c>
      <c r="F579" t="s">
        <v>28</v>
      </c>
      <c r="G579">
        <v>1.8</v>
      </c>
      <c r="H579">
        <v>0</v>
      </c>
      <c r="I579" t="str" cm="1">
        <f t="array" ref="I579">_xlfn.IFS(G579&lt;3, "0–2 Years", G579&lt;6, "3–5 Years", G579&lt;9, "6–8 Years", G579&lt;12, "9-11 Years", G579&gt;=12, "12-14 Years")</f>
        <v>0–2 Years</v>
      </c>
      <c r="J579">
        <v>3</v>
      </c>
      <c r="K579" t="s">
        <v>20</v>
      </c>
      <c r="L579">
        <v>66900</v>
      </c>
      <c r="M579">
        <v>7700</v>
      </c>
      <c r="N579">
        <v>74600</v>
      </c>
      <c r="O579" t="s">
        <v>21</v>
      </c>
      <c r="P579" s="3">
        <v>45360</v>
      </c>
      <c r="Q579" t="s">
        <v>28</v>
      </c>
    </row>
    <row r="580" spans="1:17" x14ac:dyDescent="0.35">
      <c r="A580" t="s">
        <v>632</v>
      </c>
      <c r="B580" t="s">
        <v>23</v>
      </c>
      <c r="C580" s="7">
        <v>27</v>
      </c>
      <c r="D580" t="s">
        <v>17</v>
      </c>
      <c r="E580" t="s">
        <v>27</v>
      </c>
      <c r="F580" t="s">
        <v>28</v>
      </c>
      <c r="G580" s="9">
        <v>12.2</v>
      </c>
      <c r="H580" s="7">
        <v>8.6999999999999993</v>
      </c>
      <c r="I580" t="str" cm="1">
        <f t="array" ref="I580">_xlfn.IFS(G580&lt;3, "0–2 Years", G580&lt;6, "3–5 Years", G580&lt;9, "6–8 Years", G580&lt;12, "9-11 Years", G580&gt;=12, "12-14 Years")</f>
        <v>12-14 Years</v>
      </c>
      <c r="J580" s="7">
        <v>3</v>
      </c>
      <c r="K580" t="s">
        <v>69</v>
      </c>
      <c r="L580" s="7">
        <v>65500</v>
      </c>
      <c r="M580" s="7">
        <v>6300</v>
      </c>
      <c r="N580" s="7">
        <v>71800</v>
      </c>
      <c r="O580" t="s">
        <v>21</v>
      </c>
      <c r="P580" s="3">
        <v>41584</v>
      </c>
      <c r="Q580" t="s">
        <v>28</v>
      </c>
    </row>
    <row r="581" spans="1:17" x14ac:dyDescent="0.35">
      <c r="A581" t="s">
        <v>633</v>
      </c>
      <c r="B581" t="s">
        <v>16</v>
      </c>
      <c r="C581">
        <v>23</v>
      </c>
      <c r="D581" t="s">
        <v>55</v>
      </c>
      <c r="E581" t="s">
        <v>92</v>
      </c>
      <c r="F581" t="s">
        <v>36</v>
      </c>
      <c r="G581">
        <v>9.1999999999999993</v>
      </c>
      <c r="H581">
        <v>6.9</v>
      </c>
      <c r="I581" t="str" cm="1">
        <f t="array" ref="I581">_xlfn.IFS(G581&lt;3, "0–2 Years", G581&lt;6, "3–5 Years", G581&lt;9, "6–8 Years", G581&lt;12, "9-11 Years", G581&gt;=12, "12-14 Years")</f>
        <v>9-11 Years</v>
      </c>
      <c r="J581">
        <v>3</v>
      </c>
      <c r="K581" t="s">
        <v>20</v>
      </c>
      <c r="L581">
        <v>106000</v>
      </c>
      <c r="M581">
        <v>13300</v>
      </c>
      <c r="N581">
        <v>119300</v>
      </c>
      <c r="O581" t="s">
        <v>57</v>
      </c>
      <c r="P581" s="3">
        <v>42652</v>
      </c>
      <c r="Q581" t="s">
        <v>36</v>
      </c>
    </row>
    <row r="582" spans="1:17" x14ac:dyDescent="0.35">
      <c r="A582" t="s">
        <v>634</v>
      </c>
      <c r="B582" t="s">
        <v>16</v>
      </c>
      <c r="C582">
        <v>47</v>
      </c>
      <c r="D582" t="s">
        <v>38</v>
      </c>
      <c r="E582" t="s">
        <v>39</v>
      </c>
      <c r="F582" t="s">
        <v>36</v>
      </c>
      <c r="G582">
        <v>2.6</v>
      </c>
      <c r="H582">
        <v>2.6</v>
      </c>
      <c r="I582" t="str" cm="1">
        <f t="array" ref="I582">_xlfn.IFS(G582&lt;3, "0–2 Years", G582&lt;6, "3–5 Years", G582&lt;9, "6–8 Years", G582&lt;12, "9-11 Years", G582&gt;=12, "12-14 Years")</f>
        <v>0–2 Years</v>
      </c>
      <c r="J582">
        <v>5</v>
      </c>
      <c r="K582" t="s">
        <v>20</v>
      </c>
      <c r="L582">
        <v>86000</v>
      </c>
      <c r="M582">
        <v>4000</v>
      </c>
      <c r="N582">
        <v>90000</v>
      </c>
      <c r="O582" t="s">
        <v>30</v>
      </c>
      <c r="P582" s="3">
        <v>45059</v>
      </c>
      <c r="Q582" t="s">
        <v>36</v>
      </c>
    </row>
    <row r="583" spans="1:17" x14ac:dyDescent="0.35">
      <c r="A583" t="s">
        <v>635</v>
      </c>
      <c r="B583" t="s">
        <v>16</v>
      </c>
      <c r="C583" s="7">
        <v>29</v>
      </c>
      <c r="D583" t="s">
        <v>17</v>
      </c>
      <c r="E583" t="s">
        <v>32</v>
      </c>
      <c r="F583" t="s">
        <v>36</v>
      </c>
      <c r="G583" s="9">
        <v>12.8</v>
      </c>
      <c r="H583" s="7">
        <v>9.4</v>
      </c>
      <c r="I583" t="str" cm="1">
        <f t="array" ref="I583">_xlfn.IFS(G583&lt;3, "0–2 Years", G583&lt;6, "3–5 Years", G583&lt;9, "6–8 Years", G583&lt;12, "9-11 Years", G583&gt;=12, "12-14 Years")</f>
        <v>12-14 Years</v>
      </c>
      <c r="J583" s="7">
        <v>4</v>
      </c>
      <c r="K583" t="s">
        <v>69</v>
      </c>
      <c r="L583" s="7">
        <v>75200</v>
      </c>
      <c r="M583" s="7">
        <v>8300</v>
      </c>
      <c r="N583" s="7">
        <v>83500</v>
      </c>
      <c r="O583" t="s">
        <v>21</v>
      </c>
      <c r="P583" s="3">
        <v>41330</v>
      </c>
      <c r="Q583" t="s">
        <v>36</v>
      </c>
    </row>
    <row r="584" spans="1:17" x14ac:dyDescent="0.35">
      <c r="A584" t="s">
        <v>636</v>
      </c>
      <c r="B584" t="s">
        <v>16</v>
      </c>
      <c r="C584">
        <v>34</v>
      </c>
      <c r="D584" t="s">
        <v>34</v>
      </c>
      <c r="E584" t="s">
        <v>59</v>
      </c>
      <c r="F584" t="s">
        <v>36</v>
      </c>
      <c r="G584">
        <v>4</v>
      </c>
      <c r="H584">
        <v>3.6</v>
      </c>
      <c r="I584" t="str" cm="1">
        <f t="array" ref="I584">_xlfn.IFS(G584&lt;3, "0–2 Years", G584&lt;6, "3–5 Years", G584&lt;9, "6–8 Years", G584&lt;12, "9-11 Years", G584&gt;=12, "12-14 Years")</f>
        <v>3–5 Years</v>
      </c>
      <c r="J584">
        <v>4</v>
      </c>
      <c r="K584" t="s">
        <v>24</v>
      </c>
      <c r="L584">
        <v>72400</v>
      </c>
      <c r="M584">
        <v>6100</v>
      </c>
      <c r="N584">
        <v>78500</v>
      </c>
      <c r="O584" t="s">
        <v>21</v>
      </c>
      <c r="P584" s="3">
        <v>44561</v>
      </c>
      <c r="Q584" t="s">
        <v>36</v>
      </c>
    </row>
    <row r="585" spans="1:17" x14ac:dyDescent="0.35">
      <c r="A585" t="s">
        <v>637</v>
      </c>
      <c r="B585" t="s">
        <v>16</v>
      </c>
      <c r="C585">
        <v>51</v>
      </c>
      <c r="D585" t="s">
        <v>38</v>
      </c>
      <c r="E585" t="s">
        <v>61</v>
      </c>
      <c r="F585" t="s">
        <v>36</v>
      </c>
      <c r="G585">
        <v>3</v>
      </c>
      <c r="H585">
        <v>0.7</v>
      </c>
      <c r="I585" t="str" cm="1">
        <f t="array" ref="I585">_xlfn.IFS(G585&lt;3, "0–2 Years", G585&lt;6, "3–5 Years", G585&lt;9, "6–8 Years", G585&lt;12, "9-11 Years", G585&gt;=12, "12-14 Years")</f>
        <v>3–5 Years</v>
      </c>
      <c r="J585">
        <v>3</v>
      </c>
      <c r="K585" t="s">
        <v>20</v>
      </c>
      <c r="L585">
        <v>96100</v>
      </c>
      <c r="M585">
        <v>7900</v>
      </c>
      <c r="N585">
        <v>104000</v>
      </c>
      <c r="O585" t="s">
        <v>30</v>
      </c>
      <c r="P585" s="3">
        <v>44916</v>
      </c>
      <c r="Q585" t="s">
        <v>36</v>
      </c>
    </row>
    <row r="586" spans="1:17" x14ac:dyDescent="0.35">
      <c r="A586" t="s">
        <v>638</v>
      </c>
      <c r="B586" t="s">
        <v>23</v>
      </c>
      <c r="C586">
        <v>25</v>
      </c>
      <c r="D586" t="s">
        <v>34</v>
      </c>
      <c r="E586" t="s">
        <v>59</v>
      </c>
      <c r="F586" t="s">
        <v>28</v>
      </c>
      <c r="G586">
        <v>9.4</v>
      </c>
      <c r="H586">
        <v>5.5</v>
      </c>
      <c r="I586" t="str" cm="1">
        <f t="array" ref="I586">_xlfn.IFS(G586&lt;3, "0–2 Years", G586&lt;6, "3–5 Years", G586&lt;9, "6–8 Years", G586&lt;12, "9-11 Years", G586&gt;=12, "12-14 Years")</f>
        <v>9-11 Years</v>
      </c>
      <c r="J586">
        <v>3</v>
      </c>
      <c r="K586" t="s">
        <v>24</v>
      </c>
      <c r="L586">
        <v>63600</v>
      </c>
      <c r="M586">
        <v>4100</v>
      </c>
      <c r="N586">
        <v>67700</v>
      </c>
      <c r="O586" t="s">
        <v>25</v>
      </c>
      <c r="P586" s="3">
        <v>42586</v>
      </c>
      <c r="Q586" t="s">
        <v>28</v>
      </c>
    </row>
    <row r="587" spans="1:17" x14ac:dyDescent="0.35">
      <c r="A587" t="s">
        <v>639</v>
      </c>
      <c r="B587" t="s">
        <v>23</v>
      </c>
      <c r="C587">
        <v>30</v>
      </c>
      <c r="D587" t="s">
        <v>41</v>
      </c>
      <c r="E587" t="s">
        <v>42</v>
      </c>
      <c r="F587" t="s">
        <v>28</v>
      </c>
      <c r="G587">
        <v>6.5</v>
      </c>
      <c r="H587">
        <v>4.5999999999999996</v>
      </c>
      <c r="I587" t="str" cm="1">
        <f t="array" ref="I587">_xlfn.IFS(G587&lt;3, "0–2 Years", G587&lt;6, "3–5 Years", G587&lt;9, "6–8 Years", G587&lt;12, "9-11 Years", G587&gt;=12, "12-14 Years")</f>
        <v>6–8 Years</v>
      </c>
      <c r="J587">
        <v>2</v>
      </c>
      <c r="K587" t="s">
        <v>20</v>
      </c>
      <c r="L587">
        <v>74200</v>
      </c>
      <c r="M587">
        <v>3600</v>
      </c>
      <c r="N587">
        <v>77800</v>
      </c>
      <c r="O587" t="s">
        <v>21</v>
      </c>
      <c r="P587" s="3">
        <v>43641</v>
      </c>
      <c r="Q587" t="s">
        <v>28</v>
      </c>
    </row>
    <row r="588" spans="1:17" x14ac:dyDescent="0.35">
      <c r="A588" t="s">
        <v>640</v>
      </c>
      <c r="B588" t="s">
        <v>16</v>
      </c>
      <c r="C588">
        <v>38</v>
      </c>
      <c r="D588" t="s">
        <v>55</v>
      </c>
      <c r="E588" t="s">
        <v>56</v>
      </c>
      <c r="F588" t="s">
        <v>28</v>
      </c>
      <c r="G588">
        <v>3.4</v>
      </c>
      <c r="H588">
        <v>2.9</v>
      </c>
      <c r="I588" t="str" cm="1">
        <f t="array" ref="I588">_xlfn.IFS(G588&lt;3, "0–2 Years", G588&lt;6, "3–5 Years", G588&lt;9, "6–8 Years", G588&lt;12, "9-11 Years", G588&gt;=12, "12-14 Years")</f>
        <v>3–5 Years</v>
      </c>
      <c r="J588">
        <v>2</v>
      </c>
      <c r="K588" t="s">
        <v>20</v>
      </c>
      <c r="L588">
        <v>100200</v>
      </c>
      <c r="M588">
        <v>7500</v>
      </c>
      <c r="N588">
        <v>107700</v>
      </c>
      <c r="O588" t="s">
        <v>57</v>
      </c>
      <c r="P588" s="3">
        <v>44794</v>
      </c>
      <c r="Q588" t="s">
        <v>28</v>
      </c>
    </row>
    <row r="589" spans="1:17" x14ac:dyDescent="0.35">
      <c r="A589" t="s">
        <v>641</v>
      </c>
      <c r="B589" t="s">
        <v>23</v>
      </c>
      <c r="C589">
        <v>31</v>
      </c>
      <c r="D589" t="s">
        <v>38</v>
      </c>
      <c r="E589" t="s">
        <v>39</v>
      </c>
      <c r="F589" t="s">
        <v>19</v>
      </c>
      <c r="G589">
        <v>8.6</v>
      </c>
      <c r="H589">
        <v>5.4</v>
      </c>
      <c r="I589" t="str" cm="1">
        <f t="array" ref="I589">_xlfn.IFS(G589&lt;3, "0–2 Years", G589&lt;6, "3–5 Years", G589&lt;9, "6–8 Years", G589&lt;12, "9-11 Years", G589&gt;=12, "12-14 Years")</f>
        <v>6–8 Years</v>
      </c>
      <c r="J589">
        <v>5</v>
      </c>
      <c r="K589" t="s">
        <v>20</v>
      </c>
      <c r="L589">
        <v>79600</v>
      </c>
      <c r="M589">
        <v>5700</v>
      </c>
      <c r="N589">
        <v>85300</v>
      </c>
      <c r="O589" t="s">
        <v>21</v>
      </c>
      <c r="P589" s="3">
        <v>42886</v>
      </c>
      <c r="Q589" t="s">
        <v>19</v>
      </c>
    </row>
    <row r="590" spans="1:17" x14ac:dyDescent="0.35">
      <c r="A590" t="s">
        <v>642</v>
      </c>
      <c r="B590" t="s">
        <v>16</v>
      </c>
      <c r="C590">
        <v>45</v>
      </c>
      <c r="D590" t="s">
        <v>34</v>
      </c>
      <c r="E590" t="s">
        <v>35</v>
      </c>
      <c r="F590" t="s">
        <v>28</v>
      </c>
      <c r="G590">
        <v>1.7</v>
      </c>
      <c r="H590">
        <v>0.3</v>
      </c>
      <c r="I590" t="str" cm="1">
        <f t="array" ref="I590">_xlfn.IFS(G590&lt;3, "0–2 Years", G590&lt;6, "3–5 Years", G590&lt;9, "6–8 Years", G590&lt;12, "9-11 Years", G590&gt;=12, "12-14 Years")</f>
        <v>0–2 Years</v>
      </c>
      <c r="J590">
        <v>3</v>
      </c>
      <c r="K590" t="s">
        <v>20</v>
      </c>
      <c r="L590">
        <v>69200</v>
      </c>
      <c r="M590">
        <v>3900</v>
      </c>
      <c r="N590">
        <v>73100</v>
      </c>
      <c r="O590" t="s">
        <v>21</v>
      </c>
      <c r="P590" s="3">
        <v>45396</v>
      </c>
      <c r="Q590" t="s">
        <v>28</v>
      </c>
    </row>
    <row r="591" spans="1:17" x14ac:dyDescent="0.35">
      <c r="A591" t="s">
        <v>643</v>
      </c>
      <c r="B591" t="s">
        <v>23</v>
      </c>
      <c r="C591">
        <v>25</v>
      </c>
      <c r="D591" t="s">
        <v>41</v>
      </c>
      <c r="E591" t="s">
        <v>73</v>
      </c>
      <c r="F591" t="s">
        <v>36</v>
      </c>
      <c r="G591">
        <v>10.8</v>
      </c>
      <c r="H591">
        <v>7.8</v>
      </c>
      <c r="I591" t="str" cm="1">
        <f t="array" ref="I591">_xlfn.IFS(G591&lt;3, "0–2 Years", G591&lt;6, "3–5 Years", G591&lt;9, "6–8 Years", G591&lt;12, "9-11 Years", G591&gt;=12, "12-14 Years")</f>
        <v>9-11 Years</v>
      </c>
      <c r="J591">
        <v>4</v>
      </c>
      <c r="K591" t="s">
        <v>20</v>
      </c>
      <c r="L591">
        <v>112300</v>
      </c>
      <c r="M591">
        <v>3900</v>
      </c>
      <c r="N591">
        <v>116200</v>
      </c>
      <c r="O591" t="s">
        <v>57</v>
      </c>
      <c r="P591" s="3">
        <v>42091</v>
      </c>
      <c r="Q591" t="s">
        <v>36</v>
      </c>
    </row>
    <row r="592" spans="1:17" x14ac:dyDescent="0.35">
      <c r="A592" t="s">
        <v>644</v>
      </c>
      <c r="B592" t="s">
        <v>16</v>
      </c>
      <c r="C592">
        <v>47</v>
      </c>
      <c r="D592" t="s">
        <v>44</v>
      </c>
      <c r="E592" t="s">
        <v>51</v>
      </c>
      <c r="F592" t="s">
        <v>36</v>
      </c>
      <c r="G592">
        <v>3.2</v>
      </c>
      <c r="H592">
        <v>3.1</v>
      </c>
      <c r="I592" t="str" cm="1">
        <f t="array" ref="I592">_xlfn.IFS(G592&lt;3, "0–2 Years", G592&lt;6, "3–5 Years", G592&lt;9, "6–8 Years", G592&lt;12, "9-11 Years", G592&gt;=12, "12-14 Years")</f>
        <v>3–5 Years</v>
      </c>
      <c r="J592">
        <v>4</v>
      </c>
      <c r="K592" t="s">
        <v>69</v>
      </c>
      <c r="L592">
        <v>73400</v>
      </c>
      <c r="M592">
        <v>9900</v>
      </c>
      <c r="N592">
        <v>83300</v>
      </c>
      <c r="O592" t="s">
        <v>21</v>
      </c>
      <c r="P592" s="3">
        <v>44837</v>
      </c>
      <c r="Q592" t="s">
        <v>36</v>
      </c>
    </row>
    <row r="593" spans="1:17" x14ac:dyDescent="0.35">
      <c r="A593" t="s">
        <v>645</v>
      </c>
      <c r="B593" t="s">
        <v>23</v>
      </c>
      <c r="C593">
        <v>41</v>
      </c>
      <c r="D593" t="s">
        <v>55</v>
      </c>
      <c r="E593" t="s">
        <v>79</v>
      </c>
      <c r="F593" t="s">
        <v>19</v>
      </c>
      <c r="G593">
        <v>7.3</v>
      </c>
      <c r="H593">
        <v>4.8</v>
      </c>
      <c r="I593" t="str" cm="1">
        <f t="array" ref="I593">_xlfn.IFS(G593&lt;3, "0–2 Years", G593&lt;6, "3–5 Years", G593&lt;9, "6–8 Years", G593&lt;12, "9-11 Years", G593&gt;=12, "12-14 Years")</f>
        <v>6–8 Years</v>
      </c>
      <c r="J593">
        <v>4</v>
      </c>
      <c r="K593" t="s">
        <v>69</v>
      </c>
      <c r="L593">
        <v>48400</v>
      </c>
      <c r="M593">
        <v>6100</v>
      </c>
      <c r="N593">
        <v>54500</v>
      </c>
      <c r="O593" t="s">
        <v>65</v>
      </c>
      <c r="P593" s="3">
        <v>43355</v>
      </c>
      <c r="Q593" t="s">
        <v>19</v>
      </c>
    </row>
    <row r="594" spans="1:17" x14ac:dyDescent="0.35">
      <c r="A594" t="s">
        <v>646</v>
      </c>
      <c r="B594" t="s">
        <v>16</v>
      </c>
      <c r="C594">
        <v>49</v>
      </c>
      <c r="D594" t="s">
        <v>41</v>
      </c>
      <c r="E594" t="s">
        <v>42</v>
      </c>
      <c r="F594" t="s">
        <v>28</v>
      </c>
      <c r="G594">
        <v>11</v>
      </c>
      <c r="H594">
        <v>7.5</v>
      </c>
      <c r="I594" t="str" cm="1">
        <f t="array" ref="I594">_xlfn.IFS(G594&lt;3, "0–2 Years", G594&lt;6, "3–5 Years", G594&lt;9, "6–8 Years", G594&lt;12, "9-11 Years", G594&gt;=12, "12-14 Years")</f>
        <v>9-11 Years</v>
      </c>
      <c r="J594">
        <v>3</v>
      </c>
      <c r="K594" t="s">
        <v>20</v>
      </c>
      <c r="L594">
        <v>89200</v>
      </c>
      <c r="M594">
        <v>7600</v>
      </c>
      <c r="N594">
        <v>96800</v>
      </c>
      <c r="O594" t="s">
        <v>30</v>
      </c>
      <c r="P594" s="3">
        <v>42021</v>
      </c>
      <c r="Q594" t="s">
        <v>28</v>
      </c>
    </row>
    <row r="595" spans="1:17" x14ac:dyDescent="0.35">
      <c r="A595" t="s">
        <v>647</v>
      </c>
      <c r="B595" t="s">
        <v>23</v>
      </c>
      <c r="C595">
        <v>40</v>
      </c>
      <c r="D595" t="s">
        <v>17</v>
      </c>
      <c r="E595" t="s">
        <v>18</v>
      </c>
      <c r="F595" t="s">
        <v>62</v>
      </c>
      <c r="G595">
        <v>10.8</v>
      </c>
      <c r="H595">
        <v>6.1</v>
      </c>
      <c r="I595" t="str" cm="1">
        <f t="array" ref="I595">_xlfn.IFS(G595&lt;3, "0–2 Years", G595&lt;6, "3–5 Years", G595&lt;9, "6–8 Years", G595&lt;12, "9-11 Years", G595&gt;=12, "12-14 Years")</f>
        <v>9-11 Years</v>
      </c>
      <c r="J595">
        <v>4</v>
      </c>
      <c r="K595" t="s">
        <v>20</v>
      </c>
      <c r="L595">
        <v>124100</v>
      </c>
      <c r="M595">
        <v>14600</v>
      </c>
      <c r="N595">
        <v>138700</v>
      </c>
      <c r="O595" t="s">
        <v>57</v>
      </c>
      <c r="P595" s="3">
        <v>42062</v>
      </c>
      <c r="Q595" t="s">
        <v>62</v>
      </c>
    </row>
    <row r="596" spans="1:17" x14ac:dyDescent="0.35">
      <c r="A596" t="s">
        <v>648</v>
      </c>
      <c r="B596" t="s">
        <v>23</v>
      </c>
      <c r="C596">
        <v>46</v>
      </c>
      <c r="D596" t="s">
        <v>44</v>
      </c>
      <c r="E596" t="s">
        <v>51</v>
      </c>
      <c r="F596" t="s">
        <v>28</v>
      </c>
      <c r="G596">
        <v>7.6</v>
      </c>
      <c r="H596">
        <v>4.2</v>
      </c>
      <c r="I596" t="str" cm="1">
        <f t="array" ref="I596">_xlfn.IFS(G596&lt;3, "0–2 Years", G596&lt;6, "3–5 Years", G596&lt;9, "6–8 Years", G596&lt;12, "9-11 Years", G596&gt;=12, "12-14 Years")</f>
        <v>6–8 Years</v>
      </c>
      <c r="J596">
        <v>3</v>
      </c>
      <c r="K596" t="s">
        <v>20</v>
      </c>
      <c r="L596">
        <v>87600</v>
      </c>
      <c r="M596">
        <v>8100</v>
      </c>
      <c r="N596">
        <v>95700</v>
      </c>
      <c r="O596" t="s">
        <v>30</v>
      </c>
      <c r="P596" s="3">
        <v>43248</v>
      </c>
      <c r="Q596" t="s">
        <v>28</v>
      </c>
    </row>
    <row r="597" spans="1:17" x14ac:dyDescent="0.35">
      <c r="A597" t="s">
        <v>649</v>
      </c>
      <c r="B597" t="s">
        <v>23</v>
      </c>
      <c r="C597">
        <v>54</v>
      </c>
      <c r="D597" t="s">
        <v>55</v>
      </c>
      <c r="E597" t="s">
        <v>92</v>
      </c>
      <c r="F597" t="s">
        <v>62</v>
      </c>
      <c r="G597">
        <v>4.0999999999999996</v>
      </c>
      <c r="H597">
        <v>1.4</v>
      </c>
      <c r="I597" t="str" cm="1">
        <f t="array" ref="I597">_xlfn.IFS(G597&lt;3, "0–2 Years", G597&lt;6, "3–5 Years", G597&lt;9, "6–8 Years", G597&lt;12, "9-11 Years", G597&gt;=12, "12-14 Years")</f>
        <v>3–5 Years</v>
      </c>
      <c r="J597">
        <v>3</v>
      </c>
      <c r="K597" t="s">
        <v>20</v>
      </c>
      <c r="L597">
        <v>106700</v>
      </c>
      <c r="M597">
        <v>13100</v>
      </c>
      <c r="N597">
        <v>119800</v>
      </c>
      <c r="O597" t="s">
        <v>57</v>
      </c>
      <c r="P597" s="3">
        <v>44518</v>
      </c>
      <c r="Q597" t="s">
        <v>62</v>
      </c>
    </row>
    <row r="598" spans="1:17" x14ac:dyDescent="0.35">
      <c r="A598" t="s">
        <v>650</v>
      </c>
      <c r="B598" t="s">
        <v>16</v>
      </c>
      <c r="C598">
        <v>44</v>
      </c>
      <c r="D598" t="s">
        <v>41</v>
      </c>
      <c r="E598" t="s">
        <v>42</v>
      </c>
      <c r="F598" t="s">
        <v>36</v>
      </c>
      <c r="G598">
        <v>2.4</v>
      </c>
      <c r="H598">
        <v>2.4</v>
      </c>
      <c r="I598" t="str" cm="1">
        <f t="array" ref="I598">_xlfn.IFS(G598&lt;3, "0–2 Years", G598&lt;6, "3–5 Years", G598&lt;9, "6–8 Years", G598&lt;12, "9-11 Years", G598&gt;=12, "12-14 Years")</f>
        <v>0–2 Years</v>
      </c>
      <c r="J598">
        <v>3</v>
      </c>
      <c r="K598" t="s">
        <v>20</v>
      </c>
      <c r="L598">
        <v>81100</v>
      </c>
      <c r="M598">
        <v>5100</v>
      </c>
      <c r="N598">
        <v>86200</v>
      </c>
      <c r="O598" t="s">
        <v>30</v>
      </c>
      <c r="P598" s="3">
        <v>45147</v>
      </c>
      <c r="Q598" t="s">
        <v>36</v>
      </c>
    </row>
    <row r="599" spans="1:17" x14ac:dyDescent="0.35">
      <c r="A599" t="s">
        <v>651</v>
      </c>
      <c r="B599" t="s">
        <v>23</v>
      </c>
      <c r="C599">
        <v>43</v>
      </c>
      <c r="D599" t="s">
        <v>55</v>
      </c>
      <c r="E599" t="s">
        <v>92</v>
      </c>
      <c r="F599" t="s">
        <v>36</v>
      </c>
      <c r="G599">
        <v>10.5</v>
      </c>
      <c r="H599">
        <v>7.4</v>
      </c>
      <c r="I599" t="str" cm="1">
        <f t="array" ref="I599">_xlfn.IFS(G599&lt;3, "0–2 Years", G599&lt;6, "3–5 Years", G599&lt;9, "6–8 Years", G599&lt;12, "9-11 Years", G599&gt;=12, "12-14 Years")</f>
        <v>9-11 Years</v>
      </c>
      <c r="J599">
        <v>3</v>
      </c>
      <c r="K599" t="s">
        <v>24</v>
      </c>
      <c r="L599">
        <v>67900</v>
      </c>
      <c r="M599">
        <v>13700</v>
      </c>
      <c r="N599">
        <v>81600</v>
      </c>
      <c r="O599" t="s">
        <v>21</v>
      </c>
      <c r="P599" s="3">
        <v>42191</v>
      </c>
      <c r="Q599" t="s">
        <v>36</v>
      </c>
    </row>
    <row r="600" spans="1:17" x14ac:dyDescent="0.35">
      <c r="A600" t="s">
        <v>652</v>
      </c>
      <c r="B600" t="s">
        <v>23</v>
      </c>
      <c r="C600">
        <v>32</v>
      </c>
      <c r="D600" t="s">
        <v>38</v>
      </c>
      <c r="E600" t="s">
        <v>112</v>
      </c>
      <c r="F600" t="s">
        <v>28</v>
      </c>
      <c r="G600">
        <v>7.9</v>
      </c>
      <c r="H600">
        <v>4.5999999999999996</v>
      </c>
      <c r="I600" t="str" cm="1">
        <f t="array" ref="I600">_xlfn.IFS(G600&lt;3, "0–2 Years", G600&lt;6, "3–5 Years", G600&lt;9, "6–8 Years", G600&lt;12, "9-11 Years", G600&gt;=12, "12-14 Years")</f>
        <v>6–8 Years</v>
      </c>
      <c r="J600">
        <v>1</v>
      </c>
      <c r="K600" t="s">
        <v>24</v>
      </c>
      <c r="L600">
        <v>44900</v>
      </c>
      <c r="M600">
        <v>2500</v>
      </c>
      <c r="N600">
        <v>47400</v>
      </c>
      <c r="O600" t="s">
        <v>65</v>
      </c>
      <c r="P600" s="3">
        <v>43125</v>
      </c>
      <c r="Q600" t="s">
        <v>28</v>
      </c>
    </row>
    <row r="601" spans="1:17" x14ac:dyDescent="0.35">
      <c r="A601" t="s">
        <v>653</v>
      </c>
      <c r="B601" t="s">
        <v>16</v>
      </c>
      <c r="C601">
        <v>48</v>
      </c>
      <c r="D601" t="s">
        <v>55</v>
      </c>
      <c r="E601" t="s">
        <v>79</v>
      </c>
      <c r="F601" t="s">
        <v>28</v>
      </c>
      <c r="G601">
        <v>7.8</v>
      </c>
      <c r="H601">
        <v>5.0999999999999996</v>
      </c>
      <c r="I601" t="str" cm="1">
        <f t="array" ref="I601">_xlfn.IFS(G601&lt;3, "0–2 Years", G601&lt;6, "3–5 Years", G601&lt;9, "6–8 Years", G601&lt;12, "9-11 Years", G601&gt;=12, "12-14 Years")</f>
        <v>6–8 Years</v>
      </c>
      <c r="J601">
        <v>4</v>
      </c>
      <c r="K601" t="s">
        <v>20</v>
      </c>
      <c r="L601">
        <v>59700</v>
      </c>
      <c r="M601">
        <v>5000</v>
      </c>
      <c r="N601">
        <v>64700</v>
      </c>
      <c r="O601" t="s">
        <v>25</v>
      </c>
      <c r="P601" s="3">
        <v>43176</v>
      </c>
      <c r="Q601" t="s">
        <v>28</v>
      </c>
    </row>
    <row r="602" spans="1:17" x14ac:dyDescent="0.35">
      <c r="A602" t="s">
        <v>654</v>
      </c>
      <c r="B602" t="s">
        <v>23</v>
      </c>
      <c r="C602">
        <v>36</v>
      </c>
      <c r="D602" t="s">
        <v>34</v>
      </c>
      <c r="E602" t="s">
        <v>47</v>
      </c>
      <c r="F602" t="s">
        <v>36</v>
      </c>
      <c r="G602">
        <v>6</v>
      </c>
      <c r="H602">
        <v>1.4</v>
      </c>
      <c r="I602" t="str" cm="1">
        <f t="array" ref="I602">_xlfn.IFS(G602&lt;3, "0–2 Years", G602&lt;6, "3–5 Years", G602&lt;9, "6–8 Years", G602&lt;12, "9-11 Years", G602&gt;=12, "12-14 Years")</f>
        <v>6–8 Years</v>
      </c>
      <c r="J602">
        <v>4</v>
      </c>
      <c r="K602" t="s">
        <v>20</v>
      </c>
      <c r="L602">
        <v>91200</v>
      </c>
      <c r="M602">
        <v>9200</v>
      </c>
      <c r="N602">
        <v>100400</v>
      </c>
      <c r="O602" t="s">
        <v>30</v>
      </c>
      <c r="P602" s="3">
        <v>43829</v>
      </c>
      <c r="Q602" t="s">
        <v>36</v>
      </c>
    </row>
    <row r="603" spans="1:17" x14ac:dyDescent="0.35">
      <c r="A603" t="s">
        <v>655</v>
      </c>
      <c r="B603" t="s">
        <v>23</v>
      </c>
      <c r="C603">
        <v>35</v>
      </c>
      <c r="D603" t="s">
        <v>34</v>
      </c>
      <c r="E603" t="s">
        <v>35</v>
      </c>
      <c r="F603" t="s">
        <v>36</v>
      </c>
      <c r="G603">
        <v>10.1</v>
      </c>
      <c r="H603">
        <v>5.4</v>
      </c>
      <c r="I603" t="str" cm="1">
        <f t="array" ref="I603">_xlfn.IFS(G603&lt;3, "0–2 Years", G603&lt;6, "3–5 Years", G603&lt;9, "6–8 Years", G603&lt;12, "9-11 Years", G603&gt;=12, "12-14 Years")</f>
        <v>9-11 Years</v>
      </c>
      <c r="J603">
        <v>3</v>
      </c>
      <c r="K603" t="s">
        <v>69</v>
      </c>
      <c r="L603">
        <v>66100</v>
      </c>
      <c r="M603">
        <v>3000</v>
      </c>
      <c r="N603">
        <v>69100</v>
      </c>
      <c r="O603" t="s">
        <v>21</v>
      </c>
      <c r="P603" s="3">
        <v>42337</v>
      </c>
      <c r="Q603" t="s">
        <v>36</v>
      </c>
    </row>
    <row r="604" spans="1:17" x14ac:dyDescent="0.35">
      <c r="A604" t="s">
        <v>656</v>
      </c>
      <c r="B604" t="s">
        <v>16</v>
      </c>
      <c r="C604" s="7">
        <v>43</v>
      </c>
      <c r="D604" t="s">
        <v>38</v>
      </c>
      <c r="E604" t="s">
        <v>61</v>
      </c>
      <c r="F604" t="s">
        <v>36</v>
      </c>
      <c r="G604" s="9">
        <v>13.9</v>
      </c>
      <c r="H604" s="7">
        <v>8.6999999999999993</v>
      </c>
      <c r="I604" t="str" cm="1">
        <f t="array" ref="I604">_xlfn.IFS(G604&lt;3, "0–2 Years", G604&lt;6, "3–5 Years", G604&lt;9, "6–8 Years", G604&lt;12, "9-11 Years", G604&gt;=12, "12-14 Years")</f>
        <v>12-14 Years</v>
      </c>
      <c r="J604" s="7">
        <v>4</v>
      </c>
      <c r="K604" t="s">
        <v>20</v>
      </c>
      <c r="L604" s="7">
        <v>125000</v>
      </c>
      <c r="M604" s="7">
        <v>11800</v>
      </c>
      <c r="N604" s="7">
        <v>136800</v>
      </c>
      <c r="O604" t="s">
        <v>57</v>
      </c>
      <c r="P604" s="3">
        <v>40952</v>
      </c>
      <c r="Q604" t="s">
        <v>36</v>
      </c>
    </row>
    <row r="605" spans="1:17" x14ac:dyDescent="0.35">
      <c r="A605" t="s">
        <v>657</v>
      </c>
      <c r="B605" t="s">
        <v>16</v>
      </c>
      <c r="C605">
        <v>26</v>
      </c>
      <c r="D605" t="s">
        <v>17</v>
      </c>
      <c r="E605" t="s">
        <v>27</v>
      </c>
      <c r="F605" t="s">
        <v>36</v>
      </c>
      <c r="G605">
        <v>10.3</v>
      </c>
      <c r="H605">
        <v>4.5999999999999996</v>
      </c>
      <c r="I605" t="str" cm="1">
        <f t="array" ref="I605">_xlfn.IFS(G605&lt;3, "0–2 Years", G605&lt;6, "3–5 Years", G605&lt;9, "6–8 Years", G605&lt;12, "9-11 Years", G605&gt;=12, "12-14 Years")</f>
        <v>9-11 Years</v>
      </c>
      <c r="J605">
        <v>4</v>
      </c>
      <c r="K605" t="s">
        <v>20</v>
      </c>
      <c r="L605">
        <v>91300</v>
      </c>
      <c r="M605">
        <v>8700</v>
      </c>
      <c r="N605">
        <v>100000</v>
      </c>
      <c r="O605" t="s">
        <v>30</v>
      </c>
      <c r="P605" s="3">
        <v>42265</v>
      </c>
      <c r="Q605" t="s">
        <v>36</v>
      </c>
    </row>
    <row r="606" spans="1:17" x14ac:dyDescent="0.35">
      <c r="A606" t="s">
        <v>658</v>
      </c>
      <c r="B606" t="s">
        <v>23</v>
      </c>
      <c r="C606">
        <v>34</v>
      </c>
      <c r="D606" t="s">
        <v>41</v>
      </c>
      <c r="E606" t="s">
        <v>67</v>
      </c>
      <c r="F606" t="s">
        <v>19</v>
      </c>
      <c r="G606">
        <v>3.9</v>
      </c>
      <c r="H606">
        <v>0.9</v>
      </c>
      <c r="I606" t="str" cm="1">
        <f t="array" ref="I606">_xlfn.IFS(G606&lt;3, "0–2 Years", G606&lt;6, "3–5 Years", G606&lt;9, "6–8 Years", G606&lt;12, "9-11 Years", G606&gt;=12, "12-14 Years")</f>
        <v>3–5 Years</v>
      </c>
      <c r="J606">
        <v>2</v>
      </c>
      <c r="K606" t="s">
        <v>20</v>
      </c>
      <c r="L606">
        <v>62900</v>
      </c>
      <c r="M606">
        <v>2400</v>
      </c>
      <c r="N606">
        <v>65300</v>
      </c>
      <c r="O606" t="s">
        <v>25</v>
      </c>
      <c r="P606" s="3">
        <v>44589</v>
      </c>
      <c r="Q606" t="s">
        <v>19</v>
      </c>
    </row>
    <row r="607" spans="1:17" x14ac:dyDescent="0.35">
      <c r="A607" t="s">
        <v>659</v>
      </c>
      <c r="B607" t="s">
        <v>16</v>
      </c>
      <c r="C607">
        <v>37</v>
      </c>
      <c r="D607" t="s">
        <v>55</v>
      </c>
      <c r="E607" t="s">
        <v>92</v>
      </c>
      <c r="F607" t="s">
        <v>19</v>
      </c>
      <c r="G607">
        <v>2.8</v>
      </c>
      <c r="H607">
        <v>2.2999999999999998</v>
      </c>
      <c r="I607" t="str" cm="1">
        <f t="array" ref="I607">_xlfn.IFS(G607&lt;3, "0–2 Years", G607&lt;6, "3–5 Years", G607&lt;9, "6–8 Years", G607&lt;12, "9-11 Years", G607&gt;=12, "12-14 Years")</f>
        <v>0–2 Years</v>
      </c>
      <c r="J607">
        <v>4</v>
      </c>
      <c r="K607" t="s">
        <v>20</v>
      </c>
      <c r="L607">
        <v>96800</v>
      </c>
      <c r="M607">
        <v>19700</v>
      </c>
      <c r="N607">
        <v>116500</v>
      </c>
      <c r="O607" t="s">
        <v>30</v>
      </c>
      <c r="P607" s="3">
        <v>44990</v>
      </c>
      <c r="Q607" t="s">
        <v>19</v>
      </c>
    </row>
    <row r="608" spans="1:17" x14ac:dyDescent="0.35">
      <c r="A608" t="s">
        <v>660</v>
      </c>
      <c r="B608" t="s">
        <v>23</v>
      </c>
      <c r="C608">
        <v>42</v>
      </c>
      <c r="D608" t="s">
        <v>44</v>
      </c>
      <c r="E608" t="s">
        <v>81</v>
      </c>
      <c r="F608" t="s">
        <v>28</v>
      </c>
      <c r="G608">
        <v>4.8</v>
      </c>
      <c r="H608">
        <v>2.1</v>
      </c>
      <c r="I608" t="str" cm="1">
        <f t="array" ref="I608">_xlfn.IFS(G608&lt;3, "0–2 Years", G608&lt;6, "3–5 Years", G608&lt;9, "6–8 Years", G608&lt;12, "9-11 Years", G608&gt;=12, "12-14 Years")</f>
        <v>3–5 Years</v>
      </c>
      <c r="J608">
        <v>4</v>
      </c>
      <c r="K608" t="s">
        <v>20</v>
      </c>
      <c r="L608">
        <v>86700</v>
      </c>
      <c r="M608">
        <v>5100</v>
      </c>
      <c r="N608">
        <v>91800</v>
      </c>
      <c r="O608" t="s">
        <v>30</v>
      </c>
      <c r="P608" s="3">
        <v>44284</v>
      </c>
      <c r="Q608" t="s">
        <v>28</v>
      </c>
    </row>
    <row r="609" spans="1:17" x14ac:dyDescent="0.35">
      <c r="A609" t="s">
        <v>661</v>
      </c>
      <c r="B609" t="s">
        <v>16</v>
      </c>
      <c r="C609">
        <v>33</v>
      </c>
      <c r="D609" t="s">
        <v>55</v>
      </c>
      <c r="E609" t="s">
        <v>92</v>
      </c>
      <c r="F609" t="s">
        <v>28</v>
      </c>
      <c r="G609">
        <v>11.2</v>
      </c>
      <c r="H609">
        <v>8.4</v>
      </c>
      <c r="I609" t="str" cm="1">
        <f t="array" ref="I609">_xlfn.IFS(G609&lt;3, "0–2 Years", G609&lt;6, "3–5 Years", G609&lt;9, "6–8 Years", G609&lt;12, "9-11 Years", G609&gt;=12, "12-14 Years")</f>
        <v>9-11 Years</v>
      </c>
      <c r="J609">
        <v>4</v>
      </c>
      <c r="K609" t="s">
        <v>20</v>
      </c>
      <c r="L609">
        <v>93000</v>
      </c>
      <c r="M609">
        <v>12400</v>
      </c>
      <c r="N609">
        <v>105400</v>
      </c>
      <c r="O609" t="s">
        <v>30</v>
      </c>
      <c r="P609" s="3">
        <v>41914</v>
      </c>
      <c r="Q609" t="s">
        <v>28</v>
      </c>
    </row>
    <row r="610" spans="1:17" x14ac:dyDescent="0.35">
      <c r="A610" t="s">
        <v>662</v>
      </c>
      <c r="B610" t="s">
        <v>16</v>
      </c>
      <c r="C610">
        <v>33</v>
      </c>
      <c r="D610" t="s">
        <v>34</v>
      </c>
      <c r="E610" t="s">
        <v>35</v>
      </c>
      <c r="F610" t="s">
        <v>28</v>
      </c>
      <c r="G610">
        <v>3.5</v>
      </c>
      <c r="H610">
        <v>2</v>
      </c>
      <c r="I610" t="str" cm="1">
        <f t="array" ref="I610">_xlfn.IFS(G610&lt;3, "0–2 Years", G610&lt;6, "3–5 Years", G610&lt;9, "6–8 Years", G610&lt;12, "9-11 Years", G610&gt;=12, "12-14 Years")</f>
        <v>3–5 Years</v>
      </c>
      <c r="J610">
        <v>4</v>
      </c>
      <c r="K610" t="s">
        <v>20</v>
      </c>
      <c r="L610">
        <v>77500</v>
      </c>
      <c r="M610">
        <v>7700</v>
      </c>
      <c r="N610">
        <v>85200</v>
      </c>
      <c r="O610" t="s">
        <v>21</v>
      </c>
      <c r="P610" s="3">
        <v>44751</v>
      </c>
      <c r="Q610" t="s">
        <v>28</v>
      </c>
    </row>
    <row r="611" spans="1:17" x14ac:dyDescent="0.35">
      <c r="A611" t="s">
        <v>663</v>
      </c>
      <c r="B611" t="s">
        <v>23</v>
      </c>
      <c r="C611">
        <v>33</v>
      </c>
      <c r="D611" t="s">
        <v>41</v>
      </c>
      <c r="E611" t="s">
        <v>67</v>
      </c>
      <c r="F611" t="s">
        <v>19</v>
      </c>
      <c r="G611">
        <v>8.8000000000000007</v>
      </c>
      <c r="H611">
        <v>5.4</v>
      </c>
      <c r="I611" t="str" cm="1">
        <f t="array" ref="I611">_xlfn.IFS(G611&lt;3, "0–2 Years", G611&lt;6, "3–5 Years", G611&lt;9, "6–8 Years", G611&lt;12, "9-11 Years", G611&gt;=12, "12-14 Years")</f>
        <v>6–8 Years</v>
      </c>
      <c r="J611">
        <v>4</v>
      </c>
      <c r="K611" t="s">
        <v>20</v>
      </c>
      <c r="L611">
        <v>72100</v>
      </c>
      <c r="M611">
        <v>2300</v>
      </c>
      <c r="N611">
        <v>74400</v>
      </c>
      <c r="O611" t="s">
        <v>21</v>
      </c>
      <c r="P611" s="3">
        <v>42793</v>
      </c>
      <c r="Q611" t="s">
        <v>19</v>
      </c>
    </row>
    <row r="612" spans="1:17" x14ac:dyDescent="0.35">
      <c r="A612" t="s">
        <v>664</v>
      </c>
      <c r="B612" t="s">
        <v>23</v>
      </c>
      <c r="C612" s="7">
        <v>53</v>
      </c>
      <c r="D612" t="s">
        <v>17</v>
      </c>
      <c r="E612" t="s">
        <v>32</v>
      </c>
      <c r="F612" t="s">
        <v>28</v>
      </c>
      <c r="G612" s="9">
        <v>13.6</v>
      </c>
      <c r="H612" s="7">
        <v>7.9</v>
      </c>
      <c r="I612" t="str" cm="1">
        <f t="array" ref="I612">_xlfn.IFS(G612&lt;3, "0–2 Years", G612&lt;6, "3–5 Years", G612&lt;9, "6–8 Years", G612&lt;12, "9-11 Years", G612&gt;=12, "12-14 Years")</f>
        <v>12-14 Years</v>
      </c>
      <c r="J612" s="7">
        <v>4</v>
      </c>
      <c r="K612" t="s">
        <v>20</v>
      </c>
      <c r="L612" s="7">
        <v>69200</v>
      </c>
      <c r="M612" s="7">
        <v>7400</v>
      </c>
      <c r="N612" s="7">
        <v>76600</v>
      </c>
      <c r="O612" t="s">
        <v>21</v>
      </c>
      <c r="P612" s="3">
        <v>41044</v>
      </c>
      <c r="Q612" t="s">
        <v>28</v>
      </c>
    </row>
    <row r="613" spans="1:17" x14ac:dyDescent="0.35">
      <c r="A613" t="s">
        <v>665</v>
      </c>
      <c r="B613" t="s">
        <v>23</v>
      </c>
      <c r="C613">
        <v>30</v>
      </c>
      <c r="D613" t="s">
        <v>38</v>
      </c>
      <c r="E613" t="s">
        <v>61</v>
      </c>
      <c r="F613" t="s">
        <v>28</v>
      </c>
      <c r="G613">
        <v>1.5</v>
      </c>
      <c r="H613">
        <v>0</v>
      </c>
      <c r="I613" t="str" cm="1">
        <f t="array" ref="I613">_xlfn.IFS(G613&lt;3, "0–2 Years", G613&lt;6, "3–5 Years", G613&lt;9, "6–8 Years", G613&lt;12, "9-11 Years", G613&gt;=12, "12-14 Years")</f>
        <v>0–2 Years</v>
      </c>
      <c r="J613">
        <v>2</v>
      </c>
      <c r="K613" t="s">
        <v>20</v>
      </c>
      <c r="L613">
        <v>94200</v>
      </c>
      <c r="M613">
        <v>4300</v>
      </c>
      <c r="N613">
        <v>98500</v>
      </c>
      <c r="O613" t="s">
        <v>30</v>
      </c>
      <c r="P613" s="3">
        <v>45483</v>
      </c>
      <c r="Q613" t="s">
        <v>28</v>
      </c>
    </row>
    <row r="614" spans="1:17" x14ac:dyDescent="0.35">
      <c r="A614" t="s">
        <v>666</v>
      </c>
      <c r="B614" t="s">
        <v>23</v>
      </c>
      <c r="C614">
        <v>25</v>
      </c>
      <c r="D614" t="s">
        <v>41</v>
      </c>
      <c r="E614" t="s">
        <v>42</v>
      </c>
      <c r="F614" t="s">
        <v>36</v>
      </c>
      <c r="G614">
        <v>1.5</v>
      </c>
      <c r="H614">
        <v>1.4</v>
      </c>
      <c r="I614" t="str" cm="1">
        <f t="array" ref="I614">_xlfn.IFS(G614&lt;3, "0–2 Years", G614&lt;6, "3–5 Years", G614&lt;9, "6–8 Years", G614&lt;12, "9-11 Years", G614&gt;=12, "12-14 Years")</f>
        <v>0–2 Years</v>
      </c>
      <c r="J614">
        <v>2</v>
      </c>
      <c r="K614" t="s">
        <v>20</v>
      </c>
      <c r="L614">
        <v>72800</v>
      </c>
      <c r="M614">
        <v>3700</v>
      </c>
      <c r="N614">
        <v>76500</v>
      </c>
      <c r="O614" t="s">
        <v>21</v>
      </c>
      <c r="P614" s="3">
        <v>45457</v>
      </c>
      <c r="Q614" t="s">
        <v>36</v>
      </c>
    </row>
    <row r="615" spans="1:17" x14ac:dyDescent="0.35">
      <c r="A615" t="s">
        <v>667</v>
      </c>
      <c r="B615" t="s">
        <v>23</v>
      </c>
      <c r="C615">
        <v>33</v>
      </c>
      <c r="D615" t="s">
        <v>17</v>
      </c>
      <c r="E615" t="s">
        <v>32</v>
      </c>
      <c r="F615" t="s">
        <v>28</v>
      </c>
      <c r="G615">
        <v>6.1</v>
      </c>
      <c r="H615">
        <v>5.0999999999999996</v>
      </c>
      <c r="I615" t="str" cm="1">
        <f t="array" ref="I615">_xlfn.IFS(G615&lt;3, "0–2 Years", G615&lt;6, "3–5 Years", G615&lt;9, "6–8 Years", G615&lt;12, "9-11 Years", G615&gt;=12, "12-14 Years")</f>
        <v>6–8 Years</v>
      </c>
      <c r="J615">
        <v>3</v>
      </c>
      <c r="K615" t="s">
        <v>20</v>
      </c>
      <c r="L615">
        <v>63700</v>
      </c>
      <c r="M615">
        <v>3000</v>
      </c>
      <c r="N615">
        <v>66700</v>
      </c>
      <c r="O615" t="s">
        <v>25</v>
      </c>
      <c r="P615" s="3">
        <v>43797</v>
      </c>
      <c r="Q615" t="s">
        <v>28</v>
      </c>
    </row>
    <row r="616" spans="1:17" x14ac:dyDescent="0.35">
      <c r="A616" t="s">
        <v>668</v>
      </c>
      <c r="B616" t="s">
        <v>23</v>
      </c>
      <c r="C616">
        <v>32</v>
      </c>
      <c r="D616" t="s">
        <v>44</v>
      </c>
      <c r="E616" t="s">
        <v>76</v>
      </c>
      <c r="F616" t="s">
        <v>36</v>
      </c>
      <c r="G616">
        <v>7.5</v>
      </c>
      <c r="H616">
        <v>5.8</v>
      </c>
      <c r="I616" t="str" cm="1">
        <f t="array" ref="I616">_xlfn.IFS(G616&lt;3, "0–2 Years", G616&lt;6, "3–5 Years", G616&lt;9, "6–8 Years", G616&lt;12, "9-11 Years", G616&gt;=12, "12-14 Years")</f>
        <v>6–8 Years</v>
      </c>
      <c r="J616">
        <v>3</v>
      </c>
      <c r="K616" t="s">
        <v>20</v>
      </c>
      <c r="L616">
        <v>112100</v>
      </c>
      <c r="M616">
        <v>10600</v>
      </c>
      <c r="N616">
        <v>122700</v>
      </c>
      <c r="O616" t="s">
        <v>57</v>
      </c>
      <c r="P616" s="3">
        <v>43274</v>
      </c>
      <c r="Q616" t="s">
        <v>36</v>
      </c>
    </row>
    <row r="617" spans="1:17" x14ac:dyDescent="0.35">
      <c r="A617" t="s">
        <v>669</v>
      </c>
      <c r="B617" t="s">
        <v>23</v>
      </c>
      <c r="C617">
        <v>35</v>
      </c>
      <c r="D617" t="s">
        <v>17</v>
      </c>
      <c r="E617" t="s">
        <v>18</v>
      </c>
      <c r="F617" t="s">
        <v>28</v>
      </c>
      <c r="G617">
        <v>2.6</v>
      </c>
      <c r="H617">
        <v>2.6</v>
      </c>
      <c r="I617" t="str" cm="1">
        <f t="array" ref="I617">_xlfn.IFS(G617&lt;3, "0–2 Years", G617&lt;6, "3–5 Years", G617&lt;9, "6–8 Years", G617&lt;12, "9-11 Years", G617&gt;=12, "12-14 Years")</f>
        <v>0–2 Years</v>
      </c>
      <c r="J617">
        <v>3</v>
      </c>
      <c r="K617" t="s">
        <v>20</v>
      </c>
      <c r="L617">
        <v>89400</v>
      </c>
      <c r="M617">
        <v>5900</v>
      </c>
      <c r="N617">
        <v>95300</v>
      </c>
      <c r="O617" t="s">
        <v>30</v>
      </c>
      <c r="P617" s="3">
        <v>45088</v>
      </c>
      <c r="Q617" t="s">
        <v>28</v>
      </c>
    </row>
    <row r="618" spans="1:17" x14ac:dyDescent="0.35">
      <c r="A618" t="s">
        <v>670</v>
      </c>
      <c r="B618" t="s">
        <v>23</v>
      </c>
      <c r="C618">
        <v>42</v>
      </c>
      <c r="D618" t="s">
        <v>41</v>
      </c>
      <c r="E618" t="s">
        <v>67</v>
      </c>
      <c r="F618" t="s">
        <v>36</v>
      </c>
      <c r="G618">
        <v>10.5</v>
      </c>
      <c r="H618">
        <v>5.9</v>
      </c>
      <c r="I618" t="str" cm="1">
        <f t="array" ref="I618">_xlfn.IFS(G618&lt;3, "0–2 Years", G618&lt;6, "3–5 Years", G618&lt;9, "6–8 Years", G618&lt;12, "9-11 Years", G618&gt;=12, "12-14 Years")</f>
        <v>9-11 Years</v>
      </c>
      <c r="J618">
        <v>1</v>
      </c>
      <c r="K618" t="s">
        <v>20</v>
      </c>
      <c r="L618">
        <v>80000</v>
      </c>
      <c r="M618">
        <v>2700</v>
      </c>
      <c r="N618">
        <v>82700</v>
      </c>
      <c r="O618" t="s">
        <v>30</v>
      </c>
      <c r="P618" s="3">
        <v>42191</v>
      </c>
      <c r="Q618" t="s">
        <v>36</v>
      </c>
    </row>
    <row r="619" spans="1:17" x14ac:dyDescent="0.35">
      <c r="A619" t="s">
        <v>671</v>
      </c>
      <c r="B619" t="s">
        <v>16</v>
      </c>
      <c r="C619">
        <v>43</v>
      </c>
      <c r="D619" t="s">
        <v>38</v>
      </c>
      <c r="E619" t="s">
        <v>61</v>
      </c>
      <c r="F619" t="s">
        <v>28</v>
      </c>
      <c r="G619">
        <v>3.9</v>
      </c>
      <c r="H619">
        <v>3.9</v>
      </c>
      <c r="I619" t="str" cm="1">
        <f t="array" ref="I619">_xlfn.IFS(G619&lt;3, "0–2 Years", G619&lt;6, "3–5 Years", G619&lt;9, "6–8 Years", G619&lt;12, "9-11 Years", G619&gt;=12, "12-14 Years")</f>
        <v>3–5 Years</v>
      </c>
      <c r="J619">
        <v>4</v>
      </c>
      <c r="K619" t="s">
        <v>24</v>
      </c>
      <c r="L619">
        <v>59300</v>
      </c>
      <c r="M619">
        <v>5600</v>
      </c>
      <c r="N619">
        <v>64900</v>
      </c>
      <c r="O619" t="s">
        <v>25</v>
      </c>
      <c r="P619" s="3">
        <v>44594</v>
      </c>
      <c r="Q619" t="s">
        <v>28</v>
      </c>
    </row>
    <row r="620" spans="1:17" x14ac:dyDescent="0.35">
      <c r="A620" t="s">
        <v>672</v>
      </c>
      <c r="B620" t="s">
        <v>16</v>
      </c>
      <c r="C620" s="7">
        <v>27</v>
      </c>
      <c r="D620" t="s">
        <v>41</v>
      </c>
      <c r="E620" t="s">
        <v>73</v>
      </c>
      <c r="F620" t="s">
        <v>28</v>
      </c>
      <c r="G620" s="9">
        <v>13.7</v>
      </c>
      <c r="H620" s="7">
        <v>8.1</v>
      </c>
      <c r="I620" t="str" cm="1">
        <f t="array" ref="I620">_xlfn.IFS(G620&lt;3, "0–2 Years", G620&lt;6, "3–5 Years", G620&lt;9, "6–8 Years", G620&lt;12, "9-11 Years", G620&gt;=12, "12-14 Years")</f>
        <v>12-14 Years</v>
      </c>
      <c r="J620" s="7">
        <v>3</v>
      </c>
      <c r="K620" t="s">
        <v>20</v>
      </c>
      <c r="L620" s="7">
        <v>108500</v>
      </c>
      <c r="M620" s="7">
        <v>9700</v>
      </c>
      <c r="N620" s="7">
        <v>118200</v>
      </c>
      <c r="O620" t="s">
        <v>57</v>
      </c>
      <c r="P620" s="3">
        <v>41013</v>
      </c>
      <c r="Q620" t="s">
        <v>28</v>
      </c>
    </row>
    <row r="621" spans="1:17" x14ac:dyDescent="0.35">
      <c r="A621" t="s">
        <v>673</v>
      </c>
      <c r="B621" t="s">
        <v>16</v>
      </c>
      <c r="C621" s="7">
        <v>38</v>
      </c>
      <c r="D621" t="s">
        <v>34</v>
      </c>
      <c r="E621" t="s">
        <v>59</v>
      </c>
      <c r="F621" t="s">
        <v>28</v>
      </c>
      <c r="G621" s="9">
        <v>12.2</v>
      </c>
      <c r="H621" s="7">
        <v>9.5</v>
      </c>
      <c r="I621" t="str" cm="1">
        <f t="array" ref="I621">_xlfn.IFS(G621&lt;3, "0–2 Years", G621&lt;6, "3–5 Years", G621&lt;9, "6–8 Years", G621&lt;12, "9-11 Years", G621&gt;=12, "12-14 Years")</f>
        <v>12-14 Years</v>
      </c>
      <c r="J621" s="7">
        <v>3</v>
      </c>
      <c r="K621" t="s">
        <v>20</v>
      </c>
      <c r="L621" s="7">
        <v>97200</v>
      </c>
      <c r="M621" s="7">
        <v>7700</v>
      </c>
      <c r="N621" s="7">
        <v>104900</v>
      </c>
      <c r="O621" t="s">
        <v>30</v>
      </c>
      <c r="P621" s="3">
        <v>41584</v>
      </c>
      <c r="Q621" t="s">
        <v>28</v>
      </c>
    </row>
    <row r="622" spans="1:17" x14ac:dyDescent="0.35">
      <c r="A622" t="s">
        <v>674</v>
      </c>
      <c r="B622" t="s">
        <v>23</v>
      </c>
      <c r="C622" s="7">
        <v>35</v>
      </c>
      <c r="D622" t="s">
        <v>38</v>
      </c>
      <c r="E622" t="s">
        <v>61</v>
      </c>
      <c r="F622" t="s">
        <v>62</v>
      </c>
      <c r="G622" s="9">
        <v>12.3</v>
      </c>
      <c r="H622" s="7">
        <v>9.3000000000000007</v>
      </c>
      <c r="I622" t="str" cm="1">
        <f t="array" ref="I622">_xlfn.IFS(G622&lt;3, "0–2 Years", G622&lt;6, "3–5 Years", G622&lt;9, "6–8 Years", G622&lt;12, "9-11 Years", G622&gt;=12, "12-14 Years")</f>
        <v>12-14 Years</v>
      </c>
      <c r="J622" s="7">
        <v>4</v>
      </c>
      <c r="K622" t="s">
        <v>20</v>
      </c>
      <c r="L622" s="7">
        <v>119300</v>
      </c>
      <c r="M622" s="7">
        <v>8700</v>
      </c>
      <c r="N622" s="7">
        <v>128000</v>
      </c>
      <c r="O622" t="s">
        <v>57</v>
      </c>
      <c r="P622" s="3">
        <v>41519</v>
      </c>
      <c r="Q622" t="s">
        <v>62</v>
      </c>
    </row>
    <row r="623" spans="1:17" x14ac:dyDescent="0.35">
      <c r="A623" t="s">
        <v>675</v>
      </c>
      <c r="B623" t="s">
        <v>16</v>
      </c>
      <c r="C623">
        <v>43</v>
      </c>
      <c r="D623" t="s">
        <v>41</v>
      </c>
      <c r="E623" t="s">
        <v>67</v>
      </c>
      <c r="F623" t="s">
        <v>36</v>
      </c>
      <c r="G623">
        <v>8.6999999999999993</v>
      </c>
      <c r="H623">
        <v>5.7</v>
      </c>
      <c r="I623" t="str" cm="1">
        <f t="array" ref="I623">_xlfn.IFS(G623&lt;3, "0–2 Years", G623&lt;6, "3–5 Years", G623&lt;9, "6–8 Years", G623&lt;12, "9-11 Years", G623&gt;=12, "12-14 Years")</f>
        <v>6–8 Years</v>
      </c>
      <c r="J623">
        <v>2</v>
      </c>
      <c r="K623" t="s">
        <v>20</v>
      </c>
      <c r="L623">
        <v>74900</v>
      </c>
      <c r="M623">
        <v>5500</v>
      </c>
      <c r="N623">
        <v>80400</v>
      </c>
      <c r="O623" t="s">
        <v>21</v>
      </c>
      <c r="P623" s="3">
        <v>42849</v>
      </c>
      <c r="Q623" t="s">
        <v>36</v>
      </c>
    </row>
    <row r="624" spans="1:17" x14ac:dyDescent="0.35">
      <c r="A624" t="s">
        <v>676</v>
      </c>
      <c r="B624" t="s">
        <v>23</v>
      </c>
      <c r="C624">
        <v>25</v>
      </c>
      <c r="D624" t="s">
        <v>55</v>
      </c>
      <c r="E624" t="s">
        <v>92</v>
      </c>
      <c r="F624" t="s">
        <v>62</v>
      </c>
      <c r="G624">
        <v>9.4</v>
      </c>
      <c r="H624">
        <v>7.2</v>
      </c>
      <c r="I624" t="str" cm="1">
        <f t="array" ref="I624">_xlfn.IFS(G624&lt;3, "0–2 Years", G624&lt;6, "3–5 Years", G624&lt;9, "6–8 Years", G624&lt;12, "9-11 Years", G624&gt;=12, "12-14 Years")</f>
        <v>9-11 Years</v>
      </c>
      <c r="J624">
        <v>3</v>
      </c>
      <c r="K624" t="s">
        <v>24</v>
      </c>
      <c r="L624">
        <v>62400</v>
      </c>
      <c r="M624">
        <v>12200</v>
      </c>
      <c r="N624">
        <v>74600</v>
      </c>
      <c r="O624" t="s">
        <v>25</v>
      </c>
      <c r="P624" s="3">
        <v>42580</v>
      </c>
      <c r="Q624" t="s">
        <v>62</v>
      </c>
    </row>
    <row r="625" spans="1:17" x14ac:dyDescent="0.35">
      <c r="A625" t="s">
        <v>677</v>
      </c>
      <c r="B625" t="s">
        <v>16</v>
      </c>
      <c r="C625">
        <v>45</v>
      </c>
      <c r="D625" t="s">
        <v>34</v>
      </c>
      <c r="E625" t="s">
        <v>59</v>
      </c>
      <c r="F625" t="s">
        <v>19</v>
      </c>
      <c r="G625">
        <v>7.7</v>
      </c>
      <c r="H625">
        <v>3.6</v>
      </c>
      <c r="I625" t="str" cm="1">
        <f t="array" ref="I625">_xlfn.IFS(G625&lt;3, "0–2 Years", G625&lt;6, "3–5 Years", G625&lt;9, "6–8 Years", G625&lt;12, "9-11 Years", G625&gt;=12, "12-14 Years")</f>
        <v>6–8 Years</v>
      </c>
      <c r="J625">
        <v>2</v>
      </c>
      <c r="K625" t="s">
        <v>20</v>
      </c>
      <c r="L625">
        <v>87700</v>
      </c>
      <c r="M625">
        <v>5000</v>
      </c>
      <c r="N625">
        <v>92700</v>
      </c>
      <c r="O625" t="s">
        <v>30</v>
      </c>
      <c r="P625" s="3">
        <v>43208</v>
      </c>
      <c r="Q625" t="s">
        <v>19</v>
      </c>
    </row>
    <row r="626" spans="1:17" x14ac:dyDescent="0.35">
      <c r="A626" t="s">
        <v>678</v>
      </c>
      <c r="B626" t="s">
        <v>23</v>
      </c>
      <c r="C626" s="7">
        <v>40</v>
      </c>
      <c r="D626" t="s">
        <v>55</v>
      </c>
      <c r="E626" t="s">
        <v>92</v>
      </c>
      <c r="F626" t="s">
        <v>36</v>
      </c>
      <c r="G626" s="9">
        <v>12.2</v>
      </c>
      <c r="H626" s="7">
        <v>9.1999999999999993</v>
      </c>
      <c r="I626" t="str" cm="1">
        <f t="array" ref="I626">_xlfn.IFS(G626&lt;3, "0–2 Years", G626&lt;6, "3–5 Years", G626&lt;9, "6–8 Years", G626&lt;12, "9-11 Years", G626&gt;=12, "12-14 Years")</f>
        <v>12-14 Years</v>
      </c>
      <c r="J626" s="7">
        <v>3</v>
      </c>
      <c r="K626" t="s">
        <v>24</v>
      </c>
      <c r="L626" s="7">
        <v>68200</v>
      </c>
      <c r="M626" s="7">
        <v>12600</v>
      </c>
      <c r="N626" s="7">
        <v>80800</v>
      </c>
      <c r="O626" t="s">
        <v>21</v>
      </c>
      <c r="P626" s="3">
        <v>41552</v>
      </c>
      <c r="Q626" t="s">
        <v>36</v>
      </c>
    </row>
    <row r="627" spans="1:17" x14ac:dyDescent="0.35">
      <c r="A627" t="s">
        <v>679</v>
      </c>
      <c r="B627" t="s">
        <v>16</v>
      </c>
      <c r="C627">
        <v>40</v>
      </c>
      <c r="D627" t="s">
        <v>34</v>
      </c>
      <c r="E627" t="s">
        <v>35</v>
      </c>
      <c r="F627" t="s">
        <v>28</v>
      </c>
      <c r="G627">
        <v>9.6</v>
      </c>
      <c r="H627">
        <v>7.9</v>
      </c>
      <c r="I627" t="str" cm="1">
        <f t="array" ref="I627">_xlfn.IFS(G627&lt;3, "0–2 Years", G627&lt;6, "3–5 Years", G627&lt;9, "6–8 Years", G627&lt;12, "9-11 Years", G627&gt;=12, "12-14 Years")</f>
        <v>9-11 Years</v>
      </c>
      <c r="J627">
        <v>4</v>
      </c>
      <c r="K627" t="s">
        <v>20</v>
      </c>
      <c r="L627">
        <v>78200</v>
      </c>
      <c r="M627">
        <v>7400</v>
      </c>
      <c r="N627">
        <v>85600</v>
      </c>
      <c r="O627" t="s">
        <v>21</v>
      </c>
      <c r="P627" s="3">
        <v>42515</v>
      </c>
      <c r="Q627" t="s">
        <v>28</v>
      </c>
    </row>
    <row r="628" spans="1:17" x14ac:dyDescent="0.35">
      <c r="A628" t="s">
        <v>680</v>
      </c>
      <c r="B628" t="s">
        <v>23</v>
      </c>
      <c r="C628">
        <v>46</v>
      </c>
      <c r="D628" t="s">
        <v>44</v>
      </c>
      <c r="E628" t="s">
        <v>45</v>
      </c>
      <c r="F628" t="s">
        <v>36</v>
      </c>
      <c r="G628">
        <v>5.4</v>
      </c>
      <c r="H628">
        <v>3.1</v>
      </c>
      <c r="I628" t="str" cm="1">
        <f t="array" ref="I628">_xlfn.IFS(G628&lt;3, "0–2 Years", G628&lt;6, "3–5 Years", G628&lt;9, "6–8 Years", G628&lt;12, "9-11 Years", G628&gt;=12, "12-14 Years")</f>
        <v>3–5 Years</v>
      </c>
      <c r="J628">
        <v>4</v>
      </c>
      <c r="K628" t="s">
        <v>20</v>
      </c>
      <c r="L628">
        <v>63500</v>
      </c>
      <c r="M628">
        <v>8500</v>
      </c>
      <c r="N628">
        <v>72000</v>
      </c>
      <c r="O628" t="s">
        <v>25</v>
      </c>
      <c r="P628" s="3">
        <v>44064</v>
      </c>
      <c r="Q628" t="s">
        <v>36</v>
      </c>
    </row>
    <row r="629" spans="1:17" x14ac:dyDescent="0.35">
      <c r="A629" t="s">
        <v>681</v>
      </c>
      <c r="B629" t="s">
        <v>23</v>
      </c>
      <c r="C629">
        <v>43</v>
      </c>
      <c r="D629" t="s">
        <v>44</v>
      </c>
      <c r="E629" t="s">
        <v>76</v>
      </c>
      <c r="F629" t="s">
        <v>36</v>
      </c>
      <c r="G629">
        <v>3.5</v>
      </c>
      <c r="H629">
        <v>3</v>
      </c>
      <c r="I629" t="str" cm="1">
        <f t="array" ref="I629">_xlfn.IFS(G629&lt;3, "0–2 Years", G629&lt;6, "3–5 Years", G629&lt;9, "6–8 Years", G629&lt;12, "9-11 Years", G629&gt;=12, "12-14 Years")</f>
        <v>3–5 Years</v>
      </c>
      <c r="J629">
        <v>4</v>
      </c>
      <c r="K629" t="s">
        <v>20</v>
      </c>
      <c r="L629">
        <v>111100</v>
      </c>
      <c r="M629">
        <v>12100</v>
      </c>
      <c r="N629">
        <v>123200</v>
      </c>
      <c r="O629" t="s">
        <v>57</v>
      </c>
      <c r="P629" s="3">
        <v>44749</v>
      </c>
      <c r="Q629" t="s">
        <v>36</v>
      </c>
    </row>
    <row r="630" spans="1:17" x14ac:dyDescent="0.35">
      <c r="A630" t="s">
        <v>682</v>
      </c>
      <c r="B630" t="s">
        <v>16</v>
      </c>
      <c r="C630">
        <v>44</v>
      </c>
      <c r="D630" t="s">
        <v>55</v>
      </c>
      <c r="E630" t="s">
        <v>92</v>
      </c>
      <c r="F630" t="s">
        <v>28</v>
      </c>
      <c r="G630">
        <v>9</v>
      </c>
      <c r="H630">
        <v>4.8</v>
      </c>
      <c r="I630" t="str" cm="1">
        <f t="array" ref="I630">_xlfn.IFS(G630&lt;3, "0–2 Years", G630&lt;6, "3–5 Years", G630&lt;9, "6–8 Years", G630&lt;12, "9-11 Years", G630&gt;=12, "12-14 Years")</f>
        <v>9-11 Years</v>
      </c>
      <c r="J630">
        <v>4</v>
      </c>
      <c r="K630" t="s">
        <v>24</v>
      </c>
      <c r="L630">
        <v>52100</v>
      </c>
      <c r="M630">
        <v>4100</v>
      </c>
      <c r="N630">
        <v>56200</v>
      </c>
      <c r="O630" t="s">
        <v>25</v>
      </c>
      <c r="P630" s="3">
        <v>42748</v>
      </c>
      <c r="Q630" t="s">
        <v>28</v>
      </c>
    </row>
    <row r="631" spans="1:17" x14ac:dyDescent="0.35">
      <c r="A631" t="s">
        <v>683</v>
      </c>
      <c r="B631" t="s">
        <v>16</v>
      </c>
      <c r="C631">
        <v>39</v>
      </c>
      <c r="D631" t="s">
        <v>44</v>
      </c>
      <c r="E631" t="s">
        <v>45</v>
      </c>
      <c r="F631" t="s">
        <v>28</v>
      </c>
      <c r="G631">
        <v>5.4</v>
      </c>
      <c r="H631">
        <v>2.6</v>
      </c>
      <c r="I631" t="str" cm="1">
        <f t="array" ref="I631">_xlfn.IFS(G631&lt;3, "0–2 Years", G631&lt;6, "3–5 Years", G631&lt;9, "6–8 Years", G631&lt;12, "9-11 Years", G631&gt;=12, "12-14 Years")</f>
        <v>3–5 Years</v>
      </c>
      <c r="J631">
        <v>3</v>
      </c>
      <c r="K631" t="s">
        <v>20</v>
      </c>
      <c r="L631">
        <v>76200</v>
      </c>
      <c r="M631">
        <v>10300</v>
      </c>
      <c r="N631">
        <v>86500</v>
      </c>
      <c r="O631" t="s">
        <v>21</v>
      </c>
      <c r="P631" s="3">
        <v>44052</v>
      </c>
      <c r="Q631" t="s">
        <v>28</v>
      </c>
    </row>
    <row r="632" spans="1:17" x14ac:dyDescent="0.35">
      <c r="A632" t="s">
        <v>684</v>
      </c>
      <c r="B632" t="s">
        <v>23</v>
      </c>
      <c r="C632">
        <v>26</v>
      </c>
      <c r="D632" t="s">
        <v>55</v>
      </c>
      <c r="E632" t="s">
        <v>79</v>
      </c>
      <c r="F632" t="s">
        <v>28</v>
      </c>
      <c r="G632">
        <v>8.5</v>
      </c>
      <c r="H632">
        <v>7.6</v>
      </c>
      <c r="I632" t="str" cm="1">
        <f t="array" ref="I632">_xlfn.IFS(G632&lt;3, "0–2 Years", G632&lt;6, "3–5 Years", G632&lt;9, "6–8 Years", G632&lt;12, "9-11 Years", G632&gt;=12, "12-14 Years")</f>
        <v>6–8 Years</v>
      </c>
      <c r="J632">
        <v>5</v>
      </c>
      <c r="K632" t="s">
        <v>20</v>
      </c>
      <c r="L632">
        <v>64500</v>
      </c>
      <c r="M632">
        <v>8500</v>
      </c>
      <c r="N632">
        <v>73000</v>
      </c>
      <c r="O632" t="s">
        <v>25</v>
      </c>
      <c r="P632" s="3">
        <v>42927</v>
      </c>
      <c r="Q632" t="s">
        <v>28</v>
      </c>
    </row>
    <row r="633" spans="1:17" x14ac:dyDescent="0.35">
      <c r="A633" t="s">
        <v>685</v>
      </c>
      <c r="B633" t="s">
        <v>16</v>
      </c>
      <c r="C633" s="7">
        <v>23</v>
      </c>
      <c r="D633" t="s">
        <v>55</v>
      </c>
      <c r="E633" t="s">
        <v>79</v>
      </c>
      <c r="F633" t="s">
        <v>36</v>
      </c>
      <c r="G633" s="9">
        <v>13.8</v>
      </c>
      <c r="H633" s="7">
        <v>7.8</v>
      </c>
      <c r="I633" t="str" cm="1">
        <f t="array" ref="I633">_xlfn.IFS(G633&lt;3, "0–2 Years", G633&lt;6, "3–5 Years", G633&lt;9, "6–8 Years", G633&lt;12, "9-11 Years", G633&gt;=12, "12-14 Years")</f>
        <v>12-14 Years</v>
      </c>
      <c r="J633" s="7">
        <v>4</v>
      </c>
      <c r="K633" t="s">
        <v>20</v>
      </c>
      <c r="L633" s="7">
        <v>78100</v>
      </c>
      <c r="M633" s="7">
        <v>12700</v>
      </c>
      <c r="N633" s="7">
        <v>90800</v>
      </c>
      <c r="O633" t="s">
        <v>21</v>
      </c>
      <c r="P633" s="3">
        <v>40974</v>
      </c>
      <c r="Q633" t="s">
        <v>36</v>
      </c>
    </row>
    <row r="634" spans="1:17" x14ac:dyDescent="0.35">
      <c r="A634" t="s">
        <v>686</v>
      </c>
      <c r="B634" t="s">
        <v>16</v>
      </c>
      <c r="C634">
        <v>35</v>
      </c>
      <c r="D634" t="s">
        <v>55</v>
      </c>
      <c r="E634" t="s">
        <v>79</v>
      </c>
      <c r="F634" t="s">
        <v>36</v>
      </c>
      <c r="G634">
        <v>2.2999999999999998</v>
      </c>
      <c r="H634">
        <v>0.5</v>
      </c>
      <c r="I634" t="str" cm="1">
        <f t="array" ref="I634">_xlfn.IFS(G634&lt;3, "0–2 Years", G634&lt;6, "3–5 Years", G634&lt;9, "6–8 Years", G634&lt;12, "9-11 Years", G634&gt;=12, "12-14 Years")</f>
        <v>0–2 Years</v>
      </c>
      <c r="J634">
        <v>2</v>
      </c>
      <c r="K634" t="s">
        <v>20</v>
      </c>
      <c r="L634">
        <v>56900</v>
      </c>
      <c r="M634">
        <v>7500</v>
      </c>
      <c r="N634">
        <v>64400</v>
      </c>
      <c r="O634" t="s">
        <v>25</v>
      </c>
      <c r="P634" s="3">
        <v>45171</v>
      </c>
      <c r="Q634" t="s">
        <v>36</v>
      </c>
    </row>
    <row r="635" spans="1:17" x14ac:dyDescent="0.35">
      <c r="A635" t="s">
        <v>687</v>
      </c>
      <c r="B635" t="s">
        <v>23</v>
      </c>
      <c r="C635">
        <v>29</v>
      </c>
      <c r="D635" t="s">
        <v>17</v>
      </c>
      <c r="E635" t="s">
        <v>27</v>
      </c>
      <c r="F635" t="s">
        <v>36</v>
      </c>
      <c r="G635">
        <v>6.7</v>
      </c>
      <c r="H635">
        <v>3.2</v>
      </c>
      <c r="I635" t="str" cm="1">
        <f t="array" ref="I635">_xlfn.IFS(G635&lt;3, "0–2 Years", G635&lt;6, "3–5 Years", G635&lt;9, "6–8 Years", G635&lt;12, "9-11 Years", G635&gt;=12, "12-14 Years")</f>
        <v>6–8 Years</v>
      </c>
      <c r="J635">
        <v>2</v>
      </c>
      <c r="K635" t="s">
        <v>24</v>
      </c>
      <c r="L635">
        <v>48800</v>
      </c>
      <c r="M635">
        <v>5500</v>
      </c>
      <c r="N635">
        <v>54300</v>
      </c>
      <c r="O635" t="s">
        <v>65</v>
      </c>
      <c r="P635" s="3">
        <v>43572</v>
      </c>
      <c r="Q635" t="s">
        <v>36</v>
      </c>
    </row>
    <row r="636" spans="1:17" x14ac:dyDescent="0.35">
      <c r="A636" t="s">
        <v>688</v>
      </c>
      <c r="B636" t="s">
        <v>23</v>
      </c>
      <c r="C636">
        <v>44</v>
      </c>
      <c r="D636" t="s">
        <v>34</v>
      </c>
      <c r="E636" t="s">
        <v>47</v>
      </c>
      <c r="F636" t="s">
        <v>28</v>
      </c>
      <c r="G636">
        <v>11.4</v>
      </c>
      <c r="H636">
        <v>8.8000000000000007</v>
      </c>
      <c r="I636" t="str" cm="1">
        <f t="array" ref="I636">_xlfn.IFS(G636&lt;3, "0–2 Years", G636&lt;6, "3–5 Years", G636&lt;9, "6–8 Years", G636&lt;12, "9-11 Years", G636&gt;=12, "12-14 Years")</f>
        <v>9-11 Years</v>
      </c>
      <c r="J636">
        <v>3</v>
      </c>
      <c r="K636" t="s">
        <v>20</v>
      </c>
      <c r="L636">
        <v>98800</v>
      </c>
      <c r="M636">
        <v>7800</v>
      </c>
      <c r="N636">
        <v>106600</v>
      </c>
      <c r="O636" t="s">
        <v>30</v>
      </c>
      <c r="P636" s="3">
        <v>41856</v>
      </c>
      <c r="Q636" t="s">
        <v>28</v>
      </c>
    </row>
    <row r="637" spans="1:17" x14ac:dyDescent="0.35">
      <c r="A637" t="s">
        <v>689</v>
      </c>
      <c r="B637" t="s">
        <v>16</v>
      </c>
      <c r="C637">
        <v>27</v>
      </c>
      <c r="D637" t="s">
        <v>38</v>
      </c>
      <c r="E637" t="s">
        <v>39</v>
      </c>
      <c r="F637" t="s">
        <v>28</v>
      </c>
      <c r="G637">
        <v>4.2</v>
      </c>
      <c r="H637">
        <v>3.5</v>
      </c>
      <c r="I637" t="str" cm="1">
        <f t="array" ref="I637">_xlfn.IFS(G637&lt;3, "0–2 Years", G637&lt;6, "3–5 Years", G637&lt;9, "6–8 Years", G637&lt;12, "9-11 Years", G637&gt;=12, "12-14 Years")</f>
        <v>3–5 Years</v>
      </c>
      <c r="J637">
        <v>3</v>
      </c>
      <c r="K637" t="s">
        <v>20</v>
      </c>
      <c r="L637">
        <v>71700</v>
      </c>
      <c r="M637">
        <v>4200</v>
      </c>
      <c r="N637">
        <v>75900</v>
      </c>
      <c r="O637" t="s">
        <v>21</v>
      </c>
      <c r="P637" s="3">
        <v>44485</v>
      </c>
      <c r="Q637" t="s">
        <v>28</v>
      </c>
    </row>
    <row r="638" spans="1:17" x14ac:dyDescent="0.35">
      <c r="A638" t="s">
        <v>690</v>
      </c>
      <c r="B638" t="s">
        <v>23</v>
      </c>
      <c r="C638">
        <v>35</v>
      </c>
      <c r="D638" t="s">
        <v>34</v>
      </c>
      <c r="E638" t="s">
        <v>47</v>
      </c>
      <c r="F638" t="s">
        <v>36</v>
      </c>
      <c r="G638">
        <v>3.2</v>
      </c>
      <c r="H638">
        <v>2.6</v>
      </c>
      <c r="I638" t="str" cm="1">
        <f t="array" ref="I638">_xlfn.IFS(G638&lt;3, "0–2 Years", G638&lt;6, "3–5 Years", G638&lt;9, "6–8 Years", G638&lt;12, "9-11 Years", G638&gt;=12, "12-14 Years")</f>
        <v>3–5 Years</v>
      </c>
      <c r="J638">
        <v>3</v>
      </c>
      <c r="K638" t="s">
        <v>20</v>
      </c>
      <c r="L638">
        <v>72900</v>
      </c>
      <c r="M638">
        <v>3200</v>
      </c>
      <c r="N638">
        <v>76100</v>
      </c>
      <c r="O638" t="s">
        <v>21</v>
      </c>
      <c r="P638" s="3">
        <v>44868</v>
      </c>
      <c r="Q638" t="s">
        <v>36</v>
      </c>
    </row>
    <row r="639" spans="1:17" x14ac:dyDescent="0.35">
      <c r="A639" t="s">
        <v>691</v>
      </c>
      <c r="B639" t="s">
        <v>16</v>
      </c>
      <c r="C639">
        <v>35</v>
      </c>
      <c r="D639" t="s">
        <v>41</v>
      </c>
      <c r="E639" t="s">
        <v>67</v>
      </c>
      <c r="G639">
        <v>5.6</v>
      </c>
      <c r="H639">
        <v>1.9</v>
      </c>
      <c r="I639" t="str" cm="1">
        <f t="array" ref="I639">_xlfn.IFS(G639&lt;3, "0–2 Years", G639&lt;6, "3–5 Years", G639&lt;9, "6–8 Years", G639&lt;12, "9-11 Years", G639&gt;=12, "12-14 Years")</f>
        <v>3–5 Years</v>
      </c>
      <c r="J639">
        <v>3</v>
      </c>
      <c r="K639" t="s">
        <v>69</v>
      </c>
      <c r="L639">
        <v>58700</v>
      </c>
      <c r="M639">
        <v>5000</v>
      </c>
      <c r="N639">
        <v>63700</v>
      </c>
      <c r="O639" t="s">
        <v>25</v>
      </c>
      <c r="P639" s="3">
        <v>43995</v>
      </c>
      <c r="Q639" t="s">
        <v>5104</v>
      </c>
    </row>
    <row r="640" spans="1:17" x14ac:dyDescent="0.35">
      <c r="A640" t="s">
        <v>692</v>
      </c>
      <c r="B640" t="s">
        <v>16</v>
      </c>
      <c r="C640">
        <v>46</v>
      </c>
      <c r="D640" t="s">
        <v>38</v>
      </c>
      <c r="E640" t="s">
        <v>39</v>
      </c>
      <c r="F640" t="s">
        <v>62</v>
      </c>
      <c r="G640">
        <v>4.0999999999999996</v>
      </c>
      <c r="H640">
        <v>1.6</v>
      </c>
      <c r="I640" t="str" cm="1">
        <f t="array" ref="I640">_xlfn.IFS(G640&lt;3, "0–2 Years", G640&lt;6, "3–5 Years", G640&lt;9, "6–8 Years", G640&lt;12, "9-11 Years", G640&gt;=12, "12-14 Years")</f>
        <v>3–5 Years</v>
      </c>
      <c r="J640">
        <v>4</v>
      </c>
      <c r="K640" t="s">
        <v>20</v>
      </c>
      <c r="L640">
        <v>84800</v>
      </c>
      <c r="M640">
        <v>8300</v>
      </c>
      <c r="N640">
        <v>93100</v>
      </c>
      <c r="O640" t="s">
        <v>30</v>
      </c>
      <c r="P640" s="3">
        <v>44514</v>
      </c>
      <c r="Q640" t="s">
        <v>62</v>
      </c>
    </row>
    <row r="641" spans="1:17" x14ac:dyDescent="0.35">
      <c r="A641" t="s">
        <v>693</v>
      </c>
      <c r="B641" t="s">
        <v>16</v>
      </c>
      <c r="C641">
        <v>36</v>
      </c>
      <c r="D641" t="s">
        <v>38</v>
      </c>
      <c r="E641" t="s">
        <v>61</v>
      </c>
      <c r="F641" t="s">
        <v>36</v>
      </c>
      <c r="G641">
        <v>9.4</v>
      </c>
      <c r="H641">
        <v>7.5</v>
      </c>
      <c r="I641" t="str" cm="1">
        <f t="array" ref="I641">_xlfn.IFS(G641&lt;3, "0–2 Years", G641&lt;6, "3–5 Years", G641&lt;9, "6–8 Years", G641&lt;12, "9-11 Years", G641&gt;=12, "12-14 Years")</f>
        <v>9-11 Years</v>
      </c>
      <c r="J641">
        <v>3</v>
      </c>
      <c r="K641" t="s">
        <v>20</v>
      </c>
      <c r="L641">
        <v>111600</v>
      </c>
      <c r="M641">
        <v>7100</v>
      </c>
      <c r="N641">
        <v>118700</v>
      </c>
      <c r="O641" t="s">
        <v>57</v>
      </c>
      <c r="P641" s="3">
        <v>42586</v>
      </c>
      <c r="Q641" t="s">
        <v>36</v>
      </c>
    </row>
    <row r="642" spans="1:17" x14ac:dyDescent="0.35">
      <c r="A642" t="s">
        <v>694</v>
      </c>
      <c r="B642" t="s">
        <v>23</v>
      </c>
      <c r="C642">
        <v>45</v>
      </c>
      <c r="D642" t="s">
        <v>41</v>
      </c>
      <c r="E642" t="s">
        <v>67</v>
      </c>
      <c r="F642" t="s">
        <v>62</v>
      </c>
      <c r="G642">
        <v>7.3</v>
      </c>
      <c r="H642">
        <v>4.3</v>
      </c>
      <c r="I642" t="str" cm="1">
        <f t="array" ref="I642">_xlfn.IFS(G642&lt;3, "0–2 Years", G642&lt;6, "3–5 Years", G642&lt;9, "6–8 Years", G642&lt;12, "9-11 Years", G642&gt;=12, "12-14 Years")</f>
        <v>6–8 Years</v>
      </c>
      <c r="J642">
        <v>2</v>
      </c>
      <c r="K642" t="s">
        <v>20</v>
      </c>
      <c r="L642">
        <v>90000</v>
      </c>
      <c r="M642">
        <v>5000</v>
      </c>
      <c r="N642">
        <v>95000</v>
      </c>
      <c r="O642" t="s">
        <v>30</v>
      </c>
      <c r="P642" s="3">
        <v>43369</v>
      </c>
      <c r="Q642" t="s">
        <v>62</v>
      </c>
    </row>
    <row r="643" spans="1:17" x14ac:dyDescent="0.35">
      <c r="A643" t="s">
        <v>695</v>
      </c>
      <c r="B643" t="s">
        <v>16</v>
      </c>
      <c r="C643">
        <v>50</v>
      </c>
      <c r="D643" t="s">
        <v>38</v>
      </c>
      <c r="E643" t="s">
        <v>61</v>
      </c>
      <c r="F643" t="s">
        <v>28</v>
      </c>
      <c r="G643">
        <v>2.9</v>
      </c>
      <c r="H643">
        <v>2.9</v>
      </c>
      <c r="I643" t="str" cm="1">
        <f t="array" ref="I643">_xlfn.IFS(G643&lt;3, "0–2 Years", G643&lt;6, "3–5 Years", G643&lt;9, "6–8 Years", G643&lt;12, "9-11 Years", G643&gt;=12, "12-14 Years")</f>
        <v>0–2 Years</v>
      </c>
      <c r="J643">
        <v>3</v>
      </c>
      <c r="K643" t="s">
        <v>20</v>
      </c>
      <c r="L643">
        <v>91900</v>
      </c>
      <c r="M643">
        <v>5200</v>
      </c>
      <c r="N643">
        <v>97100</v>
      </c>
      <c r="O643" t="s">
        <v>30</v>
      </c>
      <c r="P643" s="3">
        <v>44953</v>
      </c>
      <c r="Q643" t="s">
        <v>28</v>
      </c>
    </row>
    <row r="644" spans="1:17" x14ac:dyDescent="0.35">
      <c r="A644" t="s">
        <v>696</v>
      </c>
      <c r="B644" t="s">
        <v>23</v>
      </c>
      <c r="C644" s="7">
        <v>33</v>
      </c>
      <c r="D644" t="s">
        <v>38</v>
      </c>
      <c r="E644" t="s">
        <v>112</v>
      </c>
      <c r="F644" t="s">
        <v>28</v>
      </c>
      <c r="G644" s="9">
        <v>13.7</v>
      </c>
      <c r="H644" s="7">
        <v>9.9</v>
      </c>
      <c r="I644" t="str" cm="1">
        <f t="array" ref="I644">_xlfn.IFS(G644&lt;3, "0–2 Years", G644&lt;6, "3–5 Years", G644&lt;9, "6–8 Years", G644&lt;12, "9-11 Years", G644&gt;=12, "12-14 Years")</f>
        <v>12-14 Years</v>
      </c>
      <c r="J644" s="7">
        <v>4</v>
      </c>
      <c r="K644" t="s">
        <v>69</v>
      </c>
      <c r="L644" s="7">
        <v>54100</v>
      </c>
      <c r="M644" s="7">
        <v>4200</v>
      </c>
      <c r="N644" s="7">
        <v>58300</v>
      </c>
      <c r="O644" t="s">
        <v>25</v>
      </c>
      <c r="P644" s="3">
        <v>41030</v>
      </c>
      <c r="Q644" t="s">
        <v>28</v>
      </c>
    </row>
    <row r="645" spans="1:17" x14ac:dyDescent="0.35">
      <c r="A645" t="s">
        <v>697</v>
      </c>
      <c r="B645" t="s">
        <v>16</v>
      </c>
      <c r="C645">
        <v>22</v>
      </c>
      <c r="D645" t="s">
        <v>34</v>
      </c>
      <c r="E645" t="s">
        <v>35</v>
      </c>
      <c r="F645" t="s">
        <v>28</v>
      </c>
      <c r="G645">
        <v>4.5</v>
      </c>
      <c r="H645">
        <v>3.4</v>
      </c>
      <c r="I645" t="str" cm="1">
        <f t="array" ref="I645">_xlfn.IFS(G645&lt;3, "0–2 Years", G645&lt;6, "3–5 Years", G645&lt;9, "6–8 Years", G645&lt;12, "9-11 Years", G645&gt;=12, "12-14 Years")</f>
        <v>3–5 Years</v>
      </c>
      <c r="J645">
        <v>3</v>
      </c>
      <c r="K645" t="s">
        <v>69</v>
      </c>
      <c r="L645">
        <v>58600</v>
      </c>
      <c r="M645">
        <v>4100</v>
      </c>
      <c r="N645">
        <v>62700</v>
      </c>
      <c r="O645" t="s">
        <v>25</v>
      </c>
      <c r="P645" s="3">
        <v>44383</v>
      </c>
      <c r="Q645" t="s">
        <v>28</v>
      </c>
    </row>
    <row r="646" spans="1:17" x14ac:dyDescent="0.35">
      <c r="A646" t="s">
        <v>698</v>
      </c>
      <c r="B646" t="s">
        <v>23</v>
      </c>
      <c r="C646">
        <v>35</v>
      </c>
      <c r="D646" t="s">
        <v>17</v>
      </c>
      <c r="E646" t="s">
        <v>27</v>
      </c>
      <c r="F646" t="s">
        <v>28</v>
      </c>
      <c r="G646">
        <v>9.5</v>
      </c>
      <c r="H646">
        <v>6.3</v>
      </c>
      <c r="I646" t="str" cm="1">
        <f t="array" ref="I646">_xlfn.IFS(G646&lt;3, "0–2 Years", G646&lt;6, "3–5 Years", G646&lt;9, "6–8 Years", G646&lt;12, "9-11 Years", G646&gt;=12, "12-14 Years")</f>
        <v>9-11 Years</v>
      </c>
      <c r="J646">
        <v>3</v>
      </c>
      <c r="K646" t="s">
        <v>20</v>
      </c>
      <c r="L646">
        <v>83400</v>
      </c>
      <c r="M646">
        <v>8900</v>
      </c>
      <c r="N646">
        <v>92300</v>
      </c>
      <c r="O646" t="s">
        <v>30</v>
      </c>
      <c r="P646" s="3">
        <v>42564</v>
      </c>
      <c r="Q646" t="s">
        <v>28</v>
      </c>
    </row>
    <row r="647" spans="1:17" x14ac:dyDescent="0.35">
      <c r="A647" t="s">
        <v>699</v>
      </c>
      <c r="B647" t="s">
        <v>23</v>
      </c>
      <c r="C647" s="7">
        <v>29</v>
      </c>
      <c r="D647" t="s">
        <v>34</v>
      </c>
      <c r="E647" t="s">
        <v>47</v>
      </c>
      <c r="F647" t="s">
        <v>19</v>
      </c>
      <c r="G647" s="9">
        <v>13.4</v>
      </c>
      <c r="H647" s="7">
        <v>9.6</v>
      </c>
      <c r="I647" t="str" cm="1">
        <f t="array" ref="I647">_xlfn.IFS(G647&lt;3, "0–2 Years", G647&lt;6, "3–5 Years", G647&lt;9, "6–8 Years", G647&lt;12, "9-11 Years", G647&gt;=12, "12-14 Years")</f>
        <v>12-14 Years</v>
      </c>
      <c r="J647" s="7">
        <v>2</v>
      </c>
      <c r="K647" t="s">
        <v>20</v>
      </c>
      <c r="L647" s="7">
        <v>81700</v>
      </c>
      <c r="M647" s="7">
        <v>7000</v>
      </c>
      <c r="N647" s="7">
        <v>88700</v>
      </c>
      <c r="O647" t="s">
        <v>30</v>
      </c>
      <c r="P647" s="3">
        <v>41138</v>
      </c>
      <c r="Q647" t="s">
        <v>19</v>
      </c>
    </row>
    <row r="648" spans="1:17" x14ac:dyDescent="0.35">
      <c r="A648" t="s">
        <v>700</v>
      </c>
      <c r="B648" t="s">
        <v>23</v>
      </c>
      <c r="C648">
        <v>29</v>
      </c>
      <c r="D648" t="s">
        <v>34</v>
      </c>
      <c r="E648" t="s">
        <v>47</v>
      </c>
      <c r="F648" t="s">
        <v>28</v>
      </c>
      <c r="G648">
        <v>5.5</v>
      </c>
      <c r="H648">
        <v>3</v>
      </c>
      <c r="I648" t="str" cm="1">
        <f t="array" ref="I648">_xlfn.IFS(G648&lt;3, "0–2 Years", G648&lt;6, "3–5 Years", G648&lt;9, "6–8 Years", G648&lt;12, "9-11 Years", G648&gt;=12, "12-14 Years")</f>
        <v>3–5 Years</v>
      </c>
      <c r="J648">
        <v>3</v>
      </c>
      <c r="K648" t="s">
        <v>69</v>
      </c>
      <c r="L648">
        <v>66300</v>
      </c>
      <c r="M648">
        <v>6600</v>
      </c>
      <c r="N648">
        <v>72900</v>
      </c>
      <c r="O648" t="s">
        <v>21</v>
      </c>
      <c r="P648" s="3">
        <v>44030</v>
      </c>
      <c r="Q648" t="s">
        <v>28</v>
      </c>
    </row>
    <row r="649" spans="1:17" x14ac:dyDescent="0.35">
      <c r="A649" t="s">
        <v>701</v>
      </c>
      <c r="B649" t="s">
        <v>23</v>
      </c>
      <c r="C649" s="7">
        <v>33</v>
      </c>
      <c r="D649" t="s">
        <v>41</v>
      </c>
      <c r="E649" t="s">
        <v>42</v>
      </c>
      <c r="F649" t="s">
        <v>28</v>
      </c>
      <c r="G649" s="9">
        <v>13.6</v>
      </c>
      <c r="H649" s="7">
        <v>10.3</v>
      </c>
      <c r="I649" t="str" cm="1">
        <f t="array" ref="I649">_xlfn.IFS(G649&lt;3, "0–2 Years", G649&lt;6, "3–5 Years", G649&lt;9, "6–8 Years", G649&lt;12, "9-11 Years", G649&gt;=12, "12-14 Years")</f>
        <v>12-14 Years</v>
      </c>
      <c r="J649" s="7">
        <v>4</v>
      </c>
      <c r="K649" t="s">
        <v>20</v>
      </c>
      <c r="L649" s="7">
        <v>84600</v>
      </c>
      <c r="M649" s="7">
        <v>5200</v>
      </c>
      <c r="N649" s="7">
        <v>89800</v>
      </c>
      <c r="O649" t="s">
        <v>30</v>
      </c>
      <c r="P649" s="3">
        <v>41039</v>
      </c>
      <c r="Q649" t="s">
        <v>28</v>
      </c>
    </row>
    <row r="650" spans="1:17" x14ac:dyDescent="0.35">
      <c r="A650" t="s">
        <v>702</v>
      </c>
      <c r="B650" t="s">
        <v>23</v>
      </c>
      <c r="C650">
        <v>27</v>
      </c>
      <c r="D650" t="s">
        <v>44</v>
      </c>
      <c r="E650" t="s">
        <v>81</v>
      </c>
      <c r="F650" t="s">
        <v>28</v>
      </c>
      <c r="G650">
        <v>5.9</v>
      </c>
      <c r="H650">
        <v>2.9</v>
      </c>
      <c r="I650" t="str" cm="1">
        <f t="array" ref="I650">_xlfn.IFS(G650&lt;3, "0–2 Years", G650&lt;6, "3–5 Years", G650&lt;9, "6–8 Years", G650&lt;12, "9-11 Years", G650&gt;=12, "12-14 Years")</f>
        <v>3–5 Years</v>
      </c>
      <c r="J650">
        <v>3</v>
      </c>
      <c r="K650" t="s">
        <v>69</v>
      </c>
      <c r="L650">
        <v>77000</v>
      </c>
      <c r="M650">
        <v>11500</v>
      </c>
      <c r="N650">
        <v>88500</v>
      </c>
      <c r="O650" t="s">
        <v>21</v>
      </c>
      <c r="P650" s="3">
        <v>43883</v>
      </c>
      <c r="Q650" t="s">
        <v>28</v>
      </c>
    </row>
    <row r="651" spans="1:17" x14ac:dyDescent="0.35">
      <c r="A651" t="s">
        <v>703</v>
      </c>
      <c r="B651" t="s">
        <v>16</v>
      </c>
      <c r="C651">
        <v>40</v>
      </c>
      <c r="D651" t="s">
        <v>17</v>
      </c>
      <c r="E651" t="s">
        <v>32</v>
      </c>
      <c r="F651" t="s">
        <v>36</v>
      </c>
      <c r="G651">
        <v>6.6</v>
      </c>
      <c r="H651">
        <v>3</v>
      </c>
      <c r="I651" t="str" cm="1">
        <f t="array" ref="I651">_xlfn.IFS(G651&lt;3, "0–2 Years", G651&lt;6, "3–5 Years", G651&lt;9, "6–8 Years", G651&lt;12, "9-11 Years", G651&gt;=12, "12-14 Years")</f>
        <v>6–8 Years</v>
      </c>
      <c r="J651">
        <v>2</v>
      </c>
      <c r="K651" t="s">
        <v>20</v>
      </c>
      <c r="L651">
        <v>68600</v>
      </c>
      <c r="M651">
        <v>3400</v>
      </c>
      <c r="N651">
        <v>72000</v>
      </c>
      <c r="O651" t="s">
        <v>21</v>
      </c>
      <c r="P651" s="3">
        <v>43615</v>
      </c>
      <c r="Q651" t="s">
        <v>36</v>
      </c>
    </row>
    <row r="652" spans="1:17" x14ac:dyDescent="0.35">
      <c r="A652" t="s">
        <v>704</v>
      </c>
      <c r="B652" t="s">
        <v>16</v>
      </c>
      <c r="C652">
        <v>56</v>
      </c>
      <c r="D652" t="s">
        <v>17</v>
      </c>
      <c r="E652" t="s">
        <v>27</v>
      </c>
      <c r="F652" t="s">
        <v>19</v>
      </c>
      <c r="G652">
        <v>9.9</v>
      </c>
      <c r="H652">
        <v>4.5999999999999996</v>
      </c>
      <c r="I652" t="str" cm="1">
        <f t="array" ref="I652">_xlfn.IFS(G652&lt;3, "0–2 Years", G652&lt;6, "3–5 Years", G652&lt;9, "6–8 Years", G652&lt;12, "9-11 Years", G652&gt;=12, "12-14 Years")</f>
        <v>9-11 Years</v>
      </c>
      <c r="J652">
        <v>3</v>
      </c>
      <c r="K652" t="s">
        <v>69</v>
      </c>
      <c r="L652">
        <v>64100</v>
      </c>
      <c r="M652">
        <v>5500</v>
      </c>
      <c r="N652">
        <v>69600</v>
      </c>
      <c r="O652" t="s">
        <v>25</v>
      </c>
      <c r="P652" s="3">
        <v>42417</v>
      </c>
      <c r="Q652" t="s">
        <v>19</v>
      </c>
    </row>
    <row r="653" spans="1:17" x14ac:dyDescent="0.35">
      <c r="A653" t="s">
        <v>705</v>
      </c>
      <c r="B653" t="s">
        <v>16</v>
      </c>
      <c r="C653">
        <v>53</v>
      </c>
      <c r="D653" t="s">
        <v>34</v>
      </c>
      <c r="E653" t="s">
        <v>47</v>
      </c>
      <c r="F653" t="s">
        <v>36</v>
      </c>
      <c r="G653">
        <v>7.2</v>
      </c>
      <c r="H653">
        <v>2.5</v>
      </c>
      <c r="I653" t="str" cm="1">
        <f t="array" ref="I653">_xlfn.IFS(G653&lt;3, "0–2 Years", G653&lt;6, "3–5 Years", G653&lt;9, "6–8 Years", G653&lt;12, "9-11 Years", G653&gt;=12, "12-14 Years")</f>
        <v>6–8 Years</v>
      </c>
      <c r="J653">
        <v>2</v>
      </c>
      <c r="K653" t="s">
        <v>24</v>
      </c>
      <c r="L653">
        <v>54000</v>
      </c>
      <c r="M653">
        <v>4800</v>
      </c>
      <c r="N653">
        <v>58800</v>
      </c>
      <c r="O653" t="s">
        <v>25</v>
      </c>
      <c r="P653" s="3">
        <v>43391</v>
      </c>
      <c r="Q653" t="s">
        <v>36</v>
      </c>
    </row>
    <row r="654" spans="1:17" x14ac:dyDescent="0.35">
      <c r="A654" t="s">
        <v>706</v>
      </c>
      <c r="B654" t="s">
        <v>23</v>
      </c>
      <c r="C654">
        <v>40</v>
      </c>
      <c r="D654" t="s">
        <v>55</v>
      </c>
      <c r="E654" t="s">
        <v>56</v>
      </c>
      <c r="F654" t="s">
        <v>36</v>
      </c>
      <c r="G654">
        <v>3.4</v>
      </c>
      <c r="H654">
        <v>1.5</v>
      </c>
      <c r="I654" t="str" cm="1">
        <f t="array" ref="I654">_xlfn.IFS(G654&lt;3, "0–2 Years", G654&lt;6, "3–5 Years", G654&lt;9, "6–8 Years", G654&lt;12, "9-11 Years", G654&gt;=12, "12-14 Years")</f>
        <v>3–5 Years</v>
      </c>
      <c r="J654">
        <v>3</v>
      </c>
      <c r="K654" t="s">
        <v>20</v>
      </c>
      <c r="L654">
        <v>109200</v>
      </c>
      <c r="M654">
        <v>20900</v>
      </c>
      <c r="N654">
        <v>130100</v>
      </c>
      <c r="O654" t="s">
        <v>57</v>
      </c>
      <c r="P654" s="3">
        <v>44793</v>
      </c>
      <c r="Q654" t="s">
        <v>36</v>
      </c>
    </row>
    <row r="655" spans="1:17" x14ac:dyDescent="0.35">
      <c r="A655" t="s">
        <v>707</v>
      </c>
      <c r="B655" t="s">
        <v>23</v>
      </c>
      <c r="C655">
        <v>39</v>
      </c>
      <c r="D655" t="s">
        <v>38</v>
      </c>
      <c r="E655" t="s">
        <v>39</v>
      </c>
      <c r="F655" t="s">
        <v>28</v>
      </c>
      <c r="G655">
        <v>6</v>
      </c>
      <c r="H655">
        <v>5.7</v>
      </c>
      <c r="I655" t="str" cm="1">
        <f t="array" ref="I655">_xlfn.IFS(G655&lt;3, "0–2 Years", G655&lt;6, "3–5 Years", G655&lt;9, "6–8 Years", G655&lt;12, "9-11 Years", G655&gt;=12, "12-14 Years")</f>
        <v>6–8 Years</v>
      </c>
      <c r="J655">
        <v>3</v>
      </c>
      <c r="K655" t="s">
        <v>20</v>
      </c>
      <c r="L655">
        <v>79200</v>
      </c>
      <c r="M655">
        <v>5100</v>
      </c>
      <c r="N655">
        <v>84300</v>
      </c>
      <c r="O655" t="s">
        <v>21</v>
      </c>
      <c r="P655" s="3">
        <v>43823</v>
      </c>
      <c r="Q655" t="s">
        <v>28</v>
      </c>
    </row>
    <row r="656" spans="1:17" x14ac:dyDescent="0.35">
      <c r="A656" t="s">
        <v>708</v>
      </c>
      <c r="B656" t="s">
        <v>23</v>
      </c>
      <c r="C656">
        <v>45</v>
      </c>
      <c r="D656" t="s">
        <v>17</v>
      </c>
      <c r="E656" t="s">
        <v>32</v>
      </c>
      <c r="F656" t="s">
        <v>19</v>
      </c>
      <c r="G656">
        <v>11.2</v>
      </c>
      <c r="H656">
        <v>9</v>
      </c>
      <c r="I656" t="str" cm="1">
        <f t="array" ref="I656">_xlfn.IFS(G656&lt;3, "0–2 Years", G656&lt;6, "3–5 Years", G656&lt;9, "6–8 Years", G656&lt;12, "9-11 Years", G656&gt;=12, "12-14 Years")</f>
        <v>9-11 Years</v>
      </c>
      <c r="J656">
        <v>3</v>
      </c>
      <c r="K656" t="s">
        <v>20</v>
      </c>
      <c r="L656">
        <v>77900</v>
      </c>
      <c r="M656">
        <v>8800</v>
      </c>
      <c r="N656">
        <v>86700</v>
      </c>
      <c r="O656" t="s">
        <v>21</v>
      </c>
      <c r="P656" s="3">
        <v>41947</v>
      </c>
      <c r="Q656" t="s">
        <v>19</v>
      </c>
    </row>
    <row r="657" spans="1:17" x14ac:dyDescent="0.35">
      <c r="A657" t="s">
        <v>709</v>
      </c>
      <c r="B657" t="s">
        <v>16</v>
      </c>
      <c r="C657" s="7">
        <v>30</v>
      </c>
      <c r="D657" t="s">
        <v>41</v>
      </c>
      <c r="E657" t="s">
        <v>73</v>
      </c>
      <c r="F657" t="s">
        <v>36</v>
      </c>
      <c r="G657" s="9">
        <v>13.4</v>
      </c>
      <c r="H657" s="7">
        <v>7.9</v>
      </c>
      <c r="I657" t="str" cm="1">
        <f t="array" ref="I657">_xlfn.IFS(G657&lt;3, "0–2 Years", G657&lt;6, "3–5 Years", G657&lt;9, "6–8 Years", G657&lt;12, "9-11 Years", G657&gt;=12, "12-14 Years")</f>
        <v>12-14 Years</v>
      </c>
      <c r="J657" s="7">
        <v>3</v>
      </c>
      <c r="K657" t="s">
        <v>20</v>
      </c>
      <c r="L657" s="7">
        <v>103100</v>
      </c>
      <c r="M657" s="7">
        <v>8500</v>
      </c>
      <c r="N657" s="7">
        <v>111600</v>
      </c>
      <c r="O657" t="s">
        <v>57</v>
      </c>
      <c r="P657" s="3">
        <v>41129</v>
      </c>
      <c r="Q657" t="s">
        <v>36</v>
      </c>
    </row>
    <row r="658" spans="1:17" x14ac:dyDescent="0.35">
      <c r="A658" t="s">
        <v>710</v>
      </c>
      <c r="B658" t="s">
        <v>16</v>
      </c>
      <c r="C658" s="7">
        <v>37</v>
      </c>
      <c r="D658" t="s">
        <v>17</v>
      </c>
      <c r="E658" t="s">
        <v>18</v>
      </c>
      <c r="G658" s="9">
        <v>12.6</v>
      </c>
      <c r="H658" s="7">
        <v>7.3</v>
      </c>
      <c r="I658" t="str" cm="1">
        <f t="array" ref="I658">_xlfn.IFS(G658&lt;3, "0–2 Years", G658&lt;6, "3–5 Years", G658&lt;9, "6–8 Years", G658&lt;12, "9-11 Years", G658&gt;=12, "12-14 Years")</f>
        <v>12-14 Years</v>
      </c>
      <c r="J658" s="7">
        <v>3</v>
      </c>
      <c r="K658" t="s">
        <v>20</v>
      </c>
      <c r="L658" s="7">
        <v>98900</v>
      </c>
      <c r="M658" s="7">
        <v>10000</v>
      </c>
      <c r="N658" s="7">
        <v>108900</v>
      </c>
      <c r="O658" t="s">
        <v>30</v>
      </c>
      <c r="P658" s="3">
        <v>41423</v>
      </c>
      <c r="Q658" t="s">
        <v>5104</v>
      </c>
    </row>
    <row r="659" spans="1:17" x14ac:dyDescent="0.35">
      <c r="A659" t="s">
        <v>711</v>
      </c>
      <c r="B659" t="s">
        <v>16</v>
      </c>
      <c r="C659">
        <v>44</v>
      </c>
      <c r="D659" t="s">
        <v>38</v>
      </c>
      <c r="E659" t="s">
        <v>39</v>
      </c>
      <c r="F659" t="s">
        <v>28</v>
      </c>
      <c r="G659">
        <v>3</v>
      </c>
      <c r="H659">
        <v>3</v>
      </c>
      <c r="I659" t="str" cm="1">
        <f t="array" ref="I659">_xlfn.IFS(G659&lt;3, "0–2 Years", G659&lt;6, "3–5 Years", G659&lt;9, "6–8 Years", G659&lt;12, "9-11 Years", G659&gt;=12, "12-14 Years")</f>
        <v>3–5 Years</v>
      </c>
      <c r="J659">
        <v>5</v>
      </c>
      <c r="K659" t="s">
        <v>20</v>
      </c>
      <c r="L659">
        <v>68500</v>
      </c>
      <c r="M659">
        <v>3300</v>
      </c>
      <c r="N659">
        <v>71800</v>
      </c>
      <c r="O659" t="s">
        <v>21</v>
      </c>
      <c r="P659" s="3">
        <v>44918</v>
      </c>
      <c r="Q659" t="s">
        <v>28</v>
      </c>
    </row>
    <row r="660" spans="1:17" x14ac:dyDescent="0.35">
      <c r="A660" t="s">
        <v>712</v>
      </c>
      <c r="B660" t="s">
        <v>23</v>
      </c>
      <c r="C660">
        <v>44</v>
      </c>
      <c r="D660" t="s">
        <v>41</v>
      </c>
      <c r="E660" t="s">
        <v>73</v>
      </c>
      <c r="F660" t="s">
        <v>19</v>
      </c>
      <c r="G660">
        <v>11.5</v>
      </c>
      <c r="H660">
        <v>6.7</v>
      </c>
      <c r="I660" t="str" cm="1">
        <f t="array" ref="I660">_xlfn.IFS(G660&lt;3, "0–2 Years", G660&lt;6, "3–5 Years", G660&lt;9, "6–8 Years", G660&lt;12, "9-11 Years", G660&gt;=12, "12-14 Years")</f>
        <v>9-11 Years</v>
      </c>
      <c r="J660">
        <v>3</v>
      </c>
      <c r="K660" t="s">
        <v>69</v>
      </c>
      <c r="L660">
        <v>97000</v>
      </c>
      <c r="M660">
        <v>5100</v>
      </c>
      <c r="N660">
        <v>102100</v>
      </c>
      <c r="O660" t="s">
        <v>30</v>
      </c>
      <c r="P660" s="3">
        <v>41837</v>
      </c>
      <c r="Q660" t="s">
        <v>19</v>
      </c>
    </row>
    <row r="661" spans="1:17" x14ac:dyDescent="0.35">
      <c r="A661" t="s">
        <v>713</v>
      </c>
      <c r="B661" t="s">
        <v>16</v>
      </c>
      <c r="C661">
        <v>42</v>
      </c>
      <c r="D661" t="s">
        <v>41</v>
      </c>
      <c r="E661" t="s">
        <v>42</v>
      </c>
      <c r="F661" t="s">
        <v>19</v>
      </c>
      <c r="G661">
        <v>3.3</v>
      </c>
      <c r="H661">
        <v>1.5</v>
      </c>
      <c r="I661" t="str" cm="1">
        <f t="array" ref="I661">_xlfn.IFS(G661&lt;3, "0–2 Years", G661&lt;6, "3–5 Years", G661&lt;9, "6–8 Years", G661&lt;12, "9-11 Years", G661&gt;=12, "12-14 Years")</f>
        <v>3–5 Years</v>
      </c>
      <c r="J661">
        <v>4</v>
      </c>
      <c r="K661" t="s">
        <v>24</v>
      </c>
      <c r="L661">
        <v>42600</v>
      </c>
      <c r="M661">
        <v>1300</v>
      </c>
      <c r="N661">
        <v>43900</v>
      </c>
      <c r="O661" t="s">
        <v>65</v>
      </c>
      <c r="P661" s="3">
        <v>44827</v>
      </c>
      <c r="Q661" t="s">
        <v>19</v>
      </c>
    </row>
    <row r="662" spans="1:17" x14ac:dyDescent="0.35">
      <c r="A662" t="s">
        <v>714</v>
      </c>
      <c r="B662" t="s">
        <v>16</v>
      </c>
      <c r="C662">
        <v>37</v>
      </c>
      <c r="D662" t="s">
        <v>38</v>
      </c>
      <c r="E662" t="s">
        <v>39</v>
      </c>
      <c r="F662" t="s">
        <v>19</v>
      </c>
      <c r="G662">
        <v>6.6</v>
      </c>
      <c r="H662">
        <v>3.3</v>
      </c>
      <c r="I662" t="str" cm="1">
        <f t="array" ref="I662">_xlfn.IFS(G662&lt;3, "0–2 Years", G662&lt;6, "3–5 Years", G662&lt;9, "6–8 Years", G662&lt;12, "9-11 Years", G662&gt;=12, "12-14 Years")</f>
        <v>6–8 Years</v>
      </c>
      <c r="J662">
        <v>2</v>
      </c>
      <c r="K662" t="s">
        <v>20</v>
      </c>
      <c r="L662">
        <v>70500</v>
      </c>
      <c r="M662">
        <v>6500</v>
      </c>
      <c r="N662">
        <v>77000</v>
      </c>
      <c r="O662" t="s">
        <v>21</v>
      </c>
      <c r="P662" s="3">
        <v>43611</v>
      </c>
      <c r="Q662" t="s">
        <v>19</v>
      </c>
    </row>
    <row r="663" spans="1:17" x14ac:dyDescent="0.35">
      <c r="A663" t="s">
        <v>715</v>
      </c>
      <c r="B663" t="s">
        <v>16</v>
      </c>
      <c r="C663">
        <v>34</v>
      </c>
      <c r="D663" t="s">
        <v>38</v>
      </c>
      <c r="E663" t="s">
        <v>61</v>
      </c>
      <c r="F663" t="s">
        <v>28</v>
      </c>
      <c r="G663">
        <v>5.2</v>
      </c>
      <c r="H663">
        <v>3.8</v>
      </c>
      <c r="I663" t="str" cm="1">
        <f t="array" ref="I663">_xlfn.IFS(G663&lt;3, "0–2 Years", G663&lt;6, "3–5 Years", G663&lt;9, "6–8 Years", G663&lt;12, "9-11 Years", G663&gt;=12, "12-14 Years")</f>
        <v>3–5 Years</v>
      </c>
      <c r="J663">
        <v>4</v>
      </c>
      <c r="K663" t="s">
        <v>20</v>
      </c>
      <c r="L663">
        <v>95300</v>
      </c>
      <c r="M663">
        <v>8000</v>
      </c>
      <c r="N663">
        <v>103300</v>
      </c>
      <c r="O663" t="s">
        <v>30</v>
      </c>
      <c r="P663" s="3">
        <v>44134</v>
      </c>
      <c r="Q663" t="s">
        <v>28</v>
      </c>
    </row>
    <row r="664" spans="1:17" x14ac:dyDescent="0.35">
      <c r="A664" t="s">
        <v>716</v>
      </c>
      <c r="B664" t="s">
        <v>23</v>
      </c>
      <c r="C664">
        <v>31</v>
      </c>
      <c r="D664" t="s">
        <v>17</v>
      </c>
      <c r="E664" t="s">
        <v>27</v>
      </c>
      <c r="F664" t="s">
        <v>36</v>
      </c>
      <c r="G664">
        <v>2.5</v>
      </c>
      <c r="H664">
        <v>2.1</v>
      </c>
      <c r="I664" t="str" cm="1">
        <f t="array" ref="I664">_xlfn.IFS(G664&lt;3, "0–2 Years", G664&lt;6, "3–5 Years", G664&lt;9, "6–8 Years", G664&lt;12, "9-11 Years", G664&gt;=12, "12-14 Years")</f>
        <v>0–2 Years</v>
      </c>
      <c r="J664">
        <v>4</v>
      </c>
      <c r="K664" t="s">
        <v>20</v>
      </c>
      <c r="L664">
        <v>75700</v>
      </c>
      <c r="M664">
        <v>9500</v>
      </c>
      <c r="N664">
        <v>85200</v>
      </c>
      <c r="O664" t="s">
        <v>21</v>
      </c>
      <c r="P664" s="3">
        <v>45100</v>
      </c>
      <c r="Q664" t="s">
        <v>36</v>
      </c>
    </row>
    <row r="665" spans="1:17" x14ac:dyDescent="0.35">
      <c r="A665" t="s">
        <v>717</v>
      </c>
      <c r="B665" t="s">
        <v>23</v>
      </c>
      <c r="C665">
        <v>36</v>
      </c>
      <c r="D665" t="s">
        <v>17</v>
      </c>
      <c r="E665" t="s">
        <v>32</v>
      </c>
      <c r="F665" t="s">
        <v>28</v>
      </c>
      <c r="G665">
        <v>6.2</v>
      </c>
      <c r="H665">
        <v>3.6</v>
      </c>
      <c r="I665" t="str" cm="1">
        <f t="array" ref="I665">_xlfn.IFS(G665&lt;3, "0–2 Years", G665&lt;6, "3–5 Years", G665&lt;9, "6–8 Years", G665&lt;12, "9-11 Years", G665&gt;=12, "12-14 Years")</f>
        <v>6–8 Years</v>
      </c>
      <c r="J665">
        <v>1</v>
      </c>
      <c r="K665" t="s">
        <v>20</v>
      </c>
      <c r="L665">
        <v>53500</v>
      </c>
      <c r="M665">
        <v>6600</v>
      </c>
      <c r="N665">
        <v>60100</v>
      </c>
      <c r="O665" t="s">
        <v>25</v>
      </c>
      <c r="P665" s="3">
        <v>43746</v>
      </c>
      <c r="Q665" t="s">
        <v>28</v>
      </c>
    </row>
    <row r="666" spans="1:17" x14ac:dyDescent="0.35">
      <c r="A666" t="s">
        <v>718</v>
      </c>
      <c r="B666" t="s">
        <v>23</v>
      </c>
      <c r="C666">
        <v>32</v>
      </c>
      <c r="D666" t="s">
        <v>41</v>
      </c>
      <c r="E666" t="s">
        <v>42</v>
      </c>
      <c r="F666" t="s">
        <v>36</v>
      </c>
      <c r="G666">
        <v>6</v>
      </c>
      <c r="H666">
        <v>5</v>
      </c>
      <c r="I666" t="str" cm="1">
        <f t="array" ref="I666">_xlfn.IFS(G666&lt;3, "0–2 Years", G666&lt;6, "3–5 Years", G666&lt;9, "6–8 Years", G666&lt;12, "9-11 Years", G666&gt;=12, "12-14 Years")</f>
        <v>6–8 Years</v>
      </c>
      <c r="J666">
        <v>2</v>
      </c>
      <c r="K666" t="s">
        <v>20</v>
      </c>
      <c r="L666">
        <v>89600</v>
      </c>
      <c r="M666">
        <v>7800</v>
      </c>
      <c r="N666">
        <v>97400</v>
      </c>
      <c r="O666" t="s">
        <v>30</v>
      </c>
      <c r="P666" s="3">
        <v>43825</v>
      </c>
      <c r="Q666" t="s">
        <v>36</v>
      </c>
    </row>
    <row r="667" spans="1:17" x14ac:dyDescent="0.35">
      <c r="A667" t="s">
        <v>719</v>
      </c>
      <c r="B667" t="s">
        <v>16</v>
      </c>
      <c r="C667">
        <v>21</v>
      </c>
      <c r="D667" t="s">
        <v>17</v>
      </c>
      <c r="E667" t="s">
        <v>32</v>
      </c>
      <c r="F667" t="s">
        <v>19</v>
      </c>
      <c r="G667">
        <v>7.4</v>
      </c>
      <c r="H667">
        <v>3.4</v>
      </c>
      <c r="I667" t="str" cm="1">
        <f t="array" ref="I667">_xlfn.IFS(G667&lt;3, "0–2 Years", G667&lt;6, "3–5 Years", G667&lt;9, "6–8 Years", G667&lt;12, "9-11 Years", G667&gt;=12, "12-14 Years")</f>
        <v>6–8 Years</v>
      </c>
      <c r="J667">
        <v>3</v>
      </c>
      <c r="K667" t="s">
        <v>20</v>
      </c>
      <c r="L667">
        <v>66600</v>
      </c>
      <c r="M667">
        <v>3500</v>
      </c>
      <c r="N667">
        <v>70100</v>
      </c>
      <c r="O667" t="s">
        <v>21</v>
      </c>
      <c r="P667" s="3">
        <v>43338</v>
      </c>
      <c r="Q667" t="s">
        <v>19</v>
      </c>
    </row>
    <row r="668" spans="1:17" x14ac:dyDescent="0.35">
      <c r="A668" t="s">
        <v>720</v>
      </c>
      <c r="B668" t="s">
        <v>23</v>
      </c>
      <c r="C668" s="7">
        <v>29</v>
      </c>
      <c r="D668" t="s">
        <v>44</v>
      </c>
      <c r="E668" t="s">
        <v>76</v>
      </c>
      <c r="F668" t="s">
        <v>19</v>
      </c>
      <c r="G668" s="9">
        <v>13</v>
      </c>
      <c r="H668" s="7">
        <v>9</v>
      </c>
      <c r="I668" t="str" cm="1">
        <f t="array" ref="I668">_xlfn.IFS(G668&lt;3, "0–2 Years", G668&lt;6, "3–5 Years", G668&lt;9, "6–8 Years", G668&lt;12, "9-11 Years", G668&gt;=12, "12-14 Years")</f>
        <v>12-14 Years</v>
      </c>
      <c r="J668" s="7">
        <v>3</v>
      </c>
      <c r="K668" t="s">
        <v>20</v>
      </c>
      <c r="L668" s="7">
        <v>104500</v>
      </c>
      <c r="M668" s="7">
        <v>11400</v>
      </c>
      <c r="N668" s="7">
        <v>115900</v>
      </c>
      <c r="O668" t="s">
        <v>57</v>
      </c>
      <c r="P668" s="3">
        <v>41293</v>
      </c>
      <c r="Q668" t="s">
        <v>19</v>
      </c>
    </row>
    <row r="669" spans="1:17" x14ac:dyDescent="0.35">
      <c r="A669" t="s">
        <v>721</v>
      </c>
      <c r="B669" t="s">
        <v>23</v>
      </c>
      <c r="C669">
        <v>35</v>
      </c>
      <c r="D669" t="s">
        <v>41</v>
      </c>
      <c r="E669" t="s">
        <v>73</v>
      </c>
      <c r="F669" t="s">
        <v>36</v>
      </c>
      <c r="G669">
        <v>5.2</v>
      </c>
      <c r="H669">
        <v>2.7</v>
      </c>
      <c r="I669" t="str" cm="1">
        <f t="array" ref="I669">_xlfn.IFS(G669&lt;3, "0–2 Years", G669&lt;6, "3–5 Years", G669&lt;9, "6–8 Years", G669&lt;12, "9-11 Years", G669&gt;=12, "12-14 Years")</f>
        <v>3–5 Years</v>
      </c>
      <c r="J669">
        <v>3</v>
      </c>
      <c r="K669" t="s">
        <v>24</v>
      </c>
      <c r="L669">
        <v>64800</v>
      </c>
      <c r="M669">
        <v>5400</v>
      </c>
      <c r="N669">
        <v>70200</v>
      </c>
      <c r="O669" t="s">
        <v>25</v>
      </c>
      <c r="P669" s="3">
        <v>44135</v>
      </c>
      <c r="Q669" t="s">
        <v>36</v>
      </c>
    </row>
    <row r="670" spans="1:17" x14ac:dyDescent="0.35">
      <c r="A670" t="s">
        <v>722</v>
      </c>
      <c r="B670" t="s">
        <v>23</v>
      </c>
      <c r="C670">
        <v>40</v>
      </c>
      <c r="D670" t="s">
        <v>55</v>
      </c>
      <c r="E670" t="s">
        <v>92</v>
      </c>
      <c r="F670" t="s">
        <v>19</v>
      </c>
      <c r="G670">
        <v>11</v>
      </c>
      <c r="H670">
        <v>8.1999999999999993</v>
      </c>
      <c r="I670" t="str" cm="1">
        <f t="array" ref="I670">_xlfn.IFS(G670&lt;3, "0–2 Years", G670&lt;6, "3–5 Years", G670&lt;9, "6–8 Years", G670&lt;12, "9-11 Years", G670&gt;=12, "12-14 Years")</f>
        <v>9-11 Years</v>
      </c>
      <c r="J670">
        <v>3</v>
      </c>
      <c r="K670" t="s">
        <v>20</v>
      </c>
      <c r="L670">
        <v>100200</v>
      </c>
      <c r="M670">
        <v>16300</v>
      </c>
      <c r="N670">
        <v>116500</v>
      </c>
      <c r="O670" t="s">
        <v>57</v>
      </c>
      <c r="P670" s="3">
        <v>41990</v>
      </c>
      <c r="Q670" t="s">
        <v>19</v>
      </c>
    </row>
    <row r="671" spans="1:17" x14ac:dyDescent="0.35">
      <c r="A671" t="s">
        <v>723</v>
      </c>
      <c r="B671" t="s">
        <v>16</v>
      </c>
      <c r="C671" s="7">
        <v>52</v>
      </c>
      <c r="D671" t="s">
        <v>17</v>
      </c>
      <c r="E671" t="s">
        <v>27</v>
      </c>
      <c r="F671" t="s">
        <v>28</v>
      </c>
      <c r="G671" s="9">
        <v>13</v>
      </c>
      <c r="H671" s="7">
        <v>9.3000000000000007</v>
      </c>
      <c r="I671" t="str" cm="1">
        <f t="array" ref="I671">_xlfn.IFS(G671&lt;3, "0–2 Years", G671&lt;6, "3–5 Years", G671&lt;9, "6–8 Years", G671&lt;12, "9-11 Years", G671&gt;=12, "12-14 Years")</f>
        <v>12-14 Years</v>
      </c>
      <c r="J671" s="7">
        <v>3</v>
      </c>
      <c r="K671" t="s">
        <v>20</v>
      </c>
      <c r="L671" s="7">
        <v>80300</v>
      </c>
      <c r="M671" s="7">
        <v>4700</v>
      </c>
      <c r="N671" s="7">
        <v>85000</v>
      </c>
      <c r="O671" t="s">
        <v>30</v>
      </c>
      <c r="P671" s="3">
        <v>41273</v>
      </c>
      <c r="Q671" t="s">
        <v>28</v>
      </c>
    </row>
    <row r="672" spans="1:17" x14ac:dyDescent="0.35">
      <c r="A672" t="s">
        <v>724</v>
      </c>
      <c r="B672" t="s">
        <v>16</v>
      </c>
      <c r="C672">
        <v>38</v>
      </c>
      <c r="D672" t="s">
        <v>34</v>
      </c>
      <c r="E672" t="s">
        <v>35</v>
      </c>
      <c r="F672" t="s">
        <v>28</v>
      </c>
      <c r="G672">
        <v>5.5</v>
      </c>
      <c r="H672">
        <v>5.5</v>
      </c>
      <c r="I672" t="str" cm="1">
        <f t="array" ref="I672">_xlfn.IFS(G672&lt;3, "0–2 Years", G672&lt;6, "3–5 Years", G672&lt;9, "6–8 Years", G672&lt;12, "9-11 Years", G672&gt;=12, "12-14 Years")</f>
        <v>3–5 Years</v>
      </c>
      <c r="J672">
        <v>3</v>
      </c>
      <c r="K672" t="s">
        <v>20</v>
      </c>
      <c r="L672">
        <v>81900</v>
      </c>
      <c r="M672">
        <v>5200</v>
      </c>
      <c r="N672">
        <v>87100</v>
      </c>
      <c r="O672" t="s">
        <v>30</v>
      </c>
      <c r="P672" s="3">
        <v>44019</v>
      </c>
      <c r="Q672" t="s">
        <v>28</v>
      </c>
    </row>
    <row r="673" spans="1:17" x14ac:dyDescent="0.35">
      <c r="A673" t="s">
        <v>725</v>
      </c>
      <c r="B673" t="s">
        <v>23</v>
      </c>
      <c r="C673">
        <v>43</v>
      </c>
      <c r="D673" t="s">
        <v>34</v>
      </c>
      <c r="E673" t="s">
        <v>59</v>
      </c>
      <c r="F673" t="s">
        <v>28</v>
      </c>
      <c r="G673">
        <v>3.6</v>
      </c>
      <c r="H673">
        <v>0.9</v>
      </c>
      <c r="I673" t="str" cm="1">
        <f t="array" ref="I673">_xlfn.IFS(G673&lt;3, "0–2 Years", G673&lt;6, "3–5 Years", G673&lt;9, "6–8 Years", G673&lt;12, "9-11 Years", G673&gt;=12, "12-14 Years")</f>
        <v>3–5 Years</v>
      </c>
      <c r="J673">
        <v>4</v>
      </c>
      <c r="K673" t="s">
        <v>20</v>
      </c>
      <c r="L673">
        <v>112200</v>
      </c>
      <c r="M673">
        <v>5100</v>
      </c>
      <c r="N673">
        <v>117300</v>
      </c>
      <c r="O673" t="s">
        <v>57</v>
      </c>
      <c r="P673" s="3">
        <v>44703</v>
      </c>
      <c r="Q673" t="s">
        <v>28</v>
      </c>
    </row>
    <row r="674" spans="1:17" x14ac:dyDescent="0.35">
      <c r="A674" t="s">
        <v>726</v>
      </c>
      <c r="B674" t="s">
        <v>16</v>
      </c>
      <c r="C674">
        <v>36</v>
      </c>
      <c r="D674" t="s">
        <v>55</v>
      </c>
      <c r="E674" t="s">
        <v>92</v>
      </c>
      <c r="F674" t="s">
        <v>28</v>
      </c>
      <c r="G674">
        <v>10.1</v>
      </c>
      <c r="I674" t="str" cm="1">
        <f t="array" ref="I674">_xlfn.IFS(G674&lt;3, "0–2 Years", G674&lt;6, "3–5 Years", G674&lt;9, "6–8 Years", G674&lt;12, "9-11 Years", G674&gt;=12, "12-14 Years")</f>
        <v>9-11 Years</v>
      </c>
      <c r="J674">
        <v>4</v>
      </c>
      <c r="K674" t="s">
        <v>20</v>
      </c>
      <c r="L674">
        <v>96200</v>
      </c>
      <c r="M674">
        <v>19400</v>
      </c>
      <c r="N674">
        <v>115600</v>
      </c>
      <c r="O674" t="s">
        <v>30</v>
      </c>
      <c r="P674" s="3">
        <v>42332</v>
      </c>
      <c r="Q674" t="s">
        <v>28</v>
      </c>
    </row>
    <row r="675" spans="1:17" x14ac:dyDescent="0.35">
      <c r="A675" t="s">
        <v>727</v>
      </c>
      <c r="B675" t="s">
        <v>23</v>
      </c>
      <c r="C675">
        <v>33</v>
      </c>
      <c r="D675" t="s">
        <v>55</v>
      </c>
      <c r="E675" t="s">
        <v>56</v>
      </c>
      <c r="F675" t="s">
        <v>28</v>
      </c>
      <c r="G675">
        <v>6.6</v>
      </c>
      <c r="H675">
        <v>4.3</v>
      </c>
      <c r="I675" t="str" cm="1">
        <f t="array" ref="I675">_xlfn.IFS(G675&lt;3, "0–2 Years", G675&lt;6, "3–5 Years", G675&lt;9, "6–8 Years", G675&lt;12, "9-11 Years", G675&gt;=12, "12-14 Years")</f>
        <v>6–8 Years</v>
      </c>
      <c r="J675">
        <v>3</v>
      </c>
      <c r="K675" t="s">
        <v>20</v>
      </c>
      <c r="L675">
        <v>89700</v>
      </c>
      <c r="M675">
        <v>11700</v>
      </c>
      <c r="N675">
        <v>101400</v>
      </c>
      <c r="O675" t="s">
        <v>30</v>
      </c>
      <c r="P675" s="3">
        <v>43615</v>
      </c>
      <c r="Q675" t="s">
        <v>28</v>
      </c>
    </row>
    <row r="676" spans="1:17" x14ac:dyDescent="0.35">
      <c r="A676" t="s">
        <v>728</v>
      </c>
      <c r="B676" t="s">
        <v>16</v>
      </c>
      <c r="C676">
        <v>30</v>
      </c>
      <c r="D676" t="s">
        <v>34</v>
      </c>
      <c r="E676" t="s">
        <v>59</v>
      </c>
      <c r="F676" t="s">
        <v>28</v>
      </c>
      <c r="G676">
        <v>9.6999999999999993</v>
      </c>
      <c r="H676">
        <v>8.3000000000000007</v>
      </c>
      <c r="I676" t="str" cm="1">
        <f t="array" ref="I676">_xlfn.IFS(G676&lt;3, "0–2 Years", G676&lt;6, "3–5 Years", G676&lt;9, "6–8 Years", G676&lt;12, "9-11 Years", G676&gt;=12, "12-14 Years")</f>
        <v>9-11 Years</v>
      </c>
      <c r="J676">
        <v>5</v>
      </c>
      <c r="K676" t="s">
        <v>20</v>
      </c>
      <c r="L676">
        <v>100600</v>
      </c>
      <c r="M676">
        <v>8800</v>
      </c>
      <c r="N676">
        <v>109400</v>
      </c>
      <c r="O676" t="s">
        <v>57</v>
      </c>
      <c r="P676" s="3">
        <v>42477</v>
      </c>
      <c r="Q676" t="s">
        <v>28</v>
      </c>
    </row>
    <row r="677" spans="1:17" x14ac:dyDescent="0.35">
      <c r="A677" t="s">
        <v>729</v>
      </c>
      <c r="B677" t="s">
        <v>16</v>
      </c>
      <c r="C677">
        <v>25</v>
      </c>
      <c r="D677" t="s">
        <v>44</v>
      </c>
      <c r="E677" t="s">
        <v>76</v>
      </c>
      <c r="F677" t="s">
        <v>28</v>
      </c>
      <c r="G677">
        <v>9.8000000000000007</v>
      </c>
      <c r="H677">
        <v>6.4</v>
      </c>
      <c r="I677" t="str" cm="1">
        <f t="array" ref="I677">_xlfn.IFS(G677&lt;3, "0–2 Years", G677&lt;6, "3–5 Years", G677&lt;9, "6–8 Years", G677&lt;12, "9-11 Years", G677&gt;=12, "12-14 Years")</f>
        <v>9-11 Years</v>
      </c>
      <c r="J677">
        <v>4</v>
      </c>
      <c r="K677" t="s">
        <v>20</v>
      </c>
      <c r="L677">
        <v>105300</v>
      </c>
      <c r="M677">
        <v>13800</v>
      </c>
      <c r="N677">
        <v>119100</v>
      </c>
      <c r="O677" t="s">
        <v>57</v>
      </c>
      <c r="P677" s="3">
        <v>42444</v>
      </c>
      <c r="Q677" t="s">
        <v>28</v>
      </c>
    </row>
    <row r="678" spans="1:17" x14ac:dyDescent="0.35">
      <c r="A678" t="s">
        <v>730</v>
      </c>
      <c r="B678" t="s">
        <v>16</v>
      </c>
      <c r="C678">
        <v>29</v>
      </c>
      <c r="D678" t="s">
        <v>44</v>
      </c>
      <c r="E678" t="s">
        <v>81</v>
      </c>
      <c r="F678" t="s">
        <v>28</v>
      </c>
      <c r="G678">
        <v>10.7</v>
      </c>
      <c r="H678">
        <v>8.6</v>
      </c>
      <c r="I678" t="str" cm="1">
        <f t="array" ref="I678">_xlfn.IFS(G678&lt;3, "0–2 Years", G678&lt;6, "3–5 Years", G678&lt;9, "6–8 Years", G678&lt;12, "9-11 Years", G678&gt;=12, "12-14 Years")</f>
        <v>9-11 Years</v>
      </c>
      <c r="J678">
        <v>2</v>
      </c>
      <c r="K678" t="s">
        <v>20</v>
      </c>
      <c r="L678">
        <v>97700</v>
      </c>
      <c r="M678">
        <v>8600</v>
      </c>
      <c r="N678">
        <v>106300</v>
      </c>
      <c r="O678" t="s">
        <v>30</v>
      </c>
      <c r="P678" s="3">
        <v>42125</v>
      </c>
      <c r="Q678" t="s">
        <v>28</v>
      </c>
    </row>
    <row r="679" spans="1:17" x14ac:dyDescent="0.35">
      <c r="A679" t="s">
        <v>731</v>
      </c>
      <c r="B679" t="s">
        <v>23</v>
      </c>
      <c r="C679">
        <v>29</v>
      </c>
      <c r="D679" t="s">
        <v>55</v>
      </c>
      <c r="E679" t="s">
        <v>79</v>
      </c>
      <c r="F679" t="s">
        <v>36</v>
      </c>
      <c r="G679">
        <v>3.1</v>
      </c>
      <c r="H679">
        <v>1.4</v>
      </c>
      <c r="I679" t="str" cm="1">
        <f t="array" ref="I679">_xlfn.IFS(G679&lt;3, "0–2 Years", G679&lt;6, "3–5 Years", G679&lt;9, "6–8 Years", G679&lt;12, "9-11 Years", G679&gt;=12, "12-14 Years")</f>
        <v>3–5 Years</v>
      </c>
      <c r="J679">
        <v>3</v>
      </c>
      <c r="K679" t="s">
        <v>24</v>
      </c>
      <c r="L679">
        <v>36000</v>
      </c>
      <c r="M679">
        <v>3500</v>
      </c>
      <c r="N679">
        <v>39500</v>
      </c>
      <c r="O679" t="s">
        <v>65</v>
      </c>
      <c r="P679" s="3">
        <v>44890</v>
      </c>
      <c r="Q679" t="s">
        <v>36</v>
      </c>
    </row>
    <row r="680" spans="1:17" x14ac:dyDescent="0.35">
      <c r="A680" t="s">
        <v>732</v>
      </c>
      <c r="B680" t="s">
        <v>16</v>
      </c>
      <c r="C680">
        <v>19</v>
      </c>
      <c r="D680" t="s">
        <v>44</v>
      </c>
      <c r="E680" t="s">
        <v>45</v>
      </c>
      <c r="F680" t="s">
        <v>36</v>
      </c>
      <c r="G680">
        <v>9.9</v>
      </c>
      <c r="H680">
        <v>7.6</v>
      </c>
      <c r="I680" t="str" cm="1">
        <f t="array" ref="I680">_xlfn.IFS(G680&lt;3, "0–2 Years", G680&lt;6, "3–5 Years", G680&lt;9, "6–8 Years", G680&lt;12, "9-11 Years", G680&gt;=12, "12-14 Years")</f>
        <v>9-11 Years</v>
      </c>
      <c r="J680">
        <v>4</v>
      </c>
      <c r="K680" t="s">
        <v>20</v>
      </c>
      <c r="L680">
        <v>76800</v>
      </c>
      <c r="M680">
        <v>4400</v>
      </c>
      <c r="N680">
        <v>81200</v>
      </c>
      <c r="O680" t="s">
        <v>21</v>
      </c>
      <c r="P680" s="3">
        <v>42394</v>
      </c>
      <c r="Q680" t="s">
        <v>36</v>
      </c>
    </row>
    <row r="681" spans="1:17" x14ac:dyDescent="0.35">
      <c r="A681" t="s">
        <v>733</v>
      </c>
      <c r="B681" t="s">
        <v>16</v>
      </c>
      <c r="C681">
        <v>27</v>
      </c>
      <c r="D681" t="s">
        <v>44</v>
      </c>
      <c r="E681" t="s">
        <v>76</v>
      </c>
      <c r="F681" t="s">
        <v>28</v>
      </c>
      <c r="G681">
        <v>10.5</v>
      </c>
      <c r="H681">
        <v>8.1</v>
      </c>
      <c r="I681" t="str" cm="1">
        <f t="array" ref="I681">_xlfn.IFS(G681&lt;3, "0–2 Years", G681&lt;6, "3–5 Years", G681&lt;9, "6–8 Years", G681&lt;12, "9-11 Years", G681&gt;=12, "12-14 Years")</f>
        <v>9-11 Years</v>
      </c>
      <c r="J681">
        <v>3</v>
      </c>
      <c r="K681" t="s">
        <v>20</v>
      </c>
      <c r="L681">
        <v>118100</v>
      </c>
      <c r="M681">
        <v>7300</v>
      </c>
      <c r="N681">
        <v>125400</v>
      </c>
      <c r="O681" t="s">
        <v>57</v>
      </c>
      <c r="P681" s="3">
        <v>42184</v>
      </c>
      <c r="Q681" t="s">
        <v>28</v>
      </c>
    </row>
    <row r="682" spans="1:17" x14ac:dyDescent="0.35">
      <c r="A682" t="s">
        <v>734</v>
      </c>
      <c r="B682" t="s">
        <v>16</v>
      </c>
      <c r="C682" s="7">
        <v>25</v>
      </c>
      <c r="D682" t="s">
        <v>55</v>
      </c>
      <c r="E682" t="s">
        <v>92</v>
      </c>
      <c r="F682" t="s">
        <v>28</v>
      </c>
      <c r="G682" s="9">
        <v>12.3</v>
      </c>
      <c r="H682" s="7">
        <v>8.1</v>
      </c>
      <c r="I682" t="str" cm="1">
        <f t="array" ref="I682">_xlfn.IFS(G682&lt;3, "0–2 Years", G682&lt;6, "3–5 Years", G682&lt;9, "6–8 Years", G682&lt;12, "9-11 Years", G682&gt;=12, "12-14 Years")</f>
        <v>12-14 Years</v>
      </c>
      <c r="J682" s="7">
        <v>3</v>
      </c>
      <c r="K682" t="s">
        <v>24</v>
      </c>
      <c r="L682" s="7">
        <v>62800</v>
      </c>
      <c r="M682" s="7">
        <v>12800</v>
      </c>
      <c r="N682" s="7">
        <v>75600</v>
      </c>
      <c r="O682" t="s">
        <v>25</v>
      </c>
      <c r="P682" s="3">
        <v>41537</v>
      </c>
      <c r="Q682" t="s">
        <v>28</v>
      </c>
    </row>
    <row r="683" spans="1:17" x14ac:dyDescent="0.35">
      <c r="A683" t="s">
        <v>735</v>
      </c>
      <c r="B683" t="s">
        <v>16</v>
      </c>
      <c r="C683">
        <v>45</v>
      </c>
      <c r="D683" t="s">
        <v>44</v>
      </c>
      <c r="E683" t="s">
        <v>45</v>
      </c>
      <c r="F683" t="s">
        <v>28</v>
      </c>
      <c r="G683">
        <v>5.0999999999999996</v>
      </c>
      <c r="H683">
        <v>0.9</v>
      </c>
      <c r="I683" t="str" cm="1">
        <f t="array" ref="I683">_xlfn.IFS(G683&lt;3, "0–2 Years", G683&lt;6, "3–5 Years", G683&lt;9, "6–8 Years", G683&lt;12, "9-11 Years", G683&gt;=12, "12-14 Years")</f>
        <v>3–5 Years</v>
      </c>
      <c r="J683">
        <v>2</v>
      </c>
      <c r="K683" t="s">
        <v>20</v>
      </c>
      <c r="L683">
        <v>78100</v>
      </c>
      <c r="M683">
        <v>8200</v>
      </c>
      <c r="N683">
        <v>86300</v>
      </c>
      <c r="O683" t="s">
        <v>21</v>
      </c>
      <c r="P683" s="3">
        <v>44142</v>
      </c>
      <c r="Q683" t="s">
        <v>28</v>
      </c>
    </row>
    <row r="684" spans="1:17" x14ac:dyDescent="0.35">
      <c r="A684" t="s">
        <v>736</v>
      </c>
      <c r="B684" t="s">
        <v>16</v>
      </c>
      <c r="C684">
        <v>29</v>
      </c>
      <c r="D684" t="s">
        <v>38</v>
      </c>
      <c r="E684" t="s">
        <v>61</v>
      </c>
      <c r="F684" t="s">
        <v>28</v>
      </c>
      <c r="G684">
        <v>11.3</v>
      </c>
      <c r="H684">
        <v>7.8</v>
      </c>
      <c r="I684" t="str" cm="1">
        <f t="array" ref="I684">_xlfn.IFS(G684&lt;3, "0–2 Years", G684&lt;6, "3–5 Years", G684&lt;9, "6–8 Years", G684&lt;12, "9-11 Years", G684&gt;=12, "12-14 Years")</f>
        <v>9-11 Years</v>
      </c>
      <c r="J684">
        <v>3</v>
      </c>
      <c r="K684" t="s">
        <v>20</v>
      </c>
      <c r="L684">
        <v>103700</v>
      </c>
      <c r="M684">
        <v>9700</v>
      </c>
      <c r="N684">
        <v>113400</v>
      </c>
      <c r="O684" t="s">
        <v>57</v>
      </c>
      <c r="P684" s="3">
        <v>41894</v>
      </c>
      <c r="Q684" t="s">
        <v>28</v>
      </c>
    </row>
    <row r="685" spans="1:17" x14ac:dyDescent="0.35">
      <c r="A685" t="s">
        <v>737</v>
      </c>
      <c r="B685" t="s">
        <v>23</v>
      </c>
      <c r="C685">
        <v>30</v>
      </c>
      <c r="D685" t="s">
        <v>41</v>
      </c>
      <c r="E685" t="s">
        <v>73</v>
      </c>
      <c r="F685" t="s">
        <v>62</v>
      </c>
      <c r="G685">
        <v>2.8</v>
      </c>
      <c r="H685">
        <v>2.2000000000000002</v>
      </c>
      <c r="I685" t="str" cm="1">
        <f t="array" ref="I685">_xlfn.IFS(G685&lt;3, "0–2 Years", G685&lt;6, "3–5 Years", G685&lt;9, "6–8 Years", G685&lt;12, "9-11 Years", G685&gt;=12, "12-14 Years")</f>
        <v>0–2 Years</v>
      </c>
      <c r="J685">
        <v>2</v>
      </c>
      <c r="K685" t="s">
        <v>20</v>
      </c>
      <c r="L685">
        <v>110100</v>
      </c>
      <c r="M685">
        <v>9100</v>
      </c>
      <c r="N685">
        <v>119200</v>
      </c>
      <c r="O685" t="s">
        <v>57</v>
      </c>
      <c r="P685" s="3">
        <v>45004</v>
      </c>
      <c r="Q685" t="s">
        <v>62</v>
      </c>
    </row>
    <row r="686" spans="1:17" x14ac:dyDescent="0.35">
      <c r="A686" t="s">
        <v>738</v>
      </c>
      <c r="B686" t="s">
        <v>23</v>
      </c>
      <c r="C686">
        <v>36</v>
      </c>
      <c r="D686" t="s">
        <v>34</v>
      </c>
      <c r="E686" t="s">
        <v>35</v>
      </c>
      <c r="F686" t="s">
        <v>28</v>
      </c>
      <c r="G686">
        <v>3.2</v>
      </c>
      <c r="H686">
        <v>1.2</v>
      </c>
      <c r="I686" t="str" cm="1">
        <f t="array" ref="I686">_xlfn.IFS(G686&lt;3, "0–2 Years", G686&lt;6, "3–5 Years", G686&lt;9, "6–8 Years", G686&lt;12, "9-11 Years", G686&gt;=12, "12-14 Years")</f>
        <v>3–5 Years</v>
      </c>
      <c r="J686">
        <v>3</v>
      </c>
      <c r="K686" t="s">
        <v>20</v>
      </c>
      <c r="L686">
        <v>72900</v>
      </c>
      <c r="M686">
        <v>6500</v>
      </c>
      <c r="N686">
        <v>79400</v>
      </c>
      <c r="O686" t="s">
        <v>21</v>
      </c>
      <c r="P686" s="3">
        <v>44855</v>
      </c>
      <c r="Q686" t="s">
        <v>28</v>
      </c>
    </row>
    <row r="687" spans="1:17" x14ac:dyDescent="0.35">
      <c r="A687" t="s">
        <v>739</v>
      </c>
      <c r="B687" t="s">
        <v>23</v>
      </c>
      <c r="C687">
        <v>41</v>
      </c>
      <c r="D687" t="s">
        <v>38</v>
      </c>
      <c r="E687" t="s">
        <v>39</v>
      </c>
      <c r="F687" t="s">
        <v>28</v>
      </c>
      <c r="G687">
        <v>11.5</v>
      </c>
      <c r="H687">
        <v>7.4</v>
      </c>
      <c r="I687" t="str" cm="1">
        <f t="array" ref="I687">_xlfn.IFS(G687&lt;3, "0–2 Years", G687&lt;6, "3–5 Years", G687&lt;9, "6–8 Years", G687&lt;12, "9-11 Years", G687&gt;=12, "12-14 Years")</f>
        <v>9-11 Years</v>
      </c>
      <c r="J687">
        <v>4</v>
      </c>
      <c r="K687" t="s">
        <v>69</v>
      </c>
      <c r="L687">
        <v>77500</v>
      </c>
      <c r="M687">
        <v>5900</v>
      </c>
      <c r="N687">
        <v>83400</v>
      </c>
      <c r="O687" t="s">
        <v>21</v>
      </c>
      <c r="P687" s="3">
        <v>41839</v>
      </c>
      <c r="Q687" t="s">
        <v>28</v>
      </c>
    </row>
    <row r="688" spans="1:17" x14ac:dyDescent="0.35">
      <c r="A688" t="s">
        <v>740</v>
      </c>
      <c r="B688" t="s">
        <v>16</v>
      </c>
      <c r="C688">
        <v>37</v>
      </c>
      <c r="D688" t="s">
        <v>44</v>
      </c>
      <c r="E688" t="s">
        <v>45</v>
      </c>
      <c r="F688" t="s">
        <v>19</v>
      </c>
      <c r="G688">
        <v>3.2</v>
      </c>
      <c r="H688">
        <v>0.4</v>
      </c>
      <c r="I688" t="str" cm="1">
        <f t="array" ref="I688">_xlfn.IFS(G688&lt;3, "0–2 Years", G688&lt;6, "3–5 Years", G688&lt;9, "6–8 Years", G688&lt;12, "9-11 Years", G688&gt;=12, "12-14 Years")</f>
        <v>3–5 Years</v>
      </c>
      <c r="J688">
        <v>3</v>
      </c>
      <c r="K688" t="s">
        <v>20</v>
      </c>
      <c r="L688">
        <v>56300</v>
      </c>
      <c r="M688">
        <v>8400</v>
      </c>
      <c r="N688">
        <v>64700</v>
      </c>
      <c r="O688" t="s">
        <v>25</v>
      </c>
      <c r="P688" s="3">
        <v>44841</v>
      </c>
      <c r="Q688" t="s">
        <v>19</v>
      </c>
    </row>
    <row r="689" spans="1:17" x14ac:dyDescent="0.35">
      <c r="A689" t="s">
        <v>741</v>
      </c>
      <c r="B689" t="s">
        <v>23</v>
      </c>
      <c r="C689" s="7">
        <v>36</v>
      </c>
      <c r="D689" t="s">
        <v>34</v>
      </c>
      <c r="E689" t="s">
        <v>47</v>
      </c>
      <c r="F689" t="s">
        <v>28</v>
      </c>
      <c r="G689" s="9">
        <v>12.5</v>
      </c>
      <c r="H689" s="7">
        <v>9.1</v>
      </c>
      <c r="I689" t="str" cm="1">
        <f t="array" ref="I689">_xlfn.IFS(G689&lt;3, "0–2 Years", G689&lt;6, "3–5 Years", G689&lt;9, "6–8 Years", G689&lt;12, "9-11 Years", G689&gt;=12, "12-14 Years")</f>
        <v>12-14 Years</v>
      </c>
      <c r="J689" s="7">
        <v>1</v>
      </c>
      <c r="K689" t="s">
        <v>24</v>
      </c>
      <c r="L689" s="7">
        <v>52300</v>
      </c>
      <c r="M689" s="7">
        <v>4800</v>
      </c>
      <c r="N689" s="7">
        <v>57100</v>
      </c>
      <c r="O689" t="s">
        <v>25</v>
      </c>
      <c r="P689" s="3">
        <v>41452</v>
      </c>
      <c r="Q689" t="s">
        <v>28</v>
      </c>
    </row>
    <row r="690" spans="1:17" x14ac:dyDescent="0.35">
      <c r="A690" t="s">
        <v>742</v>
      </c>
      <c r="B690" t="s">
        <v>16</v>
      </c>
      <c r="C690">
        <v>34</v>
      </c>
      <c r="D690" t="s">
        <v>44</v>
      </c>
      <c r="E690" t="s">
        <v>45</v>
      </c>
      <c r="F690" t="s">
        <v>28</v>
      </c>
      <c r="G690">
        <v>11.9</v>
      </c>
      <c r="H690">
        <v>10</v>
      </c>
      <c r="I690" t="str" cm="1">
        <f t="array" ref="I690">_xlfn.IFS(G690&lt;3, "0–2 Years", G690&lt;6, "3–5 Years", G690&lt;9, "6–8 Years", G690&lt;12, "9-11 Years", G690&gt;=12, "12-14 Years")</f>
        <v>9-11 Years</v>
      </c>
      <c r="J690">
        <v>4</v>
      </c>
      <c r="K690" t="s">
        <v>24</v>
      </c>
      <c r="L690">
        <v>51700</v>
      </c>
      <c r="M690">
        <v>5400</v>
      </c>
      <c r="N690">
        <v>57100</v>
      </c>
      <c r="O690" t="s">
        <v>25</v>
      </c>
      <c r="P690" s="3">
        <v>41677</v>
      </c>
      <c r="Q690" t="s">
        <v>28</v>
      </c>
    </row>
    <row r="691" spans="1:17" x14ac:dyDescent="0.35">
      <c r="A691" t="s">
        <v>743</v>
      </c>
      <c r="B691" t="s">
        <v>23</v>
      </c>
      <c r="C691" s="7">
        <v>32</v>
      </c>
      <c r="D691" t="s">
        <v>41</v>
      </c>
      <c r="E691" t="s">
        <v>42</v>
      </c>
      <c r="F691" t="s">
        <v>28</v>
      </c>
      <c r="G691" s="9">
        <v>12.8</v>
      </c>
      <c r="H691" s="7">
        <v>7.4</v>
      </c>
      <c r="I691" t="str" cm="1">
        <f t="array" ref="I691">_xlfn.IFS(G691&lt;3, "0–2 Years", G691&lt;6, "3–5 Years", G691&lt;9, "6–8 Years", G691&lt;12, "9-11 Years", G691&gt;=12, "12-14 Years")</f>
        <v>12-14 Years</v>
      </c>
      <c r="J691" s="7">
        <v>4</v>
      </c>
      <c r="K691" t="s">
        <v>20</v>
      </c>
      <c r="L691" s="7">
        <v>80400</v>
      </c>
      <c r="M691" s="7">
        <v>2700</v>
      </c>
      <c r="N691" s="7">
        <v>83100</v>
      </c>
      <c r="O691" t="s">
        <v>30</v>
      </c>
      <c r="P691" s="3">
        <v>41362</v>
      </c>
      <c r="Q691" t="s">
        <v>28</v>
      </c>
    </row>
    <row r="692" spans="1:17" x14ac:dyDescent="0.35">
      <c r="A692" t="s">
        <v>744</v>
      </c>
      <c r="B692" t="s">
        <v>23</v>
      </c>
      <c r="C692">
        <v>37</v>
      </c>
      <c r="D692" t="s">
        <v>34</v>
      </c>
      <c r="E692" t="s">
        <v>59</v>
      </c>
      <c r="F692" t="s">
        <v>36</v>
      </c>
      <c r="G692">
        <v>9.1</v>
      </c>
      <c r="H692">
        <v>4</v>
      </c>
      <c r="I692" t="str" cm="1">
        <f t="array" ref="I692">_xlfn.IFS(G692&lt;3, "0–2 Years", G692&lt;6, "3–5 Years", G692&lt;9, "6–8 Years", G692&lt;12, "9-11 Years", G692&gt;=12, "12-14 Years")</f>
        <v>9-11 Years</v>
      </c>
      <c r="J692">
        <v>3</v>
      </c>
      <c r="K692" t="s">
        <v>20</v>
      </c>
      <c r="L692">
        <v>100800</v>
      </c>
      <c r="M692">
        <v>5500</v>
      </c>
      <c r="N692">
        <v>106300</v>
      </c>
      <c r="O692" t="s">
        <v>57</v>
      </c>
      <c r="P692" s="3">
        <v>42700</v>
      </c>
      <c r="Q692" t="s">
        <v>36</v>
      </c>
    </row>
    <row r="693" spans="1:17" x14ac:dyDescent="0.35">
      <c r="A693" t="s">
        <v>745</v>
      </c>
      <c r="B693" t="s">
        <v>16</v>
      </c>
      <c r="C693">
        <v>34</v>
      </c>
      <c r="D693" t="s">
        <v>44</v>
      </c>
      <c r="E693" t="s">
        <v>45</v>
      </c>
      <c r="F693" t="s">
        <v>62</v>
      </c>
      <c r="G693">
        <v>1.8</v>
      </c>
      <c r="H693">
        <v>0.7</v>
      </c>
      <c r="I693" t="str" cm="1">
        <f t="array" ref="I693">_xlfn.IFS(G693&lt;3, "0–2 Years", G693&lt;6, "3–5 Years", G693&lt;9, "6–8 Years", G693&lt;12, "9-11 Years", G693&gt;=12, "12-14 Years")</f>
        <v>0–2 Years</v>
      </c>
      <c r="J693">
        <v>3</v>
      </c>
      <c r="K693" t="s">
        <v>20</v>
      </c>
      <c r="L693">
        <v>79400</v>
      </c>
      <c r="M693">
        <v>5600</v>
      </c>
      <c r="N693">
        <v>85000</v>
      </c>
      <c r="O693" t="s">
        <v>21</v>
      </c>
      <c r="P693" s="3">
        <v>45378</v>
      </c>
      <c r="Q693" t="s">
        <v>62</v>
      </c>
    </row>
    <row r="694" spans="1:17" x14ac:dyDescent="0.35">
      <c r="A694" t="s">
        <v>746</v>
      </c>
      <c r="B694" t="s">
        <v>23</v>
      </c>
      <c r="C694">
        <v>31</v>
      </c>
      <c r="D694" t="s">
        <v>44</v>
      </c>
      <c r="E694" t="s">
        <v>45</v>
      </c>
      <c r="F694" t="s">
        <v>28</v>
      </c>
      <c r="G694">
        <v>1.2</v>
      </c>
      <c r="H694">
        <v>0.1</v>
      </c>
      <c r="I694" t="str" cm="1">
        <f t="array" ref="I694">_xlfn.IFS(G694&lt;3, "0–2 Years", G694&lt;6, "3–5 Years", G694&lt;9, "6–8 Years", G694&lt;12, "9-11 Years", G694&gt;=12, "12-14 Years")</f>
        <v>0–2 Years</v>
      </c>
      <c r="J694">
        <v>1</v>
      </c>
      <c r="K694" t="s">
        <v>24</v>
      </c>
      <c r="L694">
        <v>36400</v>
      </c>
      <c r="M694">
        <v>5400</v>
      </c>
      <c r="N694">
        <v>41800</v>
      </c>
      <c r="O694" t="s">
        <v>65</v>
      </c>
      <c r="P694" s="3">
        <v>45586</v>
      </c>
      <c r="Q694" t="s">
        <v>28</v>
      </c>
    </row>
    <row r="695" spans="1:17" x14ac:dyDescent="0.35">
      <c r="A695" t="s">
        <v>747</v>
      </c>
      <c r="B695" t="s">
        <v>23</v>
      </c>
      <c r="C695">
        <v>43</v>
      </c>
      <c r="D695" t="s">
        <v>55</v>
      </c>
      <c r="E695" t="s">
        <v>79</v>
      </c>
      <c r="F695" t="s">
        <v>28</v>
      </c>
      <c r="G695">
        <v>7.3</v>
      </c>
      <c r="H695">
        <v>5.0999999999999996</v>
      </c>
      <c r="I695" t="str" cm="1">
        <f t="array" ref="I695">_xlfn.IFS(G695&lt;3, "0–2 Years", G695&lt;6, "3–5 Years", G695&lt;9, "6–8 Years", G695&lt;12, "9-11 Years", G695&gt;=12, "12-14 Years")</f>
        <v>6–8 Years</v>
      </c>
      <c r="J695">
        <v>2</v>
      </c>
      <c r="K695" t="s">
        <v>20</v>
      </c>
      <c r="L695">
        <v>68300</v>
      </c>
      <c r="M695">
        <v>10900</v>
      </c>
      <c r="N695">
        <v>79200</v>
      </c>
      <c r="O695" t="s">
        <v>21</v>
      </c>
      <c r="P695" s="3">
        <v>43370</v>
      </c>
      <c r="Q695" t="s">
        <v>28</v>
      </c>
    </row>
    <row r="696" spans="1:17" x14ac:dyDescent="0.35">
      <c r="A696" t="s">
        <v>748</v>
      </c>
      <c r="B696" t="s">
        <v>16</v>
      </c>
      <c r="C696">
        <v>34</v>
      </c>
      <c r="D696" t="s">
        <v>17</v>
      </c>
      <c r="E696" t="s">
        <v>18</v>
      </c>
      <c r="F696" t="s">
        <v>36</v>
      </c>
      <c r="G696">
        <v>1.4</v>
      </c>
      <c r="H696">
        <v>1.2</v>
      </c>
      <c r="I696" t="str" cm="1">
        <f t="array" ref="I696">_xlfn.IFS(G696&lt;3, "0–2 Years", G696&lt;6, "3–5 Years", G696&lt;9, "6–8 Years", G696&lt;12, "9-11 Years", G696&gt;=12, "12-14 Years")</f>
        <v>0–2 Years</v>
      </c>
      <c r="J696">
        <v>3</v>
      </c>
      <c r="K696" t="s">
        <v>20</v>
      </c>
      <c r="L696">
        <v>92400</v>
      </c>
      <c r="M696">
        <v>8000</v>
      </c>
      <c r="N696">
        <v>100400</v>
      </c>
      <c r="O696" t="s">
        <v>30</v>
      </c>
      <c r="P696" s="3">
        <v>45513</v>
      </c>
      <c r="Q696" t="s">
        <v>36</v>
      </c>
    </row>
    <row r="697" spans="1:17" x14ac:dyDescent="0.35">
      <c r="A697" t="s">
        <v>749</v>
      </c>
      <c r="B697" t="s">
        <v>23</v>
      </c>
      <c r="C697">
        <v>45</v>
      </c>
      <c r="D697" t="s">
        <v>55</v>
      </c>
      <c r="E697" t="s">
        <v>56</v>
      </c>
      <c r="F697" t="s">
        <v>36</v>
      </c>
      <c r="G697">
        <v>4.2</v>
      </c>
      <c r="H697">
        <v>0.9</v>
      </c>
      <c r="I697" t="str" cm="1">
        <f t="array" ref="I697">_xlfn.IFS(G697&lt;3, "0–2 Years", G697&lt;6, "3–5 Years", G697&lt;9, "6–8 Years", G697&lt;12, "9-11 Years", G697&gt;=12, "12-14 Years")</f>
        <v>3–5 Years</v>
      </c>
      <c r="J697">
        <v>3</v>
      </c>
      <c r="K697" t="s">
        <v>24</v>
      </c>
      <c r="L697">
        <v>53500</v>
      </c>
      <c r="M697">
        <v>4700</v>
      </c>
      <c r="N697">
        <v>58200</v>
      </c>
      <c r="O697" t="s">
        <v>25</v>
      </c>
      <c r="P697" s="3">
        <v>44483</v>
      </c>
      <c r="Q697" t="s">
        <v>36</v>
      </c>
    </row>
    <row r="698" spans="1:17" x14ac:dyDescent="0.35">
      <c r="A698" t="s">
        <v>750</v>
      </c>
      <c r="B698" t="s">
        <v>23</v>
      </c>
      <c r="C698">
        <v>41</v>
      </c>
      <c r="D698" t="s">
        <v>55</v>
      </c>
      <c r="E698" t="s">
        <v>79</v>
      </c>
      <c r="F698" t="s">
        <v>28</v>
      </c>
      <c r="G698">
        <v>8.1</v>
      </c>
      <c r="H698">
        <v>4.8</v>
      </c>
      <c r="I698" t="str" cm="1">
        <f t="array" ref="I698">_xlfn.IFS(G698&lt;3, "0–2 Years", G698&lt;6, "3–5 Years", G698&lt;9, "6–8 Years", G698&lt;12, "9-11 Years", G698&gt;=12, "12-14 Years")</f>
        <v>6–8 Years</v>
      </c>
      <c r="J698">
        <v>4</v>
      </c>
      <c r="K698" t="s">
        <v>20</v>
      </c>
      <c r="L698">
        <v>65000</v>
      </c>
      <c r="M698">
        <v>6400</v>
      </c>
      <c r="N698">
        <v>71400</v>
      </c>
      <c r="O698" t="s">
        <v>21</v>
      </c>
      <c r="P698" s="3">
        <v>43060</v>
      </c>
      <c r="Q698" t="s">
        <v>28</v>
      </c>
    </row>
    <row r="699" spans="1:17" x14ac:dyDescent="0.35">
      <c r="A699" t="s">
        <v>751</v>
      </c>
      <c r="B699" t="s">
        <v>23</v>
      </c>
      <c r="C699">
        <v>42</v>
      </c>
      <c r="D699" t="s">
        <v>41</v>
      </c>
      <c r="E699" t="s">
        <v>42</v>
      </c>
      <c r="F699" t="s">
        <v>36</v>
      </c>
      <c r="G699">
        <v>9.9</v>
      </c>
      <c r="H699">
        <v>5</v>
      </c>
      <c r="I699" t="str" cm="1">
        <f t="array" ref="I699">_xlfn.IFS(G699&lt;3, "0–2 Years", G699&lt;6, "3–5 Years", G699&lt;9, "6–8 Years", G699&lt;12, "9-11 Years", G699&gt;=12, "12-14 Years")</f>
        <v>9-11 Years</v>
      </c>
      <c r="J699">
        <v>4</v>
      </c>
      <c r="K699" t="s">
        <v>20</v>
      </c>
      <c r="L699">
        <v>82900</v>
      </c>
      <c r="M699">
        <v>5100</v>
      </c>
      <c r="N699">
        <v>88000</v>
      </c>
      <c r="O699" t="s">
        <v>30</v>
      </c>
      <c r="P699" s="3">
        <v>42415</v>
      </c>
      <c r="Q699" t="s">
        <v>36</v>
      </c>
    </row>
    <row r="700" spans="1:17" x14ac:dyDescent="0.35">
      <c r="A700" t="s">
        <v>752</v>
      </c>
      <c r="B700" t="s">
        <v>16</v>
      </c>
      <c r="C700">
        <v>42</v>
      </c>
      <c r="D700" t="s">
        <v>44</v>
      </c>
      <c r="E700" t="s">
        <v>51</v>
      </c>
      <c r="F700" t="s">
        <v>36</v>
      </c>
      <c r="G700">
        <v>2.6</v>
      </c>
      <c r="H700">
        <v>2.2999999999999998</v>
      </c>
      <c r="I700" t="str" cm="1">
        <f t="array" ref="I700">_xlfn.IFS(G700&lt;3, "0–2 Years", G700&lt;6, "3–5 Years", G700&lt;9, "6–8 Years", G700&lt;12, "9-11 Years", G700&gt;=12, "12-14 Years")</f>
        <v>0–2 Years</v>
      </c>
      <c r="J700">
        <v>3</v>
      </c>
      <c r="K700" t="s">
        <v>20</v>
      </c>
      <c r="L700">
        <v>83600</v>
      </c>
      <c r="M700">
        <v>4900</v>
      </c>
      <c r="N700">
        <v>88500</v>
      </c>
      <c r="O700" t="s">
        <v>30</v>
      </c>
      <c r="P700" s="3">
        <v>45060</v>
      </c>
      <c r="Q700" t="s">
        <v>36</v>
      </c>
    </row>
    <row r="701" spans="1:17" x14ac:dyDescent="0.35">
      <c r="A701" t="s">
        <v>753</v>
      </c>
      <c r="B701" t="s">
        <v>16</v>
      </c>
      <c r="C701">
        <v>29</v>
      </c>
      <c r="D701" t="s">
        <v>38</v>
      </c>
      <c r="E701" t="s">
        <v>39</v>
      </c>
      <c r="F701" t="s">
        <v>28</v>
      </c>
      <c r="G701">
        <v>8.8000000000000007</v>
      </c>
      <c r="H701">
        <v>7.4</v>
      </c>
      <c r="I701" t="str" cm="1">
        <f t="array" ref="I701">_xlfn.IFS(G701&lt;3, "0–2 Years", G701&lt;6, "3–5 Years", G701&lt;9, "6–8 Years", G701&lt;12, "9-11 Years", G701&gt;=12, "12-14 Years")</f>
        <v>6–8 Years</v>
      </c>
      <c r="J701">
        <v>4</v>
      </c>
      <c r="K701" t="s">
        <v>20</v>
      </c>
      <c r="L701">
        <v>83100</v>
      </c>
      <c r="M701">
        <v>3500</v>
      </c>
      <c r="N701">
        <v>86600</v>
      </c>
      <c r="O701" t="s">
        <v>30</v>
      </c>
      <c r="P701" s="3">
        <v>42822</v>
      </c>
      <c r="Q701" t="s">
        <v>28</v>
      </c>
    </row>
    <row r="702" spans="1:17" x14ac:dyDescent="0.35">
      <c r="A702" t="s">
        <v>754</v>
      </c>
      <c r="B702" t="s">
        <v>16</v>
      </c>
      <c r="C702" s="7">
        <v>55</v>
      </c>
      <c r="D702" t="s">
        <v>34</v>
      </c>
      <c r="E702" t="s">
        <v>59</v>
      </c>
      <c r="F702" t="s">
        <v>62</v>
      </c>
      <c r="G702" s="9">
        <v>13.9</v>
      </c>
      <c r="H702" s="7">
        <v>9.5</v>
      </c>
      <c r="I702" t="str" cm="1">
        <f t="array" ref="I702">_xlfn.IFS(G702&lt;3, "0–2 Years", G702&lt;6, "3–5 Years", G702&lt;9, "6–8 Years", G702&lt;12, "9-11 Years", G702&gt;=12, "12-14 Years")</f>
        <v>12-14 Years</v>
      </c>
      <c r="J702" s="7">
        <v>3</v>
      </c>
      <c r="K702" t="s">
        <v>69</v>
      </c>
      <c r="L702" s="7">
        <v>105900</v>
      </c>
      <c r="M702" s="7">
        <v>4400</v>
      </c>
      <c r="N702" s="7">
        <v>110300</v>
      </c>
      <c r="O702" t="s">
        <v>57</v>
      </c>
      <c r="P702" s="3">
        <v>40931</v>
      </c>
      <c r="Q702" t="s">
        <v>62</v>
      </c>
    </row>
    <row r="703" spans="1:17" x14ac:dyDescent="0.35">
      <c r="A703" t="s">
        <v>755</v>
      </c>
      <c r="B703" t="s">
        <v>16</v>
      </c>
      <c r="C703">
        <v>32</v>
      </c>
      <c r="D703" t="s">
        <v>17</v>
      </c>
      <c r="E703" t="s">
        <v>32</v>
      </c>
      <c r="F703" t="s">
        <v>28</v>
      </c>
      <c r="G703">
        <v>11.8</v>
      </c>
      <c r="H703">
        <v>9.4</v>
      </c>
      <c r="I703" t="str" cm="1">
        <f t="array" ref="I703">_xlfn.IFS(G703&lt;3, "0–2 Years", G703&lt;6, "3–5 Years", G703&lt;9, "6–8 Years", G703&lt;12, "9-11 Years", G703&gt;=12, "12-14 Years")</f>
        <v>9-11 Years</v>
      </c>
      <c r="J703">
        <v>3</v>
      </c>
      <c r="K703" t="s">
        <v>69</v>
      </c>
      <c r="L703">
        <v>53700</v>
      </c>
      <c r="M703">
        <v>4900</v>
      </c>
      <c r="N703">
        <v>58600</v>
      </c>
      <c r="O703" t="s">
        <v>25</v>
      </c>
      <c r="P703" s="3">
        <v>41705</v>
      </c>
      <c r="Q703" t="s">
        <v>28</v>
      </c>
    </row>
    <row r="704" spans="1:17" x14ac:dyDescent="0.35">
      <c r="A704" t="s">
        <v>756</v>
      </c>
      <c r="B704" t="s">
        <v>16</v>
      </c>
      <c r="C704" s="7">
        <v>29</v>
      </c>
      <c r="D704" t="s">
        <v>55</v>
      </c>
      <c r="E704" t="s">
        <v>56</v>
      </c>
      <c r="F704" t="s">
        <v>36</v>
      </c>
      <c r="G704" s="9">
        <v>13.2</v>
      </c>
      <c r="H704" s="7">
        <v>10</v>
      </c>
      <c r="I704" t="str" cm="1">
        <f t="array" ref="I704">_xlfn.IFS(G704&lt;3, "0–2 Years", G704&lt;6, "3–5 Years", G704&lt;9, "6–8 Years", G704&lt;12, "9-11 Years", G704&gt;=12, "12-14 Years")</f>
        <v>12-14 Years</v>
      </c>
      <c r="J704" s="7">
        <v>3</v>
      </c>
      <c r="K704" t="s">
        <v>20</v>
      </c>
      <c r="L704" s="7">
        <v>102100</v>
      </c>
      <c r="M704" s="7">
        <v>7900</v>
      </c>
      <c r="N704" s="7">
        <v>110000</v>
      </c>
      <c r="O704" t="s">
        <v>57</v>
      </c>
      <c r="P704" s="3">
        <v>41187</v>
      </c>
      <c r="Q704" t="s">
        <v>36</v>
      </c>
    </row>
    <row r="705" spans="1:17" x14ac:dyDescent="0.35">
      <c r="A705" t="s">
        <v>757</v>
      </c>
      <c r="B705" t="s">
        <v>16</v>
      </c>
      <c r="C705">
        <v>44</v>
      </c>
      <c r="D705" t="s">
        <v>34</v>
      </c>
      <c r="E705" t="s">
        <v>47</v>
      </c>
      <c r="F705" t="s">
        <v>62</v>
      </c>
      <c r="G705">
        <v>4.7</v>
      </c>
      <c r="H705">
        <v>4.7</v>
      </c>
      <c r="I705" t="str" cm="1">
        <f t="array" ref="I705">_xlfn.IFS(G705&lt;3, "0–2 Years", G705&lt;6, "3–5 Years", G705&lt;9, "6–8 Years", G705&lt;12, "9-11 Years", G705&gt;=12, "12-14 Years")</f>
        <v>3–5 Years</v>
      </c>
      <c r="J705">
        <v>4</v>
      </c>
      <c r="K705" t="s">
        <v>20</v>
      </c>
      <c r="L705">
        <v>94400</v>
      </c>
      <c r="M705">
        <v>9100</v>
      </c>
      <c r="N705">
        <v>103500</v>
      </c>
      <c r="O705" t="s">
        <v>30</v>
      </c>
      <c r="P705" s="3">
        <v>44314</v>
      </c>
      <c r="Q705" t="s">
        <v>62</v>
      </c>
    </row>
    <row r="706" spans="1:17" x14ac:dyDescent="0.35">
      <c r="A706" t="s">
        <v>758</v>
      </c>
      <c r="B706" t="s">
        <v>23</v>
      </c>
      <c r="C706">
        <v>42</v>
      </c>
      <c r="D706" t="s">
        <v>34</v>
      </c>
      <c r="E706" t="s">
        <v>59</v>
      </c>
      <c r="F706" t="s">
        <v>36</v>
      </c>
      <c r="G706">
        <v>2.8</v>
      </c>
      <c r="H706">
        <v>0.5</v>
      </c>
      <c r="I706" t="str" cm="1">
        <f t="array" ref="I706">_xlfn.IFS(G706&lt;3, "0–2 Years", G706&lt;6, "3–5 Years", G706&lt;9, "6–8 Years", G706&lt;12, "9-11 Years", G706&gt;=12, "12-14 Years")</f>
        <v>0–2 Years</v>
      </c>
      <c r="J706">
        <v>3</v>
      </c>
      <c r="K706" t="s">
        <v>20</v>
      </c>
      <c r="L706">
        <v>92800</v>
      </c>
      <c r="M706">
        <v>7600</v>
      </c>
      <c r="N706">
        <v>100400</v>
      </c>
      <c r="O706" t="s">
        <v>30</v>
      </c>
      <c r="P706" s="3">
        <v>45009</v>
      </c>
      <c r="Q706" t="s">
        <v>36</v>
      </c>
    </row>
    <row r="707" spans="1:17" x14ac:dyDescent="0.35">
      <c r="A707" t="s">
        <v>759</v>
      </c>
      <c r="B707" t="s">
        <v>23</v>
      </c>
      <c r="C707">
        <v>40</v>
      </c>
      <c r="D707" t="s">
        <v>55</v>
      </c>
      <c r="E707" t="s">
        <v>56</v>
      </c>
      <c r="F707" t="s">
        <v>28</v>
      </c>
      <c r="G707">
        <v>9.8000000000000007</v>
      </c>
      <c r="H707">
        <v>6</v>
      </c>
      <c r="I707" t="str" cm="1">
        <f t="array" ref="I707">_xlfn.IFS(G707&lt;3, "0–2 Years", G707&lt;6, "3–5 Years", G707&lt;9, "6–8 Years", G707&lt;12, "9-11 Years", G707&gt;=12, "12-14 Years")</f>
        <v>9-11 Years</v>
      </c>
      <c r="J707">
        <v>3</v>
      </c>
      <c r="K707" t="s">
        <v>20</v>
      </c>
      <c r="L707">
        <v>99100</v>
      </c>
      <c r="M707">
        <v>13600</v>
      </c>
      <c r="N707">
        <v>112700</v>
      </c>
      <c r="O707" t="s">
        <v>30</v>
      </c>
      <c r="P707" s="3">
        <v>42445</v>
      </c>
      <c r="Q707" t="s">
        <v>28</v>
      </c>
    </row>
    <row r="708" spans="1:17" x14ac:dyDescent="0.35">
      <c r="A708" t="s">
        <v>760</v>
      </c>
      <c r="B708" t="s">
        <v>16</v>
      </c>
      <c r="C708">
        <v>27</v>
      </c>
      <c r="D708" t="s">
        <v>41</v>
      </c>
      <c r="E708" t="s">
        <v>73</v>
      </c>
      <c r="F708" t="s">
        <v>28</v>
      </c>
      <c r="G708">
        <v>3.2</v>
      </c>
      <c r="H708">
        <v>2.8</v>
      </c>
      <c r="I708" t="str" cm="1">
        <f t="array" ref="I708">_xlfn.IFS(G708&lt;3, "0–2 Years", G708&lt;6, "3–5 Years", G708&lt;9, "6–8 Years", G708&lt;12, "9-11 Years", G708&gt;=12, "12-14 Years")</f>
        <v>3–5 Years</v>
      </c>
      <c r="J708">
        <v>2</v>
      </c>
      <c r="K708" t="s">
        <v>20</v>
      </c>
      <c r="L708">
        <v>95600</v>
      </c>
      <c r="M708">
        <v>3900</v>
      </c>
      <c r="N708">
        <v>99500</v>
      </c>
      <c r="O708" t="s">
        <v>30</v>
      </c>
      <c r="P708" s="3">
        <v>44836</v>
      </c>
      <c r="Q708" t="s">
        <v>28</v>
      </c>
    </row>
    <row r="709" spans="1:17" x14ac:dyDescent="0.35">
      <c r="A709" t="s">
        <v>761</v>
      </c>
      <c r="B709" t="s">
        <v>23</v>
      </c>
      <c r="C709">
        <v>50</v>
      </c>
      <c r="D709" t="s">
        <v>34</v>
      </c>
      <c r="E709" t="s">
        <v>35</v>
      </c>
      <c r="F709" t="s">
        <v>28</v>
      </c>
      <c r="G709">
        <v>4.7</v>
      </c>
      <c r="H709">
        <v>4.7</v>
      </c>
      <c r="I709" t="str" cm="1">
        <f t="array" ref="I709">_xlfn.IFS(G709&lt;3, "0–2 Years", G709&lt;6, "3–5 Years", G709&lt;9, "6–8 Years", G709&lt;12, "9-11 Years", G709&gt;=12, "12-14 Years")</f>
        <v>3–5 Years</v>
      </c>
      <c r="J709">
        <v>3</v>
      </c>
      <c r="K709" t="s">
        <v>20</v>
      </c>
      <c r="L709">
        <v>72900</v>
      </c>
      <c r="M709">
        <v>4900</v>
      </c>
      <c r="N709">
        <v>77800</v>
      </c>
      <c r="O709" t="s">
        <v>21</v>
      </c>
      <c r="P709" s="3">
        <v>44306</v>
      </c>
      <c r="Q709" t="s">
        <v>28</v>
      </c>
    </row>
    <row r="710" spans="1:17" x14ac:dyDescent="0.35">
      <c r="A710" t="s">
        <v>762</v>
      </c>
      <c r="B710" t="s">
        <v>16</v>
      </c>
      <c r="C710">
        <v>34</v>
      </c>
      <c r="D710" t="s">
        <v>17</v>
      </c>
      <c r="E710" t="s">
        <v>32</v>
      </c>
      <c r="F710" t="s">
        <v>19</v>
      </c>
      <c r="G710">
        <v>9.6</v>
      </c>
      <c r="H710">
        <v>9.3000000000000007</v>
      </c>
      <c r="I710" t="str" cm="1">
        <f t="array" ref="I710">_xlfn.IFS(G710&lt;3, "0–2 Years", G710&lt;6, "3–5 Years", G710&lt;9, "6–8 Years", G710&lt;12, "9-11 Years", G710&gt;=12, "12-14 Years")</f>
        <v>9-11 Years</v>
      </c>
      <c r="J710">
        <v>3</v>
      </c>
      <c r="K710" t="s">
        <v>20</v>
      </c>
      <c r="L710">
        <v>58500</v>
      </c>
      <c r="M710">
        <v>4300</v>
      </c>
      <c r="N710">
        <v>62800</v>
      </c>
      <c r="O710" t="s">
        <v>25</v>
      </c>
      <c r="P710" s="3">
        <v>42526</v>
      </c>
      <c r="Q710" t="s">
        <v>19</v>
      </c>
    </row>
    <row r="711" spans="1:17" x14ac:dyDescent="0.35">
      <c r="A711" t="s">
        <v>763</v>
      </c>
      <c r="B711" t="s">
        <v>16</v>
      </c>
      <c r="C711">
        <v>37</v>
      </c>
      <c r="D711" t="s">
        <v>34</v>
      </c>
      <c r="E711" t="s">
        <v>35</v>
      </c>
      <c r="F711" t="s">
        <v>28</v>
      </c>
      <c r="G711">
        <v>6</v>
      </c>
      <c r="H711">
        <v>3.4</v>
      </c>
      <c r="I711" t="str" cm="1">
        <f t="array" ref="I711">_xlfn.IFS(G711&lt;3, "0–2 Years", G711&lt;6, "3–5 Years", G711&lt;9, "6–8 Years", G711&lt;12, "9-11 Years", G711&gt;=12, "12-14 Years")</f>
        <v>6–8 Years</v>
      </c>
      <c r="J711">
        <v>3</v>
      </c>
      <c r="K711" t="s">
        <v>20</v>
      </c>
      <c r="L711">
        <v>82300</v>
      </c>
      <c r="M711">
        <v>7900</v>
      </c>
      <c r="N711">
        <v>90200</v>
      </c>
      <c r="O711" t="s">
        <v>30</v>
      </c>
      <c r="P711" s="3">
        <v>43844</v>
      </c>
      <c r="Q711" t="s">
        <v>28</v>
      </c>
    </row>
    <row r="712" spans="1:17" x14ac:dyDescent="0.35">
      <c r="A712" t="s">
        <v>764</v>
      </c>
      <c r="B712" t="s">
        <v>16</v>
      </c>
      <c r="C712">
        <v>32</v>
      </c>
      <c r="D712" t="s">
        <v>38</v>
      </c>
      <c r="E712" t="s">
        <v>112</v>
      </c>
      <c r="F712" t="s">
        <v>28</v>
      </c>
      <c r="G712">
        <v>2.1</v>
      </c>
      <c r="H712">
        <v>0.4</v>
      </c>
      <c r="I712" t="str" cm="1">
        <f t="array" ref="I712">_xlfn.IFS(G712&lt;3, "0–2 Years", G712&lt;6, "3–5 Years", G712&lt;9, "6–8 Years", G712&lt;12, "9-11 Years", G712&gt;=12, "12-14 Years")</f>
        <v>0–2 Years</v>
      </c>
      <c r="J712">
        <v>3</v>
      </c>
      <c r="K712" t="s">
        <v>20</v>
      </c>
      <c r="L712">
        <v>59900</v>
      </c>
      <c r="M712">
        <v>5400</v>
      </c>
      <c r="N712">
        <v>65300</v>
      </c>
      <c r="O712" t="s">
        <v>25</v>
      </c>
      <c r="P712" s="3">
        <v>45245</v>
      </c>
      <c r="Q712" t="s">
        <v>28</v>
      </c>
    </row>
    <row r="713" spans="1:17" x14ac:dyDescent="0.35">
      <c r="A713" t="s">
        <v>765</v>
      </c>
      <c r="B713" t="s">
        <v>23</v>
      </c>
      <c r="C713" s="7">
        <v>35</v>
      </c>
      <c r="D713" t="s">
        <v>38</v>
      </c>
      <c r="E713" t="s">
        <v>39</v>
      </c>
      <c r="F713" t="s">
        <v>36</v>
      </c>
      <c r="G713" s="9">
        <v>12.4</v>
      </c>
      <c r="H713" s="7">
        <v>7.2</v>
      </c>
      <c r="I713" t="str" cm="1">
        <f t="array" ref="I713">_xlfn.IFS(G713&lt;3, "0–2 Years", G713&lt;6, "3–5 Years", G713&lt;9, "6–8 Years", G713&lt;12, "9-11 Years", G713&gt;=12, "12-14 Years")</f>
        <v>12-14 Years</v>
      </c>
      <c r="J713" s="7">
        <v>3</v>
      </c>
      <c r="K713" t="s">
        <v>20</v>
      </c>
      <c r="L713" s="7">
        <v>89200</v>
      </c>
      <c r="M713" s="7">
        <v>9100</v>
      </c>
      <c r="N713" s="7">
        <v>98300</v>
      </c>
      <c r="O713" t="s">
        <v>30</v>
      </c>
      <c r="P713" s="3">
        <v>41492</v>
      </c>
      <c r="Q713" t="s">
        <v>36</v>
      </c>
    </row>
    <row r="714" spans="1:17" x14ac:dyDescent="0.35">
      <c r="A714" t="s">
        <v>766</v>
      </c>
      <c r="B714" t="s">
        <v>23</v>
      </c>
      <c r="C714">
        <v>36</v>
      </c>
      <c r="D714" t="s">
        <v>34</v>
      </c>
      <c r="E714" t="s">
        <v>59</v>
      </c>
      <c r="F714" t="s">
        <v>28</v>
      </c>
      <c r="G714">
        <v>5.0999999999999996</v>
      </c>
      <c r="H714">
        <v>4</v>
      </c>
      <c r="I714" t="str" cm="1">
        <f t="array" ref="I714">_xlfn.IFS(G714&lt;3, "0–2 Years", G714&lt;6, "3–5 Years", G714&lt;9, "6–8 Years", G714&lt;12, "9-11 Years", G714&gt;=12, "12-14 Years")</f>
        <v>3–5 Years</v>
      </c>
      <c r="J714">
        <v>3</v>
      </c>
      <c r="K714" t="s">
        <v>20</v>
      </c>
      <c r="L714">
        <v>100400</v>
      </c>
      <c r="M714">
        <v>6300</v>
      </c>
      <c r="N714">
        <v>106700</v>
      </c>
      <c r="O714" t="s">
        <v>57</v>
      </c>
      <c r="P714" s="3">
        <v>44153</v>
      </c>
      <c r="Q714" t="s">
        <v>28</v>
      </c>
    </row>
    <row r="715" spans="1:17" x14ac:dyDescent="0.35">
      <c r="A715" t="s">
        <v>767</v>
      </c>
      <c r="B715" t="s">
        <v>23</v>
      </c>
      <c r="C715" s="7">
        <v>52</v>
      </c>
      <c r="D715" t="s">
        <v>38</v>
      </c>
      <c r="E715" t="s">
        <v>39</v>
      </c>
      <c r="F715" t="s">
        <v>36</v>
      </c>
      <c r="G715" s="9">
        <v>12</v>
      </c>
      <c r="H715" s="7">
        <v>8.3000000000000007</v>
      </c>
      <c r="I715" t="str" cm="1">
        <f t="array" ref="I715">_xlfn.IFS(G715&lt;3, "0–2 Years", G715&lt;6, "3–5 Years", G715&lt;9, "6–8 Years", G715&lt;12, "9-11 Years", G715&gt;=12, "12-14 Years")</f>
        <v>12-14 Years</v>
      </c>
      <c r="J715" s="7">
        <v>3</v>
      </c>
      <c r="K715" t="s">
        <v>20</v>
      </c>
      <c r="L715" s="7">
        <v>84900</v>
      </c>
      <c r="M715" s="7">
        <v>7500</v>
      </c>
      <c r="N715" s="7">
        <v>92400</v>
      </c>
      <c r="O715" t="s">
        <v>30</v>
      </c>
      <c r="P715" s="3">
        <v>41640</v>
      </c>
      <c r="Q715" t="s">
        <v>36</v>
      </c>
    </row>
    <row r="716" spans="1:17" x14ac:dyDescent="0.35">
      <c r="A716" t="s">
        <v>768</v>
      </c>
      <c r="B716" t="s">
        <v>23</v>
      </c>
      <c r="C716">
        <v>29</v>
      </c>
      <c r="D716" t="s">
        <v>41</v>
      </c>
      <c r="E716" t="s">
        <v>42</v>
      </c>
      <c r="F716" t="s">
        <v>28</v>
      </c>
      <c r="G716">
        <v>1.3</v>
      </c>
      <c r="H716">
        <v>1.1000000000000001</v>
      </c>
      <c r="I716" t="str" cm="1">
        <f t="array" ref="I716">_xlfn.IFS(G716&lt;3, "0–2 Years", G716&lt;6, "3–5 Years", G716&lt;9, "6–8 Years", G716&lt;12, "9-11 Years", G716&gt;=12, "12-14 Years")</f>
        <v>0–2 Years</v>
      </c>
      <c r="J716">
        <v>2</v>
      </c>
      <c r="K716" t="s">
        <v>20</v>
      </c>
      <c r="L716">
        <v>60300</v>
      </c>
      <c r="M716">
        <v>3800</v>
      </c>
      <c r="N716">
        <v>64100</v>
      </c>
      <c r="O716" t="s">
        <v>25</v>
      </c>
      <c r="P716" s="3">
        <v>45558</v>
      </c>
      <c r="Q716" t="s">
        <v>28</v>
      </c>
    </row>
    <row r="717" spans="1:17" x14ac:dyDescent="0.35">
      <c r="A717" t="s">
        <v>769</v>
      </c>
      <c r="B717" t="s">
        <v>23</v>
      </c>
      <c r="C717" s="7">
        <v>46</v>
      </c>
      <c r="D717" t="s">
        <v>41</v>
      </c>
      <c r="E717" t="s">
        <v>67</v>
      </c>
      <c r="F717" t="s">
        <v>36</v>
      </c>
      <c r="G717" s="9">
        <v>13</v>
      </c>
      <c r="H717" s="7">
        <v>9</v>
      </c>
      <c r="I717" t="str" cm="1">
        <f t="array" ref="I717">_xlfn.IFS(G717&lt;3, "0–2 Years", G717&lt;6, "3–5 Years", G717&lt;9, "6–8 Years", G717&lt;12, "9-11 Years", G717&gt;=12, "12-14 Years")</f>
        <v>12-14 Years</v>
      </c>
      <c r="J717" s="7">
        <v>3</v>
      </c>
      <c r="K717" t="s">
        <v>24</v>
      </c>
      <c r="L717" s="7">
        <v>50100</v>
      </c>
      <c r="M717" s="7">
        <v>1600</v>
      </c>
      <c r="N717" s="7">
        <v>51700</v>
      </c>
      <c r="O717" t="s">
        <v>25</v>
      </c>
      <c r="P717" s="3">
        <v>41290</v>
      </c>
      <c r="Q717" t="s">
        <v>36</v>
      </c>
    </row>
    <row r="718" spans="1:17" x14ac:dyDescent="0.35">
      <c r="A718" t="s">
        <v>770</v>
      </c>
      <c r="B718" t="s">
        <v>16</v>
      </c>
      <c r="C718">
        <v>35</v>
      </c>
      <c r="D718" t="s">
        <v>34</v>
      </c>
      <c r="E718" t="s">
        <v>59</v>
      </c>
      <c r="F718" t="s">
        <v>36</v>
      </c>
      <c r="G718">
        <v>2.7</v>
      </c>
      <c r="H718">
        <v>0</v>
      </c>
      <c r="I718" t="str" cm="1">
        <f t="array" ref="I718">_xlfn.IFS(G718&lt;3, "0–2 Years", G718&lt;6, "3–5 Years", G718&lt;9, "6–8 Years", G718&lt;12, "9-11 Years", G718&gt;=12, "12-14 Years")</f>
        <v>0–2 Years</v>
      </c>
      <c r="J718">
        <v>3</v>
      </c>
      <c r="K718" t="s">
        <v>24</v>
      </c>
      <c r="L718">
        <v>62500</v>
      </c>
      <c r="M718">
        <v>3900</v>
      </c>
      <c r="N718">
        <v>66400</v>
      </c>
      <c r="O718" t="s">
        <v>25</v>
      </c>
      <c r="P718" s="3">
        <v>45042</v>
      </c>
      <c r="Q718" t="s">
        <v>36</v>
      </c>
    </row>
    <row r="719" spans="1:17" x14ac:dyDescent="0.35">
      <c r="A719" t="s">
        <v>771</v>
      </c>
      <c r="B719" t="s">
        <v>16</v>
      </c>
      <c r="C719" s="7">
        <v>32</v>
      </c>
      <c r="D719" t="s">
        <v>17</v>
      </c>
      <c r="E719" t="s">
        <v>27</v>
      </c>
      <c r="F719" t="s">
        <v>36</v>
      </c>
      <c r="G719" s="9">
        <v>13.3</v>
      </c>
      <c r="H719" s="7">
        <v>8.1</v>
      </c>
      <c r="I719" t="str" cm="1">
        <f t="array" ref="I719">_xlfn.IFS(G719&lt;3, "0–2 Years", G719&lt;6, "3–5 Years", G719&lt;9, "6–8 Years", G719&lt;12, "9-11 Years", G719&gt;=12, "12-14 Years")</f>
        <v>12-14 Years</v>
      </c>
      <c r="J719" s="7">
        <v>3</v>
      </c>
      <c r="K719" t="s">
        <v>20</v>
      </c>
      <c r="L719" s="7">
        <v>77800</v>
      </c>
      <c r="M719" s="7">
        <v>10000</v>
      </c>
      <c r="N719" s="7">
        <v>87800</v>
      </c>
      <c r="O719" t="s">
        <v>21</v>
      </c>
      <c r="P719" s="3">
        <v>41170</v>
      </c>
      <c r="Q719" t="s">
        <v>36</v>
      </c>
    </row>
    <row r="720" spans="1:17" x14ac:dyDescent="0.35">
      <c r="A720" t="s">
        <v>772</v>
      </c>
      <c r="B720" t="s">
        <v>23</v>
      </c>
      <c r="C720">
        <v>40</v>
      </c>
      <c r="D720" t="s">
        <v>34</v>
      </c>
      <c r="E720" t="s">
        <v>47</v>
      </c>
      <c r="F720" t="s">
        <v>28</v>
      </c>
      <c r="G720">
        <v>3</v>
      </c>
      <c r="H720">
        <v>1.2</v>
      </c>
      <c r="I720" t="str" cm="1">
        <f t="array" ref="I720">_xlfn.IFS(G720&lt;3, "0–2 Years", G720&lt;6, "3–5 Years", G720&lt;9, "6–8 Years", G720&lt;12, "9-11 Years", G720&gt;=12, "12-14 Years")</f>
        <v>3–5 Years</v>
      </c>
      <c r="J720">
        <v>3</v>
      </c>
      <c r="K720" t="s">
        <v>20</v>
      </c>
      <c r="L720">
        <v>72200</v>
      </c>
      <c r="M720">
        <v>5100</v>
      </c>
      <c r="N720">
        <v>77300</v>
      </c>
      <c r="O720" t="s">
        <v>21</v>
      </c>
      <c r="P720" s="3">
        <v>44937</v>
      </c>
      <c r="Q720" t="s">
        <v>28</v>
      </c>
    </row>
    <row r="721" spans="1:17" x14ac:dyDescent="0.35">
      <c r="A721" t="s">
        <v>773</v>
      </c>
      <c r="B721" t="s">
        <v>23</v>
      </c>
      <c r="C721">
        <v>34</v>
      </c>
      <c r="D721" t="s">
        <v>17</v>
      </c>
      <c r="E721" t="s">
        <v>32</v>
      </c>
      <c r="F721" t="s">
        <v>36</v>
      </c>
      <c r="G721">
        <v>5.9</v>
      </c>
      <c r="H721">
        <v>4.7</v>
      </c>
      <c r="I721" t="str" cm="1">
        <f t="array" ref="I721">_xlfn.IFS(G721&lt;3, "0–2 Years", G721&lt;6, "3–5 Years", G721&lt;9, "6–8 Years", G721&lt;12, "9-11 Years", G721&gt;=12, "12-14 Years")</f>
        <v>3–5 Years</v>
      </c>
      <c r="J721">
        <v>3</v>
      </c>
      <c r="K721" t="s">
        <v>69</v>
      </c>
      <c r="L721">
        <v>58100</v>
      </c>
      <c r="M721">
        <v>4800</v>
      </c>
      <c r="N721">
        <v>62900</v>
      </c>
      <c r="O721" t="s">
        <v>25</v>
      </c>
      <c r="P721" s="3">
        <v>43864</v>
      </c>
      <c r="Q721" t="s">
        <v>36</v>
      </c>
    </row>
    <row r="722" spans="1:17" x14ac:dyDescent="0.35">
      <c r="A722" t="s">
        <v>774</v>
      </c>
      <c r="B722" t="s">
        <v>16</v>
      </c>
      <c r="C722">
        <v>40</v>
      </c>
      <c r="D722" t="s">
        <v>41</v>
      </c>
      <c r="E722" t="s">
        <v>73</v>
      </c>
      <c r="F722" t="s">
        <v>36</v>
      </c>
      <c r="G722">
        <v>3.3</v>
      </c>
      <c r="H722">
        <v>3.2</v>
      </c>
      <c r="I722" t="str" cm="1">
        <f t="array" ref="I722">_xlfn.IFS(G722&lt;3, "0–2 Years", G722&lt;6, "3–5 Years", G722&lt;9, "6–8 Years", G722&lt;12, "9-11 Years", G722&gt;=12, "12-14 Years")</f>
        <v>3–5 Years</v>
      </c>
      <c r="J722">
        <v>4</v>
      </c>
      <c r="K722" t="s">
        <v>20</v>
      </c>
      <c r="L722">
        <v>109600</v>
      </c>
      <c r="M722">
        <v>5500</v>
      </c>
      <c r="N722">
        <v>115100</v>
      </c>
      <c r="O722" t="s">
        <v>57</v>
      </c>
      <c r="P722" s="3">
        <v>44823</v>
      </c>
      <c r="Q722" t="s">
        <v>36</v>
      </c>
    </row>
    <row r="723" spans="1:17" x14ac:dyDescent="0.35">
      <c r="A723" t="s">
        <v>775</v>
      </c>
      <c r="B723" t="s">
        <v>23</v>
      </c>
      <c r="C723">
        <v>30</v>
      </c>
      <c r="D723" t="s">
        <v>41</v>
      </c>
      <c r="E723" t="s">
        <v>42</v>
      </c>
      <c r="F723" t="s">
        <v>28</v>
      </c>
      <c r="G723">
        <v>11.2</v>
      </c>
      <c r="H723">
        <v>8.4</v>
      </c>
      <c r="I723" t="str" cm="1">
        <f t="array" ref="I723">_xlfn.IFS(G723&lt;3, "0–2 Years", G723&lt;6, "3–5 Years", G723&lt;9, "6–8 Years", G723&lt;12, "9-11 Years", G723&gt;=12, "12-14 Years")</f>
        <v>9-11 Years</v>
      </c>
      <c r="J723">
        <v>3</v>
      </c>
      <c r="K723" t="s">
        <v>20</v>
      </c>
      <c r="L723">
        <v>79800</v>
      </c>
      <c r="M723">
        <v>5900</v>
      </c>
      <c r="N723">
        <v>85700</v>
      </c>
      <c r="O723" t="s">
        <v>21</v>
      </c>
      <c r="P723" s="3">
        <v>41939</v>
      </c>
      <c r="Q723" t="s">
        <v>28</v>
      </c>
    </row>
    <row r="724" spans="1:17" x14ac:dyDescent="0.35">
      <c r="A724" t="s">
        <v>776</v>
      </c>
      <c r="B724" t="s">
        <v>16</v>
      </c>
      <c r="C724">
        <v>32</v>
      </c>
      <c r="D724" t="s">
        <v>41</v>
      </c>
      <c r="E724" t="s">
        <v>73</v>
      </c>
      <c r="F724" t="s">
        <v>62</v>
      </c>
      <c r="G724">
        <v>6.7</v>
      </c>
      <c r="H724">
        <v>5.3</v>
      </c>
      <c r="I724" t="str" cm="1">
        <f t="array" ref="I724">_xlfn.IFS(G724&lt;3, "0–2 Years", G724&lt;6, "3–5 Years", G724&lt;9, "6–8 Years", G724&lt;12, "9-11 Years", G724&gt;=12, "12-14 Years")</f>
        <v>6–8 Years</v>
      </c>
      <c r="J724">
        <v>3</v>
      </c>
      <c r="K724" t="s">
        <v>20</v>
      </c>
      <c r="L724">
        <v>104600</v>
      </c>
      <c r="M724">
        <v>5300</v>
      </c>
      <c r="N724">
        <v>109900</v>
      </c>
      <c r="O724" t="s">
        <v>57</v>
      </c>
      <c r="P724" s="3">
        <v>43593</v>
      </c>
      <c r="Q724" t="s">
        <v>62</v>
      </c>
    </row>
    <row r="725" spans="1:17" x14ac:dyDescent="0.35">
      <c r="A725" t="s">
        <v>777</v>
      </c>
      <c r="B725" t="s">
        <v>23</v>
      </c>
      <c r="C725">
        <v>36</v>
      </c>
      <c r="D725" t="s">
        <v>17</v>
      </c>
      <c r="E725" t="s">
        <v>32</v>
      </c>
      <c r="F725" t="s">
        <v>28</v>
      </c>
      <c r="G725">
        <v>7.4</v>
      </c>
      <c r="H725">
        <v>4.4000000000000004</v>
      </c>
      <c r="I725" t="str" cm="1">
        <f t="array" ref="I725">_xlfn.IFS(G725&lt;3, "0–2 Years", G725&lt;6, "3–5 Years", G725&lt;9, "6–8 Years", G725&lt;12, "9-11 Years", G725&gt;=12, "12-14 Years")</f>
        <v>6–8 Years</v>
      </c>
      <c r="J725">
        <v>3</v>
      </c>
      <c r="K725" t="s">
        <v>20</v>
      </c>
      <c r="L725">
        <v>65800</v>
      </c>
      <c r="M725">
        <v>5700</v>
      </c>
      <c r="N725">
        <v>71500</v>
      </c>
      <c r="O725" t="s">
        <v>21</v>
      </c>
      <c r="P725" s="3">
        <v>43302</v>
      </c>
      <c r="Q725" t="s">
        <v>28</v>
      </c>
    </row>
    <row r="726" spans="1:17" x14ac:dyDescent="0.35">
      <c r="A726" t="s">
        <v>778</v>
      </c>
      <c r="B726" t="s">
        <v>16</v>
      </c>
      <c r="C726" s="7">
        <v>37</v>
      </c>
      <c r="D726" t="s">
        <v>34</v>
      </c>
      <c r="E726" t="s">
        <v>35</v>
      </c>
      <c r="F726" t="s">
        <v>28</v>
      </c>
      <c r="G726" s="9">
        <v>13.7</v>
      </c>
      <c r="H726" s="7">
        <v>10.5</v>
      </c>
      <c r="I726" t="str" cm="1">
        <f t="array" ref="I726">_xlfn.IFS(G726&lt;3, "0–2 Years", G726&lt;6, "3–5 Years", G726&lt;9, "6–8 Years", G726&lt;12, "9-11 Years", G726&gt;=12, "12-14 Years")</f>
        <v>12-14 Years</v>
      </c>
      <c r="J726" s="7">
        <v>3</v>
      </c>
      <c r="K726" t="s">
        <v>20</v>
      </c>
      <c r="L726" s="7">
        <v>84900</v>
      </c>
      <c r="M726" s="7">
        <v>9800</v>
      </c>
      <c r="N726" s="7">
        <v>94700</v>
      </c>
      <c r="O726" t="s">
        <v>30</v>
      </c>
      <c r="P726" s="3">
        <v>41020</v>
      </c>
      <c r="Q726" t="s">
        <v>28</v>
      </c>
    </row>
    <row r="727" spans="1:17" x14ac:dyDescent="0.35">
      <c r="A727" t="s">
        <v>779</v>
      </c>
      <c r="B727" t="s">
        <v>16</v>
      </c>
      <c r="C727">
        <v>28</v>
      </c>
      <c r="D727" t="s">
        <v>44</v>
      </c>
      <c r="E727" t="s">
        <v>81</v>
      </c>
      <c r="F727" t="s">
        <v>28</v>
      </c>
      <c r="G727">
        <v>8.9</v>
      </c>
      <c r="H727">
        <v>8.8000000000000007</v>
      </c>
      <c r="I727" t="str" cm="1">
        <f t="array" ref="I727">_xlfn.IFS(G727&lt;3, "0–2 Years", G727&lt;6, "3–5 Years", G727&lt;9, "6–8 Years", G727&lt;12, "9-11 Years", G727&gt;=12, "12-14 Years")</f>
        <v>6–8 Years</v>
      </c>
      <c r="J727">
        <v>3</v>
      </c>
      <c r="K727" t="s">
        <v>20</v>
      </c>
      <c r="L727">
        <v>84700</v>
      </c>
      <c r="M727">
        <v>10900</v>
      </c>
      <c r="N727">
        <v>95600</v>
      </c>
      <c r="O727" t="s">
        <v>30</v>
      </c>
      <c r="P727" s="3">
        <v>42755</v>
      </c>
      <c r="Q727" t="s">
        <v>28</v>
      </c>
    </row>
    <row r="728" spans="1:17" x14ac:dyDescent="0.35">
      <c r="A728" t="s">
        <v>780</v>
      </c>
      <c r="B728" t="s">
        <v>23</v>
      </c>
      <c r="C728">
        <v>36</v>
      </c>
      <c r="D728" t="s">
        <v>34</v>
      </c>
      <c r="E728" t="s">
        <v>59</v>
      </c>
      <c r="F728" t="s">
        <v>36</v>
      </c>
      <c r="G728">
        <v>6.1</v>
      </c>
      <c r="H728">
        <v>4.4000000000000004</v>
      </c>
      <c r="I728" t="str" cm="1">
        <f t="array" ref="I728">_xlfn.IFS(G728&lt;3, "0–2 Years", G728&lt;6, "3–5 Years", G728&lt;9, "6–8 Years", G728&lt;12, "9-11 Years", G728&gt;=12, "12-14 Years")</f>
        <v>6–8 Years</v>
      </c>
      <c r="J728">
        <v>3</v>
      </c>
      <c r="K728" t="s">
        <v>20</v>
      </c>
      <c r="L728">
        <v>108000</v>
      </c>
      <c r="M728">
        <v>9400</v>
      </c>
      <c r="N728">
        <v>117400</v>
      </c>
      <c r="O728" t="s">
        <v>57</v>
      </c>
      <c r="P728" s="3">
        <v>43798</v>
      </c>
      <c r="Q728" t="s">
        <v>36</v>
      </c>
    </row>
    <row r="729" spans="1:17" x14ac:dyDescent="0.35">
      <c r="A729" t="s">
        <v>781</v>
      </c>
      <c r="B729" t="s">
        <v>16</v>
      </c>
      <c r="C729">
        <v>39</v>
      </c>
      <c r="D729" t="s">
        <v>44</v>
      </c>
      <c r="E729" t="s">
        <v>51</v>
      </c>
      <c r="F729" t="s">
        <v>28</v>
      </c>
      <c r="G729">
        <v>11.1</v>
      </c>
      <c r="H729">
        <v>6.8</v>
      </c>
      <c r="I729" t="str" cm="1">
        <f t="array" ref="I729">_xlfn.IFS(G729&lt;3, "0–2 Years", G729&lt;6, "3–5 Years", G729&lt;9, "6–8 Years", G729&lt;12, "9-11 Years", G729&gt;=12, "12-14 Years")</f>
        <v>9-11 Years</v>
      </c>
      <c r="J729">
        <v>5</v>
      </c>
      <c r="K729" t="s">
        <v>69</v>
      </c>
      <c r="L729">
        <v>82100</v>
      </c>
      <c r="M729">
        <v>7400</v>
      </c>
      <c r="N729">
        <v>89500</v>
      </c>
      <c r="O729" t="s">
        <v>30</v>
      </c>
      <c r="P729" s="3">
        <v>41953</v>
      </c>
      <c r="Q729" t="s">
        <v>28</v>
      </c>
    </row>
    <row r="730" spans="1:17" x14ac:dyDescent="0.35">
      <c r="A730" t="s">
        <v>782</v>
      </c>
      <c r="B730" t="s">
        <v>23</v>
      </c>
      <c r="C730">
        <v>45</v>
      </c>
      <c r="D730" t="s">
        <v>44</v>
      </c>
      <c r="E730" t="s">
        <v>81</v>
      </c>
      <c r="F730" t="s">
        <v>28</v>
      </c>
      <c r="G730">
        <v>8</v>
      </c>
      <c r="H730">
        <v>4</v>
      </c>
      <c r="I730" t="str" cm="1">
        <f t="array" ref="I730">_xlfn.IFS(G730&lt;3, "0–2 Years", G730&lt;6, "3–5 Years", G730&lt;9, "6–8 Years", G730&lt;12, "9-11 Years", G730&gt;=12, "12-14 Years")</f>
        <v>6–8 Years</v>
      </c>
      <c r="J730">
        <v>3</v>
      </c>
      <c r="K730" t="s">
        <v>69</v>
      </c>
      <c r="L730">
        <v>78600</v>
      </c>
      <c r="M730">
        <v>10600</v>
      </c>
      <c r="N730">
        <v>89200</v>
      </c>
      <c r="O730" t="s">
        <v>21</v>
      </c>
      <c r="P730" s="3">
        <v>43115</v>
      </c>
      <c r="Q730" t="s">
        <v>28</v>
      </c>
    </row>
    <row r="731" spans="1:17" x14ac:dyDescent="0.35">
      <c r="A731" t="s">
        <v>783</v>
      </c>
      <c r="B731" t="s">
        <v>16</v>
      </c>
      <c r="C731">
        <v>35</v>
      </c>
      <c r="D731" t="s">
        <v>41</v>
      </c>
      <c r="E731" t="s">
        <v>73</v>
      </c>
      <c r="F731" t="s">
        <v>36</v>
      </c>
      <c r="G731">
        <v>11</v>
      </c>
      <c r="H731">
        <v>9.8000000000000007</v>
      </c>
      <c r="I731" t="str" cm="1">
        <f t="array" ref="I731">_xlfn.IFS(G731&lt;3, "0–2 Years", G731&lt;6, "3–5 Years", G731&lt;9, "6–8 Years", G731&lt;12, "9-11 Years", G731&gt;=12, "12-14 Years")</f>
        <v>9-11 Years</v>
      </c>
      <c r="J731">
        <v>3</v>
      </c>
      <c r="K731" t="s">
        <v>20</v>
      </c>
      <c r="L731">
        <v>107800</v>
      </c>
      <c r="M731">
        <v>4200</v>
      </c>
      <c r="N731">
        <v>112000</v>
      </c>
      <c r="O731" t="s">
        <v>57</v>
      </c>
      <c r="P731" s="3">
        <v>41988</v>
      </c>
      <c r="Q731" t="s">
        <v>36</v>
      </c>
    </row>
    <row r="732" spans="1:17" x14ac:dyDescent="0.35">
      <c r="A732" t="s">
        <v>784</v>
      </c>
      <c r="B732" t="s">
        <v>16</v>
      </c>
      <c r="C732">
        <v>42</v>
      </c>
      <c r="D732" t="s">
        <v>34</v>
      </c>
      <c r="E732" t="s">
        <v>47</v>
      </c>
      <c r="F732" t="s">
        <v>28</v>
      </c>
      <c r="G732">
        <v>10.6</v>
      </c>
      <c r="H732">
        <v>7.6</v>
      </c>
      <c r="I732" t="str" cm="1">
        <f t="array" ref="I732">_xlfn.IFS(G732&lt;3, "0–2 Years", G732&lt;6, "3–5 Years", G732&lt;9, "6–8 Years", G732&lt;12, "9-11 Years", G732&gt;=12, "12-14 Years")</f>
        <v>9-11 Years</v>
      </c>
      <c r="J732">
        <v>3</v>
      </c>
      <c r="K732" t="s">
        <v>20</v>
      </c>
      <c r="L732">
        <v>87300</v>
      </c>
      <c r="M732">
        <v>5200</v>
      </c>
      <c r="N732">
        <v>92500</v>
      </c>
      <c r="O732" t="s">
        <v>30</v>
      </c>
      <c r="P732" s="3">
        <v>42150</v>
      </c>
      <c r="Q732" t="s">
        <v>28</v>
      </c>
    </row>
    <row r="733" spans="1:17" x14ac:dyDescent="0.35">
      <c r="A733" t="s">
        <v>785</v>
      </c>
      <c r="B733" t="s">
        <v>23</v>
      </c>
      <c r="C733" s="7">
        <v>27</v>
      </c>
      <c r="D733" t="s">
        <v>17</v>
      </c>
      <c r="E733" t="s">
        <v>27</v>
      </c>
      <c r="F733" t="s">
        <v>36</v>
      </c>
      <c r="G733" s="9">
        <v>13.1</v>
      </c>
      <c r="H733" s="7">
        <v>7.2</v>
      </c>
      <c r="I733" t="str" cm="1">
        <f t="array" ref="I733">_xlfn.IFS(G733&lt;3, "0–2 Years", G733&lt;6, "3–5 Years", G733&lt;9, "6–8 Years", G733&lt;12, "9-11 Years", G733&gt;=12, "12-14 Years")</f>
        <v>12-14 Years</v>
      </c>
      <c r="J733" s="7">
        <v>3</v>
      </c>
      <c r="K733" t="s">
        <v>20</v>
      </c>
      <c r="L733" s="7">
        <v>90000</v>
      </c>
      <c r="M733" s="7">
        <v>9400</v>
      </c>
      <c r="N733" s="7">
        <v>99400</v>
      </c>
      <c r="O733" t="s">
        <v>30</v>
      </c>
      <c r="P733" s="3">
        <v>41233</v>
      </c>
      <c r="Q733" t="s">
        <v>36</v>
      </c>
    </row>
    <row r="734" spans="1:17" x14ac:dyDescent="0.35">
      <c r="A734" t="s">
        <v>786</v>
      </c>
      <c r="B734" t="s">
        <v>16</v>
      </c>
      <c r="C734">
        <v>28</v>
      </c>
      <c r="D734" t="s">
        <v>44</v>
      </c>
      <c r="E734" t="s">
        <v>76</v>
      </c>
      <c r="F734" t="s">
        <v>28</v>
      </c>
      <c r="G734">
        <v>6.4</v>
      </c>
      <c r="H734">
        <v>5.5</v>
      </c>
      <c r="I734" t="str" cm="1">
        <f t="array" ref="I734">_xlfn.IFS(G734&lt;3, "0–2 Years", G734&lt;6, "3–5 Years", G734&lt;9, "6–8 Years", G734&lt;12, "9-11 Years", G734&gt;=12, "12-14 Years")</f>
        <v>6–8 Years</v>
      </c>
      <c r="J734">
        <v>4</v>
      </c>
      <c r="K734" t="s">
        <v>20</v>
      </c>
      <c r="L734">
        <v>100300</v>
      </c>
      <c r="M734">
        <v>5900</v>
      </c>
      <c r="N734">
        <v>106200</v>
      </c>
      <c r="O734" t="s">
        <v>57</v>
      </c>
      <c r="P734" s="3">
        <v>43672</v>
      </c>
      <c r="Q734" t="s">
        <v>28</v>
      </c>
    </row>
    <row r="735" spans="1:17" x14ac:dyDescent="0.35">
      <c r="A735" t="s">
        <v>787</v>
      </c>
      <c r="B735" t="s">
        <v>23</v>
      </c>
      <c r="C735" s="7">
        <v>40</v>
      </c>
      <c r="D735" t="s">
        <v>34</v>
      </c>
      <c r="E735" t="s">
        <v>47</v>
      </c>
      <c r="F735" t="s">
        <v>36</v>
      </c>
      <c r="G735" s="9">
        <v>13.1</v>
      </c>
      <c r="H735" s="7">
        <v>8</v>
      </c>
      <c r="I735" t="str" cm="1">
        <f t="array" ref="I735">_xlfn.IFS(G735&lt;3, "0–2 Years", G735&lt;6, "3–5 Years", G735&lt;9, "6–8 Years", G735&lt;12, "9-11 Years", G735&gt;=12, "12-14 Years")</f>
        <v>12-14 Years</v>
      </c>
      <c r="J735" s="7">
        <v>4</v>
      </c>
      <c r="K735" t="s">
        <v>20</v>
      </c>
      <c r="L735" s="7">
        <v>83700</v>
      </c>
      <c r="M735" s="7">
        <v>4900</v>
      </c>
      <c r="N735" s="7">
        <v>88600</v>
      </c>
      <c r="O735" t="s">
        <v>30</v>
      </c>
      <c r="P735" s="3">
        <v>41233</v>
      </c>
      <c r="Q735" t="s">
        <v>36</v>
      </c>
    </row>
    <row r="736" spans="1:17" x14ac:dyDescent="0.35">
      <c r="A736" t="s">
        <v>788</v>
      </c>
      <c r="B736" t="s">
        <v>23</v>
      </c>
      <c r="C736">
        <v>36</v>
      </c>
      <c r="D736" t="s">
        <v>41</v>
      </c>
      <c r="E736" t="s">
        <v>73</v>
      </c>
      <c r="F736" t="s">
        <v>28</v>
      </c>
      <c r="G736">
        <v>8.1999999999999993</v>
      </c>
      <c r="H736">
        <v>4</v>
      </c>
      <c r="I736" t="str" cm="1">
        <f t="array" ref="I736">_xlfn.IFS(G736&lt;3, "0–2 Years", G736&lt;6, "3–5 Years", G736&lt;9, "6–8 Years", G736&lt;12, "9-11 Years", G736&gt;=12, "12-14 Years")</f>
        <v>6–8 Years</v>
      </c>
      <c r="J736">
        <v>2</v>
      </c>
      <c r="K736" t="s">
        <v>20</v>
      </c>
      <c r="L736">
        <v>91800</v>
      </c>
      <c r="M736">
        <v>3300</v>
      </c>
      <c r="N736">
        <v>95100</v>
      </c>
      <c r="O736" t="s">
        <v>30</v>
      </c>
      <c r="P736" s="3">
        <v>43014</v>
      </c>
      <c r="Q736" t="s">
        <v>28</v>
      </c>
    </row>
    <row r="737" spans="1:17" x14ac:dyDescent="0.35">
      <c r="A737" t="s">
        <v>789</v>
      </c>
      <c r="B737" t="s">
        <v>23</v>
      </c>
      <c r="C737">
        <v>33</v>
      </c>
      <c r="D737" t="s">
        <v>44</v>
      </c>
      <c r="E737" t="s">
        <v>51</v>
      </c>
      <c r="F737" t="s">
        <v>36</v>
      </c>
      <c r="G737">
        <v>2.2999999999999998</v>
      </c>
      <c r="H737">
        <v>0.7</v>
      </c>
      <c r="I737" t="str" cm="1">
        <f t="array" ref="I737">_xlfn.IFS(G737&lt;3, "0–2 Years", G737&lt;6, "3–5 Years", G737&lt;9, "6–8 Years", G737&lt;12, "9-11 Years", G737&gt;=12, "12-14 Years")</f>
        <v>0–2 Years</v>
      </c>
      <c r="J737">
        <v>3</v>
      </c>
      <c r="K737" t="s">
        <v>20</v>
      </c>
      <c r="L737">
        <v>80600</v>
      </c>
      <c r="M737">
        <v>5700</v>
      </c>
      <c r="N737">
        <v>86300</v>
      </c>
      <c r="O737" t="s">
        <v>30</v>
      </c>
      <c r="P737" s="3">
        <v>45172</v>
      </c>
      <c r="Q737" t="s">
        <v>36</v>
      </c>
    </row>
    <row r="738" spans="1:17" x14ac:dyDescent="0.35">
      <c r="A738" t="s">
        <v>790</v>
      </c>
      <c r="B738" t="s">
        <v>23</v>
      </c>
      <c r="C738">
        <v>36</v>
      </c>
      <c r="D738" t="s">
        <v>17</v>
      </c>
      <c r="E738" t="s">
        <v>32</v>
      </c>
      <c r="F738" t="s">
        <v>28</v>
      </c>
      <c r="G738">
        <v>1.9</v>
      </c>
      <c r="H738">
        <v>0</v>
      </c>
      <c r="I738" t="str" cm="1">
        <f t="array" ref="I738">_xlfn.IFS(G738&lt;3, "0–2 Years", G738&lt;6, "3–5 Years", G738&lt;9, "6–8 Years", G738&lt;12, "9-11 Years", G738&gt;=12, "12-14 Years")</f>
        <v>0–2 Years</v>
      </c>
      <c r="J738">
        <v>3</v>
      </c>
      <c r="K738" t="s">
        <v>20</v>
      </c>
      <c r="L738">
        <v>74100</v>
      </c>
      <c r="M738">
        <v>5200</v>
      </c>
      <c r="N738">
        <v>79300</v>
      </c>
      <c r="O738" t="s">
        <v>21</v>
      </c>
      <c r="P738" s="3">
        <v>45339</v>
      </c>
      <c r="Q738" t="s">
        <v>28</v>
      </c>
    </row>
    <row r="739" spans="1:17" x14ac:dyDescent="0.35">
      <c r="A739" t="s">
        <v>791</v>
      </c>
      <c r="B739" t="s">
        <v>16</v>
      </c>
      <c r="C739">
        <v>46</v>
      </c>
      <c r="D739" t="s">
        <v>17</v>
      </c>
      <c r="E739" t="s">
        <v>32</v>
      </c>
      <c r="F739" t="s">
        <v>19</v>
      </c>
      <c r="G739">
        <v>9.6999999999999993</v>
      </c>
      <c r="H739">
        <v>5</v>
      </c>
      <c r="I739" t="str" cm="1">
        <f t="array" ref="I739">_xlfn.IFS(G739&lt;3, "0–2 Years", G739&lt;6, "3–5 Years", G739&lt;9, "6–8 Years", G739&lt;12, "9-11 Years", G739&gt;=12, "12-14 Years")</f>
        <v>9-11 Years</v>
      </c>
      <c r="J739">
        <v>3</v>
      </c>
      <c r="K739" t="s">
        <v>24</v>
      </c>
      <c r="L739">
        <v>43300</v>
      </c>
      <c r="M739">
        <v>3200</v>
      </c>
      <c r="N739">
        <v>46500</v>
      </c>
      <c r="O739" t="s">
        <v>65</v>
      </c>
      <c r="P739" s="3">
        <v>42486</v>
      </c>
      <c r="Q739" t="s">
        <v>19</v>
      </c>
    </row>
    <row r="740" spans="1:17" x14ac:dyDescent="0.35">
      <c r="A740" t="s">
        <v>792</v>
      </c>
      <c r="B740" t="s">
        <v>16</v>
      </c>
      <c r="C740">
        <v>31</v>
      </c>
      <c r="D740" t="s">
        <v>55</v>
      </c>
      <c r="E740" t="s">
        <v>79</v>
      </c>
      <c r="F740" t="s">
        <v>28</v>
      </c>
      <c r="G740">
        <v>3.8</v>
      </c>
      <c r="H740">
        <v>2.9</v>
      </c>
      <c r="I740" t="str" cm="1">
        <f t="array" ref="I740">_xlfn.IFS(G740&lt;3, "0–2 Years", G740&lt;6, "3–5 Years", G740&lt;9, "6–8 Years", G740&lt;12, "9-11 Years", G740&gt;=12, "12-14 Years")</f>
        <v>3–5 Years</v>
      </c>
      <c r="J740">
        <v>3</v>
      </c>
      <c r="K740" t="s">
        <v>20</v>
      </c>
      <c r="L740">
        <v>61600</v>
      </c>
      <c r="M740">
        <v>6900</v>
      </c>
      <c r="N740">
        <v>68500</v>
      </c>
      <c r="O740" t="s">
        <v>25</v>
      </c>
      <c r="P740" s="3">
        <v>44634</v>
      </c>
      <c r="Q740" t="s">
        <v>28</v>
      </c>
    </row>
    <row r="741" spans="1:17" x14ac:dyDescent="0.35">
      <c r="A741" t="s">
        <v>793</v>
      </c>
      <c r="B741" t="s">
        <v>23</v>
      </c>
      <c r="C741">
        <v>30</v>
      </c>
      <c r="D741" t="s">
        <v>41</v>
      </c>
      <c r="E741" t="s">
        <v>67</v>
      </c>
      <c r="F741" t="s">
        <v>28</v>
      </c>
      <c r="G741">
        <v>2.6</v>
      </c>
      <c r="H741">
        <v>2.6</v>
      </c>
      <c r="I741" t="str" cm="1">
        <f t="array" ref="I741">_xlfn.IFS(G741&lt;3, "0–2 Years", G741&lt;6, "3–5 Years", G741&lt;9, "6–8 Years", G741&lt;12, "9-11 Years", G741&gt;=12, "12-14 Years")</f>
        <v>0–2 Years</v>
      </c>
      <c r="J741">
        <v>3</v>
      </c>
      <c r="K741" t="s">
        <v>20</v>
      </c>
      <c r="L741">
        <v>69500</v>
      </c>
      <c r="M741">
        <v>3500</v>
      </c>
      <c r="N741">
        <v>73000</v>
      </c>
      <c r="O741" t="s">
        <v>21</v>
      </c>
      <c r="P741" s="3">
        <v>45086</v>
      </c>
      <c r="Q741" t="s">
        <v>28</v>
      </c>
    </row>
    <row r="742" spans="1:17" x14ac:dyDescent="0.35">
      <c r="A742" t="s">
        <v>794</v>
      </c>
      <c r="B742" t="s">
        <v>23</v>
      </c>
      <c r="C742" s="7">
        <v>41</v>
      </c>
      <c r="D742" t="s">
        <v>17</v>
      </c>
      <c r="E742" t="s">
        <v>27</v>
      </c>
      <c r="F742" t="s">
        <v>28</v>
      </c>
      <c r="G742" s="9">
        <v>12</v>
      </c>
      <c r="H742" s="7">
        <v>7.8</v>
      </c>
      <c r="I742" t="str" cm="1">
        <f t="array" ref="I742">_xlfn.IFS(G742&lt;3, "0–2 Years", G742&lt;6, "3–5 Years", G742&lt;9, "6–8 Years", G742&lt;12, "9-11 Years", G742&gt;=12, "12-14 Years")</f>
        <v>12-14 Years</v>
      </c>
      <c r="J742" s="7">
        <v>4</v>
      </c>
      <c r="K742" t="s">
        <v>20</v>
      </c>
      <c r="L742" s="7">
        <v>93300</v>
      </c>
      <c r="M742" s="7">
        <v>6500</v>
      </c>
      <c r="N742" s="7">
        <v>99800</v>
      </c>
      <c r="O742" t="s">
        <v>30</v>
      </c>
      <c r="P742" s="3">
        <v>41635</v>
      </c>
      <c r="Q742" t="s">
        <v>28</v>
      </c>
    </row>
    <row r="743" spans="1:17" x14ac:dyDescent="0.35">
      <c r="A743" t="s">
        <v>795</v>
      </c>
      <c r="B743" t="s">
        <v>23</v>
      </c>
      <c r="C743">
        <v>35</v>
      </c>
      <c r="D743" t="s">
        <v>44</v>
      </c>
      <c r="E743" t="s">
        <v>51</v>
      </c>
      <c r="F743" t="s">
        <v>28</v>
      </c>
      <c r="G743">
        <v>10.3</v>
      </c>
      <c r="H743">
        <v>7.4</v>
      </c>
      <c r="I743" t="str" cm="1">
        <f t="array" ref="I743">_xlfn.IFS(G743&lt;3, "0–2 Years", G743&lt;6, "3–5 Years", G743&lt;9, "6–8 Years", G743&lt;12, "9-11 Years", G743&gt;=12, "12-14 Years")</f>
        <v>9-11 Years</v>
      </c>
      <c r="J743">
        <v>1</v>
      </c>
      <c r="K743" t="s">
        <v>20</v>
      </c>
      <c r="L743">
        <v>87600</v>
      </c>
      <c r="M743">
        <v>12700</v>
      </c>
      <c r="N743">
        <v>100300</v>
      </c>
      <c r="O743" t="s">
        <v>30</v>
      </c>
      <c r="P743" s="3">
        <v>42262</v>
      </c>
      <c r="Q743" t="s">
        <v>28</v>
      </c>
    </row>
    <row r="744" spans="1:17" x14ac:dyDescent="0.35">
      <c r="A744" t="s">
        <v>796</v>
      </c>
      <c r="B744" t="s">
        <v>16</v>
      </c>
      <c r="C744">
        <v>32</v>
      </c>
      <c r="D744" t="s">
        <v>17</v>
      </c>
      <c r="E744" t="s">
        <v>18</v>
      </c>
      <c r="F744" t="s">
        <v>36</v>
      </c>
      <c r="G744">
        <v>9.1</v>
      </c>
      <c r="H744">
        <v>5.6</v>
      </c>
      <c r="I744" t="str" cm="1">
        <f t="array" ref="I744">_xlfn.IFS(G744&lt;3, "0–2 Years", G744&lt;6, "3–5 Years", G744&lt;9, "6–8 Years", G744&lt;12, "9-11 Years", G744&gt;=12, "12-14 Years")</f>
        <v>9-11 Years</v>
      </c>
      <c r="J744">
        <v>2</v>
      </c>
      <c r="K744" t="s">
        <v>20</v>
      </c>
      <c r="L744">
        <v>88600</v>
      </c>
      <c r="M744">
        <v>4300</v>
      </c>
      <c r="N744">
        <v>92900</v>
      </c>
      <c r="O744" t="s">
        <v>30</v>
      </c>
      <c r="P744" s="3">
        <v>42690</v>
      </c>
      <c r="Q744" t="s">
        <v>36</v>
      </c>
    </row>
    <row r="745" spans="1:17" x14ac:dyDescent="0.35">
      <c r="A745" t="s">
        <v>797</v>
      </c>
      <c r="B745" t="s">
        <v>16</v>
      </c>
      <c r="C745">
        <v>37</v>
      </c>
      <c r="D745" t="s">
        <v>55</v>
      </c>
      <c r="E745" t="s">
        <v>92</v>
      </c>
      <c r="F745" t="s">
        <v>19</v>
      </c>
      <c r="G745">
        <v>6.6</v>
      </c>
      <c r="H745">
        <v>6.6</v>
      </c>
      <c r="I745" t="str" cm="1">
        <f t="array" ref="I745">_xlfn.IFS(G745&lt;3, "0–2 Years", G745&lt;6, "3–5 Years", G745&lt;9, "6–8 Years", G745&lt;12, "9-11 Years", G745&gt;=12, "12-14 Years")</f>
        <v>6–8 Years</v>
      </c>
      <c r="J745">
        <v>4</v>
      </c>
      <c r="K745" t="s">
        <v>24</v>
      </c>
      <c r="L745">
        <v>61300</v>
      </c>
      <c r="M745">
        <v>12700</v>
      </c>
      <c r="N745">
        <v>74000</v>
      </c>
      <c r="O745" t="s">
        <v>25</v>
      </c>
      <c r="P745" s="3">
        <v>43619</v>
      </c>
      <c r="Q745" t="s">
        <v>19</v>
      </c>
    </row>
    <row r="746" spans="1:17" x14ac:dyDescent="0.35">
      <c r="A746" t="s">
        <v>798</v>
      </c>
      <c r="B746" t="s">
        <v>16</v>
      </c>
      <c r="C746">
        <v>43</v>
      </c>
      <c r="D746" t="s">
        <v>41</v>
      </c>
      <c r="E746" t="s">
        <v>67</v>
      </c>
      <c r="F746" t="s">
        <v>36</v>
      </c>
      <c r="G746">
        <v>9.6</v>
      </c>
      <c r="H746">
        <v>5.9</v>
      </c>
      <c r="I746" t="str" cm="1">
        <f t="array" ref="I746">_xlfn.IFS(G746&lt;3, "0–2 Years", G746&lt;6, "3–5 Years", G746&lt;9, "6–8 Years", G746&lt;12, "9-11 Years", G746&gt;=12, "12-14 Years")</f>
        <v>9-11 Years</v>
      </c>
      <c r="J746">
        <v>3</v>
      </c>
      <c r="K746" t="s">
        <v>20</v>
      </c>
      <c r="L746">
        <v>80800</v>
      </c>
      <c r="M746">
        <v>4200</v>
      </c>
      <c r="N746">
        <v>85000</v>
      </c>
      <c r="O746" t="s">
        <v>30</v>
      </c>
      <c r="P746" s="3">
        <v>42527</v>
      </c>
      <c r="Q746" t="s">
        <v>36</v>
      </c>
    </row>
    <row r="747" spans="1:17" x14ac:dyDescent="0.35">
      <c r="A747" t="s">
        <v>799</v>
      </c>
      <c r="B747" t="s">
        <v>16</v>
      </c>
      <c r="C747" s="7">
        <v>46</v>
      </c>
      <c r="D747" t="s">
        <v>44</v>
      </c>
      <c r="E747" t="s">
        <v>51</v>
      </c>
      <c r="F747" t="s">
        <v>28</v>
      </c>
      <c r="G747" s="9">
        <v>13.9</v>
      </c>
      <c r="H747" s="7">
        <v>8.6</v>
      </c>
      <c r="I747" t="str" cm="1">
        <f t="array" ref="I747">_xlfn.IFS(G747&lt;3, "0–2 Years", G747&lt;6, "3–5 Years", G747&lt;9, "6–8 Years", G747&lt;12, "9-11 Years", G747&gt;=12, "12-14 Years")</f>
        <v>12-14 Years</v>
      </c>
      <c r="J747" s="7">
        <v>3</v>
      </c>
      <c r="K747" t="s">
        <v>20</v>
      </c>
      <c r="L747" s="7">
        <v>102300</v>
      </c>
      <c r="M747" s="7">
        <v>9900</v>
      </c>
      <c r="N747" s="7">
        <v>112200</v>
      </c>
      <c r="O747" t="s">
        <v>57</v>
      </c>
      <c r="P747" s="3">
        <v>40947</v>
      </c>
      <c r="Q747" t="s">
        <v>28</v>
      </c>
    </row>
    <row r="748" spans="1:17" x14ac:dyDescent="0.35">
      <c r="A748" t="s">
        <v>800</v>
      </c>
      <c r="B748" t="s">
        <v>23</v>
      </c>
      <c r="C748">
        <v>37</v>
      </c>
      <c r="D748" t="s">
        <v>38</v>
      </c>
      <c r="E748" t="s">
        <v>39</v>
      </c>
      <c r="F748" t="s">
        <v>28</v>
      </c>
      <c r="G748">
        <v>4.3</v>
      </c>
      <c r="H748">
        <v>3.2</v>
      </c>
      <c r="I748" t="str" cm="1">
        <f t="array" ref="I748">_xlfn.IFS(G748&lt;3, "0–2 Years", G748&lt;6, "3–5 Years", G748&lt;9, "6–8 Years", G748&lt;12, "9-11 Years", G748&gt;=12, "12-14 Years")</f>
        <v>3–5 Years</v>
      </c>
      <c r="J748">
        <v>3</v>
      </c>
      <c r="K748" t="s">
        <v>24</v>
      </c>
      <c r="L748">
        <v>52300</v>
      </c>
      <c r="M748">
        <v>5200</v>
      </c>
      <c r="N748">
        <v>57500</v>
      </c>
      <c r="O748" t="s">
        <v>25</v>
      </c>
      <c r="P748" s="3">
        <v>44455</v>
      </c>
      <c r="Q748" t="s">
        <v>28</v>
      </c>
    </row>
    <row r="749" spans="1:17" x14ac:dyDescent="0.35">
      <c r="A749" t="s">
        <v>801</v>
      </c>
      <c r="B749" t="s">
        <v>16</v>
      </c>
      <c r="C749">
        <v>25</v>
      </c>
      <c r="D749" t="s">
        <v>17</v>
      </c>
      <c r="E749" t="s">
        <v>18</v>
      </c>
      <c r="F749" t="s">
        <v>28</v>
      </c>
      <c r="G749">
        <v>1.3</v>
      </c>
      <c r="H749">
        <v>0.6</v>
      </c>
      <c r="I749" t="str" cm="1">
        <f t="array" ref="I749">_xlfn.IFS(G749&lt;3, "0–2 Years", G749&lt;6, "3–5 Years", G749&lt;9, "6–8 Years", G749&lt;12, "9-11 Years", G749&gt;=12, "12-14 Years")</f>
        <v>0–2 Years</v>
      </c>
      <c r="J749">
        <v>4</v>
      </c>
      <c r="K749" t="s">
        <v>20</v>
      </c>
      <c r="L749">
        <v>91700</v>
      </c>
      <c r="M749">
        <v>4600</v>
      </c>
      <c r="N749">
        <v>96300</v>
      </c>
      <c r="O749" t="s">
        <v>30</v>
      </c>
      <c r="P749" s="3">
        <v>45551</v>
      </c>
      <c r="Q749" t="s">
        <v>28</v>
      </c>
    </row>
    <row r="750" spans="1:17" x14ac:dyDescent="0.35">
      <c r="A750" t="s">
        <v>802</v>
      </c>
      <c r="B750" t="s">
        <v>16</v>
      </c>
      <c r="C750" s="7">
        <v>46</v>
      </c>
      <c r="D750" t="s">
        <v>17</v>
      </c>
      <c r="E750" t="s">
        <v>27</v>
      </c>
      <c r="F750" t="s">
        <v>28</v>
      </c>
      <c r="G750" s="9">
        <v>14</v>
      </c>
      <c r="H750" s="7">
        <v>9</v>
      </c>
      <c r="I750" t="str" cm="1">
        <f t="array" ref="I750">_xlfn.IFS(G750&lt;3, "0–2 Years", G750&lt;6, "3–5 Years", G750&lt;9, "6–8 Years", G750&lt;12, "9-11 Years", G750&gt;=12, "12-14 Years")</f>
        <v>12-14 Years</v>
      </c>
      <c r="J750" s="7">
        <v>4</v>
      </c>
      <c r="K750" t="s">
        <v>20</v>
      </c>
      <c r="L750" s="7">
        <v>80600</v>
      </c>
      <c r="M750" s="7">
        <v>10800</v>
      </c>
      <c r="N750" s="7">
        <v>91400</v>
      </c>
      <c r="O750" t="s">
        <v>30</v>
      </c>
      <c r="P750" s="3">
        <v>40909</v>
      </c>
      <c r="Q750" t="s">
        <v>28</v>
      </c>
    </row>
    <row r="751" spans="1:17" x14ac:dyDescent="0.35">
      <c r="A751" t="s">
        <v>803</v>
      </c>
      <c r="B751" t="s">
        <v>16</v>
      </c>
      <c r="C751">
        <v>34</v>
      </c>
      <c r="D751" t="s">
        <v>55</v>
      </c>
      <c r="E751" t="s">
        <v>56</v>
      </c>
      <c r="F751" t="s">
        <v>28</v>
      </c>
      <c r="G751">
        <v>10</v>
      </c>
      <c r="H751">
        <v>5.6</v>
      </c>
      <c r="I751" t="str" cm="1">
        <f t="array" ref="I751">_xlfn.IFS(G751&lt;3, "0–2 Years", G751&lt;6, "3–5 Years", G751&lt;9, "6–8 Years", G751&lt;12, "9-11 Years", G751&gt;=12, "12-14 Years")</f>
        <v>9-11 Years</v>
      </c>
      <c r="J751">
        <v>3</v>
      </c>
      <c r="K751" t="s">
        <v>20</v>
      </c>
      <c r="L751">
        <v>105200</v>
      </c>
      <c r="M751">
        <v>21100</v>
      </c>
      <c r="N751">
        <v>126300</v>
      </c>
      <c r="O751" t="s">
        <v>57</v>
      </c>
      <c r="P751" s="3">
        <v>42368</v>
      </c>
      <c r="Q751" t="s">
        <v>28</v>
      </c>
    </row>
    <row r="752" spans="1:17" x14ac:dyDescent="0.35">
      <c r="A752" t="s">
        <v>804</v>
      </c>
      <c r="B752" t="s">
        <v>23</v>
      </c>
      <c r="C752">
        <v>29</v>
      </c>
      <c r="D752" t="s">
        <v>34</v>
      </c>
      <c r="E752" t="s">
        <v>35</v>
      </c>
      <c r="F752" t="s">
        <v>28</v>
      </c>
      <c r="G752">
        <v>5.4</v>
      </c>
      <c r="H752">
        <v>2.9</v>
      </c>
      <c r="I752" t="str" cm="1">
        <f t="array" ref="I752">_xlfn.IFS(G752&lt;3, "0–2 Years", G752&lt;6, "3–5 Years", G752&lt;9, "6–8 Years", G752&lt;12, "9-11 Years", G752&gt;=12, "12-14 Years")</f>
        <v>3–5 Years</v>
      </c>
      <c r="J752">
        <v>3</v>
      </c>
      <c r="K752" t="s">
        <v>20</v>
      </c>
      <c r="L752">
        <v>81600</v>
      </c>
      <c r="M752">
        <v>7700</v>
      </c>
      <c r="N752">
        <v>89300</v>
      </c>
      <c r="O752" t="s">
        <v>30</v>
      </c>
      <c r="P752" s="3">
        <v>44062</v>
      </c>
      <c r="Q752" t="s">
        <v>28</v>
      </c>
    </row>
    <row r="753" spans="1:17" x14ac:dyDescent="0.35">
      <c r="A753" t="s">
        <v>805</v>
      </c>
      <c r="B753" t="s">
        <v>16</v>
      </c>
      <c r="C753">
        <v>34</v>
      </c>
      <c r="D753" t="s">
        <v>44</v>
      </c>
      <c r="E753" t="s">
        <v>45</v>
      </c>
      <c r="F753" t="s">
        <v>28</v>
      </c>
      <c r="G753">
        <v>4.7</v>
      </c>
      <c r="H753">
        <v>4.0999999999999996</v>
      </c>
      <c r="I753" t="str" cm="1">
        <f t="array" ref="I753">_xlfn.IFS(G753&lt;3, "0–2 Years", G753&lt;6, "3–5 Years", G753&lt;9, "6–8 Years", G753&lt;12, "9-11 Years", G753&gt;=12, "12-14 Years")</f>
        <v>3–5 Years</v>
      </c>
      <c r="J753">
        <v>4</v>
      </c>
      <c r="K753" t="s">
        <v>20</v>
      </c>
      <c r="L753">
        <v>77000</v>
      </c>
      <c r="M753">
        <v>4800</v>
      </c>
      <c r="N753">
        <v>81800</v>
      </c>
      <c r="O753" t="s">
        <v>21</v>
      </c>
      <c r="P753" s="3">
        <v>44320</v>
      </c>
      <c r="Q753" t="s">
        <v>28</v>
      </c>
    </row>
    <row r="754" spans="1:17" x14ac:dyDescent="0.35">
      <c r="A754" t="s">
        <v>806</v>
      </c>
      <c r="B754" t="s">
        <v>23</v>
      </c>
      <c r="C754">
        <v>25</v>
      </c>
      <c r="D754" t="s">
        <v>34</v>
      </c>
      <c r="E754" t="s">
        <v>35</v>
      </c>
      <c r="F754" t="s">
        <v>28</v>
      </c>
      <c r="G754">
        <v>3</v>
      </c>
      <c r="H754">
        <v>1.9</v>
      </c>
      <c r="I754" t="str" cm="1">
        <f t="array" ref="I754">_xlfn.IFS(G754&lt;3, "0–2 Years", G754&lt;6, "3–5 Years", G754&lt;9, "6–8 Years", G754&lt;12, "9-11 Years", G754&gt;=12, "12-14 Years")</f>
        <v>3–5 Years</v>
      </c>
      <c r="J754">
        <v>1</v>
      </c>
      <c r="K754" t="s">
        <v>20</v>
      </c>
      <c r="L754">
        <v>64000</v>
      </c>
      <c r="M754">
        <v>6100</v>
      </c>
      <c r="N754">
        <v>70100</v>
      </c>
      <c r="O754" t="s">
        <v>25</v>
      </c>
      <c r="P754" s="3">
        <v>44942</v>
      </c>
      <c r="Q754" t="s">
        <v>28</v>
      </c>
    </row>
    <row r="755" spans="1:17" x14ac:dyDescent="0.35">
      <c r="A755" t="s">
        <v>807</v>
      </c>
      <c r="B755" t="s">
        <v>23</v>
      </c>
      <c r="C755">
        <v>36</v>
      </c>
      <c r="D755" t="s">
        <v>17</v>
      </c>
      <c r="E755" t="s">
        <v>18</v>
      </c>
      <c r="F755" t="s">
        <v>28</v>
      </c>
      <c r="G755">
        <v>7</v>
      </c>
      <c r="H755">
        <v>4.5</v>
      </c>
      <c r="I755" t="str" cm="1">
        <f t="array" ref="I755">_xlfn.IFS(G755&lt;3, "0–2 Years", G755&lt;6, "3–5 Years", G755&lt;9, "6–8 Years", G755&lt;12, "9-11 Years", G755&gt;=12, "12-14 Years")</f>
        <v>6–8 Years</v>
      </c>
      <c r="J755">
        <v>5</v>
      </c>
      <c r="K755" t="s">
        <v>20</v>
      </c>
      <c r="L755">
        <v>111000</v>
      </c>
      <c r="M755">
        <v>11400</v>
      </c>
      <c r="N755">
        <v>122400</v>
      </c>
      <c r="O755" t="s">
        <v>57</v>
      </c>
      <c r="P755" s="3">
        <v>43476</v>
      </c>
      <c r="Q755" t="s">
        <v>28</v>
      </c>
    </row>
    <row r="756" spans="1:17" x14ac:dyDescent="0.35">
      <c r="A756" t="s">
        <v>808</v>
      </c>
      <c r="B756" t="s">
        <v>16</v>
      </c>
      <c r="C756">
        <v>37</v>
      </c>
      <c r="D756" t="s">
        <v>41</v>
      </c>
      <c r="E756" t="s">
        <v>42</v>
      </c>
      <c r="F756" t="s">
        <v>28</v>
      </c>
      <c r="G756">
        <v>11</v>
      </c>
      <c r="H756">
        <v>6.2</v>
      </c>
      <c r="I756" t="str" cm="1">
        <f t="array" ref="I756">_xlfn.IFS(G756&lt;3, "0–2 Years", G756&lt;6, "3–5 Years", G756&lt;9, "6–8 Years", G756&lt;12, "9-11 Years", G756&gt;=12, "12-14 Years")</f>
        <v>9-11 Years</v>
      </c>
      <c r="J756">
        <v>2</v>
      </c>
      <c r="K756" t="s">
        <v>20</v>
      </c>
      <c r="L756">
        <v>73000</v>
      </c>
      <c r="M756">
        <v>4600</v>
      </c>
      <c r="N756">
        <v>77600</v>
      </c>
      <c r="O756" t="s">
        <v>21</v>
      </c>
      <c r="P756" s="3">
        <v>42022</v>
      </c>
      <c r="Q756" t="s">
        <v>28</v>
      </c>
    </row>
    <row r="757" spans="1:17" x14ac:dyDescent="0.35">
      <c r="A757" t="s">
        <v>809</v>
      </c>
      <c r="B757" t="s">
        <v>23</v>
      </c>
      <c r="C757">
        <v>27</v>
      </c>
      <c r="D757" t="s">
        <v>38</v>
      </c>
      <c r="E757" t="s">
        <v>39</v>
      </c>
      <c r="F757" t="s">
        <v>28</v>
      </c>
      <c r="G757">
        <v>1.6</v>
      </c>
      <c r="H757">
        <v>1.6</v>
      </c>
      <c r="I757" t="str" cm="1">
        <f t="array" ref="I757">_xlfn.IFS(G757&lt;3, "0–2 Years", G757&lt;6, "3–5 Years", G757&lt;9, "6–8 Years", G757&lt;12, "9-11 Years", G757&gt;=12, "12-14 Years")</f>
        <v>0–2 Years</v>
      </c>
      <c r="J757">
        <v>4</v>
      </c>
      <c r="K757" t="s">
        <v>20</v>
      </c>
      <c r="L757">
        <v>71300</v>
      </c>
      <c r="M757">
        <v>4100</v>
      </c>
      <c r="N757">
        <v>75400</v>
      </c>
      <c r="O757" t="s">
        <v>21</v>
      </c>
      <c r="P757" s="3">
        <v>45444</v>
      </c>
      <c r="Q757" t="s">
        <v>28</v>
      </c>
    </row>
    <row r="758" spans="1:17" x14ac:dyDescent="0.35">
      <c r="A758" t="s">
        <v>810</v>
      </c>
      <c r="B758" t="s">
        <v>23</v>
      </c>
      <c r="C758">
        <v>41</v>
      </c>
      <c r="D758" t="s">
        <v>41</v>
      </c>
      <c r="E758" t="s">
        <v>42</v>
      </c>
      <c r="F758" t="s">
        <v>62</v>
      </c>
      <c r="G758">
        <v>6.9</v>
      </c>
      <c r="H758">
        <v>3.8</v>
      </c>
      <c r="I758" t="str" cm="1">
        <f t="array" ref="I758">_xlfn.IFS(G758&lt;3, "0–2 Years", G758&lt;6, "3–5 Years", G758&lt;9, "6–8 Years", G758&lt;12, "9-11 Years", G758&gt;=12, "12-14 Years")</f>
        <v>6–8 Years</v>
      </c>
      <c r="J758">
        <v>1</v>
      </c>
      <c r="K758" t="s">
        <v>24</v>
      </c>
      <c r="L758">
        <v>48700</v>
      </c>
      <c r="M758">
        <v>2700</v>
      </c>
      <c r="N758">
        <v>51400</v>
      </c>
      <c r="O758" t="s">
        <v>65</v>
      </c>
      <c r="P758" s="3">
        <v>43493</v>
      </c>
      <c r="Q758" t="s">
        <v>62</v>
      </c>
    </row>
    <row r="759" spans="1:17" x14ac:dyDescent="0.35">
      <c r="A759" t="s">
        <v>811</v>
      </c>
      <c r="B759" t="s">
        <v>23</v>
      </c>
      <c r="C759">
        <v>38</v>
      </c>
      <c r="D759" t="s">
        <v>55</v>
      </c>
      <c r="E759" t="s">
        <v>56</v>
      </c>
      <c r="F759" t="s">
        <v>28</v>
      </c>
      <c r="G759">
        <v>3.1</v>
      </c>
      <c r="H759">
        <v>1.5</v>
      </c>
      <c r="I759" t="str" cm="1">
        <f t="array" ref="I759">_xlfn.IFS(G759&lt;3, "0–2 Years", G759&lt;6, "3–5 Years", G759&lt;9, "6–8 Years", G759&lt;12, "9-11 Years", G759&gt;=12, "12-14 Years")</f>
        <v>3–5 Years</v>
      </c>
      <c r="J759">
        <v>4</v>
      </c>
      <c r="K759" t="s">
        <v>24</v>
      </c>
      <c r="L759">
        <v>60600</v>
      </c>
      <c r="M759">
        <v>10400</v>
      </c>
      <c r="N759">
        <v>71000</v>
      </c>
      <c r="O759" t="s">
        <v>25</v>
      </c>
      <c r="P759" s="3">
        <v>44898</v>
      </c>
      <c r="Q759" t="s">
        <v>28</v>
      </c>
    </row>
    <row r="760" spans="1:17" x14ac:dyDescent="0.35">
      <c r="A760" t="s">
        <v>812</v>
      </c>
      <c r="B760" t="s">
        <v>16</v>
      </c>
      <c r="C760">
        <v>35</v>
      </c>
      <c r="D760" t="s">
        <v>34</v>
      </c>
      <c r="E760" t="s">
        <v>47</v>
      </c>
      <c r="F760" t="s">
        <v>28</v>
      </c>
      <c r="G760">
        <v>4.5</v>
      </c>
      <c r="H760">
        <v>4.5</v>
      </c>
      <c r="I760" t="str" cm="1">
        <f t="array" ref="I760">_xlfn.IFS(G760&lt;3, "0–2 Years", G760&lt;6, "3–5 Years", G760&lt;9, "6–8 Years", G760&lt;12, "9-11 Years", G760&gt;=12, "12-14 Years")</f>
        <v>3–5 Years</v>
      </c>
      <c r="J760">
        <v>3</v>
      </c>
      <c r="K760" t="s">
        <v>20</v>
      </c>
      <c r="L760">
        <v>72600</v>
      </c>
      <c r="M760">
        <v>7300</v>
      </c>
      <c r="N760">
        <v>79900</v>
      </c>
      <c r="O760" t="s">
        <v>21</v>
      </c>
      <c r="P760" s="3">
        <v>44373</v>
      </c>
      <c r="Q760" t="s">
        <v>28</v>
      </c>
    </row>
    <row r="761" spans="1:17" x14ac:dyDescent="0.35">
      <c r="A761" t="s">
        <v>813</v>
      </c>
      <c r="B761" t="s">
        <v>16</v>
      </c>
      <c r="C761" s="7">
        <v>36</v>
      </c>
      <c r="D761" t="s">
        <v>41</v>
      </c>
      <c r="E761" t="s">
        <v>73</v>
      </c>
      <c r="F761" t="s">
        <v>36</v>
      </c>
      <c r="G761" s="9">
        <v>12</v>
      </c>
      <c r="H761" s="7">
        <v>7.1</v>
      </c>
      <c r="I761" t="str" cm="1">
        <f t="array" ref="I761">_xlfn.IFS(G761&lt;3, "0–2 Years", G761&lt;6, "3–5 Years", G761&lt;9, "6–8 Years", G761&lt;12, "9-11 Years", G761&gt;=12, "12-14 Years")</f>
        <v>12-14 Years</v>
      </c>
      <c r="J761" s="7">
        <v>2</v>
      </c>
      <c r="K761" t="s">
        <v>20</v>
      </c>
      <c r="L761" s="7">
        <v>98000</v>
      </c>
      <c r="M761" s="7">
        <v>5400</v>
      </c>
      <c r="N761" s="7">
        <v>103400</v>
      </c>
      <c r="O761" t="s">
        <v>30</v>
      </c>
      <c r="P761" s="3">
        <v>41626</v>
      </c>
      <c r="Q761" t="s">
        <v>36</v>
      </c>
    </row>
    <row r="762" spans="1:17" x14ac:dyDescent="0.35">
      <c r="A762" t="s">
        <v>814</v>
      </c>
      <c r="B762" t="s">
        <v>23</v>
      </c>
      <c r="C762">
        <v>31</v>
      </c>
      <c r="D762" t="s">
        <v>38</v>
      </c>
      <c r="E762" t="s">
        <v>61</v>
      </c>
      <c r="F762" t="s">
        <v>36</v>
      </c>
      <c r="G762">
        <v>2.2000000000000002</v>
      </c>
      <c r="H762">
        <v>2.2000000000000002</v>
      </c>
      <c r="I762" t="str" cm="1">
        <f t="array" ref="I762">_xlfn.IFS(G762&lt;3, "0–2 Years", G762&lt;6, "3–5 Years", G762&lt;9, "6–8 Years", G762&lt;12, "9-11 Years", G762&gt;=12, "12-14 Years")</f>
        <v>0–2 Years</v>
      </c>
      <c r="J762">
        <v>4</v>
      </c>
      <c r="K762" t="s">
        <v>20</v>
      </c>
      <c r="L762">
        <v>89300</v>
      </c>
      <c r="M762">
        <v>8700</v>
      </c>
      <c r="N762">
        <v>98000</v>
      </c>
      <c r="O762" t="s">
        <v>30</v>
      </c>
      <c r="P762" s="3">
        <v>45225</v>
      </c>
      <c r="Q762" t="s">
        <v>36</v>
      </c>
    </row>
    <row r="763" spans="1:17" x14ac:dyDescent="0.35">
      <c r="A763" t="s">
        <v>815</v>
      </c>
      <c r="B763" t="s">
        <v>23</v>
      </c>
      <c r="C763" s="7">
        <v>32</v>
      </c>
      <c r="D763" t="s">
        <v>34</v>
      </c>
      <c r="E763" t="s">
        <v>47</v>
      </c>
      <c r="F763" t="s">
        <v>28</v>
      </c>
      <c r="G763" s="9">
        <v>12.3</v>
      </c>
      <c r="H763" s="7">
        <v>6.7</v>
      </c>
      <c r="I763" t="str" cm="1">
        <f t="array" ref="I763">_xlfn.IFS(G763&lt;3, "0–2 Years", G763&lt;6, "3–5 Years", G763&lt;9, "6–8 Years", G763&lt;12, "9-11 Years", G763&gt;=12, "12-14 Years")</f>
        <v>12-14 Years</v>
      </c>
      <c r="J763" s="7">
        <v>3</v>
      </c>
      <c r="K763" t="s">
        <v>20</v>
      </c>
      <c r="L763" s="7">
        <v>83800</v>
      </c>
      <c r="M763" s="7">
        <v>7800</v>
      </c>
      <c r="N763" s="7">
        <v>91600</v>
      </c>
      <c r="O763" t="s">
        <v>30</v>
      </c>
      <c r="P763" s="3">
        <v>41529</v>
      </c>
      <c r="Q763" t="s">
        <v>28</v>
      </c>
    </row>
    <row r="764" spans="1:17" x14ac:dyDescent="0.35">
      <c r="A764" t="s">
        <v>816</v>
      </c>
      <c r="B764" t="s">
        <v>23</v>
      </c>
      <c r="C764">
        <v>41</v>
      </c>
      <c r="D764" t="s">
        <v>17</v>
      </c>
      <c r="E764" t="s">
        <v>32</v>
      </c>
      <c r="F764" t="s">
        <v>36</v>
      </c>
      <c r="G764">
        <v>11.8</v>
      </c>
      <c r="H764">
        <v>6.7</v>
      </c>
      <c r="I764" t="str" cm="1">
        <f t="array" ref="I764">_xlfn.IFS(G764&lt;3, "0–2 Years", G764&lt;6, "3–5 Years", G764&lt;9, "6–8 Years", G764&lt;12, "9-11 Years", G764&gt;=12, "12-14 Years")</f>
        <v>9-11 Years</v>
      </c>
      <c r="J764">
        <v>3</v>
      </c>
      <c r="K764" t="s">
        <v>20</v>
      </c>
      <c r="L764">
        <v>69900</v>
      </c>
      <c r="M764">
        <v>7100</v>
      </c>
      <c r="N764">
        <v>77000</v>
      </c>
      <c r="O764" t="s">
        <v>21</v>
      </c>
      <c r="P764" s="3">
        <v>41722</v>
      </c>
      <c r="Q764" t="s">
        <v>36</v>
      </c>
    </row>
    <row r="765" spans="1:17" x14ac:dyDescent="0.35">
      <c r="A765" t="s">
        <v>817</v>
      </c>
      <c r="B765" t="s">
        <v>16</v>
      </c>
      <c r="C765">
        <v>26</v>
      </c>
      <c r="D765" t="s">
        <v>38</v>
      </c>
      <c r="E765" t="s">
        <v>61</v>
      </c>
      <c r="F765" t="s">
        <v>28</v>
      </c>
      <c r="G765">
        <v>7.4</v>
      </c>
      <c r="H765">
        <v>3.9</v>
      </c>
      <c r="I765" t="str" cm="1">
        <f t="array" ref="I765">_xlfn.IFS(G765&lt;3, "0–2 Years", G765&lt;6, "3–5 Years", G765&lt;9, "6–8 Years", G765&lt;12, "9-11 Years", G765&gt;=12, "12-14 Years")</f>
        <v>6–8 Years</v>
      </c>
      <c r="J765">
        <v>3</v>
      </c>
      <c r="K765" t="s">
        <v>69</v>
      </c>
      <c r="L765">
        <v>73300</v>
      </c>
      <c r="M765">
        <v>4800</v>
      </c>
      <c r="N765">
        <v>78100</v>
      </c>
      <c r="O765" t="s">
        <v>21</v>
      </c>
      <c r="P765" s="3">
        <v>43327</v>
      </c>
      <c r="Q765" t="s">
        <v>28</v>
      </c>
    </row>
    <row r="766" spans="1:17" x14ac:dyDescent="0.35">
      <c r="A766" t="s">
        <v>818</v>
      </c>
      <c r="B766" t="s">
        <v>16</v>
      </c>
      <c r="C766">
        <v>37</v>
      </c>
      <c r="D766" t="s">
        <v>44</v>
      </c>
      <c r="E766" t="s">
        <v>45</v>
      </c>
      <c r="F766" t="s">
        <v>28</v>
      </c>
      <c r="G766">
        <v>3.2</v>
      </c>
      <c r="H766">
        <v>3.2</v>
      </c>
      <c r="I766" t="str" cm="1">
        <f t="array" ref="I766">_xlfn.IFS(G766&lt;3, "0–2 Years", G766&lt;6, "3–5 Years", G766&lt;9, "6–8 Years", G766&lt;12, "9-11 Years", G766&gt;=12, "12-14 Years")</f>
        <v>3–5 Years</v>
      </c>
      <c r="J766">
        <v>2</v>
      </c>
      <c r="K766" t="s">
        <v>20</v>
      </c>
      <c r="L766">
        <v>64300</v>
      </c>
      <c r="M766">
        <v>3500</v>
      </c>
      <c r="N766">
        <v>67800</v>
      </c>
      <c r="O766" t="s">
        <v>25</v>
      </c>
      <c r="P766" s="3">
        <v>44861</v>
      </c>
      <c r="Q766" t="s">
        <v>28</v>
      </c>
    </row>
    <row r="767" spans="1:17" x14ac:dyDescent="0.35">
      <c r="A767" t="s">
        <v>819</v>
      </c>
      <c r="B767" t="s">
        <v>16</v>
      </c>
      <c r="C767">
        <v>40</v>
      </c>
      <c r="D767" t="s">
        <v>38</v>
      </c>
      <c r="E767" t="s">
        <v>39</v>
      </c>
      <c r="F767" t="s">
        <v>28</v>
      </c>
      <c r="G767">
        <v>8.3000000000000007</v>
      </c>
      <c r="H767">
        <v>5.9</v>
      </c>
      <c r="I767" t="str" cm="1">
        <f t="array" ref="I767">_xlfn.IFS(G767&lt;3, "0–2 Years", G767&lt;6, "3–5 Years", G767&lt;9, "6–8 Years", G767&lt;12, "9-11 Years", G767&gt;=12, "12-14 Years")</f>
        <v>6–8 Years</v>
      </c>
      <c r="J767">
        <v>5</v>
      </c>
      <c r="K767" t="s">
        <v>20</v>
      </c>
      <c r="L767">
        <v>83600</v>
      </c>
      <c r="M767">
        <v>3100</v>
      </c>
      <c r="N767">
        <v>86700</v>
      </c>
      <c r="O767" t="s">
        <v>30</v>
      </c>
      <c r="P767" s="3">
        <v>42991</v>
      </c>
      <c r="Q767" t="s">
        <v>28</v>
      </c>
    </row>
    <row r="768" spans="1:17" x14ac:dyDescent="0.35">
      <c r="A768" t="s">
        <v>820</v>
      </c>
      <c r="B768" t="s">
        <v>16</v>
      </c>
      <c r="C768" s="7">
        <v>34</v>
      </c>
      <c r="D768" t="s">
        <v>44</v>
      </c>
      <c r="E768" t="s">
        <v>51</v>
      </c>
      <c r="F768" t="s">
        <v>28</v>
      </c>
      <c r="G768" s="9">
        <v>12.4</v>
      </c>
      <c r="H768" s="7">
        <v>6.4</v>
      </c>
      <c r="I768" t="str" cm="1">
        <f t="array" ref="I768">_xlfn.IFS(G768&lt;3, "0–2 Years", G768&lt;6, "3–5 Years", G768&lt;9, "6–8 Years", G768&lt;12, "9-11 Years", G768&gt;=12, "12-14 Years")</f>
        <v>12-14 Years</v>
      </c>
      <c r="J768" s="7">
        <v>3</v>
      </c>
      <c r="K768" t="s">
        <v>20</v>
      </c>
      <c r="L768" s="7">
        <v>89900</v>
      </c>
      <c r="M768" s="7">
        <v>4700</v>
      </c>
      <c r="N768" s="7">
        <v>94600</v>
      </c>
      <c r="O768" t="s">
        <v>30</v>
      </c>
      <c r="P768" s="3">
        <v>41501</v>
      </c>
      <c r="Q768" t="s">
        <v>28</v>
      </c>
    </row>
    <row r="769" spans="1:17" x14ac:dyDescent="0.35">
      <c r="A769" t="s">
        <v>821</v>
      </c>
      <c r="B769" t="s">
        <v>16</v>
      </c>
      <c r="C769" s="7">
        <v>38</v>
      </c>
      <c r="D769" t="s">
        <v>38</v>
      </c>
      <c r="E769" t="s">
        <v>39</v>
      </c>
      <c r="F769" t="s">
        <v>19</v>
      </c>
      <c r="G769" s="9">
        <v>13</v>
      </c>
      <c r="H769" s="7">
        <v>9.5</v>
      </c>
      <c r="I769" t="str" cm="1">
        <f t="array" ref="I769">_xlfn.IFS(G769&lt;3, "0–2 Years", G769&lt;6, "3–5 Years", G769&lt;9, "6–8 Years", G769&lt;12, "9-11 Years", G769&gt;=12, "12-14 Years")</f>
        <v>12-14 Years</v>
      </c>
      <c r="J769" s="7">
        <v>3</v>
      </c>
      <c r="K769" t="s">
        <v>20</v>
      </c>
      <c r="L769" s="7">
        <v>80400</v>
      </c>
      <c r="M769" s="7">
        <v>4900</v>
      </c>
      <c r="N769" s="7">
        <v>85300</v>
      </c>
      <c r="O769" t="s">
        <v>30</v>
      </c>
      <c r="P769" s="3">
        <v>41286</v>
      </c>
      <c r="Q769" t="s">
        <v>19</v>
      </c>
    </row>
    <row r="770" spans="1:17" x14ac:dyDescent="0.35">
      <c r="A770" t="s">
        <v>822</v>
      </c>
      <c r="B770" t="s">
        <v>16</v>
      </c>
      <c r="C770">
        <v>31</v>
      </c>
      <c r="D770" t="s">
        <v>38</v>
      </c>
      <c r="E770" t="s">
        <v>112</v>
      </c>
      <c r="F770" t="s">
        <v>36</v>
      </c>
      <c r="G770">
        <v>3.4</v>
      </c>
      <c r="H770">
        <v>1.6</v>
      </c>
      <c r="I770" t="str" cm="1">
        <f t="array" ref="I770">_xlfn.IFS(G770&lt;3, "0–2 Years", G770&lt;6, "3–5 Years", G770&lt;9, "6–8 Years", G770&lt;12, "9-11 Years", G770&gt;=12, "12-14 Years")</f>
        <v>3–5 Years</v>
      </c>
      <c r="J770">
        <v>3</v>
      </c>
      <c r="K770" t="s">
        <v>20</v>
      </c>
      <c r="L770">
        <v>64100</v>
      </c>
      <c r="M770">
        <v>2500</v>
      </c>
      <c r="N770">
        <v>66600</v>
      </c>
      <c r="O770" t="s">
        <v>25</v>
      </c>
      <c r="P770" s="3">
        <v>44786</v>
      </c>
      <c r="Q770" t="s">
        <v>36</v>
      </c>
    </row>
    <row r="771" spans="1:17" x14ac:dyDescent="0.35">
      <c r="A771" t="s">
        <v>823</v>
      </c>
      <c r="B771" t="s">
        <v>23</v>
      </c>
      <c r="C771" s="7">
        <v>39</v>
      </c>
      <c r="D771" t="s">
        <v>38</v>
      </c>
      <c r="E771" t="s">
        <v>112</v>
      </c>
      <c r="F771" t="s">
        <v>28</v>
      </c>
      <c r="G771" s="9">
        <v>12.4</v>
      </c>
      <c r="H771" s="7">
        <v>7.2</v>
      </c>
      <c r="I771" t="str" cm="1">
        <f t="array" ref="I771">_xlfn.IFS(G771&lt;3, "0–2 Years", G771&lt;6, "3–5 Years", G771&lt;9, "6–8 Years", G771&lt;12, "9-11 Years", G771&gt;=12, "12-14 Years")</f>
        <v>12-14 Years</v>
      </c>
      <c r="J771" s="7">
        <v>3</v>
      </c>
      <c r="K771" t="s">
        <v>20</v>
      </c>
      <c r="L771" s="7">
        <v>73700</v>
      </c>
      <c r="M771" s="7">
        <v>2700</v>
      </c>
      <c r="N771" s="7">
        <v>76400</v>
      </c>
      <c r="O771" t="s">
        <v>21</v>
      </c>
      <c r="P771" s="3">
        <v>41492</v>
      </c>
      <c r="Q771" t="s">
        <v>28</v>
      </c>
    </row>
    <row r="772" spans="1:17" x14ac:dyDescent="0.35">
      <c r="A772" t="s">
        <v>824</v>
      </c>
      <c r="B772" t="s">
        <v>16</v>
      </c>
      <c r="C772">
        <v>32</v>
      </c>
      <c r="D772" t="s">
        <v>38</v>
      </c>
      <c r="E772" t="s">
        <v>39</v>
      </c>
      <c r="F772" t="s">
        <v>28</v>
      </c>
      <c r="G772">
        <v>7.3</v>
      </c>
      <c r="H772">
        <v>5.2</v>
      </c>
      <c r="I772" t="str" cm="1">
        <f t="array" ref="I772">_xlfn.IFS(G772&lt;3, "0–2 Years", G772&lt;6, "3–5 Years", G772&lt;9, "6–8 Years", G772&lt;12, "9-11 Years", G772&gt;=12, "12-14 Years")</f>
        <v>6–8 Years</v>
      </c>
      <c r="J772">
        <v>4</v>
      </c>
      <c r="K772" t="s">
        <v>20</v>
      </c>
      <c r="L772">
        <v>76100</v>
      </c>
      <c r="M772">
        <v>3200</v>
      </c>
      <c r="N772">
        <v>79300</v>
      </c>
      <c r="O772" t="s">
        <v>21</v>
      </c>
      <c r="P772" s="3">
        <v>43368</v>
      </c>
      <c r="Q772" t="s">
        <v>28</v>
      </c>
    </row>
    <row r="773" spans="1:17" x14ac:dyDescent="0.35">
      <c r="A773" t="s">
        <v>825</v>
      </c>
      <c r="B773" t="s">
        <v>16</v>
      </c>
      <c r="C773">
        <v>40</v>
      </c>
      <c r="D773" t="s">
        <v>38</v>
      </c>
      <c r="E773" t="s">
        <v>39</v>
      </c>
      <c r="F773" t="s">
        <v>28</v>
      </c>
      <c r="G773">
        <v>9.1</v>
      </c>
      <c r="H773">
        <v>3.9</v>
      </c>
      <c r="I773" t="str" cm="1">
        <f t="array" ref="I773">_xlfn.IFS(G773&lt;3, "0–2 Years", G773&lt;6, "3–5 Years", G773&lt;9, "6–8 Years", G773&lt;12, "9-11 Years", G773&gt;=12, "12-14 Years")</f>
        <v>9-11 Years</v>
      </c>
      <c r="J773">
        <v>3</v>
      </c>
      <c r="K773" t="s">
        <v>20</v>
      </c>
      <c r="L773">
        <v>78000</v>
      </c>
      <c r="M773">
        <v>5200</v>
      </c>
      <c r="N773">
        <v>83200</v>
      </c>
      <c r="O773" t="s">
        <v>21</v>
      </c>
      <c r="P773" s="3">
        <v>42716</v>
      </c>
      <c r="Q773" t="s">
        <v>28</v>
      </c>
    </row>
    <row r="774" spans="1:17" x14ac:dyDescent="0.35">
      <c r="A774" t="s">
        <v>826</v>
      </c>
      <c r="B774" t="s">
        <v>23</v>
      </c>
      <c r="C774">
        <v>29</v>
      </c>
      <c r="D774" t="s">
        <v>17</v>
      </c>
      <c r="E774" t="s">
        <v>32</v>
      </c>
      <c r="F774" t="s">
        <v>28</v>
      </c>
      <c r="G774">
        <v>8.1</v>
      </c>
      <c r="H774">
        <v>5.0999999999999996</v>
      </c>
      <c r="I774" t="str" cm="1">
        <f t="array" ref="I774">_xlfn.IFS(G774&lt;3, "0–2 Years", G774&lt;6, "3–5 Years", G774&lt;9, "6–8 Years", G774&lt;12, "9-11 Years", G774&gt;=12, "12-14 Years")</f>
        <v>6–8 Years</v>
      </c>
      <c r="J774">
        <v>3</v>
      </c>
      <c r="K774" t="s">
        <v>20</v>
      </c>
      <c r="L774">
        <v>61500</v>
      </c>
      <c r="M774">
        <v>7200</v>
      </c>
      <c r="N774">
        <v>68700</v>
      </c>
      <c r="O774" t="s">
        <v>25</v>
      </c>
      <c r="P774" s="3">
        <v>43077</v>
      </c>
      <c r="Q774" t="s">
        <v>28</v>
      </c>
    </row>
    <row r="775" spans="1:17" x14ac:dyDescent="0.35">
      <c r="A775" t="s">
        <v>827</v>
      </c>
      <c r="B775" t="s">
        <v>16</v>
      </c>
      <c r="C775" s="7">
        <v>36</v>
      </c>
      <c r="D775" t="s">
        <v>41</v>
      </c>
      <c r="E775" t="s">
        <v>73</v>
      </c>
      <c r="F775" t="s">
        <v>36</v>
      </c>
      <c r="G775" s="9">
        <v>13.4</v>
      </c>
      <c r="H775" s="7">
        <v>9.1999999999999993</v>
      </c>
      <c r="I775" t="str" cm="1">
        <f t="array" ref="I775">_xlfn.IFS(G775&lt;3, "0–2 Years", G775&lt;6, "3–5 Years", G775&lt;9, "6–8 Years", G775&lt;12, "9-11 Years", G775&gt;=12, "12-14 Years")</f>
        <v>12-14 Years</v>
      </c>
      <c r="J775" s="7">
        <v>1</v>
      </c>
      <c r="K775" t="s">
        <v>20</v>
      </c>
      <c r="L775" s="7">
        <v>87900</v>
      </c>
      <c r="M775" s="7">
        <v>3600</v>
      </c>
      <c r="N775" s="7">
        <v>91500</v>
      </c>
      <c r="O775" t="s">
        <v>30</v>
      </c>
      <c r="P775" s="3">
        <v>41112</v>
      </c>
      <c r="Q775" t="s">
        <v>36</v>
      </c>
    </row>
    <row r="776" spans="1:17" x14ac:dyDescent="0.35">
      <c r="A776" t="s">
        <v>828</v>
      </c>
      <c r="B776" t="s">
        <v>16</v>
      </c>
      <c r="C776">
        <v>34</v>
      </c>
      <c r="D776" t="s">
        <v>38</v>
      </c>
      <c r="E776" t="s">
        <v>61</v>
      </c>
      <c r="F776" t="s">
        <v>36</v>
      </c>
      <c r="G776">
        <v>8.8000000000000007</v>
      </c>
      <c r="H776">
        <v>6</v>
      </c>
      <c r="I776" t="str" cm="1">
        <f t="array" ref="I776">_xlfn.IFS(G776&lt;3, "0–2 Years", G776&lt;6, "3–5 Years", G776&lt;9, "6–8 Years", G776&lt;12, "9-11 Years", G776&gt;=12, "12-14 Years")</f>
        <v>6–8 Years</v>
      </c>
      <c r="J776">
        <v>3</v>
      </c>
      <c r="K776" t="s">
        <v>20</v>
      </c>
      <c r="L776">
        <v>105100</v>
      </c>
      <c r="M776">
        <v>4400</v>
      </c>
      <c r="N776">
        <v>109500</v>
      </c>
      <c r="O776" t="s">
        <v>57</v>
      </c>
      <c r="P776" s="3">
        <v>42795</v>
      </c>
      <c r="Q776" t="s">
        <v>36</v>
      </c>
    </row>
    <row r="777" spans="1:17" x14ac:dyDescent="0.35">
      <c r="A777" t="s">
        <v>829</v>
      </c>
      <c r="B777" t="s">
        <v>16</v>
      </c>
      <c r="C777">
        <v>39</v>
      </c>
      <c r="D777" t="s">
        <v>38</v>
      </c>
      <c r="E777" t="s">
        <v>112</v>
      </c>
      <c r="F777" t="s">
        <v>28</v>
      </c>
      <c r="G777">
        <v>6</v>
      </c>
      <c r="H777">
        <v>4.3</v>
      </c>
      <c r="I777" t="str" cm="1">
        <f t="array" ref="I777">_xlfn.IFS(G777&lt;3, "0–2 Years", G777&lt;6, "3–5 Years", G777&lt;9, "6–8 Years", G777&lt;12, "9-11 Years", G777&gt;=12, "12-14 Years")</f>
        <v>6–8 Years</v>
      </c>
      <c r="J777">
        <v>2</v>
      </c>
      <c r="K777" t="s">
        <v>20</v>
      </c>
      <c r="L777">
        <v>69000</v>
      </c>
      <c r="M777">
        <v>5500</v>
      </c>
      <c r="N777">
        <v>74500</v>
      </c>
      <c r="O777" t="s">
        <v>21</v>
      </c>
      <c r="P777" s="3">
        <v>43848</v>
      </c>
      <c r="Q777" t="s">
        <v>28</v>
      </c>
    </row>
    <row r="778" spans="1:17" x14ac:dyDescent="0.35">
      <c r="A778" t="s">
        <v>830</v>
      </c>
      <c r="B778" t="s">
        <v>23</v>
      </c>
      <c r="C778">
        <v>23</v>
      </c>
      <c r="D778" t="s">
        <v>17</v>
      </c>
      <c r="E778" t="s">
        <v>18</v>
      </c>
      <c r="F778" t="s">
        <v>36</v>
      </c>
      <c r="G778">
        <v>3.5</v>
      </c>
      <c r="H778">
        <v>1.6</v>
      </c>
      <c r="I778" t="str" cm="1">
        <f t="array" ref="I778">_xlfn.IFS(G778&lt;3, "0–2 Years", G778&lt;6, "3–5 Years", G778&lt;9, "6–8 Years", G778&lt;12, "9-11 Years", G778&gt;=12, "12-14 Years")</f>
        <v>3–5 Years</v>
      </c>
      <c r="J778">
        <v>3</v>
      </c>
      <c r="K778" t="s">
        <v>20</v>
      </c>
      <c r="L778">
        <v>90500</v>
      </c>
      <c r="M778">
        <v>7400</v>
      </c>
      <c r="N778">
        <v>97900</v>
      </c>
      <c r="O778" t="s">
        <v>30</v>
      </c>
      <c r="P778" s="3">
        <v>44747</v>
      </c>
      <c r="Q778" t="s">
        <v>36</v>
      </c>
    </row>
    <row r="779" spans="1:17" x14ac:dyDescent="0.35">
      <c r="A779" t="s">
        <v>831</v>
      </c>
      <c r="B779" t="s">
        <v>23</v>
      </c>
      <c r="C779" s="7">
        <v>33</v>
      </c>
      <c r="D779" t="s">
        <v>38</v>
      </c>
      <c r="E779" t="s">
        <v>61</v>
      </c>
      <c r="F779" t="s">
        <v>19</v>
      </c>
      <c r="G779" s="9">
        <v>13.5</v>
      </c>
      <c r="H779" s="7">
        <v>7.7</v>
      </c>
      <c r="I779" t="str" cm="1">
        <f t="array" ref="I779">_xlfn.IFS(G779&lt;3, "0–2 Years", G779&lt;6, "3–5 Years", G779&lt;9, "6–8 Years", G779&lt;12, "9-11 Years", G779&gt;=12, "12-14 Years")</f>
        <v>12-14 Years</v>
      </c>
      <c r="J779" s="7">
        <v>3</v>
      </c>
      <c r="K779" t="s">
        <v>20</v>
      </c>
      <c r="L779" s="7">
        <v>96000</v>
      </c>
      <c r="M779" s="7">
        <v>6300</v>
      </c>
      <c r="N779" s="7">
        <v>102300</v>
      </c>
      <c r="O779" t="s">
        <v>30</v>
      </c>
      <c r="P779" s="3">
        <v>41074</v>
      </c>
      <c r="Q779" t="s">
        <v>19</v>
      </c>
    </row>
    <row r="780" spans="1:17" x14ac:dyDescent="0.35">
      <c r="A780" t="s">
        <v>832</v>
      </c>
      <c r="B780" t="s">
        <v>16</v>
      </c>
      <c r="C780">
        <v>36</v>
      </c>
      <c r="D780" t="s">
        <v>41</v>
      </c>
      <c r="E780" t="s">
        <v>67</v>
      </c>
      <c r="F780" t="s">
        <v>28</v>
      </c>
      <c r="G780">
        <v>7.1</v>
      </c>
      <c r="H780">
        <v>4.3</v>
      </c>
      <c r="I780" t="str" cm="1">
        <f t="array" ref="I780">_xlfn.IFS(G780&lt;3, "0–2 Years", G780&lt;6, "3–5 Years", G780&lt;9, "6–8 Years", G780&lt;12, "9-11 Years", G780&gt;=12, "12-14 Years")</f>
        <v>6–8 Years</v>
      </c>
      <c r="J780">
        <v>4</v>
      </c>
      <c r="K780" t="s">
        <v>20</v>
      </c>
      <c r="L780">
        <v>67900</v>
      </c>
      <c r="M780">
        <v>4700</v>
      </c>
      <c r="N780">
        <v>72600</v>
      </c>
      <c r="O780" t="s">
        <v>21</v>
      </c>
      <c r="P780" s="3">
        <v>43423</v>
      </c>
      <c r="Q780" t="s">
        <v>28</v>
      </c>
    </row>
    <row r="781" spans="1:17" x14ac:dyDescent="0.35">
      <c r="A781" t="s">
        <v>833</v>
      </c>
      <c r="B781" t="s">
        <v>23</v>
      </c>
      <c r="C781">
        <v>26</v>
      </c>
      <c r="D781" t="s">
        <v>44</v>
      </c>
      <c r="E781" t="s">
        <v>81</v>
      </c>
      <c r="F781" t="s">
        <v>28</v>
      </c>
      <c r="G781">
        <v>1.3</v>
      </c>
      <c r="H781">
        <v>0</v>
      </c>
      <c r="I781" t="str" cm="1">
        <f t="array" ref="I781">_xlfn.IFS(G781&lt;3, "0–2 Years", G781&lt;6, "3–5 Years", G781&lt;9, "6–8 Years", G781&lt;12, "9-11 Years", G781&gt;=12, "12-14 Years")</f>
        <v>0–2 Years</v>
      </c>
      <c r="J781">
        <v>4</v>
      </c>
      <c r="K781" t="s">
        <v>20</v>
      </c>
      <c r="L781">
        <v>90200</v>
      </c>
      <c r="M781">
        <v>10600</v>
      </c>
      <c r="N781">
        <v>100800</v>
      </c>
      <c r="O781" t="s">
        <v>30</v>
      </c>
      <c r="P781" s="3">
        <v>45532</v>
      </c>
      <c r="Q781" t="s">
        <v>28</v>
      </c>
    </row>
    <row r="782" spans="1:17" x14ac:dyDescent="0.35">
      <c r="A782" t="s">
        <v>834</v>
      </c>
      <c r="B782" t="s">
        <v>16</v>
      </c>
      <c r="C782">
        <v>34</v>
      </c>
      <c r="D782" t="s">
        <v>55</v>
      </c>
      <c r="E782" t="s">
        <v>56</v>
      </c>
      <c r="F782" t="s">
        <v>62</v>
      </c>
      <c r="G782">
        <v>10.199999999999999</v>
      </c>
      <c r="H782">
        <v>6.7</v>
      </c>
      <c r="I782" t="str" cm="1">
        <f t="array" ref="I782">_xlfn.IFS(G782&lt;3, "0–2 Years", G782&lt;6, "3–5 Years", G782&lt;9, "6–8 Years", G782&lt;12, "9-11 Years", G782&gt;=12, "12-14 Years")</f>
        <v>9-11 Years</v>
      </c>
      <c r="J782">
        <v>3</v>
      </c>
      <c r="K782" t="s">
        <v>20</v>
      </c>
      <c r="L782">
        <v>109900</v>
      </c>
      <c r="M782">
        <v>18300</v>
      </c>
      <c r="N782">
        <v>128200</v>
      </c>
      <c r="O782" t="s">
        <v>57</v>
      </c>
      <c r="P782" s="3">
        <v>42282</v>
      </c>
      <c r="Q782" t="s">
        <v>62</v>
      </c>
    </row>
    <row r="783" spans="1:17" x14ac:dyDescent="0.35">
      <c r="A783" t="s">
        <v>835</v>
      </c>
      <c r="B783" t="s">
        <v>16</v>
      </c>
      <c r="C783">
        <v>43</v>
      </c>
      <c r="D783" t="s">
        <v>44</v>
      </c>
      <c r="E783" t="s">
        <v>76</v>
      </c>
      <c r="F783" t="s">
        <v>28</v>
      </c>
      <c r="G783">
        <v>6.7</v>
      </c>
      <c r="H783">
        <v>4.5999999999999996</v>
      </c>
      <c r="I783" t="str" cm="1">
        <f t="array" ref="I783">_xlfn.IFS(G783&lt;3, "0–2 Years", G783&lt;6, "3–5 Years", G783&lt;9, "6–8 Years", G783&lt;12, "9-11 Years", G783&gt;=12, "12-14 Years")</f>
        <v>6–8 Years</v>
      </c>
      <c r="J783">
        <v>4</v>
      </c>
      <c r="K783" t="s">
        <v>20</v>
      </c>
      <c r="L783">
        <v>116200</v>
      </c>
      <c r="M783">
        <v>16400</v>
      </c>
      <c r="N783">
        <v>132600</v>
      </c>
      <c r="O783" t="s">
        <v>57</v>
      </c>
      <c r="P783" s="3">
        <v>43574</v>
      </c>
      <c r="Q783" t="s">
        <v>28</v>
      </c>
    </row>
    <row r="784" spans="1:17" x14ac:dyDescent="0.35">
      <c r="A784" t="s">
        <v>836</v>
      </c>
      <c r="B784" t="s">
        <v>16</v>
      </c>
      <c r="C784" s="7">
        <v>38</v>
      </c>
      <c r="D784" t="s">
        <v>38</v>
      </c>
      <c r="E784" t="s">
        <v>39</v>
      </c>
      <c r="F784" t="s">
        <v>62</v>
      </c>
      <c r="G784" s="9">
        <v>12</v>
      </c>
      <c r="H784" s="7">
        <v>7.6</v>
      </c>
      <c r="I784" t="str" cm="1">
        <f t="array" ref="I784">_xlfn.IFS(G784&lt;3, "0–2 Years", G784&lt;6, "3–5 Years", G784&lt;9, "6–8 Years", G784&lt;12, "9-11 Years", G784&gt;=12, "12-14 Years")</f>
        <v>12-14 Years</v>
      </c>
      <c r="J784" s="7">
        <v>4</v>
      </c>
      <c r="K784" t="s">
        <v>20</v>
      </c>
      <c r="L784" s="7">
        <v>91400</v>
      </c>
      <c r="M784" s="7">
        <v>5400</v>
      </c>
      <c r="N784" s="7">
        <v>96800</v>
      </c>
      <c r="O784" t="s">
        <v>30</v>
      </c>
      <c r="P784" s="3">
        <v>41636</v>
      </c>
      <c r="Q784" t="s">
        <v>62</v>
      </c>
    </row>
    <row r="785" spans="1:17" x14ac:dyDescent="0.35">
      <c r="A785" t="s">
        <v>837</v>
      </c>
      <c r="B785" t="s">
        <v>23</v>
      </c>
      <c r="C785">
        <v>49</v>
      </c>
      <c r="D785" t="s">
        <v>55</v>
      </c>
      <c r="E785" t="s">
        <v>56</v>
      </c>
      <c r="F785" t="s">
        <v>36</v>
      </c>
      <c r="G785">
        <v>1.3</v>
      </c>
      <c r="H785">
        <v>0.7</v>
      </c>
      <c r="I785" t="str" cm="1">
        <f t="array" ref="I785">_xlfn.IFS(G785&lt;3, "0–2 Years", G785&lt;6, "3–5 Years", G785&lt;9, "6–8 Years", G785&lt;12, "9-11 Years", G785&gt;=12, "12-14 Years")</f>
        <v>0–2 Years</v>
      </c>
      <c r="J785">
        <v>3</v>
      </c>
      <c r="K785" t="s">
        <v>20</v>
      </c>
      <c r="L785">
        <v>87000</v>
      </c>
      <c r="M785">
        <v>8400</v>
      </c>
      <c r="N785">
        <v>95400</v>
      </c>
      <c r="O785" t="s">
        <v>30</v>
      </c>
      <c r="P785" s="3">
        <v>45553</v>
      </c>
      <c r="Q785" t="s">
        <v>36</v>
      </c>
    </row>
    <row r="786" spans="1:17" x14ac:dyDescent="0.35">
      <c r="A786" t="s">
        <v>838</v>
      </c>
      <c r="B786" t="s">
        <v>23</v>
      </c>
      <c r="C786">
        <v>41</v>
      </c>
      <c r="D786" t="s">
        <v>55</v>
      </c>
      <c r="E786" t="s">
        <v>92</v>
      </c>
      <c r="F786" t="s">
        <v>36</v>
      </c>
      <c r="G786">
        <v>5.9</v>
      </c>
      <c r="H786">
        <v>3.3</v>
      </c>
      <c r="I786" t="str" cm="1">
        <f t="array" ref="I786">_xlfn.IFS(G786&lt;3, "0–2 Years", G786&lt;6, "3–5 Years", G786&lt;9, "6–8 Years", G786&lt;12, "9-11 Years", G786&gt;=12, "12-14 Years")</f>
        <v>3–5 Years</v>
      </c>
      <c r="J786">
        <v>3</v>
      </c>
      <c r="K786" t="s">
        <v>24</v>
      </c>
      <c r="L786">
        <v>66900</v>
      </c>
      <c r="M786">
        <v>6500</v>
      </c>
      <c r="N786">
        <v>73400</v>
      </c>
      <c r="O786" t="s">
        <v>21</v>
      </c>
      <c r="P786" s="3">
        <v>43852</v>
      </c>
      <c r="Q786" t="s">
        <v>36</v>
      </c>
    </row>
    <row r="787" spans="1:17" x14ac:dyDescent="0.35">
      <c r="A787" t="s">
        <v>839</v>
      </c>
      <c r="B787" t="s">
        <v>23</v>
      </c>
      <c r="C787">
        <v>37</v>
      </c>
      <c r="D787" t="s">
        <v>34</v>
      </c>
      <c r="E787" t="s">
        <v>35</v>
      </c>
      <c r="F787" t="s">
        <v>28</v>
      </c>
      <c r="G787">
        <v>8.3000000000000007</v>
      </c>
      <c r="H787">
        <v>4.9000000000000004</v>
      </c>
      <c r="I787" t="str" cm="1">
        <f t="array" ref="I787">_xlfn.IFS(G787&lt;3, "0–2 Years", G787&lt;6, "3–5 Years", G787&lt;9, "6–8 Years", G787&lt;12, "9-11 Years", G787&gt;=12, "12-14 Years")</f>
        <v>6–8 Years</v>
      </c>
      <c r="J787">
        <v>3</v>
      </c>
      <c r="K787" t="s">
        <v>20</v>
      </c>
      <c r="L787">
        <v>75400</v>
      </c>
      <c r="M787">
        <v>5400</v>
      </c>
      <c r="N787">
        <v>80800</v>
      </c>
      <c r="O787" t="s">
        <v>21</v>
      </c>
      <c r="P787" s="3">
        <v>42992</v>
      </c>
      <c r="Q787" t="s">
        <v>28</v>
      </c>
    </row>
    <row r="788" spans="1:17" x14ac:dyDescent="0.35">
      <c r="A788" t="s">
        <v>840</v>
      </c>
      <c r="B788" t="s">
        <v>23</v>
      </c>
      <c r="C788">
        <v>42</v>
      </c>
      <c r="D788" t="s">
        <v>17</v>
      </c>
      <c r="E788" t="s">
        <v>32</v>
      </c>
      <c r="F788" t="s">
        <v>28</v>
      </c>
      <c r="G788">
        <v>2.4</v>
      </c>
      <c r="H788">
        <v>0.7</v>
      </c>
      <c r="I788" t="str" cm="1">
        <f t="array" ref="I788">_xlfn.IFS(G788&lt;3, "0–2 Years", G788&lt;6, "3–5 Years", G788&lt;9, "6–8 Years", G788&lt;12, "9-11 Years", G788&gt;=12, "12-14 Years")</f>
        <v>0–2 Years</v>
      </c>
      <c r="J788">
        <v>3</v>
      </c>
      <c r="K788" t="s">
        <v>20</v>
      </c>
      <c r="L788">
        <v>63200</v>
      </c>
      <c r="M788">
        <v>3500</v>
      </c>
      <c r="N788">
        <v>66700</v>
      </c>
      <c r="O788" t="s">
        <v>25</v>
      </c>
      <c r="P788" s="3">
        <v>45138</v>
      </c>
      <c r="Q788" t="s">
        <v>28</v>
      </c>
    </row>
    <row r="789" spans="1:17" x14ac:dyDescent="0.35">
      <c r="A789" t="s">
        <v>841</v>
      </c>
      <c r="B789" t="s">
        <v>23</v>
      </c>
      <c r="C789">
        <v>32</v>
      </c>
      <c r="D789" t="s">
        <v>38</v>
      </c>
      <c r="E789" t="s">
        <v>112</v>
      </c>
      <c r="F789" t="s">
        <v>28</v>
      </c>
      <c r="G789">
        <v>10.1</v>
      </c>
      <c r="H789">
        <v>4.2</v>
      </c>
      <c r="I789" t="str" cm="1">
        <f t="array" ref="I789">_xlfn.IFS(G789&lt;3, "0–2 Years", G789&lt;6, "3–5 Years", G789&lt;9, "6–8 Years", G789&lt;12, "9-11 Years", G789&gt;=12, "12-14 Years")</f>
        <v>9-11 Years</v>
      </c>
      <c r="J789">
        <v>2</v>
      </c>
      <c r="K789" t="s">
        <v>20</v>
      </c>
      <c r="L789">
        <v>84000</v>
      </c>
      <c r="M789">
        <v>3200</v>
      </c>
      <c r="N789">
        <v>87200</v>
      </c>
      <c r="O789" t="s">
        <v>30</v>
      </c>
      <c r="P789" s="3">
        <v>42323</v>
      </c>
      <c r="Q789" t="s">
        <v>28</v>
      </c>
    </row>
    <row r="790" spans="1:17" x14ac:dyDescent="0.35">
      <c r="A790" t="s">
        <v>842</v>
      </c>
      <c r="B790" t="s">
        <v>16</v>
      </c>
      <c r="C790">
        <v>21</v>
      </c>
      <c r="D790" t="s">
        <v>44</v>
      </c>
      <c r="E790" t="s">
        <v>81</v>
      </c>
      <c r="F790" t="s">
        <v>36</v>
      </c>
      <c r="G790">
        <v>1.7</v>
      </c>
      <c r="H790">
        <v>0.4</v>
      </c>
      <c r="I790" t="str" cm="1">
        <f t="array" ref="I790">_xlfn.IFS(G790&lt;3, "0–2 Years", G790&lt;6, "3–5 Years", G790&lt;9, "6–8 Years", G790&lt;12, "9-11 Years", G790&gt;=12, "12-14 Years")</f>
        <v>0–2 Years</v>
      </c>
      <c r="J790">
        <v>3</v>
      </c>
      <c r="K790" t="s">
        <v>69</v>
      </c>
      <c r="L790">
        <v>30520</v>
      </c>
      <c r="M790">
        <v>8500</v>
      </c>
      <c r="N790">
        <v>39020</v>
      </c>
      <c r="O790" t="s">
        <v>65</v>
      </c>
      <c r="P790" s="3">
        <v>45417</v>
      </c>
      <c r="Q790" t="s">
        <v>36</v>
      </c>
    </row>
    <row r="791" spans="1:17" x14ac:dyDescent="0.35">
      <c r="A791" t="s">
        <v>843</v>
      </c>
      <c r="B791" t="s">
        <v>16</v>
      </c>
      <c r="C791" s="7">
        <v>36</v>
      </c>
      <c r="D791" t="s">
        <v>44</v>
      </c>
      <c r="E791" t="s">
        <v>76</v>
      </c>
      <c r="F791" t="s">
        <v>28</v>
      </c>
      <c r="G791" s="9">
        <v>13.8</v>
      </c>
      <c r="H791" s="7">
        <v>8.1</v>
      </c>
      <c r="I791" t="str" cm="1">
        <f t="array" ref="I791">_xlfn.IFS(G791&lt;3, "0–2 Years", G791&lt;6, "3–5 Years", G791&lt;9, "6–8 Years", G791&lt;12, "9-11 Years", G791&gt;=12, "12-14 Years")</f>
        <v>12-14 Years</v>
      </c>
      <c r="J791" s="7">
        <v>3</v>
      </c>
      <c r="K791" t="s">
        <v>20</v>
      </c>
      <c r="L791" s="7">
        <v>104600</v>
      </c>
      <c r="M791" s="7">
        <v>6600</v>
      </c>
      <c r="N791" s="7">
        <v>111200</v>
      </c>
      <c r="O791" t="s">
        <v>57</v>
      </c>
      <c r="P791" s="3">
        <v>40994</v>
      </c>
      <c r="Q791" t="s">
        <v>28</v>
      </c>
    </row>
    <row r="792" spans="1:17" x14ac:dyDescent="0.35">
      <c r="A792" t="s">
        <v>844</v>
      </c>
      <c r="B792" t="s">
        <v>23</v>
      </c>
      <c r="C792">
        <v>58</v>
      </c>
      <c r="D792" t="s">
        <v>17</v>
      </c>
      <c r="E792" t="s">
        <v>32</v>
      </c>
      <c r="F792" t="s">
        <v>19</v>
      </c>
      <c r="G792">
        <v>11.6</v>
      </c>
      <c r="H792">
        <v>7.7</v>
      </c>
      <c r="I792" t="str" cm="1">
        <f t="array" ref="I792">_xlfn.IFS(G792&lt;3, "0–2 Years", G792&lt;6, "3–5 Years", G792&lt;9, "6–8 Years", G792&lt;12, "9-11 Years", G792&gt;=12, "12-14 Years")</f>
        <v>9-11 Years</v>
      </c>
      <c r="J792">
        <v>3</v>
      </c>
      <c r="K792" t="s">
        <v>20</v>
      </c>
      <c r="L792">
        <v>70600</v>
      </c>
      <c r="M792">
        <v>8700</v>
      </c>
      <c r="N792">
        <v>79300</v>
      </c>
      <c r="O792" t="s">
        <v>21</v>
      </c>
      <c r="P792" s="3">
        <v>41779</v>
      </c>
      <c r="Q792" t="s">
        <v>19</v>
      </c>
    </row>
    <row r="793" spans="1:17" x14ac:dyDescent="0.35">
      <c r="A793" t="s">
        <v>845</v>
      </c>
      <c r="B793" t="s">
        <v>23</v>
      </c>
      <c r="C793" s="7">
        <v>48</v>
      </c>
      <c r="D793" t="s">
        <v>44</v>
      </c>
      <c r="E793" t="s">
        <v>81</v>
      </c>
      <c r="F793" t="s">
        <v>36</v>
      </c>
      <c r="G793" s="9">
        <v>13.3</v>
      </c>
      <c r="H793" s="7">
        <v>8.1999999999999993</v>
      </c>
      <c r="I793" t="str" cm="1">
        <f t="array" ref="I793">_xlfn.IFS(G793&lt;3, "0–2 Years", G793&lt;6, "3–5 Years", G793&lt;9, "6–8 Years", G793&lt;12, "9-11 Years", G793&gt;=12, "12-14 Years")</f>
        <v>12-14 Years</v>
      </c>
      <c r="J793" s="7">
        <v>1</v>
      </c>
      <c r="K793" t="s">
        <v>20</v>
      </c>
      <c r="L793" s="7">
        <v>98400</v>
      </c>
      <c r="M793" s="7">
        <v>12600</v>
      </c>
      <c r="N793" s="7">
        <v>111000</v>
      </c>
      <c r="O793" t="s">
        <v>30</v>
      </c>
      <c r="P793" s="3">
        <v>41176</v>
      </c>
      <c r="Q793" t="s">
        <v>36</v>
      </c>
    </row>
    <row r="794" spans="1:17" x14ac:dyDescent="0.35">
      <c r="A794" t="s">
        <v>846</v>
      </c>
      <c r="B794" t="s">
        <v>23</v>
      </c>
      <c r="C794">
        <v>37</v>
      </c>
      <c r="D794" t="s">
        <v>55</v>
      </c>
      <c r="E794" t="s">
        <v>92</v>
      </c>
      <c r="F794" t="s">
        <v>28</v>
      </c>
      <c r="G794">
        <v>9.1999999999999993</v>
      </c>
      <c r="H794">
        <v>5.2</v>
      </c>
      <c r="I794" t="str" cm="1">
        <f t="array" ref="I794">_xlfn.IFS(G794&lt;3, "0–2 Years", G794&lt;6, "3–5 Years", G794&lt;9, "6–8 Years", G794&lt;12, "9-11 Years", G794&gt;=12, "12-14 Years")</f>
        <v>9-11 Years</v>
      </c>
      <c r="J794">
        <v>3</v>
      </c>
      <c r="K794" t="s">
        <v>20</v>
      </c>
      <c r="L794">
        <v>98200</v>
      </c>
      <c r="M794">
        <v>19900</v>
      </c>
      <c r="N794">
        <v>118100</v>
      </c>
      <c r="O794" t="s">
        <v>30</v>
      </c>
      <c r="P794" s="3">
        <v>42680</v>
      </c>
      <c r="Q794" t="s">
        <v>28</v>
      </c>
    </row>
    <row r="795" spans="1:17" x14ac:dyDescent="0.35">
      <c r="A795" t="s">
        <v>847</v>
      </c>
      <c r="B795" t="s">
        <v>16</v>
      </c>
      <c r="C795">
        <v>34</v>
      </c>
      <c r="D795" t="s">
        <v>17</v>
      </c>
      <c r="E795" t="s">
        <v>32</v>
      </c>
      <c r="F795" t="s">
        <v>28</v>
      </c>
      <c r="G795">
        <v>10.8</v>
      </c>
      <c r="H795">
        <v>5.6</v>
      </c>
      <c r="I795" t="str" cm="1">
        <f t="array" ref="I795">_xlfn.IFS(G795&lt;3, "0–2 Years", G795&lt;6, "3–5 Years", G795&lt;9, "6–8 Years", G795&lt;12, "9-11 Years", G795&gt;=12, "12-14 Years")</f>
        <v>9-11 Years</v>
      </c>
      <c r="J795">
        <v>3</v>
      </c>
      <c r="K795" t="s">
        <v>20</v>
      </c>
      <c r="L795">
        <v>82800</v>
      </c>
      <c r="M795">
        <v>6900</v>
      </c>
      <c r="N795">
        <v>89700</v>
      </c>
      <c r="O795" t="s">
        <v>30</v>
      </c>
      <c r="P795" s="3">
        <v>42096</v>
      </c>
      <c r="Q795" t="s">
        <v>28</v>
      </c>
    </row>
    <row r="796" spans="1:17" x14ac:dyDescent="0.35">
      <c r="A796" t="s">
        <v>848</v>
      </c>
      <c r="B796" t="s">
        <v>16</v>
      </c>
      <c r="C796">
        <v>36</v>
      </c>
      <c r="D796" t="s">
        <v>55</v>
      </c>
      <c r="E796" t="s">
        <v>92</v>
      </c>
      <c r="F796" t="s">
        <v>28</v>
      </c>
      <c r="G796">
        <v>10.3</v>
      </c>
      <c r="H796">
        <v>8.6</v>
      </c>
      <c r="I796" t="str" cm="1">
        <f t="array" ref="I796">_xlfn.IFS(G796&lt;3, "0–2 Years", G796&lt;6, "3–5 Years", G796&lt;9, "6–8 Years", G796&lt;12, "9-11 Years", G796&gt;=12, "12-14 Years")</f>
        <v>9-11 Years</v>
      </c>
      <c r="J796">
        <v>4</v>
      </c>
      <c r="K796" t="s">
        <v>20</v>
      </c>
      <c r="L796">
        <v>98100</v>
      </c>
      <c r="M796">
        <v>18100</v>
      </c>
      <c r="N796">
        <v>116200</v>
      </c>
      <c r="O796" t="s">
        <v>30</v>
      </c>
      <c r="P796" s="3">
        <v>42265</v>
      </c>
      <c r="Q796" t="s">
        <v>28</v>
      </c>
    </row>
    <row r="797" spans="1:17" x14ac:dyDescent="0.35">
      <c r="A797" t="s">
        <v>849</v>
      </c>
      <c r="B797" t="s">
        <v>16</v>
      </c>
      <c r="C797">
        <v>39</v>
      </c>
      <c r="D797" t="s">
        <v>44</v>
      </c>
      <c r="E797" t="s">
        <v>81</v>
      </c>
      <c r="F797" t="s">
        <v>19</v>
      </c>
      <c r="G797">
        <v>6.6</v>
      </c>
      <c r="H797">
        <v>5.0999999999999996</v>
      </c>
      <c r="I797" t="str" cm="1">
        <f t="array" ref="I797">_xlfn.IFS(G797&lt;3, "0–2 Years", G797&lt;6, "3–5 Years", G797&lt;9, "6–8 Years", G797&lt;12, "9-11 Years", G797&gt;=12, "12-14 Years")</f>
        <v>6–8 Years</v>
      </c>
      <c r="J797">
        <v>2</v>
      </c>
      <c r="K797" t="s">
        <v>20</v>
      </c>
      <c r="L797">
        <v>83900</v>
      </c>
      <c r="M797">
        <v>12300</v>
      </c>
      <c r="N797">
        <v>96200</v>
      </c>
      <c r="O797" t="s">
        <v>30</v>
      </c>
      <c r="P797" s="3">
        <v>43613</v>
      </c>
      <c r="Q797" t="s">
        <v>19</v>
      </c>
    </row>
    <row r="798" spans="1:17" x14ac:dyDescent="0.35">
      <c r="A798" t="s">
        <v>850</v>
      </c>
      <c r="B798" t="s">
        <v>23</v>
      </c>
      <c r="C798">
        <v>37</v>
      </c>
      <c r="D798" t="s">
        <v>34</v>
      </c>
      <c r="E798" t="s">
        <v>35</v>
      </c>
      <c r="F798" t="s">
        <v>36</v>
      </c>
      <c r="G798">
        <v>9.1999999999999993</v>
      </c>
      <c r="H798">
        <v>4.7</v>
      </c>
      <c r="I798" t="str" cm="1">
        <f t="array" ref="I798">_xlfn.IFS(G798&lt;3, "0–2 Years", G798&lt;6, "3–5 Years", G798&lt;9, "6–8 Years", G798&lt;12, "9-11 Years", G798&gt;=12, "12-14 Years")</f>
        <v>9-11 Years</v>
      </c>
      <c r="J798">
        <v>3</v>
      </c>
      <c r="K798" t="s">
        <v>24</v>
      </c>
      <c r="L798">
        <v>49300</v>
      </c>
      <c r="M798">
        <v>4500</v>
      </c>
      <c r="N798">
        <v>53800</v>
      </c>
      <c r="O798" t="s">
        <v>65</v>
      </c>
      <c r="P798" s="3">
        <v>42647</v>
      </c>
      <c r="Q798" t="s">
        <v>36</v>
      </c>
    </row>
    <row r="799" spans="1:17" x14ac:dyDescent="0.35">
      <c r="A799" t="s">
        <v>851</v>
      </c>
      <c r="B799" t="s">
        <v>16</v>
      </c>
      <c r="C799">
        <v>42</v>
      </c>
      <c r="D799" t="s">
        <v>38</v>
      </c>
      <c r="E799" t="s">
        <v>112</v>
      </c>
      <c r="F799" t="s">
        <v>28</v>
      </c>
      <c r="G799">
        <v>2.2000000000000002</v>
      </c>
      <c r="H799">
        <v>1</v>
      </c>
      <c r="I799" t="str" cm="1">
        <f t="array" ref="I799">_xlfn.IFS(G799&lt;3, "0–2 Years", G799&lt;6, "3–5 Years", G799&lt;9, "6–8 Years", G799&lt;12, "9-11 Years", G799&gt;=12, "12-14 Years")</f>
        <v>0–2 Years</v>
      </c>
      <c r="J799">
        <v>3</v>
      </c>
      <c r="K799" t="s">
        <v>20</v>
      </c>
      <c r="L799">
        <v>68400</v>
      </c>
      <c r="M799">
        <v>4500</v>
      </c>
      <c r="N799">
        <v>72900</v>
      </c>
      <c r="O799" t="s">
        <v>21</v>
      </c>
      <c r="P799" s="3">
        <v>45212</v>
      </c>
      <c r="Q799" t="s">
        <v>28</v>
      </c>
    </row>
    <row r="800" spans="1:17" x14ac:dyDescent="0.35">
      <c r="A800" t="s">
        <v>852</v>
      </c>
      <c r="B800" t="s">
        <v>16</v>
      </c>
      <c r="C800">
        <v>23</v>
      </c>
      <c r="D800" t="s">
        <v>38</v>
      </c>
      <c r="E800" t="s">
        <v>39</v>
      </c>
      <c r="F800" t="s">
        <v>28</v>
      </c>
      <c r="G800">
        <v>7.3</v>
      </c>
      <c r="H800">
        <v>7.2</v>
      </c>
      <c r="I800" t="str" cm="1">
        <f t="array" ref="I800">_xlfn.IFS(G800&lt;3, "0–2 Years", G800&lt;6, "3–5 Years", G800&lt;9, "6–8 Years", G800&lt;12, "9-11 Years", G800&gt;=12, "12-14 Years")</f>
        <v>6–8 Years</v>
      </c>
      <c r="J800">
        <v>2</v>
      </c>
      <c r="K800" t="s">
        <v>69</v>
      </c>
      <c r="L800">
        <v>60000</v>
      </c>
      <c r="M800">
        <v>4300</v>
      </c>
      <c r="N800">
        <v>64300</v>
      </c>
      <c r="O800" t="s">
        <v>25</v>
      </c>
      <c r="P800" s="3">
        <v>43354</v>
      </c>
      <c r="Q800" t="s">
        <v>28</v>
      </c>
    </row>
    <row r="801" spans="1:17" x14ac:dyDescent="0.35">
      <c r="A801" t="s">
        <v>853</v>
      </c>
      <c r="B801" t="s">
        <v>16</v>
      </c>
      <c r="C801">
        <v>31</v>
      </c>
      <c r="D801" t="s">
        <v>38</v>
      </c>
      <c r="E801" t="s">
        <v>112</v>
      </c>
      <c r="F801" t="s">
        <v>36</v>
      </c>
      <c r="G801">
        <v>10.1</v>
      </c>
      <c r="H801">
        <v>6.3</v>
      </c>
      <c r="I801" t="str" cm="1">
        <f t="array" ref="I801">_xlfn.IFS(G801&lt;3, "0–2 Years", G801&lt;6, "3–5 Years", G801&lt;9, "6–8 Years", G801&lt;12, "9-11 Years", G801&gt;=12, "12-14 Years")</f>
        <v>9-11 Years</v>
      </c>
      <c r="J801">
        <v>1</v>
      </c>
      <c r="K801" t="s">
        <v>20</v>
      </c>
      <c r="L801">
        <v>68800</v>
      </c>
      <c r="M801">
        <v>3500</v>
      </c>
      <c r="N801">
        <v>72300</v>
      </c>
      <c r="O801" t="s">
        <v>21</v>
      </c>
      <c r="P801" s="3">
        <v>42350</v>
      </c>
      <c r="Q801" t="s">
        <v>36</v>
      </c>
    </row>
    <row r="802" spans="1:17" x14ac:dyDescent="0.35">
      <c r="A802" t="s">
        <v>854</v>
      </c>
      <c r="B802" t="s">
        <v>23</v>
      </c>
      <c r="C802">
        <v>21</v>
      </c>
      <c r="D802" t="s">
        <v>34</v>
      </c>
      <c r="E802" t="s">
        <v>35</v>
      </c>
      <c r="F802" t="s">
        <v>36</v>
      </c>
      <c r="G802">
        <v>2.4</v>
      </c>
      <c r="H802">
        <v>2.4</v>
      </c>
      <c r="I802" t="str" cm="1">
        <f t="array" ref="I802">_xlfn.IFS(G802&lt;3, "0–2 Years", G802&lt;6, "3–5 Years", G802&lt;9, "6–8 Years", G802&lt;12, "9-11 Years", G802&gt;=12, "12-14 Years")</f>
        <v>0–2 Years</v>
      </c>
      <c r="J802">
        <v>3</v>
      </c>
      <c r="K802" t="s">
        <v>20</v>
      </c>
      <c r="L802">
        <v>74000</v>
      </c>
      <c r="M802">
        <v>8600</v>
      </c>
      <c r="N802">
        <v>82600</v>
      </c>
      <c r="O802" t="s">
        <v>21</v>
      </c>
      <c r="P802" s="3">
        <v>45158</v>
      </c>
      <c r="Q802" t="s">
        <v>36</v>
      </c>
    </row>
    <row r="803" spans="1:17" x14ac:dyDescent="0.35">
      <c r="A803" t="s">
        <v>855</v>
      </c>
      <c r="B803" t="s">
        <v>16</v>
      </c>
      <c r="C803">
        <v>29</v>
      </c>
      <c r="D803" t="s">
        <v>55</v>
      </c>
      <c r="E803" t="s">
        <v>79</v>
      </c>
      <c r="F803" t="s">
        <v>28</v>
      </c>
      <c r="G803">
        <v>2.6</v>
      </c>
      <c r="H803">
        <v>2.1</v>
      </c>
      <c r="I803" t="str" cm="1">
        <f t="array" ref="I803">_xlfn.IFS(G803&lt;3, "0–2 Years", G803&lt;6, "3–5 Years", G803&lt;9, "6–8 Years", G803&lt;12, "9-11 Years", G803&gt;=12, "12-14 Years")</f>
        <v>0–2 Years</v>
      </c>
      <c r="J803">
        <v>3</v>
      </c>
      <c r="K803" t="s">
        <v>20</v>
      </c>
      <c r="L803">
        <v>61400</v>
      </c>
      <c r="M803">
        <v>8200</v>
      </c>
      <c r="N803">
        <v>69600</v>
      </c>
      <c r="O803" t="s">
        <v>25</v>
      </c>
      <c r="P803" s="3">
        <v>45076</v>
      </c>
      <c r="Q803" t="s">
        <v>28</v>
      </c>
    </row>
    <row r="804" spans="1:17" x14ac:dyDescent="0.35">
      <c r="A804" t="s">
        <v>856</v>
      </c>
      <c r="B804" t="s">
        <v>23</v>
      </c>
      <c r="C804">
        <v>43</v>
      </c>
      <c r="D804" t="s">
        <v>17</v>
      </c>
      <c r="E804" t="s">
        <v>27</v>
      </c>
      <c r="F804" t="s">
        <v>36</v>
      </c>
      <c r="G804">
        <v>3.4</v>
      </c>
      <c r="H804">
        <v>0.9</v>
      </c>
      <c r="I804" t="str" cm="1">
        <f t="array" ref="I804">_xlfn.IFS(G804&lt;3, "0–2 Years", G804&lt;6, "3–5 Years", G804&lt;9, "6–8 Years", G804&lt;12, "9-11 Years", G804&gt;=12, "12-14 Years")</f>
        <v>3–5 Years</v>
      </c>
      <c r="J804">
        <v>4</v>
      </c>
      <c r="K804" t="s">
        <v>69</v>
      </c>
      <c r="L804">
        <v>64500</v>
      </c>
      <c r="M804">
        <v>8100</v>
      </c>
      <c r="N804">
        <v>72600</v>
      </c>
      <c r="O804" t="s">
        <v>25</v>
      </c>
      <c r="P804" s="3">
        <v>44791</v>
      </c>
      <c r="Q804" t="s">
        <v>36</v>
      </c>
    </row>
    <row r="805" spans="1:17" x14ac:dyDescent="0.35">
      <c r="A805" t="s">
        <v>857</v>
      </c>
      <c r="B805" t="s">
        <v>16</v>
      </c>
      <c r="C805">
        <v>54</v>
      </c>
      <c r="D805" t="s">
        <v>34</v>
      </c>
      <c r="E805" t="s">
        <v>35</v>
      </c>
      <c r="F805" t="s">
        <v>62</v>
      </c>
      <c r="G805">
        <v>2</v>
      </c>
      <c r="H805">
        <v>0.7</v>
      </c>
      <c r="I805" t="str" cm="1">
        <f t="array" ref="I805">_xlfn.IFS(G805&lt;3, "0–2 Years", G805&lt;6, "3–5 Years", G805&lt;9, "6–8 Years", G805&lt;12, "9-11 Years", G805&gt;=12, "12-14 Years")</f>
        <v>0–2 Years</v>
      </c>
      <c r="J805">
        <v>5</v>
      </c>
      <c r="K805" t="s">
        <v>20</v>
      </c>
      <c r="L805">
        <v>81200</v>
      </c>
      <c r="M805">
        <v>3900</v>
      </c>
      <c r="N805">
        <v>85100</v>
      </c>
      <c r="O805" t="s">
        <v>30</v>
      </c>
      <c r="P805" s="3">
        <v>45292</v>
      </c>
      <c r="Q805" t="s">
        <v>62</v>
      </c>
    </row>
    <row r="806" spans="1:17" x14ac:dyDescent="0.35">
      <c r="A806" t="s">
        <v>858</v>
      </c>
      <c r="B806" t="s">
        <v>16</v>
      </c>
      <c r="C806">
        <v>52</v>
      </c>
      <c r="D806" t="s">
        <v>41</v>
      </c>
      <c r="E806" t="s">
        <v>73</v>
      </c>
      <c r="F806" t="s">
        <v>28</v>
      </c>
      <c r="G806">
        <v>10.5</v>
      </c>
      <c r="H806">
        <v>6</v>
      </c>
      <c r="I806" t="str" cm="1">
        <f t="array" ref="I806">_xlfn.IFS(G806&lt;3, "0–2 Years", G806&lt;6, "3–5 Years", G806&lt;9, "6–8 Years", G806&lt;12, "9-11 Years", G806&gt;=12, "12-14 Years")</f>
        <v>9-11 Years</v>
      </c>
      <c r="J806">
        <v>3</v>
      </c>
      <c r="K806" t="s">
        <v>20</v>
      </c>
      <c r="L806">
        <v>105900</v>
      </c>
      <c r="M806">
        <v>4000</v>
      </c>
      <c r="N806">
        <v>109900</v>
      </c>
      <c r="O806" t="s">
        <v>57</v>
      </c>
      <c r="P806" s="3">
        <v>42181</v>
      </c>
      <c r="Q806" t="s">
        <v>28</v>
      </c>
    </row>
    <row r="807" spans="1:17" x14ac:dyDescent="0.35">
      <c r="A807" t="s">
        <v>859</v>
      </c>
      <c r="B807" t="s">
        <v>16</v>
      </c>
      <c r="C807">
        <v>40</v>
      </c>
      <c r="D807" t="s">
        <v>55</v>
      </c>
      <c r="E807" t="s">
        <v>92</v>
      </c>
      <c r="F807" t="s">
        <v>36</v>
      </c>
      <c r="G807">
        <v>10</v>
      </c>
      <c r="H807">
        <v>8.6999999999999993</v>
      </c>
      <c r="I807" t="str" cm="1">
        <f t="array" ref="I807">_xlfn.IFS(G807&lt;3, "0–2 Years", G807&lt;6, "3–5 Years", G807&lt;9, "6–8 Years", G807&lt;12, "9-11 Years", G807&gt;=12, "12-14 Years")</f>
        <v>9-11 Years</v>
      </c>
      <c r="J807">
        <v>4</v>
      </c>
      <c r="K807" t="s">
        <v>20</v>
      </c>
      <c r="L807">
        <v>105900</v>
      </c>
      <c r="M807">
        <v>17800</v>
      </c>
      <c r="N807">
        <v>123700</v>
      </c>
      <c r="O807" t="s">
        <v>57</v>
      </c>
      <c r="P807" s="3">
        <v>42381</v>
      </c>
      <c r="Q807" t="s">
        <v>36</v>
      </c>
    </row>
    <row r="808" spans="1:17" x14ac:dyDescent="0.35">
      <c r="A808" t="s">
        <v>860</v>
      </c>
      <c r="B808" t="s">
        <v>16</v>
      </c>
      <c r="C808">
        <v>31</v>
      </c>
      <c r="D808" t="s">
        <v>34</v>
      </c>
      <c r="E808" t="s">
        <v>59</v>
      </c>
      <c r="F808" t="s">
        <v>28</v>
      </c>
      <c r="G808">
        <v>3.8</v>
      </c>
      <c r="H808">
        <v>3.5</v>
      </c>
      <c r="I808" t="str" cm="1">
        <f t="array" ref="I808">_xlfn.IFS(G808&lt;3, "0–2 Years", G808&lt;6, "3–5 Years", G808&lt;9, "6–8 Years", G808&lt;12, "9-11 Years", G808&gt;=12, "12-14 Years")</f>
        <v>3–5 Years</v>
      </c>
      <c r="J808">
        <v>3</v>
      </c>
      <c r="K808" t="s">
        <v>20</v>
      </c>
      <c r="L808">
        <v>101600</v>
      </c>
      <c r="M808">
        <v>10100</v>
      </c>
      <c r="N808">
        <v>111700</v>
      </c>
      <c r="O808" t="s">
        <v>57</v>
      </c>
      <c r="P808" s="3">
        <v>44619</v>
      </c>
      <c r="Q808" t="s">
        <v>28</v>
      </c>
    </row>
    <row r="809" spans="1:17" x14ac:dyDescent="0.35">
      <c r="A809" t="s">
        <v>861</v>
      </c>
      <c r="B809" t="s">
        <v>23</v>
      </c>
      <c r="C809">
        <v>24</v>
      </c>
      <c r="D809" t="s">
        <v>41</v>
      </c>
      <c r="E809" t="s">
        <v>73</v>
      </c>
      <c r="F809" t="s">
        <v>28</v>
      </c>
      <c r="G809">
        <v>8.6</v>
      </c>
      <c r="H809">
        <v>7.1</v>
      </c>
      <c r="I809" t="str" cm="1">
        <f t="array" ref="I809">_xlfn.IFS(G809&lt;3, "0–2 Years", G809&lt;6, "3–5 Years", G809&lt;9, "6–8 Years", G809&lt;12, "9-11 Years", G809&gt;=12, "12-14 Years")</f>
        <v>6–8 Years</v>
      </c>
      <c r="J809">
        <v>3</v>
      </c>
      <c r="K809" t="s">
        <v>69</v>
      </c>
      <c r="L809">
        <v>89500</v>
      </c>
      <c r="M809">
        <v>4100</v>
      </c>
      <c r="N809">
        <v>93600</v>
      </c>
      <c r="O809" t="s">
        <v>30</v>
      </c>
      <c r="P809" s="3">
        <v>42894</v>
      </c>
      <c r="Q809" t="s">
        <v>28</v>
      </c>
    </row>
    <row r="810" spans="1:17" x14ac:dyDescent="0.35">
      <c r="A810" t="s">
        <v>862</v>
      </c>
      <c r="B810" t="s">
        <v>23</v>
      </c>
      <c r="C810">
        <v>30</v>
      </c>
      <c r="D810" t="s">
        <v>41</v>
      </c>
      <c r="E810" t="s">
        <v>42</v>
      </c>
      <c r="F810" t="s">
        <v>28</v>
      </c>
      <c r="G810">
        <v>8.3000000000000007</v>
      </c>
      <c r="H810">
        <v>5.3</v>
      </c>
      <c r="I810" t="str" cm="1">
        <f t="array" ref="I810">_xlfn.IFS(G810&lt;3, "0–2 Years", G810&lt;6, "3–5 Years", G810&lt;9, "6–8 Years", G810&lt;12, "9-11 Years", G810&gt;=12, "12-14 Years")</f>
        <v>6–8 Years</v>
      </c>
      <c r="J810">
        <v>2</v>
      </c>
      <c r="K810" t="s">
        <v>24</v>
      </c>
      <c r="L810">
        <v>56300</v>
      </c>
      <c r="M810">
        <v>2200</v>
      </c>
      <c r="N810">
        <v>58500</v>
      </c>
      <c r="O810" t="s">
        <v>25</v>
      </c>
      <c r="P810" s="3">
        <v>43009</v>
      </c>
      <c r="Q810" t="s">
        <v>28</v>
      </c>
    </row>
    <row r="811" spans="1:17" x14ac:dyDescent="0.35">
      <c r="A811" t="s">
        <v>863</v>
      </c>
      <c r="B811" t="s">
        <v>16</v>
      </c>
      <c r="C811">
        <v>34</v>
      </c>
      <c r="D811" t="s">
        <v>55</v>
      </c>
      <c r="E811" t="s">
        <v>79</v>
      </c>
      <c r="F811" t="s">
        <v>28</v>
      </c>
      <c r="G811">
        <v>7.3</v>
      </c>
      <c r="H811">
        <v>4.3</v>
      </c>
      <c r="I811" t="str" cm="1">
        <f t="array" ref="I811">_xlfn.IFS(G811&lt;3, "0–2 Years", G811&lt;6, "3–5 Years", G811&lt;9, "6–8 Years", G811&lt;12, "9-11 Years", G811&gt;=12, "12-14 Years")</f>
        <v>6–8 Years</v>
      </c>
      <c r="J811">
        <v>3</v>
      </c>
      <c r="K811" t="s">
        <v>20</v>
      </c>
      <c r="L811">
        <v>65000</v>
      </c>
      <c r="M811">
        <v>8700</v>
      </c>
      <c r="N811">
        <v>73700</v>
      </c>
      <c r="O811" t="s">
        <v>21</v>
      </c>
      <c r="P811" s="3">
        <v>43354</v>
      </c>
      <c r="Q811" t="s">
        <v>28</v>
      </c>
    </row>
    <row r="812" spans="1:17" x14ac:dyDescent="0.35">
      <c r="A812" t="s">
        <v>864</v>
      </c>
      <c r="B812" t="s">
        <v>16</v>
      </c>
      <c r="C812">
        <v>28</v>
      </c>
      <c r="D812" t="s">
        <v>38</v>
      </c>
      <c r="E812" t="s">
        <v>112</v>
      </c>
      <c r="F812" t="s">
        <v>36</v>
      </c>
      <c r="G812">
        <v>5.4</v>
      </c>
      <c r="H812">
        <v>4</v>
      </c>
      <c r="I812" t="str" cm="1">
        <f t="array" ref="I812">_xlfn.IFS(G812&lt;3, "0–2 Years", G812&lt;6, "3–5 Years", G812&lt;9, "6–8 Years", G812&lt;12, "9-11 Years", G812&gt;=12, "12-14 Years")</f>
        <v>3–5 Years</v>
      </c>
      <c r="J812">
        <v>2</v>
      </c>
      <c r="K812" t="s">
        <v>20</v>
      </c>
      <c r="L812">
        <v>66000</v>
      </c>
      <c r="M812">
        <v>2800</v>
      </c>
      <c r="N812">
        <v>68800</v>
      </c>
      <c r="O812" t="s">
        <v>21</v>
      </c>
      <c r="P812" s="3">
        <v>44055</v>
      </c>
      <c r="Q812" t="s">
        <v>36</v>
      </c>
    </row>
    <row r="813" spans="1:17" x14ac:dyDescent="0.35">
      <c r="A813" t="s">
        <v>865</v>
      </c>
      <c r="B813" t="s">
        <v>23</v>
      </c>
      <c r="C813">
        <v>45</v>
      </c>
      <c r="D813" t="s">
        <v>55</v>
      </c>
      <c r="E813" t="s">
        <v>92</v>
      </c>
      <c r="F813" t="s">
        <v>36</v>
      </c>
      <c r="G813">
        <v>1.3</v>
      </c>
      <c r="H813">
        <v>0.8</v>
      </c>
      <c r="I813" t="str" cm="1">
        <f t="array" ref="I813">_xlfn.IFS(G813&lt;3, "0–2 Years", G813&lt;6, "3–5 Years", G813&lt;9, "6–8 Years", G813&lt;12, "9-11 Years", G813&gt;=12, "12-14 Years")</f>
        <v>0–2 Years</v>
      </c>
      <c r="J813">
        <v>4</v>
      </c>
      <c r="K813" t="s">
        <v>20</v>
      </c>
      <c r="L813">
        <v>94600</v>
      </c>
      <c r="M813">
        <v>15000</v>
      </c>
      <c r="N813">
        <v>109600</v>
      </c>
      <c r="O813" t="s">
        <v>30</v>
      </c>
      <c r="P813" s="3">
        <v>45532</v>
      </c>
      <c r="Q813" t="s">
        <v>36</v>
      </c>
    </row>
    <row r="814" spans="1:17" x14ac:dyDescent="0.35">
      <c r="A814" t="s">
        <v>866</v>
      </c>
      <c r="B814" t="s">
        <v>23</v>
      </c>
      <c r="C814">
        <v>33</v>
      </c>
      <c r="D814" t="s">
        <v>34</v>
      </c>
      <c r="E814" t="s">
        <v>59</v>
      </c>
      <c r="F814" t="s">
        <v>28</v>
      </c>
      <c r="G814">
        <v>4.3</v>
      </c>
      <c r="H814">
        <v>1.9</v>
      </c>
      <c r="I814" t="str" cm="1">
        <f t="array" ref="I814">_xlfn.IFS(G814&lt;3, "0–2 Years", G814&lt;6, "3–5 Years", G814&lt;9, "6–8 Years", G814&lt;12, "9-11 Years", G814&gt;=12, "12-14 Years")</f>
        <v>3–5 Years</v>
      </c>
      <c r="J814">
        <v>4</v>
      </c>
      <c r="K814" t="s">
        <v>20</v>
      </c>
      <c r="L814">
        <v>113400</v>
      </c>
      <c r="M814">
        <v>4800</v>
      </c>
      <c r="N814">
        <v>118200</v>
      </c>
      <c r="O814" t="s">
        <v>57</v>
      </c>
      <c r="P814" s="3">
        <v>44467</v>
      </c>
      <c r="Q814" t="s">
        <v>28</v>
      </c>
    </row>
    <row r="815" spans="1:17" x14ac:dyDescent="0.35">
      <c r="A815" t="s">
        <v>867</v>
      </c>
      <c r="B815" t="s">
        <v>16</v>
      </c>
      <c r="C815">
        <v>30</v>
      </c>
      <c r="D815" t="s">
        <v>38</v>
      </c>
      <c r="E815" t="s">
        <v>112</v>
      </c>
      <c r="F815" t="s">
        <v>36</v>
      </c>
      <c r="G815">
        <v>2.6</v>
      </c>
      <c r="H815">
        <v>0.4</v>
      </c>
      <c r="I815" t="str" cm="1">
        <f t="array" ref="I815">_xlfn.IFS(G815&lt;3, "0–2 Years", G815&lt;6, "3–5 Years", G815&lt;9, "6–8 Years", G815&lt;12, "9-11 Years", G815&gt;=12, "12-14 Years")</f>
        <v>0–2 Years</v>
      </c>
      <c r="J815">
        <v>3</v>
      </c>
      <c r="K815" t="s">
        <v>20</v>
      </c>
      <c r="L815">
        <v>66200</v>
      </c>
      <c r="M815">
        <v>4500</v>
      </c>
      <c r="N815">
        <v>70700</v>
      </c>
      <c r="O815" t="s">
        <v>21</v>
      </c>
      <c r="P815" s="3">
        <v>45074</v>
      </c>
      <c r="Q815" t="s">
        <v>36</v>
      </c>
    </row>
    <row r="816" spans="1:17" x14ac:dyDescent="0.35">
      <c r="A816" t="s">
        <v>868</v>
      </c>
      <c r="B816" t="s">
        <v>16</v>
      </c>
      <c r="C816">
        <v>39</v>
      </c>
      <c r="D816" t="s">
        <v>17</v>
      </c>
      <c r="E816" t="s">
        <v>27</v>
      </c>
      <c r="F816" t="s">
        <v>36</v>
      </c>
      <c r="G816">
        <v>5.7</v>
      </c>
      <c r="H816">
        <v>5.2</v>
      </c>
      <c r="I816" t="str" cm="1">
        <f t="array" ref="I816">_xlfn.IFS(G816&lt;3, "0–2 Years", G816&lt;6, "3–5 Years", G816&lt;9, "6–8 Years", G816&lt;12, "9-11 Years", G816&gt;=12, "12-14 Years")</f>
        <v>3–5 Years</v>
      </c>
      <c r="J816">
        <v>4</v>
      </c>
      <c r="K816" t="s">
        <v>20</v>
      </c>
      <c r="L816">
        <v>77500</v>
      </c>
      <c r="M816">
        <v>3800</v>
      </c>
      <c r="N816">
        <v>81300</v>
      </c>
      <c r="O816" t="s">
        <v>21</v>
      </c>
      <c r="P816" s="3">
        <v>43954</v>
      </c>
      <c r="Q816" t="s">
        <v>36</v>
      </c>
    </row>
    <row r="817" spans="1:17" x14ac:dyDescent="0.35">
      <c r="A817" t="s">
        <v>869</v>
      </c>
      <c r="B817" t="s">
        <v>23</v>
      </c>
      <c r="C817">
        <v>43</v>
      </c>
      <c r="D817" t="s">
        <v>41</v>
      </c>
      <c r="E817" t="s">
        <v>42</v>
      </c>
      <c r="F817" t="s">
        <v>28</v>
      </c>
      <c r="G817">
        <v>10</v>
      </c>
      <c r="H817">
        <v>8.6</v>
      </c>
      <c r="I817" t="str" cm="1">
        <f t="array" ref="I817">_xlfn.IFS(G817&lt;3, "0–2 Years", G817&lt;6, "3–5 Years", G817&lt;9, "6–8 Years", G817&lt;12, "9-11 Years", G817&gt;=12, "12-14 Years")</f>
        <v>9-11 Years</v>
      </c>
      <c r="J817">
        <v>2</v>
      </c>
      <c r="K817" t="s">
        <v>20</v>
      </c>
      <c r="L817">
        <v>84600</v>
      </c>
      <c r="M817">
        <v>5600</v>
      </c>
      <c r="N817">
        <v>90200</v>
      </c>
      <c r="O817" t="s">
        <v>30</v>
      </c>
      <c r="P817" s="3">
        <v>42360</v>
      </c>
      <c r="Q817" t="s">
        <v>28</v>
      </c>
    </row>
    <row r="818" spans="1:17" x14ac:dyDescent="0.35">
      <c r="A818" t="s">
        <v>870</v>
      </c>
      <c r="B818" t="s">
        <v>23</v>
      </c>
      <c r="C818">
        <v>39</v>
      </c>
      <c r="D818" t="s">
        <v>17</v>
      </c>
      <c r="E818" t="s">
        <v>32</v>
      </c>
      <c r="F818" t="s">
        <v>36</v>
      </c>
      <c r="G818">
        <v>6.5</v>
      </c>
      <c r="H818">
        <v>3.4</v>
      </c>
      <c r="I818" t="str" cm="1">
        <f t="array" ref="I818">_xlfn.IFS(G818&lt;3, "0–2 Years", G818&lt;6, "3–5 Years", G818&lt;9, "6–8 Years", G818&lt;12, "9-11 Years", G818&gt;=12, "12-14 Years")</f>
        <v>6–8 Years</v>
      </c>
      <c r="J818">
        <v>3</v>
      </c>
      <c r="K818" t="s">
        <v>20</v>
      </c>
      <c r="L818">
        <v>80400</v>
      </c>
      <c r="M818">
        <v>10000</v>
      </c>
      <c r="N818">
        <v>90400</v>
      </c>
      <c r="O818" t="s">
        <v>30</v>
      </c>
      <c r="P818" s="3">
        <v>43664</v>
      </c>
      <c r="Q818" t="s">
        <v>36</v>
      </c>
    </row>
    <row r="819" spans="1:17" x14ac:dyDescent="0.35">
      <c r="A819" t="s">
        <v>871</v>
      </c>
      <c r="B819" t="s">
        <v>23</v>
      </c>
      <c r="C819">
        <v>22</v>
      </c>
      <c r="D819" t="s">
        <v>55</v>
      </c>
      <c r="E819" t="s">
        <v>79</v>
      </c>
      <c r="F819" t="s">
        <v>28</v>
      </c>
      <c r="G819">
        <v>6.6</v>
      </c>
      <c r="H819">
        <v>3</v>
      </c>
      <c r="I819" t="str" cm="1">
        <f t="array" ref="I819">_xlfn.IFS(G819&lt;3, "0–2 Years", G819&lt;6, "3–5 Years", G819&lt;9, "6–8 Years", G819&lt;12, "9-11 Years", G819&gt;=12, "12-14 Years")</f>
        <v>6–8 Years</v>
      </c>
      <c r="J819">
        <v>1</v>
      </c>
      <c r="K819" t="s">
        <v>20</v>
      </c>
      <c r="L819">
        <v>65900</v>
      </c>
      <c r="M819">
        <v>13000</v>
      </c>
      <c r="N819">
        <v>78900</v>
      </c>
      <c r="O819" t="s">
        <v>21</v>
      </c>
      <c r="P819" s="3">
        <v>43620</v>
      </c>
      <c r="Q819" t="s">
        <v>28</v>
      </c>
    </row>
    <row r="820" spans="1:17" x14ac:dyDescent="0.35">
      <c r="A820" t="s">
        <v>872</v>
      </c>
      <c r="B820" t="s">
        <v>23</v>
      </c>
      <c r="C820" s="7">
        <v>44</v>
      </c>
      <c r="D820" t="s">
        <v>41</v>
      </c>
      <c r="E820" t="s">
        <v>42</v>
      </c>
      <c r="F820" t="s">
        <v>28</v>
      </c>
      <c r="G820" s="9">
        <v>13.5</v>
      </c>
      <c r="H820" s="7">
        <v>9.3000000000000007</v>
      </c>
      <c r="I820" t="str" cm="1">
        <f t="array" ref="I820">_xlfn.IFS(G820&lt;3, "0–2 Years", G820&lt;6, "3–5 Years", G820&lt;9, "6–8 Years", G820&lt;12, "9-11 Years", G820&gt;=12, "12-14 Years")</f>
        <v>12-14 Years</v>
      </c>
      <c r="J820" s="7">
        <v>3</v>
      </c>
      <c r="K820" t="s">
        <v>20</v>
      </c>
      <c r="L820" s="7">
        <v>95900</v>
      </c>
      <c r="M820" s="7">
        <v>4400</v>
      </c>
      <c r="N820" s="7">
        <v>100300</v>
      </c>
      <c r="O820" t="s">
        <v>30</v>
      </c>
      <c r="P820" s="3">
        <v>41074</v>
      </c>
      <c r="Q820" t="s">
        <v>28</v>
      </c>
    </row>
    <row r="821" spans="1:17" x14ac:dyDescent="0.35">
      <c r="A821" t="s">
        <v>873</v>
      </c>
      <c r="B821" t="s">
        <v>23</v>
      </c>
      <c r="C821" s="7">
        <v>32</v>
      </c>
      <c r="D821" t="s">
        <v>34</v>
      </c>
      <c r="E821" t="s">
        <v>35</v>
      </c>
      <c r="F821" t="s">
        <v>36</v>
      </c>
      <c r="G821" s="9">
        <v>12.8</v>
      </c>
      <c r="H821" s="7">
        <v>6.9</v>
      </c>
      <c r="I821" t="str" cm="1">
        <f t="array" ref="I821">_xlfn.IFS(G821&lt;3, "0–2 Years", G821&lt;6, "3–5 Years", G821&lt;9, "6–8 Years", G821&lt;12, "9-11 Years", G821&gt;=12, "12-14 Years")</f>
        <v>12-14 Years</v>
      </c>
      <c r="J821" s="7">
        <v>4</v>
      </c>
      <c r="K821" t="s">
        <v>69</v>
      </c>
      <c r="L821" s="7">
        <v>66400</v>
      </c>
      <c r="M821" s="7">
        <v>3400</v>
      </c>
      <c r="N821" s="7">
        <v>69800</v>
      </c>
      <c r="O821" t="s">
        <v>21</v>
      </c>
      <c r="P821" s="3">
        <v>41344</v>
      </c>
      <c r="Q821" t="s">
        <v>36</v>
      </c>
    </row>
    <row r="822" spans="1:17" x14ac:dyDescent="0.35">
      <c r="A822" t="s">
        <v>874</v>
      </c>
      <c r="B822" t="s">
        <v>16</v>
      </c>
      <c r="C822">
        <v>21</v>
      </c>
      <c r="D822" t="s">
        <v>55</v>
      </c>
      <c r="E822" t="s">
        <v>92</v>
      </c>
      <c r="F822" t="s">
        <v>36</v>
      </c>
      <c r="G822">
        <v>4</v>
      </c>
      <c r="H822">
        <v>1.9</v>
      </c>
      <c r="I822" t="str" cm="1">
        <f t="array" ref="I822">_xlfn.IFS(G822&lt;3, "0–2 Years", G822&lt;6, "3–5 Years", G822&lt;9, "6–8 Years", G822&lt;12, "9-11 Years", G822&gt;=12, "12-14 Years")</f>
        <v>3–5 Years</v>
      </c>
      <c r="J822">
        <v>4</v>
      </c>
      <c r="K822" t="s">
        <v>20</v>
      </c>
      <c r="L822">
        <v>88500</v>
      </c>
      <c r="M822">
        <v>9700</v>
      </c>
      <c r="N822">
        <v>98200</v>
      </c>
      <c r="O822" t="s">
        <v>30</v>
      </c>
      <c r="P822" s="3">
        <v>44580</v>
      </c>
      <c r="Q822" t="s">
        <v>36</v>
      </c>
    </row>
    <row r="823" spans="1:17" x14ac:dyDescent="0.35">
      <c r="A823" t="s">
        <v>875</v>
      </c>
      <c r="B823" t="s">
        <v>16</v>
      </c>
      <c r="C823">
        <v>28</v>
      </c>
      <c r="D823" t="s">
        <v>17</v>
      </c>
      <c r="E823" t="s">
        <v>18</v>
      </c>
      <c r="F823" t="s">
        <v>36</v>
      </c>
      <c r="G823">
        <v>2.4</v>
      </c>
      <c r="H823">
        <v>1.3</v>
      </c>
      <c r="I823" t="str" cm="1">
        <f t="array" ref="I823">_xlfn.IFS(G823&lt;3, "0–2 Years", G823&lt;6, "3–5 Years", G823&lt;9, "6–8 Years", G823&lt;12, "9-11 Years", G823&gt;=12, "12-14 Years")</f>
        <v>0–2 Years</v>
      </c>
      <c r="J823">
        <v>3</v>
      </c>
      <c r="K823" t="s">
        <v>20</v>
      </c>
      <c r="L823">
        <v>102900</v>
      </c>
      <c r="M823">
        <v>6100</v>
      </c>
      <c r="N823">
        <v>109000</v>
      </c>
      <c r="O823" t="s">
        <v>57</v>
      </c>
      <c r="P823" s="3">
        <v>45164</v>
      </c>
      <c r="Q823" t="s">
        <v>36</v>
      </c>
    </row>
    <row r="824" spans="1:17" x14ac:dyDescent="0.35">
      <c r="A824" t="s">
        <v>876</v>
      </c>
      <c r="B824" t="s">
        <v>23</v>
      </c>
      <c r="C824">
        <v>37</v>
      </c>
      <c r="D824" t="s">
        <v>55</v>
      </c>
      <c r="E824" t="s">
        <v>92</v>
      </c>
      <c r="F824" t="s">
        <v>28</v>
      </c>
      <c r="G824">
        <v>4.3</v>
      </c>
      <c r="H824">
        <v>2</v>
      </c>
      <c r="I824" t="str" cm="1">
        <f t="array" ref="I824">_xlfn.IFS(G824&lt;3, "0–2 Years", G824&lt;6, "3–5 Years", G824&lt;9, "6–8 Years", G824&lt;12, "9-11 Years", G824&gt;=12, "12-14 Years")</f>
        <v>3–5 Years</v>
      </c>
      <c r="J824">
        <v>4</v>
      </c>
      <c r="K824" t="s">
        <v>20</v>
      </c>
      <c r="L824">
        <v>99100</v>
      </c>
      <c r="M824">
        <v>19600</v>
      </c>
      <c r="N824">
        <v>118700</v>
      </c>
      <c r="O824" t="s">
        <v>30</v>
      </c>
      <c r="P824" s="3">
        <v>44467</v>
      </c>
      <c r="Q824" t="s">
        <v>28</v>
      </c>
    </row>
    <row r="825" spans="1:17" x14ac:dyDescent="0.35">
      <c r="A825" t="s">
        <v>877</v>
      </c>
      <c r="B825" t="s">
        <v>16</v>
      </c>
      <c r="C825" s="7">
        <v>36</v>
      </c>
      <c r="D825" t="s">
        <v>17</v>
      </c>
      <c r="E825" t="s">
        <v>18</v>
      </c>
      <c r="F825" t="s">
        <v>62</v>
      </c>
      <c r="G825" s="9">
        <v>12.8</v>
      </c>
      <c r="H825" s="7">
        <v>8.8000000000000007</v>
      </c>
      <c r="I825" t="str" cm="1">
        <f t="array" ref="I825">_xlfn.IFS(G825&lt;3, "0–2 Years", G825&lt;6, "3–5 Years", G825&lt;9, "6–8 Years", G825&lt;12, "9-11 Years", G825&gt;=12, "12-14 Years")</f>
        <v>12-14 Years</v>
      </c>
      <c r="J825" s="7">
        <v>2</v>
      </c>
      <c r="K825" t="s">
        <v>69</v>
      </c>
      <c r="L825" s="7">
        <v>87100</v>
      </c>
      <c r="M825" s="7">
        <v>7000</v>
      </c>
      <c r="N825" s="7">
        <v>94100</v>
      </c>
      <c r="O825" t="s">
        <v>30</v>
      </c>
      <c r="P825" s="3">
        <v>41332</v>
      </c>
      <c r="Q825" t="s">
        <v>62</v>
      </c>
    </row>
    <row r="826" spans="1:17" x14ac:dyDescent="0.35">
      <c r="A826" t="s">
        <v>878</v>
      </c>
      <c r="B826" t="s">
        <v>23</v>
      </c>
      <c r="C826" s="7">
        <v>23</v>
      </c>
      <c r="D826" t="s">
        <v>44</v>
      </c>
      <c r="E826" t="s">
        <v>51</v>
      </c>
      <c r="F826" t="s">
        <v>19</v>
      </c>
      <c r="G826" s="9">
        <v>12.9</v>
      </c>
      <c r="H826" s="7">
        <v>9.4</v>
      </c>
      <c r="I826" t="str" cm="1">
        <f t="array" ref="I826">_xlfn.IFS(G826&lt;3, "0–2 Years", G826&lt;6, "3–5 Years", G826&lt;9, "6–8 Years", G826&lt;12, "9-11 Years", G826&gt;=12, "12-14 Years")</f>
        <v>12-14 Years</v>
      </c>
      <c r="J826" s="7">
        <v>3</v>
      </c>
      <c r="K826" t="s">
        <v>20</v>
      </c>
      <c r="L826" s="7">
        <v>87000</v>
      </c>
      <c r="M826" s="7">
        <v>7900</v>
      </c>
      <c r="N826" s="7">
        <v>94900</v>
      </c>
      <c r="O826" t="s">
        <v>30</v>
      </c>
      <c r="P826" s="3">
        <v>41309</v>
      </c>
      <c r="Q826" t="s">
        <v>19</v>
      </c>
    </row>
    <row r="827" spans="1:17" x14ac:dyDescent="0.35">
      <c r="A827" t="s">
        <v>879</v>
      </c>
      <c r="B827" t="s">
        <v>16</v>
      </c>
      <c r="C827">
        <v>32</v>
      </c>
      <c r="D827" t="s">
        <v>44</v>
      </c>
      <c r="E827" t="s">
        <v>81</v>
      </c>
      <c r="F827" t="s">
        <v>28</v>
      </c>
      <c r="G827">
        <v>10.3</v>
      </c>
      <c r="H827">
        <v>5.9</v>
      </c>
      <c r="I827" t="str" cm="1">
        <f t="array" ref="I827">_xlfn.IFS(G827&lt;3, "0–2 Years", G827&lt;6, "3–5 Years", G827&lt;9, "6–8 Years", G827&lt;12, "9-11 Years", G827&gt;=12, "12-14 Years")</f>
        <v>9-11 Years</v>
      </c>
      <c r="J827">
        <v>5</v>
      </c>
      <c r="K827" t="s">
        <v>20</v>
      </c>
      <c r="L827">
        <v>104700</v>
      </c>
      <c r="M827">
        <v>14300</v>
      </c>
      <c r="N827">
        <v>119000</v>
      </c>
      <c r="O827" t="s">
        <v>57</v>
      </c>
      <c r="P827" s="3">
        <v>42262</v>
      </c>
      <c r="Q827" t="s">
        <v>28</v>
      </c>
    </row>
    <row r="828" spans="1:17" x14ac:dyDescent="0.35">
      <c r="A828" t="s">
        <v>880</v>
      </c>
      <c r="B828" t="s">
        <v>16</v>
      </c>
      <c r="C828">
        <v>34</v>
      </c>
      <c r="D828" t="s">
        <v>44</v>
      </c>
      <c r="E828" t="s">
        <v>81</v>
      </c>
      <c r="F828" t="s">
        <v>36</v>
      </c>
      <c r="G828">
        <v>3.1</v>
      </c>
      <c r="H828">
        <v>0.8</v>
      </c>
      <c r="I828" t="str" cm="1">
        <f t="array" ref="I828">_xlfn.IFS(G828&lt;3, "0–2 Years", G828&lt;6, "3–5 Years", G828&lt;9, "6–8 Years", G828&lt;12, "9-11 Years", G828&gt;=12, "12-14 Years")</f>
        <v>3–5 Years</v>
      </c>
      <c r="J828">
        <v>4</v>
      </c>
      <c r="K828" t="s">
        <v>20</v>
      </c>
      <c r="L828">
        <v>79900</v>
      </c>
      <c r="M828">
        <v>5200</v>
      </c>
      <c r="N828">
        <v>85100</v>
      </c>
      <c r="O828" t="s">
        <v>21</v>
      </c>
      <c r="P828" s="3">
        <v>44886</v>
      </c>
      <c r="Q828" t="s">
        <v>36</v>
      </c>
    </row>
    <row r="829" spans="1:17" x14ac:dyDescent="0.35">
      <c r="A829" t="s">
        <v>881</v>
      </c>
      <c r="B829" t="s">
        <v>16</v>
      </c>
      <c r="C829">
        <v>30</v>
      </c>
      <c r="D829" t="s">
        <v>38</v>
      </c>
      <c r="E829" t="s">
        <v>112</v>
      </c>
      <c r="F829" t="s">
        <v>36</v>
      </c>
      <c r="G829">
        <v>7.2</v>
      </c>
      <c r="H829">
        <v>2.8</v>
      </c>
      <c r="I829" t="str" cm="1">
        <f t="array" ref="I829">_xlfn.IFS(G829&lt;3, "0–2 Years", G829&lt;6, "3–5 Years", G829&lt;9, "6–8 Years", G829&lt;12, "9-11 Years", G829&gt;=12, "12-14 Years")</f>
        <v>6–8 Years</v>
      </c>
      <c r="J829">
        <v>3</v>
      </c>
      <c r="K829" t="s">
        <v>20</v>
      </c>
      <c r="L829">
        <v>74000</v>
      </c>
      <c r="M829">
        <v>4000</v>
      </c>
      <c r="N829">
        <v>78000</v>
      </c>
      <c r="O829" t="s">
        <v>21</v>
      </c>
      <c r="P829" s="3">
        <v>43377</v>
      </c>
      <c r="Q829" t="s">
        <v>36</v>
      </c>
    </row>
    <row r="830" spans="1:17" x14ac:dyDescent="0.35">
      <c r="A830" t="s">
        <v>882</v>
      </c>
      <c r="B830" t="s">
        <v>23</v>
      </c>
      <c r="C830">
        <v>24</v>
      </c>
      <c r="D830" t="s">
        <v>44</v>
      </c>
      <c r="E830" t="s">
        <v>51</v>
      </c>
      <c r="F830" t="s">
        <v>36</v>
      </c>
      <c r="G830">
        <v>6.9</v>
      </c>
      <c r="H830">
        <v>4.9000000000000004</v>
      </c>
      <c r="I830" t="str" cm="1">
        <f t="array" ref="I830">_xlfn.IFS(G830&lt;3, "0–2 Years", G830&lt;6, "3–5 Years", G830&lt;9, "6–8 Years", G830&lt;12, "9-11 Years", G830&gt;=12, "12-14 Years")</f>
        <v>6–8 Years</v>
      </c>
      <c r="J830">
        <v>3</v>
      </c>
      <c r="K830" t="s">
        <v>20</v>
      </c>
      <c r="L830">
        <v>88600</v>
      </c>
      <c r="M830">
        <v>9500</v>
      </c>
      <c r="N830">
        <v>98100</v>
      </c>
      <c r="O830" t="s">
        <v>30</v>
      </c>
      <c r="P830" s="3">
        <v>43515</v>
      </c>
      <c r="Q830" t="s">
        <v>36</v>
      </c>
    </row>
    <row r="831" spans="1:17" x14ac:dyDescent="0.35">
      <c r="A831" t="s">
        <v>883</v>
      </c>
      <c r="B831" t="s">
        <v>16</v>
      </c>
      <c r="C831">
        <v>44</v>
      </c>
      <c r="D831" t="s">
        <v>38</v>
      </c>
      <c r="E831" t="s">
        <v>39</v>
      </c>
      <c r="F831" t="s">
        <v>36</v>
      </c>
      <c r="G831">
        <v>1.7</v>
      </c>
      <c r="H831">
        <v>0.9</v>
      </c>
      <c r="I831" t="str" cm="1">
        <f t="array" ref="I831">_xlfn.IFS(G831&lt;3, "0–2 Years", G831&lt;6, "3–5 Years", G831&lt;9, "6–8 Years", G831&lt;12, "9-11 Years", G831&gt;=12, "12-14 Years")</f>
        <v>0–2 Years</v>
      </c>
      <c r="J831">
        <v>3</v>
      </c>
      <c r="K831" t="s">
        <v>24</v>
      </c>
      <c r="L831">
        <v>43000</v>
      </c>
      <c r="M831">
        <v>3100</v>
      </c>
      <c r="N831">
        <v>46100</v>
      </c>
      <c r="O831" t="s">
        <v>65</v>
      </c>
      <c r="P831" s="3">
        <v>45404</v>
      </c>
      <c r="Q831" t="s">
        <v>36</v>
      </c>
    </row>
    <row r="832" spans="1:17" x14ac:dyDescent="0.35">
      <c r="A832" t="s">
        <v>884</v>
      </c>
      <c r="B832" t="s">
        <v>16</v>
      </c>
      <c r="C832">
        <v>21</v>
      </c>
      <c r="D832" t="s">
        <v>44</v>
      </c>
      <c r="E832" t="s">
        <v>45</v>
      </c>
      <c r="F832" t="s">
        <v>36</v>
      </c>
      <c r="G832">
        <v>5.5</v>
      </c>
      <c r="H832">
        <v>3.5</v>
      </c>
      <c r="I832" t="str" cm="1">
        <f t="array" ref="I832">_xlfn.IFS(G832&lt;3, "0–2 Years", G832&lt;6, "3–5 Years", G832&lt;9, "6–8 Years", G832&lt;12, "9-11 Years", G832&gt;=12, "12-14 Years")</f>
        <v>3–5 Years</v>
      </c>
      <c r="J832">
        <v>3</v>
      </c>
      <c r="K832" t="s">
        <v>20</v>
      </c>
      <c r="L832">
        <v>79000</v>
      </c>
      <c r="M832">
        <v>6200</v>
      </c>
      <c r="N832">
        <v>85200</v>
      </c>
      <c r="O832" t="s">
        <v>21</v>
      </c>
      <c r="P832" s="3">
        <v>44030</v>
      </c>
      <c r="Q832" t="s">
        <v>36</v>
      </c>
    </row>
    <row r="833" spans="1:17" x14ac:dyDescent="0.35">
      <c r="A833" t="s">
        <v>885</v>
      </c>
      <c r="B833" t="s">
        <v>23</v>
      </c>
      <c r="C833">
        <v>37</v>
      </c>
      <c r="D833" t="s">
        <v>34</v>
      </c>
      <c r="E833" t="s">
        <v>59</v>
      </c>
      <c r="F833" t="s">
        <v>28</v>
      </c>
      <c r="G833">
        <v>3.5</v>
      </c>
      <c r="H833">
        <v>2</v>
      </c>
      <c r="I833" t="str" cm="1">
        <f t="array" ref="I833">_xlfn.IFS(G833&lt;3, "0–2 Years", G833&lt;6, "3–5 Years", G833&lt;9, "6–8 Years", G833&lt;12, "9-11 Years", G833&gt;=12, "12-14 Years")</f>
        <v>3–5 Years</v>
      </c>
      <c r="J833">
        <v>5</v>
      </c>
      <c r="K833" t="s">
        <v>20</v>
      </c>
      <c r="L833">
        <v>103100</v>
      </c>
      <c r="M833">
        <v>7700</v>
      </c>
      <c r="N833">
        <v>110800</v>
      </c>
      <c r="O833" t="s">
        <v>57</v>
      </c>
      <c r="P833" s="3">
        <v>44758</v>
      </c>
      <c r="Q833" t="s">
        <v>28</v>
      </c>
    </row>
    <row r="834" spans="1:17" x14ac:dyDescent="0.35">
      <c r="A834" t="s">
        <v>886</v>
      </c>
      <c r="B834" t="s">
        <v>23</v>
      </c>
      <c r="C834">
        <v>38</v>
      </c>
      <c r="D834" t="s">
        <v>38</v>
      </c>
      <c r="E834" t="s">
        <v>61</v>
      </c>
      <c r="F834" t="s">
        <v>36</v>
      </c>
      <c r="G834">
        <v>9.6999999999999993</v>
      </c>
      <c r="H834">
        <v>5.2</v>
      </c>
      <c r="I834" t="str" cm="1">
        <f t="array" ref="I834">_xlfn.IFS(G834&lt;3, "0–2 Years", G834&lt;6, "3–5 Years", G834&lt;9, "6–8 Years", G834&lt;12, "9-11 Years", G834&gt;=12, "12-14 Years")</f>
        <v>9-11 Years</v>
      </c>
      <c r="J834">
        <v>3</v>
      </c>
      <c r="K834" t="s">
        <v>20</v>
      </c>
      <c r="L834">
        <v>116400</v>
      </c>
      <c r="M834">
        <v>10400</v>
      </c>
      <c r="N834">
        <v>126800</v>
      </c>
      <c r="O834" t="s">
        <v>57</v>
      </c>
      <c r="P834" s="3">
        <v>42467</v>
      </c>
      <c r="Q834" t="s">
        <v>36</v>
      </c>
    </row>
    <row r="835" spans="1:17" x14ac:dyDescent="0.35">
      <c r="A835" t="s">
        <v>887</v>
      </c>
      <c r="B835" t="s">
        <v>16</v>
      </c>
      <c r="C835">
        <v>31</v>
      </c>
      <c r="D835" t="s">
        <v>44</v>
      </c>
      <c r="E835" t="s">
        <v>45</v>
      </c>
      <c r="F835" t="s">
        <v>19</v>
      </c>
      <c r="G835">
        <v>9.1</v>
      </c>
      <c r="H835">
        <v>6.5</v>
      </c>
      <c r="I835" t="str" cm="1">
        <f t="array" ref="I835">_xlfn.IFS(G835&lt;3, "0–2 Years", G835&lt;6, "3–5 Years", G835&lt;9, "6–8 Years", G835&lt;12, "9-11 Years", G835&gt;=12, "12-14 Years")</f>
        <v>9-11 Years</v>
      </c>
      <c r="J835">
        <v>3</v>
      </c>
      <c r="K835" t="s">
        <v>20</v>
      </c>
      <c r="L835">
        <v>62800</v>
      </c>
      <c r="M835">
        <v>9000</v>
      </c>
      <c r="N835">
        <v>71800</v>
      </c>
      <c r="O835" t="s">
        <v>25</v>
      </c>
      <c r="P835" s="3">
        <v>42703</v>
      </c>
      <c r="Q835" t="s">
        <v>19</v>
      </c>
    </row>
    <row r="836" spans="1:17" x14ac:dyDescent="0.35">
      <c r="A836" t="s">
        <v>888</v>
      </c>
      <c r="B836" t="s">
        <v>16</v>
      </c>
      <c r="C836">
        <v>28</v>
      </c>
      <c r="D836" t="s">
        <v>17</v>
      </c>
      <c r="E836" t="s">
        <v>32</v>
      </c>
      <c r="F836" t="s">
        <v>28</v>
      </c>
      <c r="G836">
        <v>4.0999999999999996</v>
      </c>
      <c r="H836">
        <v>3.3</v>
      </c>
      <c r="I836" t="str" cm="1">
        <f t="array" ref="I836">_xlfn.IFS(G836&lt;3, "0–2 Years", G836&lt;6, "3–5 Years", G836&lt;9, "6–8 Years", G836&lt;12, "9-11 Years", G836&gt;=12, "12-14 Years")</f>
        <v>3–5 Years</v>
      </c>
      <c r="J836">
        <v>2</v>
      </c>
      <c r="K836" t="s">
        <v>20</v>
      </c>
      <c r="L836">
        <v>65600</v>
      </c>
      <c r="M836">
        <v>3100</v>
      </c>
      <c r="N836">
        <v>68700</v>
      </c>
      <c r="O836" t="s">
        <v>21</v>
      </c>
      <c r="P836" s="3">
        <v>44539</v>
      </c>
      <c r="Q836" t="s">
        <v>28</v>
      </c>
    </row>
    <row r="837" spans="1:17" x14ac:dyDescent="0.35">
      <c r="A837" t="s">
        <v>889</v>
      </c>
      <c r="B837" t="s">
        <v>16</v>
      </c>
      <c r="C837">
        <v>41</v>
      </c>
      <c r="D837" t="s">
        <v>41</v>
      </c>
      <c r="E837" t="s">
        <v>42</v>
      </c>
      <c r="F837" t="s">
        <v>36</v>
      </c>
      <c r="G837">
        <v>1.8</v>
      </c>
      <c r="H837">
        <v>1.8</v>
      </c>
      <c r="I837" t="str" cm="1">
        <f t="array" ref="I837">_xlfn.IFS(G837&lt;3, "0–2 Years", G837&lt;6, "3–5 Years", G837&lt;9, "6–8 Years", G837&lt;12, "9-11 Years", G837&gt;=12, "12-14 Years")</f>
        <v>0–2 Years</v>
      </c>
      <c r="J837">
        <v>3</v>
      </c>
      <c r="K837" t="s">
        <v>69</v>
      </c>
      <c r="L837">
        <v>59100</v>
      </c>
      <c r="M837">
        <v>5100</v>
      </c>
      <c r="N837">
        <v>64200</v>
      </c>
      <c r="O837" t="s">
        <v>25</v>
      </c>
      <c r="P837" s="3">
        <v>45351</v>
      </c>
      <c r="Q837" t="s">
        <v>36</v>
      </c>
    </row>
    <row r="838" spans="1:17" x14ac:dyDescent="0.35">
      <c r="A838" t="s">
        <v>890</v>
      </c>
      <c r="B838" t="s">
        <v>16</v>
      </c>
      <c r="C838">
        <v>38</v>
      </c>
      <c r="D838" t="s">
        <v>55</v>
      </c>
      <c r="E838" t="s">
        <v>56</v>
      </c>
      <c r="F838" t="s">
        <v>36</v>
      </c>
      <c r="G838">
        <v>3.1</v>
      </c>
      <c r="H838">
        <v>0</v>
      </c>
      <c r="I838" t="str" cm="1">
        <f t="array" ref="I838">_xlfn.IFS(G838&lt;3, "0–2 Years", G838&lt;6, "3–5 Years", G838&lt;9, "6–8 Years", G838&lt;12, "9-11 Years", G838&gt;=12, "12-14 Years")</f>
        <v>3–5 Years</v>
      </c>
      <c r="J838">
        <v>5</v>
      </c>
      <c r="K838" t="s">
        <v>69</v>
      </c>
      <c r="L838">
        <v>90500</v>
      </c>
      <c r="M838">
        <v>15000</v>
      </c>
      <c r="N838">
        <v>105500</v>
      </c>
      <c r="O838" t="s">
        <v>30</v>
      </c>
      <c r="P838" s="3">
        <v>44877</v>
      </c>
      <c r="Q838" t="s">
        <v>36</v>
      </c>
    </row>
    <row r="839" spans="1:17" x14ac:dyDescent="0.35">
      <c r="A839" t="s">
        <v>891</v>
      </c>
      <c r="B839" t="s">
        <v>16</v>
      </c>
      <c r="C839" s="7">
        <v>35</v>
      </c>
      <c r="D839" t="s">
        <v>34</v>
      </c>
      <c r="E839" t="s">
        <v>35</v>
      </c>
      <c r="F839" t="s">
        <v>36</v>
      </c>
      <c r="G839" s="9">
        <v>13.8</v>
      </c>
      <c r="H839" s="7">
        <v>8.9</v>
      </c>
      <c r="I839" t="str" cm="1">
        <f t="array" ref="I839">_xlfn.IFS(G839&lt;3, "0–2 Years", G839&lt;6, "3–5 Years", G839&lt;9, "6–8 Years", G839&lt;12, "9-11 Years", G839&gt;=12, "12-14 Years")</f>
        <v>12-14 Years</v>
      </c>
      <c r="J839" s="7">
        <v>4</v>
      </c>
      <c r="K839" t="s">
        <v>20</v>
      </c>
      <c r="L839" s="7">
        <v>88000</v>
      </c>
      <c r="M839" s="7">
        <v>8800</v>
      </c>
      <c r="N839" s="7">
        <v>96800</v>
      </c>
      <c r="O839" t="s">
        <v>30</v>
      </c>
      <c r="P839" s="3">
        <v>40966</v>
      </c>
      <c r="Q839" t="s">
        <v>36</v>
      </c>
    </row>
    <row r="840" spans="1:17" x14ac:dyDescent="0.35">
      <c r="A840" t="s">
        <v>892</v>
      </c>
      <c r="B840" t="s">
        <v>16</v>
      </c>
      <c r="C840" s="7">
        <v>29</v>
      </c>
      <c r="D840" t="s">
        <v>55</v>
      </c>
      <c r="E840" t="s">
        <v>56</v>
      </c>
      <c r="F840" t="s">
        <v>19</v>
      </c>
      <c r="G840" s="9">
        <v>13.3</v>
      </c>
      <c r="H840" s="7">
        <v>8</v>
      </c>
      <c r="I840" t="str" cm="1">
        <f t="array" ref="I840">_xlfn.IFS(G840&lt;3, "0–2 Years", G840&lt;6, "3–5 Years", G840&lt;9, "6–8 Years", G840&lt;12, "9-11 Years", G840&gt;=12, "12-14 Years")</f>
        <v>12-14 Years</v>
      </c>
      <c r="J840" s="7">
        <v>1</v>
      </c>
      <c r="K840" t="s">
        <v>20</v>
      </c>
      <c r="L840" s="7">
        <v>108600</v>
      </c>
      <c r="M840" s="7">
        <v>19700</v>
      </c>
      <c r="N840" s="7">
        <v>128300</v>
      </c>
      <c r="O840" t="s">
        <v>57</v>
      </c>
      <c r="P840" s="3">
        <v>41158</v>
      </c>
      <c r="Q840" t="s">
        <v>19</v>
      </c>
    </row>
    <row r="841" spans="1:17" x14ac:dyDescent="0.35">
      <c r="A841" t="s">
        <v>893</v>
      </c>
      <c r="B841" t="s">
        <v>16</v>
      </c>
      <c r="C841">
        <v>44</v>
      </c>
      <c r="D841" t="s">
        <v>44</v>
      </c>
      <c r="E841" t="s">
        <v>45</v>
      </c>
      <c r="F841" t="s">
        <v>36</v>
      </c>
      <c r="G841">
        <v>11.5</v>
      </c>
      <c r="H841">
        <v>6.3</v>
      </c>
      <c r="I841" t="str" cm="1">
        <f t="array" ref="I841">_xlfn.IFS(G841&lt;3, "0–2 Years", G841&lt;6, "3–5 Years", G841&lt;9, "6–8 Years", G841&lt;12, "9-11 Years", G841&gt;=12, "12-14 Years")</f>
        <v>9-11 Years</v>
      </c>
      <c r="J841">
        <v>4</v>
      </c>
      <c r="K841" t="s">
        <v>20</v>
      </c>
      <c r="L841">
        <v>80000</v>
      </c>
      <c r="M841">
        <v>8000</v>
      </c>
      <c r="N841">
        <v>88000</v>
      </c>
      <c r="O841" t="s">
        <v>30</v>
      </c>
      <c r="P841" s="3">
        <v>41836</v>
      </c>
      <c r="Q841" t="s">
        <v>36</v>
      </c>
    </row>
    <row r="842" spans="1:17" x14ac:dyDescent="0.35">
      <c r="A842" t="s">
        <v>894</v>
      </c>
      <c r="B842" t="s">
        <v>16</v>
      </c>
      <c r="C842">
        <v>35</v>
      </c>
      <c r="D842" t="s">
        <v>44</v>
      </c>
      <c r="E842" t="s">
        <v>81</v>
      </c>
      <c r="F842" t="s">
        <v>19</v>
      </c>
      <c r="G842">
        <v>1.4</v>
      </c>
      <c r="H842">
        <v>1.4</v>
      </c>
      <c r="I842" t="str" cm="1">
        <f t="array" ref="I842">_xlfn.IFS(G842&lt;3, "0–2 Years", G842&lt;6, "3–5 Years", G842&lt;9, "6–8 Years", G842&lt;12, "9-11 Years", G842&gt;=12, "12-14 Years")</f>
        <v>0–2 Years</v>
      </c>
      <c r="J842">
        <v>3</v>
      </c>
      <c r="K842" t="s">
        <v>20</v>
      </c>
      <c r="L842">
        <v>86000</v>
      </c>
      <c r="M842">
        <v>10000</v>
      </c>
      <c r="N842">
        <v>96000</v>
      </c>
      <c r="O842" t="s">
        <v>30</v>
      </c>
      <c r="P842" s="3">
        <v>45504</v>
      </c>
      <c r="Q842" t="s">
        <v>19</v>
      </c>
    </row>
    <row r="843" spans="1:17" x14ac:dyDescent="0.35">
      <c r="A843" t="s">
        <v>895</v>
      </c>
      <c r="B843" t="s">
        <v>16</v>
      </c>
      <c r="C843">
        <v>38</v>
      </c>
      <c r="D843" t="s">
        <v>38</v>
      </c>
      <c r="E843" t="s">
        <v>61</v>
      </c>
      <c r="F843" t="s">
        <v>28</v>
      </c>
      <c r="G843">
        <v>2.8</v>
      </c>
      <c r="H843">
        <v>1.8</v>
      </c>
      <c r="I843" t="str" cm="1">
        <f t="array" ref="I843">_xlfn.IFS(G843&lt;3, "0–2 Years", G843&lt;6, "3–5 Years", G843&lt;9, "6–8 Years", G843&lt;12, "9-11 Years", G843&gt;=12, "12-14 Years")</f>
        <v>0–2 Years</v>
      </c>
      <c r="J843">
        <v>5</v>
      </c>
      <c r="K843" t="s">
        <v>20</v>
      </c>
      <c r="L843">
        <v>112300</v>
      </c>
      <c r="M843">
        <v>5600</v>
      </c>
      <c r="N843">
        <v>117900</v>
      </c>
      <c r="O843" t="s">
        <v>57</v>
      </c>
      <c r="P843" s="3">
        <v>44999</v>
      </c>
      <c r="Q843" t="s">
        <v>28</v>
      </c>
    </row>
    <row r="844" spans="1:17" x14ac:dyDescent="0.35">
      <c r="A844" t="s">
        <v>896</v>
      </c>
      <c r="B844" t="s">
        <v>16</v>
      </c>
      <c r="C844">
        <v>35</v>
      </c>
      <c r="D844" t="s">
        <v>17</v>
      </c>
      <c r="E844" t="s">
        <v>32</v>
      </c>
      <c r="F844" t="s">
        <v>19</v>
      </c>
      <c r="G844">
        <v>4</v>
      </c>
      <c r="H844">
        <v>1.5</v>
      </c>
      <c r="I844" t="str" cm="1">
        <f t="array" ref="I844">_xlfn.IFS(G844&lt;3, "0–2 Years", G844&lt;6, "3–5 Years", G844&lt;9, "6–8 Years", G844&lt;12, "9-11 Years", G844&gt;=12, "12-14 Years")</f>
        <v>3–5 Years</v>
      </c>
      <c r="J844">
        <v>5</v>
      </c>
      <c r="K844" t="s">
        <v>24</v>
      </c>
      <c r="L844">
        <v>46200</v>
      </c>
      <c r="M844">
        <v>4400</v>
      </c>
      <c r="N844">
        <v>50600</v>
      </c>
      <c r="O844" t="s">
        <v>65</v>
      </c>
      <c r="P844" s="3">
        <v>44553</v>
      </c>
      <c r="Q844" t="s">
        <v>19</v>
      </c>
    </row>
    <row r="845" spans="1:17" x14ac:dyDescent="0.35">
      <c r="A845" t="s">
        <v>897</v>
      </c>
      <c r="B845" t="s">
        <v>23</v>
      </c>
      <c r="C845">
        <v>33</v>
      </c>
      <c r="D845" t="s">
        <v>44</v>
      </c>
      <c r="E845" t="s">
        <v>81</v>
      </c>
      <c r="F845" t="s">
        <v>36</v>
      </c>
      <c r="G845">
        <v>1.2</v>
      </c>
      <c r="H845">
        <v>0.8</v>
      </c>
      <c r="I845" t="str" cm="1">
        <f t="array" ref="I845">_xlfn.IFS(G845&lt;3, "0–2 Years", G845&lt;6, "3–5 Years", G845&lt;9, "6–8 Years", G845&lt;12, "9-11 Years", G845&gt;=12, "12-14 Years")</f>
        <v>0–2 Years</v>
      </c>
      <c r="J845">
        <v>3</v>
      </c>
      <c r="K845" t="s">
        <v>20</v>
      </c>
      <c r="L845">
        <v>83700</v>
      </c>
      <c r="M845">
        <v>6300</v>
      </c>
      <c r="N845">
        <v>90000</v>
      </c>
      <c r="O845" t="s">
        <v>30</v>
      </c>
      <c r="P845" s="3">
        <v>45598</v>
      </c>
      <c r="Q845" t="s">
        <v>36</v>
      </c>
    </row>
    <row r="846" spans="1:17" x14ac:dyDescent="0.35">
      <c r="A846" t="s">
        <v>898</v>
      </c>
      <c r="B846" t="s">
        <v>16</v>
      </c>
      <c r="C846">
        <v>44</v>
      </c>
      <c r="D846" t="s">
        <v>55</v>
      </c>
      <c r="E846" t="s">
        <v>56</v>
      </c>
      <c r="F846" t="s">
        <v>36</v>
      </c>
      <c r="G846">
        <v>2.5</v>
      </c>
      <c r="H846">
        <v>2.5</v>
      </c>
      <c r="I846" t="str" cm="1">
        <f t="array" ref="I846">_xlfn.IFS(G846&lt;3, "0–2 Years", G846&lt;6, "3–5 Years", G846&lt;9, "6–8 Years", G846&lt;12, "9-11 Years", G846&gt;=12, "12-14 Years")</f>
        <v>0–2 Years</v>
      </c>
      <c r="J846">
        <v>3</v>
      </c>
      <c r="K846" t="s">
        <v>20</v>
      </c>
      <c r="L846">
        <v>100900</v>
      </c>
      <c r="M846">
        <v>20800</v>
      </c>
      <c r="N846">
        <v>121700</v>
      </c>
      <c r="O846" t="s">
        <v>57</v>
      </c>
      <c r="P846" s="3">
        <v>45096</v>
      </c>
      <c r="Q846" t="s">
        <v>36</v>
      </c>
    </row>
    <row r="847" spans="1:17" x14ac:dyDescent="0.35">
      <c r="A847" t="s">
        <v>899</v>
      </c>
      <c r="B847" t="s">
        <v>16</v>
      </c>
      <c r="C847">
        <v>37</v>
      </c>
      <c r="D847" t="s">
        <v>41</v>
      </c>
      <c r="E847" t="s">
        <v>73</v>
      </c>
      <c r="F847" t="s">
        <v>36</v>
      </c>
      <c r="G847">
        <v>10.7</v>
      </c>
      <c r="H847">
        <v>7.5</v>
      </c>
      <c r="I847" t="str" cm="1">
        <f t="array" ref="I847">_xlfn.IFS(G847&lt;3, "0–2 Years", G847&lt;6, "3–5 Years", G847&lt;9, "6–8 Years", G847&lt;12, "9-11 Years", G847&gt;=12, "12-14 Years")</f>
        <v>9-11 Years</v>
      </c>
      <c r="J847">
        <v>3</v>
      </c>
      <c r="K847" t="s">
        <v>20</v>
      </c>
      <c r="L847">
        <v>134600</v>
      </c>
      <c r="M847">
        <v>4800</v>
      </c>
      <c r="N847">
        <v>139400</v>
      </c>
      <c r="O847" t="s">
        <v>57</v>
      </c>
      <c r="P847" s="3">
        <v>42124</v>
      </c>
      <c r="Q847" t="s">
        <v>36</v>
      </c>
    </row>
    <row r="848" spans="1:17" x14ac:dyDescent="0.35">
      <c r="A848" t="s">
        <v>900</v>
      </c>
      <c r="B848" t="s">
        <v>23</v>
      </c>
      <c r="C848">
        <v>43</v>
      </c>
      <c r="D848" t="s">
        <v>38</v>
      </c>
      <c r="E848" t="s">
        <v>39</v>
      </c>
      <c r="F848" t="s">
        <v>19</v>
      </c>
      <c r="G848">
        <v>6.1</v>
      </c>
      <c r="H848">
        <v>2.9</v>
      </c>
      <c r="I848" t="str" cm="1">
        <f t="array" ref="I848">_xlfn.IFS(G848&lt;3, "0–2 Years", G848&lt;6, "3–5 Years", G848&lt;9, "6–8 Years", G848&lt;12, "9-11 Years", G848&gt;=12, "12-14 Years")</f>
        <v>6–8 Years</v>
      </c>
      <c r="J848">
        <v>3</v>
      </c>
      <c r="K848" t="s">
        <v>20</v>
      </c>
      <c r="L848">
        <v>71400</v>
      </c>
      <c r="M848">
        <v>7500</v>
      </c>
      <c r="N848">
        <v>78900</v>
      </c>
      <c r="O848" t="s">
        <v>21</v>
      </c>
      <c r="P848" s="3">
        <v>43798</v>
      </c>
      <c r="Q848" t="s">
        <v>19</v>
      </c>
    </row>
    <row r="849" spans="1:17" x14ac:dyDescent="0.35">
      <c r="A849" t="s">
        <v>901</v>
      </c>
      <c r="B849" t="s">
        <v>16</v>
      </c>
      <c r="C849">
        <v>28</v>
      </c>
      <c r="D849" t="s">
        <v>41</v>
      </c>
      <c r="E849" t="s">
        <v>67</v>
      </c>
      <c r="F849" t="s">
        <v>36</v>
      </c>
      <c r="G849">
        <v>2.9</v>
      </c>
      <c r="H849">
        <v>2.4</v>
      </c>
      <c r="I849" t="str" cm="1">
        <f t="array" ref="I849">_xlfn.IFS(G849&lt;3, "0–2 Years", G849&lt;6, "3–5 Years", G849&lt;9, "6–8 Years", G849&lt;12, "9-11 Years", G849&gt;=12, "12-14 Years")</f>
        <v>0–2 Years</v>
      </c>
      <c r="J849">
        <v>4</v>
      </c>
      <c r="K849" t="s">
        <v>20</v>
      </c>
      <c r="L849">
        <v>76100</v>
      </c>
      <c r="M849">
        <v>5200</v>
      </c>
      <c r="N849">
        <v>81300</v>
      </c>
      <c r="O849" t="s">
        <v>21</v>
      </c>
      <c r="P849" s="3">
        <v>44955</v>
      </c>
      <c r="Q849" t="s">
        <v>36</v>
      </c>
    </row>
    <row r="850" spans="1:17" x14ac:dyDescent="0.35">
      <c r="A850" t="s">
        <v>902</v>
      </c>
      <c r="B850" t="s">
        <v>23</v>
      </c>
      <c r="C850" s="7">
        <v>37</v>
      </c>
      <c r="D850" t="s">
        <v>38</v>
      </c>
      <c r="E850" t="s">
        <v>39</v>
      </c>
      <c r="F850" t="s">
        <v>36</v>
      </c>
      <c r="G850" s="9">
        <v>13</v>
      </c>
      <c r="H850" s="7">
        <v>10.5</v>
      </c>
      <c r="I850" t="str" cm="1">
        <f t="array" ref="I850">_xlfn.IFS(G850&lt;3, "0–2 Years", G850&lt;6, "3–5 Years", G850&lt;9, "6–8 Years", G850&lt;12, "9-11 Years", G850&gt;=12, "12-14 Years")</f>
        <v>12-14 Years</v>
      </c>
      <c r="J850" s="7">
        <v>3</v>
      </c>
      <c r="K850" t="s">
        <v>20</v>
      </c>
      <c r="L850" s="7">
        <v>80900</v>
      </c>
      <c r="M850" s="7">
        <v>5200</v>
      </c>
      <c r="N850" s="7">
        <v>86100</v>
      </c>
      <c r="O850" t="s">
        <v>30</v>
      </c>
      <c r="P850" s="3">
        <v>41292</v>
      </c>
      <c r="Q850" t="s">
        <v>36</v>
      </c>
    </row>
    <row r="851" spans="1:17" x14ac:dyDescent="0.35">
      <c r="A851" t="s">
        <v>903</v>
      </c>
      <c r="B851" t="s">
        <v>23</v>
      </c>
      <c r="C851">
        <v>36</v>
      </c>
      <c r="D851" t="s">
        <v>55</v>
      </c>
      <c r="E851" t="s">
        <v>56</v>
      </c>
      <c r="F851" t="s">
        <v>36</v>
      </c>
      <c r="G851">
        <v>10.3</v>
      </c>
      <c r="H851">
        <v>5</v>
      </c>
      <c r="I851" t="str" cm="1">
        <f t="array" ref="I851">_xlfn.IFS(G851&lt;3, "0–2 Years", G851&lt;6, "3–5 Years", G851&lt;9, "6–8 Years", G851&lt;12, "9-11 Years", G851&gt;=12, "12-14 Years")</f>
        <v>9-11 Years</v>
      </c>
      <c r="J851">
        <v>3</v>
      </c>
      <c r="K851" t="s">
        <v>20</v>
      </c>
      <c r="L851">
        <v>107900</v>
      </c>
      <c r="M851">
        <v>10600</v>
      </c>
      <c r="N851">
        <v>118500</v>
      </c>
      <c r="O851" t="s">
        <v>57</v>
      </c>
      <c r="P851" s="3">
        <v>42255</v>
      </c>
      <c r="Q851" t="s">
        <v>36</v>
      </c>
    </row>
    <row r="852" spans="1:17" x14ac:dyDescent="0.35">
      <c r="A852" t="s">
        <v>904</v>
      </c>
      <c r="B852" t="s">
        <v>16</v>
      </c>
      <c r="C852">
        <v>46</v>
      </c>
      <c r="D852" t="s">
        <v>44</v>
      </c>
      <c r="E852" t="s">
        <v>76</v>
      </c>
      <c r="F852" t="s">
        <v>28</v>
      </c>
      <c r="G852">
        <v>6.4</v>
      </c>
      <c r="H852">
        <v>3</v>
      </c>
      <c r="I852" t="str" cm="1">
        <f t="array" ref="I852">_xlfn.IFS(G852&lt;3, "0–2 Years", G852&lt;6, "3–5 Years", G852&lt;9, "6–8 Years", G852&lt;12, "9-11 Years", G852&gt;=12, "12-14 Years")</f>
        <v>6–8 Years</v>
      </c>
      <c r="J852">
        <v>3</v>
      </c>
      <c r="K852" t="s">
        <v>69</v>
      </c>
      <c r="L852">
        <v>81100</v>
      </c>
      <c r="M852">
        <v>4600</v>
      </c>
      <c r="N852">
        <v>85700</v>
      </c>
      <c r="O852" t="s">
        <v>30</v>
      </c>
      <c r="P852" s="3">
        <v>43689</v>
      </c>
      <c r="Q852" t="s">
        <v>28</v>
      </c>
    </row>
    <row r="853" spans="1:17" x14ac:dyDescent="0.35">
      <c r="A853" t="s">
        <v>905</v>
      </c>
      <c r="B853" t="s">
        <v>16</v>
      </c>
      <c r="C853">
        <v>24</v>
      </c>
      <c r="D853" t="s">
        <v>38</v>
      </c>
      <c r="E853" t="s">
        <v>61</v>
      </c>
      <c r="F853" t="s">
        <v>28</v>
      </c>
      <c r="G853">
        <v>10.9</v>
      </c>
      <c r="H853">
        <v>7.8</v>
      </c>
      <c r="I853" t="str" cm="1">
        <f t="array" ref="I853">_xlfn.IFS(G853&lt;3, "0–2 Years", G853&lt;6, "3–5 Years", G853&lt;9, "6–8 Years", G853&lt;12, "9-11 Years", G853&gt;=12, "12-14 Years")</f>
        <v>9-11 Years</v>
      </c>
      <c r="J853">
        <v>3</v>
      </c>
      <c r="K853" t="s">
        <v>20</v>
      </c>
      <c r="L853">
        <v>120700</v>
      </c>
      <c r="M853">
        <v>7800</v>
      </c>
      <c r="N853">
        <v>128500</v>
      </c>
      <c r="O853" t="s">
        <v>57</v>
      </c>
      <c r="P853" s="3">
        <v>42048</v>
      </c>
      <c r="Q853" t="s">
        <v>28</v>
      </c>
    </row>
    <row r="854" spans="1:17" x14ac:dyDescent="0.35">
      <c r="A854" t="s">
        <v>906</v>
      </c>
      <c r="B854" t="s">
        <v>16</v>
      </c>
      <c r="C854">
        <v>23</v>
      </c>
      <c r="D854" t="s">
        <v>44</v>
      </c>
      <c r="E854" t="s">
        <v>76</v>
      </c>
      <c r="F854" t="s">
        <v>36</v>
      </c>
      <c r="G854">
        <v>5</v>
      </c>
      <c r="H854">
        <v>2.1</v>
      </c>
      <c r="I854" t="str" cm="1">
        <f t="array" ref="I854">_xlfn.IFS(G854&lt;3, "0–2 Years", G854&lt;6, "3–5 Years", G854&lt;9, "6–8 Years", G854&lt;12, "9-11 Years", G854&gt;=12, "12-14 Years")</f>
        <v>3–5 Years</v>
      </c>
      <c r="J854">
        <v>4</v>
      </c>
      <c r="K854" t="s">
        <v>20</v>
      </c>
      <c r="L854">
        <v>118300</v>
      </c>
      <c r="M854">
        <v>6800</v>
      </c>
      <c r="N854">
        <v>125100</v>
      </c>
      <c r="O854" t="s">
        <v>57</v>
      </c>
      <c r="P854" s="3">
        <v>44189</v>
      </c>
      <c r="Q854" t="s">
        <v>36</v>
      </c>
    </row>
    <row r="855" spans="1:17" x14ac:dyDescent="0.35">
      <c r="A855" t="s">
        <v>907</v>
      </c>
      <c r="B855" t="s">
        <v>16</v>
      </c>
      <c r="C855">
        <v>41</v>
      </c>
      <c r="D855" t="s">
        <v>44</v>
      </c>
      <c r="E855" t="s">
        <v>45</v>
      </c>
      <c r="F855" t="s">
        <v>28</v>
      </c>
      <c r="G855">
        <v>11.4</v>
      </c>
      <c r="H855">
        <v>5.9</v>
      </c>
      <c r="I855" t="str" cm="1">
        <f t="array" ref="I855">_xlfn.IFS(G855&lt;3, "0–2 Years", G855&lt;6, "3–5 Years", G855&lt;9, "6–8 Years", G855&lt;12, "9-11 Years", G855&gt;=12, "12-14 Years")</f>
        <v>9-11 Years</v>
      </c>
      <c r="J855">
        <v>3</v>
      </c>
      <c r="K855" t="s">
        <v>20</v>
      </c>
      <c r="L855">
        <v>73800</v>
      </c>
      <c r="M855">
        <v>8100</v>
      </c>
      <c r="N855">
        <v>81900</v>
      </c>
      <c r="O855" t="s">
        <v>21</v>
      </c>
      <c r="P855" s="3">
        <v>41864</v>
      </c>
      <c r="Q855" t="s">
        <v>28</v>
      </c>
    </row>
    <row r="856" spans="1:17" x14ac:dyDescent="0.35">
      <c r="A856" t="s">
        <v>908</v>
      </c>
      <c r="B856" t="s">
        <v>16</v>
      </c>
      <c r="C856">
        <v>28</v>
      </c>
      <c r="D856" t="s">
        <v>38</v>
      </c>
      <c r="E856" t="s">
        <v>112</v>
      </c>
      <c r="F856" t="s">
        <v>36</v>
      </c>
      <c r="G856">
        <v>6.5</v>
      </c>
      <c r="H856">
        <v>5.4</v>
      </c>
      <c r="I856" t="str" cm="1">
        <f t="array" ref="I856">_xlfn.IFS(G856&lt;3, "0–2 Years", G856&lt;6, "3–5 Years", G856&lt;9, "6–8 Years", G856&lt;12, "9-11 Years", G856&gt;=12, "12-14 Years")</f>
        <v>6–8 Years</v>
      </c>
      <c r="J856">
        <v>3</v>
      </c>
      <c r="K856" t="s">
        <v>20</v>
      </c>
      <c r="L856">
        <v>77800</v>
      </c>
      <c r="M856">
        <v>8100</v>
      </c>
      <c r="N856">
        <v>85900</v>
      </c>
      <c r="O856" t="s">
        <v>21</v>
      </c>
      <c r="P856" s="3">
        <v>43659</v>
      </c>
      <c r="Q856" t="s">
        <v>36</v>
      </c>
    </row>
    <row r="857" spans="1:17" x14ac:dyDescent="0.35">
      <c r="A857" t="s">
        <v>909</v>
      </c>
      <c r="B857" t="s">
        <v>16</v>
      </c>
      <c r="C857">
        <v>37</v>
      </c>
      <c r="D857" t="s">
        <v>44</v>
      </c>
      <c r="E857" t="s">
        <v>51</v>
      </c>
      <c r="F857" t="s">
        <v>36</v>
      </c>
      <c r="G857">
        <v>10.5</v>
      </c>
      <c r="H857">
        <v>6.7</v>
      </c>
      <c r="I857" t="str" cm="1">
        <f t="array" ref="I857">_xlfn.IFS(G857&lt;3, "0–2 Years", G857&lt;6, "3–5 Years", G857&lt;9, "6–8 Years", G857&lt;12, "9-11 Years", G857&gt;=12, "12-14 Years")</f>
        <v>9-11 Years</v>
      </c>
      <c r="J857">
        <v>4</v>
      </c>
      <c r="K857" t="s">
        <v>20</v>
      </c>
      <c r="L857">
        <v>103600</v>
      </c>
      <c r="M857">
        <v>8300</v>
      </c>
      <c r="N857">
        <v>111900</v>
      </c>
      <c r="O857" t="s">
        <v>57</v>
      </c>
      <c r="P857" s="3">
        <v>42188</v>
      </c>
      <c r="Q857" t="s">
        <v>36</v>
      </c>
    </row>
    <row r="858" spans="1:17" x14ac:dyDescent="0.35">
      <c r="A858" t="s">
        <v>910</v>
      </c>
      <c r="B858" t="s">
        <v>23</v>
      </c>
      <c r="C858">
        <v>32</v>
      </c>
      <c r="D858" t="s">
        <v>55</v>
      </c>
      <c r="E858" t="s">
        <v>79</v>
      </c>
      <c r="F858" t="s">
        <v>28</v>
      </c>
      <c r="G858">
        <v>10.6</v>
      </c>
      <c r="H858">
        <v>7.1</v>
      </c>
      <c r="I858" t="str" cm="1">
        <f t="array" ref="I858">_xlfn.IFS(G858&lt;3, "0–2 Years", G858&lt;6, "3–5 Years", G858&lt;9, "6–8 Years", G858&lt;12, "9-11 Years", G858&gt;=12, "12-14 Years")</f>
        <v>9-11 Years</v>
      </c>
      <c r="J858">
        <v>3</v>
      </c>
      <c r="K858" t="s">
        <v>20</v>
      </c>
      <c r="L858">
        <v>76800</v>
      </c>
      <c r="M858">
        <v>8600</v>
      </c>
      <c r="N858">
        <v>85400</v>
      </c>
      <c r="O858" t="s">
        <v>21</v>
      </c>
      <c r="P858" s="3">
        <v>42161</v>
      </c>
      <c r="Q858" t="s">
        <v>28</v>
      </c>
    </row>
    <row r="859" spans="1:17" x14ac:dyDescent="0.35">
      <c r="A859" t="s">
        <v>911</v>
      </c>
      <c r="B859" t="s">
        <v>16</v>
      </c>
      <c r="C859">
        <v>29</v>
      </c>
      <c r="D859" t="s">
        <v>44</v>
      </c>
      <c r="E859" t="s">
        <v>81</v>
      </c>
      <c r="F859" t="s">
        <v>36</v>
      </c>
      <c r="G859">
        <v>11.8</v>
      </c>
      <c r="H859">
        <v>7</v>
      </c>
      <c r="I859" t="str" cm="1">
        <f t="array" ref="I859">_xlfn.IFS(G859&lt;3, "0–2 Years", G859&lt;6, "3–5 Years", G859&lt;9, "6–8 Years", G859&lt;12, "9-11 Years", G859&gt;=12, "12-14 Years")</f>
        <v>9-11 Years</v>
      </c>
      <c r="J859">
        <v>2</v>
      </c>
      <c r="K859" t="s">
        <v>20</v>
      </c>
      <c r="L859">
        <v>113500</v>
      </c>
      <c r="M859">
        <v>10000</v>
      </c>
      <c r="N859">
        <v>123500</v>
      </c>
      <c r="O859" t="s">
        <v>57</v>
      </c>
      <c r="P859" s="3">
        <v>41698</v>
      </c>
      <c r="Q859" t="s">
        <v>36</v>
      </c>
    </row>
    <row r="860" spans="1:17" x14ac:dyDescent="0.35">
      <c r="A860" t="s">
        <v>912</v>
      </c>
      <c r="B860" t="s">
        <v>16</v>
      </c>
      <c r="C860" s="7">
        <v>34</v>
      </c>
      <c r="D860" t="s">
        <v>34</v>
      </c>
      <c r="E860" t="s">
        <v>59</v>
      </c>
      <c r="F860" t="s">
        <v>28</v>
      </c>
      <c r="G860" s="9">
        <v>13.2</v>
      </c>
      <c r="H860" s="7">
        <v>8.8000000000000007</v>
      </c>
      <c r="I860" t="str" cm="1">
        <f t="array" ref="I860">_xlfn.IFS(G860&lt;3, "0–2 Years", G860&lt;6, "3–5 Years", G860&lt;9, "6–8 Years", G860&lt;12, "9-11 Years", G860&gt;=12, "12-14 Years")</f>
        <v>12-14 Years</v>
      </c>
      <c r="J860" s="7">
        <v>3</v>
      </c>
      <c r="K860" t="s">
        <v>20</v>
      </c>
      <c r="L860" s="7">
        <v>114600</v>
      </c>
      <c r="M860" s="7">
        <v>9400</v>
      </c>
      <c r="N860" s="7">
        <v>124000</v>
      </c>
      <c r="O860" t="s">
        <v>57</v>
      </c>
      <c r="P860" s="3">
        <v>41186</v>
      </c>
      <c r="Q860" t="s">
        <v>28</v>
      </c>
    </row>
    <row r="861" spans="1:17" x14ac:dyDescent="0.35">
      <c r="A861" t="s">
        <v>913</v>
      </c>
      <c r="B861" t="s">
        <v>16</v>
      </c>
      <c r="C861" s="7">
        <v>33</v>
      </c>
      <c r="D861" t="s">
        <v>55</v>
      </c>
      <c r="E861" t="s">
        <v>92</v>
      </c>
      <c r="F861" t="s">
        <v>28</v>
      </c>
      <c r="G861" s="9">
        <v>13.5</v>
      </c>
      <c r="H861" s="7">
        <v>8.8000000000000007</v>
      </c>
      <c r="I861" t="str" cm="1">
        <f t="array" ref="I861">_xlfn.IFS(G861&lt;3, "0–2 Years", G861&lt;6, "3–5 Years", G861&lt;9, "6–8 Years", G861&lt;12, "9-11 Years", G861&gt;=12, "12-14 Years")</f>
        <v>12-14 Years</v>
      </c>
      <c r="J861" s="7">
        <v>3</v>
      </c>
      <c r="K861" t="s">
        <v>20</v>
      </c>
      <c r="L861" s="7">
        <v>99500</v>
      </c>
      <c r="M861" s="7">
        <v>7400</v>
      </c>
      <c r="N861" s="7">
        <v>106900</v>
      </c>
      <c r="O861" t="s">
        <v>30</v>
      </c>
      <c r="P861" s="3">
        <v>41102</v>
      </c>
      <c r="Q861" t="s">
        <v>28</v>
      </c>
    </row>
    <row r="862" spans="1:17" x14ac:dyDescent="0.35">
      <c r="A862" t="s">
        <v>914</v>
      </c>
      <c r="B862" t="s">
        <v>23</v>
      </c>
      <c r="C862">
        <v>47</v>
      </c>
      <c r="D862" t="s">
        <v>55</v>
      </c>
      <c r="E862" t="s">
        <v>56</v>
      </c>
      <c r="F862" t="s">
        <v>28</v>
      </c>
      <c r="G862">
        <v>9.1</v>
      </c>
      <c r="H862">
        <v>7.5</v>
      </c>
      <c r="I862" t="str" cm="1">
        <f t="array" ref="I862">_xlfn.IFS(G862&lt;3, "0–2 Years", G862&lt;6, "3–5 Years", G862&lt;9, "6–8 Years", G862&lt;12, "9-11 Years", G862&gt;=12, "12-14 Years")</f>
        <v>9-11 Years</v>
      </c>
      <c r="J862">
        <v>5</v>
      </c>
      <c r="K862" t="s">
        <v>69</v>
      </c>
      <c r="L862">
        <v>91500</v>
      </c>
      <c r="M862">
        <v>11700</v>
      </c>
      <c r="N862">
        <v>103200</v>
      </c>
      <c r="O862" t="s">
        <v>30</v>
      </c>
      <c r="P862" s="3">
        <v>42705</v>
      </c>
      <c r="Q862" t="s">
        <v>28</v>
      </c>
    </row>
    <row r="863" spans="1:17" x14ac:dyDescent="0.35">
      <c r="A863" t="s">
        <v>915</v>
      </c>
      <c r="B863" t="s">
        <v>16</v>
      </c>
      <c r="C863">
        <v>24</v>
      </c>
      <c r="D863" t="s">
        <v>17</v>
      </c>
      <c r="E863" t="s">
        <v>18</v>
      </c>
      <c r="F863" t="s">
        <v>36</v>
      </c>
      <c r="G863">
        <v>3.5</v>
      </c>
      <c r="H863">
        <v>2.7</v>
      </c>
      <c r="I863" t="str" cm="1">
        <f t="array" ref="I863">_xlfn.IFS(G863&lt;3, "0–2 Years", G863&lt;6, "3–5 Years", G863&lt;9, "6–8 Years", G863&lt;12, "9-11 Years", G863&gt;=12, "12-14 Years")</f>
        <v>3–5 Years</v>
      </c>
      <c r="J863">
        <v>4</v>
      </c>
      <c r="K863" t="s">
        <v>69</v>
      </c>
      <c r="L863">
        <v>71500</v>
      </c>
      <c r="M863">
        <v>6200</v>
      </c>
      <c r="N863">
        <v>77700</v>
      </c>
      <c r="O863" t="s">
        <v>21</v>
      </c>
      <c r="P863" s="3">
        <v>44735</v>
      </c>
      <c r="Q863" t="s">
        <v>36</v>
      </c>
    </row>
    <row r="864" spans="1:17" x14ac:dyDescent="0.35">
      <c r="A864" t="s">
        <v>916</v>
      </c>
      <c r="B864" t="s">
        <v>23</v>
      </c>
      <c r="C864">
        <v>21</v>
      </c>
      <c r="D864" t="s">
        <v>55</v>
      </c>
      <c r="E864" t="s">
        <v>92</v>
      </c>
      <c r="F864" t="s">
        <v>28</v>
      </c>
      <c r="G864">
        <v>11.1</v>
      </c>
      <c r="H864">
        <v>7.7</v>
      </c>
      <c r="I864" t="str" cm="1">
        <f t="array" ref="I864">_xlfn.IFS(G864&lt;3, "0–2 Years", G864&lt;6, "3–5 Years", G864&lt;9, "6–8 Years", G864&lt;12, "9-11 Years", G864&gt;=12, "12-14 Years")</f>
        <v>9-11 Years</v>
      </c>
      <c r="J864">
        <v>4</v>
      </c>
      <c r="K864" t="s">
        <v>20</v>
      </c>
      <c r="L864">
        <v>104000</v>
      </c>
      <c r="M864">
        <v>21200</v>
      </c>
      <c r="N864">
        <v>125200</v>
      </c>
      <c r="O864" t="s">
        <v>57</v>
      </c>
      <c r="P864" s="3">
        <v>41986</v>
      </c>
      <c r="Q864" t="s">
        <v>28</v>
      </c>
    </row>
    <row r="865" spans="1:17" x14ac:dyDescent="0.35">
      <c r="A865" t="s">
        <v>917</v>
      </c>
      <c r="B865" t="s">
        <v>16</v>
      </c>
      <c r="C865">
        <v>46</v>
      </c>
      <c r="D865" t="s">
        <v>41</v>
      </c>
      <c r="E865" t="s">
        <v>42</v>
      </c>
      <c r="F865" t="s">
        <v>62</v>
      </c>
      <c r="G865">
        <v>11</v>
      </c>
      <c r="H865">
        <v>7</v>
      </c>
      <c r="I865" t="str" cm="1">
        <f t="array" ref="I865">_xlfn.IFS(G865&lt;3, "0–2 Years", G865&lt;6, "3–5 Years", G865&lt;9, "6–8 Years", G865&lt;12, "9-11 Years", G865&gt;=12, "12-14 Years")</f>
        <v>9-11 Years</v>
      </c>
      <c r="J865">
        <v>3</v>
      </c>
      <c r="K865" t="s">
        <v>20</v>
      </c>
      <c r="L865">
        <v>79400</v>
      </c>
      <c r="M865">
        <v>7000</v>
      </c>
      <c r="N865">
        <v>86400</v>
      </c>
      <c r="O865" t="s">
        <v>21</v>
      </c>
      <c r="P865" s="3">
        <v>42022</v>
      </c>
      <c r="Q865" t="s">
        <v>62</v>
      </c>
    </row>
    <row r="866" spans="1:17" x14ac:dyDescent="0.35">
      <c r="A866" t="s">
        <v>918</v>
      </c>
      <c r="B866" t="s">
        <v>16</v>
      </c>
      <c r="C866">
        <v>31</v>
      </c>
      <c r="D866" t="s">
        <v>34</v>
      </c>
      <c r="E866" t="s">
        <v>59</v>
      </c>
      <c r="F866" t="s">
        <v>28</v>
      </c>
      <c r="G866">
        <v>2.9</v>
      </c>
      <c r="H866">
        <v>2.8</v>
      </c>
      <c r="I866" t="str" cm="1">
        <f t="array" ref="I866">_xlfn.IFS(G866&lt;3, "0–2 Years", G866&lt;6, "3–5 Years", G866&lt;9, "6–8 Years", G866&lt;12, "9-11 Years", G866&gt;=12, "12-14 Years")</f>
        <v>0–2 Years</v>
      </c>
      <c r="J866">
        <v>2</v>
      </c>
      <c r="K866" t="s">
        <v>24</v>
      </c>
      <c r="L866">
        <v>56900</v>
      </c>
      <c r="M866">
        <v>6100</v>
      </c>
      <c r="N866">
        <v>63000</v>
      </c>
      <c r="O866" t="s">
        <v>25</v>
      </c>
      <c r="P866" s="3">
        <v>44963</v>
      </c>
      <c r="Q866" t="s">
        <v>28</v>
      </c>
    </row>
    <row r="867" spans="1:17" x14ac:dyDescent="0.35">
      <c r="A867" t="s">
        <v>919</v>
      </c>
      <c r="B867" t="s">
        <v>16</v>
      </c>
      <c r="C867">
        <v>37</v>
      </c>
      <c r="D867" t="s">
        <v>55</v>
      </c>
      <c r="E867" t="s">
        <v>79</v>
      </c>
      <c r="F867" t="s">
        <v>28</v>
      </c>
      <c r="G867">
        <v>8.1999999999999993</v>
      </c>
      <c r="H867">
        <v>4.0999999999999996</v>
      </c>
      <c r="I867" t="str" cm="1">
        <f t="array" ref="I867">_xlfn.IFS(G867&lt;3, "0–2 Years", G867&lt;6, "3–5 Years", G867&lt;9, "6–8 Years", G867&lt;12, "9-11 Years", G867&gt;=12, "12-14 Years")</f>
        <v>6–8 Years</v>
      </c>
      <c r="J867">
        <v>5</v>
      </c>
      <c r="K867" t="s">
        <v>20</v>
      </c>
      <c r="L867">
        <v>81200</v>
      </c>
      <c r="M867">
        <v>6000</v>
      </c>
      <c r="N867">
        <v>87200</v>
      </c>
      <c r="O867" t="s">
        <v>30</v>
      </c>
      <c r="P867" s="3">
        <v>43025</v>
      </c>
      <c r="Q867" t="s">
        <v>28</v>
      </c>
    </row>
    <row r="868" spans="1:17" x14ac:dyDescent="0.35">
      <c r="A868" t="s">
        <v>920</v>
      </c>
      <c r="B868" t="s">
        <v>16</v>
      </c>
      <c r="C868">
        <v>26</v>
      </c>
      <c r="D868" t="s">
        <v>44</v>
      </c>
      <c r="E868" t="s">
        <v>51</v>
      </c>
      <c r="F868" t="s">
        <v>36</v>
      </c>
      <c r="G868">
        <v>5.6</v>
      </c>
      <c r="H868">
        <v>3.4</v>
      </c>
      <c r="I868" t="str" cm="1">
        <f t="array" ref="I868">_xlfn.IFS(G868&lt;3, "0–2 Years", G868&lt;6, "3–5 Years", G868&lt;9, "6–8 Years", G868&lt;12, "9-11 Years", G868&gt;=12, "12-14 Years")</f>
        <v>3–5 Years</v>
      </c>
      <c r="J868">
        <v>3</v>
      </c>
      <c r="K868" t="s">
        <v>20</v>
      </c>
      <c r="L868">
        <v>77600</v>
      </c>
      <c r="M868">
        <v>7000</v>
      </c>
      <c r="N868">
        <v>84600</v>
      </c>
      <c r="O868" t="s">
        <v>21</v>
      </c>
      <c r="P868" s="3">
        <v>43976</v>
      </c>
      <c r="Q868" t="s">
        <v>36</v>
      </c>
    </row>
    <row r="869" spans="1:17" x14ac:dyDescent="0.35">
      <c r="A869" t="s">
        <v>921</v>
      </c>
      <c r="B869" t="s">
        <v>16</v>
      </c>
      <c r="C869">
        <v>50</v>
      </c>
      <c r="D869" t="s">
        <v>17</v>
      </c>
      <c r="E869" t="s">
        <v>18</v>
      </c>
      <c r="F869" t="s">
        <v>19</v>
      </c>
      <c r="G869">
        <v>7.2</v>
      </c>
      <c r="H869">
        <v>5</v>
      </c>
      <c r="I869" t="str" cm="1">
        <f t="array" ref="I869">_xlfn.IFS(G869&lt;3, "0–2 Years", G869&lt;6, "3–5 Years", G869&lt;9, "6–8 Years", G869&lt;12, "9-11 Years", G869&gt;=12, "12-14 Years")</f>
        <v>6–8 Years</v>
      </c>
      <c r="J869">
        <v>4</v>
      </c>
      <c r="K869" t="s">
        <v>20</v>
      </c>
      <c r="L869">
        <v>95500</v>
      </c>
      <c r="M869">
        <v>12200</v>
      </c>
      <c r="N869">
        <v>107700</v>
      </c>
      <c r="O869" t="s">
        <v>30</v>
      </c>
      <c r="P869" s="3">
        <v>43402</v>
      </c>
      <c r="Q869" t="s">
        <v>19</v>
      </c>
    </row>
    <row r="870" spans="1:17" x14ac:dyDescent="0.35">
      <c r="A870" t="s">
        <v>922</v>
      </c>
      <c r="B870" t="s">
        <v>23</v>
      </c>
      <c r="C870">
        <v>28</v>
      </c>
      <c r="D870" t="s">
        <v>34</v>
      </c>
      <c r="E870" t="s">
        <v>35</v>
      </c>
      <c r="F870" t="s">
        <v>28</v>
      </c>
      <c r="G870">
        <v>11.6</v>
      </c>
      <c r="H870">
        <v>8.6</v>
      </c>
      <c r="I870" t="str" cm="1">
        <f t="array" ref="I870">_xlfn.IFS(G870&lt;3, "0–2 Years", G870&lt;6, "3–5 Years", G870&lt;9, "6–8 Years", G870&lt;12, "9-11 Years", G870&gt;=12, "12-14 Years")</f>
        <v>9-11 Years</v>
      </c>
      <c r="J870">
        <v>3</v>
      </c>
      <c r="K870" t="s">
        <v>20</v>
      </c>
      <c r="L870">
        <v>89700</v>
      </c>
      <c r="M870">
        <v>4300</v>
      </c>
      <c r="N870">
        <v>94000</v>
      </c>
      <c r="O870" t="s">
        <v>30</v>
      </c>
      <c r="P870" s="3">
        <v>41799</v>
      </c>
      <c r="Q870" t="s">
        <v>28</v>
      </c>
    </row>
    <row r="871" spans="1:17" x14ac:dyDescent="0.35">
      <c r="A871" t="s">
        <v>923</v>
      </c>
      <c r="B871" t="s">
        <v>16</v>
      </c>
      <c r="C871">
        <v>29</v>
      </c>
      <c r="D871" t="s">
        <v>38</v>
      </c>
      <c r="E871" t="s">
        <v>61</v>
      </c>
      <c r="F871" t="s">
        <v>28</v>
      </c>
      <c r="G871">
        <v>8.1</v>
      </c>
      <c r="H871">
        <v>5.6</v>
      </c>
      <c r="I871" t="str" cm="1">
        <f t="array" ref="I871">_xlfn.IFS(G871&lt;3, "0–2 Years", G871&lt;6, "3–5 Years", G871&lt;9, "6–8 Years", G871&lt;12, "9-11 Years", G871&gt;=12, "12-14 Years")</f>
        <v>6–8 Years</v>
      </c>
      <c r="J871">
        <v>3</v>
      </c>
      <c r="K871" t="s">
        <v>20</v>
      </c>
      <c r="L871">
        <v>94100</v>
      </c>
      <c r="M871">
        <v>4300</v>
      </c>
      <c r="N871">
        <v>98400</v>
      </c>
      <c r="O871" t="s">
        <v>30</v>
      </c>
      <c r="P871" s="3">
        <v>43069</v>
      </c>
      <c r="Q871" t="s">
        <v>28</v>
      </c>
    </row>
    <row r="872" spans="1:17" x14ac:dyDescent="0.35">
      <c r="A872" t="s">
        <v>924</v>
      </c>
      <c r="B872" t="s">
        <v>16</v>
      </c>
      <c r="C872">
        <v>30</v>
      </c>
      <c r="D872" t="s">
        <v>55</v>
      </c>
      <c r="E872" t="s">
        <v>92</v>
      </c>
      <c r="F872" t="s">
        <v>36</v>
      </c>
      <c r="G872">
        <v>10</v>
      </c>
      <c r="H872">
        <v>5.0999999999999996</v>
      </c>
      <c r="I872" t="str" cm="1">
        <f t="array" ref="I872">_xlfn.IFS(G872&lt;3, "0–2 Years", G872&lt;6, "3–5 Years", G872&lt;9, "6–8 Years", G872&lt;12, "9-11 Years", G872&gt;=12, "12-14 Years")</f>
        <v>9-11 Years</v>
      </c>
      <c r="J872">
        <v>4</v>
      </c>
      <c r="K872" t="s">
        <v>20</v>
      </c>
      <c r="L872">
        <v>104900</v>
      </c>
      <c r="M872">
        <v>12000</v>
      </c>
      <c r="N872">
        <v>116900</v>
      </c>
      <c r="O872" t="s">
        <v>57</v>
      </c>
      <c r="Q872" t="s">
        <v>36</v>
      </c>
    </row>
    <row r="873" spans="1:17" x14ac:dyDescent="0.35">
      <c r="A873" t="s">
        <v>925</v>
      </c>
      <c r="B873" t="s">
        <v>16</v>
      </c>
      <c r="C873" s="7">
        <v>32</v>
      </c>
      <c r="D873" t="s">
        <v>44</v>
      </c>
      <c r="E873" t="s">
        <v>45</v>
      </c>
      <c r="F873" t="s">
        <v>19</v>
      </c>
      <c r="G873" s="9">
        <v>13.8</v>
      </c>
      <c r="H873" s="7">
        <v>10.199999999999999</v>
      </c>
      <c r="I873" t="str" cm="1">
        <f t="array" ref="I873">_xlfn.IFS(G873&lt;3, "0–2 Years", G873&lt;6, "3–5 Years", G873&lt;9, "6–8 Years", G873&lt;12, "9-11 Years", G873&gt;=12, "12-14 Years")</f>
        <v>12-14 Years</v>
      </c>
      <c r="J873" s="7">
        <v>4</v>
      </c>
      <c r="K873" t="s">
        <v>20</v>
      </c>
      <c r="L873" s="7">
        <v>77600</v>
      </c>
      <c r="M873" s="7">
        <v>11300</v>
      </c>
      <c r="N873" s="7">
        <v>88900</v>
      </c>
      <c r="O873" t="s">
        <v>21</v>
      </c>
      <c r="P873" s="3">
        <v>40979</v>
      </c>
      <c r="Q873" t="s">
        <v>19</v>
      </c>
    </row>
    <row r="874" spans="1:17" x14ac:dyDescent="0.35">
      <c r="A874" t="s">
        <v>926</v>
      </c>
      <c r="B874" t="s">
        <v>16</v>
      </c>
      <c r="C874">
        <v>45</v>
      </c>
      <c r="D874" t="s">
        <v>55</v>
      </c>
      <c r="E874" t="s">
        <v>79</v>
      </c>
      <c r="F874" t="s">
        <v>19</v>
      </c>
      <c r="G874">
        <v>5.8</v>
      </c>
      <c r="H874">
        <v>4.5999999999999996</v>
      </c>
      <c r="I874" t="str" cm="1">
        <f t="array" ref="I874">_xlfn.IFS(G874&lt;3, "0–2 Years", G874&lt;6, "3–5 Years", G874&lt;9, "6–8 Years", G874&lt;12, "9-11 Years", G874&gt;=12, "12-14 Years")</f>
        <v>3–5 Years</v>
      </c>
      <c r="J874">
        <v>3</v>
      </c>
      <c r="K874" t="s">
        <v>69</v>
      </c>
      <c r="L874">
        <v>41500</v>
      </c>
      <c r="M874">
        <v>3600</v>
      </c>
      <c r="N874">
        <v>45100</v>
      </c>
      <c r="O874" t="s">
        <v>65</v>
      </c>
      <c r="P874" s="3">
        <v>43893</v>
      </c>
      <c r="Q874" t="s">
        <v>19</v>
      </c>
    </row>
    <row r="875" spans="1:17" x14ac:dyDescent="0.35">
      <c r="A875" t="s">
        <v>927</v>
      </c>
      <c r="B875" t="s">
        <v>16</v>
      </c>
      <c r="C875">
        <v>43</v>
      </c>
      <c r="D875" t="s">
        <v>44</v>
      </c>
      <c r="E875" t="s">
        <v>51</v>
      </c>
      <c r="F875" t="s">
        <v>36</v>
      </c>
      <c r="G875">
        <v>8.6999999999999993</v>
      </c>
      <c r="H875">
        <v>7.5</v>
      </c>
      <c r="I875" t="str" cm="1">
        <f t="array" ref="I875">_xlfn.IFS(G875&lt;3, "0–2 Years", G875&lt;6, "3–5 Years", G875&lt;9, "6–8 Years", G875&lt;12, "9-11 Years", G875&gt;=12, "12-14 Years")</f>
        <v>6–8 Years</v>
      </c>
      <c r="J875">
        <v>4</v>
      </c>
      <c r="K875" t="s">
        <v>20</v>
      </c>
      <c r="L875">
        <v>91000</v>
      </c>
      <c r="M875">
        <v>5500</v>
      </c>
      <c r="N875">
        <v>96500</v>
      </c>
      <c r="O875" t="s">
        <v>30</v>
      </c>
      <c r="P875" s="3">
        <v>42833</v>
      </c>
      <c r="Q875" t="s">
        <v>36</v>
      </c>
    </row>
    <row r="876" spans="1:17" x14ac:dyDescent="0.35">
      <c r="A876" t="s">
        <v>928</v>
      </c>
      <c r="B876" t="s">
        <v>23</v>
      </c>
      <c r="C876">
        <v>26</v>
      </c>
      <c r="D876" t="s">
        <v>17</v>
      </c>
      <c r="E876" t="s">
        <v>18</v>
      </c>
      <c r="F876" t="s">
        <v>28</v>
      </c>
      <c r="G876">
        <v>3.8</v>
      </c>
      <c r="H876">
        <v>3.8</v>
      </c>
      <c r="I876" t="str" cm="1">
        <f t="array" ref="I876">_xlfn.IFS(G876&lt;3, "0–2 Years", G876&lt;6, "3–5 Years", G876&lt;9, "6–8 Years", G876&lt;12, "9-11 Years", G876&gt;=12, "12-14 Years")</f>
        <v>3–5 Years</v>
      </c>
      <c r="J876">
        <v>3</v>
      </c>
      <c r="K876" t="s">
        <v>20</v>
      </c>
      <c r="L876">
        <v>97000</v>
      </c>
      <c r="M876">
        <v>8800</v>
      </c>
      <c r="N876">
        <v>105800</v>
      </c>
      <c r="O876" t="s">
        <v>30</v>
      </c>
      <c r="P876" s="3">
        <v>44649</v>
      </c>
      <c r="Q876" t="s">
        <v>28</v>
      </c>
    </row>
    <row r="877" spans="1:17" x14ac:dyDescent="0.35">
      <c r="A877" t="s">
        <v>929</v>
      </c>
      <c r="B877" t="s">
        <v>16</v>
      </c>
      <c r="C877">
        <v>49</v>
      </c>
      <c r="D877" t="s">
        <v>44</v>
      </c>
      <c r="E877" t="s">
        <v>76</v>
      </c>
      <c r="F877" t="s">
        <v>28</v>
      </c>
      <c r="G877">
        <v>11.7</v>
      </c>
      <c r="H877">
        <v>8.5</v>
      </c>
      <c r="I877" t="str" cm="1">
        <f t="array" ref="I877">_xlfn.IFS(G877&lt;3, "0–2 Years", G877&lt;6, "3–5 Years", G877&lt;9, "6–8 Years", G877&lt;12, "9-11 Years", G877&gt;=12, "12-14 Years")</f>
        <v>9-11 Years</v>
      </c>
      <c r="J877">
        <v>2</v>
      </c>
      <c r="K877" t="s">
        <v>20</v>
      </c>
      <c r="L877">
        <v>97800</v>
      </c>
      <c r="M877">
        <v>12000</v>
      </c>
      <c r="N877">
        <v>109800</v>
      </c>
      <c r="O877" t="s">
        <v>30</v>
      </c>
      <c r="P877" s="3">
        <v>41738</v>
      </c>
      <c r="Q877" t="s">
        <v>28</v>
      </c>
    </row>
    <row r="878" spans="1:17" x14ac:dyDescent="0.35">
      <c r="A878" t="s">
        <v>930</v>
      </c>
      <c r="B878" t="s">
        <v>16</v>
      </c>
      <c r="C878">
        <v>40</v>
      </c>
      <c r="D878" t="s">
        <v>55</v>
      </c>
      <c r="E878" t="s">
        <v>92</v>
      </c>
      <c r="F878" t="s">
        <v>36</v>
      </c>
      <c r="G878">
        <v>8.4</v>
      </c>
      <c r="H878">
        <v>4.7</v>
      </c>
      <c r="I878" t="str" cm="1">
        <f t="array" ref="I878">_xlfn.IFS(G878&lt;3, "0–2 Years", G878&lt;6, "3–5 Years", G878&lt;9, "6–8 Years", G878&lt;12, "9-11 Years", G878&gt;=12, "12-14 Years")</f>
        <v>6–8 Years</v>
      </c>
      <c r="J878">
        <v>3</v>
      </c>
      <c r="K878" t="s">
        <v>69</v>
      </c>
      <c r="L878">
        <v>74100</v>
      </c>
      <c r="M878">
        <v>11500</v>
      </c>
      <c r="N878">
        <v>85600</v>
      </c>
      <c r="O878" t="s">
        <v>21</v>
      </c>
      <c r="P878" s="3">
        <v>42961</v>
      </c>
      <c r="Q878" t="s">
        <v>36</v>
      </c>
    </row>
    <row r="879" spans="1:17" x14ac:dyDescent="0.35">
      <c r="A879" t="s">
        <v>931</v>
      </c>
      <c r="B879" t="s">
        <v>23</v>
      </c>
      <c r="C879">
        <v>21</v>
      </c>
      <c r="D879" t="s">
        <v>55</v>
      </c>
      <c r="E879" t="s">
        <v>56</v>
      </c>
      <c r="F879" t="s">
        <v>62</v>
      </c>
      <c r="G879">
        <v>3.1</v>
      </c>
      <c r="H879">
        <v>1.6</v>
      </c>
      <c r="I879" t="str" cm="1">
        <f t="array" ref="I879">_xlfn.IFS(G879&lt;3, "0–2 Years", G879&lt;6, "3–5 Years", G879&lt;9, "6–8 Years", G879&lt;12, "9-11 Years", G879&gt;=12, "12-14 Years")</f>
        <v>3–5 Years</v>
      </c>
      <c r="J879">
        <v>3</v>
      </c>
      <c r="K879" t="s">
        <v>20</v>
      </c>
      <c r="L879">
        <v>90900</v>
      </c>
      <c r="M879">
        <v>9800</v>
      </c>
      <c r="N879">
        <v>100700</v>
      </c>
      <c r="O879" t="s">
        <v>30</v>
      </c>
      <c r="P879" s="3">
        <v>44881</v>
      </c>
      <c r="Q879" t="s">
        <v>62</v>
      </c>
    </row>
    <row r="880" spans="1:17" x14ac:dyDescent="0.35">
      <c r="A880" t="s">
        <v>932</v>
      </c>
      <c r="B880" t="s">
        <v>16</v>
      </c>
      <c r="C880">
        <v>46</v>
      </c>
      <c r="D880" t="s">
        <v>44</v>
      </c>
      <c r="E880" t="s">
        <v>81</v>
      </c>
      <c r="F880" t="s">
        <v>36</v>
      </c>
      <c r="G880">
        <v>2.7</v>
      </c>
      <c r="H880">
        <v>1.6</v>
      </c>
      <c r="I880" t="str" cm="1">
        <f t="array" ref="I880">_xlfn.IFS(G880&lt;3, "0–2 Years", G880&lt;6, "3–5 Years", G880&lt;9, "6–8 Years", G880&lt;12, "9-11 Years", G880&gt;=12, "12-14 Years")</f>
        <v>0–2 Years</v>
      </c>
      <c r="J880">
        <v>4</v>
      </c>
      <c r="K880" t="s">
        <v>20</v>
      </c>
      <c r="L880">
        <v>87900</v>
      </c>
      <c r="M880">
        <v>7100</v>
      </c>
      <c r="N880">
        <v>95000</v>
      </c>
      <c r="O880" t="s">
        <v>30</v>
      </c>
      <c r="P880" s="3">
        <v>45046</v>
      </c>
      <c r="Q880" t="s">
        <v>36</v>
      </c>
    </row>
    <row r="881" spans="1:17" x14ac:dyDescent="0.35">
      <c r="A881" t="s">
        <v>933</v>
      </c>
      <c r="B881" t="s">
        <v>23</v>
      </c>
      <c r="C881">
        <v>34</v>
      </c>
      <c r="D881" t="s">
        <v>41</v>
      </c>
      <c r="E881" t="s">
        <v>42</v>
      </c>
      <c r="F881" t="s">
        <v>36</v>
      </c>
      <c r="G881">
        <v>4.5999999999999996</v>
      </c>
      <c r="H881">
        <v>3.6</v>
      </c>
      <c r="I881" t="str" cm="1">
        <f t="array" ref="I881">_xlfn.IFS(G881&lt;3, "0–2 Years", G881&lt;6, "3–5 Years", G881&lt;9, "6–8 Years", G881&lt;12, "9-11 Years", G881&gt;=12, "12-14 Years")</f>
        <v>3–5 Years</v>
      </c>
      <c r="J881">
        <v>3</v>
      </c>
      <c r="K881" t="s">
        <v>20</v>
      </c>
      <c r="L881">
        <v>75100</v>
      </c>
      <c r="M881">
        <v>6100</v>
      </c>
      <c r="N881">
        <v>81200</v>
      </c>
      <c r="O881" t="s">
        <v>21</v>
      </c>
      <c r="P881" s="3">
        <v>44350</v>
      </c>
      <c r="Q881" t="s">
        <v>36</v>
      </c>
    </row>
    <row r="882" spans="1:17" x14ac:dyDescent="0.35">
      <c r="A882" t="s">
        <v>934</v>
      </c>
      <c r="B882" t="s">
        <v>23</v>
      </c>
      <c r="C882">
        <v>31</v>
      </c>
      <c r="D882" t="s">
        <v>55</v>
      </c>
      <c r="E882" t="s">
        <v>92</v>
      </c>
      <c r="F882" t="s">
        <v>36</v>
      </c>
      <c r="G882">
        <v>7</v>
      </c>
      <c r="H882">
        <v>3.3</v>
      </c>
      <c r="I882" t="str" cm="1">
        <f t="array" ref="I882">_xlfn.IFS(G882&lt;3, "0–2 Years", G882&lt;6, "3–5 Years", G882&lt;9, "6–8 Years", G882&lt;12, "9-11 Years", G882&gt;=12, "12-14 Years")</f>
        <v>6–8 Years</v>
      </c>
      <c r="J882">
        <v>4</v>
      </c>
      <c r="K882" t="s">
        <v>20</v>
      </c>
      <c r="L882">
        <v>120300</v>
      </c>
      <c r="M882">
        <v>19600</v>
      </c>
      <c r="N882">
        <v>139900</v>
      </c>
      <c r="O882" t="s">
        <v>57</v>
      </c>
      <c r="P882" s="3">
        <v>43467</v>
      </c>
      <c r="Q882" t="s">
        <v>36</v>
      </c>
    </row>
    <row r="883" spans="1:17" x14ac:dyDescent="0.35">
      <c r="A883" t="s">
        <v>935</v>
      </c>
      <c r="B883" t="s">
        <v>16</v>
      </c>
      <c r="C883">
        <v>33</v>
      </c>
      <c r="D883" t="s">
        <v>44</v>
      </c>
      <c r="E883" t="s">
        <v>76</v>
      </c>
      <c r="F883" t="s">
        <v>19</v>
      </c>
      <c r="G883">
        <v>6.7</v>
      </c>
      <c r="H883">
        <v>5.5</v>
      </c>
      <c r="I883" t="str" cm="1">
        <f t="array" ref="I883">_xlfn.IFS(G883&lt;3, "0–2 Years", G883&lt;6, "3–5 Years", G883&lt;9, "6–8 Years", G883&lt;12, "9-11 Years", G883&gt;=12, "12-14 Years")</f>
        <v>6–8 Years</v>
      </c>
      <c r="J883">
        <v>3</v>
      </c>
      <c r="K883" t="s">
        <v>20</v>
      </c>
      <c r="L883">
        <v>93800</v>
      </c>
      <c r="M883">
        <v>9900</v>
      </c>
      <c r="N883">
        <v>103700</v>
      </c>
      <c r="O883" t="s">
        <v>30</v>
      </c>
      <c r="P883" s="3">
        <v>43564</v>
      </c>
      <c r="Q883" t="s">
        <v>19</v>
      </c>
    </row>
    <row r="884" spans="1:17" x14ac:dyDescent="0.35">
      <c r="A884" t="s">
        <v>936</v>
      </c>
      <c r="B884" t="s">
        <v>23</v>
      </c>
      <c r="C884">
        <v>24</v>
      </c>
      <c r="D884" t="s">
        <v>44</v>
      </c>
      <c r="E884" t="s">
        <v>45</v>
      </c>
      <c r="F884" t="s">
        <v>36</v>
      </c>
      <c r="G884">
        <v>2.2000000000000002</v>
      </c>
      <c r="H884">
        <v>2.2000000000000002</v>
      </c>
      <c r="I884" t="str" cm="1">
        <f t="array" ref="I884">_xlfn.IFS(G884&lt;3, "0–2 Years", G884&lt;6, "3–5 Years", G884&lt;9, "6–8 Years", G884&lt;12, "9-11 Years", G884&gt;=12, "12-14 Years")</f>
        <v>0–2 Years</v>
      </c>
      <c r="J884">
        <v>4</v>
      </c>
      <c r="K884" t="s">
        <v>20</v>
      </c>
      <c r="L884">
        <v>75600</v>
      </c>
      <c r="M884">
        <v>9600</v>
      </c>
      <c r="N884">
        <v>85200</v>
      </c>
      <c r="O884" t="s">
        <v>21</v>
      </c>
      <c r="P884" s="3">
        <v>45205</v>
      </c>
      <c r="Q884" t="s">
        <v>36</v>
      </c>
    </row>
    <row r="885" spans="1:17" x14ac:dyDescent="0.35">
      <c r="A885" t="s">
        <v>937</v>
      </c>
      <c r="B885" t="s">
        <v>16</v>
      </c>
      <c r="C885">
        <v>51</v>
      </c>
      <c r="D885" t="s">
        <v>38</v>
      </c>
      <c r="E885" t="s">
        <v>61</v>
      </c>
      <c r="F885" t="s">
        <v>28</v>
      </c>
      <c r="G885">
        <v>2.7</v>
      </c>
      <c r="H885">
        <v>0.8</v>
      </c>
      <c r="I885" t="str" cm="1">
        <f t="array" ref="I885">_xlfn.IFS(G885&lt;3, "0–2 Years", G885&lt;6, "3–5 Years", G885&lt;9, "6–8 Years", G885&lt;12, "9-11 Years", G885&gt;=12, "12-14 Years")</f>
        <v>0–2 Years</v>
      </c>
      <c r="J885">
        <v>4</v>
      </c>
      <c r="K885" t="s">
        <v>20</v>
      </c>
      <c r="L885">
        <v>95600</v>
      </c>
      <c r="M885">
        <v>10000</v>
      </c>
      <c r="N885">
        <v>105600</v>
      </c>
      <c r="O885" t="s">
        <v>30</v>
      </c>
      <c r="P885" s="3">
        <v>45053</v>
      </c>
      <c r="Q885" t="s">
        <v>28</v>
      </c>
    </row>
    <row r="886" spans="1:17" x14ac:dyDescent="0.35">
      <c r="A886" t="s">
        <v>938</v>
      </c>
      <c r="B886" t="s">
        <v>23</v>
      </c>
      <c r="C886">
        <v>23</v>
      </c>
      <c r="D886" t="s">
        <v>38</v>
      </c>
      <c r="E886" t="s">
        <v>112</v>
      </c>
      <c r="F886" t="s">
        <v>36</v>
      </c>
      <c r="G886">
        <v>7.3</v>
      </c>
      <c r="H886">
        <v>6.4</v>
      </c>
      <c r="I886" t="str" cm="1">
        <f t="array" ref="I886">_xlfn.IFS(G886&lt;3, "0–2 Years", G886&lt;6, "3–5 Years", G886&lt;9, "6–8 Years", G886&lt;12, "9-11 Years", G886&gt;=12, "12-14 Years")</f>
        <v>6–8 Years</v>
      </c>
      <c r="J886">
        <v>4</v>
      </c>
      <c r="K886" t="s">
        <v>20</v>
      </c>
      <c r="L886">
        <v>71900</v>
      </c>
      <c r="M886">
        <v>7100</v>
      </c>
      <c r="N886">
        <v>79000</v>
      </c>
      <c r="O886" t="s">
        <v>21</v>
      </c>
      <c r="P886" s="3">
        <v>43350</v>
      </c>
      <c r="Q886" t="s">
        <v>36</v>
      </c>
    </row>
    <row r="887" spans="1:17" x14ac:dyDescent="0.35">
      <c r="A887" t="s">
        <v>939</v>
      </c>
      <c r="B887" t="s">
        <v>16</v>
      </c>
      <c r="C887">
        <v>42</v>
      </c>
      <c r="D887" t="s">
        <v>34</v>
      </c>
      <c r="E887" t="s">
        <v>59</v>
      </c>
      <c r="F887" t="s">
        <v>36</v>
      </c>
      <c r="G887">
        <v>2</v>
      </c>
      <c r="H887">
        <v>2</v>
      </c>
      <c r="I887" t="str" cm="1">
        <f t="array" ref="I887">_xlfn.IFS(G887&lt;3, "0–2 Years", G887&lt;6, "3–5 Years", G887&lt;9, "6–8 Years", G887&lt;12, "9-11 Years", G887&gt;=12, "12-14 Years")</f>
        <v>0–2 Years</v>
      </c>
      <c r="J887">
        <v>3</v>
      </c>
      <c r="K887" t="s">
        <v>20</v>
      </c>
      <c r="L887">
        <v>115000</v>
      </c>
      <c r="M887">
        <v>10900</v>
      </c>
      <c r="N887">
        <v>125900</v>
      </c>
      <c r="O887" t="s">
        <v>57</v>
      </c>
      <c r="P887" s="3">
        <v>45278</v>
      </c>
      <c r="Q887" t="s">
        <v>36</v>
      </c>
    </row>
    <row r="888" spans="1:17" x14ac:dyDescent="0.35">
      <c r="A888" t="s">
        <v>940</v>
      </c>
      <c r="B888" t="s">
        <v>16</v>
      </c>
      <c r="C888">
        <v>54</v>
      </c>
      <c r="D888" t="s">
        <v>44</v>
      </c>
      <c r="E888" t="s">
        <v>81</v>
      </c>
      <c r="F888" t="s">
        <v>36</v>
      </c>
      <c r="G888">
        <v>10.199999999999999</v>
      </c>
      <c r="H888">
        <v>7.2</v>
      </c>
      <c r="I888" t="str" cm="1">
        <f t="array" ref="I888">_xlfn.IFS(G888&lt;3, "0–2 Years", G888&lt;6, "3–5 Years", G888&lt;9, "6–8 Years", G888&lt;12, "9-11 Years", G888&gt;=12, "12-14 Years")</f>
        <v>9-11 Years</v>
      </c>
      <c r="J888">
        <v>3</v>
      </c>
      <c r="K888" t="s">
        <v>20</v>
      </c>
      <c r="L888">
        <v>101900</v>
      </c>
      <c r="M888">
        <v>5600</v>
      </c>
      <c r="N888">
        <v>107500</v>
      </c>
      <c r="O888" t="s">
        <v>57</v>
      </c>
      <c r="P888" s="3">
        <v>42313</v>
      </c>
      <c r="Q888" t="s">
        <v>36</v>
      </c>
    </row>
    <row r="889" spans="1:17" x14ac:dyDescent="0.35">
      <c r="A889" t="s">
        <v>941</v>
      </c>
      <c r="B889" t="s">
        <v>16</v>
      </c>
      <c r="C889">
        <v>48</v>
      </c>
      <c r="D889" t="s">
        <v>34</v>
      </c>
      <c r="E889" t="s">
        <v>35</v>
      </c>
      <c r="F889" t="s">
        <v>36</v>
      </c>
      <c r="G889">
        <v>5.5</v>
      </c>
      <c r="H889">
        <v>5.0999999999999996</v>
      </c>
      <c r="I889" t="str" cm="1">
        <f t="array" ref="I889">_xlfn.IFS(G889&lt;3, "0–2 Years", G889&lt;6, "3–5 Years", G889&lt;9, "6–8 Years", G889&lt;12, "9-11 Years", G889&gt;=12, "12-14 Years")</f>
        <v>3–5 Years</v>
      </c>
      <c r="J889">
        <v>4</v>
      </c>
      <c r="K889" t="s">
        <v>20</v>
      </c>
      <c r="L889">
        <v>90500</v>
      </c>
      <c r="M889">
        <v>8500</v>
      </c>
      <c r="N889">
        <v>99000</v>
      </c>
      <c r="O889" t="s">
        <v>30</v>
      </c>
      <c r="P889" s="3">
        <v>44010</v>
      </c>
      <c r="Q889" t="s">
        <v>36</v>
      </c>
    </row>
    <row r="890" spans="1:17" x14ac:dyDescent="0.35">
      <c r="A890" t="s">
        <v>942</v>
      </c>
      <c r="B890" t="s">
        <v>16</v>
      </c>
      <c r="C890">
        <v>26</v>
      </c>
      <c r="D890" t="s">
        <v>55</v>
      </c>
      <c r="E890" t="s">
        <v>92</v>
      </c>
      <c r="F890" t="s">
        <v>36</v>
      </c>
      <c r="G890">
        <v>4.8</v>
      </c>
      <c r="H890">
        <v>4.8</v>
      </c>
      <c r="I890" t="str" cm="1">
        <f t="array" ref="I890">_xlfn.IFS(G890&lt;3, "0–2 Years", G890&lt;6, "3–5 Years", G890&lt;9, "6–8 Years", G890&lt;12, "9-11 Years", G890&gt;=12, "12-14 Years")</f>
        <v>3–5 Years</v>
      </c>
      <c r="J890">
        <v>3</v>
      </c>
      <c r="K890" t="s">
        <v>20</v>
      </c>
      <c r="L890">
        <v>109000</v>
      </c>
      <c r="M890">
        <v>20000</v>
      </c>
      <c r="N890">
        <v>129000</v>
      </c>
      <c r="O890" t="s">
        <v>57</v>
      </c>
      <c r="P890" s="3">
        <v>44288</v>
      </c>
      <c r="Q890" t="s">
        <v>36</v>
      </c>
    </row>
    <row r="891" spans="1:17" x14ac:dyDescent="0.35">
      <c r="A891" t="s">
        <v>943</v>
      </c>
      <c r="B891" t="s">
        <v>16</v>
      </c>
      <c r="C891">
        <v>37</v>
      </c>
      <c r="D891" t="s">
        <v>17</v>
      </c>
      <c r="E891" t="s">
        <v>27</v>
      </c>
      <c r="F891" t="s">
        <v>36</v>
      </c>
      <c r="G891">
        <v>10.5</v>
      </c>
      <c r="H891">
        <v>6.7</v>
      </c>
      <c r="I891" t="str" cm="1">
        <f t="array" ref="I891">_xlfn.IFS(G891&lt;3, "0–2 Years", G891&lt;6, "3–5 Years", G891&lt;9, "6–8 Years", G891&lt;12, "9-11 Years", G891&gt;=12, "12-14 Years")</f>
        <v>9-11 Years</v>
      </c>
      <c r="J891">
        <v>4</v>
      </c>
      <c r="K891" t="s">
        <v>69</v>
      </c>
      <c r="L891">
        <v>68700</v>
      </c>
      <c r="M891">
        <v>8900</v>
      </c>
      <c r="N891">
        <v>77600</v>
      </c>
      <c r="O891" t="s">
        <v>21</v>
      </c>
      <c r="P891" s="3">
        <v>42173</v>
      </c>
      <c r="Q891" t="s">
        <v>36</v>
      </c>
    </row>
    <row r="892" spans="1:17" x14ac:dyDescent="0.35">
      <c r="A892" t="s">
        <v>944</v>
      </c>
      <c r="B892" t="s">
        <v>16</v>
      </c>
      <c r="C892">
        <v>28</v>
      </c>
      <c r="D892" t="s">
        <v>44</v>
      </c>
      <c r="E892" t="s">
        <v>45</v>
      </c>
      <c r="F892" t="s">
        <v>36</v>
      </c>
      <c r="G892">
        <v>3.3</v>
      </c>
      <c r="H892">
        <v>1.9</v>
      </c>
      <c r="I892" t="str" cm="1">
        <f t="array" ref="I892">_xlfn.IFS(G892&lt;3, "0–2 Years", G892&lt;6, "3–5 Years", G892&lt;9, "6–8 Years", G892&lt;12, "9-11 Years", G892&gt;=12, "12-14 Years")</f>
        <v>3–5 Years</v>
      </c>
      <c r="J892">
        <v>3</v>
      </c>
      <c r="K892" t="s">
        <v>20</v>
      </c>
      <c r="L892">
        <v>82200</v>
      </c>
      <c r="M892">
        <v>12300</v>
      </c>
      <c r="N892">
        <v>94500</v>
      </c>
      <c r="O892" t="s">
        <v>30</v>
      </c>
      <c r="P892" s="3">
        <v>44821</v>
      </c>
      <c r="Q892" t="s">
        <v>36</v>
      </c>
    </row>
    <row r="893" spans="1:17" x14ac:dyDescent="0.35">
      <c r="A893" t="s">
        <v>945</v>
      </c>
      <c r="B893" t="s">
        <v>16</v>
      </c>
      <c r="C893">
        <v>36</v>
      </c>
      <c r="D893" t="s">
        <v>41</v>
      </c>
      <c r="E893" t="s">
        <v>73</v>
      </c>
      <c r="F893" t="s">
        <v>28</v>
      </c>
      <c r="G893">
        <v>9.9</v>
      </c>
      <c r="H893">
        <v>6.9</v>
      </c>
      <c r="I893" t="str" cm="1">
        <f t="array" ref="I893">_xlfn.IFS(G893&lt;3, "0–2 Years", G893&lt;6, "3–5 Years", G893&lt;9, "6–8 Years", G893&lt;12, "9-11 Years", G893&gt;=12, "12-14 Years")</f>
        <v>9-11 Years</v>
      </c>
      <c r="J893">
        <v>5</v>
      </c>
      <c r="K893" t="s">
        <v>20</v>
      </c>
      <c r="L893">
        <v>98600</v>
      </c>
      <c r="M893">
        <v>7700</v>
      </c>
      <c r="N893">
        <v>106300</v>
      </c>
      <c r="O893" t="s">
        <v>30</v>
      </c>
      <c r="P893" s="3">
        <v>42391</v>
      </c>
      <c r="Q893" t="s">
        <v>28</v>
      </c>
    </row>
    <row r="894" spans="1:17" x14ac:dyDescent="0.35">
      <c r="A894" t="s">
        <v>946</v>
      </c>
      <c r="B894" t="s">
        <v>23</v>
      </c>
      <c r="C894">
        <v>35</v>
      </c>
      <c r="D894" t="s">
        <v>34</v>
      </c>
      <c r="E894" t="s">
        <v>47</v>
      </c>
      <c r="F894" t="s">
        <v>62</v>
      </c>
      <c r="G894">
        <v>4.9000000000000004</v>
      </c>
      <c r="H894">
        <v>4.4000000000000004</v>
      </c>
      <c r="I894" t="str" cm="1">
        <f t="array" ref="I894">_xlfn.IFS(G894&lt;3, "0–2 Years", G894&lt;6, "3–5 Years", G894&lt;9, "6–8 Years", G894&lt;12, "9-11 Years", G894&gt;=12, "12-14 Years")</f>
        <v>3–5 Years</v>
      </c>
      <c r="J894">
        <v>2</v>
      </c>
      <c r="K894" t="s">
        <v>20</v>
      </c>
      <c r="L894">
        <v>85600</v>
      </c>
      <c r="M894">
        <v>5400</v>
      </c>
      <c r="N894">
        <v>91000</v>
      </c>
      <c r="O894" t="s">
        <v>30</v>
      </c>
      <c r="P894" s="3">
        <v>44240</v>
      </c>
      <c r="Q894" t="s">
        <v>62</v>
      </c>
    </row>
    <row r="895" spans="1:17" x14ac:dyDescent="0.35">
      <c r="A895" t="s">
        <v>947</v>
      </c>
      <c r="B895" t="s">
        <v>16</v>
      </c>
      <c r="C895" s="7">
        <v>32</v>
      </c>
      <c r="D895" t="s">
        <v>41</v>
      </c>
      <c r="E895" t="s">
        <v>73</v>
      </c>
      <c r="F895" t="s">
        <v>28</v>
      </c>
      <c r="G895" s="9">
        <v>12.3</v>
      </c>
      <c r="H895" s="7">
        <v>8.4</v>
      </c>
      <c r="I895" t="str" cm="1">
        <f t="array" ref="I895">_xlfn.IFS(G895&lt;3, "0–2 Years", G895&lt;6, "3–5 Years", G895&lt;9, "6–8 Years", G895&lt;12, "9-11 Years", G895&gt;=12, "12-14 Years")</f>
        <v>12-14 Years</v>
      </c>
      <c r="J895" s="7">
        <v>3</v>
      </c>
      <c r="K895" t="s">
        <v>20</v>
      </c>
      <c r="L895" s="7">
        <v>99000</v>
      </c>
      <c r="M895" s="7">
        <v>3800</v>
      </c>
      <c r="N895" s="7">
        <v>102800</v>
      </c>
      <c r="O895" t="s">
        <v>30</v>
      </c>
      <c r="P895" s="3">
        <v>41529</v>
      </c>
      <c r="Q895" t="s">
        <v>28</v>
      </c>
    </row>
    <row r="896" spans="1:17" x14ac:dyDescent="0.35">
      <c r="A896" t="s">
        <v>948</v>
      </c>
      <c r="B896" t="s">
        <v>23</v>
      </c>
      <c r="C896">
        <v>34</v>
      </c>
      <c r="D896" t="s">
        <v>34</v>
      </c>
      <c r="E896" t="s">
        <v>59</v>
      </c>
      <c r="F896" t="s">
        <v>28</v>
      </c>
      <c r="G896">
        <v>1.7</v>
      </c>
      <c r="H896">
        <v>1.3</v>
      </c>
      <c r="I896" t="str" cm="1">
        <f t="array" ref="I896">_xlfn.IFS(G896&lt;3, "0–2 Years", G896&lt;6, "3–5 Years", G896&lt;9, "6–8 Years", G896&lt;12, "9-11 Years", G896&gt;=12, "12-14 Years")</f>
        <v>0–2 Years</v>
      </c>
      <c r="J896">
        <v>3</v>
      </c>
      <c r="K896" t="s">
        <v>20</v>
      </c>
      <c r="L896">
        <v>108700</v>
      </c>
      <c r="M896">
        <v>11000</v>
      </c>
      <c r="N896">
        <v>119700</v>
      </c>
      <c r="O896" t="s">
        <v>57</v>
      </c>
      <c r="P896" s="3">
        <v>45403</v>
      </c>
      <c r="Q896" t="s">
        <v>28</v>
      </c>
    </row>
    <row r="897" spans="1:17" x14ac:dyDescent="0.35">
      <c r="A897" t="s">
        <v>949</v>
      </c>
      <c r="B897" t="s">
        <v>16</v>
      </c>
      <c r="C897">
        <v>28</v>
      </c>
      <c r="D897" t="s">
        <v>55</v>
      </c>
      <c r="E897" t="s">
        <v>92</v>
      </c>
      <c r="F897" t="s">
        <v>36</v>
      </c>
      <c r="G897">
        <v>11</v>
      </c>
      <c r="H897">
        <v>5.6</v>
      </c>
      <c r="I897" t="str" cm="1">
        <f t="array" ref="I897">_xlfn.IFS(G897&lt;3, "0–2 Years", G897&lt;6, "3–5 Years", G897&lt;9, "6–8 Years", G897&lt;12, "9-11 Years", G897&gt;=12, "12-14 Years")</f>
        <v>9-11 Years</v>
      </c>
      <c r="J897">
        <v>4</v>
      </c>
      <c r="K897" t="s">
        <v>20</v>
      </c>
      <c r="L897">
        <v>105000</v>
      </c>
      <c r="M897">
        <v>8300</v>
      </c>
      <c r="N897">
        <v>113300</v>
      </c>
      <c r="O897" t="s">
        <v>57</v>
      </c>
      <c r="P897" s="3">
        <v>42012</v>
      </c>
      <c r="Q897" t="s">
        <v>36</v>
      </c>
    </row>
    <row r="898" spans="1:17" x14ac:dyDescent="0.35">
      <c r="A898" t="s">
        <v>950</v>
      </c>
      <c r="B898" t="s">
        <v>16</v>
      </c>
      <c r="C898">
        <v>41</v>
      </c>
      <c r="D898" t="s">
        <v>44</v>
      </c>
      <c r="E898" t="s">
        <v>76</v>
      </c>
      <c r="F898" t="s">
        <v>28</v>
      </c>
      <c r="G898">
        <v>3.5</v>
      </c>
      <c r="H898">
        <v>1.5</v>
      </c>
      <c r="I898" t="str" cm="1">
        <f t="array" ref="I898">_xlfn.IFS(G898&lt;3, "0–2 Years", G898&lt;6, "3–5 Years", G898&lt;9, "6–8 Years", G898&lt;12, "9-11 Years", G898&gt;=12, "12-14 Years")</f>
        <v>3–5 Years</v>
      </c>
      <c r="J898">
        <v>4</v>
      </c>
      <c r="K898" t="s">
        <v>20</v>
      </c>
      <c r="L898">
        <v>99400</v>
      </c>
      <c r="M898">
        <v>5000</v>
      </c>
      <c r="N898">
        <v>104400</v>
      </c>
      <c r="O898" t="s">
        <v>30</v>
      </c>
      <c r="P898" s="3">
        <v>44752</v>
      </c>
      <c r="Q898" t="s">
        <v>28</v>
      </c>
    </row>
    <row r="899" spans="1:17" x14ac:dyDescent="0.35">
      <c r="A899" t="s">
        <v>951</v>
      </c>
      <c r="B899" t="s">
        <v>23</v>
      </c>
      <c r="C899">
        <v>21</v>
      </c>
      <c r="D899" t="s">
        <v>44</v>
      </c>
      <c r="E899" t="s">
        <v>76</v>
      </c>
      <c r="F899" t="s">
        <v>36</v>
      </c>
      <c r="G899">
        <v>11</v>
      </c>
      <c r="H899">
        <v>7.2</v>
      </c>
      <c r="I899" t="str" cm="1">
        <f t="array" ref="I899">_xlfn.IFS(G899&lt;3, "0–2 Years", G899&lt;6, "3–5 Years", G899&lt;9, "6–8 Years", G899&lt;12, "9-11 Years", G899&gt;=12, "12-14 Years")</f>
        <v>9-11 Years</v>
      </c>
      <c r="J899">
        <v>3</v>
      </c>
      <c r="K899" t="s">
        <v>20</v>
      </c>
      <c r="L899">
        <v>111300</v>
      </c>
      <c r="M899">
        <v>11400</v>
      </c>
      <c r="N899">
        <v>122700</v>
      </c>
      <c r="O899" t="s">
        <v>57</v>
      </c>
      <c r="P899" s="3">
        <v>41989</v>
      </c>
      <c r="Q899" t="s">
        <v>36</v>
      </c>
    </row>
    <row r="900" spans="1:17" x14ac:dyDescent="0.35">
      <c r="A900" t="s">
        <v>952</v>
      </c>
      <c r="B900" t="s">
        <v>23</v>
      </c>
      <c r="C900">
        <v>21</v>
      </c>
      <c r="D900" t="s">
        <v>34</v>
      </c>
      <c r="E900" t="s">
        <v>59</v>
      </c>
      <c r="F900" t="s">
        <v>36</v>
      </c>
      <c r="G900">
        <v>10.5</v>
      </c>
      <c r="H900">
        <v>5.2</v>
      </c>
      <c r="I900" t="str" cm="1">
        <f t="array" ref="I900">_xlfn.IFS(G900&lt;3, "0–2 Years", G900&lt;6, "3–5 Years", G900&lt;9, "6–8 Years", G900&lt;12, "9-11 Years", G900&gt;=12, "12-14 Years")</f>
        <v>9-11 Years</v>
      </c>
      <c r="J900">
        <v>3</v>
      </c>
      <c r="K900" t="s">
        <v>20</v>
      </c>
      <c r="L900">
        <v>103800</v>
      </c>
      <c r="M900">
        <v>6700</v>
      </c>
      <c r="N900">
        <v>110500</v>
      </c>
      <c r="O900" t="s">
        <v>57</v>
      </c>
      <c r="P900" s="3">
        <v>42200</v>
      </c>
      <c r="Q900" t="s">
        <v>36</v>
      </c>
    </row>
    <row r="901" spans="1:17" x14ac:dyDescent="0.35">
      <c r="A901" t="s">
        <v>953</v>
      </c>
      <c r="B901" t="s">
        <v>23</v>
      </c>
      <c r="C901">
        <v>28</v>
      </c>
      <c r="D901" t="s">
        <v>34</v>
      </c>
      <c r="E901" t="s">
        <v>35</v>
      </c>
      <c r="F901" t="s">
        <v>28</v>
      </c>
      <c r="G901">
        <v>1.8</v>
      </c>
      <c r="H901">
        <v>1.7</v>
      </c>
      <c r="I901" t="str" cm="1">
        <f t="array" ref="I901">_xlfn.IFS(G901&lt;3, "0–2 Years", G901&lt;6, "3–5 Years", G901&lt;9, "6–8 Years", G901&lt;12, "9-11 Years", G901&gt;=12, "12-14 Years")</f>
        <v>0–2 Years</v>
      </c>
      <c r="J901">
        <v>2</v>
      </c>
      <c r="K901" t="s">
        <v>20</v>
      </c>
      <c r="L901">
        <v>61900</v>
      </c>
      <c r="M901">
        <v>6300</v>
      </c>
      <c r="N901">
        <v>68200</v>
      </c>
      <c r="O901" t="s">
        <v>25</v>
      </c>
      <c r="P901" s="3">
        <v>45362</v>
      </c>
      <c r="Q901" t="s">
        <v>28</v>
      </c>
    </row>
    <row r="902" spans="1:17" x14ac:dyDescent="0.35">
      <c r="A902" t="s">
        <v>954</v>
      </c>
      <c r="B902" t="s">
        <v>23</v>
      </c>
      <c r="C902">
        <v>30</v>
      </c>
      <c r="D902" t="s">
        <v>34</v>
      </c>
      <c r="E902" t="s">
        <v>35</v>
      </c>
      <c r="F902" t="s">
        <v>19</v>
      </c>
      <c r="G902">
        <v>4.8</v>
      </c>
      <c r="H902">
        <v>2.6</v>
      </c>
      <c r="I902" t="str" cm="1">
        <f t="array" ref="I902">_xlfn.IFS(G902&lt;3, "0–2 Years", G902&lt;6, "3–5 Years", G902&lt;9, "6–8 Years", G902&lt;12, "9-11 Years", G902&gt;=12, "12-14 Years")</f>
        <v>3–5 Years</v>
      </c>
      <c r="J902">
        <v>3</v>
      </c>
      <c r="K902" t="s">
        <v>24</v>
      </c>
      <c r="L902">
        <v>39900</v>
      </c>
      <c r="M902">
        <v>4600</v>
      </c>
      <c r="N902">
        <v>44500</v>
      </c>
      <c r="O902" t="s">
        <v>65</v>
      </c>
      <c r="P902" s="3">
        <v>44265</v>
      </c>
      <c r="Q902" t="s">
        <v>19</v>
      </c>
    </row>
    <row r="903" spans="1:17" x14ac:dyDescent="0.35">
      <c r="A903" t="s">
        <v>955</v>
      </c>
      <c r="B903" t="s">
        <v>23</v>
      </c>
      <c r="C903" s="7">
        <v>39</v>
      </c>
      <c r="D903" t="s">
        <v>17</v>
      </c>
      <c r="E903" t="s">
        <v>32</v>
      </c>
      <c r="F903" t="s">
        <v>28</v>
      </c>
      <c r="G903" s="9">
        <v>12.4</v>
      </c>
      <c r="H903" s="7">
        <v>7.6</v>
      </c>
      <c r="I903" t="str" cm="1">
        <f t="array" ref="I903">_xlfn.IFS(G903&lt;3, "0–2 Years", G903&lt;6, "3–5 Years", G903&lt;9, "6–8 Years", G903&lt;12, "9-11 Years", G903&gt;=12, "12-14 Years")</f>
        <v>12-14 Years</v>
      </c>
      <c r="J903" s="7">
        <v>3</v>
      </c>
      <c r="K903" t="s">
        <v>20</v>
      </c>
      <c r="L903" s="7">
        <v>82600</v>
      </c>
      <c r="M903" s="7">
        <v>10200</v>
      </c>
      <c r="N903" s="7">
        <v>92800</v>
      </c>
      <c r="O903" t="s">
        <v>30</v>
      </c>
      <c r="P903" s="3">
        <v>41511</v>
      </c>
      <c r="Q903" t="s">
        <v>28</v>
      </c>
    </row>
    <row r="904" spans="1:17" x14ac:dyDescent="0.35">
      <c r="A904" t="s">
        <v>956</v>
      </c>
      <c r="B904" t="s">
        <v>23</v>
      </c>
      <c r="C904">
        <v>35</v>
      </c>
      <c r="D904" t="s">
        <v>38</v>
      </c>
      <c r="E904" t="s">
        <v>61</v>
      </c>
      <c r="F904" t="s">
        <v>28</v>
      </c>
      <c r="G904">
        <v>6.5</v>
      </c>
      <c r="H904">
        <v>3.9</v>
      </c>
      <c r="I904" t="str" cm="1">
        <f t="array" ref="I904">_xlfn.IFS(G904&lt;3, "0–2 Years", G904&lt;6, "3–5 Years", G904&lt;9, "6–8 Years", G904&lt;12, "9-11 Years", G904&gt;=12, "12-14 Years")</f>
        <v>6–8 Years</v>
      </c>
      <c r="J904">
        <v>3</v>
      </c>
      <c r="K904" t="s">
        <v>20</v>
      </c>
      <c r="L904">
        <v>94200</v>
      </c>
      <c r="M904">
        <v>6200</v>
      </c>
      <c r="N904">
        <v>100400</v>
      </c>
      <c r="O904" t="s">
        <v>30</v>
      </c>
      <c r="P904" s="3">
        <v>43661</v>
      </c>
      <c r="Q904" t="s">
        <v>28</v>
      </c>
    </row>
    <row r="905" spans="1:17" x14ac:dyDescent="0.35">
      <c r="A905" t="s">
        <v>957</v>
      </c>
      <c r="B905" t="s">
        <v>23</v>
      </c>
      <c r="C905">
        <v>33</v>
      </c>
      <c r="D905" t="s">
        <v>41</v>
      </c>
      <c r="E905" t="s">
        <v>67</v>
      </c>
      <c r="F905" t="s">
        <v>36</v>
      </c>
      <c r="G905">
        <v>7.8</v>
      </c>
      <c r="H905">
        <v>4.8</v>
      </c>
      <c r="I905" t="str" cm="1">
        <f t="array" ref="I905">_xlfn.IFS(G905&lt;3, "0–2 Years", G905&lt;6, "3–5 Years", G905&lt;9, "6–8 Years", G905&lt;12, "9-11 Years", G905&gt;=12, "12-14 Years")</f>
        <v>6–8 Years</v>
      </c>
      <c r="J905">
        <v>3</v>
      </c>
      <c r="K905" t="s">
        <v>20</v>
      </c>
      <c r="L905">
        <v>80900</v>
      </c>
      <c r="M905">
        <v>3100</v>
      </c>
      <c r="N905">
        <v>84000</v>
      </c>
      <c r="O905" t="s">
        <v>30</v>
      </c>
      <c r="P905" s="3">
        <v>43186</v>
      </c>
      <c r="Q905" t="s">
        <v>36</v>
      </c>
    </row>
    <row r="906" spans="1:17" x14ac:dyDescent="0.35">
      <c r="A906" t="s">
        <v>958</v>
      </c>
      <c r="B906" t="s">
        <v>16</v>
      </c>
      <c r="C906">
        <v>44</v>
      </c>
      <c r="D906" t="s">
        <v>38</v>
      </c>
      <c r="E906" t="s">
        <v>61</v>
      </c>
      <c r="F906" t="s">
        <v>19</v>
      </c>
      <c r="G906">
        <v>8.5</v>
      </c>
      <c r="H906">
        <v>4.5</v>
      </c>
      <c r="I906" t="str" cm="1">
        <f t="array" ref="I906">_xlfn.IFS(G906&lt;3, "0–2 Years", G906&lt;6, "3–5 Years", G906&lt;9, "6–8 Years", G906&lt;12, "9-11 Years", G906&gt;=12, "12-14 Years")</f>
        <v>6–8 Years</v>
      </c>
      <c r="J906">
        <v>4</v>
      </c>
      <c r="K906" t="s">
        <v>20</v>
      </c>
      <c r="L906">
        <v>99900</v>
      </c>
      <c r="M906">
        <v>9000</v>
      </c>
      <c r="N906">
        <v>108900</v>
      </c>
      <c r="O906" t="s">
        <v>30</v>
      </c>
      <c r="P906" s="3">
        <v>42917</v>
      </c>
      <c r="Q906" t="s">
        <v>19</v>
      </c>
    </row>
    <row r="907" spans="1:17" x14ac:dyDescent="0.35">
      <c r="A907" t="s">
        <v>959</v>
      </c>
      <c r="B907" t="s">
        <v>16</v>
      </c>
      <c r="C907">
        <v>37</v>
      </c>
      <c r="D907" t="s">
        <v>17</v>
      </c>
      <c r="E907" t="s">
        <v>18</v>
      </c>
      <c r="F907" t="s">
        <v>36</v>
      </c>
      <c r="G907">
        <v>2.6</v>
      </c>
      <c r="H907">
        <v>0.3</v>
      </c>
      <c r="I907" t="str" cm="1">
        <f t="array" ref="I907">_xlfn.IFS(G907&lt;3, "0–2 Years", G907&lt;6, "3–5 Years", G907&lt;9, "6–8 Years", G907&lt;12, "9-11 Years", G907&gt;=12, "12-14 Years")</f>
        <v>0–2 Years</v>
      </c>
      <c r="J907">
        <v>3</v>
      </c>
      <c r="K907" t="s">
        <v>20</v>
      </c>
      <c r="L907">
        <v>85100</v>
      </c>
      <c r="M907">
        <v>11100</v>
      </c>
      <c r="N907">
        <v>96200</v>
      </c>
      <c r="O907" t="s">
        <v>30</v>
      </c>
      <c r="P907" s="3">
        <v>45077</v>
      </c>
      <c r="Q907" t="s">
        <v>36</v>
      </c>
    </row>
    <row r="908" spans="1:17" x14ac:dyDescent="0.35">
      <c r="A908" t="s">
        <v>960</v>
      </c>
      <c r="B908" t="s">
        <v>16</v>
      </c>
      <c r="C908">
        <v>27</v>
      </c>
      <c r="D908" t="s">
        <v>34</v>
      </c>
      <c r="E908" t="s">
        <v>35</v>
      </c>
      <c r="F908" t="s">
        <v>62</v>
      </c>
      <c r="G908">
        <v>5.5</v>
      </c>
      <c r="H908">
        <v>1.6</v>
      </c>
      <c r="I908" t="str" cm="1">
        <f t="array" ref="I908">_xlfn.IFS(G908&lt;3, "0–2 Years", G908&lt;6, "3–5 Years", G908&lt;9, "6–8 Years", G908&lt;12, "9-11 Years", G908&gt;=12, "12-14 Years")</f>
        <v>3–5 Years</v>
      </c>
      <c r="J908">
        <v>3</v>
      </c>
      <c r="K908" t="s">
        <v>20</v>
      </c>
      <c r="L908">
        <v>88300</v>
      </c>
      <c r="M908">
        <v>7900</v>
      </c>
      <c r="N908">
        <v>96200</v>
      </c>
      <c r="O908" t="s">
        <v>30</v>
      </c>
      <c r="P908" s="3">
        <v>44003</v>
      </c>
      <c r="Q908" t="s">
        <v>62</v>
      </c>
    </row>
    <row r="909" spans="1:17" x14ac:dyDescent="0.35">
      <c r="A909" t="s">
        <v>961</v>
      </c>
      <c r="B909" t="s">
        <v>16</v>
      </c>
      <c r="C909">
        <v>47</v>
      </c>
      <c r="D909" t="s">
        <v>38</v>
      </c>
      <c r="E909" t="s">
        <v>61</v>
      </c>
      <c r="F909" t="s">
        <v>28</v>
      </c>
      <c r="G909">
        <v>10.4</v>
      </c>
      <c r="H909">
        <v>7.6</v>
      </c>
      <c r="I909" t="str" cm="1">
        <f t="array" ref="I909">_xlfn.IFS(G909&lt;3, "0–2 Years", G909&lt;6, "3–5 Years", G909&lt;9, "6–8 Years", G909&lt;12, "9-11 Years", G909&gt;=12, "12-14 Years")</f>
        <v>9-11 Years</v>
      </c>
      <c r="J909">
        <v>3</v>
      </c>
      <c r="K909" t="s">
        <v>20</v>
      </c>
      <c r="L909">
        <v>106700</v>
      </c>
      <c r="M909">
        <v>9400</v>
      </c>
      <c r="N909">
        <v>116100</v>
      </c>
      <c r="O909" t="s">
        <v>57</v>
      </c>
      <c r="P909" s="3">
        <v>42235</v>
      </c>
      <c r="Q909" t="s">
        <v>28</v>
      </c>
    </row>
    <row r="910" spans="1:17" x14ac:dyDescent="0.35">
      <c r="A910" t="s">
        <v>962</v>
      </c>
      <c r="B910" t="s">
        <v>16</v>
      </c>
      <c r="C910">
        <v>35</v>
      </c>
      <c r="D910" t="s">
        <v>38</v>
      </c>
      <c r="E910" t="s">
        <v>112</v>
      </c>
      <c r="F910" t="s">
        <v>28</v>
      </c>
      <c r="G910">
        <v>9.4</v>
      </c>
      <c r="H910">
        <v>7</v>
      </c>
      <c r="I910" t="str" cm="1">
        <f t="array" ref="I910">_xlfn.IFS(G910&lt;3, "0–2 Years", G910&lt;6, "3–5 Years", G910&lt;9, "6–8 Years", G910&lt;12, "9-11 Years", G910&gt;=12, "12-14 Years")</f>
        <v>9-11 Years</v>
      </c>
      <c r="J910">
        <v>3</v>
      </c>
      <c r="K910" t="s">
        <v>20</v>
      </c>
      <c r="L910">
        <v>64200</v>
      </c>
      <c r="M910">
        <v>3000</v>
      </c>
      <c r="N910">
        <v>67200</v>
      </c>
      <c r="O910" t="s">
        <v>25</v>
      </c>
      <c r="P910" s="3">
        <v>42584</v>
      </c>
      <c r="Q910" t="s">
        <v>28</v>
      </c>
    </row>
    <row r="911" spans="1:17" x14ac:dyDescent="0.35">
      <c r="A911" t="s">
        <v>963</v>
      </c>
      <c r="B911" t="s">
        <v>23</v>
      </c>
      <c r="C911">
        <v>38</v>
      </c>
      <c r="D911" t="s">
        <v>41</v>
      </c>
      <c r="E911" t="s">
        <v>42</v>
      </c>
      <c r="F911" t="s">
        <v>28</v>
      </c>
      <c r="G911">
        <v>11.1</v>
      </c>
      <c r="H911">
        <v>6.5</v>
      </c>
      <c r="I911" t="str" cm="1">
        <f t="array" ref="I911">_xlfn.IFS(G911&lt;3, "0–2 Years", G911&lt;6, "3–5 Years", G911&lt;9, "6–8 Years", G911&lt;12, "9-11 Years", G911&gt;=12, "12-14 Years")</f>
        <v>9-11 Years</v>
      </c>
      <c r="J911">
        <v>3</v>
      </c>
      <c r="K911" t="s">
        <v>20</v>
      </c>
      <c r="L911">
        <v>80900</v>
      </c>
      <c r="M911">
        <v>4800</v>
      </c>
      <c r="N911">
        <v>85700</v>
      </c>
      <c r="O911" t="s">
        <v>30</v>
      </c>
      <c r="P911" s="3">
        <v>41969</v>
      </c>
      <c r="Q911" t="s">
        <v>28</v>
      </c>
    </row>
    <row r="912" spans="1:17" x14ac:dyDescent="0.35">
      <c r="A912" t="s">
        <v>964</v>
      </c>
      <c r="B912" t="s">
        <v>23</v>
      </c>
      <c r="C912">
        <v>28</v>
      </c>
      <c r="D912" t="s">
        <v>17</v>
      </c>
      <c r="E912" t="s">
        <v>27</v>
      </c>
      <c r="F912" t="s">
        <v>36</v>
      </c>
      <c r="G912">
        <v>6.8</v>
      </c>
      <c r="H912">
        <v>4.5</v>
      </c>
      <c r="I912" t="str" cm="1">
        <f t="array" ref="I912">_xlfn.IFS(G912&lt;3, "0–2 Years", G912&lt;6, "3–5 Years", G912&lt;9, "6–8 Years", G912&lt;12, "9-11 Years", G912&gt;=12, "12-14 Years")</f>
        <v>6–8 Years</v>
      </c>
      <c r="J912">
        <v>3</v>
      </c>
      <c r="K912" t="s">
        <v>20</v>
      </c>
      <c r="L912">
        <v>82400</v>
      </c>
      <c r="M912">
        <v>9100</v>
      </c>
      <c r="N912">
        <v>91500</v>
      </c>
      <c r="O912" t="s">
        <v>30</v>
      </c>
      <c r="P912" s="3">
        <v>43535</v>
      </c>
      <c r="Q912" t="s">
        <v>36</v>
      </c>
    </row>
    <row r="913" spans="1:17" x14ac:dyDescent="0.35">
      <c r="A913" t="s">
        <v>965</v>
      </c>
      <c r="B913" t="s">
        <v>23</v>
      </c>
      <c r="C913">
        <v>37</v>
      </c>
      <c r="D913" t="s">
        <v>44</v>
      </c>
      <c r="E913" t="s">
        <v>76</v>
      </c>
      <c r="F913" t="s">
        <v>28</v>
      </c>
      <c r="G913">
        <v>9.6</v>
      </c>
      <c r="H913">
        <v>7.9</v>
      </c>
      <c r="I913" t="str" cm="1">
        <f t="array" ref="I913">_xlfn.IFS(G913&lt;3, "0–2 Years", G913&lt;6, "3–5 Years", G913&lt;9, "6–8 Years", G913&lt;12, "9-11 Years", G913&gt;=12, "12-14 Years")</f>
        <v>9-11 Years</v>
      </c>
      <c r="J913">
        <v>3</v>
      </c>
      <c r="K913" t="s">
        <v>20</v>
      </c>
      <c r="L913">
        <v>114100</v>
      </c>
      <c r="M913">
        <v>8700</v>
      </c>
      <c r="N913">
        <v>122800</v>
      </c>
      <c r="O913" t="s">
        <v>57</v>
      </c>
      <c r="P913" s="3">
        <v>42516</v>
      </c>
      <c r="Q913" t="s">
        <v>28</v>
      </c>
    </row>
    <row r="914" spans="1:17" x14ac:dyDescent="0.35">
      <c r="A914" t="s">
        <v>966</v>
      </c>
      <c r="B914" t="s">
        <v>16</v>
      </c>
      <c r="C914">
        <v>32</v>
      </c>
      <c r="D914" t="s">
        <v>38</v>
      </c>
      <c r="E914" t="s">
        <v>39</v>
      </c>
      <c r="F914" t="s">
        <v>36</v>
      </c>
      <c r="G914">
        <v>6.9</v>
      </c>
      <c r="H914">
        <v>3.9</v>
      </c>
      <c r="I914" t="str" cm="1">
        <f t="array" ref="I914">_xlfn.IFS(G914&lt;3, "0–2 Years", G914&lt;6, "3–5 Years", G914&lt;9, "6–8 Years", G914&lt;12, "9-11 Years", G914&gt;=12, "12-14 Years")</f>
        <v>6–8 Years</v>
      </c>
      <c r="J914">
        <v>3</v>
      </c>
      <c r="K914" t="s">
        <v>20</v>
      </c>
      <c r="L914">
        <v>90300</v>
      </c>
      <c r="M914">
        <v>8300</v>
      </c>
      <c r="N914">
        <v>98600</v>
      </c>
      <c r="O914" t="s">
        <v>30</v>
      </c>
      <c r="P914" s="3">
        <v>43491</v>
      </c>
      <c r="Q914" t="s">
        <v>36</v>
      </c>
    </row>
    <row r="915" spans="1:17" x14ac:dyDescent="0.35">
      <c r="A915" t="s">
        <v>967</v>
      </c>
      <c r="B915" t="s">
        <v>16</v>
      </c>
      <c r="C915">
        <v>31</v>
      </c>
      <c r="D915" t="s">
        <v>34</v>
      </c>
      <c r="E915" t="s">
        <v>35</v>
      </c>
      <c r="F915" t="s">
        <v>36</v>
      </c>
      <c r="G915">
        <v>9.8000000000000007</v>
      </c>
      <c r="H915">
        <v>6.4</v>
      </c>
      <c r="I915" t="str" cm="1">
        <f t="array" ref="I915">_xlfn.IFS(G915&lt;3, "0–2 Years", G915&lt;6, "3–5 Years", G915&lt;9, "6–8 Years", G915&lt;12, "9-11 Years", G915&gt;=12, "12-14 Years")</f>
        <v>9-11 Years</v>
      </c>
      <c r="J915">
        <v>3</v>
      </c>
      <c r="K915" t="s">
        <v>20</v>
      </c>
      <c r="L915">
        <v>87600</v>
      </c>
      <c r="M915">
        <v>8700</v>
      </c>
      <c r="N915">
        <v>96300</v>
      </c>
      <c r="O915" t="s">
        <v>30</v>
      </c>
      <c r="P915" s="3">
        <v>42445</v>
      </c>
      <c r="Q915" t="s">
        <v>36</v>
      </c>
    </row>
    <row r="916" spans="1:17" x14ac:dyDescent="0.35">
      <c r="A916" t="s">
        <v>968</v>
      </c>
      <c r="B916" t="s">
        <v>23</v>
      </c>
      <c r="C916" s="7">
        <v>33</v>
      </c>
      <c r="D916" t="s">
        <v>55</v>
      </c>
      <c r="E916" t="s">
        <v>56</v>
      </c>
      <c r="F916" t="s">
        <v>36</v>
      </c>
      <c r="G916" s="9">
        <v>12.4</v>
      </c>
      <c r="H916" s="7">
        <v>8.6999999999999993</v>
      </c>
      <c r="I916" t="str" cm="1">
        <f t="array" ref="I916">_xlfn.IFS(G916&lt;3, "0–2 Years", G916&lt;6, "3–5 Years", G916&lt;9, "6–8 Years", G916&lt;12, "9-11 Years", G916&gt;=12, "12-14 Years")</f>
        <v>12-14 Years</v>
      </c>
      <c r="J916" s="7">
        <v>4</v>
      </c>
      <c r="K916" t="s">
        <v>20</v>
      </c>
      <c r="L916" s="7">
        <v>103600</v>
      </c>
      <c r="M916" s="7">
        <v>11300</v>
      </c>
      <c r="N916" s="7">
        <v>114900</v>
      </c>
      <c r="O916" t="s">
        <v>57</v>
      </c>
      <c r="P916" s="3">
        <v>41489</v>
      </c>
      <c r="Q916" t="s">
        <v>36</v>
      </c>
    </row>
    <row r="917" spans="1:17" x14ac:dyDescent="0.35">
      <c r="A917" t="s">
        <v>969</v>
      </c>
      <c r="B917" t="s">
        <v>23</v>
      </c>
      <c r="C917">
        <v>21</v>
      </c>
      <c r="D917" t="s">
        <v>44</v>
      </c>
      <c r="E917" t="s">
        <v>45</v>
      </c>
      <c r="F917" t="s">
        <v>28</v>
      </c>
      <c r="G917">
        <v>4.7</v>
      </c>
      <c r="H917">
        <v>1.1000000000000001</v>
      </c>
      <c r="I917" t="str" cm="1">
        <f t="array" ref="I917">_xlfn.IFS(G917&lt;3, "0–2 Years", G917&lt;6, "3–5 Years", G917&lt;9, "6–8 Years", G917&lt;12, "9-11 Years", G917&gt;=12, "12-14 Years")</f>
        <v>3–5 Years</v>
      </c>
      <c r="J917">
        <v>4</v>
      </c>
      <c r="K917" t="s">
        <v>20</v>
      </c>
      <c r="L917">
        <v>77000</v>
      </c>
      <c r="M917">
        <v>11000</v>
      </c>
      <c r="N917">
        <v>88000</v>
      </c>
      <c r="O917" t="s">
        <v>21</v>
      </c>
      <c r="P917" s="3">
        <v>44296</v>
      </c>
      <c r="Q917" t="s">
        <v>28</v>
      </c>
    </row>
    <row r="918" spans="1:17" x14ac:dyDescent="0.35">
      <c r="A918" t="s">
        <v>970</v>
      </c>
      <c r="B918" t="s">
        <v>23</v>
      </c>
      <c r="C918">
        <v>38</v>
      </c>
      <c r="D918" t="s">
        <v>55</v>
      </c>
      <c r="E918" t="s">
        <v>79</v>
      </c>
      <c r="F918" t="s">
        <v>28</v>
      </c>
      <c r="G918">
        <v>4.7</v>
      </c>
      <c r="H918">
        <v>2.2000000000000002</v>
      </c>
      <c r="I918" t="str" cm="1">
        <f t="array" ref="I918">_xlfn.IFS(G918&lt;3, "0–2 Years", G918&lt;6, "3–5 Years", G918&lt;9, "6–8 Years", G918&lt;12, "9-11 Years", G918&gt;=12, "12-14 Years")</f>
        <v>3–5 Years</v>
      </c>
      <c r="J918">
        <v>4</v>
      </c>
      <c r="K918" t="s">
        <v>20</v>
      </c>
      <c r="L918">
        <v>55100</v>
      </c>
      <c r="M918">
        <v>11000</v>
      </c>
      <c r="N918">
        <v>66100</v>
      </c>
      <c r="O918" t="s">
        <v>25</v>
      </c>
      <c r="P918" s="3">
        <v>44317</v>
      </c>
      <c r="Q918" t="s">
        <v>28</v>
      </c>
    </row>
    <row r="919" spans="1:17" x14ac:dyDescent="0.35">
      <c r="A919" t="s">
        <v>971</v>
      </c>
      <c r="B919" t="s">
        <v>23</v>
      </c>
      <c r="C919">
        <v>40</v>
      </c>
      <c r="D919" t="s">
        <v>38</v>
      </c>
      <c r="E919" t="s">
        <v>61</v>
      </c>
      <c r="F919" t="s">
        <v>28</v>
      </c>
      <c r="G919">
        <v>2</v>
      </c>
      <c r="H919">
        <v>0</v>
      </c>
      <c r="I919" t="str" cm="1">
        <f t="array" ref="I919">_xlfn.IFS(G919&lt;3, "0–2 Years", G919&lt;6, "3–5 Years", G919&lt;9, "6–8 Years", G919&lt;12, "9-11 Years", G919&gt;=12, "12-14 Years")</f>
        <v>0–2 Years</v>
      </c>
      <c r="J919">
        <v>3</v>
      </c>
      <c r="K919" t="s">
        <v>20</v>
      </c>
      <c r="L919">
        <v>76600</v>
      </c>
      <c r="M919">
        <v>5800</v>
      </c>
      <c r="N919">
        <v>82400</v>
      </c>
      <c r="O919" t="s">
        <v>21</v>
      </c>
      <c r="P919" s="3">
        <v>45296</v>
      </c>
      <c r="Q919" t="s">
        <v>28</v>
      </c>
    </row>
    <row r="920" spans="1:17" x14ac:dyDescent="0.35">
      <c r="A920" t="s">
        <v>972</v>
      </c>
      <c r="B920" t="s">
        <v>23</v>
      </c>
      <c r="C920">
        <v>42</v>
      </c>
      <c r="D920" t="s">
        <v>55</v>
      </c>
      <c r="E920" t="s">
        <v>92</v>
      </c>
      <c r="F920" t="s">
        <v>19</v>
      </c>
      <c r="G920">
        <v>5</v>
      </c>
      <c r="H920">
        <v>4.5999999999999996</v>
      </c>
      <c r="I920" t="str" cm="1">
        <f t="array" ref="I920">_xlfn.IFS(G920&lt;3, "0–2 Years", G920&lt;6, "3–5 Years", G920&lt;9, "6–8 Years", G920&lt;12, "9-11 Years", G920&gt;=12, "12-14 Years")</f>
        <v>3–5 Years</v>
      </c>
      <c r="J920">
        <v>5</v>
      </c>
      <c r="K920" t="s">
        <v>20</v>
      </c>
      <c r="L920">
        <v>92700</v>
      </c>
      <c r="M920">
        <v>17700</v>
      </c>
      <c r="N920">
        <v>110400</v>
      </c>
      <c r="O920" t="s">
        <v>30</v>
      </c>
      <c r="P920" s="3">
        <v>44198</v>
      </c>
      <c r="Q920" t="s">
        <v>19</v>
      </c>
    </row>
    <row r="921" spans="1:17" x14ac:dyDescent="0.35">
      <c r="A921" t="s">
        <v>973</v>
      </c>
      <c r="B921" t="s">
        <v>16</v>
      </c>
      <c r="C921">
        <v>40</v>
      </c>
      <c r="D921" t="s">
        <v>44</v>
      </c>
      <c r="E921" t="s">
        <v>45</v>
      </c>
      <c r="F921" t="s">
        <v>62</v>
      </c>
      <c r="G921">
        <v>5.2</v>
      </c>
      <c r="H921">
        <v>3</v>
      </c>
      <c r="I921" t="str" cm="1">
        <f t="array" ref="I921">_xlfn.IFS(G921&lt;3, "0–2 Years", G921&lt;6, "3–5 Years", G921&lt;9, "6–8 Years", G921&lt;12, "9-11 Years", G921&gt;=12, "12-14 Years")</f>
        <v>3–5 Years</v>
      </c>
      <c r="J921">
        <v>3</v>
      </c>
      <c r="K921" t="s">
        <v>20</v>
      </c>
      <c r="L921">
        <v>74700</v>
      </c>
      <c r="M921">
        <v>11000</v>
      </c>
      <c r="N921">
        <v>85700</v>
      </c>
      <c r="O921" t="s">
        <v>21</v>
      </c>
      <c r="P921" s="3">
        <v>44123</v>
      </c>
      <c r="Q921" t="s">
        <v>62</v>
      </c>
    </row>
    <row r="922" spans="1:17" x14ac:dyDescent="0.35">
      <c r="A922" t="s">
        <v>974</v>
      </c>
      <c r="B922" t="s">
        <v>16</v>
      </c>
      <c r="C922">
        <v>45</v>
      </c>
      <c r="D922" t="s">
        <v>44</v>
      </c>
      <c r="E922" t="s">
        <v>81</v>
      </c>
      <c r="F922" t="s">
        <v>28</v>
      </c>
      <c r="G922">
        <v>1.6</v>
      </c>
      <c r="H922">
        <v>0</v>
      </c>
      <c r="I922" t="str" cm="1">
        <f t="array" ref="I922">_xlfn.IFS(G922&lt;3, "0–2 Years", G922&lt;6, "3–5 Years", G922&lt;9, "6–8 Years", G922&lt;12, "9-11 Years", G922&gt;=12, "12-14 Years")</f>
        <v>0–2 Years</v>
      </c>
      <c r="J922">
        <v>3</v>
      </c>
      <c r="K922" t="s">
        <v>69</v>
      </c>
      <c r="L922">
        <v>80300</v>
      </c>
      <c r="M922">
        <v>6400</v>
      </c>
      <c r="N922">
        <v>86700</v>
      </c>
      <c r="O922" t="s">
        <v>30</v>
      </c>
      <c r="P922" s="3">
        <v>45428</v>
      </c>
      <c r="Q922" t="s">
        <v>28</v>
      </c>
    </row>
    <row r="923" spans="1:17" x14ac:dyDescent="0.35">
      <c r="A923" t="s">
        <v>975</v>
      </c>
      <c r="B923" t="s">
        <v>23</v>
      </c>
      <c r="C923" s="7">
        <v>36</v>
      </c>
      <c r="D923" t="s">
        <v>34</v>
      </c>
      <c r="E923" t="s">
        <v>59</v>
      </c>
      <c r="F923" t="s">
        <v>28</v>
      </c>
      <c r="G923" s="9">
        <v>13.1</v>
      </c>
      <c r="H923" s="7">
        <v>8.8000000000000007</v>
      </c>
      <c r="I923" t="str" cm="1">
        <f t="array" ref="I923">_xlfn.IFS(G923&lt;3, "0–2 Years", G923&lt;6, "3–5 Years", G923&lt;9, "6–8 Years", G923&lt;12, "9-11 Years", G923&gt;=12, "12-14 Years")</f>
        <v>12-14 Years</v>
      </c>
      <c r="J923" s="7">
        <v>5</v>
      </c>
      <c r="K923" t="s">
        <v>20</v>
      </c>
      <c r="L923" s="7">
        <v>124000</v>
      </c>
      <c r="M923" s="7">
        <v>10700</v>
      </c>
      <c r="N923" s="7">
        <v>134700</v>
      </c>
      <c r="O923" t="s">
        <v>57</v>
      </c>
      <c r="P923" s="3">
        <v>41232</v>
      </c>
      <c r="Q923" t="s">
        <v>28</v>
      </c>
    </row>
    <row r="924" spans="1:17" x14ac:dyDescent="0.35">
      <c r="A924" t="s">
        <v>976</v>
      </c>
      <c r="B924" t="s">
        <v>23</v>
      </c>
      <c r="C924">
        <v>33</v>
      </c>
      <c r="D924" t="s">
        <v>34</v>
      </c>
      <c r="E924" t="s">
        <v>59</v>
      </c>
      <c r="F924" t="s">
        <v>28</v>
      </c>
      <c r="G924">
        <v>5.9</v>
      </c>
      <c r="H924">
        <v>4.4000000000000004</v>
      </c>
      <c r="I924" t="str" cm="1">
        <f t="array" ref="I924">_xlfn.IFS(G924&lt;3, "0–2 Years", G924&lt;6, "3–5 Years", G924&lt;9, "6–8 Years", G924&lt;12, "9-11 Years", G924&gt;=12, "12-14 Years")</f>
        <v>3–5 Years</v>
      </c>
      <c r="J924">
        <v>2</v>
      </c>
      <c r="K924" t="s">
        <v>24</v>
      </c>
      <c r="L924">
        <v>62700</v>
      </c>
      <c r="M924">
        <v>3000</v>
      </c>
      <c r="N924">
        <v>65700</v>
      </c>
      <c r="O924" t="s">
        <v>25</v>
      </c>
      <c r="P924" s="3">
        <v>43882</v>
      </c>
      <c r="Q924" t="s">
        <v>28</v>
      </c>
    </row>
    <row r="925" spans="1:17" x14ac:dyDescent="0.35">
      <c r="A925" t="s">
        <v>977</v>
      </c>
      <c r="B925" t="s">
        <v>23</v>
      </c>
      <c r="C925">
        <v>39</v>
      </c>
      <c r="D925" t="s">
        <v>38</v>
      </c>
      <c r="E925" t="s">
        <v>39</v>
      </c>
      <c r="F925" t="s">
        <v>36</v>
      </c>
      <c r="G925">
        <v>4.0999999999999996</v>
      </c>
      <c r="H925">
        <v>2.7</v>
      </c>
      <c r="I925" t="str" cm="1">
        <f t="array" ref="I925">_xlfn.IFS(G925&lt;3, "0–2 Years", G925&lt;6, "3–5 Years", G925&lt;9, "6–8 Years", G925&lt;12, "9-11 Years", G925&gt;=12, "12-14 Years")</f>
        <v>3–5 Years</v>
      </c>
      <c r="J925">
        <v>4</v>
      </c>
      <c r="K925" t="s">
        <v>20</v>
      </c>
      <c r="L925">
        <v>87700</v>
      </c>
      <c r="M925">
        <v>8800</v>
      </c>
      <c r="N925">
        <v>96500</v>
      </c>
      <c r="O925" t="s">
        <v>30</v>
      </c>
      <c r="P925" s="3">
        <v>44541</v>
      </c>
      <c r="Q925" t="s">
        <v>36</v>
      </c>
    </row>
    <row r="926" spans="1:17" x14ac:dyDescent="0.35">
      <c r="A926" t="s">
        <v>978</v>
      </c>
      <c r="B926" t="s">
        <v>16</v>
      </c>
      <c r="C926">
        <v>42</v>
      </c>
      <c r="D926" t="s">
        <v>38</v>
      </c>
      <c r="E926" t="s">
        <v>39</v>
      </c>
      <c r="F926" t="s">
        <v>28</v>
      </c>
      <c r="G926">
        <v>7.6</v>
      </c>
      <c r="H926">
        <v>5.8</v>
      </c>
      <c r="I926" t="str" cm="1">
        <f t="array" ref="I926">_xlfn.IFS(G926&lt;3, "0–2 Years", G926&lt;6, "3–5 Years", G926&lt;9, "6–8 Years", G926&lt;12, "9-11 Years", G926&gt;=12, "12-14 Years")</f>
        <v>6–8 Years</v>
      </c>
      <c r="J926">
        <v>2</v>
      </c>
      <c r="K926" t="s">
        <v>24</v>
      </c>
      <c r="L926">
        <v>47800</v>
      </c>
      <c r="M926">
        <v>1900</v>
      </c>
      <c r="N926">
        <v>49700</v>
      </c>
      <c r="O926" t="s">
        <v>65</v>
      </c>
      <c r="P926" s="3">
        <v>43246</v>
      </c>
      <c r="Q926" t="s">
        <v>28</v>
      </c>
    </row>
    <row r="927" spans="1:17" x14ac:dyDescent="0.35">
      <c r="A927" t="s">
        <v>979</v>
      </c>
      <c r="B927" t="s">
        <v>16</v>
      </c>
      <c r="C927">
        <v>32</v>
      </c>
      <c r="D927" t="s">
        <v>38</v>
      </c>
      <c r="E927" t="s">
        <v>112</v>
      </c>
      <c r="F927" t="s">
        <v>28</v>
      </c>
      <c r="G927">
        <v>4.5</v>
      </c>
      <c r="H927">
        <v>3.3</v>
      </c>
      <c r="I927" t="str" cm="1">
        <f t="array" ref="I927">_xlfn.IFS(G927&lt;3, "0–2 Years", G927&lt;6, "3–5 Years", G927&lt;9, "6–8 Years", G927&lt;12, "9-11 Years", G927&gt;=12, "12-14 Years")</f>
        <v>3–5 Years</v>
      </c>
      <c r="J927">
        <v>4</v>
      </c>
      <c r="K927" t="s">
        <v>20</v>
      </c>
      <c r="L927">
        <v>74800</v>
      </c>
      <c r="M927">
        <v>7700</v>
      </c>
      <c r="N927">
        <v>82500</v>
      </c>
      <c r="O927" t="s">
        <v>21</v>
      </c>
      <c r="P927" s="3">
        <v>44371</v>
      </c>
      <c r="Q927" t="s">
        <v>28</v>
      </c>
    </row>
    <row r="928" spans="1:17" x14ac:dyDescent="0.35">
      <c r="A928" t="s">
        <v>980</v>
      </c>
      <c r="B928" t="s">
        <v>16</v>
      </c>
      <c r="C928">
        <v>40</v>
      </c>
      <c r="D928" t="s">
        <v>41</v>
      </c>
      <c r="E928" t="s">
        <v>67</v>
      </c>
      <c r="F928" t="s">
        <v>36</v>
      </c>
      <c r="G928">
        <v>11.8</v>
      </c>
      <c r="H928">
        <v>7.5</v>
      </c>
      <c r="I928" t="str" cm="1">
        <f t="array" ref="I928">_xlfn.IFS(G928&lt;3, "0–2 Years", G928&lt;6, "3–5 Years", G928&lt;9, "6–8 Years", G928&lt;12, "9-11 Years", G928&gt;=12, "12-14 Years")</f>
        <v>9-11 Years</v>
      </c>
      <c r="J928">
        <v>3</v>
      </c>
      <c r="K928" t="s">
        <v>24</v>
      </c>
      <c r="L928">
        <v>46400</v>
      </c>
      <c r="M928">
        <v>2300</v>
      </c>
      <c r="N928">
        <v>48700</v>
      </c>
      <c r="O928" t="s">
        <v>65</v>
      </c>
      <c r="P928" s="3">
        <v>41713</v>
      </c>
      <c r="Q928" t="s">
        <v>36</v>
      </c>
    </row>
    <row r="929" spans="1:17" x14ac:dyDescent="0.35">
      <c r="A929" t="s">
        <v>981</v>
      </c>
      <c r="B929" t="s">
        <v>16</v>
      </c>
      <c r="C929" s="7">
        <v>48</v>
      </c>
      <c r="D929" t="s">
        <v>38</v>
      </c>
      <c r="E929" t="s">
        <v>112</v>
      </c>
      <c r="F929" t="s">
        <v>36</v>
      </c>
      <c r="G929" s="9">
        <v>14</v>
      </c>
      <c r="H929" s="7">
        <v>8.6</v>
      </c>
      <c r="I929" t="str" cm="1">
        <f t="array" ref="I929">_xlfn.IFS(G929&lt;3, "0–2 Years", G929&lt;6, "3–5 Years", G929&lt;9, "6–8 Years", G929&lt;12, "9-11 Years", G929&gt;=12, "12-14 Years")</f>
        <v>12-14 Years</v>
      </c>
      <c r="J929" s="7">
        <v>2</v>
      </c>
      <c r="K929" t="s">
        <v>20</v>
      </c>
      <c r="L929" s="7">
        <v>53900</v>
      </c>
      <c r="M929" s="7">
        <v>2200</v>
      </c>
      <c r="N929" s="7">
        <v>56100</v>
      </c>
      <c r="O929" t="s">
        <v>25</v>
      </c>
      <c r="P929" s="3">
        <v>40923</v>
      </c>
      <c r="Q929" t="s">
        <v>36</v>
      </c>
    </row>
    <row r="930" spans="1:17" x14ac:dyDescent="0.35">
      <c r="A930" t="s">
        <v>982</v>
      </c>
      <c r="B930" t="s">
        <v>23</v>
      </c>
      <c r="C930">
        <v>46</v>
      </c>
      <c r="D930" t="s">
        <v>17</v>
      </c>
      <c r="E930" t="s">
        <v>27</v>
      </c>
      <c r="F930" t="s">
        <v>36</v>
      </c>
      <c r="G930">
        <v>2.1</v>
      </c>
      <c r="H930">
        <v>2.1</v>
      </c>
      <c r="I930" t="str" cm="1">
        <f t="array" ref="I930">_xlfn.IFS(G930&lt;3, "0–2 Years", G930&lt;6, "3–5 Years", G930&lt;9, "6–8 Years", G930&lt;12, "9-11 Years", G930&gt;=12, "12-14 Years")</f>
        <v>0–2 Years</v>
      </c>
      <c r="J930">
        <v>3</v>
      </c>
      <c r="K930" t="s">
        <v>20</v>
      </c>
      <c r="L930">
        <v>71700</v>
      </c>
      <c r="M930">
        <v>5600</v>
      </c>
      <c r="N930">
        <v>77300</v>
      </c>
      <c r="O930" t="s">
        <v>21</v>
      </c>
      <c r="P930" s="3">
        <v>45269</v>
      </c>
      <c r="Q930" t="s">
        <v>36</v>
      </c>
    </row>
    <row r="931" spans="1:17" x14ac:dyDescent="0.35">
      <c r="A931" t="s">
        <v>983</v>
      </c>
      <c r="B931" t="s">
        <v>16</v>
      </c>
      <c r="C931">
        <v>39</v>
      </c>
      <c r="D931" t="s">
        <v>44</v>
      </c>
      <c r="E931" t="s">
        <v>45</v>
      </c>
      <c r="F931" t="s">
        <v>36</v>
      </c>
      <c r="G931">
        <v>10.9</v>
      </c>
      <c r="H931">
        <v>5.0999999999999996</v>
      </c>
      <c r="I931" t="str" cm="1">
        <f t="array" ref="I931">_xlfn.IFS(G931&lt;3, "0–2 Years", G931&lt;6, "3–5 Years", G931&lt;9, "6–8 Years", G931&lt;12, "9-11 Years", G931&gt;=12, "12-14 Years")</f>
        <v>9-11 Years</v>
      </c>
      <c r="J931">
        <v>4</v>
      </c>
      <c r="K931" t="s">
        <v>20</v>
      </c>
      <c r="L931">
        <v>83000</v>
      </c>
      <c r="M931">
        <v>9900</v>
      </c>
      <c r="N931">
        <v>92900</v>
      </c>
      <c r="O931" t="s">
        <v>30</v>
      </c>
      <c r="P931" s="3">
        <v>42042</v>
      </c>
      <c r="Q931" t="s">
        <v>36</v>
      </c>
    </row>
    <row r="932" spans="1:17" x14ac:dyDescent="0.35">
      <c r="A932" t="s">
        <v>984</v>
      </c>
      <c r="B932" t="s">
        <v>23</v>
      </c>
      <c r="C932">
        <v>47</v>
      </c>
      <c r="D932" t="s">
        <v>55</v>
      </c>
      <c r="E932" t="s">
        <v>92</v>
      </c>
      <c r="F932" t="s">
        <v>28</v>
      </c>
      <c r="G932">
        <v>8</v>
      </c>
      <c r="H932">
        <v>5</v>
      </c>
      <c r="I932" t="str" cm="1">
        <f t="array" ref="I932">_xlfn.IFS(G932&lt;3, "0–2 Years", G932&lt;6, "3–5 Years", G932&lt;9, "6–8 Years", G932&lt;12, "9-11 Years", G932&gt;=12, "12-14 Years")</f>
        <v>6–8 Years</v>
      </c>
      <c r="J932">
        <v>4</v>
      </c>
      <c r="K932" t="s">
        <v>20</v>
      </c>
      <c r="L932">
        <v>103800</v>
      </c>
      <c r="M932">
        <v>8600</v>
      </c>
      <c r="N932">
        <v>112400</v>
      </c>
      <c r="O932" t="s">
        <v>57</v>
      </c>
      <c r="P932" s="3">
        <v>43088</v>
      </c>
      <c r="Q932" t="s">
        <v>28</v>
      </c>
    </row>
    <row r="933" spans="1:17" x14ac:dyDescent="0.35">
      <c r="A933" t="s">
        <v>985</v>
      </c>
      <c r="B933" t="s">
        <v>23</v>
      </c>
      <c r="C933">
        <v>35</v>
      </c>
      <c r="D933" t="s">
        <v>44</v>
      </c>
      <c r="E933" t="s">
        <v>76</v>
      </c>
      <c r="F933" t="s">
        <v>36</v>
      </c>
      <c r="G933">
        <v>5.0999999999999996</v>
      </c>
      <c r="H933">
        <v>5.0999999999999996</v>
      </c>
      <c r="I933" t="str" cm="1">
        <f t="array" ref="I933">_xlfn.IFS(G933&lt;3, "0–2 Years", G933&lt;6, "3–5 Years", G933&lt;9, "6–8 Years", G933&lt;12, "9-11 Years", G933&gt;=12, "12-14 Years")</f>
        <v>3–5 Years</v>
      </c>
      <c r="J933">
        <v>3</v>
      </c>
      <c r="K933" t="s">
        <v>20</v>
      </c>
      <c r="L933">
        <v>101500</v>
      </c>
      <c r="M933">
        <v>12900</v>
      </c>
      <c r="N933">
        <v>114400</v>
      </c>
      <c r="O933" t="s">
        <v>57</v>
      </c>
      <c r="P933" s="3">
        <v>44152</v>
      </c>
      <c r="Q933" t="s">
        <v>36</v>
      </c>
    </row>
    <row r="934" spans="1:17" x14ac:dyDescent="0.35">
      <c r="A934" t="s">
        <v>986</v>
      </c>
      <c r="B934" t="s">
        <v>23</v>
      </c>
      <c r="C934">
        <v>32</v>
      </c>
      <c r="D934" t="s">
        <v>17</v>
      </c>
      <c r="E934" t="s">
        <v>18</v>
      </c>
      <c r="F934" t="s">
        <v>36</v>
      </c>
      <c r="G934">
        <v>1.9</v>
      </c>
      <c r="H934">
        <v>0.7</v>
      </c>
      <c r="I934" t="str" cm="1">
        <f t="array" ref="I934">_xlfn.IFS(G934&lt;3, "0–2 Years", G934&lt;6, "3–5 Years", G934&lt;9, "6–8 Years", G934&lt;12, "9-11 Years", G934&gt;=12, "12-14 Years")</f>
        <v>0–2 Years</v>
      </c>
      <c r="J934">
        <v>3</v>
      </c>
      <c r="K934" t="s">
        <v>20</v>
      </c>
      <c r="L934">
        <v>98500</v>
      </c>
      <c r="M934">
        <v>6300</v>
      </c>
      <c r="N934">
        <v>104800</v>
      </c>
      <c r="O934" t="s">
        <v>30</v>
      </c>
      <c r="P934" s="3">
        <v>45347</v>
      </c>
      <c r="Q934" t="s">
        <v>36</v>
      </c>
    </row>
    <row r="935" spans="1:17" x14ac:dyDescent="0.35">
      <c r="A935" t="s">
        <v>987</v>
      </c>
      <c r="B935" t="s">
        <v>23</v>
      </c>
      <c r="C935">
        <v>35</v>
      </c>
      <c r="D935" t="s">
        <v>55</v>
      </c>
      <c r="E935" t="s">
        <v>56</v>
      </c>
      <c r="F935" t="s">
        <v>36</v>
      </c>
      <c r="G935">
        <v>10.4</v>
      </c>
      <c r="H935">
        <v>6.3</v>
      </c>
      <c r="I935" t="str" cm="1">
        <f t="array" ref="I935">_xlfn.IFS(G935&lt;3, "0–2 Years", G935&lt;6, "3–5 Years", G935&lt;9, "6–8 Years", G935&lt;12, "9-11 Years", G935&gt;=12, "12-14 Years")</f>
        <v>9-11 Years</v>
      </c>
      <c r="J935">
        <v>2</v>
      </c>
      <c r="K935" t="s">
        <v>20</v>
      </c>
      <c r="L935">
        <v>98500</v>
      </c>
      <c r="M935">
        <v>19600</v>
      </c>
      <c r="N935">
        <v>118100</v>
      </c>
      <c r="O935" t="s">
        <v>30</v>
      </c>
      <c r="P935" s="3">
        <v>42223</v>
      </c>
      <c r="Q935" t="s">
        <v>36</v>
      </c>
    </row>
    <row r="936" spans="1:17" x14ac:dyDescent="0.35">
      <c r="A936" t="s">
        <v>988</v>
      </c>
      <c r="B936" t="s">
        <v>16</v>
      </c>
      <c r="C936" s="7">
        <v>40</v>
      </c>
      <c r="D936" t="s">
        <v>41</v>
      </c>
      <c r="E936" t="s">
        <v>73</v>
      </c>
      <c r="F936" t="s">
        <v>28</v>
      </c>
      <c r="G936" s="9">
        <v>12.1</v>
      </c>
      <c r="H936" s="7">
        <v>7.3</v>
      </c>
      <c r="I936" t="str" cm="1">
        <f t="array" ref="I936">_xlfn.IFS(G936&lt;3, "0–2 Years", G936&lt;6, "3–5 Years", G936&lt;9, "6–8 Years", G936&lt;12, "9-11 Years", G936&gt;=12, "12-14 Years")</f>
        <v>12-14 Years</v>
      </c>
      <c r="J936" s="7">
        <v>3</v>
      </c>
      <c r="K936" t="s">
        <v>20</v>
      </c>
      <c r="L936" s="7">
        <v>108900</v>
      </c>
      <c r="M936" s="7">
        <v>7600</v>
      </c>
      <c r="N936" s="7">
        <v>116500</v>
      </c>
      <c r="O936" t="s">
        <v>57</v>
      </c>
      <c r="P936" s="3">
        <v>41602</v>
      </c>
      <c r="Q936" t="s">
        <v>28</v>
      </c>
    </row>
    <row r="937" spans="1:17" x14ac:dyDescent="0.35">
      <c r="A937" t="s">
        <v>989</v>
      </c>
      <c r="B937" t="s">
        <v>16</v>
      </c>
      <c r="C937">
        <v>32</v>
      </c>
      <c r="D937" t="s">
        <v>38</v>
      </c>
      <c r="E937" t="s">
        <v>39</v>
      </c>
      <c r="F937" t="s">
        <v>28</v>
      </c>
      <c r="G937">
        <v>5.8</v>
      </c>
      <c r="H937">
        <v>3.7</v>
      </c>
      <c r="I937" t="str" cm="1">
        <f t="array" ref="I937">_xlfn.IFS(G937&lt;3, "0–2 Years", G937&lt;6, "3–5 Years", G937&lt;9, "6–8 Years", G937&lt;12, "9-11 Years", G937&gt;=12, "12-14 Years")</f>
        <v>3–5 Years</v>
      </c>
      <c r="J937">
        <v>2</v>
      </c>
      <c r="K937" t="s">
        <v>69</v>
      </c>
      <c r="L937">
        <v>54100</v>
      </c>
      <c r="M937">
        <v>3400</v>
      </c>
      <c r="N937">
        <v>57500</v>
      </c>
      <c r="O937" t="s">
        <v>25</v>
      </c>
      <c r="P937" s="3">
        <v>43918</v>
      </c>
      <c r="Q937" t="s">
        <v>28</v>
      </c>
    </row>
    <row r="938" spans="1:17" x14ac:dyDescent="0.35">
      <c r="A938" t="s">
        <v>990</v>
      </c>
      <c r="B938" t="s">
        <v>16</v>
      </c>
      <c r="C938">
        <v>47</v>
      </c>
      <c r="D938" t="s">
        <v>17</v>
      </c>
      <c r="E938" t="s">
        <v>27</v>
      </c>
      <c r="F938" t="s">
        <v>28</v>
      </c>
      <c r="G938">
        <v>4.2</v>
      </c>
      <c r="H938">
        <v>0.7</v>
      </c>
      <c r="I938" t="str" cm="1">
        <f t="array" ref="I938">_xlfn.IFS(G938&lt;3, "0–2 Years", G938&lt;6, "3–5 Years", G938&lt;9, "6–8 Years", G938&lt;12, "9-11 Years", G938&gt;=12, "12-14 Years")</f>
        <v>3–5 Years</v>
      </c>
      <c r="J938">
        <v>4</v>
      </c>
      <c r="K938" t="s">
        <v>20</v>
      </c>
      <c r="L938">
        <v>65100</v>
      </c>
      <c r="M938">
        <v>3800</v>
      </c>
      <c r="N938">
        <v>68900</v>
      </c>
      <c r="O938" t="s">
        <v>21</v>
      </c>
      <c r="P938" s="3">
        <v>44498</v>
      </c>
      <c r="Q938" t="s">
        <v>28</v>
      </c>
    </row>
    <row r="939" spans="1:17" x14ac:dyDescent="0.35">
      <c r="A939" t="s">
        <v>991</v>
      </c>
      <c r="B939" t="s">
        <v>23</v>
      </c>
      <c r="C939" s="7">
        <v>28</v>
      </c>
      <c r="D939" t="s">
        <v>41</v>
      </c>
      <c r="E939" t="s">
        <v>42</v>
      </c>
      <c r="F939" t="s">
        <v>28</v>
      </c>
      <c r="G939" s="9">
        <v>12.4</v>
      </c>
      <c r="H939" s="7">
        <v>10.9</v>
      </c>
      <c r="I939" t="str" cm="1">
        <f t="array" ref="I939">_xlfn.IFS(G939&lt;3, "0–2 Years", G939&lt;6, "3–5 Years", G939&lt;9, "6–8 Years", G939&lt;12, "9-11 Years", G939&gt;=12, "12-14 Years")</f>
        <v>12-14 Years</v>
      </c>
      <c r="J939" s="7">
        <v>2</v>
      </c>
      <c r="K939" t="s">
        <v>20</v>
      </c>
      <c r="L939" s="7">
        <v>88100</v>
      </c>
      <c r="M939" s="7">
        <v>3800</v>
      </c>
      <c r="N939" s="7">
        <v>91900</v>
      </c>
      <c r="O939" t="s">
        <v>30</v>
      </c>
      <c r="P939" s="3">
        <v>41493</v>
      </c>
      <c r="Q939" t="s">
        <v>28</v>
      </c>
    </row>
    <row r="940" spans="1:17" x14ac:dyDescent="0.35">
      <c r="A940" t="s">
        <v>992</v>
      </c>
      <c r="B940" t="s">
        <v>16</v>
      </c>
      <c r="C940" s="7">
        <v>21</v>
      </c>
      <c r="D940" t="s">
        <v>34</v>
      </c>
      <c r="E940" t="s">
        <v>59</v>
      </c>
      <c r="F940" t="s">
        <v>28</v>
      </c>
      <c r="G940" s="9">
        <v>12.3</v>
      </c>
      <c r="H940" s="7">
        <v>7.7</v>
      </c>
      <c r="I940" t="str" cm="1">
        <f t="array" ref="I940">_xlfn.IFS(G940&lt;3, "0–2 Years", G940&lt;6, "3–5 Years", G940&lt;9, "6–8 Years", G940&lt;12, "9-11 Years", G940&gt;=12, "12-14 Years")</f>
        <v>12-14 Years</v>
      </c>
      <c r="J940" s="7">
        <v>4</v>
      </c>
      <c r="K940" t="s">
        <v>20</v>
      </c>
      <c r="L940" s="7">
        <v>100400</v>
      </c>
      <c r="M940" s="7">
        <v>5900</v>
      </c>
      <c r="N940" s="7">
        <v>106300</v>
      </c>
      <c r="O940" t="s">
        <v>57</v>
      </c>
      <c r="P940" s="3">
        <v>41540</v>
      </c>
      <c r="Q940" t="s">
        <v>28</v>
      </c>
    </row>
    <row r="941" spans="1:17" x14ac:dyDescent="0.35">
      <c r="A941" t="s">
        <v>993</v>
      </c>
      <c r="B941" t="s">
        <v>16</v>
      </c>
      <c r="C941" s="7">
        <v>43</v>
      </c>
      <c r="D941" t="s">
        <v>41</v>
      </c>
      <c r="E941" t="s">
        <v>67</v>
      </c>
      <c r="F941" t="s">
        <v>28</v>
      </c>
      <c r="G941" s="9">
        <v>12.8</v>
      </c>
      <c r="H941" s="7">
        <v>9.1999999999999993</v>
      </c>
      <c r="I941" t="str" cm="1">
        <f t="array" ref="I941">_xlfn.IFS(G941&lt;3, "0–2 Years", G941&lt;6, "3–5 Years", G941&lt;9, "6–8 Years", G941&lt;12, "9-11 Years", G941&gt;=12, "12-14 Years")</f>
        <v>12-14 Years</v>
      </c>
      <c r="J941" s="7">
        <v>3</v>
      </c>
      <c r="K941" t="s">
        <v>20</v>
      </c>
      <c r="L941" s="7">
        <v>91400</v>
      </c>
      <c r="M941" s="7">
        <v>7500</v>
      </c>
      <c r="N941" s="7">
        <v>98900</v>
      </c>
      <c r="O941" t="s">
        <v>30</v>
      </c>
      <c r="P941" s="3">
        <v>41350</v>
      </c>
      <c r="Q941" t="s">
        <v>28</v>
      </c>
    </row>
    <row r="942" spans="1:17" x14ac:dyDescent="0.35">
      <c r="A942" t="s">
        <v>994</v>
      </c>
      <c r="B942" t="s">
        <v>23</v>
      </c>
      <c r="C942">
        <v>43</v>
      </c>
      <c r="D942" t="s">
        <v>38</v>
      </c>
      <c r="E942" t="s">
        <v>39</v>
      </c>
      <c r="F942" t="s">
        <v>36</v>
      </c>
      <c r="G942">
        <v>10.3</v>
      </c>
      <c r="H942">
        <v>6.4</v>
      </c>
      <c r="I942" t="str" cm="1">
        <f t="array" ref="I942">_xlfn.IFS(G942&lt;3, "0–2 Years", G942&lt;6, "3–5 Years", G942&lt;9, "6–8 Years", G942&lt;12, "9-11 Years", G942&gt;=12, "12-14 Years")</f>
        <v>9-11 Years</v>
      </c>
      <c r="J942">
        <v>3</v>
      </c>
      <c r="K942" t="s">
        <v>20</v>
      </c>
      <c r="L942">
        <v>83300</v>
      </c>
      <c r="M942">
        <v>2900</v>
      </c>
      <c r="N942">
        <v>86200</v>
      </c>
      <c r="O942" t="s">
        <v>30</v>
      </c>
      <c r="P942" s="3">
        <v>42266</v>
      </c>
      <c r="Q942" t="s">
        <v>36</v>
      </c>
    </row>
    <row r="943" spans="1:17" x14ac:dyDescent="0.35">
      <c r="A943" t="s">
        <v>995</v>
      </c>
      <c r="B943" t="s">
        <v>16</v>
      </c>
      <c r="C943">
        <v>29</v>
      </c>
      <c r="D943" t="s">
        <v>41</v>
      </c>
      <c r="E943" t="s">
        <v>67</v>
      </c>
      <c r="F943" t="s">
        <v>19</v>
      </c>
      <c r="G943">
        <v>8.6999999999999993</v>
      </c>
      <c r="H943">
        <v>6.6</v>
      </c>
      <c r="I943" t="str" cm="1">
        <f t="array" ref="I943">_xlfn.IFS(G943&lt;3, "0–2 Years", G943&lt;6, "3–5 Years", G943&lt;9, "6–8 Years", G943&lt;12, "9-11 Years", G943&gt;=12, "12-14 Years")</f>
        <v>6–8 Years</v>
      </c>
      <c r="J943">
        <v>3</v>
      </c>
      <c r="K943" t="s">
        <v>20</v>
      </c>
      <c r="L943">
        <v>65500</v>
      </c>
      <c r="M943">
        <v>3300</v>
      </c>
      <c r="N943">
        <v>68800</v>
      </c>
      <c r="O943" t="s">
        <v>21</v>
      </c>
      <c r="P943" s="3">
        <v>42836</v>
      </c>
      <c r="Q943" t="s">
        <v>19</v>
      </c>
    </row>
    <row r="944" spans="1:17" x14ac:dyDescent="0.35">
      <c r="A944" t="s">
        <v>996</v>
      </c>
      <c r="B944" t="s">
        <v>23</v>
      </c>
      <c r="C944">
        <v>26</v>
      </c>
      <c r="D944" t="s">
        <v>41</v>
      </c>
      <c r="E944" t="s">
        <v>67</v>
      </c>
      <c r="F944" t="s">
        <v>36</v>
      </c>
      <c r="G944">
        <v>6.2</v>
      </c>
      <c r="H944">
        <v>4.4000000000000004</v>
      </c>
      <c r="I944" t="str" cm="1">
        <f t="array" ref="I944">_xlfn.IFS(G944&lt;3, "0–2 Years", G944&lt;6, "3–5 Years", G944&lt;9, "6–8 Years", G944&lt;12, "9-11 Years", G944&gt;=12, "12-14 Years")</f>
        <v>6–8 Years</v>
      </c>
      <c r="J944">
        <v>2</v>
      </c>
      <c r="K944" t="s">
        <v>20</v>
      </c>
      <c r="L944">
        <v>72900</v>
      </c>
      <c r="M944">
        <v>3800</v>
      </c>
      <c r="N944">
        <v>76700</v>
      </c>
      <c r="O944" t="s">
        <v>21</v>
      </c>
      <c r="P944" s="3">
        <v>43743</v>
      </c>
      <c r="Q944" t="s">
        <v>36</v>
      </c>
    </row>
    <row r="945" spans="1:17" x14ac:dyDescent="0.35">
      <c r="A945" t="s">
        <v>997</v>
      </c>
      <c r="B945" t="s">
        <v>16</v>
      </c>
      <c r="C945">
        <v>30</v>
      </c>
      <c r="D945" t="s">
        <v>41</v>
      </c>
      <c r="E945" t="s">
        <v>73</v>
      </c>
      <c r="F945" t="s">
        <v>28</v>
      </c>
      <c r="G945">
        <v>4.5</v>
      </c>
      <c r="H945">
        <v>1.4</v>
      </c>
      <c r="I945" t="str" cm="1">
        <f t="array" ref="I945">_xlfn.IFS(G945&lt;3, "0–2 Years", G945&lt;6, "3–5 Years", G945&lt;9, "6–8 Years", G945&lt;12, "9-11 Years", G945&gt;=12, "12-14 Years")</f>
        <v>3–5 Years</v>
      </c>
      <c r="J945">
        <v>3</v>
      </c>
      <c r="K945" t="s">
        <v>69</v>
      </c>
      <c r="L945">
        <v>91400</v>
      </c>
      <c r="M945">
        <v>3300</v>
      </c>
      <c r="N945">
        <v>94700</v>
      </c>
      <c r="O945" t="s">
        <v>30</v>
      </c>
      <c r="P945" s="3">
        <v>44396</v>
      </c>
      <c r="Q945" t="s">
        <v>28</v>
      </c>
    </row>
    <row r="946" spans="1:17" x14ac:dyDescent="0.35">
      <c r="A946" t="s">
        <v>998</v>
      </c>
      <c r="B946" t="s">
        <v>23</v>
      </c>
      <c r="C946" s="7">
        <v>27</v>
      </c>
      <c r="D946" t="s">
        <v>17</v>
      </c>
      <c r="E946" t="s">
        <v>32</v>
      </c>
      <c r="F946" t="s">
        <v>36</v>
      </c>
      <c r="G946" s="9">
        <v>12.4</v>
      </c>
      <c r="H946" s="7">
        <v>8.3000000000000007</v>
      </c>
      <c r="I946" t="str" cm="1">
        <f t="array" ref="I946">_xlfn.IFS(G946&lt;3, "0–2 Years", G946&lt;6, "3–5 Years", G946&lt;9, "6–8 Years", G946&lt;12, "9-11 Years", G946&gt;=12, "12-14 Years")</f>
        <v>12-14 Years</v>
      </c>
      <c r="J946" s="7">
        <v>4</v>
      </c>
      <c r="K946" t="s">
        <v>20</v>
      </c>
      <c r="L946" s="7">
        <v>86400</v>
      </c>
      <c r="M946" s="7">
        <v>4900</v>
      </c>
      <c r="N946" s="7">
        <v>91300</v>
      </c>
      <c r="O946" t="s">
        <v>30</v>
      </c>
      <c r="P946" s="3">
        <v>41488</v>
      </c>
      <c r="Q946" t="s">
        <v>36</v>
      </c>
    </row>
    <row r="947" spans="1:17" x14ac:dyDescent="0.35">
      <c r="A947" t="s">
        <v>999</v>
      </c>
      <c r="B947" t="s">
        <v>23</v>
      </c>
      <c r="C947">
        <v>28</v>
      </c>
      <c r="D947" t="s">
        <v>44</v>
      </c>
      <c r="E947" t="s">
        <v>81</v>
      </c>
      <c r="F947" t="s">
        <v>36</v>
      </c>
      <c r="G947">
        <v>10.9</v>
      </c>
      <c r="H947">
        <v>5.9</v>
      </c>
      <c r="I947" t="str" cm="1">
        <f t="array" ref="I947">_xlfn.IFS(G947&lt;3, "0–2 Years", G947&lt;6, "3–5 Years", G947&lt;9, "6–8 Years", G947&lt;12, "9-11 Years", G947&gt;=12, "12-14 Years")</f>
        <v>9-11 Years</v>
      </c>
      <c r="J947">
        <v>2</v>
      </c>
      <c r="K947" t="s">
        <v>20</v>
      </c>
      <c r="L947">
        <v>99800</v>
      </c>
      <c r="M947">
        <v>10300</v>
      </c>
      <c r="N947">
        <v>110100</v>
      </c>
      <c r="O947" t="s">
        <v>30</v>
      </c>
      <c r="P947" s="3">
        <v>42060</v>
      </c>
      <c r="Q947" t="s">
        <v>36</v>
      </c>
    </row>
    <row r="948" spans="1:17" x14ac:dyDescent="0.35">
      <c r="A948" t="s">
        <v>1000</v>
      </c>
      <c r="B948" t="s">
        <v>16</v>
      </c>
      <c r="C948">
        <v>32</v>
      </c>
      <c r="D948" t="s">
        <v>34</v>
      </c>
      <c r="E948" t="s">
        <v>47</v>
      </c>
      <c r="F948" t="s">
        <v>28</v>
      </c>
      <c r="G948">
        <v>7.2</v>
      </c>
      <c r="H948">
        <v>3.7</v>
      </c>
      <c r="I948" t="str" cm="1">
        <f t="array" ref="I948">_xlfn.IFS(G948&lt;3, "0–2 Years", G948&lt;6, "3–5 Years", G948&lt;9, "6–8 Years", G948&lt;12, "9-11 Years", G948&gt;=12, "12-14 Years")</f>
        <v>6–8 Years</v>
      </c>
      <c r="J948">
        <v>3</v>
      </c>
      <c r="K948" t="s">
        <v>20</v>
      </c>
      <c r="L948">
        <v>78500</v>
      </c>
      <c r="M948">
        <v>8100</v>
      </c>
      <c r="N948">
        <v>86600</v>
      </c>
      <c r="O948" t="s">
        <v>21</v>
      </c>
      <c r="P948" s="3">
        <v>43398</v>
      </c>
      <c r="Q948" t="s">
        <v>28</v>
      </c>
    </row>
    <row r="949" spans="1:17" x14ac:dyDescent="0.35">
      <c r="A949" t="s">
        <v>1001</v>
      </c>
      <c r="B949" t="s">
        <v>16</v>
      </c>
      <c r="C949">
        <v>37</v>
      </c>
      <c r="D949" t="s">
        <v>38</v>
      </c>
      <c r="E949" t="s">
        <v>39</v>
      </c>
      <c r="F949" t="s">
        <v>36</v>
      </c>
      <c r="G949">
        <v>4.5999999999999996</v>
      </c>
      <c r="H949">
        <v>2.5</v>
      </c>
      <c r="I949" t="str" cm="1">
        <f t="array" ref="I949">_xlfn.IFS(G949&lt;3, "0–2 Years", G949&lt;6, "3–5 Years", G949&lt;9, "6–8 Years", G949&lt;12, "9-11 Years", G949&gt;=12, "12-14 Years")</f>
        <v>3–5 Years</v>
      </c>
      <c r="J949">
        <v>2</v>
      </c>
      <c r="K949" t="s">
        <v>69</v>
      </c>
      <c r="L949">
        <v>72900</v>
      </c>
      <c r="M949">
        <v>4000</v>
      </c>
      <c r="N949">
        <v>76900</v>
      </c>
      <c r="O949" t="s">
        <v>21</v>
      </c>
      <c r="P949" s="3">
        <v>44357</v>
      </c>
      <c r="Q949" t="s">
        <v>36</v>
      </c>
    </row>
    <row r="950" spans="1:17" x14ac:dyDescent="0.35">
      <c r="A950" t="s">
        <v>1002</v>
      </c>
      <c r="B950" t="s">
        <v>16</v>
      </c>
      <c r="C950">
        <v>37</v>
      </c>
      <c r="D950" t="s">
        <v>17</v>
      </c>
      <c r="E950" t="s">
        <v>32</v>
      </c>
      <c r="F950" t="s">
        <v>36</v>
      </c>
      <c r="G950">
        <v>2.2000000000000002</v>
      </c>
      <c r="H950">
        <v>2</v>
      </c>
      <c r="I950" t="str" cm="1">
        <f t="array" ref="I950">_xlfn.IFS(G950&lt;3, "0–2 Years", G950&lt;6, "3–5 Years", G950&lt;9, "6–8 Years", G950&lt;12, "9-11 Years", G950&gt;=12, "12-14 Years")</f>
        <v>0–2 Years</v>
      </c>
      <c r="J950">
        <v>3</v>
      </c>
      <c r="K950" t="s">
        <v>20</v>
      </c>
      <c r="L950">
        <v>71300</v>
      </c>
      <c r="M950">
        <v>3900</v>
      </c>
      <c r="N950">
        <v>75200</v>
      </c>
      <c r="O950" t="s">
        <v>21</v>
      </c>
      <c r="P950" s="3">
        <v>45206</v>
      </c>
      <c r="Q950" t="s">
        <v>36</v>
      </c>
    </row>
    <row r="951" spans="1:17" x14ac:dyDescent="0.35">
      <c r="A951" t="s">
        <v>1003</v>
      </c>
      <c r="B951" t="s">
        <v>23</v>
      </c>
      <c r="C951">
        <v>32</v>
      </c>
      <c r="D951" t="s">
        <v>34</v>
      </c>
      <c r="E951" t="s">
        <v>47</v>
      </c>
      <c r="F951" t="s">
        <v>62</v>
      </c>
      <c r="G951">
        <v>2.2000000000000002</v>
      </c>
      <c r="H951">
        <v>0.4</v>
      </c>
      <c r="I951" t="str" cm="1">
        <f t="array" ref="I951">_xlfn.IFS(G951&lt;3, "0–2 Years", G951&lt;6, "3–5 Years", G951&lt;9, "6–8 Years", G951&lt;12, "9-11 Years", G951&gt;=12, "12-14 Years")</f>
        <v>0–2 Years</v>
      </c>
      <c r="J951">
        <v>3</v>
      </c>
      <c r="K951" t="s">
        <v>20</v>
      </c>
      <c r="L951">
        <v>83100</v>
      </c>
      <c r="M951">
        <v>9300</v>
      </c>
      <c r="N951">
        <v>92400</v>
      </c>
      <c r="O951" t="s">
        <v>30</v>
      </c>
      <c r="P951" s="3">
        <v>45215</v>
      </c>
      <c r="Q951" t="s">
        <v>62</v>
      </c>
    </row>
    <row r="952" spans="1:17" x14ac:dyDescent="0.35">
      <c r="A952" t="s">
        <v>1004</v>
      </c>
      <c r="B952" t="s">
        <v>23</v>
      </c>
      <c r="C952" s="7">
        <v>42</v>
      </c>
      <c r="D952" t="s">
        <v>41</v>
      </c>
      <c r="E952" t="s">
        <v>73</v>
      </c>
      <c r="F952" t="s">
        <v>28</v>
      </c>
      <c r="G952" s="9">
        <v>13.8</v>
      </c>
      <c r="H952" s="7">
        <v>8.3000000000000007</v>
      </c>
      <c r="I952" t="str" cm="1">
        <f t="array" ref="I952">_xlfn.IFS(G952&lt;3, "0–2 Years", G952&lt;6, "3–5 Years", G952&lt;9, "6–8 Years", G952&lt;12, "9-11 Years", G952&gt;=12, "12-14 Years")</f>
        <v>12-14 Years</v>
      </c>
      <c r="J952" s="7">
        <v>4</v>
      </c>
      <c r="K952" t="s">
        <v>69</v>
      </c>
      <c r="L952" s="7">
        <v>97900</v>
      </c>
      <c r="M952" s="7">
        <v>6900</v>
      </c>
      <c r="N952" s="7">
        <v>104800</v>
      </c>
      <c r="O952" t="s">
        <v>30</v>
      </c>
      <c r="P952" s="3">
        <v>40974</v>
      </c>
      <c r="Q952" t="s">
        <v>28</v>
      </c>
    </row>
    <row r="953" spans="1:17" x14ac:dyDescent="0.35">
      <c r="A953" t="s">
        <v>1005</v>
      </c>
      <c r="B953" t="s">
        <v>16</v>
      </c>
      <c r="C953">
        <v>32</v>
      </c>
      <c r="D953" t="s">
        <v>55</v>
      </c>
      <c r="E953" t="s">
        <v>56</v>
      </c>
      <c r="F953" t="s">
        <v>36</v>
      </c>
      <c r="G953">
        <v>10.6</v>
      </c>
      <c r="H953">
        <v>9.1999999999999993</v>
      </c>
      <c r="I953" t="str" cm="1">
        <f t="array" ref="I953">_xlfn.IFS(G953&lt;3, "0–2 Years", G953&lt;6, "3–5 Years", G953&lt;9, "6–8 Years", G953&lt;12, "9-11 Years", G953&gt;=12, "12-14 Years")</f>
        <v>9-11 Years</v>
      </c>
      <c r="J953">
        <v>2</v>
      </c>
      <c r="K953" t="s">
        <v>20</v>
      </c>
      <c r="L953">
        <v>118200</v>
      </c>
      <c r="M953">
        <v>13700</v>
      </c>
      <c r="N953">
        <v>131900</v>
      </c>
      <c r="O953" t="s">
        <v>57</v>
      </c>
      <c r="P953" s="3">
        <v>42160</v>
      </c>
      <c r="Q953" t="s">
        <v>36</v>
      </c>
    </row>
    <row r="954" spans="1:17" x14ac:dyDescent="0.35">
      <c r="A954" t="s">
        <v>1006</v>
      </c>
      <c r="B954" t="s">
        <v>16</v>
      </c>
      <c r="C954" s="7">
        <v>27</v>
      </c>
      <c r="D954" t="s">
        <v>17</v>
      </c>
      <c r="E954" t="s">
        <v>18</v>
      </c>
      <c r="F954" t="s">
        <v>19</v>
      </c>
      <c r="G954" s="9">
        <v>12.2</v>
      </c>
      <c r="H954" s="7">
        <v>11.1</v>
      </c>
      <c r="I954" t="str" cm="1">
        <f t="array" ref="I954">_xlfn.IFS(G954&lt;3, "0–2 Years", G954&lt;6, "3–5 Years", G954&lt;9, "6–8 Years", G954&lt;12, "9-11 Years", G954&gt;=12, "12-14 Years")</f>
        <v>12-14 Years</v>
      </c>
      <c r="J954" s="7">
        <v>4</v>
      </c>
      <c r="K954" t="s">
        <v>20</v>
      </c>
      <c r="L954" s="7">
        <v>103000</v>
      </c>
      <c r="M954" s="7">
        <v>10200</v>
      </c>
      <c r="N954" s="7">
        <v>113200</v>
      </c>
      <c r="O954" t="s">
        <v>57</v>
      </c>
      <c r="P954" s="3">
        <v>41572</v>
      </c>
      <c r="Q954" t="s">
        <v>19</v>
      </c>
    </row>
    <row r="955" spans="1:17" x14ac:dyDescent="0.35">
      <c r="A955" t="s">
        <v>1007</v>
      </c>
      <c r="B955" t="s">
        <v>16</v>
      </c>
      <c r="C955">
        <v>40</v>
      </c>
      <c r="D955" t="s">
        <v>55</v>
      </c>
      <c r="E955" t="s">
        <v>92</v>
      </c>
      <c r="F955" t="s">
        <v>62</v>
      </c>
      <c r="G955">
        <v>11.8</v>
      </c>
      <c r="H955">
        <v>7.5</v>
      </c>
      <c r="I955" t="str" cm="1">
        <f t="array" ref="I955">_xlfn.IFS(G955&lt;3, "0–2 Years", G955&lt;6, "3–5 Years", G955&lt;9, "6–8 Years", G955&lt;12, "9-11 Years", G955&gt;=12, "12-14 Years")</f>
        <v>9-11 Years</v>
      </c>
      <c r="J955">
        <v>2</v>
      </c>
      <c r="K955" t="s">
        <v>20</v>
      </c>
      <c r="L955">
        <v>106300</v>
      </c>
      <c r="M955">
        <v>17300</v>
      </c>
      <c r="N955">
        <v>123600</v>
      </c>
      <c r="O955" t="s">
        <v>57</v>
      </c>
      <c r="P955" s="3">
        <v>41697</v>
      </c>
      <c r="Q955" t="s">
        <v>62</v>
      </c>
    </row>
    <row r="956" spans="1:17" x14ac:dyDescent="0.35">
      <c r="A956" t="s">
        <v>1008</v>
      </c>
      <c r="B956" t="s">
        <v>16</v>
      </c>
      <c r="C956">
        <v>27</v>
      </c>
      <c r="D956" t="s">
        <v>55</v>
      </c>
      <c r="E956" t="s">
        <v>56</v>
      </c>
      <c r="F956" t="s">
        <v>36</v>
      </c>
      <c r="G956">
        <v>7.5</v>
      </c>
      <c r="H956">
        <v>5.9</v>
      </c>
      <c r="I956" t="str" cm="1">
        <f t="array" ref="I956">_xlfn.IFS(G956&lt;3, "0–2 Years", G956&lt;6, "3–5 Years", G956&lt;9, "6–8 Years", G956&lt;12, "9-11 Years", G956&gt;=12, "12-14 Years")</f>
        <v>6–8 Years</v>
      </c>
      <c r="J956">
        <v>1</v>
      </c>
      <c r="K956" t="s">
        <v>20</v>
      </c>
      <c r="L956">
        <v>95200</v>
      </c>
      <c r="M956">
        <v>16300</v>
      </c>
      <c r="N956">
        <v>111500</v>
      </c>
      <c r="O956" t="s">
        <v>30</v>
      </c>
      <c r="P956" s="3">
        <v>43270</v>
      </c>
      <c r="Q956" t="s">
        <v>36</v>
      </c>
    </row>
    <row r="957" spans="1:17" x14ac:dyDescent="0.35">
      <c r="A957" t="s">
        <v>1009</v>
      </c>
      <c r="B957" t="s">
        <v>16</v>
      </c>
      <c r="C957">
        <v>23</v>
      </c>
      <c r="D957" t="s">
        <v>17</v>
      </c>
      <c r="E957" t="s">
        <v>32</v>
      </c>
      <c r="F957" t="s">
        <v>62</v>
      </c>
      <c r="G957">
        <v>6.7</v>
      </c>
      <c r="H957">
        <v>4.8</v>
      </c>
      <c r="I957" t="str" cm="1">
        <f t="array" ref="I957">_xlfn.IFS(G957&lt;3, "0–2 Years", G957&lt;6, "3–5 Years", G957&lt;9, "6–8 Years", G957&lt;12, "9-11 Years", G957&gt;=12, "12-14 Years")</f>
        <v>6–8 Years</v>
      </c>
      <c r="J957">
        <v>4</v>
      </c>
      <c r="K957" t="s">
        <v>24</v>
      </c>
      <c r="L957">
        <v>45400</v>
      </c>
      <c r="M957">
        <v>2400</v>
      </c>
      <c r="N957">
        <v>47800</v>
      </c>
      <c r="O957" t="s">
        <v>65</v>
      </c>
      <c r="P957" s="3">
        <v>43561</v>
      </c>
      <c r="Q957" t="s">
        <v>62</v>
      </c>
    </row>
    <row r="958" spans="1:17" x14ac:dyDescent="0.35">
      <c r="A958" t="s">
        <v>1010</v>
      </c>
      <c r="B958" t="s">
        <v>23</v>
      </c>
      <c r="C958">
        <v>44</v>
      </c>
      <c r="D958" t="s">
        <v>55</v>
      </c>
      <c r="E958" t="s">
        <v>56</v>
      </c>
      <c r="F958" t="s">
        <v>28</v>
      </c>
      <c r="G958">
        <v>6.5</v>
      </c>
      <c r="H958">
        <v>3.2</v>
      </c>
      <c r="I958" t="str" cm="1">
        <f t="array" ref="I958">_xlfn.IFS(G958&lt;3, "0–2 Years", G958&lt;6, "3–5 Years", G958&lt;9, "6–8 Years", G958&lt;12, "9-11 Years", G958&gt;=12, "12-14 Years")</f>
        <v>6–8 Years</v>
      </c>
      <c r="J958">
        <v>3</v>
      </c>
      <c r="K958" t="s">
        <v>20</v>
      </c>
      <c r="L958">
        <v>97400</v>
      </c>
      <c r="M958">
        <v>11700</v>
      </c>
      <c r="N958">
        <v>109100</v>
      </c>
      <c r="O958" t="s">
        <v>30</v>
      </c>
      <c r="P958" s="3">
        <v>43662</v>
      </c>
      <c r="Q958" t="s">
        <v>28</v>
      </c>
    </row>
    <row r="959" spans="1:17" x14ac:dyDescent="0.35">
      <c r="A959" t="s">
        <v>1011</v>
      </c>
      <c r="B959" t="s">
        <v>16</v>
      </c>
      <c r="C959">
        <v>34</v>
      </c>
      <c r="D959" t="s">
        <v>38</v>
      </c>
      <c r="E959" t="s">
        <v>39</v>
      </c>
      <c r="F959" t="s">
        <v>28</v>
      </c>
      <c r="G959">
        <v>4.7</v>
      </c>
      <c r="H959">
        <v>2.9</v>
      </c>
      <c r="I959" t="str" cm="1">
        <f t="array" ref="I959">_xlfn.IFS(G959&lt;3, "0–2 Years", G959&lt;6, "3–5 Years", G959&lt;9, "6–8 Years", G959&lt;12, "9-11 Years", G959&gt;=12, "12-14 Years")</f>
        <v>3–5 Years</v>
      </c>
      <c r="J959">
        <v>4</v>
      </c>
      <c r="K959" t="s">
        <v>20</v>
      </c>
      <c r="L959">
        <v>79100</v>
      </c>
      <c r="M959">
        <v>6200</v>
      </c>
      <c r="N959">
        <v>85300</v>
      </c>
      <c r="O959" t="s">
        <v>21</v>
      </c>
      <c r="P959" s="3">
        <v>44304</v>
      </c>
      <c r="Q959" t="s">
        <v>28</v>
      </c>
    </row>
    <row r="960" spans="1:17" x14ac:dyDescent="0.35">
      <c r="A960" t="s">
        <v>1012</v>
      </c>
      <c r="B960" t="s">
        <v>16</v>
      </c>
      <c r="C960" s="7">
        <v>39</v>
      </c>
      <c r="D960" t="s">
        <v>44</v>
      </c>
      <c r="E960" t="s">
        <v>45</v>
      </c>
      <c r="F960" t="s">
        <v>28</v>
      </c>
      <c r="G960" s="9">
        <v>12.5</v>
      </c>
      <c r="H960" s="7">
        <v>7.3</v>
      </c>
      <c r="I960" t="str" cm="1">
        <f t="array" ref="I960">_xlfn.IFS(G960&lt;3, "0–2 Years", G960&lt;6, "3–5 Years", G960&lt;9, "6–8 Years", G960&lt;12, "9-11 Years", G960&gt;=12, "12-14 Years")</f>
        <v>12-14 Years</v>
      </c>
      <c r="J960" s="7">
        <v>3</v>
      </c>
      <c r="K960" t="s">
        <v>24</v>
      </c>
      <c r="L960" s="7">
        <v>51600</v>
      </c>
      <c r="M960" s="7">
        <v>3200</v>
      </c>
      <c r="N960" s="7">
        <v>54800</v>
      </c>
      <c r="O960" t="s">
        <v>25</v>
      </c>
      <c r="P960" s="3">
        <v>41445</v>
      </c>
      <c r="Q960" t="s">
        <v>28</v>
      </c>
    </row>
    <row r="961" spans="1:17" x14ac:dyDescent="0.35">
      <c r="A961" t="s">
        <v>1013</v>
      </c>
      <c r="B961" t="s">
        <v>16</v>
      </c>
      <c r="C961">
        <v>24</v>
      </c>
      <c r="D961" t="s">
        <v>55</v>
      </c>
      <c r="E961" t="s">
        <v>56</v>
      </c>
      <c r="F961" t="s">
        <v>28</v>
      </c>
      <c r="G961">
        <v>1.6</v>
      </c>
      <c r="H961">
        <v>0.9</v>
      </c>
      <c r="I961" t="str" cm="1">
        <f t="array" ref="I961">_xlfn.IFS(G961&lt;3, "0–2 Years", G961&lt;6, "3–5 Years", G961&lt;9, "6–8 Years", G961&lt;12, "9-11 Years", G961&gt;=12, "12-14 Years")</f>
        <v>0–2 Years</v>
      </c>
      <c r="J961">
        <v>4</v>
      </c>
      <c r="K961" t="s">
        <v>20</v>
      </c>
      <c r="L961">
        <v>95100</v>
      </c>
      <c r="M961">
        <v>19200</v>
      </c>
      <c r="N961">
        <v>114300</v>
      </c>
      <c r="O961" t="s">
        <v>30</v>
      </c>
      <c r="P961" s="3">
        <v>45447</v>
      </c>
      <c r="Q961" t="s">
        <v>28</v>
      </c>
    </row>
    <row r="962" spans="1:17" x14ac:dyDescent="0.35">
      <c r="A962" t="s">
        <v>1014</v>
      </c>
      <c r="B962" t="s">
        <v>16</v>
      </c>
      <c r="C962">
        <v>41</v>
      </c>
      <c r="D962" t="s">
        <v>17</v>
      </c>
      <c r="E962" t="s">
        <v>27</v>
      </c>
      <c r="F962" t="s">
        <v>28</v>
      </c>
      <c r="G962">
        <v>5.5</v>
      </c>
      <c r="H962">
        <v>4.9000000000000004</v>
      </c>
      <c r="I962" t="str" cm="1">
        <f t="array" ref="I962">_xlfn.IFS(G962&lt;3, "0–2 Years", G962&lt;6, "3–5 Years", G962&lt;9, "6–8 Years", G962&lt;12, "9-11 Years", G962&gt;=12, "12-14 Years")</f>
        <v>3–5 Years</v>
      </c>
      <c r="J962">
        <v>3</v>
      </c>
      <c r="K962" t="s">
        <v>20</v>
      </c>
      <c r="L962">
        <v>77000</v>
      </c>
      <c r="M962">
        <v>9300</v>
      </c>
      <c r="N962">
        <v>86300</v>
      </c>
      <c r="O962" t="s">
        <v>21</v>
      </c>
      <c r="P962" s="3">
        <v>44000</v>
      </c>
      <c r="Q962" t="s">
        <v>28</v>
      </c>
    </row>
    <row r="963" spans="1:17" x14ac:dyDescent="0.35">
      <c r="A963" t="s">
        <v>1015</v>
      </c>
      <c r="B963" t="s">
        <v>16</v>
      </c>
      <c r="C963">
        <v>44</v>
      </c>
      <c r="D963" t="s">
        <v>38</v>
      </c>
      <c r="E963" t="s">
        <v>61</v>
      </c>
      <c r="F963" t="s">
        <v>36</v>
      </c>
      <c r="G963">
        <v>1.6</v>
      </c>
      <c r="H963">
        <v>0.7</v>
      </c>
      <c r="I963" t="str" cm="1">
        <f t="array" ref="I963">_xlfn.IFS(G963&lt;3, "0–2 Years", G963&lt;6, "3–5 Years", G963&lt;9, "6–8 Years", G963&lt;12, "9-11 Years", G963&gt;=12, "12-14 Years")</f>
        <v>0–2 Years</v>
      </c>
      <c r="J963">
        <v>3</v>
      </c>
      <c r="K963" t="s">
        <v>69</v>
      </c>
      <c r="L963">
        <v>91300</v>
      </c>
      <c r="M963">
        <v>5400</v>
      </c>
      <c r="N963">
        <v>96700</v>
      </c>
      <c r="O963" t="s">
        <v>30</v>
      </c>
      <c r="P963" s="3">
        <v>45453</v>
      </c>
      <c r="Q963" t="s">
        <v>36</v>
      </c>
    </row>
    <row r="964" spans="1:17" x14ac:dyDescent="0.35">
      <c r="A964" t="s">
        <v>1016</v>
      </c>
      <c r="B964" t="s">
        <v>23</v>
      </c>
      <c r="C964">
        <v>47</v>
      </c>
      <c r="D964" t="s">
        <v>17</v>
      </c>
      <c r="E964" t="s">
        <v>27</v>
      </c>
      <c r="F964" t="s">
        <v>28</v>
      </c>
      <c r="G964">
        <v>9.1</v>
      </c>
      <c r="H964">
        <v>7.4</v>
      </c>
      <c r="I964" t="str" cm="1">
        <f t="array" ref="I964">_xlfn.IFS(G964&lt;3, "0–2 Years", G964&lt;6, "3–5 Years", G964&lt;9, "6–8 Years", G964&lt;12, "9-11 Years", G964&gt;=12, "12-14 Years")</f>
        <v>9-11 Years</v>
      </c>
      <c r="J964">
        <v>3</v>
      </c>
      <c r="K964" t="s">
        <v>20</v>
      </c>
      <c r="L964">
        <v>86800</v>
      </c>
      <c r="M964">
        <v>7100</v>
      </c>
      <c r="N964">
        <v>93900</v>
      </c>
      <c r="O964" t="s">
        <v>30</v>
      </c>
      <c r="P964" s="3">
        <v>42717</v>
      </c>
      <c r="Q964" t="s">
        <v>28</v>
      </c>
    </row>
    <row r="965" spans="1:17" x14ac:dyDescent="0.35">
      <c r="A965" t="s">
        <v>1017</v>
      </c>
      <c r="B965" t="s">
        <v>16</v>
      </c>
      <c r="C965" s="7">
        <v>36</v>
      </c>
      <c r="D965" t="s">
        <v>17</v>
      </c>
      <c r="E965" t="s">
        <v>18</v>
      </c>
      <c r="F965" t="s">
        <v>36</v>
      </c>
      <c r="G965" s="9">
        <v>13</v>
      </c>
      <c r="H965" s="7">
        <v>10</v>
      </c>
      <c r="I965" t="str" cm="1">
        <f t="array" ref="I965">_xlfn.IFS(G965&lt;3, "0–2 Years", G965&lt;6, "3–5 Years", G965&lt;9, "6–8 Years", G965&lt;12, "9-11 Years", G965&gt;=12, "12-14 Years")</f>
        <v>12-14 Years</v>
      </c>
      <c r="J965" s="7">
        <v>4</v>
      </c>
      <c r="K965" t="s">
        <v>20</v>
      </c>
      <c r="L965" s="7">
        <v>110700</v>
      </c>
      <c r="M965" s="7">
        <v>9900</v>
      </c>
      <c r="N965" s="7">
        <v>120600</v>
      </c>
      <c r="O965" t="s">
        <v>57</v>
      </c>
      <c r="P965" s="3">
        <v>41277</v>
      </c>
      <c r="Q965" t="s">
        <v>36</v>
      </c>
    </row>
    <row r="966" spans="1:17" x14ac:dyDescent="0.35">
      <c r="A966" t="s">
        <v>1018</v>
      </c>
      <c r="B966" t="s">
        <v>16</v>
      </c>
      <c r="C966">
        <v>24</v>
      </c>
      <c r="D966" t="s">
        <v>55</v>
      </c>
      <c r="E966" t="s">
        <v>56</v>
      </c>
      <c r="F966" t="s">
        <v>28</v>
      </c>
      <c r="G966">
        <v>4.3</v>
      </c>
      <c r="H966">
        <v>3.4</v>
      </c>
      <c r="I966" t="str" cm="1">
        <f t="array" ref="I966">_xlfn.IFS(G966&lt;3, "0–2 Years", G966&lt;6, "3–5 Years", G966&lt;9, "6–8 Years", G966&lt;12, "9-11 Years", G966&gt;=12, "12-14 Years")</f>
        <v>3–5 Years</v>
      </c>
      <c r="J966">
        <v>4</v>
      </c>
      <c r="K966" t="s">
        <v>24</v>
      </c>
      <c r="L966">
        <v>65100</v>
      </c>
      <c r="M966">
        <v>8100</v>
      </c>
      <c r="N966">
        <v>73200</v>
      </c>
      <c r="O966" t="s">
        <v>21</v>
      </c>
      <c r="P966" s="3">
        <v>44454</v>
      </c>
      <c r="Q966" t="s">
        <v>28</v>
      </c>
    </row>
    <row r="967" spans="1:17" x14ac:dyDescent="0.35">
      <c r="A967" t="s">
        <v>1019</v>
      </c>
      <c r="B967" t="s">
        <v>16</v>
      </c>
      <c r="C967">
        <v>28</v>
      </c>
      <c r="D967" t="s">
        <v>38</v>
      </c>
      <c r="E967" t="s">
        <v>61</v>
      </c>
      <c r="F967" t="s">
        <v>28</v>
      </c>
      <c r="G967">
        <v>10.5</v>
      </c>
      <c r="H967">
        <v>6.5</v>
      </c>
      <c r="I967" t="str" cm="1">
        <f t="array" ref="I967">_xlfn.IFS(G967&lt;3, "0–2 Years", G967&lt;6, "3–5 Years", G967&lt;9, "6–8 Years", G967&lt;12, "9-11 Years", G967&gt;=12, "12-14 Years")</f>
        <v>9-11 Years</v>
      </c>
      <c r="J967">
        <v>3</v>
      </c>
      <c r="K967" t="s">
        <v>20</v>
      </c>
      <c r="L967">
        <v>104200</v>
      </c>
      <c r="M967">
        <v>10900</v>
      </c>
      <c r="N967">
        <v>115100</v>
      </c>
      <c r="O967" t="s">
        <v>57</v>
      </c>
      <c r="P967" s="3">
        <v>42197</v>
      </c>
      <c r="Q967" t="s">
        <v>28</v>
      </c>
    </row>
    <row r="968" spans="1:17" x14ac:dyDescent="0.35">
      <c r="A968" t="s">
        <v>1020</v>
      </c>
      <c r="B968" t="s">
        <v>23</v>
      </c>
      <c r="C968">
        <v>38</v>
      </c>
      <c r="D968" t="s">
        <v>17</v>
      </c>
      <c r="E968" t="s">
        <v>27</v>
      </c>
      <c r="F968" t="s">
        <v>28</v>
      </c>
      <c r="G968">
        <v>9.6999999999999993</v>
      </c>
      <c r="H968">
        <v>7.3</v>
      </c>
      <c r="I968" t="str" cm="1">
        <f t="array" ref="I968">_xlfn.IFS(G968&lt;3, "0–2 Years", G968&lt;6, "3–5 Years", G968&lt;9, "6–8 Years", G968&lt;12, "9-11 Years", G968&gt;=12, "12-14 Years")</f>
        <v>9-11 Years</v>
      </c>
      <c r="J968">
        <v>3</v>
      </c>
      <c r="K968" t="s">
        <v>69</v>
      </c>
      <c r="L968">
        <v>65300</v>
      </c>
      <c r="M968">
        <v>7600</v>
      </c>
      <c r="N968">
        <v>72900</v>
      </c>
      <c r="O968" t="s">
        <v>21</v>
      </c>
      <c r="P968" s="3">
        <v>42494</v>
      </c>
      <c r="Q968" t="s">
        <v>28</v>
      </c>
    </row>
    <row r="969" spans="1:17" x14ac:dyDescent="0.35">
      <c r="A969" t="s">
        <v>1021</v>
      </c>
      <c r="B969" t="s">
        <v>16</v>
      </c>
      <c r="C969">
        <v>39</v>
      </c>
      <c r="D969" t="s">
        <v>41</v>
      </c>
      <c r="E969" t="s">
        <v>42</v>
      </c>
      <c r="F969" t="s">
        <v>28</v>
      </c>
      <c r="G969">
        <v>3.6</v>
      </c>
      <c r="H969">
        <v>2</v>
      </c>
      <c r="I969" t="str" cm="1">
        <f t="array" ref="I969">_xlfn.IFS(G969&lt;3, "0–2 Years", G969&lt;6, "3–5 Years", G969&lt;9, "6–8 Years", G969&lt;12, "9-11 Years", G969&gt;=12, "12-14 Years")</f>
        <v>3–5 Years</v>
      </c>
      <c r="J969">
        <v>3</v>
      </c>
      <c r="K969" t="s">
        <v>69</v>
      </c>
      <c r="L969">
        <v>58900</v>
      </c>
      <c r="M969">
        <v>2200</v>
      </c>
      <c r="N969">
        <v>61100</v>
      </c>
      <c r="O969" t="s">
        <v>25</v>
      </c>
      <c r="P969" s="3">
        <v>44714</v>
      </c>
      <c r="Q969" t="s">
        <v>28</v>
      </c>
    </row>
    <row r="970" spans="1:17" x14ac:dyDescent="0.35">
      <c r="A970" t="s">
        <v>1022</v>
      </c>
      <c r="B970" t="s">
        <v>16</v>
      </c>
      <c r="C970">
        <v>33</v>
      </c>
      <c r="D970" t="s">
        <v>44</v>
      </c>
      <c r="E970" t="s">
        <v>76</v>
      </c>
      <c r="F970" t="s">
        <v>28</v>
      </c>
      <c r="G970">
        <v>11.2</v>
      </c>
      <c r="H970">
        <v>5.9</v>
      </c>
      <c r="I970" t="str" cm="1">
        <f t="array" ref="I970">_xlfn.IFS(G970&lt;3, "0–2 Years", G970&lt;6, "3–5 Years", G970&lt;9, "6–8 Years", G970&lt;12, "9-11 Years", G970&gt;=12, "12-14 Years")</f>
        <v>9-11 Years</v>
      </c>
      <c r="J970">
        <v>2</v>
      </c>
      <c r="K970" t="s">
        <v>20</v>
      </c>
      <c r="L970">
        <v>107300</v>
      </c>
      <c r="M970">
        <v>7700</v>
      </c>
      <c r="N970">
        <v>115000</v>
      </c>
      <c r="O970" t="s">
        <v>57</v>
      </c>
      <c r="P970" s="3">
        <v>41918</v>
      </c>
      <c r="Q970" t="s">
        <v>28</v>
      </c>
    </row>
    <row r="971" spans="1:17" x14ac:dyDescent="0.35">
      <c r="A971" t="s">
        <v>1023</v>
      </c>
      <c r="B971" t="s">
        <v>16</v>
      </c>
      <c r="C971">
        <v>38</v>
      </c>
      <c r="D971" t="s">
        <v>44</v>
      </c>
      <c r="E971" t="s">
        <v>45</v>
      </c>
      <c r="F971" t="s">
        <v>62</v>
      </c>
      <c r="G971">
        <v>9.8000000000000007</v>
      </c>
      <c r="H971">
        <v>7.1</v>
      </c>
      <c r="I971" t="str" cm="1">
        <f t="array" ref="I971">_xlfn.IFS(G971&lt;3, "0–2 Years", G971&lt;6, "3–5 Years", G971&lt;9, "6–8 Years", G971&lt;12, "9-11 Years", G971&gt;=12, "12-14 Years")</f>
        <v>9-11 Years</v>
      </c>
      <c r="J971">
        <v>3</v>
      </c>
      <c r="K971" t="s">
        <v>20</v>
      </c>
      <c r="L971">
        <v>90400</v>
      </c>
      <c r="M971">
        <v>11800</v>
      </c>
      <c r="N971">
        <v>102200</v>
      </c>
      <c r="O971" t="s">
        <v>30</v>
      </c>
      <c r="P971" s="3">
        <v>42439</v>
      </c>
      <c r="Q971" t="s">
        <v>62</v>
      </c>
    </row>
    <row r="972" spans="1:17" x14ac:dyDescent="0.35">
      <c r="A972" t="s">
        <v>1024</v>
      </c>
      <c r="B972" t="s">
        <v>23</v>
      </c>
      <c r="C972">
        <v>35</v>
      </c>
      <c r="D972" t="s">
        <v>44</v>
      </c>
      <c r="E972" t="s">
        <v>76</v>
      </c>
      <c r="F972" t="s">
        <v>28</v>
      </c>
      <c r="G972">
        <v>6.6</v>
      </c>
      <c r="H972">
        <v>3.9</v>
      </c>
      <c r="I972" t="str" cm="1">
        <f t="array" ref="I972">_xlfn.IFS(G972&lt;3, "0–2 Years", G972&lt;6, "3–5 Years", G972&lt;9, "6–8 Years", G972&lt;12, "9-11 Years", G972&gt;=12, "12-14 Years")</f>
        <v>6–8 Years</v>
      </c>
      <c r="J972">
        <v>3</v>
      </c>
      <c r="K972" t="s">
        <v>20</v>
      </c>
      <c r="L972">
        <v>109600</v>
      </c>
      <c r="M972">
        <v>10300</v>
      </c>
      <c r="N972">
        <v>119900</v>
      </c>
      <c r="O972" t="s">
        <v>57</v>
      </c>
      <c r="P972" s="3">
        <v>43598</v>
      </c>
      <c r="Q972" t="s">
        <v>28</v>
      </c>
    </row>
    <row r="973" spans="1:17" x14ac:dyDescent="0.35">
      <c r="A973" t="s">
        <v>1025</v>
      </c>
      <c r="B973" t="s">
        <v>23</v>
      </c>
      <c r="C973">
        <v>45</v>
      </c>
      <c r="D973" t="s">
        <v>34</v>
      </c>
      <c r="E973" t="s">
        <v>35</v>
      </c>
      <c r="F973" t="s">
        <v>36</v>
      </c>
      <c r="G973">
        <v>3.8</v>
      </c>
      <c r="H973">
        <v>2.2999999999999998</v>
      </c>
      <c r="I973" t="str" cm="1">
        <f t="array" ref="I973">_xlfn.IFS(G973&lt;3, "0–2 Years", G973&lt;6, "3–5 Years", G973&lt;9, "6–8 Years", G973&lt;12, "9-11 Years", G973&gt;=12, "12-14 Years")</f>
        <v>3–5 Years</v>
      </c>
      <c r="J973">
        <v>4</v>
      </c>
      <c r="K973" t="s">
        <v>69</v>
      </c>
      <c r="L973">
        <v>67000</v>
      </c>
      <c r="M973">
        <v>4400</v>
      </c>
      <c r="N973">
        <v>71400</v>
      </c>
      <c r="O973" t="s">
        <v>21</v>
      </c>
      <c r="P973" s="3">
        <v>44643</v>
      </c>
      <c r="Q973" t="s">
        <v>36</v>
      </c>
    </row>
    <row r="974" spans="1:17" x14ac:dyDescent="0.35">
      <c r="A974" t="s">
        <v>1026</v>
      </c>
      <c r="B974" t="s">
        <v>16</v>
      </c>
      <c r="C974">
        <v>36</v>
      </c>
      <c r="D974" t="s">
        <v>34</v>
      </c>
      <c r="E974" t="s">
        <v>47</v>
      </c>
      <c r="F974" t="s">
        <v>36</v>
      </c>
      <c r="G974">
        <v>2.9</v>
      </c>
      <c r="H974">
        <v>2.9</v>
      </c>
      <c r="I974" t="str" cm="1">
        <f t="array" ref="I974">_xlfn.IFS(G974&lt;3, "0–2 Years", G974&lt;6, "3–5 Years", G974&lt;9, "6–8 Years", G974&lt;12, "9-11 Years", G974&gt;=12, "12-14 Years")</f>
        <v>0–2 Years</v>
      </c>
      <c r="J974">
        <v>3</v>
      </c>
      <c r="K974" t="s">
        <v>20</v>
      </c>
      <c r="L974">
        <v>86300</v>
      </c>
      <c r="M974">
        <v>9800</v>
      </c>
      <c r="N974">
        <v>96100</v>
      </c>
      <c r="O974" t="s">
        <v>30</v>
      </c>
      <c r="P974" s="3">
        <v>44967</v>
      </c>
      <c r="Q974" t="s">
        <v>36</v>
      </c>
    </row>
    <row r="975" spans="1:17" x14ac:dyDescent="0.35">
      <c r="A975" t="s">
        <v>1027</v>
      </c>
      <c r="B975" t="s">
        <v>16</v>
      </c>
      <c r="C975">
        <v>45</v>
      </c>
      <c r="D975" t="s">
        <v>38</v>
      </c>
      <c r="E975" t="s">
        <v>61</v>
      </c>
      <c r="F975" t="s">
        <v>28</v>
      </c>
      <c r="G975">
        <v>11.1</v>
      </c>
      <c r="H975">
        <v>5.5</v>
      </c>
      <c r="I975" t="str" cm="1">
        <f t="array" ref="I975">_xlfn.IFS(G975&lt;3, "0–2 Years", G975&lt;6, "3–5 Years", G975&lt;9, "6–8 Years", G975&lt;12, "9-11 Years", G975&gt;=12, "12-14 Years")</f>
        <v>9-11 Years</v>
      </c>
      <c r="J975">
        <v>5</v>
      </c>
      <c r="K975" t="s">
        <v>69</v>
      </c>
      <c r="L975">
        <v>91100</v>
      </c>
      <c r="M975">
        <v>8400</v>
      </c>
      <c r="N975">
        <v>99500</v>
      </c>
      <c r="O975" t="s">
        <v>30</v>
      </c>
      <c r="P975" s="3">
        <v>41966</v>
      </c>
      <c r="Q975" t="s">
        <v>28</v>
      </c>
    </row>
    <row r="976" spans="1:17" x14ac:dyDescent="0.35">
      <c r="A976" t="s">
        <v>1028</v>
      </c>
      <c r="B976" t="s">
        <v>16</v>
      </c>
      <c r="C976" s="7">
        <v>51</v>
      </c>
      <c r="D976" t="s">
        <v>38</v>
      </c>
      <c r="E976" t="s">
        <v>112</v>
      </c>
      <c r="F976" t="s">
        <v>36</v>
      </c>
      <c r="G976" s="9">
        <v>12.3</v>
      </c>
      <c r="H976" s="7">
        <v>7.9</v>
      </c>
      <c r="I976" t="str" cm="1">
        <f t="array" ref="I976">_xlfn.IFS(G976&lt;3, "0–2 Years", G976&lt;6, "3–5 Years", G976&lt;9, "6–8 Years", G976&lt;12, "9-11 Years", G976&gt;=12, "12-14 Years")</f>
        <v>12-14 Years</v>
      </c>
      <c r="J976" s="7">
        <v>3</v>
      </c>
      <c r="K976" t="s">
        <v>20</v>
      </c>
      <c r="L976" s="7">
        <v>79300</v>
      </c>
      <c r="M976" s="7">
        <v>6400</v>
      </c>
      <c r="N976" s="7">
        <v>85700</v>
      </c>
      <c r="O976" t="s">
        <v>21</v>
      </c>
      <c r="P976" s="3">
        <v>41523</v>
      </c>
      <c r="Q976" t="s">
        <v>36</v>
      </c>
    </row>
    <row r="977" spans="1:17" x14ac:dyDescent="0.35">
      <c r="A977" t="s">
        <v>1029</v>
      </c>
      <c r="B977" t="s">
        <v>23</v>
      </c>
      <c r="C977">
        <v>37</v>
      </c>
      <c r="D977" t="s">
        <v>41</v>
      </c>
      <c r="E977" t="s">
        <v>67</v>
      </c>
      <c r="F977" t="s">
        <v>62</v>
      </c>
      <c r="G977">
        <v>10.9</v>
      </c>
      <c r="H977">
        <v>6.7</v>
      </c>
      <c r="I977" t="str" cm="1">
        <f t="array" ref="I977">_xlfn.IFS(G977&lt;3, "0–2 Years", G977&lt;6, "3–5 Years", G977&lt;9, "6–8 Years", G977&lt;12, "9-11 Years", G977&gt;=12, "12-14 Years")</f>
        <v>9-11 Years</v>
      </c>
      <c r="J977">
        <v>3</v>
      </c>
      <c r="K977" t="s">
        <v>20</v>
      </c>
      <c r="L977">
        <v>75200</v>
      </c>
      <c r="M977">
        <v>2500</v>
      </c>
      <c r="N977">
        <v>77700</v>
      </c>
      <c r="O977" t="s">
        <v>21</v>
      </c>
      <c r="P977" s="3">
        <v>42042</v>
      </c>
      <c r="Q977" t="s">
        <v>62</v>
      </c>
    </row>
    <row r="978" spans="1:17" x14ac:dyDescent="0.35">
      <c r="A978" t="s">
        <v>1030</v>
      </c>
      <c r="B978" t="s">
        <v>16</v>
      </c>
      <c r="C978">
        <v>25</v>
      </c>
      <c r="D978" t="s">
        <v>44</v>
      </c>
      <c r="E978" t="s">
        <v>45</v>
      </c>
      <c r="F978" t="s">
        <v>36</v>
      </c>
      <c r="G978">
        <v>4.4000000000000004</v>
      </c>
      <c r="H978">
        <v>0</v>
      </c>
      <c r="I978" t="str" cm="1">
        <f t="array" ref="I978">_xlfn.IFS(G978&lt;3, "0–2 Years", G978&lt;6, "3–5 Years", G978&lt;9, "6–8 Years", G978&lt;12, "9-11 Years", G978&gt;=12, "12-14 Years")</f>
        <v>3–5 Years</v>
      </c>
      <c r="J978">
        <v>3</v>
      </c>
      <c r="K978" t="s">
        <v>69</v>
      </c>
      <c r="L978">
        <v>62900</v>
      </c>
      <c r="M978">
        <v>7000</v>
      </c>
      <c r="N978">
        <v>69900</v>
      </c>
      <c r="O978" t="s">
        <v>25</v>
      </c>
      <c r="P978" s="3">
        <v>44412</v>
      </c>
      <c r="Q978" t="s">
        <v>36</v>
      </c>
    </row>
    <row r="979" spans="1:17" x14ac:dyDescent="0.35">
      <c r="A979" t="s">
        <v>1031</v>
      </c>
      <c r="B979" t="s">
        <v>23</v>
      </c>
      <c r="C979">
        <v>48</v>
      </c>
      <c r="D979" t="s">
        <v>38</v>
      </c>
      <c r="E979" t="s">
        <v>39</v>
      </c>
      <c r="F979" t="s">
        <v>19</v>
      </c>
      <c r="G979">
        <v>5.7</v>
      </c>
      <c r="H979">
        <v>3.5</v>
      </c>
      <c r="I979" t="str" cm="1">
        <f t="array" ref="I979">_xlfn.IFS(G979&lt;3, "0–2 Years", G979&lt;6, "3–5 Years", G979&lt;9, "6–8 Years", G979&lt;12, "9-11 Years", G979&gt;=12, "12-14 Years")</f>
        <v>3–5 Years</v>
      </c>
      <c r="J979">
        <v>4</v>
      </c>
      <c r="K979" t="s">
        <v>20</v>
      </c>
      <c r="L979">
        <v>70500</v>
      </c>
      <c r="M979">
        <v>3800</v>
      </c>
      <c r="N979">
        <v>74300</v>
      </c>
      <c r="O979" t="s">
        <v>21</v>
      </c>
      <c r="P979" s="3">
        <v>43957</v>
      </c>
      <c r="Q979" t="s">
        <v>19</v>
      </c>
    </row>
    <row r="980" spans="1:17" x14ac:dyDescent="0.35">
      <c r="A980" t="s">
        <v>1032</v>
      </c>
      <c r="B980" t="s">
        <v>23</v>
      </c>
      <c r="C980">
        <v>47</v>
      </c>
      <c r="D980" t="s">
        <v>44</v>
      </c>
      <c r="E980" t="s">
        <v>45</v>
      </c>
      <c r="F980" t="s">
        <v>36</v>
      </c>
      <c r="G980">
        <v>11.4</v>
      </c>
      <c r="H980">
        <v>8.1</v>
      </c>
      <c r="I980" t="str" cm="1">
        <f t="array" ref="I980">_xlfn.IFS(G980&lt;3, "0–2 Years", G980&lt;6, "3–5 Years", G980&lt;9, "6–8 Years", G980&lt;12, "9-11 Years", G980&gt;=12, "12-14 Years")</f>
        <v>9-11 Years</v>
      </c>
      <c r="J980">
        <v>2</v>
      </c>
      <c r="K980" t="s">
        <v>20</v>
      </c>
      <c r="L980">
        <v>71300</v>
      </c>
      <c r="M980">
        <v>7300</v>
      </c>
      <c r="N980">
        <v>78600</v>
      </c>
      <c r="O980" t="s">
        <v>21</v>
      </c>
      <c r="P980" s="3">
        <v>41867</v>
      </c>
      <c r="Q980" t="s">
        <v>36</v>
      </c>
    </row>
    <row r="981" spans="1:17" x14ac:dyDescent="0.35">
      <c r="A981" t="s">
        <v>1033</v>
      </c>
      <c r="B981" t="s">
        <v>23</v>
      </c>
      <c r="C981">
        <v>32</v>
      </c>
      <c r="D981" t="s">
        <v>55</v>
      </c>
      <c r="E981" t="s">
        <v>56</v>
      </c>
      <c r="F981" t="s">
        <v>28</v>
      </c>
      <c r="G981">
        <v>4.7</v>
      </c>
      <c r="H981">
        <v>4.7</v>
      </c>
      <c r="I981" t="str" cm="1">
        <f t="array" ref="I981">_xlfn.IFS(G981&lt;3, "0–2 Years", G981&lt;6, "3–5 Years", G981&lt;9, "6–8 Years", G981&lt;12, "9-11 Years", G981&gt;=12, "12-14 Years")</f>
        <v>3–5 Years</v>
      </c>
      <c r="J981">
        <v>2</v>
      </c>
      <c r="K981" t="s">
        <v>20</v>
      </c>
      <c r="L981">
        <v>92800</v>
      </c>
      <c r="M981">
        <v>17700</v>
      </c>
      <c r="N981">
        <v>110500</v>
      </c>
      <c r="O981" t="s">
        <v>30</v>
      </c>
      <c r="P981" s="3">
        <v>44292</v>
      </c>
      <c r="Q981" t="s">
        <v>28</v>
      </c>
    </row>
    <row r="982" spans="1:17" x14ac:dyDescent="0.35">
      <c r="A982" t="s">
        <v>1034</v>
      </c>
      <c r="B982" t="s">
        <v>23</v>
      </c>
      <c r="C982">
        <v>21</v>
      </c>
      <c r="D982" t="s">
        <v>55</v>
      </c>
      <c r="E982" t="s">
        <v>79</v>
      </c>
      <c r="F982" t="s">
        <v>28</v>
      </c>
      <c r="G982">
        <v>11</v>
      </c>
      <c r="H982">
        <v>6.9</v>
      </c>
      <c r="I982" t="str" cm="1">
        <f t="array" ref="I982">_xlfn.IFS(G982&lt;3, "0–2 Years", G982&lt;6, "3–5 Years", G982&lt;9, "6–8 Years", G982&lt;12, "9-11 Years", G982&gt;=12, "12-14 Years")</f>
        <v>9-11 Years</v>
      </c>
      <c r="J982">
        <v>3</v>
      </c>
      <c r="K982" t="s">
        <v>24</v>
      </c>
      <c r="L982">
        <v>43700</v>
      </c>
      <c r="M982">
        <v>5000</v>
      </c>
      <c r="N982">
        <v>48700</v>
      </c>
      <c r="O982" t="s">
        <v>65</v>
      </c>
      <c r="P982" s="3">
        <v>41987</v>
      </c>
      <c r="Q982" t="s">
        <v>28</v>
      </c>
    </row>
    <row r="983" spans="1:17" x14ac:dyDescent="0.35">
      <c r="A983" t="s">
        <v>1035</v>
      </c>
      <c r="B983" t="s">
        <v>16</v>
      </c>
      <c r="C983">
        <v>40</v>
      </c>
      <c r="D983" t="s">
        <v>41</v>
      </c>
      <c r="E983" t="s">
        <v>42</v>
      </c>
      <c r="F983" t="s">
        <v>28</v>
      </c>
      <c r="G983">
        <v>7</v>
      </c>
      <c r="H983">
        <v>1.5</v>
      </c>
      <c r="I983" t="str" cm="1">
        <f t="array" ref="I983">_xlfn.IFS(G983&lt;3, "0–2 Years", G983&lt;6, "3–5 Years", G983&lt;9, "6–8 Years", G983&lt;12, "9-11 Years", G983&gt;=12, "12-14 Years")</f>
        <v>6–8 Years</v>
      </c>
      <c r="J983">
        <v>2</v>
      </c>
      <c r="K983" t="s">
        <v>20</v>
      </c>
      <c r="L983">
        <v>72500</v>
      </c>
      <c r="M983">
        <v>6100</v>
      </c>
      <c r="N983">
        <v>78600</v>
      </c>
      <c r="O983" t="s">
        <v>21</v>
      </c>
      <c r="P983" s="3">
        <v>43461</v>
      </c>
      <c r="Q983" t="s">
        <v>28</v>
      </c>
    </row>
    <row r="984" spans="1:17" x14ac:dyDescent="0.35">
      <c r="A984" t="s">
        <v>1036</v>
      </c>
      <c r="B984" t="s">
        <v>16</v>
      </c>
      <c r="C984" s="7">
        <v>44</v>
      </c>
      <c r="D984" t="s">
        <v>41</v>
      </c>
      <c r="E984" t="s">
        <v>73</v>
      </c>
      <c r="F984" t="s">
        <v>36</v>
      </c>
      <c r="G984" s="9">
        <v>12.8</v>
      </c>
      <c r="H984" s="7">
        <v>8.1999999999999993</v>
      </c>
      <c r="I984" t="str" cm="1">
        <f t="array" ref="I984">_xlfn.IFS(G984&lt;3, "0–2 Years", G984&lt;6, "3–5 Years", G984&lt;9, "6–8 Years", G984&lt;12, "9-11 Years", G984&gt;=12, "12-14 Years")</f>
        <v>12-14 Years</v>
      </c>
      <c r="J984" s="7">
        <v>4</v>
      </c>
      <c r="K984" t="s">
        <v>20</v>
      </c>
      <c r="L984" s="7">
        <v>125700</v>
      </c>
      <c r="M984" s="7">
        <v>8900</v>
      </c>
      <c r="N984" s="7">
        <v>134600</v>
      </c>
      <c r="O984" t="s">
        <v>57</v>
      </c>
      <c r="P984" s="3">
        <v>41346</v>
      </c>
      <c r="Q984" t="s">
        <v>36</v>
      </c>
    </row>
    <row r="985" spans="1:17" x14ac:dyDescent="0.35">
      <c r="A985" t="s">
        <v>1037</v>
      </c>
      <c r="B985" t="s">
        <v>16</v>
      </c>
      <c r="C985">
        <v>28</v>
      </c>
      <c r="D985" t="s">
        <v>44</v>
      </c>
      <c r="E985" t="s">
        <v>81</v>
      </c>
      <c r="F985" t="s">
        <v>28</v>
      </c>
      <c r="G985">
        <v>8.5</v>
      </c>
      <c r="H985">
        <v>4.3</v>
      </c>
      <c r="I985" t="str" cm="1">
        <f t="array" ref="I985">_xlfn.IFS(G985&lt;3, "0–2 Years", G985&lt;6, "3–5 Years", G985&lt;9, "6–8 Years", G985&lt;12, "9-11 Years", G985&gt;=12, "12-14 Years")</f>
        <v>6–8 Years</v>
      </c>
      <c r="J985">
        <v>3</v>
      </c>
      <c r="K985" t="s">
        <v>20</v>
      </c>
      <c r="L985">
        <v>92300</v>
      </c>
      <c r="M985">
        <v>6800</v>
      </c>
      <c r="N985">
        <v>99100</v>
      </c>
      <c r="O985" t="s">
        <v>30</v>
      </c>
      <c r="P985" s="3">
        <v>42911</v>
      </c>
      <c r="Q985" t="s">
        <v>28</v>
      </c>
    </row>
    <row r="986" spans="1:17" x14ac:dyDescent="0.35">
      <c r="A986" t="s">
        <v>1038</v>
      </c>
      <c r="B986" t="s">
        <v>23</v>
      </c>
      <c r="C986">
        <v>44</v>
      </c>
      <c r="D986" t="s">
        <v>55</v>
      </c>
      <c r="E986" t="s">
        <v>79</v>
      </c>
      <c r="F986" t="s">
        <v>19</v>
      </c>
      <c r="G986">
        <v>7.8</v>
      </c>
      <c r="H986">
        <v>3</v>
      </c>
      <c r="I986" t="str" cm="1">
        <f t="array" ref="I986">_xlfn.IFS(G986&lt;3, "0–2 Years", G986&lt;6, "3–5 Years", G986&lt;9, "6–8 Years", G986&lt;12, "9-11 Years", G986&gt;=12, "12-14 Years")</f>
        <v>6–8 Years</v>
      </c>
      <c r="J986">
        <v>3</v>
      </c>
      <c r="K986" t="s">
        <v>20</v>
      </c>
      <c r="L986">
        <v>48000</v>
      </c>
      <c r="M986">
        <v>6700</v>
      </c>
      <c r="N986">
        <v>54700</v>
      </c>
      <c r="O986" t="s">
        <v>65</v>
      </c>
      <c r="P986" s="3">
        <v>43186</v>
      </c>
      <c r="Q986" t="s">
        <v>19</v>
      </c>
    </row>
    <row r="987" spans="1:17" x14ac:dyDescent="0.35">
      <c r="A987" t="s">
        <v>1039</v>
      </c>
      <c r="B987" t="s">
        <v>23</v>
      </c>
      <c r="C987">
        <v>46</v>
      </c>
      <c r="D987" t="s">
        <v>17</v>
      </c>
      <c r="E987" t="s">
        <v>27</v>
      </c>
      <c r="F987" t="s">
        <v>28</v>
      </c>
      <c r="G987">
        <v>7.4</v>
      </c>
      <c r="H987">
        <v>3.7</v>
      </c>
      <c r="I987" t="str" cm="1">
        <f t="array" ref="I987">_xlfn.IFS(G987&lt;3, "0–2 Years", G987&lt;6, "3–5 Years", G987&lt;9, "6–8 Years", G987&lt;12, "9-11 Years", G987&gt;=12, "12-14 Years")</f>
        <v>6–8 Years</v>
      </c>
      <c r="J987">
        <v>4</v>
      </c>
      <c r="K987" t="s">
        <v>20</v>
      </c>
      <c r="L987">
        <v>79000</v>
      </c>
      <c r="M987">
        <v>7600</v>
      </c>
      <c r="N987">
        <v>86600</v>
      </c>
      <c r="O987" t="s">
        <v>21</v>
      </c>
      <c r="P987" s="3">
        <v>43315</v>
      </c>
      <c r="Q987" t="s">
        <v>28</v>
      </c>
    </row>
    <row r="988" spans="1:17" x14ac:dyDescent="0.35">
      <c r="A988" t="s">
        <v>1040</v>
      </c>
      <c r="B988" t="s">
        <v>23</v>
      </c>
      <c r="C988">
        <v>24</v>
      </c>
      <c r="D988" t="s">
        <v>55</v>
      </c>
      <c r="E988" t="s">
        <v>79</v>
      </c>
      <c r="F988" t="s">
        <v>36</v>
      </c>
      <c r="G988">
        <v>4.5</v>
      </c>
      <c r="H988">
        <v>2.4</v>
      </c>
      <c r="I988" t="str" cm="1">
        <f t="array" ref="I988">_xlfn.IFS(G988&lt;3, "0–2 Years", G988&lt;6, "3–5 Years", G988&lt;9, "6–8 Years", G988&lt;12, "9-11 Years", G988&gt;=12, "12-14 Years")</f>
        <v>3–5 Years</v>
      </c>
      <c r="J988">
        <v>3</v>
      </c>
      <c r="K988" t="s">
        <v>20</v>
      </c>
      <c r="L988">
        <v>72500</v>
      </c>
      <c r="M988">
        <v>7500</v>
      </c>
      <c r="N988">
        <v>80000</v>
      </c>
      <c r="O988" t="s">
        <v>21</v>
      </c>
      <c r="P988" s="3">
        <v>44393</v>
      </c>
      <c r="Q988" t="s">
        <v>36</v>
      </c>
    </row>
    <row r="989" spans="1:17" x14ac:dyDescent="0.35">
      <c r="A989" t="s">
        <v>1041</v>
      </c>
      <c r="B989" t="s">
        <v>23</v>
      </c>
      <c r="C989">
        <v>28</v>
      </c>
      <c r="D989" t="s">
        <v>41</v>
      </c>
      <c r="E989" t="s">
        <v>42</v>
      </c>
      <c r="F989" t="s">
        <v>28</v>
      </c>
      <c r="G989">
        <v>11.7</v>
      </c>
      <c r="H989">
        <v>5.3</v>
      </c>
      <c r="I989" t="str" cm="1">
        <f t="array" ref="I989">_xlfn.IFS(G989&lt;3, "0–2 Years", G989&lt;6, "3–5 Years", G989&lt;9, "6–8 Years", G989&lt;12, "9-11 Years", G989&gt;=12, "12-14 Years")</f>
        <v>9-11 Years</v>
      </c>
      <c r="J989">
        <v>3</v>
      </c>
      <c r="K989" t="s">
        <v>20</v>
      </c>
      <c r="L989">
        <v>86100</v>
      </c>
      <c r="M989">
        <v>7300</v>
      </c>
      <c r="N989">
        <v>93400</v>
      </c>
      <c r="O989" t="s">
        <v>30</v>
      </c>
      <c r="P989" s="3">
        <v>41762</v>
      </c>
      <c r="Q989" t="s">
        <v>28</v>
      </c>
    </row>
    <row r="990" spans="1:17" x14ac:dyDescent="0.35">
      <c r="A990" t="s">
        <v>1042</v>
      </c>
      <c r="B990" t="s">
        <v>23</v>
      </c>
      <c r="C990">
        <v>34</v>
      </c>
      <c r="D990" t="s">
        <v>38</v>
      </c>
      <c r="E990" t="s">
        <v>39</v>
      </c>
      <c r="F990" t="s">
        <v>36</v>
      </c>
      <c r="G990">
        <v>9.8000000000000007</v>
      </c>
      <c r="H990">
        <v>4.2</v>
      </c>
      <c r="I990" t="str" cm="1">
        <f t="array" ref="I990">_xlfn.IFS(G990&lt;3, "0–2 Years", G990&lt;6, "3–5 Years", G990&lt;9, "6–8 Years", G990&lt;12, "9-11 Years", G990&gt;=12, "12-14 Years")</f>
        <v>9-11 Years</v>
      </c>
      <c r="J990">
        <v>5</v>
      </c>
      <c r="K990" t="s">
        <v>20</v>
      </c>
      <c r="L990">
        <v>78500</v>
      </c>
      <c r="M990">
        <v>2800</v>
      </c>
      <c r="N990">
        <v>81300</v>
      </c>
      <c r="O990" t="s">
        <v>21</v>
      </c>
      <c r="P990" s="3">
        <v>42430</v>
      </c>
      <c r="Q990" t="s">
        <v>36</v>
      </c>
    </row>
    <row r="991" spans="1:17" x14ac:dyDescent="0.35">
      <c r="A991" t="s">
        <v>1043</v>
      </c>
      <c r="B991" t="s">
        <v>23</v>
      </c>
      <c r="C991">
        <v>33</v>
      </c>
      <c r="D991" t="s">
        <v>17</v>
      </c>
      <c r="E991" t="s">
        <v>18</v>
      </c>
      <c r="F991" t="s">
        <v>19</v>
      </c>
      <c r="G991">
        <v>1.4</v>
      </c>
      <c r="H991">
        <v>1.4</v>
      </c>
      <c r="I991" t="str" cm="1">
        <f t="array" ref="I991">_xlfn.IFS(G991&lt;3, "0–2 Years", G991&lt;6, "3–5 Years", G991&lt;9, "6–8 Years", G991&lt;12, "9-11 Years", G991&gt;=12, "12-14 Years")</f>
        <v>0–2 Years</v>
      </c>
      <c r="J991">
        <v>4</v>
      </c>
      <c r="K991" t="s">
        <v>20</v>
      </c>
      <c r="L991">
        <v>92600</v>
      </c>
      <c r="M991">
        <v>7900</v>
      </c>
      <c r="N991">
        <v>100500</v>
      </c>
      <c r="O991" t="s">
        <v>30</v>
      </c>
      <c r="P991" s="3">
        <v>45526</v>
      </c>
      <c r="Q991" t="s">
        <v>19</v>
      </c>
    </row>
    <row r="992" spans="1:17" x14ac:dyDescent="0.35">
      <c r="A992" t="s">
        <v>1044</v>
      </c>
      <c r="B992" t="s">
        <v>16</v>
      </c>
      <c r="C992" s="7">
        <v>32</v>
      </c>
      <c r="D992" t="s">
        <v>34</v>
      </c>
      <c r="E992" t="s">
        <v>35</v>
      </c>
      <c r="F992" t="s">
        <v>28</v>
      </c>
      <c r="G992" s="9">
        <v>12.3</v>
      </c>
      <c r="H992" s="7">
        <v>7.1</v>
      </c>
      <c r="I992" t="str" cm="1">
        <f t="array" ref="I992">_xlfn.IFS(G992&lt;3, "0–2 Years", G992&lt;6, "3–5 Years", G992&lt;9, "6–8 Years", G992&lt;12, "9-11 Years", G992&gt;=12, "12-14 Years")</f>
        <v>12-14 Years</v>
      </c>
      <c r="J992" s="7">
        <v>4</v>
      </c>
      <c r="K992" t="s">
        <v>20</v>
      </c>
      <c r="L992" s="7">
        <v>85800</v>
      </c>
      <c r="M992" s="7">
        <v>8700</v>
      </c>
      <c r="N992" s="7">
        <v>94500</v>
      </c>
      <c r="O992" t="s">
        <v>30</v>
      </c>
      <c r="P992" s="3">
        <v>41516</v>
      </c>
      <c r="Q992" t="s">
        <v>28</v>
      </c>
    </row>
    <row r="993" spans="1:17" x14ac:dyDescent="0.35">
      <c r="A993" t="s">
        <v>1045</v>
      </c>
      <c r="B993" t="s">
        <v>23</v>
      </c>
      <c r="C993">
        <v>38</v>
      </c>
      <c r="D993" t="s">
        <v>38</v>
      </c>
      <c r="E993" t="s">
        <v>39</v>
      </c>
      <c r="F993" t="s">
        <v>36</v>
      </c>
      <c r="G993">
        <v>10.7</v>
      </c>
      <c r="H993">
        <v>7.4</v>
      </c>
      <c r="I993" t="str" cm="1">
        <f t="array" ref="I993">_xlfn.IFS(G993&lt;3, "0–2 Years", G993&lt;6, "3–5 Years", G993&lt;9, "6–8 Years", G993&lt;12, "9-11 Years", G993&gt;=12, "12-14 Years")</f>
        <v>9-11 Years</v>
      </c>
      <c r="J993">
        <v>4</v>
      </c>
      <c r="K993" t="s">
        <v>24</v>
      </c>
      <c r="L993">
        <v>51600</v>
      </c>
      <c r="M993">
        <v>3600</v>
      </c>
      <c r="N993">
        <v>55200</v>
      </c>
      <c r="O993" t="s">
        <v>25</v>
      </c>
      <c r="P993" s="3">
        <v>42106</v>
      </c>
      <c r="Q993" t="s">
        <v>36</v>
      </c>
    </row>
    <row r="994" spans="1:17" x14ac:dyDescent="0.35">
      <c r="A994" t="s">
        <v>1046</v>
      </c>
      <c r="B994" t="s">
        <v>23</v>
      </c>
      <c r="C994">
        <v>37</v>
      </c>
      <c r="D994" t="s">
        <v>44</v>
      </c>
      <c r="E994" t="s">
        <v>81</v>
      </c>
      <c r="F994" t="s">
        <v>28</v>
      </c>
      <c r="G994">
        <v>4.8</v>
      </c>
      <c r="H994">
        <v>3.8</v>
      </c>
      <c r="I994" t="str" cm="1">
        <f t="array" ref="I994">_xlfn.IFS(G994&lt;3, "0–2 Years", G994&lt;6, "3–5 Years", G994&lt;9, "6–8 Years", G994&lt;12, "9-11 Years", G994&gt;=12, "12-14 Years")</f>
        <v>3–5 Years</v>
      </c>
      <c r="J994">
        <v>3</v>
      </c>
      <c r="K994" t="s">
        <v>20</v>
      </c>
      <c r="L994">
        <v>82900</v>
      </c>
      <c r="M994">
        <v>12300</v>
      </c>
      <c r="N994">
        <v>95200</v>
      </c>
      <c r="O994" t="s">
        <v>30</v>
      </c>
      <c r="P994" s="3">
        <v>44263</v>
      </c>
      <c r="Q994" t="s">
        <v>28</v>
      </c>
    </row>
    <row r="995" spans="1:17" x14ac:dyDescent="0.35">
      <c r="A995" t="s">
        <v>1047</v>
      </c>
      <c r="B995" t="s">
        <v>23</v>
      </c>
      <c r="C995">
        <v>39</v>
      </c>
      <c r="D995" t="s">
        <v>41</v>
      </c>
      <c r="E995" t="s">
        <v>42</v>
      </c>
      <c r="F995" t="s">
        <v>28</v>
      </c>
      <c r="G995">
        <v>1.3</v>
      </c>
      <c r="H995">
        <v>1.3</v>
      </c>
      <c r="I995" t="str" cm="1">
        <f t="array" ref="I995">_xlfn.IFS(G995&lt;3, "0–2 Years", G995&lt;6, "3–5 Years", G995&lt;9, "6–8 Years", G995&lt;12, "9-11 Years", G995&gt;=12, "12-14 Years")</f>
        <v>0–2 Years</v>
      </c>
      <c r="J995">
        <v>3</v>
      </c>
      <c r="K995" t="s">
        <v>20</v>
      </c>
      <c r="L995">
        <v>72600</v>
      </c>
      <c r="M995">
        <v>3400</v>
      </c>
      <c r="N995">
        <v>76000</v>
      </c>
      <c r="O995" t="s">
        <v>21</v>
      </c>
      <c r="P995" s="3">
        <v>45547</v>
      </c>
      <c r="Q995" t="s">
        <v>28</v>
      </c>
    </row>
    <row r="996" spans="1:17" x14ac:dyDescent="0.35">
      <c r="A996" t="s">
        <v>1048</v>
      </c>
      <c r="B996" t="s">
        <v>16</v>
      </c>
      <c r="C996" s="7">
        <v>44</v>
      </c>
      <c r="D996" t="s">
        <v>41</v>
      </c>
      <c r="E996" t="s">
        <v>67</v>
      </c>
      <c r="F996" t="s">
        <v>28</v>
      </c>
      <c r="G996" s="9">
        <v>13.2</v>
      </c>
      <c r="H996" s="7">
        <v>8.8000000000000007</v>
      </c>
      <c r="I996" t="str" cm="1">
        <f t="array" ref="I996">_xlfn.IFS(G996&lt;3, "0–2 Years", G996&lt;6, "3–5 Years", G996&lt;9, "6–8 Years", G996&lt;12, "9-11 Years", G996&gt;=12, "12-14 Years")</f>
        <v>12-14 Years</v>
      </c>
      <c r="J996" s="7">
        <v>2</v>
      </c>
      <c r="K996" t="s">
        <v>20</v>
      </c>
      <c r="L996" s="7">
        <v>77000</v>
      </c>
      <c r="M996" s="7">
        <v>5300</v>
      </c>
      <c r="N996" s="7">
        <v>82300</v>
      </c>
      <c r="O996" t="s">
        <v>21</v>
      </c>
      <c r="P996" s="3">
        <v>41188</v>
      </c>
      <c r="Q996" t="s">
        <v>28</v>
      </c>
    </row>
    <row r="997" spans="1:17" x14ac:dyDescent="0.35">
      <c r="A997" t="s">
        <v>1049</v>
      </c>
      <c r="B997" t="s">
        <v>16</v>
      </c>
      <c r="C997">
        <v>25</v>
      </c>
      <c r="D997" t="s">
        <v>41</v>
      </c>
      <c r="E997" t="s">
        <v>73</v>
      </c>
      <c r="F997" t="s">
        <v>28</v>
      </c>
      <c r="G997">
        <v>1</v>
      </c>
      <c r="H997">
        <v>1</v>
      </c>
      <c r="I997" t="str" cm="1">
        <f t="array" ref="I997">_xlfn.IFS(G997&lt;3, "0–2 Years", G997&lt;6, "3–5 Years", G997&lt;9, "6–8 Years", G997&lt;12, "9-11 Years", G997&gt;=12, "12-14 Years")</f>
        <v>0–2 Years</v>
      </c>
      <c r="J997">
        <v>4</v>
      </c>
      <c r="K997" t="s">
        <v>24</v>
      </c>
      <c r="L997">
        <v>65600</v>
      </c>
      <c r="M997">
        <v>4100</v>
      </c>
      <c r="N997">
        <v>69700</v>
      </c>
      <c r="O997" t="s">
        <v>21</v>
      </c>
      <c r="P997" s="3">
        <v>45648</v>
      </c>
      <c r="Q997" t="s">
        <v>28</v>
      </c>
    </row>
    <row r="998" spans="1:17" x14ac:dyDescent="0.35">
      <c r="A998" t="s">
        <v>1050</v>
      </c>
      <c r="B998" t="s">
        <v>23</v>
      </c>
      <c r="C998">
        <v>47</v>
      </c>
      <c r="D998" t="s">
        <v>41</v>
      </c>
      <c r="E998" t="s">
        <v>73</v>
      </c>
      <c r="F998" t="s">
        <v>28</v>
      </c>
      <c r="G998">
        <v>3.7</v>
      </c>
      <c r="H998">
        <v>3.7</v>
      </c>
      <c r="I998" t="str" cm="1">
        <f t="array" ref="I998">_xlfn.IFS(G998&lt;3, "0–2 Years", G998&lt;6, "3–5 Years", G998&lt;9, "6–8 Years", G998&lt;12, "9-11 Years", G998&gt;=12, "12-14 Years")</f>
        <v>3–5 Years</v>
      </c>
      <c r="J998">
        <v>5</v>
      </c>
      <c r="K998" t="s">
        <v>20</v>
      </c>
      <c r="L998">
        <v>95600</v>
      </c>
      <c r="M998">
        <v>6900</v>
      </c>
      <c r="N998">
        <v>102500</v>
      </c>
      <c r="O998" t="s">
        <v>30</v>
      </c>
      <c r="P998" s="3">
        <v>44662</v>
      </c>
      <c r="Q998" t="s">
        <v>28</v>
      </c>
    </row>
    <row r="999" spans="1:17" x14ac:dyDescent="0.35">
      <c r="A999" t="s">
        <v>1051</v>
      </c>
      <c r="B999" t="s">
        <v>23</v>
      </c>
      <c r="C999">
        <v>21</v>
      </c>
      <c r="D999" t="s">
        <v>44</v>
      </c>
      <c r="E999" t="s">
        <v>81</v>
      </c>
      <c r="F999" t="s">
        <v>19</v>
      </c>
      <c r="G999">
        <v>11.1</v>
      </c>
      <c r="H999">
        <v>7.1</v>
      </c>
      <c r="I999" t="str" cm="1">
        <f t="array" ref="I999">_xlfn.IFS(G999&lt;3, "0–2 Years", G999&lt;6, "3–5 Years", G999&lt;9, "6–8 Years", G999&lt;12, "9-11 Years", G999&gt;=12, "12-14 Years")</f>
        <v>9-11 Years</v>
      </c>
      <c r="J999">
        <v>5</v>
      </c>
      <c r="K999" t="s">
        <v>20</v>
      </c>
      <c r="L999">
        <v>98200</v>
      </c>
      <c r="M999">
        <v>7500</v>
      </c>
      <c r="N999">
        <v>105700</v>
      </c>
      <c r="O999" t="s">
        <v>30</v>
      </c>
      <c r="P999" s="3">
        <v>41978</v>
      </c>
      <c r="Q999" t="s">
        <v>19</v>
      </c>
    </row>
    <row r="1000" spans="1:17" x14ac:dyDescent="0.35">
      <c r="A1000" t="s">
        <v>1052</v>
      </c>
      <c r="B1000" t="s">
        <v>16</v>
      </c>
      <c r="C1000">
        <v>42</v>
      </c>
      <c r="D1000" t="s">
        <v>55</v>
      </c>
      <c r="E1000" t="s">
        <v>92</v>
      </c>
      <c r="F1000" t="s">
        <v>36</v>
      </c>
      <c r="G1000">
        <v>7.6</v>
      </c>
      <c r="H1000">
        <v>5.4</v>
      </c>
      <c r="I1000" t="str" cm="1">
        <f t="array" ref="I1000">_xlfn.IFS(G1000&lt;3, "0–2 Years", G1000&lt;6, "3–5 Years", G1000&lt;9, "6–8 Years", G1000&lt;12, "9-11 Years", G1000&gt;=12, "12-14 Years")</f>
        <v>6–8 Years</v>
      </c>
      <c r="J1000">
        <v>3</v>
      </c>
      <c r="K1000" t="s">
        <v>20</v>
      </c>
      <c r="L1000">
        <v>111900</v>
      </c>
      <c r="M1000">
        <v>16800</v>
      </c>
      <c r="N1000">
        <v>128700</v>
      </c>
      <c r="O1000" t="s">
        <v>57</v>
      </c>
      <c r="P1000" s="3">
        <v>43236</v>
      </c>
      <c r="Q1000" t="s">
        <v>36</v>
      </c>
    </row>
    <row r="1001" spans="1:17" x14ac:dyDescent="0.35">
      <c r="A1001" t="s">
        <v>1053</v>
      </c>
      <c r="B1001" t="s">
        <v>23</v>
      </c>
      <c r="C1001">
        <v>34</v>
      </c>
      <c r="D1001" t="s">
        <v>44</v>
      </c>
      <c r="E1001" t="s">
        <v>45</v>
      </c>
      <c r="F1001" t="s">
        <v>36</v>
      </c>
      <c r="G1001">
        <v>7.5</v>
      </c>
      <c r="H1001">
        <v>4.9000000000000004</v>
      </c>
      <c r="I1001" t="str" cm="1">
        <f t="array" ref="I1001">_xlfn.IFS(G1001&lt;3, "0–2 Years", G1001&lt;6, "3–5 Years", G1001&lt;9, "6–8 Years", G1001&lt;12, "9-11 Years", G1001&gt;=12, "12-14 Years")</f>
        <v>6–8 Years</v>
      </c>
      <c r="J1001">
        <v>2</v>
      </c>
      <c r="K1001" t="s">
        <v>20</v>
      </c>
      <c r="L1001">
        <v>84200</v>
      </c>
      <c r="M1001">
        <v>6600</v>
      </c>
      <c r="N1001">
        <v>90800</v>
      </c>
      <c r="O1001" t="s">
        <v>30</v>
      </c>
      <c r="P1001" s="3">
        <v>43271</v>
      </c>
      <c r="Q1001" t="s">
        <v>36</v>
      </c>
    </row>
    <row r="1002" spans="1:17" x14ac:dyDescent="0.35">
      <c r="A1002" t="s">
        <v>1054</v>
      </c>
      <c r="B1002" t="s">
        <v>23</v>
      </c>
      <c r="C1002">
        <v>40</v>
      </c>
      <c r="D1002" t="s">
        <v>34</v>
      </c>
      <c r="E1002" t="s">
        <v>59</v>
      </c>
      <c r="F1002" t="s">
        <v>36</v>
      </c>
      <c r="G1002">
        <v>10</v>
      </c>
      <c r="H1002">
        <v>5.7</v>
      </c>
      <c r="I1002" t="str" cm="1">
        <f t="array" ref="I1002">_xlfn.IFS(G1002&lt;3, "0–2 Years", G1002&lt;6, "3–5 Years", G1002&lt;9, "6–8 Years", G1002&lt;12, "9-11 Years", G1002&gt;=12, "12-14 Years")</f>
        <v>9-11 Years</v>
      </c>
      <c r="J1002">
        <v>4</v>
      </c>
      <c r="K1002" t="s">
        <v>20</v>
      </c>
      <c r="L1002">
        <v>132300</v>
      </c>
      <c r="M1002">
        <v>15200</v>
      </c>
      <c r="N1002">
        <v>147500</v>
      </c>
      <c r="O1002" t="s">
        <v>57</v>
      </c>
      <c r="P1002" s="3">
        <v>42368</v>
      </c>
      <c r="Q1002" t="s">
        <v>36</v>
      </c>
    </row>
    <row r="1003" spans="1:17" x14ac:dyDescent="0.35">
      <c r="A1003" t="s">
        <v>1055</v>
      </c>
      <c r="B1003" t="s">
        <v>23</v>
      </c>
      <c r="C1003">
        <v>40</v>
      </c>
      <c r="D1003" t="s">
        <v>17</v>
      </c>
      <c r="E1003" t="s">
        <v>27</v>
      </c>
      <c r="F1003" t="s">
        <v>62</v>
      </c>
      <c r="G1003">
        <v>6.4</v>
      </c>
      <c r="H1003">
        <v>2.2999999999999998</v>
      </c>
      <c r="I1003" t="str" cm="1">
        <f t="array" ref="I1003">_xlfn.IFS(G1003&lt;3, "0–2 Years", G1003&lt;6, "3–5 Years", G1003&lt;9, "6–8 Years", G1003&lt;12, "9-11 Years", G1003&gt;=12, "12-14 Years")</f>
        <v>6–8 Years</v>
      </c>
      <c r="J1003">
        <v>3</v>
      </c>
      <c r="K1003" t="s">
        <v>24</v>
      </c>
      <c r="L1003">
        <v>50200</v>
      </c>
      <c r="M1003">
        <v>4800</v>
      </c>
      <c r="N1003">
        <v>55000</v>
      </c>
      <c r="O1003" t="s">
        <v>25</v>
      </c>
      <c r="P1003" s="3">
        <v>43702</v>
      </c>
      <c r="Q1003" t="s">
        <v>62</v>
      </c>
    </row>
    <row r="1004" spans="1:17" x14ac:dyDescent="0.35">
      <c r="A1004" t="s">
        <v>1056</v>
      </c>
      <c r="B1004" t="s">
        <v>23</v>
      </c>
      <c r="C1004">
        <v>38</v>
      </c>
      <c r="D1004" t="s">
        <v>55</v>
      </c>
      <c r="E1004" t="s">
        <v>92</v>
      </c>
      <c r="F1004" t="s">
        <v>28</v>
      </c>
      <c r="G1004">
        <v>7.6</v>
      </c>
      <c r="H1004">
        <v>3.5</v>
      </c>
      <c r="I1004" t="str" cm="1">
        <f t="array" ref="I1004">_xlfn.IFS(G1004&lt;3, "0–2 Years", G1004&lt;6, "3–5 Years", G1004&lt;9, "6–8 Years", G1004&lt;12, "9-11 Years", G1004&gt;=12, "12-14 Years")</f>
        <v>6–8 Years</v>
      </c>
      <c r="J1004">
        <v>4</v>
      </c>
      <c r="K1004" t="s">
        <v>20</v>
      </c>
      <c r="L1004">
        <v>91800</v>
      </c>
      <c r="M1004">
        <v>17600</v>
      </c>
      <c r="N1004">
        <v>109400</v>
      </c>
      <c r="O1004" t="s">
        <v>30</v>
      </c>
      <c r="P1004" s="3">
        <v>43242</v>
      </c>
      <c r="Q1004" t="s">
        <v>28</v>
      </c>
    </row>
    <row r="1005" spans="1:17" x14ac:dyDescent="0.35">
      <c r="A1005" t="s">
        <v>1057</v>
      </c>
      <c r="B1005" t="s">
        <v>16</v>
      </c>
      <c r="C1005">
        <v>21</v>
      </c>
      <c r="D1005" t="s">
        <v>38</v>
      </c>
      <c r="E1005" t="s">
        <v>112</v>
      </c>
      <c r="F1005" t="s">
        <v>28</v>
      </c>
      <c r="G1005">
        <v>11.3</v>
      </c>
      <c r="H1005">
        <v>7.8</v>
      </c>
      <c r="I1005" t="str" cm="1">
        <f t="array" ref="I1005">_xlfn.IFS(G1005&lt;3, "0–2 Years", G1005&lt;6, "3–5 Years", G1005&lt;9, "6–8 Years", G1005&lt;12, "9-11 Years", G1005&gt;=12, "12-14 Years")</f>
        <v>9-11 Years</v>
      </c>
      <c r="J1005">
        <v>3</v>
      </c>
      <c r="K1005" t="s">
        <v>20</v>
      </c>
      <c r="L1005">
        <v>71400</v>
      </c>
      <c r="M1005">
        <v>5500</v>
      </c>
      <c r="N1005">
        <v>76900</v>
      </c>
      <c r="O1005" t="s">
        <v>21</v>
      </c>
      <c r="P1005" s="3">
        <v>41900</v>
      </c>
      <c r="Q1005" t="s">
        <v>28</v>
      </c>
    </row>
    <row r="1006" spans="1:17" x14ac:dyDescent="0.35">
      <c r="A1006" t="s">
        <v>1058</v>
      </c>
      <c r="B1006" t="s">
        <v>16</v>
      </c>
      <c r="C1006">
        <v>41</v>
      </c>
      <c r="D1006" t="s">
        <v>44</v>
      </c>
      <c r="E1006" t="s">
        <v>81</v>
      </c>
      <c r="F1006" t="s">
        <v>28</v>
      </c>
      <c r="G1006">
        <v>5.9</v>
      </c>
      <c r="H1006">
        <v>4.2</v>
      </c>
      <c r="I1006" t="str" cm="1">
        <f t="array" ref="I1006">_xlfn.IFS(G1006&lt;3, "0–2 Years", G1006&lt;6, "3–5 Years", G1006&lt;9, "6–8 Years", G1006&lt;12, "9-11 Years", G1006&gt;=12, "12-14 Years")</f>
        <v>3–5 Years</v>
      </c>
      <c r="J1006">
        <v>3</v>
      </c>
      <c r="K1006" t="s">
        <v>20</v>
      </c>
      <c r="L1006">
        <v>97000</v>
      </c>
      <c r="M1006">
        <v>13300</v>
      </c>
      <c r="N1006">
        <v>110300</v>
      </c>
      <c r="O1006" t="s">
        <v>30</v>
      </c>
      <c r="P1006" s="3">
        <v>43859</v>
      </c>
      <c r="Q1006" t="s">
        <v>28</v>
      </c>
    </row>
    <row r="1007" spans="1:17" x14ac:dyDescent="0.35">
      <c r="A1007" t="s">
        <v>1059</v>
      </c>
      <c r="B1007" t="s">
        <v>16</v>
      </c>
      <c r="C1007">
        <v>48</v>
      </c>
      <c r="D1007" t="s">
        <v>44</v>
      </c>
      <c r="E1007" t="s">
        <v>51</v>
      </c>
      <c r="F1007" t="s">
        <v>28</v>
      </c>
      <c r="G1007">
        <v>2.8</v>
      </c>
      <c r="H1007">
        <v>2.5</v>
      </c>
      <c r="I1007" t="str" cm="1">
        <f t="array" ref="I1007">_xlfn.IFS(G1007&lt;3, "0–2 Years", G1007&lt;6, "3–5 Years", G1007&lt;9, "6–8 Years", G1007&lt;12, "9-11 Years", G1007&gt;=12, "12-14 Years")</f>
        <v>0–2 Years</v>
      </c>
      <c r="J1007">
        <v>3</v>
      </c>
      <c r="K1007" t="s">
        <v>20</v>
      </c>
      <c r="L1007">
        <v>76200</v>
      </c>
      <c r="M1007">
        <v>10000</v>
      </c>
      <c r="N1007">
        <v>86200</v>
      </c>
      <c r="O1007" t="s">
        <v>21</v>
      </c>
      <c r="P1007" s="3">
        <v>44986</v>
      </c>
      <c r="Q1007" t="s">
        <v>28</v>
      </c>
    </row>
    <row r="1008" spans="1:17" x14ac:dyDescent="0.35">
      <c r="A1008" t="s">
        <v>1060</v>
      </c>
      <c r="B1008" t="s">
        <v>23</v>
      </c>
      <c r="C1008">
        <v>29</v>
      </c>
      <c r="D1008" t="s">
        <v>41</v>
      </c>
      <c r="E1008" t="s">
        <v>73</v>
      </c>
      <c r="F1008" t="s">
        <v>28</v>
      </c>
      <c r="G1008">
        <v>1.8</v>
      </c>
      <c r="H1008">
        <v>0</v>
      </c>
      <c r="I1008" t="str" cm="1">
        <f t="array" ref="I1008">_xlfn.IFS(G1008&lt;3, "0–2 Years", G1008&lt;6, "3–5 Years", G1008&lt;9, "6–8 Years", G1008&lt;12, "9-11 Years", G1008&gt;=12, "12-14 Years")</f>
        <v>0–2 Years</v>
      </c>
      <c r="J1008">
        <v>3</v>
      </c>
      <c r="K1008" t="s">
        <v>20</v>
      </c>
      <c r="L1008">
        <v>84400</v>
      </c>
      <c r="M1008">
        <v>2600</v>
      </c>
      <c r="N1008">
        <v>87000</v>
      </c>
      <c r="O1008" t="s">
        <v>30</v>
      </c>
      <c r="P1008" s="3">
        <v>45356</v>
      </c>
      <c r="Q1008" t="s">
        <v>28</v>
      </c>
    </row>
    <row r="1009" spans="1:17" x14ac:dyDescent="0.35">
      <c r="A1009" t="s">
        <v>1061</v>
      </c>
      <c r="B1009" t="s">
        <v>16</v>
      </c>
      <c r="C1009">
        <v>33</v>
      </c>
      <c r="D1009" t="s">
        <v>38</v>
      </c>
      <c r="E1009" t="s">
        <v>39</v>
      </c>
      <c r="F1009" t="s">
        <v>28</v>
      </c>
      <c r="G1009">
        <v>11.1</v>
      </c>
      <c r="H1009">
        <v>3.4</v>
      </c>
      <c r="I1009" t="str" cm="1">
        <f t="array" ref="I1009">_xlfn.IFS(G1009&lt;3, "0–2 Years", G1009&lt;6, "3–5 Years", G1009&lt;9, "6–8 Years", G1009&lt;12, "9-11 Years", G1009&gt;=12, "12-14 Years")</f>
        <v>9-11 Years</v>
      </c>
      <c r="J1009">
        <v>2</v>
      </c>
      <c r="K1009" t="s">
        <v>20</v>
      </c>
      <c r="L1009">
        <v>68900</v>
      </c>
      <c r="M1009">
        <v>3200</v>
      </c>
      <c r="N1009">
        <v>72100</v>
      </c>
      <c r="O1009" t="s">
        <v>21</v>
      </c>
      <c r="P1009" s="3">
        <v>41960</v>
      </c>
      <c r="Q1009" t="s">
        <v>28</v>
      </c>
    </row>
    <row r="1010" spans="1:17" x14ac:dyDescent="0.35">
      <c r="A1010" t="s">
        <v>1062</v>
      </c>
      <c r="B1010" t="s">
        <v>16</v>
      </c>
      <c r="C1010" s="7">
        <v>28</v>
      </c>
      <c r="D1010" t="s">
        <v>34</v>
      </c>
      <c r="E1010" t="s">
        <v>59</v>
      </c>
      <c r="F1010" t="s">
        <v>36</v>
      </c>
      <c r="G1010" s="9">
        <v>13.9</v>
      </c>
      <c r="H1010" s="7">
        <v>10.8</v>
      </c>
      <c r="I1010" t="str" cm="1">
        <f t="array" ref="I1010">_xlfn.IFS(G1010&lt;3, "0–2 Years", G1010&lt;6, "3–5 Years", G1010&lt;9, "6–8 Years", G1010&lt;12, "9-11 Years", G1010&gt;=12, "12-14 Years")</f>
        <v>12-14 Years</v>
      </c>
      <c r="J1010" s="7">
        <v>1</v>
      </c>
      <c r="K1010" t="s">
        <v>20</v>
      </c>
      <c r="L1010" s="7">
        <v>105100</v>
      </c>
      <c r="M1010" s="7">
        <v>9800</v>
      </c>
      <c r="N1010" s="7">
        <v>114900</v>
      </c>
      <c r="O1010" t="s">
        <v>57</v>
      </c>
      <c r="P1010" s="3">
        <v>40954</v>
      </c>
      <c r="Q1010" t="s">
        <v>36</v>
      </c>
    </row>
    <row r="1011" spans="1:17" x14ac:dyDescent="0.35">
      <c r="A1011" t="s">
        <v>1063</v>
      </c>
      <c r="B1011" t="s">
        <v>16</v>
      </c>
      <c r="C1011">
        <v>29</v>
      </c>
      <c r="D1011" t="s">
        <v>38</v>
      </c>
      <c r="E1011" t="s">
        <v>39</v>
      </c>
      <c r="F1011" t="s">
        <v>28</v>
      </c>
      <c r="G1011">
        <v>10.3</v>
      </c>
      <c r="H1011">
        <v>4.8</v>
      </c>
      <c r="I1011" t="str" cm="1">
        <f t="array" ref="I1011">_xlfn.IFS(G1011&lt;3, "0–2 Years", G1011&lt;6, "3–5 Years", G1011&lt;9, "6–8 Years", G1011&lt;12, "9-11 Years", G1011&gt;=12, "12-14 Years")</f>
        <v>9-11 Years</v>
      </c>
      <c r="J1011">
        <v>3</v>
      </c>
      <c r="K1011" t="s">
        <v>20</v>
      </c>
      <c r="L1011">
        <v>81300</v>
      </c>
      <c r="M1011">
        <v>6800</v>
      </c>
      <c r="N1011">
        <v>88100</v>
      </c>
      <c r="O1011" t="s">
        <v>30</v>
      </c>
      <c r="P1011" s="3">
        <v>42268</v>
      </c>
      <c r="Q1011" t="s">
        <v>28</v>
      </c>
    </row>
    <row r="1012" spans="1:17" x14ac:dyDescent="0.35">
      <c r="A1012" t="s">
        <v>1064</v>
      </c>
      <c r="B1012" t="s">
        <v>16</v>
      </c>
      <c r="C1012">
        <v>32</v>
      </c>
      <c r="D1012" t="s">
        <v>41</v>
      </c>
      <c r="E1012" t="s">
        <v>73</v>
      </c>
      <c r="F1012" t="s">
        <v>36</v>
      </c>
      <c r="G1012">
        <v>1.8</v>
      </c>
      <c r="H1012">
        <v>1.1000000000000001</v>
      </c>
      <c r="I1012" t="str" cm="1">
        <f t="array" ref="I1012">_xlfn.IFS(G1012&lt;3, "0–2 Years", G1012&lt;6, "3–5 Years", G1012&lt;9, "6–8 Years", G1012&lt;12, "9-11 Years", G1012&gt;=12, "12-14 Years")</f>
        <v>0–2 Years</v>
      </c>
      <c r="J1012">
        <v>4</v>
      </c>
      <c r="K1012" t="s">
        <v>20</v>
      </c>
      <c r="L1012">
        <v>113100</v>
      </c>
      <c r="M1012">
        <v>9900</v>
      </c>
      <c r="N1012">
        <v>123000</v>
      </c>
      <c r="O1012" t="s">
        <v>57</v>
      </c>
      <c r="P1012" s="3">
        <v>45356</v>
      </c>
      <c r="Q1012" t="s">
        <v>36</v>
      </c>
    </row>
    <row r="1013" spans="1:17" x14ac:dyDescent="0.35">
      <c r="A1013" t="s">
        <v>1065</v>
      </c>
      <c r="B1013" t="s">
        <v>23</v>
      </c>
      <c r="C1013">
        <v>32</v>
      </c>
      <c r="D1013" t="s">
        <v>38</v>
      </c>
      <c r="E1013" t="s">
        <v>39</v>
      </c>
      <c r="F1013" t="s">
        <v>28</v>
      </c>
      <c r="G1013">
        <v>11.7</v>
      </c>
      <c r="H1013">
        <v>8.1999999999999993</v>
      </c>
      <c r="I1013" t="str" cm="1">
        <f t="array" ref="I1013">_xlfn.IFS(G1013&lt;3, "0–2 Years", G1013&lt;6, "3–5 Years", G1013&lt;9, "6–8 Years", G1013&lt;12, "9-11 Years", G1013&gt;=12, "12-14 Years")</f>
        <v>9-11 Years</v>
      </c>
      <c r="J1013">
        <v>4</v>
      </c>
      <c r="K1013" t="s">
        <v>20</v>
      </c>
      <c r="L1013">
        <v>75800</v>
      </c>
      <c r="M1013">
        <v>6000</v>
      </c>
      <c r="N1013">
        <v>81800</v>
      </c>
      <c r="O1013" t="s">
        <v>21</v>
      </c>
      <c r="P1013" s="3">
        <v>41739</v>
      </c>
      <c r="Q1013" t="s">
        <v>28</v>
      </c>
    </row>
    <row r="1014" spans="1:17" x14ac:dyDescent="0.35">
      <c r="A1014" t="s">
        <v>1066</v>
      </c>
      <c r="B1014" t="s">
        <v>23</v>
      </c>
      <c r="C1014">
        <v>32</v>
      </c>
      <c r="D1014" t="s">
        <v>44</v>
      </c>
      <c r="E1014" t="s">
        <v>81</v>
      </c>
      <c r="F1014" t="s">
        <v>36</v>
      </c>
      <c r="G1014">
        <v>11.3</v>
      </c>
      <c r="H1014">
        <v>5.8</v>
      </c>
      <c r="I1014" t="str" cm="1">
        <f t="array" ref="I1014">_xlfn.IFS(G1014&lt;3, "0–2 Years", G1014&lt;6, "3–5 Years", G1014&lt;9, "6–8 Years", G1014&lt;12, "9-11 Years", G1014&gt;=12, "12-14 Years")</f>
        <v>9-11 Years</v>
      </c>
      <c r="J1014">
        <v>3</v>
      </c>
      <c r="K1014" t="s">
        <v>20</v>
      </c>
      <c r="L1014">
        <v>106700</v>
      </c>
      <c r="M1014">
        <v>13100</v>
      </c>
      <c r="N1014">
        <v>119800</v>
      </c>
      <c r="O1014" t="s">
        <v>57</v>
      </c>
      <c r="P1014" s="3">
        <v>41882</v>
      </c>
      <c r="Q1014" t="s">
        <v>36</v>
      </c>
    </row>
    <row r="1015" spans="1:17" x14ac:dyDescent="0.35">
      <c r="A1015" t="s">
        <v>1067</v>
      </c>
      <c r="B1015" t="s">
        <v>23</v>
      </c>
      <c r="C1015" s="7">
        <v>37</v>
      </c>
      <c r="D1015" t="s">
        <v>44</v>
      </c>
      <c r="E1015" t="s">
        <v>76</v>
      </c>
      <c r="F1015" t="s">
        <v>28</v>
      </c>
      <c r="G1015" s="9">
        <v>13.4</v>
      </c>
      <c r="H1015" s="7">
        <v>7</v>
      </c>
      <c r="I1015" t="str" cm="1">
        <f t="array" ref="I1015">_xlfn.IFS(G1015&lt;3, "0–2 Years", G1015&lt;6, "3–5 Years", G1015&lt;9, "6–8 Years", G1015&lt;12, "9-11 Years", G1015&gt;=12, "12-14 Years")</f>
        <v>12-14 Years</v>
      </c>
      <c r="J1015" s="7">
        <v>3</v>
      </c>
      <c r="K1015" t="s">
        <v>20</v>
      </c>
      <c r="L1015" s="7">
        <v>116700</v>
      </c>
      <c r="M1015" s="7">
        <v>6400</v>
      </c>
      <c r="N1015" s="7">
        <v>123100</v>
      </c>
      <c r="O1015" t="s">
        <v>57</v>
      </c>
      <c r="P1015" s="3">
        <v>41142</v>
      </c>
      <c r="Q1015" t="s">
        <v>28</v>
      </c>
    </row>
    <row r="1016" spans="1:17" x14ac:dyDescent="0.35">
      <c r="A1016" t="s">
        <v>1068</v>
      </c>
      <c r="B1016" t="s">
        <v>23</v>
      </c>
      <c r="C1016" s="7">
        <v>39</v>
      </c>
      <c r="D1016" t="s">
        <v>17</v>
      </c>
      <c r="E1016" t="s">
        <v>18</v>
      </c>
      <c r="F1016" t="s">
        <v>36</v>
      </c>
      <c r="G1016" s="9">
        <v>12.3</v>
      </c>
      <c r="H1016" s="7">
        <v>10.8</v>
      </c>
      <c r="I1016" t="str" cm="1">
        <f t="array" ref="I1016">_xlfn.IFS(G1016&lt;3, "0–2 Years", G1016&lt;6, "3–5 Years", G1016&lt;9, "6–8 Years", G1016&lt;12, "9-11 Years", G1016&gt;=12, "12-14 Years")</f>
        <v>12-14 Years</v>
      </c>
      <c r="J1016" s="7">
        <v>5</v>
      </c>
      <c r="K1016" t="s">
        <v>69</v>
      </c>
      <c r="L1016" s="7">
        <v>91700</v>
      </c>
      <c r="M1016" s="7">
        <v>11300</v>
      </c>
      <c r="N1016" s="7">
        <v>103000</v>
      </c>
      <c r="O1016" t="s">
        <v>30</v>
      </c>
      <c r="P1016" s="3">
        <v>41521</v>
      </c>
      <c r="Q1016" t="s">
        <v>36</v>
      </c>
    </row>
    <row r="1017" spans="1:17" x14ac:dyDescent="0.35">
      <c r="A1017" t="s">
        <v>1069</v>
      </c>
      <c r="B1017" t="s">
        <v>23</v>
      </c>
      <c r="C1017">
        <v>30</v>
      </c>
      <c r="D1017" t="s">
        <v>55</v>
      </c>
      <c r="E1017" t="s">
        <v>79</v>
      </c>
      <c r="F1017" t="s">
        <v>28</v>
      </c>
      <c r="G1017">
        <v>6.9</v>
      </c>
      <c r="H1017">
        <v>5.8</v>
      </c>
      <c r="I1017" t="str" cm="1">
        <f t="array" ref="I1017">_xlfn.IFS(G1017&lt;3, "0–2 Years", G1017&lt;6, "3–5 Years", G1017&lt;9, "6–8 Years", G1017&lt;12, "9-11 Years", G1017&gt;=12, "12-14 Years")</f>
        <v>6–8 Years</v>
      </c>
      <c r="J1017">
        <v>4</v>
      </c>
      <c r="K1017" t="s">
        <v>20</v>
      </c>
      <c r="L1017">
        <v>63200</v>
      </c>
      <c r="M1017">
        <v>8500</v>
      </c>
      <c r="N1017">
        <v>71700</v>
      </c>
      <c r="O1017" t="s">
        <v>25</v>
      </c>
      <c r="P1017" s="3">
        <v>43512</v>
      </c>
      <c r="Q1017" t="s">
        <v>28</v>
      </c>
    </row>
    <row r="1018" spans="1:17" x14ac:dyDescent="0.35">
      <c r="A1018" t="s">
        <v>1070</v>
      </c>
      <c r="B1018" t="s">
        <v>16</v>
      </c>
      <c r="C1018">
        <v>24</v>
      </c>
      <c r="D1018" t="s">
        <v>38</v>
      </c>
      <c r="E1018" t="s">
        <v>39</v>
      </c>
      <c r="F1018" t="s">
        <v>19</v>
      </c>
      <c r="G1018">
        <v>11.9</v>
      </c>
      <c r="H1018">
        <v>7.3</v>
      </c>
      <c r="I1018" t="str" cm="1">
        <f t="array" ref="I1018">_xlfn.IFS(G1018&lt;3, "0–2 Years", G1018&lt;6, "3–5 Years", G1018&lt;9, "6–8 Years", G1018&lt;12, "9-11 Years", G1018&gt;=12, "12-14 Years")</f>
        <v>9-11 Years</v>
      </c>
      <c r="J1018">
        <v>3</v>
      </c>
      <c r="K1018" t="s">
        <v>20</v>
      </c>
      <c r="L1018">
        <v>68700</v>
      </c>
      <c r="M1018">
        <v>2600</v>
      </c>
      <c r="N1018">
        <v>71300</v>
      </c>
      <c r="O1018" t="s">
        <v>21</v>
      </c>
      <c r="P1018" s="3">
        <v>41689</v>
      </c>
      <c r="Q1018" t="s">
        <v>19</v>
      </c>
    </row>
    <row r="1019" spans="1:17" x14ac:dyDescent="0.35">
      <c r="A1019" t="s">
        <v>1071</v>
      </c>
      <c r="B1019" t="s">
        <v>16</v>
      </c>
      <c r="C1019">
        <v>53</v>
      </c>
      <c r="D1019" t="s">
        <v>44</v>
      </c>
      <c r="E1019" t="s">
        <v>45</v>
      </c>
      <c r="F1019" t="s">
        <v>28</v>
      </c>
      <c r="G1019">
        <v>10.9</v>
      </c>
      <c r="H1019">
        <v>8</v>
      </c>
      <c r="I1019" t="str" cm="1">
        <f t="array" ref="I1019">_xlfn.IFS(G1019&lt;3, "0–2 Years", G1019&lt;6, "3–5 Years", G1019&lt;9, "6–8 Years", G1019&lt;12, "9-11 Years", G1019&gt;=12, "12-14 Years")</f>
        <v>9-11 Years</v>
      </c>
      <c r="J1019">
        <v>3</v>
      </c>
      <c r="K1019" t="s">
        <v>20</v>
      </c>
      <c r="L1019">
        <v>99200</v>
      </c>
      <c r="M1019">
        <v>11000</v>
      </c>
      <c r="N1019">
        <v>110200</v>
      </c>
      <c r="O1019" t="s">
        <v>30</v>
      </c>
      <c r="P1019" s="3">
        <v>42031</v>
      </c>
      <c r="Q1019" t="s">
        <v>28</v>
      </c>
    </row>
    <row r="1020" spans="1:17" x14ac:dyDescent="0.35">
      <c r="A1020" t="s">
        <v>1072</v>
      </c>
      <c r="B1020" t="s">
        <v>23</v>
      </c>
      <c r="C1020">
        <v>45</v>
      </c>
      <c r="D1020" t="s">
        <v>41</v>
      </c>
      <c r="E1020" t="s">
        <v>42</v>
      </c>
      <c r="F1020" t="s">
        <v>28</v>
      </c>
      <c r="G1020">
        <v>2.6</v>
      </c>
      <c r="H1020">
        <v>1.1000000000000001</v>
      </c>
      <c r="I1020" t="str" cm="1">
        <f t="array" ref="I1020">_xlfn.IFS(G1020&lt;3, "0–2 Years", G1020&lt;6, "3–5 Years", G1020&lt;9, "6–8 Years", G1020&lt;12, "9-11 Years", G1020&gt;=12, "12-14 Years")</f>
        <v>0–2 Years</v>
      </c>
      <c r="J1020">
        <v>4</v>
      </c>
      <c r="K1020" t="s">
        <v>20</v>
      </c>
      <c r="L1020">
        <v>79500</v>
      </c>
      <c r="M1020">
        <v>3800</v>
      </c>
      <c r="N1020">
        <v>83300</v>
      </c>
      <c r="O1020" t="s">
        <v>21</v>
      </c>
      <c r="P1020" s="3">
        <v>45056</v>
      </c>
      <c r="Q1020" t="s">
        <v>28</v>
      </c>
    </row>
    <row r="1021" spans="1:17" x14ac:dyDescent="0.35">
      <c r="A1021" t="s">
        <v>1073</v>
      </c>
      <c r="B1021" t="s">
        <v>23</v>
      </c>
      <c r="C1021" s="7">
        <v>58</v>
      </c>
      <c r="D1021" t="s">
        <v>17</v>
      </c>
      <c r="E1021" t="s">
        <v>32</v>
      </c>
      <c r="F1021" t="s">
        <v>36</v>
      </c>
      <c r="G1021" s="9">
        <v>12.6</v>
      </c>
      <c r="H1021" s="7">
        <v>8.4</v>
      </c>
      <c r="I1021" t="str" cm="1">
        <f t="array" ref="I1021">_xlfn.IFS(G1021&lt;3, "0–2 Years", G1021&lt;6, "3–5 Years", G1021&lt;9, "6–8 Years", G1021&lt;12, "9-11 Years", G1021&gt;=12, "12-14 Years")</f>
        <v>12-14 Years</v>
      </c>
      <c r="J1021" s="7">
        <v>3</v>
      </c>
      <c r="K1021" t="s">
        <v>20</v>
      </c>
      <c r="L1021" s="7">
        <v>87500</v>
      </c>
      <c r="M1021" s="7">
        <v>6100</v>
      </c>
      <c r="N1021" s="7">
        <v>93600</v>
      </c>
      <c r="O1021" t="s">
        <v>30</v>
      </c>
      <c r="P1021" s="3">
        <v>41436</v>
      </c>
      <c r="Q1021" t="s">
        <v>36</v>
      </c>
    </row>
    <row r="1022" spans="1:17" x14ac:dyDescent="0.35">
      <c r="A1022" t="s">
        <v>1074</v>
      </c>
      <c r="B1022" t="s">
        <v>23</v>
      </c>
      <c r="C1022" s="7">
        <v>46</v>
      </c>
      <c r="D1022" t="s">
        <v>44</v>
      </c>
      <c r="E1022" t="s">
        <v>81</v>
      </c>
      <c r="F1022" t="s">
        <v>28</v>
      </c>
      <c r="G1022" s="9">
        <v>13.5</v>
      </c>
      <c r="H1022" s="7">
        <v>8.1</v>
      </c>
      <c r="I1022" t="str" cm="1">
        <f t="array" ref="I1022">_xlfn.IFS(G1022&lt;3, "0–2 Years", G1022&lt;6, "3–5 Years", G1022&lt;9, "6–8 Years", G1022&lt;12, "9-11 Years", G1022&gt;=12, "12-14 Years")</f>
        <v>12-14 Years</v>
      </c>
      <c r="J1022" s="7">
        <v>2</v>
      </c>
      <c r="K1022" t="s">
        <v>20</v>
      </c>
      <c r="L1022" s="7">
        <v>105500</v>
      </c>
      <c r="M1022" s="7">
        <v>12800</v>
      </c>
      <c r="N1022" s="7">
        <v>118300</v>
      </c>
      <c r="O1022" t="s">
        <v>57</v>
      </c>
      <c r="P1022" s="3">
        <v>41093</v>
      </c>
      <c r="Q1022" t="s">
        <v>28</v>
      </c>
    </row>
    <row r="1023" spans="1:17" x14ac:dyDescent="0.35">
      <c r="A1023" t="s">
        <v>1075</v>
      </c>
      <c r="B1023" t="s">
        <v>16</v>
      </c>
      <c r="C1023">
        <v>21</v>
      </c>
      <c r="D1023" t="s">
        <v>38</v>
      </c>
      <c r="E1023" t="s">
        <v>39</v>
      </c>
      <c r="F1023" t="s">
        <v>28</v>
      </c>
      <c r="G1023">
        <v>11.7</v>
      </c>
      <c r="H1023">
        <v>9.1</v>
      </c>
      <c r="I1023" t="str" cm="1">
        <f t="array" ref="I1023">_xlfn.IFS(G1023&lt;3, "0–2 Years", G1023&lt;6, "3–5 Years", G1023&lt;9, "6–8 Years", G1023&lt;12, "9-11 Years", G1023&gt;=12, "12-14 Years")</f>
        <v>9-11 Years</v>
      </c>
      <c r="J1023">
        <v>4</v>
      </c>
      <c r="K1023" t="s">
        <v>20</v>
      </c>
      <c r="L1023">
        <v>85500</v>
      </c>
      <c r="M1023">
        <v>3300</v>
      </c>
      <c r="N1023">
        <v>88800</v>
      </c>
      <c r="O1023" t="s">
        <v>30</v>
      </c>
      <c r="P1023" s="3">
        <v>41732</v>
      </c>
      <c r="Q1023" t="s">
        <v>28</v>
      </c>
    </row>
    <row r="1024" spans="1:17" x14ac:dyDescent="0.35">
      <c r="A1024" t="s">
        <v>1076</v>
      </c>
      <c r="B1024" t="s">
        <v>16</v>
      </c>
      <c r="C1024" s="7">
        <v>41</v>
      </c>
      <c r="D1024" t="s">
        <v>38</v>
      </c>
      <c r="E1024" t="s">
        <v>61</v>
      </c>
      <c r="F1024" t="s">
        <v>36</v>
      </c>
      <c r="G1024" s="9">
        <v>13.9</v>
      </c>
      <c r="H1024" s="7">
        <v>8.1999999999999993</v>
      </c>
      <c r="I1024" t="str" cm="1">
        <f t="array" ref="I1024">_xlfn.IFS(G1024&lt;3, "0–2 Years", G1024&lt;6, "3–5 Years", G1024&lt;9, "6–8 Years", G1024&lt;12, "9-11 Years", G1024&gt;=12, "12-14 Years")</f>
        <v>12-14 Years</v>
      </c>
      <c r="J1024" s="7">
        <v>3</v>
      </c>
      <c r="K1024" t="s">
        <v>20</v>
      </c>
      <c r="L1024" s="7">
        <v>120200</v>
      </c>
      <c r="M1024" s="7">
        <v>9000</v>
      </c>
      <c r="N1024" s="7">
        <v>129200</v>
      </c>
      <c r="O1024" t="s">
        <v>57</v>
      </c>
      <c r="P1024" s="3">
        <v>40953</v>
      </c>
      <c r="Q1024" t="s">
        <v>36</v>
      </c>
    </row>
    <row r="1025" spans="1:17" x14ac:dyDescent="0.35">
      <c r="A1025" t="s">
        <v>1077</v>
      </c>
      <c r="B1025" t="s">
        <v>16</v>
      </c>
      <c r="C1025">
        <v>37</v>
      </c>
      <c r="D1025" t="s">
        <v>38</v>
      </c>
      <c r="E1025" t="s">
        <v>61</v>
      </c>
      <c r="F1025" t="s">
        <v>19</v>
      </c>
      <c r="G1025">
        <v>5.0999999999999996</v>
      </c>
      <c r="H1025">
        <v>3.1</v>
      </c>
      <c r="I1025" t="str" cm="1">
        <f t="array" ref="I1025">_xlfn.IFS(G1025&lt;3, "0–2 Years", G1025&lt;6, "3–5 Years", G1025&lt;9, "6–8 Years", G1025&lt;12, "9-11 Years", G1025&gt;=12, "12-14 Years")</f>
        <v>3–5 Years</v>
      </c>
      <c r="J1025">
        <v>4</v>
      </c>
      <c r="K1025" t="s">
        <v>20</v>
      </c>
      <c r="L1025">
        <v>98300</v>
      </c>
      <c r="M1025">
        <v>4000</v>
      </c>
      <c r="N1025">
        <v>102300</v>
      </c>
      <c r="O1025" t="s">
        <v>30</v>
      </c>
      <c r="P1025" s="3">
        <v>44156</v>
      </c>
      <c r="Q1025" t="s">
        <v>19</v>
      </c>
    </row>
    <row r="1026" spans="1:17" x14ac:dyDescent="0.35">
      <c r="A1026" t="s">
        <v>1078</v>
      </c>
      <c r="B1026" t="s">
        <v>23</v>
      </c>
      <c r="C1026">
        <v>36</v>
      </c>
      <c r="D1026" t="s">
        <v>44</v>
      </c>
      <c r="E1026" t="s">
        <v>81</v>
      </c>
      <c r="F1026" t="s">
        <v>19</v>
      </c>
      <c r="G1026">
        <v>7.3</v>
      </c>
      <c r="H1026">
        <v>2.2999999999999998</v>
      </c>
      <c r="I1026" t="str" cm="1">
        <f t="array" ref="I1026">_xlfn.IFS(G1026&lt;3, "0–2 Years", G1026&lt;6, "3–5 Years", G1026&lt;9, "6–8 Years", G1026&lt;12, "9-11 Years", G1026&gt;=12, "12-14 Years")</f>
        <v>6–8 Years</v>
      </c>
      <c r="J1026">
        <v>4</v>
      </c>
      <c r="K1026" t="s">
        <v>24</v>
      </c>
      <c r="L1026">
        <v>60100</v>
      </c>
      <c r="M1026">
        <v>6600</v>
      </c>
      <c r="N1026">
        <v>66700</v>
      </c>
      <c r="O1026" t="s">
        <v>25</v>
      </c>
      <c r="P1026" s="3">
        <v>43374</v>
      </c>
      <c r="Q1026" t="s">
        <v>19</v>
      </c>
    </row>
    <row r="1027" spans="1:17" x14ac:dyDescent="0.35">
      <c r="A1027" t="s">
        <v>1079</v>
      </c>
      <c r="B1027" t="s">
        <v>16</v>
      </c>
      <c r="C1027">
        <v>29</v>
      </c>
      <c r="D1027" t="s">
        <v>34</v>
      </c>
      <c r="E1027" t="s">
        <v>47</v>
      </c>
      <c r="F1027" t="s">
        <v>28</v>
      </c>
      <c r="G1027">
        <v>7.8</v>
      </c>
      <c r="H1027">
        <v>5.7</v>
      </c>
      <c r="I1027" t="str" cm="1">
        <f t="array" ref="I1027">_xlfn.IFS(G1027&lt;3, "0–2 Years", G1027&lt;6, "3–5 Years", G1027&lt;9, "6–8 Years", G1027&lt;12, "9-11 Years", G1027&gt;=12, "12-14 Years")</f>
        <v>6–8 Years</v>
      </c>
      <c r="J1027">
        <v>3</v>
      </c>
      <c r="K1027" t="s">
        <v>20</v>
      </c>
      <c r="L1027">
        <v>77200</v>
      </c>
      <c r="M1027">
        <v>7900</v>
      </c>
      <c r="N1027">
        <v>85100</v>
      </c>
      <c r="O1027" t="s">
        <v>21</v>
      </c>
      <c r="P1027" s="3">
        <v>43167</v>
      </c>
      <c r="Q1027" t="s">
        <v>28</v>
      </c>
    </row>
    <row r="1028" spans="1:17" x14ac:dyDescent="0.35">
      <c r="A1028" t="s">
        <v>1080</v>
      </c>
      <c r="B1028" t="s">
        <v>16</v>
      </c>
      <c r="C1028">
        <v>48</v>
      </c>
      <c r="D1028" t="s">
        <v>17</v>
      </c>
      <c r="E1028" t="s">
        <v>27</v>
      </c>
      <c r="F1028" t="s">
        <v>36</v>
      </c>
      <c r="G1028">
        <v>10.199999999999999</v>
      </c>
      <c r="H1028">
        <v>7</v>
      </c>
      <c r="I1028" t="str" cm="1">
        <f t="array" ref="I1028">_xlfn.IFS(G1028&lt;3, "0–2 Years", G1028&lt;6, "3–5 Years", G1028&lt;9, "6–8 Years", G1028&lt;12, "9-11 Years", G1028&gt;=12, "12-14 Years")</f>
        <v>9-11 Years</v>
      </c>
      <c r="J1028">
        <v>3</v>
      </c>
      <c r="K1028" t="s">
        <v>20</v>
      </c>
      <c r="L1028">
        <v>87100</v>
      </c>
      <c r="M1028">
        <v>9200</v>
      </c>
      <c r="N1028">
        <v>96300</v>
      </c>
      <c r="O1028" t="s">
        <v>30</v>
      </c>
      <c r="P1028" s="3">
        <v>42293</v>
      </c>
      <c r="Q1028" t="s">
        <v>36</v>
      </c>
    </row>
    <row r="1029" spans="1:17" x14ac:dyDescent="0.35">
      <c r="A1029" t="s">
        <v>1081</v>
      </c>
      <c r="B1029" t="s">
        <v>23</v>
      </c>
      <c r="C1029">
        <v>28</v>
      </c>
      <c r="D1029" t="s">
        <v>44</v>
      </c>
      <c r="E1029" t="s">
        <v>45</v>
      </c>
      <c r="F1029" t="s">
        <v>36</v>
      </c>
      <c r="G1029">
        <v>9.9</v>
      </c>
      <c r="H1029">
        <v>6.4</v>
      </c>
      <c r="I1029" t="str" cm="1">
        <f t="array" ref="I1029">_xlfn.IFS(G1029&lt;3, "0–2 Years", G1029&lt;6, "3–5 Years", G1029&lt;9, "6–8 Years", G1029&lt;12, "9-11 Years", G1029&gt;=12, "12-14 Years")</f>
        <v>9-11 Years</v>
      </c>
      <c r="J1029">
        <v>4</v>
      </c>
      <c r="K1029" t="s">
        <v>20</v>
      </c>
      <c r="L1029">
        <v>95600</v>
      </c>
      <c r="M1029">
        <v>7700</v>
      </c>
      <c r="N1029">
        <v>103300</v>
      </c>
      <c r="O1029" t="s">
        <v>30</v>
      </c>
      <c r="P1029" s="3">
        <v>42391</v>
      </c>
      <c r="Q1029" t="s">
        <v>36</v>
      </c>
    </row>
    <row r="1030" spans="1:17" x14ac:dyDescent="0.35">
      <c r="A1030" t="s">
        <v>1082</v>
      </c>
      <c r="B1030" t="s">
        <v>16</v>
      </c>
      <c r="C1030">
        <v>42</v>
      </c>
      <c r="D1030" t="s">
        <v>44</v>
      </c>
      <c r="E1030" t="s">
        <v>45</v>
      </c>
      <c r="F1030" t="s">
        <v>28</v>
      </c>
      <c r="G1030">
        <v>3.9</v>
      </c>
      <c r="H1030">
        <v>3.4</v>
      </c>
      <c r="I1030" t="str" cm="1">
        <f t="array" ref="I1030">_xlfn.IFS(G1030&lt;3, "0–2 Years", G1030&lt;6, "3–5 Years", G1030&lt;9, "6–8 Years", G1030&lt;12, "9-11 Years", G1030&gt;=12, "12-14 Years")</f>
        <v>3–5 Years</v>
      </c>
      <c r="J1030">
        <v>5</v>
      </c>
      <c r="K1030" t="s">
        <v>20</v>
      </c>
      <c r="L1030">
        <v>81600</v>
      </c>
      <c r="M1030">
        <v>12200</v>
      </c>
      <c r="N1030">
        <v>93800</v>
      </c>
      <c r="O1030" t="s">
        <v>30</v>
      </c>
      <c r="P1030" s="3">
        <v>44605</v>
      </c>
      <c r="Q1030" t="s">
        <v>28</v>
      </c>
    </row>
    <row r="1031" spans="1:17" x14ac:dyDescent="0.35">
      <c r="A1031" t="s">
        <v>1083</v>
      </c>
      <c r="B1031" t="s">
        <v>23</v>
      </c>
      <c r="C1031">
        <v>37</v>
      </c>
      <c r="D1031" t="s">
        <v>34</v>
      </c>
      <c r="E1031" t="s">
        <v>47</v>
      </c>
      <c r="F1031" t="s">
        <v>28</v>
      </c>
      <c r="G1031">
        <v>1.9</v>
      </c>
      <c r="H1031">
        <v>0.8</v>
      </c>
      <c r="I1031" t="str" cm="1">
        <f t="array" ref="I1031">_xlfn.IFS(G1031&lt;3, "0–2 Years", G1031&lt;6, "3–5 Years", G1031&lt;9, "6–8 Years", G1031&lt;12, "9-11 Years", G1031&gt;=12, "12-14 Years")</f>
        <v>0–2 Years</v>
      </c>
      <c r="J1031">
        <v>3</v>
      </c>
      <c r="K1031" t="s">
        <v>69</v>
      </c>
      <c r="L1031">
        <v>61200</v>
      </c>
      <c r="M1031">
        <v>4400</v>
      </c>
      <c r="N1031">
        <v>65600</v>
      </c>
      <c r="O1031" t="s">
        <v>25</v>
      </c>
      <c r="P1031" s="3">
        <v>45319</v>
      </c>
      <c r="Q1031" t="s">
        <v>28</v>
      </c>
    </row>
    <row r="1032" spans="1:17" x14ac:dyDescent="0.35">
      <c r="A1032" t="s">
        <v>1084</v>
      </c>
      <c r="B1032" t="s">
        <v>23</v>
      </c>
      <c r="C1032">
        <v>29</v>
      </c>
      <c r="D1032" t="s">
        <v>55</v>
      </c>
      <c r="E1032" t="s">
        <v>56</v>
      </c>
      <c r="F1032" t="s">
        <v>28</v>
      </c>
      <c r="G1032">
        <v>7.6</v>
      </c>
      <c r="H1032">
        <v>4.3</v>
      </c>
      <c r="I1032" t="str" cm="1">
        <f t="array" ref="I1032">_xlfn.IFS(G1032&lt;3, "0–2 Years", G1032&lt;6, "3–5 Years", G1032&lt;9, "6–8 Years", G1032&lt;12, "9-11 Years", G1032&gt;=12, "12-14 Years")</f>
        <v>6–8 Years</v>
      </c>
      <c r="J1032">
        <v>5</v>
      </c>
      <c r="K1032" t="s">
        <v>69</v>
      </c>
      <c r="L1032">
        <v>91500</v>
      </c>
      <c r="M1032">
        <v>7100</v>
      </c>
      <c r="N1032">
        <v>98600</v>
      </c>
      <c r="O1032" t="s">
        <v>30</v>
      </c>
      <c r="P1032" s="3">
        <v>43265</v>
      </c>
      <c r="Q1032" t="s">
        <v>28</v>
      </c>
    </row>
    <row r="1033" spans="1:17" x14ac:dyDescent="0.35">
      <c r="A1033" t="s">
        <v>1085</v>
      </c>
      <c r="B1033" t="s">
        <v>23</v>
      </c>
      <c r="C1033">
        <v>45</v>
      </c>
      <c r="D1033" t="s">
        <v>38</v>
      </c>
      <c r="E1033" t="s">
        <v>39</v>
      </c>
      <c r="F1033" t="s">
        <v>36</v>
      </c>
      <c r="G1033">
        <v>8</v>
      </c>
      <c r="H1033">
        <v>6.8</v>
      </c>
      <c r="I1033" t="str" cm="1">
        <f t="array" ref="I1033">_xlfn.IFS(G1033&lt;3, "0–2 Years", G1033&lt;6, "3–5 Years", G1033&lt;9, "6–8 Years", G1033&lt;12, "9-11 Years", G1033&gt;=12, "12-14 Years")</f>
        <v>6–8 Years</v>
      </c>
      <c r="J1033">
        <v>4</v>
      </c>
      <c r="K1033" t="s">
        <v>20</v>
      </c>
      <c r="L1033">
        <v>87500</v>
      </c>
      <c r="M1033">
        <v>3300</v>
      </c>
      <c r="N1033">
        <v>90800</v>
      </c>
      <c r="O1033" t="s">
        <v>30</v>
      </c>
      <c r="P1033" s="3">
        <v>43090</v>
      </c>
      <c r="Q1033" t="s">
        <v>36</v>
      </c>
    </row>
    <row r="1034" spans="1:17" x14ac:dyDescent="0.35">
      <c r="A1034" t="s">
        <v>1086</v>
      </c>
      <c r="B1034" t="s">
        <v>16</v>
      </c>
      <c r="C1034">
        <v>38</v>
      </c>
      <c r="D1034" t="s">
        <v>44</v>
      </c>
      <c r="E1034" t="s">
        <v>76</v>
      </c>
      <c r="F1034" t="s">
        <v>28</v>
      </c>
      <c r="G1034">
        <v>7.1</v>
      </c>
      <c r="H1034">
        <v>4.9000000000000004</v>
      </c>
      <c r="I1034" t="str" cm="1">
        <f t="array" ref="I1034">_xlfn.IFS(G1034&lt;3, "0–2 Years", G1034&lt;6, "3–5 Years", G1034&lt;9, "6–8 Years", G1034&lt;12, "9-11 Years", G1034&gt;=12, "12-14 Years")</f>
        <v>6–8 Years</v>
      </c>
      <c r="J1034">
        <v>4</v>
      </c>
      <c r="K1034" t="s">
        <v>20</v>
      </c>
      <c r="L1034">
        <v>111700</v>
      </c>
      <c r="M1034">
        <v>15400</v>
      </c>
      <c r="N1034">
        <v>127100</v>
      </c>
      <c r="O1034" t="s">
        <v>57</v>
      </c>
      <c r="P1034" s="3">
        <v>43422</v>
      </c>
      <c r="Q1034" t="s">
        <v>28</v>
      </c>
    </row>
    <row r="1035" spans="1:17" x14ac:dyDescent="0.35">
      <c r="A1035" t="s">
        <v>1087</v>
      </c>
      <c r="B1035" t="s">
        <v>16</v>
      </c>
      <c r="C1035">
        <v>34</v>
      </c>
      <c r="D1035" t="s">
        <v>41</v>
      </c>
      <c r="E1035" t="s">
        <v>67</v>
      </c>
      <c r="F1035" t="s">
        <v>28</v>
      </c>
      <c r="G1035">
        <v>4.5999999999999996</v>
      </c>
      <c r="H1035">
        <v>4.4000000000000004</v>
      </c>
      <c r="I1035" t="str" cm="1">
        <f t="array" ref="I1035">_xlfn.IFS(G1035&lt;3, "0–2 Years", G1035&lt;6, "3–5 Years", G1035&lt;9, "6–8 Years", G1035&lt;12, "9-11 Years", G1035&gt;=12, "12-14 Years")</f>
        <v>3–5 Years</v>
      </c>
      <c r="J1035">
        <v>3</v>
      </c>
      <c r="K1035" t="s">
        <v>24</v>
      </c>
      <c r="L1035">
        <v>39400</v>
      </c>
      <c r="M1035">
        <v>3000</v>
      </c>
      <c r="N1035">
        <v>42400</v>
      </c>
      <c r="O1035" t="s">
        <v>65</v>
      </c>
      <c r="P1035" s="3">
        <v>44353</v>
      </c>
      <c r="Q1035" t="s">
        <v>28</v>
      </c>
    </row>
    <row r="1036" spans="1:17" x14ac:dyDescent="0.35">
      <c r="A1036" t="s">
        <v>1088</v>
      </c>
      <c r="B1036" t="s">
        <v>16</v>
      </c>
      <c r="C1036">
        <v>30</v>
      </c>
      <c r="D1036" t="s">
        <v>17</v>
      </c>
      <c r="E1036" t="s">
        <v>32</v>
      </c>
      <c r="F1036" t="s">
        <v>36</v>
      </c>
      <c r="G1036">
        <v>10.3</v>
      </c>
      <c r="H1036">
        <v>5.6</v>
      </c>
      <c r="I1036" t="str" cm="1">
        <f t="array" ref="I1036">_xlfn.IFS(G1036&lt;3, "0–2 Years", G1036&lt;6, "3–5 Years", G1036&lt;9, "6–8 Years", G1036&lt;12, "9-11 Years", G1036&gt;=12, "12-14 Years")</f>
        <v>9-11 Years</v>
      </c>
      <c r="J1036">
        <v>3</v>
      </c>
      <c r="K1036" t="s">
        <v>20</v>
      </c>
      <c r="L1036">
        <v>74100</v>
      </c>
      <c r="M1036">
        <v>4200</v>
      </c>
      <c r="N1036">
        <v>78300</v>
      </c>
      <c r="O1036" t="s">
        <v>21</v>
      </c>
      <c r="P1036" s="3">
        <v>42256</v>
      </c>
      <c r="Q1036" t="s">
        <v>36</v>
      </c>
    </row>
    <row r="1037" spans="1:17" x14ac:dyDescent="0.35">
      <c r="A1037" t="s">
        <v>1089</v>
      </c>
      <c r="B1037" t="s">
        <v>23</v>
      </c>
      <c r="C1037">
        <v>35</v>
      </c>
      <c r="D1037" t="s">
        <v>17</v>
      </c>
      <c r="E1037" t="s">
        <v>18</v>
      </c>
      <c r="F1037" t="s">
        <v>19</v>
      </c>
      <c r="G1037">
        <v>2.8</v>
      </c>
      <c r="H1037">
        <v>2.4</v>
      </c>
      <c r="I1037" t="str" cm="1">
        <f t="array" ref="I1037">_xlfn.IFS(G1037&lt;3, "0–2 Years", G1037&lt;6, "3–5 Years", G1037&lt;9, "6–8 Years", G1037&lt;12, "9-11 Years", G1037&gt;=12, "12-14 Years")</f>
        <v>0–2 Years</v>
      </c>
      <c r="J1037">
        <v>4</v>
      </c>
      <c r="K1037" t="s">
        <v>20</v>
      </c>
      <c r="L1037">
        <v>84600</v>
      </c>
      <c r="M1037">
        <v>5900</v>
      </c>
      <c r="N1037">
        <v>90500</v>
      </c>
      <c r="O1037" t="s">
        <v>30</v>
      </c>
      <c r="P1037" s="3">
        <v>45006</v>
      </c>
      <c r="Q1037" t="s">
        <v>19</v>
      </c>
    </row>
    <row r="1038" spans="1:17" x14ac:dyDescent="0.35">
      <c r="A1038" t="s">
        <v>1090</v>
      </c>
      <c r="B1038" t="s">
        <v>16</v>
      </c>
      <c r="C1038">
        <v>21</v>
      </c>
      <c r="D1038" t="s">
        <v>17</v>
      </c>
      <c r="E1038" t="s">
        <v>32</v>
      </c>
      <c r="F1038" t="s">
        <v>36</v>
      </c>
      <c r="G1038">
        <v>3.3</v>
      </c>
      <c r="H1038">
        <v>1.1000000000000001</v>
      </c>
      <c r="I1038" t="str" cm="1">
        <f t="array" ref="I1038">_xlfn.IFS(G1038&lt;3, "0–2 Years", G1038&lt;6, "3–5 Years", G1038&lt;9, "6–8 Years", G1038&lt;12, "9-11 Years", G1038&gt;=12, "12-14 Years")</f>
        <v>3–5 Years</v>
      </c>
      <c r="J1038"/>
      <c r="K1038" t="s">
        <v>20</v>
      </c>
      <c r="L1038">
        <v>72800</v>
      </c>
      <c r="M1038">
        <v>4400</v>
      </c>
      <c r="N1038">
        <v>77200</v>
      </c>
      <c r="O1038" t="s">
        <v>21</v>
      </c>
      <c r="P1038" s="3">
        <v>44802</v>
      </c>
      <c r="Q1038" t="s">
        <v>36</v>
      </c>
    </row>
    <row r="1039" spans="1:17" x14ac:dyDescent="0.35">
      <c r="A1039" t="s">
        <v>1091</v>
      </c>
      <c r="B1039" t="s">
        <v>23</v>
      </c>
      <c r="C1039">
        <v>35</v>
      </c>
      <c r="D1039" t="s">
        <v>17</v>
      </c>
      <c r="E1039" t="s">
        <v>18</v>
      </c>
      <c r="F1039" t="s">
        <v>28</v>
      </c>
      <c r="G1039">
        <v>8.3000000000000007</v>
      </c>
      <c r="H1039">
        <v>6.2</v>
      </c>
      <c r="I1039" t="str" cm="1">
        <f t="array" ref="I1039">_xlfn.IFS(G1039&lt;3, "0–2 Years", G1039&lt;6, "3–5 Years", G1039&lt;9, "6–8 Years", G1039&lt;12, "9-11 Years", G1039&gt;=12, "12-14 Years")</f>
        <v>6–8 Years</v>
      </c>
      <c r="J1039">
        <v>3</v>
      </c>
      <c r="K1039" t="s">
        <v>20</v>
      </c>
      <c r="L1039">
        <v>99100</v>
      </c>
      <c r="M1039">
        <v>12100</v>
      </c>
      <c r="N1039">
        <v>111200</v>
      </c>
      <c r="O1039" t="s">
        <v>30</v>
      </c>
      <c r="P1039" s="3">
        <v>42988</v>
      </c>
      <c r="Q1039" t="s">
        <v>28</v>
      </c>
    </row>
    <row r="1040" spans="1:17" x14ac:dyDescent="0.35">
      <c r="A1040" t="s">
        <v>1092</v>
      </c>
      <c r="B1040" t="s">
        <v>23</v>
      </c>
      <c r="C1040">
        <v>37</v>
      </c>
      <c r="D1040" t="s">
        <v>34</v>
      </c>
      <c r="E1040" t="s">
        <v>35</v>
      </c>
      <c r="F1040" t="s">
        <v>36</v>
      </c>
      <c r="G1040">
        <v>10.1</v>
      </c>
      <c r="H1040">
        <v>6.5</v>
      </c>
      <c r="I1040" t="str" cm="1">
        <f t="array" ref="I1040">_xlfn.IFS(G1040&lt;3, "0–2 Years", G1040&lt;6, "3–5 Years", G1040&lt;9, "6–8 Years", G1040&lt;12, "9-11 Years", G1040&gt;=12, "12-14 Years")</f>
        <v>9-11 Years</v>
      </c>
      <c r="J1040">
        <v>2</v>
      </c>
      <c r="K1040" t="s">
        <v>24</v>
      </c>
      <c r="L1040">
        <v>46700</v>
      </c>
      <c r="M1040">
        <v>3600</v>
      </c>
      <c r="N1040">
        <v>50300</v>
      </c>
      <c r="O1040" t="s">
        <v>65</v>
      </c>
      <c r="P1040" s="3">
        <v>42329</v>
      </c>
      <c r="Q1040" t="s">
        <v>36</v>
      </c>
    </row>
    <row r="1041" spans="1:17" x14ac:dyDescent="0.35">
      <c r="A1041" t="s">
        <v>1093</v>
      </c>
      <c r="B1041" t="s">
        <v>16</v>
      </c>
      <c r="C1041">
        <v>23</v>
      </c>
      <c r="D1041" t="s">
        <v>38</v>
      </c>
      <c r="E1041" t="s">
        <v>39</v>
      </c>
      <c r="F1041" t="s">
        <v>28</v>
      </c>
      <c r="G1041">
        <v>4.3</v>
      </c>
      <c r="H1041">
        <v>0.9</v>
      </c>
      <c r="I1041" t="str" cm="1">
        <f t="array" ref="I1041">_xlfn.IFS(G1041&lt;3, "0–2 Years", G1041&lt;6, "3–5 Years", G1041&lt;9, "6–8 Years", G1041&lt;12, "9-11 Years", G1041&gt;=12, "12-14 Years")</f>
        <v>3–5 Years</v>
      </c>
      <c r="J1041">
        <v>3</v>
      </c>
      <c r="K1041" t="s">
        <v>20</v>
      </c>
      <c r="L1041">
        <v>69300</v>
      </c>
      <c r="M1041">
        <v>6900</v>
      </c>
      <c r="N1041">
        <v>76200</v>
      </c>
      <c r="O1041" t="s">
        <v>21</v>
      </c>
      <c r="P1041" s="3">
        <v>44439</v>
      </c>
      <c r="Q1041" t="s">
        <v>28</v>
      </c>
    </row>
    <row r="1042" spans="1:17" x14ac:dyDescent="0.35">
      <c r="A1042" t="s">
        <v>1094</v>
      </c>
      <c r="B1042" t="s">
        <v>16</v>
      </c>
      <c r="C1042" s="7">
        <v>42</v>
      </c>
      <c r="D1042" t="s">
        <v>44</v>
      </c>
      <c r="E1042" t="s">
        <v>81</v>
      </c>
      <c r="F1042" t="s">
        <v>28</v>
      </c>
      <c r="G1042" s="9">
        <v>13.9</v>
      </c>
      <c r="H1042" s="7">
        <v>8.8000000000000007</v>
      </c>
      <c r="I1042" t="str" cm="1">
        <f t="array" ref="I1042">_xlfn.IFS(G1042&lt;3, "0–2 Years", G1042&lt;6, "3–5 Years", G1042&lt;9, "6–8 Years", G1042&lt;12, "9-11 Years", G1042&gt;=12, "12-14 Years")</f>
        <v>12-14 Years</v>
      </c>
      <c r="J1042" s="7">
        <v>4</v>
      </c>
      <c r="K1042" t="s">
        <v>20</v>
      </c>
      <c r="L1042" s="7">
        <v>97800</v>
      </c>
      <c r="M1042" s="7">
        <v>5000</v>
      </c>
      <c r="N1042" s="7">
        <v>102800</v>
      </c>
      <c r="O1042" t="s">
        <v>30</v>
      </c>
      <c r="P1042" s="3">
        <v>40950</v>
      </c>
      <c r="Q1042" t="s">
        <v>28</v>
      </c>
    </row>
    <row r="1043" spans="1:17" x14ac:dyDescent="0.35">
      <c r="A1043" t="s">
        <v>1095</v>
      </c>
      <c r="B1043" t="s">
        <v>16</v>
      </c>
      <c r="C1043">
        <v>37</v>
      </c>
      <c r="D1043" t="s">
        <v>41</v>
      </c>
      <c r="E1043" t="s">
        <v>73</v>
      </c>
      <c r="F1043" t="s">
        <v>28</v>
      </c>
      <c r="G1043">
        <v>3.5</v>
      </c>
      <c r="H1043">
        <v>1.8</v>
      </c>
      <c r="I1043" t="str" cm="1">
        <f t="array" ref="I1043">_xlfn.IFS(G1043&lt;3, "0–2 Years", G1043&lt;6, "3–5 Years", G1043&lt;9, "6–8 Years", G1043&lt;12, "9-11 Years", G1043&gt;=12, "12-14 Years")</f>
        <v>3–5 Years</v>
      </c>
      <c r="J1043">
        <v>3</v>
      </c>
      <c r="K1043" t="s">
        <v>24</v>
      </c>
      <c r="L1043">
        <v>54200</v>
      </c>
      <c r="M1043">
        <v>3300</v>
      </c>
      <c r="N1043">
        <v>57500</v>
      </c>
      <c r="O1043" t="s">
        <v>25</v>
      </c>
      <c r="P1043" s="3">
        <v>44750</v>
      </c>
      <c r="Q1043" t="s">
        <v>28</v>
      </c>
    </row>
    <row r="1044" spans="1:17" x14ac:dyDescent="0.35">
      <c r="A1044" t="s">
        <v>1096</v>
      </c>
      <c r="B1044" t="s">
        <v>23</v>
      </c>
      <c r="C1044">
        <v>27</v>
      </c>
      <c r="D1044" t="s">
        <v>55</v>
      </c>
      <c r="E1044" t="s">
        <v>92</v>
      </c>
      <c r="F1044" t="s">
        <v>36</v>
      </c>
      <c r="G1044">
        <v>3.1</v>
      </c>
      <c r="H1044">
        <v>1.3</v>
      </c>
      <c r="I1044" t="str" cm="1">
        <f t="array" ref="I1044">_xlfn.IFS(G1044&lt;3, "0–2 Years", G1044&lt;6, "3–5 Years", G1044&lt;9, "6–8 Years", G1044&lt;12, "9-11 Years", G1044&gt;=12, "12-14 Years")</f>
        <v>3–5 Years</v>
      </c>
      <c r="J1044">
        <v>3</v>
      </c>
      <c r="K1044" t="s">
        <v>20</v>
      </c>
      <c r="L1044">
        <v>87800</v>
      </c>
      <c r="M1044">
        <v>7600</v>
      </c>
      <c r="N1044">
        <v>95400</v>
      </c>
      <c r="O1044" t="s">
        <v>30</v>
      </c>
      <c r="P1044" s="3">
        <v>44878</v>
      </c>
      <c r="Q1044" t="s">
        <v>36</v>
      </c>
    </row>
    <row r="1045" spans="1:17" x14ac:dyDescent="0.35">
      <c r="A1045" t="s">
        <v>1097</v>
      </c>
      <c r="B1045" t="s">
        <v>16</v>
      </c>
      <c r="C1045">
        <v>21</v>
      </c>
      <c r="D1045" t="s">
        <v>17</v>
      </c>
      <c r="E1045" t="s">
        <v>27</v>
      </c>
      <c r="F1045" t="s">
        <v>36</v>
      </c>
      <c r="G1045">
        <v>9.8000000000000007</v>
      </c>
      <c r="H1045">
        <v>6.9</v>
      </c>
      <c r="I1045" t="str" cm="1">
        <f t="array" ref="I1045">_xlfn.IFS(G1045&lt;3, "0–2 Years", G1045&lt;6, "3–5 Years", G1045&lt;9, "6–8 Years", G1045&lt;12, "9-11 Years", G1045&gt;=12, "12-14 Years")</f>
        <v>9-11 Years</v>
      </c>
      <c r="J1045">
        <v>4</v>
      </c>
      <c r="K1045" t="s">
        <v>20</v>
      </c>
      <c r="L1045">
        <v>85600</v>
      </c>
      <c r="M1045">
        <v>10000</v>
      </c>
      <c r="N1045">
        <v>95600</v>
      </c>
      <c r="O1045" t="s">
        <v>30</v>
      </c>
      <c r="P1045" s="3">
        <v>42444</v>
      </c>
      <c r="Q1045" t="s">
        <v>36</v>
      </c>
    </row>
    <row r="1046" spans="1:17" x14ac:dyDescent="0.35">
      <c r="A1046" t="s">
        <v>1098</v>
      </c>
      <c r="B1046" t="s">
        <v>23</v>
      </c>
      <c r="C1046" s="7">
        <v>46</v>
      </c>
      <c r="D1046" t="s">
        <v>44</v>
      </c>
      <c r="E1046" t="s">
        <v>81</v>
      </c>
      <c r="F1046" t="s">
        <v>36</v>
      </c>
      <c r="G1046" s="9">
        <v>12.4</v>
      </c>
      <c r="H1046" s="7">
        <v>9.4</v>
      </c>
      <c r="I1046" t="str" cm="1">
        <f t="array" ref="I1046">_xlfn.IFS(G1046&lt;3, "0–2 Years", G1046&lt;6, "3–5 Years", G1046&lt;9, "6–8 Years", G1046&lt;12, "9-11 Years", G1046&gt;=12, "12-14 Years")</f>
        <v>12-14 Years</v>
      </c>
      <c r="J1046" s="7">
        <v>3</v>
      </c>
      <c r="K1046" t="s">
        <v>24</v>
      </c>
      <c r="L1046" s="7">
        <v>62900</v>
      </c>
      <c r="M1046" s="7">
        <v>6800</v>
      </c>
      <c r="N1046" s="7">
        <v>69700</v>
      </c>
      <c r="O1046" t="s">
        <v>25</v>
      </c>
      <c r="P1046" s="3">
        <v>41477</v>
      </c>
      <c r="Q1046" t="s">
        <v>36</v>
      </c>
    </row>
    <row r="1047" spans="1:17" x14ac:dyDescent="0.35">
      <c r="A1047" t="s">
        <v>1099</v>
      </c>
      <c r="B1047" t="s">
        <v>16</v>
      </c>
      <c r="C1047">
        <v>33</v>
      </c>
      <c r="D1047" t="s">
        <v>17</v>
      </c>
      <c r="E1047" t="s">
        <v>27</v>
      </c>
      <c r="F1047" t="s">
        <v>28</v>
      </c>
      <c r="G1047">
        <v>11.5</v>
      </c>
      <c r="H1047">
        <v>6.7</v>
      </c>
      <c r="I1047" t="str" cm="1">
        <f t="array" ref="I1047">_xlfn.IFS(G1047&lt;3, "0–2 Years", G1047&lt;6, "3–5 Years", G1047&lt;9, "6–8 Years", G1047&lt;12, "9-11 Years", G1047&gt;=12, "12-14 Years")</f>
        <v>9-11 Years</v>
      </c>
      <c r="J1047">
        <v>3</v>
      </c>
      <c r="K1047" t="s">
        <v>20</v>
      </c>
      <c r="L1047">
        <v>89500</v>
      </c>
      <c r="M1047">
        <v>11700</v>
      </c>
      <c r="N1047">
        <v>101200</v>
      </c>
      <c r="O1047" t="s">
        <v>30</v>
      </c>
      <c r="P1047" s="3">
        <v>41809</v>
      </c>
      <c r="Q1047" t="s">
        <v>28</v>
      </c>
    </row>
    <row r="1048" spans="1:17" x14ac:dyDescent="0.35">
      <c r="A1048" t="s">
        <v>1100</v>
      </c>
      <c r="B1048" t="s">
        <v>23</v>
      </c>
      <c r="C1048" s="7">
        <v>43</v>
      </c>
      <c r="D1048" t="s">
        <v>41</v>
      </c>
      <c r="E1048" t="s">
        <v>67</v>
      </c>
      <c r="F1048" t="s">
        <v>62</v>
      </c>
      <c r="G1048" s="9">
        <v>12.1</v>
      </c>
      <c r="H1048" s="7">
        <v>9.4</v>
      </c>
      <c r="I1048" t="str" cm="1">
        <f t="array" ref="I1048">_xlfn.IFS(G1048&lt;3, "0–2 Years", G1048&lt;6, "3–5 Years", G1048&lt;9, "6–8 Years", G1048&lt;12, "9-11 Years", G1048&gt;=12, "12-14 Years")</f>
        <v>12-14 Years</v>
      </c>
      <c r="J1048" s="7">
        <v>3</v>
      </c>
      <c r="K1048" t="s">
        <v>20</v>
      </c>
      <c r="L1048" s="7">
        <v>78700</v>
      </c>
      <c r="M1048" s="7">
        <v>5500</v>
      </c>
      <c r="N1048" s="7">
        <v>84200</v>
      </c>
      <c r="O1048" t="s">
        <v>21</v>
      </c>
      <c r="P1048" s="3">
        <v>41590</v>
      </c>
      <c r="Q1048" t="s">
        <v>62</v>
      </c>
    </row>
    <row r="1049" spans="1:17" x14ac:dyDescent="0.35">
      <c r="A1049" t="s">
        <v>1101</v>
      </c>
      <c r="B1049" t="s">
        <v>16</v>
      </c>
      <c r="C1049">
        <v>21</v>
      </c>
      <c r="D1049" t="s">
        <v>44</v>
      </c>
      <c r="E1049" t="s">
        <v>76</v>
      </c>
      <c r="F1049" t="s">
        <v>19</v>
      </c>
      <c r="G1049">
        <v>3.5</v>
      </c>
      <c r="H1049">
        <v>1.6</v>
      </c>
      <c r="I1049" t="str" cm="1">
        <f t="array" ref="I1049">_xlfn.IFS(G1049&lt;3, "0–2 Years", G1049&lt;6, "3–5 Years", G1049&lt;9, "6–8 Years", G1049&lt;12, "9-11 Years", G1049&gt;=12, "12-14 Years")</f>
        <v>3–5 Years</v>
      </c>
      <c r="J1049">
        <v>5</v>
      </c>
      <c r="K1049" t="s">
        <v>20</v>
      </c>
      <c r="L1049">
        <v>98000</v>
      </c>
      <c r="M1049">
        <v>6600</v>
      </c>
      <c r="N1049">
        <v>104600</v>
      </c>
      <c r="O1049" t="s">
        <v>30</v>
      </c>
      <c r="P1049" s="3">
        <v>44731</v>
      </c>
      <c r="Q1049" t="s">
        <v>19</v>
      </c>
    </row>
    <row r="1050" spans="1:17" x14ac:dyDescent="0.35">
      <c r="A1050" t="s">
        <v>1102</v>
      </c>
      <c r="B1050" t="s">
        <v>16</v>
      </c>
      <c r="C1050">
        <v>35</v>
      </c>
      <c r="D1050" t="s">
        <v>38</v>
      </c>
      <c r="E1050" t="s">
        <v>39</v>
      </c>
      <c r="F1050" t="s">
        <v>62</v>
      </c>
      <c r="G1050">
        <v>3.9</v>
      </c>
      <c r="H1050">
        <v>2.1</v>
      </c>
      <c r="I1050" t="str" cm="1">
        <f t="array" ref="I1050">_xlfn.IFS(G1050&lt;3, "0–2 Years", G1050&lt;6, "3–5 Years", G1050&lt;9, "6–8 Years", G1050&lt;12, "9-11 Years", G1050&gt;=12, "12-14 Years")</f>
        <v>3–5 Years</v>
      </c>
      <c r="J1050">
        <v>4</v>
      </c>
      <c r="K1050" t="s">
        <v>24</v>
      </c>
      <c r="L1050">
        <v>52500</v>
      </c>
      <c r="M1050">
        <v>4200</v>
      </c>
      <c r="N1050">
        <v>56700</v>
      </c>
      <c r="O1050" t="s">
        <v>25</v>
      </c>
      <c r="P1050" s="3">
        <v>44591</v>
      </c>
      <c r="Q1050" t="s">
        <v>62</v>
      </c>
    </row>
    <row r="1051" spans="1:17" x14ac:dyDescent="0.35">
      <c r="A1051" t="s">
        <v>1103</v>
      </c>
      <c r="B1051" t="s">
        <v>16</v>
      </c>
      <c r="C1051">
        <v>35</v>
      </c>
      <c r="D1051" t="s">
        <v>44</v>
      </c>
      <c r="E1051" t="s">
        <v>45</v>
      </c>
      <c r="F1051" t="s">
        <v>28</v>
      </c>
      <c r="G1051">
        <v>4.4000000000000004</v>
      </c>
      <c r="H1051">
        <v>2.7</v>
      </c>
      <c r="I1051" t="str" cm="1">
        <f t="array" ref="I1051">_xlfn.IFS(G1051&lt;3, "0–2 Years", G1051&lt;6, "3–5 Years", G1051&lt;9, "6–8 Years", G1051&lt;12, "9-11 Years", G1051&gt;=12, "12-14 Years")</f>
        <v>3–5 Years</v>
      </c>
      <c r="J1051">
        <v>3</v>
      </c>
      <c r="K1051" t="s">
        <v>20</v>
      </c>
      <c r="L1051">
        <v>68100</v>
      </c>
      <c r="M1051">
        <v>10000</v>
      </c>
      <c r="N1051">
        <v>78100</v>
      </c>
      <c r="O1051" t="s">
        <v>21</v>
      </c>
      <c r="P1051" s="3">
        <v>44434</v>
      </c>
      <c r="Q1051" t="s">
        <v>28</v>
      </c>
    </row>
    <row r="1052" spans="1:17" x14ac:dyDescent="0.35">
      <c r="A1052" t="s">
        <v>1104</v>
      </c>
      <c r="B1052" t="s">
        <v>23</v>
      </c>
      <c r="C1052">
        <v>35</v>
      </c>
      <c r="D1052" t="s">
        <v>17</v>
      </c>
      <c r="E1052" t="s">
        <v>32</v>
      </c>
      <c r="F1052" t="s">
        <v>36</v>
      </c>
      <c r="G1052">
        <v>2.9</v>
      </c>
      <c r="H1052">
        <v>0</v>
      </c>
      <c r="I1052" t="str" cm="1">
        <f t="array" ref="I1052">_xlfn.IFS(G1052&lt;3, "0–2 Years", G1052&lt;6, "3–5 Years", G1052&lt;9, "6–8 Years", G1052&lt;12, "9-11 Years", G1052&gt;=12, "12-14 Years")</f>
        <v>0–2 Years</v>
      </c>
      <c r="J1052">
        <v>2</v>
      </c>
      <c r="K1052" t="s">
        <v>20</v>
      </c>
      <c r="L1052">
        <v>72900</v>
      </c>
      <c r="M1052">
        <v>4500</v>
      </c>
      <c r="N1052">
        <v>77400</v>
      </c>
      <c r="O1052" t="s">
        <v>21</v>
      </c>
      <c r="P1052" s="3">
        <v>44960</v>
      </c>
      <c r="Q1052" t="s">
        <v>36</v>
      </c>
    </row>
    <row r="1053" spans="1:17" x14ac:dyDescent="0.35">
      <c r="A1053" t="s">
        <v>1105</v>
      </c>
      <c r="B1053" t="s">
        <v>23</v>
      </c>
      <c r="C1053">
        <v>40</v>
      </c>
      <c r="D1053" t="s">
        <v>55</v>
      </c>
      <c r="E1053" t="s">
        <v>92</v>
      </c>
      <c r="F1053" t="s">
        <v>36</v>
      </c>
      <c r="G1053">
        <v>6.5</v>
      </c>
      <c r="H1053">
        <v>4.4000000000000004</v>
      </c>
      <c r="I1053" t="str" cm="1">
        <f t="array" ref="I1053">_xlfn.IFS(G1053&lt;3, "0–2 Years", G1053&lt;6, "3–5 Years", G1053&lt;9, "6–8 Years", G1053&lt;12, "9-11 Years", G1053&gt;=12, "12-14 Years")</f>
        <v>6–8 Years</v>
      </c>
      <c r="J1053">
        <v>3</v>
      </c>
      <c r="K1053" t="s">
        <v>20</v>
      </c>
      <c r="L1053">
        <v>98100</v>
      </c>
      <c r="M1053">
        <v>20000</v>
      </c>
      <c r="N1053">
        <v>118100</v>
      </c>
      <c r="O1053" t="s">
        <v>30</v>
      </c>
      <c r="P1053" s="3">
        <v>43649</v>
      </c>
      <c r="Q1053" t="s">
        <v>36</v>
      </c>
    </row>
    <row r="1054" spans="1:17" x14ac:dyDescent="0.35">
      <c r="A1054" t="s">
        <v>1106</v>
      </c>
      <c r="B1054" t="s">
        <v>23</v>
      </c>
      <c r="C1054">
        <v>40</v>
      </c>
      <c r="D1054" t="s">
        <v>55</v>
      </c>
      <c r="E1054" t="s">
        <v>79</v>
      </c>
      <c r="F1054" t="s">
        <v>28</v>
      </c>
      <c r="G1054">
        <v>5.6</v>
      </c>
      <c r="H1054">
        <v>2.7</v>
      </c>
      <c r="I1054" t="str" cm="1">
        <f t="array" ref="I1054">_xlfn.IFS(G1054&lt;3, "0–2 Years", G1054&lt;6, "3–5 Years", G1054&lt;9, "6–8 Years", G1054&lt;12, "9-11 Years", G1054&gt;=12, "12-14 Years")</f>
        <v>3–5 Years</v>
      </c>
      <c r="J1054">
        <v>2</v>
      </c>
      <c r="K1054" t="s">
        <v>20</v>
      </c>
      <c r="L1054">
        <v>55100</v>
      </c>
      <c r="M1054">
        <v>10800</v>
      </c>
      <c r="N1054">
        <v>65900</v>
      </c>
      <c r="O1054" t="s">
        <v>25</v>
      </c>
      <c r="P1054" s="3">
        <v>43965</v>
      </c>
      <c r="Q1054" t="s">
        <v>28</v>
      </c>
    </row>
    <row r="1055" spans="1:17" x14ac:dyDescent="0.35">
      <c r="A1055" t="s">
        <v>1107</v>
      </c>
      <c r="B1055" t="s">
        <v>23</v>
      </c>
      <c r="C1055">
        <v>38</v>
      </c>
      <c r="D1055" t="s">
        <v>34</v>
      </c>
      <c r="E1055" t="s">
        <v>59</v>
      </c>
      <c r="F1055" t="s">
        <v>62</v>
      </c>
      <c r="G1055">
        <v>7</v>
      </c>
      <c r="H1055">
        <v>4.5999999999999996</v>
      </c>
      <c r="I1055" t="str" cm="1">
        <f t="array" ref="I1055">_xlfn.IFS(G1055&lt;3, "0–2 Years", G1055&lt;6, "3–5 Years", G1055&lt;9, "6–8 Years", G1055&lt;12, "9-11 Years", G1055&gt;=12, "12-14 Years")</f>
        <v>6–8 Years</v>
      </c>
      <c r="J1055">
        <v>4</v>
      </c>
      <c r="K1055" t="s">
        <v>20</v>
      </c>
      <c r="L1055">
        <v>116400</v>
      </c>
      <c r="M1055">
        <v>11400</v>
      </c>
      <c r="N1055">
        <v>127800</v>
      </c>
      <c r="O1055" t="s">
        <v>57</v>
      </c>
      <c r="P1055" s="3">
        <v>43448</v>
      </c>
      <c r="Q1055" t="s">
        <v>62</v>
      </c>
    </row>
    <row r="1056" spans="1:17" x14ac:dyDescent="0.35">
      <c r="A1056" t="s">
        <v>1108</v>
      </c>
      <c r="B1056" t="s">
        <v>16</v>
      </c>
      <c r="C1056">
        <v>30</v>
      </c>
      <c r="D1056" t="s">
        <v>41</v>
      </c>
      <c r="E1056" t="s">
        <v>73</v>
      </c>
      <c r="F1056" t="s">
        <v>19</v>
      </c>
      <c r="G1056">
        <v>9.9</v>
      </c>
      <c r="H1056">
        <v>7.4</v>
      </c>
      <c r="I1056" t="str" cm="1">
        <f t="array" ref="I1056">_xlfn.IFS(G1056&lt;3, "0–2 Years", G1056&lt;6, "3–5 Years", G1056&lt;9, "6–8 Years", G1056&lt;12, "9-11 Years", G1056&gt;=12, "12-14 Years")</f>
        <v>9-11 Years</v>
      </c>
      <c r="J1056">
        <v>3</v>
      </c>
      <c r="K1056" t="s">
        <v>20</v>
      </c>
      <c r="L1056">
        <v>95500</v>
      </c>
      <c r="M1056">
        <v>3400</v>
      </c>
      <c r="N1056">
        <v>98900</v>
      </c>
      <c r="O1056" t="s">
        <v>30</v>
      </c>
      <c r="P1056" s="3">
        <v>42406</v>
      </c>
      <c r="Q1056" t="s">
        <v>19</v>
      </c>
    </row>
    <row r="1057" spans="1:17" x14ac:dyDescent="0.35">
      <c r="A1057" t="s">
        <v>1109</v>
      </c>
      <c r="B1057" t="s">
        <v>23</v>
      </c>
      <c r="C1057" s="7">
        <v>34</v>
      </c>
      <c r="D1057" t="s">
        <v>17</v>
      </c>
      <c r="E1057" t="s">
        <v>32</v>
      </c>
      <c r="F1057" t="s">
        <v>28</v>
      </c>
      <c r="G1057" s="9">
        <v>14</v>
      </c>
      <c r="H1057" s="7">
        <v>11.2</v>
      </c>
      <c r="I1057" t="str" cm="1">
        <f t="array" ref="I1057">_xlfn.IFS(G1057&lt;3, "0–2 Years", G1057&lt;6, "3–5 Years", G1057&lt;9, "6–8 Years", G1057&lt;12, "9-11 Years", G1057&gt;=12, "12-14 Years")</f>
        <v>12-14 Years</v>
      </c>
      <c r="J1057" s="7">
        <v>3</v>
      </c>
      <c r="K1057" t="s">
        <v>20</v>
      </c>
      <c r="L1057" s="7">
        <v>55200</v>
      </c>
      <c r="M1057" s="7">
        <v>3100</v>
      </c>
      <c r="N1057" s="7">
        <v>58300</v>
      </c>
      <c r="O1057" t="s">
        <v>25</v>
      </c>
      <c r="P1057" s="3">
        <v>40926</v>
      </c>
      <c r="Q1057" t="s">
        <v>28</v>
      </c>
    </row>
    <row r="1058" spans="1:17" x14ac:dyDescent="0.35">
      <c r="A1058" t="s">
        <v>1110</v>
      </c>
      <c r="B1058" t="s">
        <v>23</v>
      </c>
      <c r="C1058">
        <v>31</v>
      </c>
      <c r="D1058" t="s">
        <v>34</v>
      </c>
      <c r="E1058" t="s">
        <v>35</v>
      </c>
      <c r="F1058" t="s">
        <v>28</v>
      </c>
      <c r="G1058">
        <v>3.7</v>
      </c>
      <c r="H1058">
        <v>3.7</v>
      </c>
      <c r="I1058" t="str" cm="1">
        <f t="array" ref="I1058">_xlfn.IFS(G1058&lt;3, "0–2 Years", G1058&lt;6, "3–5 Years", G1058&lt;9, "6–8 Years", G1058&lt;12, "9-11 Years", G1058&gt;=12, "12-14 Years")</f>
        <v>3–5 Years</v>
      </c>
      <c r="J1058">
        <v>3</v>
      </c>
      <c r="K1058" t="s">
        <v>20</v>
      </c>
      <c r="L1058">
        <v>81100</v>
      </c>
      <c r="M1058">
        <v>7700</v>
      </c>
      <c r="N1058">
        <v>88800</v>
      </c>
      <c r="O1058" t="s">
        <v>30</v>
      </c>
      <c r="P1058" s="3">
        <v>44671</v>
      </c>
      <c r="Q1058" t="s">
        <v>28</v>
      </c>
    </row>
    <row r="1059" spans="1:17" x14ac:dyDescent="0.35">
      <c r="A1059" t="s">
        <v>1111</v>
      </c>
      <c r="B1059" t="s">
        <v>23</v>
      </c>
      <c r="C1059">
        <v>26</v>
      </c>
      <c r="D1059" t="s">
        <v>17</v>
      </c>
      <c r="E1059" t="s">
        <v>32</v>
      </c>
      <c r="F1059" t="s">
        <v>36</v>
      </c>
      <c r="G1059">
        <v>7.4</v>
      </c>
      <c r="H1059">
        <v>3.8</v>
      </c>
      <c r="I1059" t="str" cm="1">
        <f t="array" ref="I1059">_xlfn.IFS(G1059&lt;3, "0–2 Years", G1059&lt;6, "3–5 Years", G1059&lt;9, "6–8 Years", G1059&lt;12, "9-11 Years", G1059&gt;=12, "12-14 Years")</f>
        <v>6–8 Years</v>
      </c>
      <c r="J1059">
        <v>3</v>
      </c>
      <c r="K1059" t="s">
        <v>20</v>
      </c>
      <c r="L1059">
        <v>75000</v>
      </c>
      <c r="M1059">
        <v>5100</v>
      </c>
      <c r="N1059">
        <v>80100</v>
      </c>
      <c r="O1059" t="s">
        <v>21</v>
      </c>
      <c r="P1059" s="3">
        <v>43317</v>
      </c>
      <c r="Q1059" t="s">
        <v>36</v>
      </c>
    </row>
    <row r="1060" spans="1:17" x14ac:dyDescent="0.35">
      <c r="A1060" t="s">
        <v>1112</v>
      </c>
      <c r="B1060" t="s">
        <v>16</v>
      </c>
      <c r="C1060">
        <v>39</v>
      </c>
      <c r="D1060" t="s">
        <v>41</v>
      </c>
      <c r="E1060" t="s">
        <v>42</v>
      </c>
      <c r="F1060" t="s">
        <v>36</v>
      </c>
      <c r="G1060">
        <v>11.8</v>
      </c>
      <c r="H1060">
        <v>9.3000000000000007</v>
      </c>
      <c r="I1060" t="str" cm="1">
        <f t="array" ref="I1060">_xlfn.IFS(G1060&lt;3, "0–2 Years", G1060&lt;6, "3–5 Years", G1060&lt;9, "6–8 Years", G1060&lt;12, "9-11 Years", G1060&gt;=12, "12-14 Years")</f>
        <v>9-11 Years</v>
      </c>
      <c r="J1060">
        <v>4</v>
      </c>
      <c r="K1060" t="s">
        <v>20</v>
      </c>
      <c r="L1060">
        <v>92400</v>
      </c>
      <c r="M1060">
        <v>4800</v>
      </c>
      <c r="N1060">
        <v>97200</v>
      </c>
      <c r="O1060" t="s">
        <v>30</v>
      </c>
      <c r="P1060" s="3">
        <v>41721</v>
      </c>
      <c r="Q1060" t="s">
        <v>36</v>
      </c>
    </row>
    <row r="1061" spans="1:17" x14ac:dyDescent="0.35">
      <c r="A1061" t="s">
        <v>1113</v>
      </c>
      <c r="B1061" t="s">
        <v>23</v>
      </c>
      <c r="C1061">
        <v>33</v>
      </c>
      <c r="D1061" t="s">
        <v>41</v>
      </c>
      <c r="E1061" t="s">
        <v>73</v>
      </c>
      <c r="F1061" t="s">
        <v>36</v>
      </c>
      <c r="G1061">
        <v>1.4</v>
      </c>
      <c r="H1061">
        <v>1.4</v>
      </c>
      <c r="I1061" t="str" cm="1">
        <f t="array" ref="I1061">_xlfn.IFS(G1061&lt;3, "0–2 Years", G1061&lt;6, "3–5 Years", G1061&lt;9, "6–8 Years", G1061&lt;12, "9-11 Years", G1061&gt;=12, "12-14 Years")</f>
        <v>0–2 Years</v>
      </c>
      <c r="J1061">
        <v>4</v>
      </c>
      <c r="K1061" t="s">
        <v>20</v>
      </c>
      <c r="L1061">
        <v>103500</v>
      </c>
      <c r="M1061">
        <v>5100</v>
      </c>
      <c r="N1061">
        <v>108600</v>
      </c>
      <c r="O1061" t="s">
        <v>57</v>
      </c>
      <c r="P1061" s="3">
        <v>45507</v>
      </c>
      <c r="Q1061" t="s">
        <v>36</v>
      </c>
    </row>
    <row r="1062" spans="1:17" x14ac:dyDescent="0.35">
      <c r="A1062" t="s">
        <v>1114</v>
      </c>
      <c r="B1062" t="s">
        <v>16</v>
      </c>
      <c r="C1062">
        <v>27</v>
      </c>
      <c r="D1062" t="s">
        <v>38</v>
      </c>
      <c r="E1062" t="s">
        <v>39</v>
      </c>
      <c r="F1062" t="s">
        <v>28</v>
      </c>
      <c r="G1062">
        <v>11.2</v>
      </c>
      <c r="H1062">
        <v>5</v>
      </c>
      <c r="I1062" t="str" cm="1">
        <f t="array" ref="I1062">_xlfn.IFS(G1062&lt;3, "0–2 Years", G1062&lt;6, "3–5 Years", G1062&lt;9, "6–8 Years", G1062&lt;12, "9-11 Years", G1062&gt;=12, "12-14 Years")</f>
        <v>9-11 Years</v>
      </c>
      <c r="J1062">
        <v>4</v>
      </c>
      <c r="K1062" t="s">
        <v>24</v>
      </c>
      <c r="L1062">
        <v>57400</v>
      </c>
      <c r="M1062">
        <v>4000</v>
      </c>
      <c r="N1062">
        <v>61400</v>
      </c>
      <c r="O1062" t="s">
        <v>25</v>
      </c>
      <c r="P1062" s="3">
        <v>41917</v>
      </c>
      <c r="Q1062" t="s">
        <v>28</v>
      </c>
    </row>
    <row r="1063" spans="1:17" x14ac:dyDescent="0.35">
      <c r="A1063" t="s">
        <v>1115</v>
      </c>
      <c r="B1063" t="s">
        <v>16</v>
      </c>
      <c r="C1063">
        <v>37</v>
      </c>
      <c r="D1063" t="s">
        <v>34</v>
      </c>
      <c r="E1063" t="s">
        <v>59</v>
      </c>
      <c r="F1063" t="s">
        <v>36</v>
      </c>
      <c r="G1063">
        <v>11</v>
      </c>
      <c r="H1063">
        <v>7.7</v>
      </c>
      <c r="I1063" t="str" cm="1">
        <f t="array" ref="I1063">_xlfn.IFS(G1063&lt;3, "0–2 Years", G1063&lt;6, "3–5 Years", G1063&lt;9, "6–8 Years", G1063&lt;12, "9-11 Years", G1063&gt;=12, "12-14 Years")</f>
        <v>9-11 Years</v>
      </c>
      <c r="J1063">
        <v>4</v>
      </c>
      <c r="K1063" t="s">
        <v>20</v>
      </c>
      <c r="L1063">
        <v>117200</v>
      </c>
      <c r="M1063">
        <v>10800</v>
      </c>
      <c r="N1063">
        <v>128000</v>
      </c>
      <c r="O1063" t="s">
        <v>57</v>
      </c>
      <c r="P1063" s="3">
        <v>41992</v>
      </c>
      <c r="Q1063" t="s">
        <v>36</v>
      </c>
    </row>
    <row r="1064" spans="1:17" x14ac:dyDescent="0.35">
      <c r="A1064" t="s">
        <v>1116</v>
      </c>
      <c r="B1064" t="s">
        <v>16</v>
      </c>
      <c r="C1064">
        <v>26</v>
      </c>
      <c r="D1064" t="s">
        <v>44</v>
      </c>
      <c r="E1064" t="s">
        <v>76</v>
      </c>
      <c r="F1064" t="s">
        <v>28</v>
      </c>
      <c r="G1064">
        <v>2.4</v>
      </c>
      <c r="H1064">
        <v>1.6</v>
      </c>
      <c r="I1064" t="str" cm="1">
        <f t="array" ref="I1064">_xlfn.IFS(G1064&lt;3, "0–2 Years", G1064&lt;6, "3–5 Years", G1064&lt;9, "6–8 Years", G1064&lt;12, "9-11 Years", G1064&gt;=12, "12-14 Years")</f>
        <v>0–2 Years</v>
      </c>
      <c r="J1064">
        <v>5</v>
      </c>
      <c r="K1064" t="s">
        <v>20</v>
      </c>
      <c r="L1064">
        <v>114000</v>
      </c>
      <c r="M1064">
        <v>14400</v>
      </c>
      <c r="N1064">
        <v>128400</v>
      </c>
      <c r="O1064" t="s">
        <v>57</v>
      </c>
      <c r="P1064" s="3">
        <v>45145</v>
      </c>
      <c r="Q1064" t="s">
        <v>28</v>
      </c>
    </row>
    <row r="1065" spans="1:17" x14ac:dyDescent="0.35">
      <c r="A1065" t="s">
        <v>1117</v>
      </c>
      <c r="B1065" t="s">
        <v>23</v>
      </c>
      <c r="C1065">
        <v>28</v>
      </c>
      <c r="D1065" t="s">
        <v>55</v>
      </c>
      <c r="E1065" t="s">
        <v>79</v>
      </c>
      <c r="F1065" t="s">
        <v>28</v>
      </c>
      <c r="G1065">
        <v>6.8</v>
      </c>
      <c r="H1065">
        <v>6.8</v>
      </c>
      <c r="I1065" t="str" cm="1">
        <f t="array" ref="I1065">_xlfn.IFS(G1065&lt;3, "0–2 Years", G1065&lt;6, "3–5 Years", G1065&lt;9, "6–8 Years", G1065&lt;12, "9-11 Years", G1065&gt;=12, "12-14 Years")</f>
        <v>6–8 Years</v>
      </c>
      <c r="J1065">
        <v>4</v>
      </c>
      <c r="K1065" t="s">
        <v>20</v>
      </c>
      <c r="L1065">
        <v>50200</v>
      </c>
      <c r="M1065">
        <v>8000</v>
      </c>
      <c r="N1065">
        <v>58200</v>
      </c>
      <c r="O1065" t="s">
        <v>25</v>
      </c>
      <c r="P1065" s="3">
        <v>43549</v>
      </c>
      <c r="Q1065" t="s">
        <v>28</v>
      </c>
    </row>
    <row r="1066" spans="1:17" x14ac:dyDescent="0.35">
      <c r="A1066" t="s">
        <v>1118</v>
      </c>
      <c r="B1066" t="s">
        <v>23</v>
      </c>
      <c r="C1066">
        <v>37</v>
      </c>
      <c r="D1066" t="s">
        <v>55</v>
      </c>
      <c r="E1066" t="s">
        <v>56</v>
      </c>
      <c r="F1066" t="s">
        <v>28</v>
      </c>
      <c r="G1066">
        <v>4.3</v>
      </c>
      <c r="H1066">
        <v>0.6</v>
      </c>
      <c r="I1066" t="str" cm="1">
        <f t="array" ref="I1066">_xlfn.IFS(G1066&lt;3, "0–2 Years", G1066&lt;6, "3–5 Years", G1066&lt;9, "6–8 Years", G1066&lt;12, "9-11 Years", G1066&gt;=12, "12-14 Years")</f>
        <v>3–5 Years</v>
      </c>
      <c r="J1066">
        <v>4</v>
      </c>
      <c r="K1066" t="s">
        <v>20</v>
      </c>
      <c r="L1066">
        <v>101300</v>
      </c>
      <c r="M1066">
        <v>7200</v>
      </c>
      <c r="N1066">
        <v>108500</v>
      </c>
      <c r="O1066" t="s">
        <v>57</v>
      </c>
      <c r="P1066" s="3">
        <v>44457</v>
      </c>
      <c r="Q1066" t="s">
        <v>28</v>
      </c>
    </row>
    <row r="1067" spans="1:17" x14ac:dyDescent="0.35">
      <c r="A1067" t="s">
        <v>1119</v>
      </c>
      <c r="B1067" t="s">
        <v>16</v>
      </c>
      <c r="C1067">
        <v>30</v>
      </c>
      <c r="D1067" t="s">
        <v>44</v>
      </c>
      <c r="E1067" t="s">
        <v>45</v>
      </c>
      <c r="F1067" t="s">
        <v>28</v>
      </c>
      <c r="G1067">
        <v>5.2</v>
      </c>
      <c r="H1067">
        <v>1.1000000000000001</v>
      </c>
      <c r="I1067" t="str" cm="1">
        <f t="array" ref="I1067">_xlfn.IFS(G1067&lt;3, "0–2 Years", G1067&lt;6, "3–5 Years", G1067&lt;9, "6–8 Years", G1067&lt;12, "9-11 Years", G1067&gt;=12, "12-14 Years")</f>
        <v>3–5 Years</v>
      </c>
      <c r="J1067">
        <v>3</v>
      </c>
      <c r="K1067" t="s">
        <v>20</v>
      </c>
      <c r="L1067">
        <v>82800</v>
      </c>
      <c r="M1067">
        <v>11300</v>
      </c>
      <c r="N1067">
        <v>94100</v>
      </c>
      <c r="O1067" t="s">
        <v>30</v>
      </c>
      <c r="P1067" s="3">
        <v>44107</v>
      </c>
      <c r="Q1067" t="s">
        <v>28</v>
      </c>
    </row>
    <row r="1068" spans="1:17" x14ac:dyDescent="0.35">
      <c r="A1068" t="s">
        <v>1120</v>
      </c>
      <c r="B1068" t="s">
        <v>16</v>
      </c>
      <c r="C1068">
        <v>35</v>
      </c>
      <c r="D1068" t="s">
        <v>34</v>
      </c>
      <c r="E1068" t="s">
        <v>35</v>
      </c>
      <c r="F1068" t="s">
        <v>28</v>
      </c>
      <c r="G1068">
        <v>8</v>
      </c>
      <c r="H1068">
        <v>6.3</v>
      </c>
      <c r="I1068" t="str" cm="1">
        <f t="array" ref="I1068">_xlfn.IFS(G1068&lt;3, "0–2 Years", G1068&lt;6, "3–5 Years", G1068&lt;9, "6–8 Years", G1068&lt;12, "9-11 Years", G1068&gt;=12, "12-14 Years")</f>
        <v>6–8 Years</v>
      </c>
      <c r="J1068">
        <v>4</v>
      </c>
      <c r="K1068" t="s">
        <v>20</v>
      </c>
      <c r="L1068">
        <v>63900</v>
      </c>
      <c r="M1068">
        <v>4000</v>
      </c>
      <c r="N1068">
        <v>67900</v>
      </c>
      <c r="O1068" t="s">
        <v>25</v>
      </c>
      <c r="P1068" s="3">
        <v>43119</v>
      </c>
      <c r="Q1068" t="s">
        <v>28</v>
      </c>
    </row>
    <row r="1069" spans="1:17" x14ac:dyDescent="0.35">
      <c r="A1069" t="s">
        <v>1121</v>
      </c>
      <c r="B1069" t="s">
        <v>23</v>
      </c>
      <c r="C1069" s="7">
        <v>39</v>
      </c>
      <c r="D1069" t="s">
        <v>38</v>
      </c>
      <c r="E1069" t="s">
        <v>112</v>
      </c>
      <c r="F1069" t="s">
        <v>36</v>
      </c>
      <c r="G1069" s="9">
        <v>12.9</v>
      </c>
      <c r="H1069" s="7">
        <v>8</v>
      </c>
      <c r="I1069" t="str" cm="1">
        <f t="array" ref="I1069">_xlfn.IFS(G1069&lt;3, "0–2 Years", G1069&lt;6, "3–5 Years", G1069&lt;9, "6–8 Years", G1069&lt;12, "9-11 Years", G1069&gt;=12, "12-14 Years")</f>
        <v>12-14 Years</v>
      </c>
      <c r="J1069" s="7">
        <v>3</v>
      </c>
      <c r="K1069" t="s">
        <v>20</v>
      </c>
      <c r="L1069" s="7">
        <v>85800</v>
      </c>
      <c r="M1069" s="7">
        <v>3600</v>
      </c>
      <c r="N1069" s="7">
        <v>89400</v>
      </c>
      <c r="O1069" t="s">
        <v>30</v>
      </c>
      <c r="P1069" s="3">
        <v>41322</v>
      </c>
      <c r="Q1069" t="s">
        <v>36</v>
      </c>
    </row>
    <row r="1070" spans="1:17" x14ac:dyDescent="0.35">
      <c r="A1070" t="s">
        <v>1122</v>
      </c>
      <c r="B1070" t="s">
        <v>23</v>
      </c>
      <c r="C1070" s="7">
        <v>44</v>
      </c>
      <c r="D1070" t="s">
        <v>38</v>
      </c>
      <c r="E1070" t="s">
        <v>61</v>
      </c>
      <c r="F1070" t="s">
        <v>28</v>
      </c>
      <c r="G1070" s="9">
        <v>12.9</v>
      </c>
      <c r="H1070" s="7">
        <v>8.8000000000000007</v>
      </c>
      <c r="I1070" t="str" cm="1">
        <f t="array" ref="I1070">_xlfn.IFS(G1070&lt;3, "0–2 Years", G1070&lt;6, "3–5 Years", G1070&lt;9, "6–8 Years", G1070&lt;12, "9-11 Years", G1070&gt;=12, "12-14 Years")</f>
        <v>12-14 Years</v>
      </c>
      <c r="J1070" s="7">
        <v>3</v>
      </c>
      <c r="K1070" t="s">
        <v>20</v>
      </c>
      <c r="L1070" s="7">
        <v>105700</v>
      </c>
      <c r="M1070" s="7">
        <v>8000</v>
      </c>
      <c r="N1070" s="7">
        <v>113700</v>
      </c>
      <c r="O1070" t="s">
        <v>57</v>
      </c>
      <c r="P1070" s="3">
        <v>41304</v>
      </c>
      <c r="Q1070" t="s">
        <v>28</v>
      </c>
    </row>
    <row r="1071" spans="1:17" x14ac:dyDescent="0.35">
      <c r="A1071" t="s">
        <v>1123</v>
      </c>
      <c r="B1071" t="s">
        <v>16</v>
      </c>
      <c r="C1071">
        <v>33</v>
      </c>
      <c r="D1071" t="s">
        <v>41</v>
      </c>
      <c r="E1071" t="s">
        <v>42</v>
      </c>
      <c r="F1071" t="s">
        <v>19</v>
      </c>
      <c r="G1071">
        <v>6.3</v>
      </c>
      <c r="H1071">
        <v>3.6</v>
      </c>
      <c r="I1071" t="str" cm="1">
        <f t="array" ref="I1071">_xlfn.IFS(G1071&lt;3, "0–2 Years", G1071&lt;6, "3–5 Years", G1071&lt;9, "6–8 Years", G1071&lt;12, "9-11 Years", G1071&gt;=12, "12-14 Years")</f>
        <v>6–8 Years</v>
      </c>
      <c r="J1071">
        <v>3</v>
      </c>
      <c r="K1071" t="s">
        <v>20</v>
      </c>
      <c r="L1071">
        <v>74400</v>
      </c>
      <c r="M1071">
        <v>3100</v>
      </c>
      <c r="N1071">
        <v>77500</v>
      </c>
      <c r="O1071" t="s">
        <v>21</v>
      </c>
      <c r="P1071" s="3">
        <v>43722</v>
      </c>
      <c r="Q1071" t="s">
        <v>19</v>
      </c>
    </row>
    <row r="1072" spans="1:17" x14ac:dyDescent="0.35">
      <c r="A1072" t="s">
        <v>1124</v>
      </c>
      <c r="B1072" t="s">
        <v>16</v>
      </c>
      <c r="C1072">
        <v>46</v>
      </c>
      <c r="D1072" t="s">
        <v>38</v>
      </c>
      <c r="E1072" t="s">
        <v>61</v>
      </c>
      <c r="F1072" t="s">
        <v>28</v>
      </c>
      <c r="G1072">
        <v>10</v>
      </c>
      <c r="H1072">
        <v>5.4</v>
      </c>
      <c r="I1072" t="str" cm="1">
        <f t="array" ref="I1072">_xlfn.IFS(G1072&lt;3, "0–2 Years", G1072&lt;6, "3–5 Years", G1072&lt;9, "6–8 Years", G1072&lt;12, "9-11 Years", G1072&gt;=12, "12-14 Years")</f>
        <v>9-11 Years</v>
      </c>
      <c r="J1072">
        <v>4</v>
      </c>
      <c r="K1072" t="s">
        <v>20</v>
      </c>
      <c r="L1072">
        <v>120900</v>
      </c>
      <c r="M1072">
        <v>8600</v>
      </c>
      <c r="N1072">
        <v>129500</v>
      </c>
      <c r="O1072" t="s">
        <v>57</v>
      </c>
      <c r="P1072" s="3">
        <v>42374</v>
      </c>
      <c r="Q1072" t="s">
        <v>28</v>
      </c>
    </row>
    <row r="1073" spans="1:17" x14ac:dyDescent="0.35">
      <c r="A1073" t="s">
        <v>1125</v>
      </c>
      <c r="B1073" t="s">
        <v>16</v>
      </c>
      <c r="C1073">
        <v>34</v>
      </c>
      <c r="D1073" t="s">
        <v>17</v>
      </c>
      <c r="E1073" t="s">
        <v>18</v>
      </c>
      <c r="F1073" t="s">
        <v>62</v>
      </c>
      <c r="G1073">
        <v>2.7</v>
      </c>
      <c r="H1073">
        <v>2.7</v>
      </c>
      <c r="I1073" t="str" cm="1">
        <f t="array" ref="I1073">_xlfn.IFS(G1073&lt;3, "0–2 Years", G1073&lt;6, "3–5 Years", G1073&lt;9, "6–8 Years", G1073&lt;12, "9-11 Years", G1073&gt;=12, "12-14 Years")</f>
        <v>0–2 Years</v>
      </c>
      <c r="J1073">
        <v>2</v>
      </c>
      <c r="K1073" t="s">
        <v>20</v>
      </c>
      <c r="L1073">
        <v>101300</v>
      </c>
      <c r="M1073">
        <v>12900</v>
      </c>
      <c r="N1073">
        <v>114200</v>
      </c>
      <c r="O1073" t="s">
        <v>57</v>
      </c>
      <c r="P1073" s="3">
        <v>45052</v>
      </c>
      <c r="Q1073" t="s">
        <v>62</v>
      </c>
    </row>
    <row r="1074" spans="1:17" x14ac:dyDescent="0.35">
      <c r="A1074" t="s">
        <v>1126</v>
      </c>
      <c r="B1074" t="s">
        <v>23</v>
      </c>
      <c r="C1074">
        <v>45</v>
      </c>
      <c r="D1074" t="s">
        <v>55</v>
      </c>
      <c r="E1074" t="s">
        <v>56</v>
      </c>
      <c r="F1074" t="s">
        <v>36</v>
      </c>
      <c r="G1074">
        <v>7.9</v>
      </c>
      <c r="H1074">
        <v>5.0999999999999996</v>
      </c>
      <c r="I1074" t="str" cm="1">
        <f t="array" ref="I1074">_xlfn.IFS(G1074&lt;3, "0–2 Years", G1074&lt;6, "3–5 Years", G1074&lt;9, "6–8 Years", G1074&lt;12, "9-11 Years", G1074&gt;=12, "12-14 Years")</f>
        <v>6–8 Years</v>
      </c>
      <c r="J1074">
        <v>4</v>
      </c>
      <c r="K1074" t="s">
        <v>20</v>
      </c>
      <c r="L1074">
        <v>116600</v>
      </c>
      <c r="M1074">
        <v>17400</v>
      </c>
      <c r="N1074">
        <v>134000</v>
      </c>
      <c r="O1074" t="s">
        <v>57</v>
      </c>
      <c r="P1074" s="3">
        <v>43138</v>
      </c>
      <c r="Q1074" t="s">
        <v>36</v>
      </c>
    </row>
    <row r="1075" spans="1:17" x14ac:dyDescent="0.35">
      <c r="A1075" t="s">
        <v>1127</v>
      </c>
      <c r="B1075" t="s">
        <v>16</v>
      </c>
      <c r="C1075" s="7">
        <v>41</v>
      </c>
      <c r="D1075" t="s">
        <v>38</v>
      </c>
      <c r="E1075" t="s">
        <v>39</v>
      </c>
      <c r="F1075" t="s">
        <v>19</v>
      </c>
      <c r="G1075" s="9">
        <v>12.5</v>
      </c>
      <c r="H1075" s="7">
        <v>10.7</v>
      </c>
      <c r="I1075" t="str" cm="1">
        <f t="array" ref="I1075">_xlfn.IFS(G1075&lt;3, "0–2 Years", G1075&lt;6, "3–5 Years", G1075&lt;9, "6–8 Years", G1075&lt;12, "9-11 Years", G1075&gt;=12, "12-14 Years")</f>
        <v>12-14 Years</v>
      </c>
      <c r="J1075" s="7">
        <v>5</v>
      </c>
      <c r="K1075" t="s">
        <v>20</v>
      </c>
      <c r="L1075" s="7">
        <v>91900</v>
      </c>
      <c r="M1075" s="7">
        <v>3700</v>
      </c>
      <c r="N1075" s="7">
        <v>95600</v>
      </c>
      <c r="O1075" t="s">
        <v>30</v>
      </c>
      <c r="P1075" s="3">
        <v>41460</v>
      </c>
      <c r="Q1075" t="s">
        <v>19</v>
      </c>
    </row>
    <row r="1076" spans="1:17" x14ac:dyDescent="0.35">
      <c r="A1076" t="s">
        <v>1128</v>
      </c>
      <c r="B1076" t="s">
        <v>16</v>
      </c>
      <c r="C1076">
        <v>33</v>
      </c>
      <c r="D1076" t="s">
        <v>17</v>
      </c>
      <c r="E1076" t="s">
        <v>27</v>
      </c>
      <c r="F1076" t="s">
        <v>36</v>
      </c>
      <c r="G1076">
        <v>5.2</v>
      </c>
      <c r="H1076">
        <v>2.2000000000000002</v>
      </c>
      <c r="I1076" t="str" cm="1">
        <f t="array" ref="I1076">_xlfn.IFS(G1076&lt;3, "0–2 Years", G1076&lt;6, "3–5 Years", G1076&lt;9, "6–8 Years", G1076&lt;12, "9-11 Years", G1076&gt;=12, "12-14 Years")</f>
        <v>3–5 Years</v>
      </c>
      <c r="J1076">
        <v>3</v>
      </c>
      <c r="K1076" t="s">
        <v>20</v>
      </c>
      <c r="L1076">
        <v>78000</v>
      </c>
      <c r="M1076">
        <v>6600</v>
      </c>
      <c r="N1076">
        <v>84600</v>
      </c>
      <c r="O1076" t="s">
        <v>21</v>
      </c>
      <c r="P1076" s="3">
        <v>44138</v>
      </c>
      <c r="Q1076" t="s">
        <v>36</v>
      </c>
    </row>
    <row r="1077" spans="1:17" x14ac:dyDescent="0.35">
      <c r="A1077" t="s">
        <v>1129</v>
      </c>
      <c r="B1077" t="s">
        <v>23</v>
      </c>
      <c r="C1077">
        <v>29</v>
      </c>
      <c r="D1077" t="s">
        <v>41</v>
      </c>
      <c r="E1077" t="s">
        <v>67</v>
      </c>
      <c r="F1077" t="s">
        <v>28</v>
      </c>
      <c r="G1077">
        <v>5.7</v>
      </c>
      <c r="H1077">
        <v>4.2</v>
      </c>
      <c r="I1077" t="str" cm="1">
        <f t="array" ref="I1077">_xlfn.IFS(G1077&lt;3, "0–2 Years", G1077&lt;6, "3–5 Years", G1077&lt;9, "6–8 Years", G1077&lt;12, "9-11 Years", G1077&gt;=12, "12-14 Years")</f>
        <v>3–5 Years</v>
      </c>
      <c r="J1077">
        <v>3</v>
      </c>
      <c r="K1077" t="s">
        <v>69</v>
      </c>
      <c r="L1077">
        <v>52000</v>
      </c>
      <c r="M1077">
        <v>1700</v>
      </c>
      <c r="N1077">
        <v>53700</v>
      </c>
      <c r="O1077" t="s">
        <v>25</v>
      </c>
      <c r="P1077" s="3">
        <v>43946</v>
      </c>
      <c r="Q1077" t="s">
        <v>28</v>
      </c>
    </row>
    <row r="1078" spans="1:17" x14ac:dyDescent="0.35">
      <c r="A1078" t="s">
        <v>1130</v>
      </c>
      <c r="B1078" t="s">
        <v>23</v>
      </c>
      <c r="C1078" s="7">
        <v>43</v>
      </c>
      <c r="D1078" t="s">
        <v>55</v>
      </c>
      <c r="E1078" t="s">
        <v>92</v>
      </c>
      <c r="F1078" t="s">
        <v>28</v>
      </c>
      <c r="G1078" s="9">
        <v>13.8</v>
      </c>
      <c r="H1078" s="7">
        <v>5.9</v>
      </c>
      <c r="I1078" t="str" cm="1">
        <f t="array" ref="I1078">_xlfn.IFS(G1078&lt;3, "0–2 Years", G1078&lt;6, "3–5 Years", G1078&lt;9, "6–8 Years", G1078&lt;12, "9-11 Years", G1078&gt;=12, "12-14 Years")</f>
        <v>12-14 Years</v>
      </c>
      <c r="J1078" s="7">
        <v>4</v>
      </c>
      <c r="K1078" t="s">
        <v>20</v>
      </c>
      <c r="L1078" s="7">
        <v>115000</v>
      </c>
      <c r="M1078" s="7">
        <v>9300</v>
      </c>
      <c r="N1078" s="7">
        <v>124300</v>
      </c>
      <c r="O1078" t="s">
        <v>57</v>
      </c>
      <c r="P1078" s="3">
        <v>40967</v>
      </c>
      <c r="Q1078" t="s">
        <v>28</v>
      </c>
    </row>
    <row r="1079" spans="1:17" x14ac:dyDescent="0.35">
      <c r="A1079" t="s">
        <v>1131</v>
      </c>
      <c r="B1079" t="s">
        <v>16</v>
      </c>
      <c r="C1079">
        <v>30</v>
      </c>
      <c r="D1079" t="s">
        <v>34</v>
      </c>
      <c r="E1079" t="s">
        <v>35</v>
      </c>
      <c r="F1079" t="s">
        <v>28</v>
      </c>
      <c r="G1079">
        <v>7.9</v>
      </c>
      <c r="H1079">
        <v>4.9000000000000004</v>
      </c>
      <c r="I1079" t="str" cm="1">
        <f t="array" ref="I1079">_xlfn.IFS(G1079&lt;3, "0–2 Years", G1079&lt;6, "3–5 Years", G1079&lt;9, "6–8 Years", G1079&lt;12, "9-11 Years", G1079&gt;=12, "12-14 Years")</f>
        <v>6–8 Years</v>
      </c>
      <c r="J1079">
        <v>3</v>
      </c>
      <c r="K1079" t="s">
        <v>69</v>
      </c>
      <c r="L1079">
        <v>61300</v>
      </c>
      <c r="M1079">
        <v>5300</v>
      </c>
      <c r="N1079">
        <v>66600</v>
      </c>
      <c r="O1079" t="s">
        <v>25</v>
      </c>
      <c r="P1079" s="3">
        <v>43148</v>
      </c>
      <c r="Q1079" t="s">
        <v>28</v>
      </c>
    </row>
    <row r="1080" spans="1:17" x14ac:dyDescent="0.35">
      <c r="A1080" t="s">
        <v>1132</v>
      </c>
      <c r="B1080" t="s">
        <v>16</v>
      </c>
      <c r="C1080">
        <v>40</v>
      </c>
      <c r="D1080" t="s">
        <v>38</v>
      </c>
      <c r="E1080" t="s">
        <v>39</v>
      </c>
      <c r="F1080" t="s">
        <v>19</v>
      </c>
      <c r="G1080">
        <v>2.2000000000000002</v>
      </c>
      <c r="H1080">
        <v>1.1000000000000001</v>
      </c>
      <c r="I1080" t="str" cm="1">
        <f t="array" ref="I1080">_xlfn.IFS(G1080&lt;3, "0–2 Years", G1080&lt;6, "3–5 Years", G1080&lt;9, "6–8 Years", G1080&lt;12, "9-11 Years", G1080&gt;=12, "12-14 Years")</f>
        <v>0–2 Years</v>
      </c>
      <c r="J1080">
        <v>3</v>
      </c>
      <c r="K1080" t="s">
        <v>20</v>
      </c>
      <c r="L1080">
        <v>76000</v>
      </c>
      <c r="M1080">
        <v>6400</v>
      </c>
      <c r="N1080">
        <v>82400</v>
      </c>
      <c r="O1080" t="s">
        <v>21</v>
      </c>
      <c r="P1080" s="3">
        <v>45213</v>
      </c>
      <c r="Q1080" t="s">
        <v>19</v>
      </c>
    </row>
    <row r="1081" spans="1:17" x14ac:dyDescent="0.35">
      <c r="A1081" t="s">
        <v>1133</v>
      </c>
      <c r="B1081" t="s">
        <v>16</v>
      </c>
      <c r="C1081">
        <v>36</v>
      </c>
      <c r="D1081" t="s">
        <v>55</v>
      </c>
      <c r="E1081" t="s">
        <v>56</v>
      </c>
      <c r="F1081" t="s">
        <v>36</v>
      </c>
      <c r="G1081">
        <v>11.4</v>
      </c>
      <c r="H1081">
        <v>8.9</v>
      </c>
      <c r="I1081" t="str" cm="1">
        <f t="array" ref="I1081">_xlfn.IFS(G1081&lt;3, "0–2 Years", G1081&lt;6, "3–5 Years", G1081&lt;9, "6–8 Years", G1081&lt;12, "9-11 Years", G1081&gt;=12, "12-14 Years")</f>
        <v>9-11 Years</v>
      </c>
      <c r="J1081">
        <v>3</v>
      </c>
      <c r="K1081" t="s">
        <v>20</v>
      </c>
      <c r="L1081">
        <v>120100</v>
      </c>
      <c r="M1081">
        <v>8700</v>
      </c>
      <c r="N1081">
        <v>128800</v>
      </c>
      <c r="O1081" t="s">
        <v>57</v>
      </c>
      <c r="P1081" s="3">
        <v>41842</v>
      </c>
      <c r="Q1081" t="s">
        <v>36</v>
      </c>
    </row>
    <row r="1082" spans="1:17" x14ac:dyDescent="0.35">
      <c r="A1082" t="s">
        <v>1134</v>
      </c>
      <c r="B1082" t="s">
        <v>23</v>
      </c>
      <c r="C1082" s="7">
        <v>39</v>
      </c>
      <c r="D1082" t="s">
        <v>55</v>
      </c>
      <c r="E1082" t="s">
        <v>56</v>
      </c>
      <c r="F1082" t="s">
        <v>19</v>
      </c>
      <c r="G1082" s="9">
        <v>12.8</v>
      </c>
      <c r="H1082" s="7">
        <v>8.9</v>
      </c>
      <c r="I1082" t="str" cm="1">
        <f t="array" ref="I1082">_xlfn.IFS(G1082&lt;3, "0–2 Years", G1082&lt;6, "3–5 Years", G1082&lt;9, "6–8 Years", G1082&lt;12, "9-11 Years", G1082&gt;=12, "12-14 Years")</f>
        <v>12-14 Years</v>
      </c>
      <c r="J1082" s="7">
        <v>3</v>
      </c>
      <c r="K1082" t="s">
        <v>20</v>
      </c>
      <c r="L1082" s="7">
        <v>100200</v>
      </c>
      <c r="M1082" s="7">
        <v>14800</v>
      </c>
      <c r="N1082" s="7">
        <v>115000</v>
      </c>
      <c r="O1082" t="s">
        <v>57</v>
      </c>
      <c r="P1082" s="3">
        <v>41339</v>
      </c>
      <c r="Q1082" t="s">
        <v>19</v>
      </c>
    </row>
    <row r="1083" spans="1:17" x14ac:dyDescent="0.35">
      <c r="A1083" t="s">
        <v>1135</v>
      </c>
      <c r="B1083" t="s">
        <v>23</v>
      </c>
      <c r="C1083">
        <v>21</v>
      </c>
      <c r="D1083" t="s">
        <v>17</v>
      </c>
      <c r="E1083" t="s">
        <v>27</v>
      </c>
      <c r="F1083" t="s">
        <v>28</v>
      </c>
      <c r="G1083">
        <v>4</v>
      </c>
      <c r="H1083">
        <v>4</v>
      </c>
      <c r="I1083" t="str" cm="1">
        <f t="array" ref="I1083">_xlfn.IFS(G1083&lt;3, "0–2 Years", G1083&lt;6, "3–5 Years", G1083&lt;9, "6–8 Years", G1083&lt;12, "9-11 Years", G1083&gt;=12, "12-14 Years")</f>
        <v>3–5 Years</v>
      </c>
      <c r="J1083">
        <v>3</v>
      </c>
      <c r="K1083" t="s">
        <v>20</v>
      </c>
      <c r="L1083">
        <v>71400</v>
      </c>
      <c r="M1083">
        <v>5900</v>
      </c>
      <c r="N1083">
        <v>77300</v>
      </c>
      <c r="O1083" t="s">
        <v>21</v>
      </c>
      <c r="P1083" s="3">
        <v>44575</v>
      </c>
      <c r="Q1083" t="s">
        <v>28</v>
      </c>
    </row>
    <row r="1084" spans="1:17" x14ac:dyDescent="0.35">
      <c r="A1084" t="s">
        <v>1136</v>
      </c>
      <c r="B1084" t="s">
        <v>23</v>
      </c>
      <c r="C1084">
        <v>24</v>
      </c>
      <c r="D1084" t="s">
        <v>34</v>
      </c>
      <c r="E1084" t="s">
        <v>47</v>
      </c>
      <c r="F1084" t="s">
        <v>19</v>
      </c>
      <c r="G1084">
        <v>7.8</v>
      </c>
      <c r="H1084">
        <v>4.4000000000000004</v>
      </c>
      <c r="I1084" t="str" cm="1">
        <f t="array" ref="I1084">_xlfn.IFS(G1084&lt;3, "0–2 Years", G1084&lt;6, "3–5 Years", G1084&lt;9, "6–8 Years", G1084&lt;12, "9-11 Years", G1084&gt;=12, "12-14 Years")</f>
        <v>6–8 Years</v>
      </c>
      <c r="J1084">
        <v>3</v>
      </c>
      <c r="K1084" t="s">
        <v>20</v>
      </c>
      <c r="L1084">
        <v>63500</v>
      </c>
      <c r="M1084">
        <v>4000</v>
      </c>
      <c r="N1084">
        <v>67500</v>
      </c>
      <c r="O1084" t="s">
        <v>25</v>
      </c>
      <c r="P1084" s="3">
        <v>43164</v>
      </c>
      <c r="Q1084" t="s">
        <v>19</v>
      </c>
    </row>
    <row r="1085" spans="1:17" x14ac:dyDescent="0.35">
      <c r="A1085" t="s">
        <v>1137</v>
      </c>
      <c r="B1085" t="s">
        <v>23</v>
      </c>
      <c r="C1085">
        <v>33</v>
      </c>
      <c r="D1085" t="s">
        <v>17</v>
      </c>
      <c r="E1085" t="s">
        <v>18</v>
      </c>
      <c r="F1085" t="s">
        <v>36</v>
      </c>
      <c r="G1085">
        <v>3.9</v>
      </c>
      <c r="H1085">
        <v>3.4</v>
      </c>
      <c r="I1085" t="str" cm="1">
        <f t="array" ref="I1085">_xlfn.IFS(G1085&lt;3, "0–2 Years", G1085&lt;6, "3–5 Years", G1085&lt;9, "6–8 Years", G1085&lt;12, "9-11 Years", G1085&gt;=12, "12-14 Years")</f>
        <v>3–5 Years</v>
      </c>
      <c r="J1085">
        <v>3</v>
      </c>
      <c r="K1085" t="s">
        <v>20</v>
      </c>
      <c r="L1085">
        <v>109900</v>
      </c>
      <c r="M1085">
        <v>13600</v>
      </c>
      <c r="N1085">
        <v>123500</v>
      </c>
      <c r="O1085" t="s">
        <v>57</v>
      </c>
      <c r="P1085" s="3">
        <v>44582</v>
      </c>
      <c r="Q1085" t="s">
        <v>36</v>
      </c>
    </row>
    <row r="1086" spans="1:17" x14ac:dyDescent="0.35">
      <c r="A1086" t="s">
        <v>1138</v>
      </c>
      <c r="B1086" t="s">
        <v>23</v>
      </c>
      <c r="C1086">
        <v>25</v>
      </c>
      <c r="D1086" t="s">
        <v>17</v>
      </c>
      <c r="E1086" t="s">
        <v>32</v>
      </c>
      <c r="F1086" t="s">
        <v>36</v>
      </c>
      <c r="G1086">
        <v>8.1</v>
      </c>
      <c r="H1086">
        <v>4</v>
      </c>
      <c r="I1086" t="str" cm="1">
        <f t="array" ref="I1086">_xlfn.IFS(G1086&lt;3, "0–2 Years", G1086&lt;6, "3–5 Years", G1086&lt;9, "6–8 Years", G1086&lt;12, "9-11 Years", G1086&gt;=12, "12-14 Years")</f>
        <v>6–8 Years</v>
      </c>
      <c r="J1086">
        <v>3</v>
      </c>
      <c r="K1086" t="s">
        <v>20</v>
      </c>
      <c r="L1086">
        <v>79400</v>
      </c>
      <c r="M1086">
        <v>4500</v>
      </c>
      <c r="N1086">
        <v>83900</v>
      </c>
      <c r="O1086" t="s">
        <v>21</v>
      </c>
      <c r="P1086" s="3">
        <v>43058</v>
      </c>
      <c r="Q1086" t="s">
        <v>36</v>
      </c>
    </row>
    <row r="1087" spans="1:17" x14ac:dyDescent="0.35">
      <c r="A1087" t="s">
        <v>1139</v>
      </c>
      <c r="B1087" t="s">
        <v>23</v>
      </c>
      <c r="C1087">
        <v>45</v>
      </c>
      <c r="D1087" t="s">
        <v>17</v>
      </c>
      <c r="E1087" t="s">
        <v>27</v>
      </c>
      <c r="F1087" t="s">
        <v>36</v>
      </c>
      <c r="G1087">
        <v>7.7</v>
      </c>
      <c r="H1087">
        <v>3.3</v>
      </c>
      <c r="I1087" t="str" cm="1">
        <f t="array" ref="I1087">_xlfn.IFS(G1087&lt;3, "0–2 Years", G1087&lt;6, "3–5 Years", G1087&lt;9, "6–8 Years", G1087&lt;12, "9-11 Years", G1087&gt;=12, "12-14 Years")</f>
        <v>6–8 Years</v>
      </c>
      <c r="J1087">
        <v>3</v>
      </c>
      <c r="K1087" t="s">
        <v>20</v>
      </c>
      <c r="L1087">
        <v>78300</v>
      </c>
      <c r="M1087">
        <v>7300</v>
      </c>
      <c r="N1087">
        <v>85600</v>
      </c>
      <c r="O1087" t="s">
        <v>21</v>
      </c>
      <c r="P1087" s="3">
        <v>43218</v>
      </c>
      <c r="Q1087" t="s">
        <v>36</v>
      </c>
    </row>
    <row r="1088" spans="1:17" x14ac:dyDescent="0.35">
      <c r="A1088" t="s">
        <v>1140</v>
      </c>
      <c r="B1088" t="s">
        <v>16</v>
      </c>
      <c r="C1088">
        <v>44</v>
      </c>
      <c r="D1088" t="s">
        <v>44</v>
      </c>
      <c r="E1088" t="s">
        <v>51</v>
      </c>
      <c r="F1088" t="s">
        <v>28</v>
      </c>
      <c r="G1088">
        <v>5.6</v>
      </c>
      <c r="H1088">
        <v>5</v>
      </c>
      <c r="I1088" t="str" cm="1">
        <f t="array" ref="I1088">_xlfn.IFS(G1088&lt;3, "0–2 Years", G1088&lt;6, "3–5 Years", G1088&lt;9, "6–8 Years", G1088&lt;12, "9-11 Years", G1088&gt;=12, "12-14 Years")</f>
        <v>3–5 Years</v>
      </c>
      <c r="J1088">
        <v>5</v>
      </c>
      <c r="K1088" t="s">
        <v>20</v>
      </c>
      <c r="L1088">
        <v>86400</v>
      </c>
      <c r="M1088">
        <v>9600</v>
      </c>
      <c r="N1088">
        <v>96000</v>
      </c>
      <c r="O1088" t="s">
        <v>30</v>
      </c>
      <c r="P1088" s="3">
        <v>43966</v>
      </c>
      <c r="Q1088" t="s">
        <v>28</v>
      </c>
    </row>
    <row r="1089" spans="1:17" x14ac:dyDescent="0.35">
      <c r="A1089" t="s">
        <v>1141</v>
      </c>
      <c r="B1089" t="s">
        <v>16</v>
      </c>
      <c r="C1089">
        <v>37</v>
      </c>
      <c r="D1089" t="s">
        <v>34</v>
      </c>
      <c r="E1089" t="s">
        <v>47</v>
      </c>
      <c r="F1089" t="s">
        <v>36</v>
      </c>
      <c r="G1089">
        <v>10.5</v>
      </c>
      <c r="H1089">
        <v>6</v>
      </c>
      <c r="I1089" t="str" cm="1">
        <f t="array" ref="I1089">_xlfn.IFS(G1089&lt;3, "0–2 Years", G1089&lt;6, "3–5 Years", G1089&lt;9, "6–8 Years", G1089&lt;12, "9-11 Years", G1089&gt;=12, "12-14 Years")</f>
        <v>9-11 Years</v>
      </c>
      <c r="J1089">
        <v>3</v>
      </c>
      <c r="K1089" t="s">
        <v>20</v>
      </c>
      <c r="L1089">
        <v>90800</v>
      </c>
      <c r="M1089">
        <v>10600</v>
      </c>
      <c r="N1089">
        <v>101400</v>
      </c>
      <c r="O1089" t="s">
        <v>30</v>
      </c>
      <c r="P1089" s="3">
        <v>42200</v>
      </c>
      <c r="Q1089" t="s">
        <v>36</v>
      </c>
    </row>
    <row r="1090" spans="1:17" x14ac:dyDescent="0.35">
      <c r="A1090" t="s">
        <v>1142</v>
      </c>
      <c r="B1090" t="s">
        <v>16</v>
      </c>
      <c r="C1090">
        <v>37</v>
      </c>
      <c r="D1090" t="s">
        <v>44</v>
      </c>
      <c r="E1090" t="s">
        <v>81</v>
      </c>
      <c r="F1090" t="s">
        <v>28</v>
      </c>
      <c r="G1090">
        <v>5.2</v>
      </c>
      <c r="H1090">
        <v>1.3</v>
      </c>
      <c r="I1090" t="str" cm="1">
        <f t="array" ref="I1090">_xlfn.IFS(G1090&lt;3, "0–2 Years", G1090&lt;6, "3–5 Years", G1090&lt;9, "6–8 Years", G1090&lt;12, "9-11 Years", G1090&gt;=12, "12-14 Years")</f>
        <v>3–5 Years</v>
      </c>
      <c r="J1090">
        <v>3</v>
      </c>
      <c r="K1090" t="s">
        <v>20</v>
      </c>
      <c r="L1090">
        <v>94600</v>
      </c>
      <c r="M1090">
        <v>7800</v>
      </c>
      <c r="N1090">
        <v>102400</v>
      </c>
      <c r="O1090" t="s">
        <v>30</v>
      </c>
      <c r="P1090" s="3">
        <v>44127</v>
      </c>
      <c r="Q1090" t="s">
        <v>28</v>
      </c>
    </row>
    <row r="1091" spans="1:17" x14ac:dyDescent="0.35">
      <c r="A1091" t="s">
        <v>1143</v>
      </c>
      <c r="B1091" t="s">
        <v>23</v>
      </c>
      <c r="C1091">
        <v>33</v>
      </c>
      <c r="D1091" t="s">
        <v>17</v>
      </c>
      <c r="E1091" t="s">
        <v>27</v>
      </c>
      <c r="F1091" t="s">
        <v>28</v>
      </c>
      <c r="G1091">
        <v>7.4</v>
      </c>
      <c r="H1091">
        <v>6.6</v>
      </c>
      <c r="I1091" t="str" cm="1">
        <f t="array" ref="I1091">_xlfn.IFS(G1091&lt;3, "0–2 Years", G1091&lt;6, "3–5 Years", G1091&lt;9, "6–8 Years", G1091&lt;12, "9-11 Years", G1091&gt;=12, "12-14 Years")</f>
        <v>6–8 Years</v>
      </c>
      <c r="J1091">
        <v>4</v>
      </c>
      <c r="K1091" t="s">
        <v>20</v>
      </c>
      <c r="L1091">
        <v>89600</v>
      </c>
      <c r="M1091">
        <v>4700</v>
      </c>
      <c r="N1091">
        <v>94300</v>
      </c>
      <c r="O1091" t="s">
        <v>30</v>
      </c>
      <c r="P1091" s="3">
        <v>43338</v>
      </c>
      <c r="Q1091" t="s">
        <v>28</v>
      </c>
    </row>
    <row r="1092" spans="1:17" x14ac:dyDescent="0.35">
      <c r="A1092" t="s">
        <v>1144</v>
      </c>
      <c r="B1092" t="s">
        <v>23</v>
      </c>
      <c r="C1092">
        <v>48</v>
      </c>
      <c r="D1092" t="s">
        <v>44</v>
      </c>
      <c r="E1092" t="s">
        <v>81</v>
      </c>
      <c r="F1092" t="s">
        <v>36</v>
      </c>
      <c r="G1092">
        <v>1.3</v>
      </c>
      <c r="H1092">
        <v>1.3</v>
      </c>
      <c r="I1092" t="str" cm="1">
        <f t="array" ref="I1092">_xlfn.IFS(G1092&lt;3, "0–2 Years", G1092&lt;6, "3–5 Years", G1092&lt;9, "6–8 Years", G1092&lt;12, "9-11 Years", G1092&gt;=12, "12-14 Years")</f>
        <v>0–2 Years</v>
      </c>
      <c r="J1092">
        <v>4</v>
      </c>
      <c r="K1092" t="s">
        <v>20</v>
      </c>
      <c r="L1092">
        <v>90600</v>
      </c>
      <c r="M1092">
        <v>5600</v>
      </c>
      <c r="N1092">
        <v>96200</v>
      </c>
      <c r="O1092" t="s">
        <v>30</v>
      </c>
      <c r="P1092" s="3">
        <v>45560</v>
      </c>
      <c r="Q1092" t="s">
        <v>36</v>
      </c>
    </row>
    <row r="1093" spans="1:17" x14ac:dyDescent="0.35">
      <c r="A1093" t="s">
        <v>1145</v>
      </c>
      <c r="B1093" t="s">
        <v>16</v>
      </c>
      <c r="C1093" s="7">
        <v>31</v>
      </c>
      <c r="D1093" t="s">
        <v>17</v>
      </c>
      <c r="E1093" t="s">
        <v>18</v>
      </c>
      <c r="F1093" t="s">
        <v>62</v>
      </c>
      <c r="G1093" s="9">
        <v>13.3</v>
      </c>
      <c r="H1093" s="7">
        <v>10.9</v>
      </c>
      <c r="I1093" t="str" cm="1">
        <f t="array" ref="I1093">_xlfn.IFS(G1093&lt;3, "0–2 Years", G1093&lt;6, "3–5 Years", G1093&lt;9, "6–8 Years", G1093&lt;12, "9-11 Years", G1093&gt;=12, "12-14 Years")</f>
        <v>12-14 Years</v>
      </c>
      <c r="J1093" s="7">
        <v>2</v>
      </c>
      <c r="K1093" t="s">
        <v>20</v>
      </c>
      <c r="L1093" s="7">
        <v>111400</v>
      </c>
      <c r="M1093" s="7">
        <v>12600</v>
      </c>
      <c r="N1093" s="7">
        <v>124000</v>
      </c>
      <c r="O1093" t="s">
        <v>57</v>
      </c>
      <c r="P1093" s="3">
        <v>41179</v>
      </c>
      <c r="Q1093" t="s">
        <v>62</v>
      </c>
    </row>
    <row r="1094" spans="1:17" x14ac:dyDescent="0.35">
      <c r="A1094" t="s">
        <v>1146</v>
      </c>
      <c r="B1094" t="s">
        <v>23</v>
      </c>
      <c r="C1094">
        <v>35</v>
      </c>
      <c r="D1094" t="s">
        <v>55</v>
      </c>
      <c r="E1094" t="s">
        <v>79</v>
      </c>
      <c r="F1094" t="s">
        <v>62</v>
      </c>
      <c r="G1094">
        <v>11.5</v>
      </c>
      <c r="H1094">
        <v>8</v>
      </c>
      <c r="I1094" t="str" cm="1">
        <f t="array" ref="I1094">_xlfn.IFS(G1094&lt;3, "0–2 Years", G1094&lt;6, "3–5 Years", G1094&lt;9, "6–8 Years", G1094&lt;12, "9-11 Years", G1094&gt;=12, "12-14 Years")</f>
        <v>9-11 Years</v>
      </c>
      <c r="J1094">
        <v>3</v>
      </c>
      <c r="K1094" t="s">
        <v>20</v>
      </c>
      <c r="L1094">
        <v>76400</v>
      </c>
      <c r="M1094">
        <v>14800</v>
      </c>
      <c r="N1094">
        <v>91200</v>
      </c>
      <c r="O1094" t="s">
        <v>21</v>
      </c>
      <c r="P1094" s="3">
        <v>41839</v>
      </c>
      <c r="Q1094" t="s">
        <v>62</v>
      </c>
    </row>
    <row r="1095" spans="1:17" x14ac:dyDescent="0.35">
      <c r="A1095" t="s">
        <v>1147</v>
      </c>
      <c r="B1095" t="s">
        <v>23</v>
      </c>
      <c r="C1095">
        <v>35</v>
      </c>
      <c r="D1095" t="s">
        <v>38</v>
      </c>
      <c r="E1095" t="s">
        <v>61</v>
      </c>
      <c r="F1095" t="s">
        <v>28</v>
      </c>
      <c r="G1095">
        <v>9.5</v>
      </c>
      <c r="H1095">
        <v>5.5</v>
      </c>
      <c r="I1095" t="str" cm="1">
        <f t="array" ref="I1095">_xlfn.IFS(G1095&lt;3, "0–2 Years", G1095&lt;6, "3–5 Years", G1095&lt;9, "6–8 Years", G1095&lt;12, "9-11 Years", G1095&gt;=12, "12-14 Years")</f>
        <v>9-11 Years</v>
      </c>
      <c r="J1095">
        <v>3</v>
      </c>
      <c r="K1095" t="s">
        <v>20</v>
      </c>
      <c r="L1095">
        <v>105900</v>
      </c>
      <c r="M1095">
        <v>8000</v>
      </c>
      <c r="N1095">
        <v>113900</v>
      </c>
      <c r="O1095" t="s">
        <v>57</v>
      </c>
      <c r="P1095" s="3">
        <v>42551</v>
      </c>
      <c r="Q1095" t="s">
        <v>28</v>
      </c>
    </row>
    <row r="1096" spans="1:17" x14ac:dyDescent="0.35">
      <c r="A1096" t="s">
        <v>1148</v>
      </c>
      <c r="B1096" t="s">
        <v>16</v>
      </c>
      <c r="C1096">
        <v>34</v>
      </c>
      <c r="D1096" t="s">
        <v>41</v>
      </c>
      <c r="E1096" t="s">
        <v>67</v>
      </c>
      <c r="F1096" t="s">
        <v>28</v>
      </c>
      <c r="G1096">
        <v>3.8</v>
      </c>
      <c r="H1096">
        <v>0.7</v>
      </c>
      <c r="I1096" t="str" cm="1">
        <f t="array" ref="I1096">_xlfn.IFS(G1096&lt;3, "0–2 Years", G1096&lt;6, "3–5 Years", G1096&lt;9, "6–8 Years", G1096&lt;12, "9-11 Years", G1096&gt;=12, "12-14 Years")</f>
        <v>3–5 Years</v>
      </c>
      <c r="J1096">
        <v>3</v>
      </c>
      <c r="K1096" t="s">
        <v>20</v>
      </c>
      <c r="L1096">
        <v>64500</v>
      </c>
      <c r="M1096">
        <v>2100</v>
      </c>
      <c r="N1096">
        <v>66600</v>
      </c>
      <c r="O1096" t="s">
        <v>25</v>
      </c>
      <c r="P1096" s="3">
        <v>44622</v>
      </c>
      <c r="Q1096" t="s">
        <v>28</v>
      </c>
    </row>
    <row r="1097" spans="1:17" x14ac:dyDescent="0.35">
      <c r="A1097" t="s">
        <v>1149</v>
      </c>
      <c r="B1097" t="s">
        <v>23</v>
      </c>
      <c r="C1097">
        <v>35</v>
      </c>
      <c r="D1097" t="s">
        <v>44</v>
      </c>
      <c r="E1097" t="s">
        <v>45</v>
      </c>
      <c r="F1097" t="s">
        <v>36</v>
      </c>
      <c r="G1097">
        <v>4.9000000000000004</v>
      </c>
      <c r="H1097">
        <v>3.2</v>
      </c>
      <c r="I1097" t="str" cm="1">
        <f t="array" ref="I1097">_xlfn.IFS(G1097&lt;3, "0–2 Years", G1097&lt;6, "3–5 Years", G1097&lt;9, "6–8 Years", G1097&lt;12, "9-11 Years", G1097&gt;=12, "12-14 Years")</f>
        <v>3–5 Years</v>
      </c>
      <c r="J1097">
        <v>4</v>
      </c>
      <c r="K1097" t="s">
        <v>20</v>
      </c>
      <c r="L1097">
        <v>79400</v>
      </c>
      <c r="M1097">
        <v>9800</v>
      </c>
      <c r="N1097">
        <v>89200</v>
      </c>
      <c r="O1097" t="s">
        <v>21</v>
      </c>
      <c r="P1097" s="3">
        <v>44218</v>
      </c>
      <c r="Q1097" t="s">
        <v>36</v>
      </c>
    </row>
    <row r="1098" spans="1:17" x14ac:dyDescent="0.35">
      <c r="A1098" t="s">
        <v>1150</v>
      </c>
      <c r="B1098" t="s">
        <v>16</v>
      </c>
      <c r="C1098">
        <v>42</v>
      </c>
      <c r="D1098" t="s">
        <v>44</v>
      </c>
      <c r="E1098" t="s">
        <v>81</v>
      </c>
      <c r="F1098" t="s">
        <v>28</v>
      </c>
      <c r="G1098">
        <v>6.2</v>
      </c>
      <c r="H1098">
        <v>4.5999999999999996</v>
      </c>
      <c r="I1098" t="str" cm="1">
        <f t="array" ref="I1098">_xlfn.IFS(G1098&lt;3, "0–2 Years", G1098&lt;6, "3–5 Years", G1098&lt;9, "6–8 Years", G1098&lt;12, "9-11 Years", G1098&gt;=12, "12-14 Years")</f>
        <v>6–8 Years</v>
      </c>
      <c r="J1098">
        <v>3</v>
      </c>
      <c r="K1098" t="s">
        <v>20</v>
      </c>
      <c r="L1098">
        <v>81800</v>
      </c>
      <c r="M1098">
        <v>10800</v>
      </c>
      <c r="N1098">
        <v>92600</v>
      </c>
      <c r="O1098" t="s">
        <v>30</v>
      </c>
      <c r="P1098" s="3">
        <v>43773</v>
      </c>
      <c r="Q1098" t="s">
        <v>28</v>
      </c>
    </row>
    <row r="1099" spans="1:17" x14ac:dyDescent="0.35">
      <c r="A1099" t="s">
        <v>1151</v>
      </c>
      <c r="B1099" t="s">
        <v>23</v>
      </c>
      <c r="C1099">
        <v>33</v>
      </c>
      <c r="D1099" t="s">
        <v>55</v>
      </c>
      <c r="E1099" t="s">
        <v>92</v>
      </c>
      <c r="F1099" t="s">
        <v>28</v>
      </c>
      <c r="G1099">
        <v>2.9</v>
      </c>
      <c r="H1099">
        <v>1.1000000000000001</v>
      </c>
      <c r="I1099" t="str" cm="1">
        <f t="array" ref="I1099">_xlfn.IFS(G1099&lt;3, "0–2 Years", G1099&lt;6, "3–5 Years", G1099&lt;9, "6–8 Years", G1099&lt;12, "9-11 Years", G1099&gt;=12, "12-14 Years")</f>
        <v>0–2 Years</v>
      </c>
      <c r="J1099">
        <v>3</v>
      </c>
      <c r="K1099" t="s">
        <v>20</v>
      </c>
      <c r="L1099">
        <v>85700</v>
      </c>
      <c r="M1099">
        <v>14900</v>
      </c>
      <c r="N1099">
        <v>100600</v>
      </c>
      <c r="O1099" t="s">
        <v>30</v>
      </c>
      <c r="P1099" s="3">
        <v>44965</v>
      </c>
      <c r="Q1099" t="s">
        <v>28</v>
      </c>
    </row>
    <row r="1100" spans="1:17" x14ac:dyDescent="0.35">
      <c r="A1100" t="s">
        <v>1152</v>
      </c>
      <c r="B1100" t="s">
        <v>16</v>
      </c>
      <c r="C1100">
        <v>38</v>
      </c>
      <c r="D1100" t="s">
        <v>34</v>
      </c>
      <c r="E1100" t="s">
        <v>59</v>
      </c>
      <c r="F1100" t="s">
        <v>28</v>
      </c>
      <c r="G1100">
        <v>10.6</v>
      </c>
      <c r="H1100">
        <v>5.7</v>
      </c>
      <c r="I1100" t="str" cm="1">
        <f t="array" ref="I1100">_xlfn.IFS(G1100&lt;3, "0–2 Years", G1100&lt;6, "3–5 Years", G1100&lt;9, "6–8 Years", G1100&lt;12, "9-11 Years", G1100&gt;=12, "12-14 Years")</f>
        <v>9-11 Years</v>
      </c>
      <c r="J1100">
        <v>1</v>
      </c>
      <c r="K1100" t="s">
        <v>20</v>
      </c>
      <c r="L1100">
        <v>90100</v>
      </c>
      <c r="M1100">
        <v>4700</v>
      </c>
      <c r="N1100">
        <v>94800</v>
      </c>
      <c r="O1100" t="s">
        <v>30</v>
      </c>
      <c r="P1100" s="3">
        <v>42142</v>
      </c>
      <c r="Q1100" t="s">
        <v>28</v>
      </c>
    </row>
    <row r="1101" spans="1:17" x14ac:dyDescent="0.35">
      <c r="A1101" t="s">
        <v>1153</v>
      </c>
      <c r="B1101" t="s">
        <v>16</v>
      </c>
      <c r="C1101">
        <v>42</v>
      </c>
      <c r="D1101" t="s">
        <v>17</v>
      </c>
      <c r="E1101" t="s">
        <v>27</v>
      </c>
      <c r="F1101" t="s">
        <v>36</v>
      </c>
      <c r="G1101">
        <v>10</v>
      </c>
      <c r="H1101">
        <v>7.5</v>
      </c>
      <c r="I1101" t="str" cm="1">
        <f t="array" ref="I1101">_xlfn.IFS(G1101&lt;3, "0–2 Years", G1101&lt;6, "3–5 Years", G1101&lt;9, "6–8 Years", G1101&lt;12, "9-11 Years", G1101&gt;=12, "12-14 Years")</f>
        <v>9-11 Years</v>
      </c>
      <c r="J1101">
        <v>4</v>
      </c>
      <c r="K1101" t="s">
        <v>20</v>
      </c>
      <c r="L1101">
        <v>85300</v>
      </c>
      <c r="M1101">
        <v>11300</v>
      </c>
      <c r="N1101">
        <v>96600</v>
      </c>
      <c r="O1101" t="s">
        <v>30</v>
      </c>
      <c r="P1101" s="3">
        <v>42387</v>
      </c>
      <c r="Q1101" t="s">
        <v>36</v>
      </c>
    </row>
    <row r="1102" spans="1:17" x14ac:dyDescent="0.35">
      <c r="A1102" t="s">
        <v>1154</v>
      </c>
      <c r="B1102" t="s">
        <v>23</v>
      </c>
      <c r="C1102">
        <v>34</v>
      </c>
      <c r="D1102" t="s">
        <v>41</v>
      </c>
      <c r="E1102" t="s">
        <v>73</v>
      </c>
      <c r="F1102" t="s">
        <v>28</v>
      </c>
      <c r="G1102">
        <v>10.6</v>
      </c>
      <c r="H1102">
        <v>5.8</v>
      </c>
      <c r="I1102" t="str" cm="1">
        <f t="array" ref="I1102">_xlfn.IFS(G1102&lt;3, "0–2 Years", G1102&lt;6, "3–5 Years", G1102&lt;9, "6–8 Years", G1102&lt;12, "9-11 Years", G1102&gt;=12, "12-14 Years")</f>
        <v>9-11 Years</v>
      </c>
      <c r="J1102">
        <v>3</v>
      </c>
      <c r="K1102" t="s">
        <v>20</v>
      </c>
      <c r="L1102">
        <v>107600</v>
      </c>
      <c r="M1102">
        <v>8600</v>
      </c>
      <c r="N1102">
        <v>116200</v>
      </c>
      <c r="O1102" t="s">
        <v>57</v>
      </c>
      <c r="P1102" s="3">
        <v>42168</v>
      </c>
      <c r="Q1102" t="s">
        <v>28</v>
      </c>
    </row>
    <row r="1103" spans="1:17" x14ac:dyDescent="0.35">
      <c r="A1103" t="s">
        <v>1155</v>
      </c>
      <c r="B1103" t="s">
        <v>23</v>
      </c>
      <c r="C1103">
        <v>31</v>
      </c>
      <c r="D1103" t="s">
        <v>55</v>
      </c>
      <c r="E1103" t="s">
        <v>56</v>
      </c>
      <c r="F1103" t="s">
        <v>36</v>
      </c>
      <c r="G1103">
        <v>2.4</v>
      </c>
      <c r="H1103">
        <v>2.2999999999999998</v>
      </c>
      <c r="I1103" t="str" cm="1">
        <f t="array" ref="I1103">_xlfn.IFS(G1103&lt;3, "0–2 Years", G1103&lt;6, "3–5 Years", G1103&lt;9, "6–8 Years", G1103&lt;12, "9-11 Years", G1103&gt;=12, "12-14 Years")</f>
        <v>0–2 Years</v>
      </c>
      <c r="J1103">
        <v>5</v>
      </c>
      <c r="K1103" t="s">
        <v>24</v>
      </c>
      <c r="L1103">
        <v>59900</v>
      </c>
      <c r="M1103">
        <v>6600</v>
      </c>
      <c r="N1103">
        <v>66500</v>
      </c>
      <c r="O1103" t="s">
        <v>25</v>
      </c>
      <c r="P1103" s="3">
        <v>45150</v>
      </c>
      <c r="Q1103" t="s">
        <v>36</v>
      </c>
    </row>
    <row r="1104" spans="1:17" x14ac:dyDescent="0.35">
      <c r="A1104" t="s">
        <v>1156</v>
      </c>
      <c r="B1104" t="s">
        <v>23</v>
      </c>
      <c r="C1104" s="7">
        <v>25</v>
      </c>
      <c r="D1104" t="s">
        <v>55</v>
      </c>
      <c r="E1104" t="s">
        <v>92</v>
      </c>
      <c r="F1104" t="s">
        <v>28</v>
      </c>
      <c r="G1104" s="9">
        <v>13.7</v>
      </c>
      <c r="H1104" s="7">
        <v>7.1</v>
      </c>
      <c r="I1104" t="str" cm="1">
        <f t="array" ref="I1104">_xlfn.IFS(G1104&lt;3, "0–2 Years", G1104&lt;6, "3–5 Years", G1104&lt;9, "6–8 Years", G1104&lt;12, "9-11 Years", G1104&gt;=12, "12-14 Years")</f>
        <v>12-14 Years</v>
      </c>
      <c r="J1104" s="7">
        <v>3</v>
      </c>
      <c r="K1104" t="s">
        <v>20</v>
      </c>
      <c r="L1104" s="7">
        <v>125300</v>
      </c>
      <c r="M1104" s="7">
        <v>26000</v>
      </c>
      <c r="N1104" s="7">
        <v>151300</v>
      </c>
      <c r="O1104" t="s">
        <v>57</v>
      </c>
      <c r="P1104" s="3">
        <v>41032</v>
      </c>
      <c r="Q1104" t="s">
        <v>28</v>
      </c>
    </row>
    <row r="1105" spans="1:17" x14ac:dyDescent="0.35">
      <c r="A1105" t="s">
        <v>1157</v>
      </c>
      <c r="B1105" t="s">
        <v>16</v>
      </c>
      <c r="C1105" s="7">
        <v>41</v>
      </c>
      <c r="D1105" t="s">
        <v>17</v>
      </c>
      <c r="E1105" t="s">
        <v>18</v>
      </c>
      <c r="F1105" t="s">
        <v>19</v>
      </c>
      <c r="G1105" s="9">
        <v>13.8</v>
      </c>
      <c r="H1105" s="7">
        <v>9.6999999999999993</v>
      </c>
      <c r="I1105" t="str" cm="1">
        <f t="array" ref="I1105">_xlfn.IFS(G1105&lt;3, "0–2 Years", G1105&lt;6, "3–5 Years", G1105&lt;9, "6–8 Years", G1105&lt;12, "9-11 Years", G1105&gt;=12, "12-14 Years")</f>
        <v>12-14 Years</v>
      </c>
      <c r="J1105" s="7">
        <v>3</v>
      </c>
      <c r="K1105" t="s">
        <v>69</v>
      </c>
      <c r="L1105" s="7">
        <v>82900</v>
      </c>
      <c r="M1105" s="7">
        <v>10600</v>
      </c>
      <c r="N1105" s="7">
        <v>93500</v>
      </c>
      <c r="O1105" t="s">
        <v>30</v>
      </c>
      <c r="P1105" s="3">
        <v>40965</v>
      </c>
      <c r="Q1105" t="s">
        <v>19</v>
      </c>
    </row>
    <row r="1106" spans="1:17" x14ac:dyDescent="0.35">
      <c r="A1106" t="s">
        <v>1158</v>
      </c>
      <c r="B1106" t="s">
        <v>23</v>
      </c>
      <c r="C1106">
        <v>34</v>
      </c>
      <c r="D1106" t="s">
        <v>55</v>
      </c>
      <c r="E1106" t="s">
        <v>92</v>
      </c>
      <c r="F1106" t="s">
        <v>28</v>
      </c>
      <c r="G1106">
        <v>2.6</v>
      </c>
      <c r="H1106">
        <v>2.6</v>
      </c>
      <c r="I1106" t="str" cm="1">
        <f t="array" ref="I1106">_xlfn.IFS(G1106&lt;3, "0–2 Years", G1106&lt;6, "3–5 Years", G1106&lt;9, "6–8 Years", G1106&lt;12, "9-11 Years", G1106&gt;=12, "12-14 Years")</f>
        <v>0–2 Years</v>
      </c>
      <c r="J1106">
        <v>4</v>
      </c>
      <c r="K1106" t="s">
        <v>20</v>
      </c>
      <c r="L1106">
        <v>86500</v>
      </c>
      <c r="M1106">
        <v>13900</v>
      </c>
      <c r="N1106">
        <v>100400</v>
      </c>
      <c r="O1106" t="s">
        <v>30</v>
      </c>
      <c r="P1106" s="3">
        <v>45087</v>
      </c>
      <c r="Q1106" t="s">
        <v>28</v>
      </c>
    </row>
    <row r="1107" spans="1:17" x14ac:dyDescent="0.35">
      <c r="A1107" t="s">
        <v>1159</v>
      </c>
      <c r="B1107" t="s">
        <v>16</v>
      </c>
      <c r="C1107">
        <v>38</v>
      </c>
      <c r="D1107" t="s">
        <v>34</v>
      </c>
      <c r="E1107" t="s">
        <v>59</v>
      </c>
      <c r="F1107" t="s">
        <v>28</v>
      </c>
      <c r="G1107">
        <v>11.9</v>
      </c>
      <c r="H1107">
        <v>8.3000000000000007</v>
      </c>
      <c r="I1107" t="str" cm="1">
        <f t="array" ref="I1107">_xlfn.IFS(G1107&lt;3, "0–2 Years", G1107&lt;6, "3–5 Years", G1107&lt;9, "6–8 Years", G1107&lt;12, "9-11 Years", G1107&gt;=12, "12-14 Years")</f>
        <v>9-11 Years</v>
      </c>
      <c r="J1107">
        <v>4</v>
      </c>
      <c r="K1107" t="s">
        <v>20</v>
      </c>
      <c r="L1107">
        <v>104100</v>
      </c>
      <c r="M1107">
        <v>10400</v>
      </c>
      <c r="N1107">
        <v>114500</v>
      </c>
      <c r="O1107" t="s">
        <v>57</v>
      </c>
      <c r="P1107" s="3">
        <v>41681</v>
      </c>
      <c r="Q1107" t="s">
        <v>28</v>
      </c>
    </row>
    <row r="1108" spans="1:17" x14ac:dyDescent="0.35">
      <c r="A1108" t="s">
        <v>1160</v>
      </c>
      <c r="B1108" t="s">
        <v>16</v>
      </c>
      <c r="C1108">
        <v>33</v>
      </c>
      <c r="D1108" t="s">
        <v>17</v>
      </c>
      <c r="E1108" t="s">
        <v>18</v>
      </c>
      <c r="F1108" t="s">
        <v>28</v>
      </c>
      <c r="G1108">
        <v>6</v>
      </c>
      <c r="H1108">
        <v>4.8</v>
      </c>
      <c r="I1108" t="str" cm="1">
        <f t="array" ref="I1108">_xlfn.IFS(G1108&lt;3, "0–2 Years", G1108&lt;6, "3–5 Years", G1108&lt;9, "6–8 Years", G1108&lt;12, "9-11 Years", G1108&gt;=12, "12-14 Years")</f>
        <v>6–8 Years</v>
      </c>
      <c r="J1108">
        <v>4</v>
      </c>
      <c r="K1108" t="s">
        <v>20</v>
      </c>
      <c r="L1108">
        <v>95900</v>
      </c>
      <c r="M1108">
        <v>11600</v>
      </c>
      <c r="N1108">
        <v>107500</v>
      </c>
      <c r="O1108" t="s">
        <v>30</v>
      </c>
      <c r="P1108" s="3">
        <v>43840</v>
      </c>
      <c r="Q1108" t="s">
        <v>28</v>
      </c>
    </row>
    <row r="1109" spans="1:17" x14ac:dyDescent="0.35">
      <c r="A1109" t="s">
        <v>1161</v>
      </c>
      <c r="B1109" t="s">
        <v>23</v>
      </c>
      <c r="C1109">
        <v>38</v>
      </c>
      <c r="D1109" t="s">
        <v>38</v>
      </c>
      <c r="E1109" t="s">
        <v>39</v>
      </c>
      <c r="F1109" t="s">
        <v>19</v>
      </c>
      <c r="G1109">
        <v>7.4</v>
      </c>
      <c r="H1109">
        <v>5.8</v>
      </c>
      <c r="I1109" t="str" cm="1">
        <f t="array" ref="I1109">_xlfn.IFS(G1109&lt;3, "0–2 Years", G1109&lt;6, "3–5 Years", G1109&lt;9, "6–8 Years", G1109&lt;12, "9-11 Years", G1109&gt;=12, "12-14 Years")</f>
        <v>6–8 Years</v>
      </c>
      <c r="J1109">
        <v>3</v>
      </c>
      <c r="K1109" t="s">
        <v>20</v>
      </c>
      <c r="L1109">
        <v>73400</v>
      </c>
      <c r="M1109">
        <v>5100</v>
      </c>
      <c r="N1109">
        <v>78500</v>
      </c>
      <c r="O1109" t="s">
        <v>21</v>
      </c>
      <c r="P1109" s="3">
        <v>43328</v>
      </c>
      <c r="Q1109" t="s">
        <v>19</v>
      </c>
    </row>
    <row r="1110" spans="1:17" x14ac:dyDescent="0.35">
      <c r="A1110" t="s">
        <v>1162</v>
      </c>
      <c r="B1110" t="s">
        <v>16</v>
      </c>
      <c r="C1110">
        <v>29</v>
      </c>
      <c r="D1110" t="s">
        <v>38</v>
      </c>
      <c r="E1110" t="s">
        <v>112</v>
      </c>
      <c r="F1110" t="s">
        <v>28</v>
      </c>
      <c r="G1110">
        <v>10.199999999999999</v>
      </c>
      <c r="H1110">
        <v>8.6</v>
      </c>
      <c r="I1110" t="str" cm="1">
        <f t="array" ref="I1110">_xlfn.IFS(G1110&lt;3, "0–2 Years", G1110&lt;6, "3–5 Years", G1110&lt;9, "6–8 Years", G1110&lt;12, "9-11 Years", G1110&gt;=12, "12-14 Years")</f>
        <v>9-11 Years</v>
      </c>
      <c r="J1110">
        <v>4</v>
      </c>
      <c r="K1110" t="s">
        <v>20</v>
      </c>
      <c r="L1110">
        <v>93500</v>
      </c>
      <c r="M1110">
        <v>7700</v>
      </c>
      <c r="N1110">
        <v>101200</v>
      </c>
      <c r="O1110" t="s">
        <v>30</v>
      </c>
      <c r="P1110" s="3">
        <v>42301</v>
      </c>
      <c r="Q1110" t="s">
        <v>28</v>
      </c>
    </row>
    <row r="1111" spans="1:17" x14ac:dyDescent="0.35">
      <c r="A1111" t="s">
        <v>1163</v>
      </c>
      <c r="B1111" t="s">
        <v>23</v>
      </c>
      <c r="C1111">
        <v>26</v>
      </c>
      <c r="D1111" t="s">
        <v>38</v>
      </c>
      <c r="E1111" t="s">
        <v>61</v>
      </c>
      <c r="F1111" t="s">
        <v>28</v>
      </c>
      <c r="G1111">
        <v>4.3</v>
      </c>
      <c r="H1111">
        <v>2.6</v>
      </c>
      <c r="I1111" t="str" cm="1">
        <f t="array" ref="I1111">_xlfn.IFS(G1111&lt;3, "0–2 Years", G1111&lt;6, "3–5 Years", G1111&lt;9, "6–8 Years", G1111&lt;12, "9-11 Years", G1111&gt;=12, "12-14 Years")</f>
        <v>3–5 Years</v>
      </c>
      <c r="J1111">
        <v>3</v>
      </c>
      <c r="K1111" t="s">
        <v>20</v>
      </c>
      <c r="L1111">
        <v>92000</v>
      </c>
      <c r="M1111">
        <v>7000</v>
      </c>
      <c r="N1111">
        <v>99000</v>
      </c>
      <c r="O1111" t="s">
        <v>30</v>
      </c>
      <c r="P1111" s="3">
        <v>44445</v>
      </c>
      <c r="Q1111" t="s">
        <v>28</v>
      </c>
    </row>
    <row r="1112" spans="1:17" x14ac:dyDescent="0.35">
      <c r="A1112" t="s">
        <v>1164</v>
      </c>
      <c r="B1112" t="s">
        <v>23</v>
      </c>
      <c r="C1112" s="7">
        <v>37</v>
      </c>
      <c r="D1112" t="s">
        <v>41</v>
      </c>
      <c r="E1112" t="s">
        <v>42</v>
      </c>
      <c r="F1112" t="s">
        <v>28</v>
      </c>
      <c r="G1112" s="9">
        <v>13.7</v>
      </c>
      <c r="H1112" s="7">
        <v>9.1</v>
      </c>
      <c r="I1112" t="str" cm="1">
        <f t="array" ref="I1112">_xlfn.IFS(G1112&lt;3, "0–2 Years", G1112&lt;6, "3–5 Years", G1112&lt;9, "6–8 Years", G1112&lt;12, "9-11 Years", G1112&gt;=12, "12-14 Years")</f>
        <v>12-14 Years</v>
      </c>
      <c r="J1112" s="7">
        <v>4</v>
      </c>
      <c r="K1112" t="s">
        <v>20</v>
      </c>
      <c r="L1112" s="7">
        <v>83300</v>
      </c>
      <c r="M1112" s="7">
        <v>3800</v>
      </c>
      <c r="N1112" s="7">
        <v>87100</v>
      </c>
      <c r="O1112" t="s">
        <v>30</v>
      </c>
      <c r="P1112" s="3">
        <v>41018</v>
      </c>
      <c r="Q1112" t="s">
        <v>28</v>
      </c>
    </row>
    <row r="1113" spans="1:17" x14ac:dyDescent="0.35">
      <c r="A1113" t="s">
        <v>1165</v>
      </c>
      <c r="B1113" t="s">
        <v>16</v>
      </c>
      <c r="C1113">
        <v>37</v>
      </c>
      <c r="D1113" t="s">
        <v>41</v>
      </c>
      <c r="E1113" t="s">
        <v>67</v>
      </c>
      <c r="F1113" t="s">
        <v>28</v>
      </c>
      <c r="G1113">
        <v>2.9</v>
      </c>
      <c r="H1113">
        <v>2.9</v>
      </c>
      <c r="I1113" t="str" cm="1">
        <f t="array" ref="I1113">_xlfn.IFS(G1113&lt;3, "0–2 Years", G1113&lt;6, "3–5 Years", G1113&lt;9, "6–8 Years", G1113&lt;12, "9-11 Years", G1113&gt;=12, "12-14 Years")</f>
        <v>0–2 Years</v>
      </c>
      <c r="J1113">
        <v>4</v>
      </c>
      <c r="K1113" t="s">
        <v>20</v>
      </c>
      <c r="L1113">
        <v>69500</v>
      </c>
      <c r="M1113">
        <v>3100</v>
      </c>
      <c r="N1113">
        <v>72600</v>
      </c>
      <c r="O1113" t="s">
        <v>21</v>
      </c>
      <c r="P1113" s="3">
        <v>44964</v>
      </c>
      <c r="Q1113" t="s">
        <v>28</v>
      </c>
    </row>
    <row r="1114" spans="1:17" x14ac:dyDescent="0.35">
      <c r="A1114" t="s">
        <v>1166</v>
      </c>
      <c r="B1114" t="s">
        <v>23</v>
      </c>
      <c r="C1114">
        <v>23</v>
      </c>
      <c r="D1114" t="s">
        <v>44</v>
      </c>
      <c r="E1114" t="s">
        <v>45</v>
      </c>
      <c r="F1114" t="s">
        <v>28</v>
      </c>
      <c r="G1114">
        <v>6.1</v>
      </c>
      <c r="H1114">
        <v>3.1</v>
      </c>
      <c r="I1114" t="str" cm="1">
        <f t="array" ref="I1114">_xlfn.IFS(G1114&lt;3, "0–2 Years", G1114&lt;6, "3–5 Years", G1114&lt;9, "6–8 Years", G1114&lt;12, "9-11 Years", G1114&gt;=12, "12-14 Years")</f>
        <v>6–8 Years</v>
      </c>
      <c r="J1114">
        <v>3</v>
      </c>
      <c r="K1114" t="s">
        <v>20</v>
      </c>
      <c r="L1114">
        <v>80100</v>
      </c>
      <c r="M1114">
        <v>10900</v>
      </c>
      <c r="N1114">
        <v>91000</v>
      </c>
      <c r="O1114" t="s">
        <v>30</v>
      </c>
      <c r="P1114" s="3">
        <v>43786</v>
      </c>
      <c r="Q1114" t="s">
        <v>28</v>
      </c>
    </row>
    <row r="1115" spans="1:17" x14ac:dyDescent="0.35">
      <c r="A1115" t="s">
        <v>1167</v>
      </c>
      <c r="B1115" t="s">
        <v>16</v>
      </c>
      <c r="C1115" s="7">
        <v>35</v>
      </c>
      <c r="D1115" t="s">
        <v>17</v>
      </c>
      <c r="E1115" t="s">
        <v>27</v>
      </c>
      <c r="F1115" t="s">
        <v>19</v>
      </c>
      <c r="G1115" s="9">
        <v>13</v>
      </c>
      <c r="H1115" s="7">
        <v>7.7</v>
      </c>
      <c r="I1115" t="str" cm="1">
        <f t="array" ref="I1115">_xlfn.IFS(G1115&lt;3, "0–2 Years", G1115&lt;6, "3–5 Years", G1115&lt;9, "6–8 Years", G1115&lt;12, "9-11 Years", G1115&gt;=12, "12-14 Years")</f>
        <v>12-14 Years</v>
      </c>
      <c r="J1115" s="7">
        <v>4</v>
      </c>
      <c r="K1115" t="s">
        <v>69</v>
      </c>
      <c r="L1115" s="7">
        <v>69400</v>
      </c>
      <c r="M1115" s="7">
        <v>8700</v>
      </c>
      <c r="N1115" s="7">
        <v>78100</v>
      </c>
      <c r="O1115" t="s">
        <v>21</v>
      </c>
      <c r="P1115" s="3">
        <v>41290</v>
      </c>
      <c r="Q1115" t="s">
        <v>19</v>
      </c>
    </row>
    <row r="1116" spans="1:17" x14ac:dyDescent="0.35">
      <c r="A1116" t="s">
        <v>1168</v>
      </c>
      <c r="B1116" t="s">
        <v>23</v>
      </c>
      <c r="C1116">
        <v>46</v>
      </c>
      <c r="D1116" t="s">
        <v>17</v>
      </c>
      <c r="E1116" t="s">
        <v>27</v>
      </c>
      <c r="F1116" t="s">
        <v>36</v>
      </c>
      <c r="G1116">
        <v>2.2999999999999998</v>
      </c>
      <c r="H1116">
        <v>2.1</v>
      </c>
      <c r="I1116" t="str" cm="1">
        <f t="array" ref="I1116">_xlfn.IFS(G1116&lt;3, "0–2 Years", G1116&lt;6, "3–5 Years", G1116&lt;9, "6–8 Years", G1116&lt;12, "9-11 Years", G1116&gt;=12, "12-14 Years")</f>
        <v>0–2 Years</v>
      </c>
      <c r="J1116">
        <v>2</v>
      </c>
      <c r="K1116" t="s">
        <v>20</v>
      </c>
      <c r="L1116">
        <v>78700</v>
      </c>
      <c r="M1116">
        <v>4000</v>
      </c>
      <c r="N1116">
        <v>82700</v>
      </c>
      <c r="O1116" t="s">
        <v>21</v>
      </c>
      <c r="P1116" s="3">
        <v>45183</v>
      </c>
      <c r="Q1116" t="s">
        <v>36</v>
      </c>
    </row>
    <row r="1117" spans="1:17" x14ac:dyDescent="0.35">
      <c r="A1117" t="s">
        <v>1169</v>
      </c>
      <c r="B1117" t="s">
        <v>16</v>
      </c>
      <c r="C1117">
        <v>27</v>
      </c>
      <c r="D1117" t="s">
        <v>41</v>
      </c>
      <c r="E1117" t="s">
        <v>42</v>
      </c>
      <c r="F1117" t="s">
        <v>28</v>
      </c>
      <c r="G1117">
        <v>9.4</v>
      </c>
      <c r="H1117">
        <v>3.8</v>
      </c>
      <c r="I1117" t="str" cm="1">
        <f t="array" ref="I1117">_xlfn.IFS(G1117&lt;3, "0–2 Years", G1117&lt;6, "3–5 Years", G1117&lt;9, "6–8 Years", G1117&lt;12, "9-11 Years", G1117&gt;=12, "12-14 Years")</f>
        <v>9-11 Years</v>
      </c>
      <c r="J1117">
        <v>4</v>
      </c>
      <c r="K1117" t="s">
        <v>20</v>
      </c>
      <c r="L1117">
        <v>94500</v>
      </c>
      <c r="M1117">
        <v>4800</v>
      </c>
      <c r="N1117">
        <v>99300</v>
      </c>
      <c r="O1117" t="s">
        <v>30</v>
      </c>
      <c r="P1117" s="3">
        <v>42594</v>
      </c>
      <c r="Q1117" t="s">
        <v>28</v>
      </c>
    </row>
    <row r="1118" spans="1:17" x14ac:dyDescent="0.35">
      <c r="A1118" t="s">
        <v>1170</v>
      </c>
      <c r="B1118" t="s">
        <v>16</v>
      </c>
      <c r="C1118">
        <v>37</v>
      </c>
      <c r="D1118" t="s">
        <v>34</v>
      </c>
      <c r="E1118" t="s">
        <v>59</v>
      </c>
      <c r="F1118" t="s">
        <v>28</v>
      </c>
      <c r="G1118">
        <v>9.8000000000000007</v>
      </c>
      <c r="H1118">
        <v>3.5</v>
      </c>
      <c r="I1118" t="str" cm="1">
        <f t="array" ref="I1118">_xlfn.IFS(G1118&lt;3, "0–2 Years", G1118&lt;6, "3–5 Years", G1118&lt;9, "6–8 Years", G1118&lt;12, "9-11 Years", G1118&gt;=12, "12-14 Years")</f>
        <v>9-11 Years</v>
      </c>
      <c r="J1118">
        <v>2</v>
      </c>
      <c r="K1118" t="s">
        <v>20</v>
      </c>
      <c r="L1118">
        <v>113700</v>
      </c>
      <c r="M1118">
        <v>6900</v>
      </c>
      <c r="N1118">
        <v>120600</v>
      </c>
      <c r="O1118" t="s">
        <v>57</v>
      </c>
      <c r="P1118" s="3">
        <v>42455</v>
      </c>
      <c r="Q1118" t="s">
        <v>28</v>
      </c>
    </row>
    <row r="1119" spans="1:17" x14ac:dyDescent="0.35">
      <c r="A1119" t="s">
        <v>1171</v>
      </c>
      <c r="B1119" t="s">
        <v>16</v>
      </c>
      <c r="C1119">
        <v>48</v>
      </c>
      <c r="D1119" t="s">
        <v>34</v>
      </c>
      <c r="E1119" t="s">
        <v>47</v>
      </c>
      <c r="F1119" t="s">
        <v>28</v>
      </c>
      <c r="G1119">
        <v>1.5</v>
      </c>
      <c r="H1119">
        <v>1.3</v>
      </c>
      <c r="I1119" t="str" cm="1">
        <f t="array" ref="I1119">_xlfn.IFS(G1119&lt;3, "0–2 Years", G1119&lt;6, "3–5 Years", G1119&lt;9, "6–8 Years", G1119&lt;12, "9-11 Years", G1119&gt;=12, "12-14 Years")</f>
        <v>0–2 Years</v>
      </c>
      <c r="J1119">
        <v>4</v>
      </c>
      <c r="K1119" t="s">
        <v>20</v>
      </c>
      <c r="L1119">
        <v>81300</v>
      </c>
      <c r="M1119">
        <v>9000</v>
      </c>
      <c r="N1119">
        <v>90300</v>
      </c>
      <c r="O1119" t="s">
        <v>30</v>
      </c>
      <c r="P1119" s="3">
        <v>45476</v>
      </c>
      <c r="Q1119" t="s">
        <v>28</v>
      </c>
    </row>
    <row r="1120" spans="1:17" x14ac:dyDescent="0.35">
      <c r="A1120" t="s">
        <v>1172</v>
      </c>
      <c r="B1120" t="s">
        <v>23</v>
      </c>
      <c r="C1120">
        <v>35</v>
      </c>
      <c r="D1120" t="s">
        <v>41</v>
      </c>
      <c r="E1120" t="s">
        <v>42</v>
      </c>
      <c r="F1120" t="s">
        <v>36</v>
      </c>
      <c r="G1120">
        <v>11.9</v>
      </c>
      <c r="H1120">
        <v>9.9</v>
      </c>
      <c r="I1120" t="str" cm="1">
        <f t="array" ref="I1120">_xlfn.IFS(G1120&lt;3, "0–2 Years", G1120&lt;6, "3–5 Years", G1120&lt;9, "6–8 Years", G1120&lt;12, "9-11 Years", G1120&gt;=12, "12-14 Years")</f>
        <v>9-11 Years</v>
      </c>
      <c r="J1120">
        <v>3</v>
      </c>
      <c r="K1120" t="s">
        <v>24</v>
      </c>
      <c r="L1120">
        <v>43200</v>
      </c>
      <c r="M1120">
        <v>2000</v>
      </c>
      <c r="N1120">
        <v>45200</v>
      </c>
      <c r="O1120" t="s">
        <v>65</v>
      </c>
      <c r="P1120" s="3">
        <v>41686</v>
      </c>
      <c r="Q1120" t="s">
        <v>36</v>
      </c>
    </row>
    <row r="1121" spans="1:17" x14ac:dyDescent="0.35">
      <c r="A1121" t="s">
        <v>1173</v>
      </c>
      <c r="B1121" t="s">
        <v>16</v>
      </c>
      <c r="C1121">
        <v>43</v>
      </c>
      <c r="D1121" t="s">
        <v>44</v>
      </c>
      <c r="E1121" t="s">
        <v>76</v>
      </c>
      <c r="F1121" t="s">
        <v>28</v>
      </c>
      <c r="G1121">
        <v>9.4</v>
      </c>
      <c r="H1121">
        <v>7.9</v>
      </c>
      <c r="I1121" t="str" cm="1">
        <f t="array" ref="I1121">_xlfn.IFS(G1121&lt;3, "0–2 Years", G1121&lt;6, "3–5 Years", G1121&lt;9, "6–8 Years", G1121&lt;12, "9-11 Years", G1121&gt;=12, "12-14 Years")</f>
        <v>9-11 Years</v>
      </c>
      <c r="J1121">
        <v>2</v>
      </c>
      <c r="K1121" t="s">
        <v>20</v>
      </c>
      <c r="L1121">
        <v>119600</v>
      </c>
      <c r="M1121">
        <v>12400</v>
      </c>
      <c r="N1121">
        <v>132000</v>
      </c>
      <c r="O1121" t="s">
        <v>57</v>
      </c>
      <c r="P1121" s="3">
        <v>42572</v>
      </c>
      <c r="Q1121" t="s">
        <v>28</v>
      </c>
    </row>
    <row r="1122" spans="1:17" x14ac:dyDescent="0.35">
      <c r="A1122" t="s">
        <v>1174</v>
      </c>
      <c r="B1122" t="s">
        <v>23</v>
      </c>
      <c r="C1122">
        <v>40</v>
      </c>
      <c r="D1122" t="s">
        <v>41</v>
      </c>
      <c r="E1122" t="s">
        <v>42</v>
      </c>
      <c r="F1122" t="s">
        <v>28</v>
      </c>
      <c r="G1122">
        <v>2.7</v>
      </c>
      <c r="H1122">
        <v>1.5</v>
      </c>
      <c r="I1122" t="str" cm="1">
        <f t="array" ref="I1122">_xlfn.IFS(G1122&lt;3, "0–2 Years", G1122&lt;6, "3–5 Years", G1122&lt;9, "6–8 Years", G1122&lt;12, "9-11 Years", G1122&gt;=12, "12-14 Years")</f>
        <v>0–2 Years</v>
      </c>
      <c r="J1122">
        <v>2</v>
      </c>
      <c r="K1122" t="s">
        <v>20</v>
      </c>
      <c r="L1122">
        <v>78900</v>
      </c>
      <c r="M1122">
        <v>2800</v>
      </c>
      <c r="N1122">
        <v>81700</v>
      </c>
      <c r="O1122" t="s">
        <v>21</v>
      </c>
      <c r="P1122" s="3">
        <v>45047</v>
      </c>
      <c r="Q1122" t="s">
        <v>28</v>
      </c>
    </row>
    <row r="1123" spans="1:17" x14ac:dyDescent="0.35">
      <c r="A1123" t="s">
        <v>1175</v>
      </c>
      <c r="B1123" t="s">
        <v>23</v>
      </c>
      <c r="C1123">
        <v>35</v>
      </c>
      <c r="D1123" t="s">
        <v>17</v>
      </c>
      <c r="E1123" t="s">
        <v>27</v>
      </c>
      <c r="F1123" t="s">
        <v>28</v>
      </c>
      <c r="G1123">
        <v>9.5</v>
      </c>
      <c r="H1123">
        <v>7.8</v>
      </c>
      <c r="I1123" t="str" cm="1">
        <f t="array" ref="I1123">_xlfn.IFS(G1123&lt;3, "0–2 Years", G1123&lt;6, "3–5 Years", G1123&lt;9, "6–8 Years", G1123&lt;12, "9-11 Years", G1123&gt;=12, "12-14 Years")</f>
        <v>9-11 Years</v>
      </c>
      <c r="J1123">
        <v>3</v>
      </c>
      <c r="K1123" t="s">
        <v>20</v>
      </c>
      <c r="L1123">
        <v>83000</v>
      </c>
      <c r="M1123">
        <v>9100</v>
      </c>
      <c r="N1123">
        <v>92100</v>
      </c>
      <c r="O1123" t="s">
        <v>30</v>
      </c>
      <c r="P1123" s="3">
        <v>42568</v>
      </c>
      <c r="Q1123" t="s">
        <v>28</v>
      </c>
    </row>
    <row r="1124" spans="1:17" x14ac:dyDescent="0.35">
      <c r="A1124" t="s">
        <v>1176</v>
      </c>
      <c r="B1124" t="s">
        <v>16</v>
      </c>
      <c r="C1124" s="7">
        <v>42</v>
      </c>
      <c r="D1124" t="s">
        <v>41</v>
      </c>
      <c r="E1124" t="s">
        <v>42</v>
      </c>
      <c r="F1124" t="s">
        <v>36</v>
      </c>
      <c r="G1124" s="9">
        <v>12.1</v>
      </c>
      <c r="H1124" s="7">
        <v>8.5</v>
      </c>
      <c r="I1124" t="str" cm="1">
        <f t="array" ref="I1124">_xlfn.IFS(G1124&lt;3, "0–2 Years", G1124&lt;6, "3–5 Years", G1124&lt;9, "6–8 Years", G1124&lt;12, "9-11 Years", G1124&gt;=12, "12-14 Years")</f>
        <v>12-14 Years</v>
      </c>
      <c r="J1124" s="7">
        <v>3</v>
      </c>
      <c r="K1124" t="s">
        <v>20</v>
      </c>
      <c r="L1124" s="7">
        <v>80600</v>
      </c>
      <c r="M1124" s="7">
        <v>5200</v>
      </c>
      <c r="N1124" s="7">
        <v>85800</v>
      </c>
      <c r="O1124" t="s">
        <v>30</v>
      </c>
      <c r="P1124" s="3">
        <v>41591</v>
      </c>
      <c r="Q1124" t="s">
        <v>36</v>
      </c>
    </row>
    <row r="1125" spans="1:17" x14ac:dyDescent="0.35">
      <c r="A1125" t="s">
        <v>1177</v>
      </c>
      <c r="B1125" t="s">
        <v>23</v>
      </c>
      <c r="C1125">
        <v>29</v>
      </c>
      <c r="D1125" t="s">
        <v>44</v>
      </c>
      <c r="E1125" t="s">
        <v>45</v>
      </c>
      <c r="F1125" t="s">
        <v>19</v>
      </c>
      <c r="G1125">
        <v>9.1</v>
      </c>
      <c r="H1125">
        <v>6.8</v>
      </c>
      <c r="I1125" t="str" cm="1">
        <f t="array" ref="I1125">_xlfn.IFS(G1125&lt;3, "0–2 Years", G1125&lt;6, "3–5 Years", G1125&lt;9, "6–8 Years", G1125&lt;12, "9-11 Years", G1125&gt;=12, "12-14 Years")</f>
        <v>9-11 Years</v>
      </c>
      <c r="J1125">
        <v>3</v>
      </c>
      <c r="K1125" t="s">
        <v>20</v>
      </c>
      <c r="L1125">
        <v>74700</v>
      </c>
      <c r="M1125">
        <v>5900</v>
      </c>
      <c r="N1125">
        <v>80600</v>
      </c>
      <c r="O1125" t="s">
        <v>21</v>
      </c>
      <c r="P1125" s="3">
        <v>42703</v>
      </c>
      <c r="Q1125" t="s">
        <v>19</v>
      </c>
    </row>
    <row r="1126" spans="1:17" x14ac:dyDescent="0.35">
      <c r="A1126" t="s">
        <v>1178</v>
      </c>
      <c r="B1126" t="s">
        <v>16</v>
      </c>
      <c r="C1126">
        <v>51</v>
      </c>
      <c r="D1126" t="s">
        <v>41</v>
      </c>
      <c r="E1126" t="s">
        <v>67</v>
      </c>
      <c r="F1126" t="s">
        <v>28</v>
      </c>
      <c r="G1126">
        <v>10.5</v>
      </c>
      <c r="H1126">
        <v>6.6</v>
      </c>
      <c r="I1126" t="str" cm="1">
        <f t="array" ref="I1126">_xlfn.IFS(G1126&lt;3, "0–2 Years", G1126&lt;6, "3–5 Years", G1126&lt;9, "6–8 Years", G1126&lt;12, "9-11 Years", G1126&gt;=12, "12-14 Years")</f>
        <v>9-11 Years</v>
      </c>
      <c r="J1126">
        <v>3</v>
      </c>
      <c r="K1126" t="s">
        <v>20</v>
      </c>
      <c r="L1126">
        <v>62100</v>
      </c>
      <c r="M1126">
        <v>2400</v>
      </c>
      <c r="N1126">
        <v>64500</v>
      </c>
      <c r="O1126" t="s">
        <v>25</v>
      </c>
      <c r="P1126" s="3">
        <v>42172</v>
      </c>
      <c r="Q1126" t="s">
        <v>28</v>
      </c>
    </row>
    <row r="1127" spans="1:17" x14ac:dyDescent="0.35">
      <c r="A1127" t="s">
        <v>1179</v>
      </c>
      <c r="B1127" t="s">
        <v>23</v>
      </c>
      <c r="C1127">
        <v>49</v>
      </c>
      <c r="D1127" t="s">
        <v>55</v>
      </c>
      <c r="E1127" t="s">
        <v>79</v>
      </c>
      <c r="F1127" t="s">
        <v>36</v>
      </c>
      <c r="G1127">
        <v>6</v>
      </c>
      <c r="H1127">
        <v>2.9</v>
      </c>
      <c r="I1127" t="str" cm="1">
        <f t="array" ref="I1127">_xlfn.IFS(G1127&lt;3, "0–2 Years", G1127&lt;6, "3–5 Years", G1127&lt;9, "6–8 Years", G1127&lt;12, "9-11 Years", G1127&gt;=12, "12-14 Years")</f>
        <v>6–8 Years</v>
      </c>
      <c r="J1127">
        <v>3</v>
      </c>
      <c r="K1127" t="s">
        <v>20</v>
      </c>
      <c r="L1127">
        <v>70200</v>
      </c>
      <c r="M1127">
        <v>10500</v>
      </c>
      <c r="N1127">
        <v>80700</v>
      </c>
      <c r="O1127" t="s">
        <v>21</v>
      </c>
      <c r="P1127" s="3">
        <v>43826</v>
      </c>
      <c r="Q1127" t="s">
        <v>36</v>
      </c>
    </row>
    <row r="1128" spans="1:17" x14ac:dyDescent="0.35">
      <c r="A1128" t="s">
        <v>1180</v>
      </c>
      <c r="B1128" t="s">
        <v>23</v>
      </c>
      <c r="C1128" s="7">
        <v>36</v>
      </c>
      <c r="D1128" t="s">
        <v>34</v>
      </c>
      <c r="E1128" t="s">
        <v>35</v>
      </c>
      <c r="F1128" t="s">
        <v>28</v>
      </c>
      <c r="G1128" s="9">
        <v>13.8</v>
      </c>
      <c r="H1128" s="7">
        <v>9.9</v>
      </c>
      <c r="I1128" t="str" cm="1">
        <f t="array" ref="I1128">_xlfn.IFS(G1128&lt;3, "0–2 Years", G1128&lt;6, "3–5 Years", G1128&lt;9, "6–8 Years", G1128&lt;12, "9-11 Years", G1128&gt;=12, "12-14 Years")</f>
        <v>12-14 Years</v>
      </c>
      <c r="J1128" s="7">
        <v>3</v>
      </c>
      <c r="K1128" t="s">
        <v>20</v>
      </c>
      <c r="L1128" s="7">
        <v>79100</v>
      </c>
      <c r="M1128" s="7">
        <v>3700</v>
      </c>
      <c r="N1128" s="7">
        <v>82800</v>
      </c>
      <c r="O1128" t="s">
        <v>21</v>
      </c>
      <c r="P1128" s="3">
        <v>40988</v>
      </c>
      <c r="Q1128" t="s">
        <v>28</v>
      </c>
    </row>
    <row r="1129" spans="1:17" x14ac:dyDescent="0.35">
      <c r="A1129" t="s">
        <v>1181</v>
      </c>
      <c r="B1129" t="s">
        <v>16</v>
      </c>
      <c r="C1129" s="7">
        <v>46</v>
      </c>
      <c r="D1129" t="s">
        <v>55</v>
      </c>
      <c r="E1129" t="s">
        <v>92</v>
      </c>
      <c r="F1129" t="s">
        <v>28</v>
      </c>
      <c r="G1129" s="9">
        <v>13.7</v>
      </c>
      <c r="H1129" s="7">
        <v>9.5</v>
      </c>
      <c r="I1129" t="str" cm="1">
        <f t="array" ref="I1129">_xlfn.IFS(G1129&lt;3, "0–2 Years", G1129&lt;6, "3–5 Years", G1129&lt;9, "6–8 Years", G1129&lt;12, "9-11 Years", G1129&gt;=12, "12-14 Years")</f>
        <v>12-14 Years</v>
      </c>
      <c r="J1129" s="7">
        <v>3</v>
      </c>
      <c r="K1129" t="s">
        <v>20</v>
      </c>
      <c r="L1129" s="7">
        <v>105900</v>
      </c>
      <c r="M1129" s="7">
        <v>8100</v>
      </c>
      <c r="N1129" s="7">
        <v>114000</v>
      </c>
      <c r="O1129" t="s">
        <v>57</v>
      </c>
      <c r="P1129" s="3">
        <v>41035</v>
      </c>
      <c r="Q1129" t="s">
        <v>28</v>
      </c>
    </row>
    <row r="1130" spans="1:17" x14ac:dyDescent="0.35">
      <c r="A1130" t="s">
        <v>1182</v>
      </c>
      <c r="B1130" t="s">
        <v>16</v>
      </c>
      <c r="C1130">
        <v>30</v>
      </c>
      <c r="D1130" t="s">
        <v>41</v>
      </c>
      <c r="E1130" t="s">
        <v>42</v>
      </c>
      <c r="F1130" t="s">
        <v>28</v>
      </c>
      <c r="G1130">
        <v>4.7</v>
      </c>
      <c r="H1130">
        <v>4.2</v>
      </c>
      <c r="I1130" t="str" cm="1">
        <f t="array" ref="I1130">_xlfn.IFS(G1130&lt;3, "0–2 Years", G1130&lt;6, "3–5 Years", G1130&lt;9, "6–8 Years", G1130&lt;12, "9-11 Years", G1130&gt;=12, "12-14 Years")</f>
        <v>3–5 Years</v>
      </c>
      <c r="J1130">
        <v>4</v>
      </c>
      <c r="K1130" t="s">
        <v>20</v>
      </c>
      <c r="L1130">
        <v>83600</v>
      </c>
      <c r="M1130">
        <v>4300</v>
      </c>
      <c r="N1130">
        <v>87900</v>
      </c>
      <c r="O1130" t="s">
        <v>30</v>
      </c>
      <c r="P1130" s="3">
        <v>44299</v>
      </c>
      <c r="Q1130" t="s">
        <v>28</v>
      </c>
    </row>
    <row r="1131" spans="1:17" x14ac:dyDescent="0.35">
      <c r="A1131" t="s">
        <v>1183</v>
      </c>
      <c r="B1131" t="s">
        <v>16</v>
      </c>
      <c r="C1131">
        <v>38</v>
      </c>
      <c r="D1131" t="s">
        <v>44</v>
      </c>
      <c r="E1131" t="s">
        <v>45</v>
      </c>
      <c r="F1131" t="s">
        <v>28</v>
      </c>
      <c r="G1131">
        <v>3.2</v>
      </c>
      <c r="H1131">
        <v>2</v>
      </c>
      <c r="I1131" t="str" cm="1">
        <f t="array" ref="I1131">_xlfn.IFS(G1131&lt;3, "0–2 Years", G1131&lt;6, "3–5 Years", G1131&lt;9, "6–8 Years", G1131&lt;12, "9-11 Years", G1131&gt;=12, "12-14 Years")</f>
        <v>3–5 Years</v>
      </c>
      <c r="J1131">
        <v>3</v>
      </c>
      <c r="K1131" t="s">
        <v>20</v>
      </c>
      <c r="L1131">
        <v>72800</v>
      </c>
      <c r="M1131">
        <v>6800</v>
      </c>
      <c r="N1131">
        <v>79600</v>
      </c>
      <c r="O1131" t="s">
        <v>21</v>
      </c>
      <c r="P1131" s="3">
        <v>44869</v>
      </c>
      <c r="Q1131" t="s">
        <v>28</v>
      </c>
    </row>
    <row r="1132" spans="1:17" x14ac:dyDescent="0.35">
      <c r="A1132" t="s">
        <v>1184</v>
      </c>
      <c r="B1132" t="s">
        <v>16</v>
      </c>
      <c r="C1132">
        <v>28</v>
      </c>
      <c r="D1132" t="s">
        <v>55</v>
      </c>
      <c r="E1132" t="s">
        <v>79</v>
      </c>
      <c r="F1132" t="s">
        <v>28</v>
      </c>
      <c r="G1132">
        <v>9.5</v>
      </c>
      <c r="H1132">
        <v>6.3</v>
      </c>
      <c r="I1132" t="str" cm="1">
        <f t="array" ref="I1132">_xlfn.IFS(G1132&lt;3, "0–2 Years", G1132&lt;6, "3–5 Years", G1132&lt;9, "6–8 Years", G1132&lt;12, "9-11 Years", G1132&gt;=12, "12-14 Years")</f>
        <v>9-11 Years</v>
      </c>
      <c r="J1132">
        <v>4</v>
      </c>
      <c r="K1132" t="s">
        <v>20</v>
      </c>
      <c r="L1132">
        <v>76400</v>
      </c>
      <c r="M1132">
        <v>11800</v>
      </c>
      <c r="N1132">
        <v>88200</v>
      </c>
      <c r="O1132" t="s">
        <v>21</v>
      </c>
      <c r="P1132" s="3">
        <v>42566</v>
      </c>
      <c r="Q1132" t="s">
        <v>28</v>
      </c>
    </row>
    <row r="1133" spans="1:17" x14ac:dyDescent="0.35">
      <c r="A1133" t="s">
        <v>1185</v>
      </c>
      <c r="B1133" t="s">
        <v>23</v>
      </c>
      <c r="C1133">
        <v>43</v>
      </c>
      <c r="D1133" t="s">
        <v>17</v>
      </c>
      <c r="E1133" t="s">
        <v>27</v>
      </c>
      <c r="F1133" t="s">
        <v>36</v>
      </c>
      <c r="G1133">
        <v>8.9</v>
      </c>
      <c r="H1133">
        <v>5.2</v>
      </c>
      <c r="I1133" t="str" cm="1">
        <f t="array" ref="I1133">_xlfn.IFS(G1133&lt;3, "0–2 Years", G1133&lt;6, "3–5 Years", G1133&lt;9, "6–8 Years", G1133&lt;12, "9-11 Years", G1133&gt;=12, "12-14 Years")</f>
        <v>6–8 Years</v>
      </c>
      <c r="J1133">
        <v>3</v>
      </c>
      <c r="K1133" t="s">
        <v>20</v>
      </c>
      <c r="L1133">
        <v>84900</v>
      </c>
      <c r="M1133">
        <v>9800</v>
      </c>
      <c r="N1133">
        <v>94700</v>
      </c>
      <c r="O1133" t="s">
        <v>30</v>
      </c>
      <c r="P1133" s="3">
        <v>42771</v>
      </c>
      <c r="Q1133" t="s">
        <v>36</v>
      </c>
    </row>
    <row r="1134" spans="1:17" x14ac:dyDescent="0.35">
      <c r="A1134" t="s">
        <v>1186</v>
      </c>
      <c r="B1134" t="s">
        <v>16</v>
      </c>
      <c r="C1134" s="7">
        <v>31</v>
      </c>
      <c r="D1134" t="s">
        <v>44</v>
      </c>
      <c r="E1134" t="s">
        <v>51</v>
      </c>
      <c r="F1134" t="s">
        <v>28</v>
      </c>
      <c r="G1134" s="9">
        <v>13.4</v>
      </c>
      <c r="H1134" s="7">
        <v>7.1</v>
      </c>
      <c r="I1134" t="str" cm="1">
        <f t="array" ref="I1134">_xlfn.IFS(G1134&lt;3, "0–2 Years", G1134&lt;6, "3–5 Years", G1134&lt;9, "6–8 Years", G1134&lt;12, "9-11 Years", G1134&gt;=12, "12-14 Years")</f>
        <v>12-14 Years</v>
      </c>
      <c r="J1134" s="7">
        <v>3</v>
      </c>
      <c r="K1134" t="s">
        <v>69</v>
      </c>
      <c r="L1134" s="7">
        <v>72300</v>
      </c>
      <c r="M1134" s="7">
        <v>4100</v>
      </c>
      <c r="N1134" s="7">
        <v>76400</v>
      </c>
      <c r="O1134" t="s">
        <v>21</v>
      </c>
      <c r="P1134" s="3">
        <v>41122</v>
      </c>
      <c r="Q1134" t="s">
        <v>28</v>
      </c>
    </row>
    <row r="1135" spans="1:17" x14ac:dyDescent="0.35">
      <c r="A1135" t="s">
        <v>1187</v>
      </c>
      <c r="B1135" t="s">
        <v>23</v>
      </c>
      <c r="C1135">
        <v>45</v>
      </c>
      <c r="D1135" t="s">
        <v>17</v>
      </c>
      <c r="E1135" t="s">
        <v>18</v>
      </c>
      <c r="F1135" t="s">
        <v>36</v>
      </c>
      <c r="G1135">
        <v>6.8</v>
      </c>
      <c r="H1135">
        <v>5.9</v>
      </c>
      <c r="I1135" t="str" cm="1">
        <f t="array" ref="I1135">_xlfn.IFS(G1135&lt;3, "0–2 Years", G1135&lt;6, "3–5 Years", G1135&lt;9, "6–8 Years", G1135&lt;12, "9-11 Years", G1135&gt;=12, "12-14 Years")</f>
        <v>6–8 Years</v>
      </c>
      <c r="J1135">
        <v>4</v>
      </c>
      <c r="K1135" t="s">
        <v>24</v>
      </c>
      <c r="L1135">
        <v>64500</v>
      </c>
      <c r="M1135">
        <v>5400</v>
      </c>
      <c r="N1135">
        <v>69900</v>
      </c>
      <c r="O1135" t="s">
        <v>25</v>
      </c>
      <c r="P1135" s="3">
        <v>43543</v>
      </c>
      <c r="Q1135" t="s">
        <v>36</v>
      </c>
    </row>
    <row r="1136" spans="1:17" x14ac:dyDescent="0.35">
      <c r="A1136" t="s">
        <v>1188</v>
      </c>
      <c r="B1136" t="s">
        <v>23</v>
      </c>
      <c r="C1136" s="7">
        <v>50</v>
      </c>
      <c r="D1136" t="s">
        <v>34</v>
      </c>
      <c r="E1136" t="s">
        <v>47</v>
      </c>
      <c r="F1136" t="s">
        <v>36</v>
      </c>
      <c r="G1136" s="9">
        <v>13.6</v>
      </c>
      <c r="H1136" s="7">
        <v>6.1</v>
      </c>
      <c r="I1136" t="str" cm="1">
        <f t="array" ref="I1136">_xlfn.IFS(G1136&lt;3, "0–2 Years", G1136&lt;6, "3–5 Years", G1136&lt;9, "6–8 Years", G1136&lt;12, "9-11 Years", G1136&gt;=12, "12-14 Years")</f>
        <v>12-14 Years</v>
      </c>
      <c r="J1136" s="7">
        <v>3</v>
      </c>
      <c r="K1136" t="s">
        <v>20</v>
      </c>
      <c r="L1136" s="7">
        <v>94100</v>
      </c>
      <c r="M1136" s="7">
        <v>6000</v>
      </c>
      <c r="N1136" s="7">
        <v>100100</v>
      </c>
      <c r="O1136" t="s">
        <v>30</v>
      </c>
      <c r="P1136" s="3">
        <v>41043</v>
      </c>
      <c r="Q1136" t="s">
        <v>36</v>
      </c>
    </row>
    <row r="1137" spans="1:17" x14ac:dyDescent="0.35">
      <c r="A1137" t="s">
        <v>1189</v>
      </c>
      <c r="B1137" t="s">
        <v>23</v>
      </c>
      <c r="C1137">
        <v>47</v>
      </c>
      <c r="D1137" t="s">
        <v>44</v>
      </c>
      <c r="E1137" t="s">
        <v>76</v>
      </c>
      <c r="F1137" t="s">
        <v>28</v>
      </c>
      <c r="G1137">
        <v>1.8</v>
      </c>
      <c r="H1137">
        <v>1.8</v>
      </c>
      <c r="I1137" t="str" cm="1">
        <f t="array" ref="I1137">_xlfn.IFS(G1137&lt;3, "0–2 Years", G1137&lt;6, "3–5 Years", G1137&lt;9, "6–8 Years", G1137&lt;12, "9-11 Years", G1137&gt;=12, "12-14 Years")</f>
        <v>0–2 Years</v>
      </c>
      <c r="J1137">
        <v>3</v>
      </c>
      <c r="K1137" t="s">
        <v>20</v>
      </c>
      <c r="L1137">
        <v>109500</v>
      </c>
      <c r="M1137">
        <v>8200</v>
      </c>
      <c r="N1137">
        <v>117700</v>
      </c>
      <c r="O1137" t="s">
        <v>57</v>
      </c>
      <c r="P1137" s="3">
        <v>45354</v>
      </c>
      <c r="Q1137" t="s">
        <v>28</v>
      </c>
    </row>
    <row r="1138" spans="1:17" x14ac:dyDescent="0.35">
      <c r="A1138" t="s">
        <v>1190</v>
      </c>
      <c r="B1138" t="s">
        <v>23</v>
      </c>
      <c r="C1138">
        <v>38</v>
      </c>
      <c r="D1138" t="s">
        <v>44</v>
      </c>
      <c r="E1138" t="s">
        <v>45</v>
      </c>
      <c r="F1138" t="s">
        <v>36</v>
      </c>
      <c r="G1138">
        <v>2.8</v>
      </c>
      <c r="H1138">
        <v>1.8</v>
      </c>
      <c r="I1138" t="str" cm="1">
        <f t="array" ref="I1138">_xlfn.IFS(G1138&lt;3, "0–2 Years", G1138&lt;6, "3–5 Years", G1138&lt;9, "6–8 Years", G1138&lt;12, "9-11 Years", G1138&gt;=12, "12-14 Years")</f>
        <v>0–2 Years</v>
      </c>
      <c r="J1138">
        <v>3</v>
      </c>
      <c r="K1138" t="s">
        <v>20</v>
      </c>
      <c r="L1138">
        <v>80900</v>
      </c>
      <c r="M1138">
        <v>10400</v>
      </c>
      <c r="N1138">
        <v>91300</v>
      </c>
      <c r="O1138" t="s">
        <v>30</v>
      </c>
      <c r="P1138" s="3">
        <v>45004</v>
      </c>
      <c r="Q1138" t="s">
        <v>36</v>
      </c>
    </row>
    <row r="1139" spans="1:17" x14ac:dyDescent="0.35">
      <c r="A1139" t="s">
        <v>1191</v>
      </c>
      <c r="B1139" t="s">
        <v>16</v>
      </c>
      <c r="C1139">
        <v>47</v>
      </c>
      <c r="D1139" t="s">
        <v>38</v>
      </c>
      <c r="E1139" t="s">
        <v>61</v>
      </c>
      <c r="F1139" t="s">
        <v>28</v>
      </c>
      <c r="G1139">
        <v>7.6</v>
      </c>
      <c r="H1139">
        <v>4.8</v>
      </c>
      <c r="I1139" t="str" cm="1">
        <f t="array" ref="I1139">_xlfn.IFS(G1139&lt;3, "0–2 Years", G1139&lt;6, "3–5 Years", G1139&lt;9, "6–8 Years", G1139&lt;12, "9-11 Years", G1139&gt;=12, "12-14 Years")</f>
        <v>6–8 Years</v>
      </c>
      <c r="J1139">
        <v>4</v>
      </c>
      <c r="K1139" t="s">
        <v>20</v>
      </c>
      <c r="L1139">
        <v>96700</v>
      </c>
      <c r="M1139">
        <v>9000</v>
      </c>
      <c r="N1139">
        <v>105700</v>
      </c>
      <c r="O1139" t="s">
        <v>30</v>
      </c>
      <c r="P1139" s="3">
        <v>43233</v>
      </c>
      <c r="Q1139" t="s">
        <v>28</v>
      </c>
    </row>
    <row r="1140" spans="1:17" x14ac:dyDescent="0.35">
      <c r="A1140" t="s">
        <v>1192</v>
      </c>
      <c r="B1140" t="s">
        <v>16</v>
      </c>
      <c r="C1140">
        <v>47</v>
      </c>
      <c r="D1140" t="s">
        <v>55</v>
      </c>
      <c r="E1140" t="s">
        <v>92</v>
      </c>
      <c r="F1140" t="s">
        <v>28</v>
      </c>
      <c r="G1140">
        <v>9.6</v>
      </c>
      <c r="H1140">
        <v>7.1</v>
      </c>
      <c r="I1140" t="str" cm="1">
        <f t="array" ref="I1140">_xlfn.IFS(G1140&lt;3, "0–2 Years", G1140&lt;6, "3–5 Years", G1140&lt;9, "6–8 Years", G1140&lt;12, "9-11 Years", G1140&gt;=12, "12-14 Years")</f>
        <v>9-11 Years</v>
      </c>
      <c r="J1140">
        <v>3</v>
      </c>
      <c r="K1140" t="s">
        <v>20</v>
      </c>
      <c r="L1140">
        <v>105500</v>
      </c>
      <c r="M1140">
        <v>21700</v>
      </c>
      <c r="N1140">
        <v>127200</v>
      </c>
      <c r="O1140" t="s">
        <v>57</v>
      </c>
      <c r="P1140" s="3">
        <v>42511</v>
      </c>
      <c r="Q1140" t="s">
        <v>28</v>
      </c>
    </row>
    <row r="1141" spans="1:17" x14ac:dyDescent="0.35">
      <c r="A1141" t="s">
        <v>1193</v>
      </c>
      <c r="B1141" t="s">
        <v>16</v>
      </c>
      <c r="C1141">
        <v>41</v>
      </c>
      <c r="D1141" t="s">
        <v>44</v>
      </c>
      <c r="E1141" t="s">
        <v>45</v>
      </c>
      <c r="F1141" t="s">
        <v>19</v>
      </c>
      <c r="G1141">
        <v>5.6</v>
      </c>
      <c r="H1141">
        <v>2.4</v>
      </c>
      <c r="I1141" t="str" cm="1">
        <f t="array" ref="I1141">_xlfn.IFS(G1141&lt;3, "0–2 Years", G1141&lt;6, "3–5 Years", G1141&lt;9, "6–8 Years", G1141&lt;12, "9-11 Years", G1141&gt;=12, "12-14 Years")</f>
        <v>3–5 Years</v>
      </c>
      <c r="J1141">
        <v>4</v>
      </c>
      <c r="K1141" t="s">
        <v>24</v>
      </c>
      <c r="L1141">
        <v>47300</v>
      </c>
      <c r="M1141">
        <v>5700</v>
      </c>
      <c r="N1141">
        <v>53000</v>
      </c>
      <c r="O1141" t="s">
        <v>65</v>
      </c>
      <c r="P1141" s="3">
        <v>43984</v>
      </c>
      <c r="Q1141" t="s">
        <v>19</v>
      </c>
    </row>
    <row r="1142" spans="1:17" x14ac:dyDescent="0.35">
      <c r="A1142" t="s">
        <v>1194</v>
      </c>
      <c r="B1142" t="s">
        <v>23</v>
      </c>
      <c r="C1142">
        <v>50</v>
      </c>
      <c r="D1142" t="s">
        <v>17</v>
      </c>
      <c r="E1142" t="s">
        <v>32</v>
      </c>
      <c r="F1142" t="s">
        <v>62</v>
      </c>
      <c r="G1142">
        <v>11.3</v>
      </c>
      <c r="H1142">
        <v>6.4</v>
      </c>
      <c r="I1142" t="str" cm="1">
        <f t="array" ref="I1142">_xlfn.IFS(G1142&lt;3, "0–2 Years", G1142&lt;6, "3–5 Years", G1142&lt;9, "6–8 Years", G1142&lt;12, "9-11 Years", G1142&gt;=12, "12-14 Years")</f>
        <v>9-11 Years</v>
      </c>
      <c r="J1142">
        <v>5</v>
      </c>
      <c r="K1142" t="s">
        <v>20</v>
      </c>
      <c r="L1142">
        <v>91500</v>
      </c>
      <c r="M1142">
        <v>8500</v>
      </c>
      <c r="N1142">
        <v>100000</v>
      </c>
      <c r="O1142" t="s">
        <v>30</v>
      </c>
      <c r="P1142" s="3">
        <v>41905</v>
      </c>
      <c r="Q1142" t="s">
        <v>62</v>
      </c>
    </row>
    <row r="1143" spans="1:17" x14ac:dyDescent="0.35">
      <c r="A1143" t="s">
        <v>1195</v>
      </c>
      <c r="B1143" t="s">
        <v>16</v>
      </c>
      <c r="C1143">
        <v>35</v>
      </c>
      <c r="D1143" t="s">
        <v>34</v>
      </c>
      <c r="E1143" t="s">
        <v>35</v>
      </c>
      <c r="F1143" t="s">
        <v>36</v>
      </c>
      <c r="G1143">
        <v>2.1</v>
      </c>
      <c r="H1143">
        <v>1.7</v>
      </c>
      <c r="I1143" t="str" cm="1">
        <f t="array" ref="I1143">_xlfn.IFS(G1143&lt;3, "0–2 Years", G1143&lt;6, "3–5 Years", G1143&lt;9, "6–8 Years", G1143&lt;12, "9-11 Years", G1143&gt;=12, "12-14 Years")</f>
        <v>0–2 Years</v>
      </c>
      <c r="J1143">
        <v>3</v>
      </c>
      <c r="K1143" t="s">
        <v>69</v>
      </c>
      <c r="L1143">
        <v>59400</v>
      </c>
      <c r="M1143">
        <v>3000</v>
      </c>
      <c r="N1143">
        <v>62400</v>
      </c>
      <c r="O1143" t="s">
        <v>25</v>
      </c>
      <c r="P1143" s="3">
        <v>45272</v>
      </c>
      <c r="Q1143" t="s">
        <v>36</v>
      </c>
    </row>
    <row r="1144" spans="1:17" x14ac:dyDescent="0.35">
      <c r="A1144" t="s">
        <v>1196</v>
      </c>
      <c r="B1144" t="s">
        <v>16</v>
      </c>
      <c r="C1144">
        <v>37</v>
      </c>
      <c r="D1144" t="s">
        <v>55</v>
      </c>
      <c r="E1144" t="s">
        <v>79</v>
      </c>
      <c r="F1144" t="s">
        <v>28</v>
      </c>
      <c r="G1144">
        <v>1.7</v>
      </c>
      <c r="H1144">
        <v>0.5</v>
      </c>
      <c r="I1144" t="str" cm="1">
        <f t="array" ref="I1144">_xlfn.IFS(G1144&lt;3, "0–2 Years", G1144&lt;6, "3–5 Years", G1144&lt;9, "6–8 Years", G1144&lt;12, "9-11 Years", G1144&gt;=12, "12-14 Years")</f>
        <v>0–2 Years</v>
      </c>
      <c r="J1144">
        <v>3</v>
      </c>
      <c r="K1144" t="s">
        <v>24</v>
      </c>
      <c r="L1144">
        <v>38500</v>
      </c>
      <c r="M1144">
        <v>7400</v>
      </c>
      <c r="N1144">
        <v>45900</v>
      </c>
      <c r="O1144" t="s">
        <v>65</v>
      </c>
      <c r="P1144" s="3">
        <v>45412</v>
      </c>
      <c r="Q1144" t="s">
        <v>28</v>
      </c>
    </row>
    <row r="1145" spans="1:17" x14ac:dyDescent="0.35">
      <c r="A1145" t="s">
        <v>1197</v>
      </c>
      <c r="B1145" t="s">
        <v>16</v>
      </c>
      <c r="C1145" s="7">
        <v>45</v>
      </c>
      <c r="D1145" t="s">
        <v>44</v>
      </c>
      <c r="E1145" t="s">
        <v>76</v>
      </c>
      <c r="F1145" t="s">
        <v>28</v>
      </c>
      <c r="G1145" s="9">
        <v>12.3</v>
      </c>
      <c r="H1145" s="7">
        <v>7.4</v>
      </c>
      <c r="I1145" t="str" cm="1">
        <f t="array" ref="I1145">_xlfn.IFS(G1145&lt;3, "0–2 Years", G1145&lt;6, "3–5 Years", G1145&lt;9, "6–8 Years", G1145&lt;12, "9-11 Years", G1145&gt;=12, "12-14 Years")</f>
        <v>12-14 Years</v>
      </c>
      <c r="J1145" s="7">
        <v>3</v>
      </c>
      <c r="K1145" t="s">
        <v>24</v>
      </c>
      <c r="L1145" s="7">
        <v>57600</v>
      </c>
      <c r="M1145" s="7">
        <v>6000</v>
      </c>
      <c r="N1145" s="7">
        <v>63600</v>
      </c>
      <c r="O1145" t="s">
        <v>25</v>
      </c>
      <c r="P1145" s="3">
        <v>41526</v>
      </c>
      <c r="Q1145" t="s">
        <v>28</v>
      </c>
    </row>
    <row r="1146" spans="1:17" x14ac:dyDescent="0.35">
      <c r="A1146" t="s">
        <v>1198</v>
      </c>
      <c r="B1146" t="s">
        <v>23</v>
      </c>
      <c r="C1146">
        <v>44</v>
      </c>
      <c r="D1146" t="s">
        <v>38</v>
      </c>
      <c r="E1146" t="s">
        <v>112</v>
      </c>
      <c r="F1146" t="s">
        <v>36</v>
      </c>
      <c r="G1146">
        <v>1</v>
      </c>
      <c r="H1146">
        <v>0</v>
      </c>
      <c r="I1146" t="str" cm="1">
        <f t="array" ref="I1146">_xlfn.IFS(G1146&lt;3, "0–2 Years", G1146&lt;6, "3–5 Years", G1146&lt;9, "6–8 Years", G1146&lt;12, "9-11 Years", G1146&gt;=12, "12-14 Years")</f>
        <v>0–2 Years</v>
      </c>
      <c r="J1146">
        <v>4</v>
      </c>
      <c r="K1146" t="s">
        <v>69</v>
      </c>
      <c r="L1146">
        <v>58100</v>
      </c>
      <c r="M1146">
        <v>4100</v>
      </c>
      <c r="N1146">
        <v>62200</v>
      </c>
      <c r="O1146" t="s">
        <v>25</v>
      </c>
      <c r="P1146" s="3">
        <v>45648</v>
      </c>
      <c r="Q1146" t="s">
        <v>36</v>
      </c>
    </row>
    <row r="1147" spans="1:17" x14ac:dyDescent="0.35">
      <c r="A1147" t="s">
        <v>1199</v>
      </c>
      <c r="B1147" t="s">
        <v>16</v>
      </c>
      <c r="C1147">
        <v>41</v>
      </c>
      <c r="D1147" t="s">
        <v>34</v>
      </c>
      <c r="E1147" t="s">
        <v>35</v>
      </c>
      <c r="F1147" t="s">
        <v>28</v>
      </c>
      <c r="G1147">
        <v>11</v>
      </c>
      <c r="H1147">
        <v>8.1</v>
      </c>
      <c r="I1147" t="str" cm="1">
        <f t="array" ref="I1147">_xlfn.IFS(G1147&lt;3, "0–2 Years", G1147&lt;6, "3–5 Years", G1147&lt;9, "6–8 Years", G1147&lt;12, "9-11 Years", G1147&gt;=12, "12-14 Years")</f>
        <v>9-11 Years</v>
      </c>
      <c r="J1147">
        <v>2</v>
      </c>
      <c r="K1147" t="s">
        <v>20</v>
      </c>
      <c r="L1147">
        <v>81800</v>
      </c>
      <c r="M1147">
        <v>4000</v>
      </c>
      <c r="N1147">
        <v>85800</v>
      </c>
      <c r="O1147" t="s">
        <v>30</v>
      </c>
      <c r="P1147" s="3">
        <v>41987</v>
      </c>
      <c r="Q1147" t="s">
        <v>28</v>
      </c>
    </row>
    <row r="1148" spans="1:17" x14ac:dyDescent="0.35">
      <c r="A1148" t="s">
        <v>1200</v>
      </c>
      <c r="B1148" t="s">
        <v>23</v>
      </c>
      <c r="C1148">
        <v>38</v>
      </c>
      <c r="D1148" t="s">
        <v>55</v>
      </c>
      <c r="E1148" t="s">
        <v>79</v>
      </c>
      <c r="F1148" t="s">
        <v>28</v>
      </c>
      <c r="G1148">
        <v>1.7</v>
      </c>
      <c r="H1148">
        <v>1.6</v>
      </c>
      <c r="I1148" t="str" cm="1">
        <f t="array" ref="I1148">_xlfn.IFS(G1148&lt;3, "0–2 Years", G1148&lt;6, "3–5 Years", G1148&lt;9, "6–8 Years", G1148&lt;12, "9-11 Years", G1148&gt;=12, "12-14 Years")</f>
        <v>0–2 Years</v>
      </c>
      <c r="J1148">
        <v>3</v>
      </c>
      <c r="K1148" t="s">
        <v>20</v>
      </c>
      <c r="L1148">
        <v>56300</v>
      </c>
      <c r="M1148">
        <v>10600</v>
      </c>
      <c r="N1148">
        <v>66900</v>
      </c>
      <c r="O1148" t="s">
        <v>25</v>
      </c>
      <c r="P1148" s="3">
        <v>45413</v>
      </c>
      <c r="Q1148" t="s">
        <v>28</v>
      </c>
    </row>
    <row r="1149" spans="1:17" x14ac:dyDescent="0.35">
      <c r="A1149" t="s">
        <v>1201</v>
      </c>
      <c r="B1149" t="s">
        <v>16</v>
      </c>
      <c r="C1149">
        <v>40</v>
      </c>
      <c r="D1149" t="s">
        <v>34</v>
      </c>
      <c r="E1149" t="s">
        <v>35</v>
      </c>
      <c r="F1149" t="s">
        <v>28</v>
      </c>
      <c r="G1149">
        <v>11.2</v>
      </c>
      <c r="H1149">
        <v>6.7</v>
      </c>
      <c r="I1149" t="str" cm="1">
        <f t="array" ref="I1149">_xlfn.IFS(G1149&lt;3, "0–2 Years", G1149&lt;6, "3–5 Years", G1149&lt;9, "6–8 Years", G1149&lt;12, "9-11 Years", G1149&gt;=12, "12-14 Years")</f>
        <v>9-11 Years</v>
      </c>
      <c r="J1149">
        <v>3</v>
      </c>
      <c r="K1149" t="s">
        <v>20</v>
      </c>
      <c r="L1149">
        <v>89200</v>
      </c>
      <c r="M1149">
        <v>6300</v>
      </c>
      <c r="N1149">
        <v>95500</v>
      </c>
      <c r="O1149" t="s">
        <v>30</v>
      </c>
      <c r="P1149" s="3">
        <v>41924</v>
      </c>
      <c r="Q1149" t="s">
        <v>28</v>
      </c>
    </row>
    <row r="1150" spans="1:17" x14ac:dyDescent="0.35">
      <c r="A1150" t="s">
        <v>1202</v>
      </c>
      <c r="B1150" t="s">
        <v>23</v>
      </c>
      <c r="C1150">
        <v>32</v>
      </c>
      <c r="D1150" t="s">
        <v>44</v>
      </c>
      <c r="E1150" t="s">
        <v>51</v>
      </c>
      <c r="F1150" t="s">
        <v>28</v>
      </c>
      <c r="G1150">
        <v>5.3</v>
      </c>
      <c r="H1150">
        <v>2.6</v>
      </c>
      <c r="I1150" t="str" cm="1">
        <f t="array" ref="I1150">_xlfn.IFS(G1150&lt;3, "0–2 Years", G1150&lt;6, "3–5 Years", G1150&lt;9, "6–8 Years", G1150&lt;12, "9-11 Years", G1150&gt;=12, "12-14 Years")</f>
        <v>3–5 Years</v>
      </c>
      <c r="J1150">
        <v>3</v>
      </c>
      <c r="K1150" t="s">
        <v>20</v>
      </c>
      <c r="L1150">
        <v>91800</v>
      </c>
      <c r="M1150">
        <v>8700</v>
      </c>
      <c r="N1150">
        <v>100500</v>
      </c>
      <c r="O1150" t="s">
        <v>30</v>
      </c>
      <c r="P1150" s="3">
        <v>44102</v>
      </c>
      <c r="Q1150" t="s">
        <v>28</v>
      </c>
    </row>
    <row r="1151" spans="1:17" x14ac:dyDescent="0.35">
      <c r="A1151" t="s">
        <v>1203</v>
      </c>
      <c r="B1151" t="s">
        <v>23</v>
      </c>
      <c r="C1151">
        <v>46</v>
      </c>
      <c r="D1151" t="s">
        <v>55</v>
      </c>
      <c r="E1151" t="s">
        <v>79</v>
      </c>
      <c r="F1151" t="s">
        <v>28</v>
      </c>
      <c r="G1151">
        <v>10.6</v>
      </c>
      <c r="H1151">
        <v>6.6</v>
      </c>
      <c r="I1151" t="str" cm="1">
        <f t="array" ref="I1151">_xlfn.IFS(G1151&lt;3, "0–2 Years", G1151&lt;6, "3–5 Years", G1151&lt;9, "6–8 Years", G1151&lt;12, "9-11 Years", G1151&gt;=12, "12-14 Years")</f>
        <v>9-11 Years</v>
      </c>
      <c r="J1151">
        <v>3</v>
      </c>
      <c r="K1151" t="s">
        <v>20</v>
      </c>
      <c r="L1151">
        <v>61000</v>
      </c>
      <c r="M1151">
        <v>9300</v>
      </c>
      <c r="N1151">
        <v>70300</v>
      </c>
      <c r="O1151" t="s">
        <v>25</v>
      </c>
      <c r="P1151" s="3">
        <v>42159</v>
      </c>
      <c r="Q1151" t="s">
        <v>28</v>
      </c>
    </row>
    <row r="1152" spans="1:17" x14ac:dyDescent="0.35">
      <c r="A1152" t="s">
        <v>1204</v>
      </c>
      <c r="B1152" t="s">
        <v>16</v>
      </c>
      <c r="C1152">
        <v>22</v>
      </c>
      <c r="D1152" t="s">
        <v>55</v>
      </c>
      <c r="E1152" t="s">
        <v>79</v>
      </c>
      <c r="F1152" t="s">
        <v>36</v>
      </c>
      <c r="G1152">
        <v>1.2</v>
      </c>
      <c r="H1152">
        <v>0.3</v>
      </c>
      <c r="I1152" t="str" cm="1">
        <f t="array" ref="I1152">_xlfn.IFS(G1152&lt;3, "0–2 Years", G1152&lt;6, "3–5 Years", G1152&lt;9, "6–8 Years", G1152&lt;12, "9-11 Years", G1152&gt;=12, "12-14 Years")</f>
        <v>0–2 Years</v>
      </c>
      <c r="J1152">
        <v>3</v>
      </c>
      <c r="K1152" t="s">
        <v>20</v>
      </c>
      <c r="L1152">
        <v>54300</v>
      </c>
      <c r="M1152">
        <v>7200</v>
      </c>
      <c r="N1152">
        <v>61500</v>
      </c>
      <c r="O1152" t="s">
        <v>25</v>
      </c>
      <c r="P1152" s="3">
        <v>45598</v>
      </c>
      <c r="Q1152" t="s">
        <v>36</v>
      </c>
    </row>
    <row r="1153" spans="1:17" x14ac:dyDescent="0.35">
      <c r="A1153" t="s">
        <v>1205</v>
      </c>
      <c r="B1153" t="s">
        <v>23</v>
      </c>
      <c r="C1153">
        <v>28</v>
      </c>
      <c r="D1153" t="s">
        <v>41</v>
      </c>
      <c r="E1153" t="s">
        <v>73</v>
      </c>
      <c r="F1153" t="s">
        <v>19</v>
      </c>
      <c r="G1153">
        <v>7.1</v>
      </c>
      <c r="H1153">
        <v>3.1</v>
      </c>
      <c r="I1153" t="str" cm="1">
        <f t="array" ref="I1153">_xlfn.IFS(G1153&lt;3, "0–2 Years", G1153&lt;6, "3–5 Years", G1153&lt;9, "6–8 Years", G1153&lt;12, "9-11 Years", G1153&gt;=12, "12-14 Years")</f>
        <v>6–8 Years</v>
      </c>
      <c r="J1153">
        <v>3</v>
      </c>
      <c r="K1153" t="s">
        <v>20</v>
      </c>
      <c r="L1153">
        <v>108700</v>
      </c>
      <c r="M1153">
        <v>5500</v>
      </c>
      <c r="N1153">
        <v>114200</v>
      </c>
      <c r="O1153" t="s">
        <v>57</v>
      </c>
      <c r="P1153" s="3">
        <v>43435</v>
      </c>
      <c r="Q1153" t="s">
        <v>19</v>
      </c>
    </row>
    <row r="1154" spans="1:17" x14ac:dyDescent="0.35">
      <c r="A1154" t="s">
        <v>1206</v>
      </c>
      <c r="B1154" t="s">
        <v>23</v>
      </c>
      <c r="C1154">
        <v>35</v>
      </c>
      <c r="D1154" t="s">
        <v>17</v>
      </c>
      <c r="E1154" t="s">
        <v>32</v>
      </c>
      <c r="F1154" t="s">
        <v>28</v>
      </c>
      <c r="G1154">
        <v>7.1</v>
      </c>
      <c r="H1154">
        <v>5.4</v>
      </c>
      <c r="I1154" t="str" cm="1">
        <f t="array" ref="I1154">_xlfn.IFS(G1154&lt;3, "0–2 Years", G1154&lt;6, "3–5 Years", G1154&lt;9, "6–8 Years", G1154&lt;12, "9-11 Years", G1154&gt;=12, "12-14 Years")</f>
        <v>6–8 Years</v>
      </c>
      <c r="J1154">
        <v>3</v>
      </c>
      <c r="K1154" t="s">
        <v>69</v>
      </c>
      <c r="L1154">
        <v>58400</v>
      </c>
      <c r="M1154">
        <v>3300</v>
      </c>
      <c r="N1154">
        <v>61700</v>
      </c>
      <c r="O1154" t="s">
        <v>25</v>
      </c>
      <c r="P1154" s="3">
        <v>43440</v>
      </c>
      <c r="Q1154" t="s">
        <v>28</v>
      </c>
    </row>
    <row r="1155" spans="1:17" x14ac:dyDescent="0.35">
      <c r="A1155" t="s">
        <v>1207</v>
      </c>
      <c r="B1155" t="s">
        <v>16</v>
      </c>
      <c r="C1155">
        <v>42</v>
      </c>
      <c r="D1155" t="s">
        <v>44</v>
      </c>
      <c r="E1155" t="s">
        <v>81</v>
      </c>
      <c r="F1155" t="s">
        <v>28</v>
      </c>
      <c r="G1155">
        <v>11.9</v>
      </c>
      <c r="H1155">
        <v>7.7</v>
      </c>
      <c r="I1155" t="str" cm="1">
        <f t="array" ref="I1155">_xlfn.IFS(G1155&lt;3, "0–2 Years", G1155&lt;6, "3–5 Years", G1155&lt;9, "6–8 Years", G1155&lt;12, "9-11 Years", G1155&gt;=12, "12-14 Years")</f>
        <v>9-11 Years</v>
      </c>
      <c r="J1155">
        <v>3</v>
      </c>
      <c r="K1155" t="s">
        <v>20</v>
      </c>
      <c r="L1155">
        <v>88200</v>
      </c>
      <c r="M1155">
        <v>11300</v>
      </c>
      <c r="N1155">
        <v>99500</v>
      </c>
      <c r="O1155" t="s">
        <v>30</v>
      </c>
      <c r="P1155" s="3">
        <v>41665</v>
      </c>
      <c r="Q1155" t="s">
        <v>28</v>
      </c>
    </row>
    <row r="1156" spans="1:17" x14ac:dyDescent="0.35">
      <c r="A1156" t="s">
        <v>1208</v>
      </c>
      <c r="B1156" t="s">
        <v>23</v>
      </c>
      <c r="C1156">
        <v>37</v>
      </c>
      <c r="D1156" t="s">
        <v>55</v>
      </c>
      <c r="E1156" t="s">
        <v>56</v>
      </c>
      <c r="F1156" t="s">
        <v>36</v>
      </c>
      <c r="G1156">
        <v>7.4</v>
      </c>
      <c r="H1156">
        <v>4.3</v>
      </c>
      <c r="I1156" t="str" cm="1">
        <f t="array" ref="I1156">_xlfn.IFS(G1156&lt;3, "0–2 Years", G1156&lt;6, "3–5 Years", G1156&lt;9, "6–8 Years", G1156&lt;12, "9-11 Years", G1156&gt;=12, "12-14 Years")</f>
        <v>6–8 Years</v>
      </c>
      <c r="J1156">
        <v>4</v>
      </c>
      <c r="K1156" t="s">
        <v>20</v>
      </c>
      <c r="L1156">
        <v>112200</v>
      </c>
      <c r="M1156">
        <v>21800</v>
      </c>
      <c r="N1156">
        <v>134000</v>
      </c>
      <c r="O1156" t="s">
        <v>57</v>
      </c>
      <c r="P1156" s="3">
        <v>43317</v>
      </c>
      <c r="Q1156" t="s">
        <v>36</v>
      </c>
    </row>
    <row r="1157" spans="1:17" x14ac:dyDescent="0.35">
      <c r="A1157" t="s">
        <v>1209</v>
      </c>
      <c r="B1157" t="s">
        <v>23</v>
      </c>
      <c r="C1157">
        <v>34</v>
      </c>
      <c r="D1157" t="s">
        <v>38</v>
      </c>
      <c r="E1157" t="s">
        <v>112</v>
      </c>
      <c r="F1157" t="s">
        <v>28</v>
      </c>
      <c r="G1157">
        <v>11.7</v>
      </c>
      <c r="H1157">
        <v>9</v>
      </c>
      <c r="I1157" t="str" cm="1">
        <f t="array" ref="I1157">_xlfn.IFS(G1157&lt;3, "0–2 Years", G1157&lt;6, "3–5 Years", G1157&lt;9, "6–8 Years", G1157&lt;12, "9-11 Years", G1157&gt;=12, "12-14 Years")</f>
        <v>9-11 Years</v>
      </c>
      <c r="J1157">
        <v>4</v>
      </c>
      <c r="K1157" t="s">
        <v>69</v>
      </c>
      <c r="L1157">
        <v>55600</v>
      </c>
      <c r="M1157">
        <v>4500</v>
      </c>
      <c r="N1157">
        <v>60100</v>
      </c>
      <c r="O1157" t="s">
        <v>25</v>
      </c>
      <c r="P1157" s="3">
        <v>41756</v>
      </c>
      <c r="Q1157" t="s">
        <v>28</v>
      </c>
    </row>
    <row r="1158" spans="1:17" x14ac:dyDescent="0.35">
      <c r="A1158" t="s">
        <v>1210</v>
      </c>
      <c r="B1158" t="s">
        <v>23</v>
      </c>
      <c r="C1158">
        <v>33</v>
      </c>
      <c r="D1158" t="s">
        <v>41</v>
      </c>
      <c r="E1158" t="s">
        <v>42</v>
      </c>
      <c r="F1158" t="s">
        <v>36</v>
      </c>
      <c r="G1158">
        <v>6</v>
      </c>
      <c r="H1158">
        <v>3.5</v>
      </c>
      <c r="I1158" t="str" cm="1">
        <f t="array" ref="I1158">_xlfn.IFS(G1158&lt;3, "0–2 Years", G1158&lt;6, "3–5 Years", G1158&lt;9, "6–8 Years", G1158&lt;12, "9-11 Years", G1158&gt;=12, "12-14 Years")</f>
        <v>6–8 Years</v>
      </c>
      <c r="J1158">
        <v>3</v>
      </c>
      <c r="K1158" t="s">
        <v>20</v>
      </c>
      <c r="L1158">
        <v>87400</v>
      </c>
      <c r="M1158">
        <v>6400</v>
      </c>
      <c r="N1158">
        <v>93800</v>
      </c>
      <c r="O1158" t="s">
        <v>30</v>
      </c>
      <c r="P1158" s="3">
        <v>43828</v>
      </c>
      <c r="Q1158" t="s">
        <v>36</v>
      </c>
    </row>
    <row r="1159" spans="1:17" x14ac:dyDescent="0.35">
      <c r="A1159" t="s">
        <v>1211</v>
      </c>
      <c r="B1159" t="s">
        <v>16</v>
      </c>
      <c r="C1159" s="7">
        <v>30</v>
      </c>
      <c r="D1159" t="s">
        <v>44</v>
      </c>
      <c r="E1159" t="s">
        <v>76</v>
      </c>
      <c r="F1159" t="s">
        <v>28</v>
      </c>
      <c r="G1159" s="9">
        <v>12.4</v>
      </c>
      <c r="H1159" s="7">
        <v>8.1</v>
      </c>
      <c r="I1159" t="str" cm="1">
        <f t="array" ref="I1159">_xlfn.IFS(G1159&lt;3, "0–2 Years", G1159&lt;6, "3–5 Years", G1159&lt;9, "6–8 Years", G1159&lt;12, "9-11 Years", G1159&gt;=12, "12-14 Years")</f>
        <v>12-14 Years</v>
      </c>
      <c r="J1159" s="7">
        <v>3</v>
      </c>
      <c r="K1159" t="s">
        <v>20</v>
      </c>
      <c r="L1159" s="7">
        <v>112900</v>
      </c>
      <c r="M1159" s="7">
        <v>11600</v>
      </c>
      <c r="N1159" s="7">
        <v>124500</v>
      </c>
      <c r="O1159" t="s">
        <v>57</v>
      </c>
      <c r="P1159" s="3">
        <v>41484</v>
      </c>
      <c r="Q1159" t="s">
        <v>28</v>
      </c>
    </row>
    <row r="1160" spans="1:17" x14ac:dyDescent="0.35">
      <c r="A1160" t="s">
        <v>1212</v>
      </c>
      <c r="B1160" t="s">
        <v>16</v>
      </c>
      <c r="C1160">
        <v>48</v>
      </c>
      <c r="D1160" t="s">
        <v>44</v>
      </c>
      <c r="E1160" t="s">
        <v>81</v>
      </c>
      <c r="F1160" t="s">
        <v>19</v>
      </c>
      <c r="G1160">
        <v>5.5</v>
      </c>
      <c r="H1160">
        <v>0.9</v>
      </c>
      <c r="I1160" t="str" cm="1">
        <f t="array" ref="I1160">_xlfn.IFS(G1160&lt;3, "0–2 Years", G1160&lt;6, "3–5 Years", G1160&lt;9, "6–8 Years", G1160&lt;12, "9-11 Years", G1160&gt;=12, "12-14 Years")</f>
        <v>3–5 Years</v>
      </c>
      <c r="J1160">
        <v>5</v>
      </c>
      <c r="K1160" t="s">
        <v>20</v>
      </c>
      <c r="L1160">
        <v>106200</v>
      </c>
      <c r="M1160">
        <v>15400</v>
      </c>
      <c r="N1160">
        <v>121600</v>
      </c>
      <c r="O1160" t="s">
        <v>57</v>
      </c>
      <c r="P1160" s="3">
        <v>44001</v>
      </c>
      <c r="Q1160" t="s">
        <v>19</v>
      </c>
    </row>
    <row r="1161" spans="1:17" x14ac:dyDescent="0.35">
      <c r="A1161" t="s">
        <v>1213</v>
      </c>
      <c r="B1161" t="s">
        <v>23</v>
      </c>
      <c r="C1161" s="7">
        <v>29</v>
      </c>
      <c r="D1161" t="s">
        <v>38</v>
      </c>
      <c r="E1161" t="s">
        <v>39</v>
      </c>
      <c r="F1161" t="s">
        <v>62</v>
      </c>
      <c r="G1161" s="9">
        <v>12.5</v>
      </c>
      <c r="H1161" s="7">
        <v>9.1</v>
      </c>
      <c r="I1161" t="str" cm="1">
        <f t="array" ref="I1161">_xlfn.IFS(G1161&lt;3, "0–2 Years", G1161&lt;6, "3–5 Years", G1161&lt;9, "6–8 Years", G1161&lt;12, "9-11 Years", G1161&gt;=12, "12-14 Years")</f>
        <v>12-14 Years</v>
      </c>
      <c r="J1161" s="7">
        <v>4</v>
      </c>
      <c r="K1161" t="s">
        <v>20</v>
      </c>
      <c r="L1161" s="7">
        <v>95100</v>
      </c>
      <c r="M1161" s="7">
        <v>7300</v>
      </c>
      <c r="N1161" s="7">
        <v>102400</v>
      </c>
      <c r="O1161" t="s">
        <v>30</v>
      </c>
      <c r="P1161" s="3">
        <v>41443</v>
      </c>
      <c r="Q1161" t="s">
        <v>62</v>
      </c>
    </row>
    <row r="1162" spans="1:17" x14ac:dyDescent="0.35">
      <c r="A1162" t="s">
        <v>1214</v>
      </c>
      <c r="B1162" t="s">
        <v>16</v>
      </c>
      <c r="C1162">
        <v>21</v>
      </c>
      <c r="D1162" t="s">
        <v>44</v>
      </c>
      <c r="E1162" t="s">
        <v>81</v>
      </c>
      <c r="F1162" t="s">
        <v>36</v>
      </c>
      <c r="G1162">
        <v>5.3</v>
      </c>
      <c r="H1162">
        <v>2.2999999999999998</v>
      </c>
      <c r="I1162" t="str" cm="1">
        <f t="array" ref="I1162">_xlfn.IFS(G1162&lt;3, "0–2 Years", G1162&lt;6, "3–5 Years", G1162&lt;9, "6–8 Years", G1162&lt;12, "9-11 Years", G1162&gt;=12, "12-14 Years")</f>
        <v>3–5 Years</v>
      </c>
      <c r="J1162">
        <v>2</v>
      </c>
      <c r="K1162" t="s">
        <v>24</v>
      </c>
      <c r="L1162">
        <v>63000</v>
      </c>
      <c r="M1162">
        <v>4600</v>
      </c>
      <c r="N1162">
        <v>67600</v>
      </c>
      <c r="O1162" t="s">
        <v>25</v>
      </c>
      <c r="P1162" s="3">
        <v>44081</v>
      </c>
      <c r="Q1162" t="s">
        <v>36</v>
      </c>
    </row>
    <row r="1163" spans="1:17" x14ac:dyDescent="0.35">
      <c r="A1163" t="s">
        <v>1215</v>
      </c>
      <c r="B1163" t="s">
        <v>16</v>
      </c>
      <c r="C1163">
        <v>30</v>
      </c>
      <c r="D1163" t="s">
        <v>41</v>
      </c>
      <c r="E1163" t="s">
        <v>42</v>
      </c>
      <c r="F1163" t="s">
        <v>28</v>
      </c>
      <c r="G1163">
        <v>8.3000000000000007</v>
      </c>
      <c r="H1163">
        <v>5.3</v>
      </c>
      <c r="I1163" t="str" cm="1">
        <f t="array" ref="I1163">_xlfn.IFS(G1163&lt;3, "0–2 Years", G1163&lt;6, "3–5 Years", G1163&lt;9, "6–8 Years", G1163&lt;12, "9-11 Years", G1163&gt;=12, "12-14 Years")</f>
        <v>6–8 Years</v>
      </c>
      <c r="J1163">
        <v>1</v>
      </c>
      <c r="K1163" t="s">
        <v>20</v>
      </c>
      <c r="L1163">
        <v>75600</v>
      </c>
      <c r="M1163">
        <v>5000</v>
      </c>
      <c r="N1163">
        <v>80600</v>
      </c>
      <c r="O1163" t="s">
        <v>21</v>
      </c>
      <c r="P1163" s="3">
        <v>42995</v>
      </c>
      <c r="Q1163" t="s">
        <v>28</v>
      </c>
    </row>
    <row r="1164" spans="1:17" x14ac:dyDescent="0.35">
      <c r="A1164" t="s">
        <v>1216</v>
      </c>
      <c r="B1164" t="s">
        <v>23</v>
      </c>
      <c r="C1164">
        <v>27</v>
      </c>
      <c r="D1164" t="s">
        <v>44</v>
      </c>
      <c r="E1164" t="s">
        <v>45</v>
      </c>
      <c r="F1164" t="s">
        <v>28</v>
      </c>
      <c r="G1164">
        <v>6.1</v>
      </c>
      <c r="H1164">
        <v>1.7</v>
      </c>
      <c r="I1164" t="str" cm="1">
        <f t="array" ref="I1164">_xlfn.IFS(G1164&lt;3, "0–2 Years", G1164&lt;6, "3–5 Years", G1164&lt;9, "6–8 Years", G1164&lt;12, "9-11 Years", G1164&gt;=12, "12-14 Years")</f>
        <v>6–8 Years</v>
      </c>
      <c r="J1164">
        <v>3</v>
      </c>
      <c r="K1164" t="s">
        <v>20</v>
      </c>
      <c r="L1164">
        <v>62400</v>
      </c>
      <c r="M1164">
        <v>8100</v>
      </c>
      <c r="N1164">
        <v>70500</v>
      </c>
      <c r="O1164" t="s">
        <v>25</v>
      </c>
      <c r="P1164" s="3">
        <v>43802</v>
      </c>
      <c r="Q1164" t="s">
        <v>28</v>
      </c>
    </row>
    <row r="1165" spans="1:17" x14ac:dyDescent="0.35">
      <c r="A1165" t="s">
        <v>1217</v>
      </c>
      <c r="B1165" t="s">
        <v>23</v>
      </c>
      <c r="C1165">
        <v>43</v>
      </c>
      <c r="D1165" t="s">
        <v>44</v>
      </c>
      <c r="E1165" t="s">
        <v>45</v>
      </c>
      <c r="F1165" t="s">
        <v>28</v>
      </c>
      <c r="G1165">
        <v>11.5</v>
      </c>
      <c r="H1165">
        <v>7.6</v>
      </c>
      <c r="I1165" t="str" cm="1">
        <f t="array" ref="I1165">_xlfn.IFS(G1165&lt;3, "0–2 Years", G1165&lt;6, "3–5 Years", G1165&lt;9, "6–8 Years", G1165&lt;12, "9-11 Years", G1165&gt;=12, "12-14 Years")</f>
        <v>9-11 Years</v>
      </c>
      <c r="J1165">
        <v>4</v>
      </c>
      <c r="K1165" t="s">
        <v>69</v>
      </c>
      <c r="L1165">
        <v>71500</v>
      </c>
      <c r="M1165">
        <v>5100</v>
      </c>
      <c r="N1165">
        <v>76600</v>
      </c>
      <c r="O1165" t="s">
        <v>21</v>
      </c>
      <c r="P1165" s="3">
        <v>41812</v>
      </c>
      <c r="Q1165" t="s">
        <v>28</v>
      </c>
    </row>
    <row r="1166" spans="1:17" x14ac:dyDescent="0.35">
      <c r="A1166" t="s">
        <v>1218</v>
      </c>
      <c r="B1166" t="s">
        <v>23</v>
      </c>
      <c r="C1166">
        <v>28</v>
      </c>
      <c r="D1166" t="s">
        <v>34</v>
      </c>
      <c r="E1166" t="s">
        <v>35</v>
      </c>
      <c r="F1166" t="s">
        <v>36</v>
      </c>
      <c r="G1166">
        <v>9.1999999999999993</v>
      </c>
      <c r="H1166">
        <v>6.4</v>
      </c>
      <c r="I1166" t="str" cm="1">
        <f t="array" ref="I1166">_xlfn.IFS(G1166&lt;3, "0–2 Years", G1166&lt;6, "3–5 Years", G1166&lt;9, "6–8 Years", G1166&lt;12, "9-11 Years", G1166&gt;=12, "12-14 Years")</f>
        <v>9-11 Years</v>
      </c>
      <c r="J1166">
        <v>3</v>
      </c>
      <c r="K1166" t="s">
        <v>20</v>
      </c>
      <c r="L1166">
        <v>78700</v>
      </c>
      <c r="M1166">
        <v>3900</v>
      </c>
      <c r="N1166">
        <v>82600</v>
      </c>
      <c r="O1166" t="s">
        <v>21</v>
      </c>
      <c r="P1166" s="3">
        <v>42678</v>
      </c>
      <c r="Q1166" t="s">
        <v>36</v>
      </c>
    </row>
    <row r="1167" spans="1:17" x14ac:dyDescent="0.35">
      <c r="A1167" t="s">
        <v>1219</v>
      </c>
      <c r="B1167" t="s">
        <v>16</v>
      </c>
      <c r="C1167">
        <v>44</v>
      </c>
      <c r="D1167" t="s">
        <v>55</v>
      </c>
      <c r="E1167" t="s">
        <v>92</v>
      </c>
      <c r="F1167" t="s">
        <v>36</v>
      </c>
      <c r="G1167">
        <v>11.1</v>
      </c>
      <c r="H1167">
        <v>7.9</v>
      </c>
      <c r="I1167" t="str" cm="1">
        <f t="array" ref="I1167">_xlfn.IFS(G1167&lt;3, "0–2 Years", G1167&lt;6, "3–5 Years", G1167&lt;9, "6–8 Years", G1167&lt;12, "9-11 Years", G1167&gt;=12, "12-14 Years")</f>
        <v>9-11 Years</v>
      </c>
      <c r="J1167">
        <v>4</v>
      </c>
      <c r="K1167" t="s">
        <v>20</v>
      </c>
      <c r="L1167">
        <v>113500</v>
      </c>
      <c r="M1167">
        <v>14600</v>
      </c>
      <c r="N1167">
        <v>128100</v>
      </c>
      <c r="O1167" t="s">
        <v>57</v>
      </c>
      <c r="P1167" s="3">
        <v>41984</v>
      </c>
      <c r="Q1167" t="s">
        <v>36</v>
      </c>
    </row>
    <row r="1168" spans="1:17" x14ac:dyDescent="0.35">
      <c r="A1168" t="s">
        <v>1220</v>
      </c>
      <c r="B1168" t="s">
        <v>16</v>
      </c>
      <c r="C1168">
        <v>39</v>
      </c>
      <c r="D1168" t="s">
        <v>17</v>
      </c>
      <c r="E1168" t="s">
        <v>27</v>
      </c>
      <c r="F1168" t="s">
        <v>36</v>
      </c>
      <c r="G1168">
        <v>8.3000000000000007</v>
      </c>
      <c r="H1168">
        <v>4</v>
      </c>
      <c r="I1168" t="str" cm="1">
        <f t="array" ref="I1168">_xlfn.IFS(G1168&lt;3, "0–2 Years", G1168&lt;6, "3–5 Years", G1168&lt;9, "6–8 Years", G1168&lt;12, "9-11 Years", G1168&gt;=12, "12-14 Years")</f>
        <v>6–8 Years</v>
      </c>
      <c r="J1168">
        <v>3</v>
      </c>
      <c r="K1168" t="s">
        <v>20</v>
      </c>
      <c r="L1168">
        <v>82500</v>
      </c>
      <c r="M1168">
        <v>4600</v>
      </c>
      <c r="N1168">
        <v>87100</v>
      </c>
      <c r="O1168" t="s">
        <v>30</v>
      </c>
      <c r="P1168" s="3">
        <v>43003</v>
      </c>
      <c r="Q1168" t="s">
        <v>36</v>
      </c>
    </row>
    <row r="1169" spans="1:17" x14ac:dyDescent="0.35">
      <c r="A1169" t="s">
        <v>1221</v>
      </c>
      <c r="B1169" t="s">
        <v>23</v>
      </c>
      <c r="C1169" s="7">
        <v>26</v>
      </c>
      <c r="D1169" t="s">
        <v>55</v>
      </c>
      <c r="E1169" t="s">
        <v>56</v>
      </c>
      <c r="F1169" t="s">
        <v>19</v>
      </c>
      <c r="G1169" s="9">
        <v>13.3</v>
      </c>
      <c r="H1169" s="7">
        <v>8.5</v>
      </c>
      <c r="I1169" t="str" cm="1">
        <f t="array" ref="I1169">_xlfn.IFS(G1169&lt;3, "0–2 Years", G1169&lt;6, "3–5 Years", G1169&lt;9, "6–8 Years", G1169&lt;12, "9-11 Years", G1169&gt;=12, "12-14 Years")</f>
        <v>12-14 Years</v>
      </c>
      <c r="J1169" s="7">
        <v>3</v>
      </c>
      <c r="K1169" t="s">
        <v>24</v>
      </c>
      <c r="L1169" s="7">
        <v>60700</v>
      </c>
      <c r="M1169" s="7">
        <v>11100</v>
      </c>
      <c r="N1169" s="7">
        <v>71800</v>
      </c>
      <c r="O1169" t="s">
        <v>25</v>
      </c>
      <c r="P1169" s="3">
        <v>41174</v>
      </c>
      <c r="Q1169" t="s">
        <v>19</v>
      </c>
    </row>
    <row r="1170" spans="1:17" x14ac:dyDescent="0.35">
      <c r="A1170" t="s">
        <v>1222</v>
      </c>
      <c r="B1170" t="s">
        <v>16</v>
      </c>
      <c r="C1170">
        <v>31</v>
      </c>
      <c r="D1170" t="s">
        <v>41</v>
      </c>
      <c r="E1170" t="s">
        <v>73</v>
      </c>
      <c r="F1170" t="s">
        <v>28</v>
      </c>
      <c r="G1170">
        <v>6.3</v>
      </c>
      <c r="H1170">
        <v>1.9</v>
      </c>
      <c r="I1170" t="str" cm="1">
        <f t="array" ref="I1170">_xlfn.IFS(G1170&lt;3, "0–2 Years", G1170&lt;6, "3–5 Years", G1170&lt;9, "6–8 Years", G1170&lt;12, "9-11 Years", G1170&gt;=12, "12-14 Years")</f>
        <v>6–8 Years</v>
      </c>
      <c r="J1170">
        <v>5</v>
      </c>
      <c r="K1170" t="s">
        <v>20</v>
      </c>
      <c r="L1170">
        <v>101000</v>
      </c>
      <c r="M1170">
        <v>8700</v>
      </c>
      <c r="N1170">
        <v>109700</v>
      </c>
      <c r="O1170" t="s">
        <v>57</v>
      </c>
      <c r="P1170" s="3">
        <v>43735</v>
      </c>
      <c r="Q1170" t="s">
        <v>28</v>
      </c>
    </row>
    <row r="1171" spans="1:17" x14ac:dyDescent="0.35">
      <c r="A1171" t="s">
        <v>1223</v>
      </c>
      <c r="B1171" t="s">
        <v>16</v>
      </c>
      <c r="C1171">
        <v>35</v>
      </c>
      <c r="D1171" t="s">
        <v>17</v>
      </c>
      <c r="E1171" t="s">
        <v>18</v>
      </c>
      <c r="F1171" t="s">
        <v>28</v>
      </c>
      <c r="G1171">
        <v>3.3</v>
      </c>
      <c r="H1171">
        <v>0</v>
      </c>
      <c r="I1171" t="str" cm="1">
        <f t="array" ref="I1171">_xlfn.IFS(G1171&lt;3, "0–2 Years", G1171&lt;6, "3–5 Years", G1171&lt;9, "6–8 Years", G1171&lt;12, "9-11 Years", G1171&gt;=12, "12-14 Years")</f>
        <v>3–5 Years</v>
      </c>
      <c r="J1171">
        <v>5</v>
      </c>
      <c r="K1171" t="s">
        <v>24</v>
      </c>
      <c r="L1171">
        <v>52300</v>
      </c>
      <c r="M1171">
        <v>3200</v>
      </c>
      <c r="N1171">
        <v>55500</v>
      </c>
      <c r="O1171" t="s">
        <v>25</v>
      </c>
      <c r="P1171" s="3">
        <v>44822</v>
      </c>
      <c r="Q1171" t="s">
        <v>28</v>
      </c>
    </row>
    <row r="1172" spans="1:17" x14ac:dyDescent="0.35">
      <c r="A1172" t="s">
        <v>1224</v>
      </c>
      <c r="B1172" t="s">
        <v>16</v>
      </c>
      <c r="C1172">
        <v>27</v>
      </c>
      <c r="D1172" t="s">
        <v>34</v>
      </c>
      <c r="E1172" t="s">
        <v>35</v>
      </c>
      <c r="F1172" t="s">
        <v>36</v>
      </c>
      <c r="G1172">
        <v>6.9</v>
      </c>
      <c r="H1172">
        <v>5.3</v>
      </c>
      <c r="I1172" t="str" cm="1">
        <f t="array" ref="I1172">_xlfn.IFS(G1172&lt;3, "0–2 Years", G1172&lt;6, "3–5 Years", G1172&lt;9, "6–8 Years", G1172&lt;12, "9-11 Years", G1172&gt;=12, "12-14 Years")</f>
        <v>6–8 Years</v>
      </c>
      <c r="J1172">
        <v>3</v>
      </c>
      <c r="K1172" t="s">
        <v>20</v>
      </c>
      <c r="L1172">
        <v>90000</v>
      </c>
      <c r="M1172">
        <v>4600</v>
      </c>
      <c r="N1172">
        <v>94600</v>
      </c>
      <c r="O1172" t="s">
        <v>30</v>
      </c>
      <c r="P1172" s="3">
        <v>43508</v>
      </c>
      <c r="Q1172" t="s">
        <v>36</v>
      </c>
    </row>
    <row r="1173" spans="1:17" x14ac:dyDescent="0.35">
      <c r="A1173" t="s">
        <v>1225</v>
      </c>
      <c r="B1173" t="s">
        <v>23</v>
      </c>
      <c r="C1173" s="7">
        <v>45</v>
      </c>
      <c r="D1173" t="s">
        <v>34</v>
      </c>
      <c r="E1173" t="s">
        <v>47</v>
      </c>
      <c r="F1173" t="s">
        <v>28</v>
      </c>
      <c r="G1173" s="9">
        <v>12.3</v>
      </c>
      <c r="H1173" s="7">
        <v>10.4</v>
      </c>
      <c r="I1173" t="str" cm="1">
        <f t="array" ref="I1173">_xlfn.IFS(G1173&lt;3, "0–2 Years", G1173&lt;6, "3–5 Years", G1173&lt;9, "6–8 Years", G1173&lt;12, "9-11 Years", G1173&gt;=12, "12-14 Years")</f>
        <v>12-14 Years</v>
      </c>
      <c r="J1173" s="7">
        <v>3</v>
      </c>
      <c r="K1173" t="s">
        <v>20</v>
      </c>
      <c r="L1173" s="7">
        <v>85000</v>
      </c>
      <c r="M1173" s="7">
        <v>3600</v>
      </c>
      <c r="N1173" s="7">
        <v>88600</v>
      </c>
      <c r="O1173" t="s">
        <v>30</v>
      </c>
      <c r="P1173" s="3">
        <v>41524</v>
      </c>
      <c r="Q1173" t="s">
        <v>28</v>
      </c>
    </row>
    <row r="1174" spans="1:17" x14ac:dyDescent="0.35">
      <c r="A1174" t="s">
        <v>1226</v>
      </c>
      <c r="B1174" t="s">
        <v>16</v>
      </c>
      <c r="C1174">
        <v>36</v>
      </c>
      <c r="D1174" t="s">
        <v>34</v>
      </c>
      <c r="E1174" t="s">
        <v>35</v>
      </c>
      <c r="F1174" t="s">
        <v>28</v>
      </c>
      <c r="G1174">
        <v>1</v>
      </c>
      <c r="H1174">
        <v>1</v>
      </c>
      <c r="I1174" t="str" cm="1">
        <f t="array" ref="I1174">_xlfn.IFS(G1174&lt;3, "0–2 Years", G1174&lt;6, "3–5 Years", G1174&lt;9, "6–8 Years", G1174&lt;12, "9-11 Years", G1174&gt;=12, "12-14 Years")</f>
        <v>0–2 Years</v>
      </c>
      <c r="J1174">
        <v>3</v>
      </c>
      <c r="K1174" t="s">
        <v>20</v>
      </c>
      <c r="L1174">
        <v>66600</v>
      </c>
      <c r="M1174">
        <v>7400</v>
      </c>
      <c r="N1174">
        <v>74000</v>
      </c>
      <c r="O1174" t="s">
        <v>21</v>
      </c>
      <c r="P1174" s="3">
        <v>45640</v>
      </c>
      <c r="Q1174" t="s">
        <v>28</v>
      </c>
    </row>
    <row r="1175" spans="1:17" x14ac:dyDescent="0.35">
      <c r="A1175" t="s">
        <v>1227</v>
      </c>
      <c r="B1175" t="s">
        <v>23</v>
      </c>
      <c r="C1175">
        <v>22</v>
      </c>
      <c r="D1175" t="s">
        <v>55</v>
      </c>
      <c r="E1175" t="s">
        <v>92</v>
      </c>
      <c r="F1175" t="s">
        <v>28</v>
      </c>
      <c r="G1175">
        <v>2.4</v>
      </c>
      <c r="H1175">
        <v>0.7</v>
      </c>
      <c r="I1175" t="str" cm="1">
        <f t="array" ref="I1175">_xlfn.IFS(G1175&lt;3, "0–2 Years", G1175&lt;6, "3–5 Years", G1175&lt;9, "6–8 Years", G1175&lt;12, "9-11 Years", G1175&gt;=12, "12-14 Years")</f>
        <v>0–2 Years</v>
      </c>
      <c r="J1175">
        <v>3</v>
      </c>
      <c r="K1175" t="s">
        <v>20</v>
      </c>
      <c r="L1175">
        <v>93100</v>
      </c>
      <c r="M1175">
        <v>16000</v>
      </c>
      <c r="N1175">
        <v>109100</v>
      </c>
      <c r="O1175" t="s">
        <v>30</v>
      </c>
      <c r="P1175" s="3">
        <v>45152</v>
      </c>
      <c r="Q1175" t="s">
        <v>28</v>
      </c>
    </row>
    <row r="1176" spans="1:17" x14ac:dyDescent="0.35">
      <c r="A1176" t="s">
        <v>1228</v>
      </c>
      <c r="B1176" t="s">
        <v>16</v>
      </c>
      <c r="C1176">
        <v>44</v>
      </c>
      <c r="D1176" t="s">
        <v>38</v>
      </c>
      <c r="E1176" t="s">
        <v>112</v>
      </c>
      <c r="F1176" t="s">
        <v>19</v>
      </c>
      <c r="G1176">
        <v>10.9</v>
      </c>
      <c r="H1176">
        <v>7.2</v>
      </c>
      <c r="I1176" t="str" cm="1">
        <f t="array" ref="I1176">_xlfn.IFS(G1176&lt;3, "0–2 Years", G1176&lt;6, "3–5 Years", G1176&lt;9, "6–8 Years", G1176&lt;12, "9-11 Years", G1176&gt;=12, "12-14 Years")</f>
        <v>9-11 Years</v>
      </c>
      <c r="J1176">
        <v>3</v>
      </c>
      <c r="K1176" t="s">
        <v>20</v>
      </c>
      <c r="L1176">
        <v>63800</v>
      </c>
      <c r="M1176">
        <v>5400</v>
      </c>
      <c r="N1176">
        <v>69200</v>
      </c>
      <c r="O1176" t="s">
        <v>25</v>
      </c>
      <c r="P1176" s="3">
        <v>42033</v>
      </c>
      <c r="Q1176" t="s">
        <v>19</v>
      </c>
    </row>
    <row r="1177" spans="1:17" x14ac:dyDescent="0.35">
      <c r="A1177" t="s">
        <v>1229</v>
      </c>
      <c r="B1177" t="s">
        <v>16</v>
      </c>
      <c r="C1177">
        <v>46</v>
      </c>
      <c r="D1177" t="s">
        <v>55</v>
      </c>
      <c r="E1177" t="s">
        <v>92</v>
      </c>
      <c r="F1177" t="s">
        <v>28</v>
      </c>
      <c r="G1177">
        <v>6.9</v>
      </c>
      <c r="H1177">
        <v>5.5</v>
      </c>
      <c r="I1177" t="str" cm="1">
        <f t="array" ref="I1177">_xlfn.IFS(G1177&lt;3, "0–2 Years", G1177&lt;6, "3–5 Years", G1177&lt;9, "6–8 Years", G1177&lt;12, "9-11 Years", G1177&gt;=12, "12-14 Years")</f>
        <v>6–8 Years</v>
      </c>
      <c r="J1177">
        <v>3</v>
      </c>
      <c r="K1177" t="s">
        <v>20</v>
      </c>
      <c r="L1177">
        <v>84300</v>
      </c>
      <c r="M1177">
        <v>15600</v>
      </c>
      <c r="N1177">
        <v>99900</v>
      </c>
      <c r="O1177" t="s">
        <v>30</v>
      </c>
      <c r="P1177" s="3">
        <v>43501</v>
      </c>
      <c r="Q1177" t="s">
        <v>28</v>
      </c>
    </row>
    <row r="1178" spans="1:17" x14ac:dyDescent="0.35">
      <c r="A1178" t="s">
        <v>1230</v>
      </c>
      <c r="B1178" t="s">
        <v>23</v>
      </c>
      <c r="C1178">
        <v>21</v>
      </c>
      <c r="D1178" t="s">
        <v>17</v>
      </c>
      <c r="E1178" t="s">
        <v>18</v>
      </c>
      <c r="F1178" t="s">
        <v>36</v>
      </c>
      <c r="G1178">
        <v>6.6</v>
      </c>
      <c r="H1178">
        <v>2.9</v>
      </c>
      <c r="I1178" t="str" cm="1">
        <f t="array" ref="I1178">_xlfn.IFS(G1178&lt;3, "0–2 Years", G1178&lt;6, "3–5 Years", G1178&lt;9, "6–8 Years", G1178&lt;12, "9-11 Years", G1178&gt;=12, "12-14 Years")</f>
        <v>6–8 Years</v>
      </c>
      <c r="J1178">
        <v>4</v>
      </c>
      <c r="K1178" t="s">
        <v>20</v>
      </c>
      <c r="L1178">
        <v>110600</v>
      </c>
      <c r="M1178">
        <v>10700</v>
      </c>
      <c r="N1178">
        <v>121300</v>
      </c>
      <c r="O1178" t="s">
        <v>57</v>
      </c>
      <c r="P1178" s="3">
        <v>43599</v>
      </c>
      <c r="Q1178" t="s">
        <v>36</v>
      </c>
    </row>
    <row r="1179" spans="1:17" x14ac:dyDescent="0.35">
      <c r="A1179" t="s">
        <v>1231</v>
      </c>
      <c r="B1179" t="s">
        <v>16</v>
      </c>
      <c r="C1179">
        <v>34</v>
      </c>
      <c r="D1179" t="s">
        <v>34</v>
      </c>
      <c r="E1179" t="s">
        <v>35</v>
      </c>
      <c r="F1179" t="s">
        <v>28</v>
      </c>
      <c r="G1179">
        <v>7.9</v>
      </c>
      <c r="H1179">
        <v>6.5</v>
      </c>
      <c r="I1179" t="str" cm="1">
        <f t="array" ref="I1179">_xlfn.IFS(G1179&lt;3, "0–2 Years", G1179&lt;6, "3–5 Years", G1179&lt;9, "6–8 Years", G1179&lt;12, "9-11 Years", G1179&gt;=12, "12-14 Years")</f>
        <v>6–8 Years</v>
      </c>
      <c r="J1179">
        <v>3</v>
      </c>
      <c r="K1179" t="s">
        <v>20</v>
      </c>
      <c r="L1179">
        <v>77100</v>
      </c>
      <c r="M1179">
        <v>7800</v>
      </c>
      <c r="N1179">
        <v>84900</v>
      </c>
      <c r="O1179" t="s">
        <v>21</v>
      </c>
      <c r="P1179" s="3">
        <v>43144</v>
      </c>
      <c r="Q1179" t="s">
        <v>28</v>
      </c>
    </row>
    <row r="1180" spans="1:17" x14ac:dyDescent="0.35">
      <c r="A1180" t="s">
        <v>1232</v>
      </c>
      <c r="B1180" t="s">
        <v>23</v>
      </c>
      <c r="C1180">
        <v>39</v>
      </c>
      <c r="D1180" t="s">
        <v>34</v>
      </c>
      <c r="E1180" t="s">
        <v>47</v>
      </c>
      <c r="F1180" t="s">
        <v>36</v>
      </c>
      <c r="G1180">
        <v>4.5999999999999996</v>
      </c>
      <c r="H1180">
        <v>2.2000000000000002</v>
      </c>
      <c r="I1180" t="str" cm="1">
        <f t="array" ref="I1180">_xlfn.IFS(G1180&lt;3, "0–2 Years", G1180&lt;6, "3–5 Years", G1180&lt;9, "6–8 Years", G1180&lt;12, "9-11 Years", G1180&gt;=12, "12-14 Years")</f>
        <v>3–5 Years</v>
      </c>
      <c r="J1180">
        <v>2</v>
      </c>
      <c r="K1180" t="s">
        <v>69</v>
      </c>
      <c r="L1180">
        <v>62800</v>
      </c>
      <c r="M1180">
        <v>3400</v>
      </c>
      <c r="N1180">
        <v>66200</v>
      </c>
      <c r="O1180" t="s">
        <v>25</v>
      </c>
      <c r="P1180" s="3">
        <v>44342</v>
      </c>
      <c r="Q1180" t="s">
        <v>36</v>
      </c>
    </row>
    <row r="1181" spans="1:17" x14ac:dyDescent="0.35">
      <c r="A1181" t="s">
        <v>1233</v>
      </c>
      <c r="B1181" t="s">
        <v>16</v>
      </c>
      <c r="C1181">
        <v>34</v>
      </c>
      <c r="D1181" t="s">
        <v>44</v>
      </c>
      <c r="E1181" t="s">
        <v>81</v>
      </c>
      <c r="F1181" t="s">
        <v>28</v>
      </c>
      <c r="G1181">
        <v>1.2</v>
      </c>
      <c r="H1181">
        <v>0</v>
      </c>
      <c r="I1181" t="str" cm="1">
        <f t="array" ref="I1181">_xlfn.IFS(G1181&lt;3, "0–2 Years", G1181&lt;6, "3–5 Years", G1181&lt;9, "6–8 Years", G1181&lt;12, "9-11 Years", G1181&gt;=12, "12-14 Years")</f>
        <v>0–2 Years</v>
      </c>
      <c r="J1181">
        <v>4</v>
      </c>
      <c r="K1181" t="s">
        <v>20</v>
      </c>
      <c r="L1181">
        <v>85200</v>
      </c>
      <c r="M1181">
        <v>8900</v>
      </c>
      <c r="N1181">
        <v>94100</v>
      </c>
      <c r="O1181" t="s">
        <v>30</v>
      </c>
      <c r="P1181" s="3">
        <v>45590</v>
      </c>
      <c r="Q1181" t="s">
        <v>28</v>
      </c>
    </row>
    <row r="1182" spans="1:17" x14ac:dyDescent="0.35">
      <c r="A1182" t="s">
        <v>1234</v>
      </c>
      <c r="B1182" t="s">
        <v>16</v>
      </c>
      <c r="C1182" s="7">
        <v>41</v>
      </c>
      <c r="D1182" t="s">
        <v>55</v>
      </c>
      <c r="E1182" t="s">
        <v>79</v>
      </c>
      <c r="F1182" t="s">
        <v>36</v>
      </c>
      <c r="G1182" s="9">
        <v>13.9</v>
      </c>
      <c r="H1182" s="7">
        <v>8.5</v>
      </c>
      <c r="I1182" t="str" cm="1">
        <f t="array" ref="I1182">_xlfn.IFS(G1182&lt;3, "0–2 Years", G1182&lt;6, "3–5 Years", G1182&lt;9, "6–8 Years", G1182&lt;12, "9-11 Years", G1182&gt;=12, "12-14 Years")</f>
        <v>12-14 Years</v>
      </c>
      <c r="J1182" s="7">
        <v>2</v>
      </c>
      <c r="K1182" t="s">
        <v>20</v>
      </c>
      <c r="L1182" s="7">
        <v>65700</v>
      </c>
      <c r="M1182" s="7">
        <v>9100</v>
      </c>
      <c r="N1182" s="7">
        <v>74800</v>
      </c>
      <c r="O1182" t="s">
        <v>21</v>
      </c>
      <c r="P1182" s="3">
        <v>40958</v>
      </c>
      <c r="Q1182" t="s">
        <v>36</v>
      </c>
    </row>
    <row r="1183" spans="1:17" x14ac:dyDescent="0.35">
      <c r="A1183" t="s">
        <v>1235</v>
      </c>
      <c r="B1183" t="s">
        <v>23</v>
      </c>
      <c r="C1183">
        <v>25</v>
      </c>
      <c r="D1183" t="s">
        <v>41</v>
      </c>
      <c r="E1183" t="s">
        <v>73</v>
      </c>
      <c r="F1183" t="s">
        <v>36</v>
      </c>
      <c r="G1183">
        <v>9.6999999999999993</v>
      </c>
      <c r="H1183">
        <v>8.4</v>
      </c>
      <c r="I1183" t="str" cm="1">
        <f t="array" ref="I1183">_xlfn.IFS(G1183&lt;3, "0–2 Years", G1183&lt;6, "3–5 Years", G1183&lt;9, "6–8 Years", G1183&lt;12, "9-11 Years", G1183&gt;=12, "12-14 Years")</f>
        <v>9-11 Years</v>
      </c>
      <c r="J1183">
        <v>3</v>
      </c>
      <c r="K1183" t="s">
        <v>20</v>
      </c>
      <c r="L1183">
        <v>109400</v>
      </c>
      <c r="M1183">
        <v>7100</v>
      </c>
      <c r="N1183">
        <v>116500</v>
      </c>
      <c r="O1183" t="s">
        <v>57</v>
      </c>
      <c r="P1183" s="3">
        <v>42471</v>
      </c>
      <c r="Q1183" t="s">
        <v>36</v>
      </c>
    </row>
    <row r="1184" spans="1:17" x14ac:dyDescent="0.35">
      <c r="A1184" t="s">
        <v>1236</v>
      </c>
      <c r="B1184" t="s">
        <v>16</v>
      </c>
      <c r="C1184" s="7">
        <v>33</v>
      </c>
      <c r="D1184" t="s">
        <v>34</v>
      </c>
      <c r="E1184" t="s">
        <v>47</v>
      </c>
      <c r="F1184" t="s">
        <v>28</v>
      </c>
      <c r="G1184" s="9">
        <v>13.9</v>
      </c>
      <c r="H1184" s="7">
        <v>7.8</v>
      </c>
      <c r="I1184" t="str" cm="1">
        <f t="array" ref="I1184">_xlfn.IFS(G1184&lt;3, "0–2 Years", G1184&lt;6, "3–5 Years", G1184&lt;9, "6–8 Years", G1184&lt;12, "9-11 Years", G1184&gt;=12, "12-14 Years")</f>
        <v>12-14 Years</v>
      </c>
      <c r="J1184" s="7">
        <v>3</v>
      </c>
      <c r="K1184" t="s">
        <v>20</v>
      </c>
      <c r="L1184" s="7">
        <v>73500</v>
      </c>
      <c r="M1184" s="7">
        <v>3200</v>
      </c>
      <c r="N1184" s="7">
        <v>76700</v>
      </c>
      <c r="O1184" t="s">
        <v>21</v>
      </c>
      <c r="P1184" s="3">
        <v>40928</v>
      </c>
      <c r="Q1184" t="s">
        <v>28</v>
      </c>
    </row>
    <row r="1185" spans="1:17" x14ac:dyDescent="0.35">
      <c r="A1185" t="s">
        <v>1237</v>
      </c>
      <c r="B1185" t="s">
        <v>23</v>
      </c>
      <c r="C1185">
        <v>52</v>
      </c>
      <c r="D1185" t="s">
        <v>34</v>
      </c>
      <c r="E1185" t="s">
        <v>47</v>
      </c>
      <c r="F1185" t="s">
        <v>36</v>
      </c>
      <c r="G1185">
        <v>8.8000000000000007</v>
      </c>
      <c r="H1185">
        <v>6</v>
      </c>
      <c r="I1185" t="str" cm="1">
        <f t="array" ref="I1185">_xlfn.IFS(G1185&lt;3, "0–2 Years", G1185&lt;6, "3–5 Years", G1185&lt;9, "6–8 Years", G1185&lt;12, "9-11 Years", G1185&gt;=12, "12-14 Years")</f>
        <v>6–8 Years</v>
      </c>
      <c r="J1185">
        <v>4</v>
      </c>
      <c r="K1185" t="s">
        <v>20</v>
      </c>
      <c r="L1185">
        <v>87700</v>
      </c>
      <c r="M1185">
        <v>7900</v>
      </c>
      <c r="N1185">
        <v>95600</v>
      </c>
      <c r="O1185" t="s">
        <v>30</v>
      </c>
      <c r="P1185" s="3">
        <v>42793</v>
      </c>
      <c r="Q1185" t="s">
        <v>36</v>
      </c>
    </row>
    <row r="1186" spans="1:17" x14ac:dyDescent="0.35">
      <c r="A1186" t="s">
        <v>1238</v>
      </c>
      <c r="B1186" t="s">
        <v>16</v>
      </c>
      <c r="C1186">
        <v>38</v>
      </c>
      <c r="D1186" t="s">
        <v>55</v>
      </c>
      <c r="E1186" t="s">
        <v>56</v>
      </c>
      <c r="F1186" t="s">
        <v>36</v>
      </c>
      <c r="G1186">
        <v>8.1999999999999993</v>
      </c>
      <c r="H1186">
        <v>6.7</v>
      </c>
      <c r="I1186" t="str" cm="1">
        <f t="array" ref="I1186">_xlfn.IFS(G1186&lt;3, "0–2 Years", G1186&lt;6, "3–5 Years", G1186&lt;9, "6–8 Years", G1186&lt;12, "9-11 Years", G1186&gt;=12, "12-14 Years")</f>
        <v>6–8 Years</v>
      </c>
      <c r="J1186">
        <v>4</v>
      </c>
      <c r="K1186" t="s">
        <v>20</v>
      </c>
      <c r="L1186">
        <v>94400</v>
      </c>
      <c r="M1186">
        <v>7300</v>
      </c>
      <c r="N1186">
        <v>101700</v>
      </c>
      <c r="O1186" t="s">
        <v>30</v>
      </c>
      <c r="P1186" s="3">
        <v>43023</v>
      </c>
      <c r="Q1186" t="s">
        <v>36</v>
      </c>
    </row>
    <row r="1187" spans="1:17" x14ac:dyDescent="0.35">
      <c r="A1187" t="s">
        <v>1239</v>
      </c>
      <c r="B1187" t="s">
        <v>23</v>
      </c>
      <c r="C1187">
        <v>26</v>
      </c>
      <c r="D1187" t="s">
        <v>55</v>
      </c>
      <c r="E1187" t="s">
        <v>56</v>
      </c>
      <c r="F1187" t="s">
        <v>28</v>
      </c>
      <c r="G1187">
        <v>10.6</v>
      </c>
      <c r="H1187">
        <v>6.5</v>
      </c>
      <c r="I1187" t="str" cm="1">
        <f t="array" ref="I1187">_xlfn.IFS(G1187&lt;3, "0–2 Years", G1187&lt;6, "3–5 Years", G1187&lt;9, "6–8 Years", G1187&lt;12, "9-11 Years", G1187&gt;=12, "12-14 Years")</f>
        <v>9-11 Years</v>
      </c>
      <c r="J1187">
        <v>3</v>
      </c>
      <c r="K1187" t="s">
        <v>20</v>
      </c>
      <c r="L1187">
        <v>97800</v>
      </c>
      <c r="M1187">
        <v>7500</v>
      </c>
      <c r="N1187">
        <v>105300</v>
      </c>
      <c r="O1187" t="s">
        <v>30</v>
      </c>
      <c r="P1187" s="3">
        <v>42148</v>
      </c>
      <c r="Q1187" t="s">
        <v>28</v>
      </c>
    </row>
    <row r="1188" spans="1:17" x14ac:dyDescent="0.35">
      <c r="A1188" t="s">
        <v>1240</v>
      </c>
      <c r="B1188" t="s">
        <v>23</v>
      </c>
      <c r="C1188">
        <v>40</v>
      </c>
      <c r="D1188" t="s">
        <v>34</v>
      </c>
      <c r="E1188" t="s">
        <v>59</v>
      </c>
      <c r="F1188" t="s">
        <v>19</v>
      </c>
      <c r="G1188">
        <v>7.8</v>
      </c>
      <c r="H1188">
        <v>6.4</v>
      </c>
      <c r="I1188" t="str" cm="1">
        <f t="array" ref="I1188">_xlfn.IFS(G1188&lt;3, "0–2 Years", G1188&lt;6, "3–5 Years", G1188&lt;9, "6–8 Years", G1188&lt;12, "9-11 Years", G1188&gt;=12, "12-14 Years")</f>
        <v>6–8 Years</v>
      </c>
      <c r="J1188">
        <v>3</v>
      </c>
      <c r="K1188" t="s">
        <v>20</v>
      </c>
      <c r="L1188">
        <v>93600</v>
      </c>
      <c r="M1188">
        <v>7200</v>
      </c>
      <c r="N1188">
        <v>100800</v>
      </c>
      <c r="O1188" t="s">
        <v>30</v>
      </c>
      <c r="P1188" s="3">
        <v>43169</v>
      </c>
      <c r="Q1188" t="s">
        <v>19</v>
      </c>
    </row>
    <row r="1189" spans="1:17" x14ac:dyDescent="0.35">
      <c r="A1189" t="s">
        <v>1241</v>
      </c>
      <c r="B1189" t="s">
        <v>16</v>
      </c>
      <c r="C1189">
        <v>38</v>
      </c>
      <c r="D1189" t="s">
        <v>41</v>
      </c>
      <c r="E1189" t="s">
        <v>42</v>
      </c>
      <c r="F1189" t="s">
        <v>36</v>
      </c>
      <c r="G1189">
        <v>7.9</v>
      </c>
      <c r="H1189">
        <v>2.8</v>
      </c>
      <c r="I1189" t="str" cm="1">
        <f t="array" ref="I1189">_xlfn.IFS(G1189&lt;3, "0–2 Years", G1189&lt;6, "3–5 Years", G1189&lt;9, "6–8 Years", G1189&lt;12, "9-11 Years", G1189&gt;=12, "12-14 Years")</f>
        <v>6–8 Years</v>
      </c>
      <c r="J1189">
        <v>3</v>
      </c>
      <c r="K1189" t="s">
        <v>20</v>
      </c>
      <c r="L1189">
        <v>84400</v>
      </c>
      <c r="M1189">
        <v>6900</v>
      </c>
      <c r="N1189">
        <v>91300</v>
      </c>
      <c r="O1189" t="s">
        <v>30</v>
      </c>
      <c r="P1189" s="3">
        <v>43125</v>
      </c>
      <c r="Q1189" t="s">
        <v>36</v>
      </c>
    </row>
    <row r="1190" spans="1:17" x14ac:dyDescent="0.35">
      <c r="A1190" t="s">
        <v>1242</v>
      </c>
      <c r="B1190" t="s">
        <v>23</v>
      </c>
      <c r="C1190">
        <v>29</v>
      </c>
      <c r="D1190" t="s">
        <v>38</v>
      </c>
      <c r="E1190" t="s">
        <v>61</v>
      </c>
      <c r="F1190" t="s">
        <v>28</v>
      </c>
      <c r="G1190">
        <v>11.6</v>
      </c>
      <c r="H1190">
        <v>8.6</v>
      </c>
      <c r="I1190" t="str" cm="1">
        <f t="array" ref="I1190">_xlfn.IFS(G1190&lt;3, "0–2 Years", G1190&lt;6, "3–5 Years", G1190&lt;9, "6–8 Years", G1190&lt;12, "9-11 Years", G1190&gt;=12, "12-14 Years")</f>
        <v>9-11 Years</v>
      </c>
      <c r="J1190">
        <v>2</v>
      </c>
      <c r="K1190" t="s">
        <v>20</v>
      </c>
      <c r="L1190">
        <v>95800</v>
      </c>
      <c r="M1190">
        <v>7500</v>
      </c>
      <c r="N1190">
        <v>103300</v>
      </c>
      <c r="O1190" t="s">
        <v>30</v>
      </c>
      <c r="P1190" s="3">
        <v>41796</v>
      </c>
      <c r="Q1190" t="s">
        <v>28</v>
      </c>
    </row>
    <row r="1191" spans="1:17" x14ac:dyDescent="0.35">
      <c r="A1191" t="s">
        <v>1243</v>
      </c>
      <c r="B1191" t="s">
        <v>23</v>
      </c>
      <c r="C1191">
        <v>32</v>
      </c>
      <c r="D1191" t="s">
        <v>55</v>
      </c>
      <c r="E1191" t="s">
        <v>56</v>
      </c>
      <c r="F1191" t="s">
        <v>28</v>
      </c>
      <c r="G1191">
        <v>8.3000000000000007</v>
      </c>
      <c r="H1191">
        <v>5.9</v>
      </c>
      <c r="I1191" t="str" cm="1">
        <f t="array" ref="I1191">_xlfn.IFS(G1191&lt;3, "0–2 Years", G1191&lt;6, "3–5 Years", G1191&lt;9, "6–8 Years", G1191&lt;12, "9-11 Years", G1191&gt;=12, "12-14 Years")</f>
        <v>6–8 Years</v>
      </c>
      <c r="J1191">
        <v>3</v>
      </c>
      <c r="K1191" t="s">
        <v>20</v>
      </c>
      <c r="L1191">
        <v>113800</v>
      </c>
      <c r="M1191">
        <v>22500</v>
      </c>
      <c r="N1191">
        <v>136300</v>
      </c>
      <c r="O1191" t="s">
        <v>57</v>
      </c>
      <c r="P1191" s="3">
        <v>42975</v>
      </c>
      <c r="Q1191" t="s">
        <v>28</v>
      </c>
    </row>
    <row r="1192" spans="1:17" x14ac:dyDescent="0.35">
      <c r="A1192" t="s">
        <v>1244</v>
      </c>
      <c r="B1192" t="s">
        <v>23</v>
      </c>
      <c r="C1192">
        <v>30</v>
      </c>
      <c r="D1192" t="s">
        <v>38</v>
      </c>
      <c r="E1192" t="s">
        <v>112</v>
      </c>
      <c r="F1192" t="s">
        <v>19</v>
      </c>
      <c r="G1192">
        <v>3.8</v>
      </c>
      <c r="H1192">
        <v>0.6</v>
      </c>
      <c r="I1192" t="str" cm="1">
        <f t="array" ref="I1192">_xlfn.IFS(G1192&lt;3, "0–2 Years", G1192&lt;6, "3–5 Years", G1192&lt;9, "6–8 Years", G1192&lt;12, "9-11 Years", G1192&gt;=12, "12-14 Years")</f>
        <v>3–5 Years</v>
      </c>
      <c r="J1192">
        <v>3</v>
      </c>
      <c r="K1192" t="s">
        <v>20</v>
      </c>
      <c r="L1192">
        <v>66600</v>
      </c>
      <c r="M1192">
        <v>4800</v>
      </c>
      <c r="N1192">
        <v>71400</v>
      </c>
      <c r="O1192" t="s">
        <v>21</v>
      </c>
      <c r="P1192" s="3">
        <v>44640</v>
      </c>
      <c r="Q1192" t="s">
        <v>19</v>
      </c>
    </row>
    <row r="1193" spans="1:17" x14ac:dyDescent="0.35">
      <c r="A1193" t="s">
        <v>1245</v>
      </c>
      <c r="B1193" t="s">
        <v>16</v>
      </c>
      <c r="C1193">
        <v>41</v>
      </c>
      <c r="D1193" t="s">
        <v>17</v>
      </c>
      <c r="E1193" t="s">
        <v>27</v>
      </c>
      <c r="F1193" t="s">
        <v>36</v>
      </c>
      <c r="G1193">
        <v>11.2</v>
      </c>
      <c r="H1193">
        <v>6.6</v>
      </c>
      <c r="I1193" t="str" cm="1">
        <f t="array" ref="I1193">_xlfn.IFS(G1193&lt;3, "0–2 Years", G1193&lt;6, "3–5 Years", G1193&lt;9, "6–8 Years", G1193&lt;12, "9-11 Years", G1193&gt;=12, "12-14 Years")</f>
        <v>9-11 Years</v>
      </c>
      <c r="J1193">
        <v>3</v>
      </c>
      <c r="K1193" t="s">
        <v>20</v>
      </c>
      <c r="L1193">
        <v>85100</v>
      </c>
      <c r="M1193">
        <v>10400</v>
      </c>
      <c r="N1193">
        <v>95500</v>
      </c>
      <c r="O1193" t="s">
        <v>30</v>
      </c>
      <c r="P1193" s="3">
        <v>41931</v>
      </c>
      <c r="Q1193" t="s">
        <v>36</v>
      </c>
    </row>
    <row r="1194" spans="1:17" x14ac:dyDescent="0.35">
      <c r="A1194" t="s">
        <v>1246</v>
      </c>
      <c r="B1194" t="s">
        <v>23</v>
      </c>
      <c r="C1194" s="7">
        <v>41</v>
      </c>
      <c r="D1194" t="s">
        <v>38</v>
      </c>
      <c r="E1194" t="s">
        <v>112</v>
      </c>
      <c r="F1194" t="s">
        <v>28</v>
      </c>
      <c r="G1194" s="9">
        <v>13.1</v>
      </c>
      <c r="H1194" s="7">
        <v>7.5</v>
      </c>
      <c r="I1194" t="str" cm="1">
        <f t="array" ref="I1194">_xlfn.IFS(G1194&lt;3, "0–2 Years", G1194&lt;6, "3–5 Years", G1194&lt;9, "6–8 Years", G1194&lt;12, "9-11 Years", G1194&gt;=12, "12-14 Years")</f>
        <v>12-14 Years</v>
      </c>
      <c r="J1194" s="7">
        <v>5</v>
      </c>
      <c r="K1194" t="s">
        <v>20</v>
      </c>
      <c r="L1194" s="7">
        <v>91200</v>
      </c>
      <c r="M1194" s="7">
        <v>6500</v>
      </c>
      <c r="N1194" s="7">
        <v>97700</v>
      </c>
      <c r="O1194" t="s">
        <v>30</v>
      </c>
      <c r="P1194" s="3">
        <v>41237</v>
      </c>
      <c r="Q1194" t="s">
        <v>28</v>
      </c>
    </row>
    <row r="1195" spans="1:17" x14ac:dyDescent="0.35">
      <c r="A1195" t="s">
        <v>1247</v>
      </c>
      <c r="B1195" t="s">
        <v>23</v>
      </c>
      <c r="C1195">
        <v>32</v>
      </c>
      <c r="D1195" t="s">
        <v>55</v>
      </c>
      <c r="E1195" t="s">
        <v>56</v>
      </c>
      <c r="F1195" t="s">
        <v>62</v>
      </c>
      <c r="G1195">
        <v>11.5</v>
      </c>
      <c r="H1195">
        <v>7.9</v>
      </c>
      <c r="I1195" t="str" cm="1">
        <f t="array" ref="I1195">_xlfn.IFS(G1195&lt;3, "0–2 Years", G1195&lt;6, "3–5 Years", G1195&lt;9, "6–8 Years", G1195&lt;12, "9-11 Years", G1195&gt;=12, "12-14 Years")</f>
        <v>9-11 Years</v>
      </c>
      <c r="J1195">
        <v>4</v>
      </c>
      <c r="K1195" t="s">
        <v>20</v>
      </c>
      <c r="L1195">
        <v>114000</v>
      </c>
      <c r="M1195">
        <v>9100</v>
      </c>
      <c r="N1195">
        <v>123100</v>
      </c>
      <c r="O1195" t="s">
        <v>57</v>
      </c>
      <c r="P1195" s="3">
        <v>41810</v>
      </c>
      <c r="Q1195" t="s">
        <v>62</v>
      </c>
    </row>
    <row r="1196" spans="1:17" x14ac:dyDescent="0.35">
      <c r="A1196" t="s">
        <v>1248</v>
      </c>
      <c r="B1196" t="s">
        <v>23</v>
      </c>
      <c r="C1196">
        <v>33</v>
      </c>
      <c r="D1196" t="s">
        <v>44</v>
      </c>
      <c r="E1196" t="s">
        <v>81</v>
      </c>
      <c r="F1196" t="s">
        <v>36</v>
      </c>
      <c r="G1196">
        <v>11.8</v>
      </c>
      <c r="H1196">
        <v>7.1</v>
      </c>
      <c r="I1196" t="str" cm="1">
        <f t="array" ref="I1196">_xlfn.IFS(G1196&lt;3, "0–2 Years", G1196&lt;6, "3–5 Years", G1196&lt;9, "6–8 Years", G1196&lt;12, "9-11 Years", G1196&gt;=12, "12-14 Years")</f>
        <v>9-11 Years</v>
      </c>
      <c r="J1196">
        <v>3</v>
      </c>
      <c r="K1196" t="s">
        <v>69</v>
      </c>
      <c r="L1196">
        <v>98100</v>
      </c>
      <c r="M1196">
        <v>14400</v>
      </c>
      <c r="N1196">
        <v>112500</v>
      </c>
      <c r="O1196" t="s">
        <v>30</v>
      </c>
      <c r="P1196" s="3">
        <v>41715</v>
      </c>
      <c r="Q1196" t="s">
        <v>36</v>
      </c>
    </row>
    <row r="1197" spans="1:17" x14ac:dyDescent="0.35">
      <c r="A1197" t="s">
        <v>1249</v>
      </c>
      <c r="B1197" t="s">
        <v>16</v>
      </c>
      <c r="C1197">
        <v>42</v>
      </c>
      <c r="D1197" t="s">
        <v>41</v>
      </c>
      <c r="E1197" t="s">
        <v>67</v>
      </c>
      <c r="F1197" t="s">
        <v>36</v>
      </c>
      <c r="G1197">
        <v>6.7</v>
      </c>
      <c r="H1197">
        <v>3.8</v>
      </c>
      <c r="I1197" t="str" cm="1">
        <f t="array" ref="I1197">_xlfn.IFS(G1197&lt;3, "0–2 Years", G1197&lt;6, "3–5 Years", G1197&lt;9, "6–8 Years", G1197&lt;12, "9-11 Years", G1197&gt;=12, "12-14 Years")</f>
        <v>6–8 Years</v>
      </c>
      <c r="J1197">
        <v>3</v>
      </c>
      <c r="K1197" t="s">
        <v>20</v>
      </c>
      <c r="L1197">
        <v>75000</v>
      </c>
      <c r="M1197">
        <v>6600</v>
      </c>
      <c r="N1197">
        <v>81600</v>
      </c>
      <c r="O1197" t="s">
        <v>21</v>
      </c>
      <c r="P1197" s="3">
        <v>43583</v>
      </c>
      <c r="Q1197" t="s">
        <v>36</v>
      </c>
    </row>
    <row r="1198" spans="1:17" x14ac:dyDescent="0.35">
      <c r="A1198" t="s">
        <v>1250</v>
      </c>
      <c r="B1198" t="s">
        <v>23</v>
      </c>
      <c r="C1198">
        <v>28</v>
      </c>
      <c r="D1198" t="s">
        <v>38</v>
      </c>
      <c r="E1198" t="s">
        <v>61</v>
      </c>
      <c r="F1198" t="s">
        <v>28</v>
      </c>
      <c r="G1198">
        <v>8.6999999999999993</v>
      </c>
      <c r="H1198">
        <v>3.1</v>
      </c>
      <c r="I1198" t="str" cm="1">
        <f t="array" ref="I1198">_xlfn.IFS(G1198&lt;3, "0–2 Years", G1198&lt;6, "3–5 Years", G1198&lt;9, "6–8 Years", G1198&lt;12, "9-11 Years", G1198&gt;=12, "12-14 Years")</f>
        <v>6–8 Years</v>
      </c>
      <c r="J1198">
        <v>2</v>
      </c>
      <c r="K1198" t="s">
        <v>24</v>
      </c>
      <c r="L1198">
        <v>58000</v>
      </c>
      <c r="M1198">
        <v>4100</v>
      </c>
      <c r="N1198">
        <v>62100</v>
      </c>
      <c r="O1198" t="s">
        <v>25</v>
      </c>
      <c r="P1198" s="3">
        <v>42849</v>
      </c>
      <c r="Q1198" t="s">
        <v>28</v>
      </c>
    </row>
    <row r="1199" spans="1:17" x14ac:dyDescent="0.35">
      <c r="A1199" t="s">
        <v>1251</v>
      </c>
      <c r="B1199" t="s">
        <v>23</v>
      </c>
      <c r="C1199">
        <v>29</v>
      </c>
      <c r="D1199" t="s">
        <v>38</v>
      </c>
      <c r="E1199" t="s">
        <v>39</v>
      </c>
      <c r="F1199" t="s">
        <v>28</v>
      </c>
      <c r="G1199">
        <v>3.6</v>
      </c>
      <c r="H1199">
        <v>1.8</v>
      </c>
      <c r="I1199" t="str" cm="1">
        <f t="array" ref="I1199">_xlfn.IFS(G1199&lt;3, "0–2 Years", G1199&lt;6, "3–5 Years", G1199&lt;9, "6–8 Years", G1199&lt;12, "9-11 Years", G1199&gt;=12, "12-14 Years")</f>
        <v>3–5 Years</v>
      </c>
      <c r="J1199">
        <v>3</v>
      </c>
      <c r="K1199" t="s">
        <v>20</v>
      </c>
      <c r="L1199">
        <v>66200</v>
      </c>
      <c r="M1199">
        <v>3400</v>
      </c>
      <c r="N1199">
        <v>69600</v>
      </c>
      <c r="O1199" t="s">
        <v>21</v>
      </c>
      <c r="P1199" s="3">
        <v>44722</v>
      </c>
      <c r="Q1199" t="s">
        <v>28</v>
      </c>
    </row>
    <row r="1200" spans="1:17" x14ac:dyDescent="0.35">
      <c r="A1200" t="s">
        <v>1252</v>
      </c>
      <c r="B1200" t="s">
        <v>23</v>
      </c>
      <c r="C1200" s="7">
        <v>47</v>
      </c>
      <c r="D1200" t="s">
        <v>44</v>
      </c>
      <c r="E1200" t="s">
        <v>51</v>
      </c>
      <c r="F1200" t="s">
        <v>28</v>
      </c>
      <c r="G1200" s="9">
        <v>13.8</v>
      </c>
      <c r="H1200" s="7">
        <v>7.3</v>
      </c>
      <c r="I1200" t="str" cm="1">
        <f t="array" ref="I1200">_xlfn.IFS(G1200&lt;3, "0–2 Years", G1200&lt;6, "3–5 Years", G1200&lt;9, "6–8 Years", G1200&lt;12, "9-11 Years", G1200&gt;=12, "12-14 Years")</f>
        <v>12-14 Years</v>
      </c>
      <c r="J1200" s="7">
        <v>4</v>
      </c>
      <c r="K1200" t="s">
        <v>24</v>
      </c>
      <c r="L1200" s="7">
        <v>58400</v>
      </c>
      <c r="M1200" s="7">
        <v>5400</v>
      </c>
      <c r="N1200" s="7">
        <v>63800</v>
      </c>
      <c r="O1200" t="s">
        <v>25</v>
      </c>
      <c r="P1200" s="3">
        <v>40980</v>
      </c>
      <c r="Q1200" t="s">
        <v>28</v>
      </c>
    </row>
    <row r="1201" spans="1:17" x14ac:dyDescent="0.35">
      <c r="A1201" t="s">
        <v>1253</v>
      </c>
      <c r="B1201" t="s">
        <v>16</v>
      </c>
      <c r="C1201">
        <v>40</v>
      </c>
      <c r="D1201" t="s">
        <v>38</v>
      </c>
      <c r="E1201" t="s">
        <v>61</v>
      </c>
      <c r="F1201" t="s">
        <v>36</v>
      </c>
      <c r="G1201">
        <v>2.1</v>
      </c>
      <c r="H1201">
        <v>2.1</v>
      </c>
      <c r="I1201" t="str" cm="1">
        <f t="array" ref="I1201">_xlfn.IFS(G1201&lt;3, "0–2 Years", G1201&lt;6, "3–5 Years", G1201&lt;9, "6–8 Years", G1201&lt;12, "9-11 Years", G1201&gt;=12, "12-14 Years")</f>
        <v>0–2 Years</v>
      </c>
      <c r="J1201">
        <v>4</v>
      </c>
      <c r="K1201" t="s">
        <v>20</v>
      </c>
      <c r="L1201">
        <v>94100</v>
      </c>
      <c r="M1201">
        <v>8900</v>
      </c>
      <c r="N1201">
        <v>103000</v>
      </c>
      <c r="O1201" t="s">
        <v>30</v>
      </c>
      <c r="P1201" s="3">
        <v>45254</v>
      </c>
      <c r="Q1201" t="s">
        <v>36</v>
      </c>
    </row>
    <row r="1202" spans="1:17" x14ac:dyDescent="0.35">
      <c r="A1202" t="s">
        <v>1254</v>
      </c>
      <c r="B1202" t="s">
        <v>16</v>
      </c>
      <c r="C1202">
        <v>33</v>
      </c>
      <c r="D1202" t="s">
        <v>34</v>
      </c>
      <c r="E1202" t="s">
        <v>47</v>
      </c>
      <c r="F1202" t="s">
        <v>36</v>
      </c>
      <c r="G1202">
        <v>6.9</v>
      </c>
      <c r="H1202">
        <v>4.5</v>
      </c>
      <c r="I1202" t="str" cm="1">
        <f t="array" ref="I1202">_xlfn.IFS(G1202&lt;3, "0–2 Years", G1202&lt;6, "3–5 Years", G1202&lt;9, "6–8 Years", G1202&lt;12, "9-11 Years", G1202&gt;=12, "12-14 Years")</f>
        <v>6–8 Years</v>
      </c>
      <c r="J1202">
        <v>5</v>
      </c>
      <c r="K1202" t="s">
        <v>20</v>
      </c>
      <c r="L1202">
        <v>97700</v>
      </c>
      <c r="M1202">
        <v>10300</v>
      </c>
      <c r="N1202">
        <v>108000</v>
      </c>
      <c r="O1202" t="s">
        <v>30</v>
      </c>
      <c r="P1202" s="3">
        <v>43494</v>
      </c>
      <c r="Q1202" t="s">
        <v>36</v>
      </c>
    </row>
    <row r="1203" spans="1:17" x14ac:dyDescent="0.35">
      <c r="A1203" t="s">
        <v>1255</v>
      </c>
      <c r="B1203" t="s">
        <v>16</v>
      </c>
      <c r="C1203">
        <v>48</v>
      </c>
      <c r="D1203" t="s">
        <v>17</v>
      </c>
      <c r="E1203" t="s">
        <v>27</v>
      </c>
      <c r="F1203" t="s">
        <v>28</v>
      </c>
      <c r="G1203">
        <v>9.1999999999999993</v>
      </c>
      <c r="H1203">
        <v>3.2</v>
      </c>
      <c r="I1203" t="str" cm="1">
        <f t="array" ref="I1203">_xlfn.IFS(G1203&lt;3, "0–2 Years", G1203&lt;6, "3–5 Years", G1203&lt;9, "6–8 Years", G1203&lt;12, "9-11 Years", G1203&gt;=12, "12-14 Years")</f>
        <v>9-11 Years</v>
      </c>
      <c r="J1203">
        <v>5</v>
      </c>
      <c r="K1203" t="s">
        <v>20</v>
      </c>
      <c r="L1203">
        <v>90700</v>
      </c>
      <c r="M1203">
        <v>9900</v>
      </c>
      <c r="N1203">
        <v>100600</v>
      </c>
      <c r="O1203" t="s">
        <v>30</v>
      </c>
      <c r="P1203" s="3">
        <v>42661</v>
      </c>
      <c r="Q1203" t="s">
        <v>28</v>
      </c>
    </row>
    <row r="1204" spans="1:17" x14ac:dyDescent="0.35">
      <c r="A1204" t="s">
        <v>1256</v>
      </c>
      <c r="B1204" t="s">
        <v>23</v>
      </c>
      <c r="C1204">
        <v>39</v>
      </c>
      <c r="D1204" t="s">
        <v>17</v>
      </c>
      <c r="E1204" t="s">
        <v>18</v>
      </c>
      <c r="F1204" t="s">
        <v>28</v>
      </c>
      <c r="G1204">
        <v>2.7</v>
      </c>
      <c r="H1204">
        <v>0</v>
      </c>
      <c r="I1204" t="str" cm="1">
        <f t="array" ref="I1204">_xlfn.IFS(G1204&lt;3, "0–2 Years", G1204&lt;6, "3–5 Years", G1204&lt;9, "6–8 Years", G1204&lt;12, "9-11 Years", G1204&gt;=12, "12-14 Years")</f>
        <v>0–2 Years</v>
      </c>
      <c r="J1204">
        <v>4</v>
      </c>
      <c r="K1204" t="s">
        <v>20</v>
      </c>
      <c r="L1204">
        <v>100400</v>
      </c>
      <c r="M1204">
        <v>8200</v>
      </c>
      <c r="N1204">
        <v>108600</v>
      </c>
      <c r="O1204" t="s">
        <v>57</v>
      </c>
      <c r="P1204" s="3">
        <v>45045</v>
      </c>
      <c r="Q1204" t="s">
        <v>28</v>
      </c>
    </row>
    <row r="1205" spans="1:17" x14ac:dyDescent="0.35">
      <c r="A1205" t="s">
        <v>1257</v>
      </c>
      <c r="B1205" t="s">
        <v>23</v>
      </c>
      <c r="C1205" s="7">
        <v>38</v>
      </c>
      <c r="D1205" t="s">
        <v>41</v>
      </c>
      <c r="E1205" t="s">
        <v>73</v>
      </c>
      <c r="F1205" t="s">
        <v>62</v>
      </c>
      <c r="G1205" s="9">
        <v>13.1</v>
      </c>
      <c r="H1205" s="7">
        <v>9.5</v>
      </c>
      <c r="I1205" t="str" cm="1">
        <f t="array" ref="I1205">_xlfn.IFS(G1205&lt;3, "0–2 Years", G1205&lt;6, "3–5 Years", G1205&lt;9, "6–8 Years", G1205&lt;12, "9-11 Years", G1205&gt;=12, "12-14 Years")</f>
        <v>12-14 Years</v>
      </c>
      <c r="J1205" s="7">
        <v>3</v>
      </c>
      <c r="K1205" t="s">
        <v>20</v>
      </c>
      <c r="L1205" s="7">
        <v>111900</v>
      </c>
      <c r="M1205" s="7">
        <v>7600</v>
      </c>
      <c r="N1205" s="7">
        <v>119500</v>
      </c>
      <c r="O1205" t="s">
        <v>57</v>
      </c>
      <c r="P1205" s="3">
        <v>41235</v>
      </c>
      <c r="Q1205" t="s">
        <v>62</v>
      </c>
    </row>
    <row r="1206" spans="1:17" x14ac:dyDescent="0.35">
      <c r="A1206" t="s">
        <v>1258</v>
      </c>
      <c r="B1206" t="s">
        <v>16</v>
      </c>
      <c r="C1206">
        <v>31</v>
      </c>
      <c r="D1206" t="s">
        <v>34</v>
      </c>
      <c r="E1206" t="s">
        <v>35</v>
      </c>
      <c r="F1206" t="s">
        <v>28</v>
      </c>
      <c r="G1206">
        <v>9.5</v>
      </c>
      <c r="H1206">
        <v>5.8</v>
      </c>
      <c r="I1206" t="str" cm="1">
        <f t="array" ref="I1206">_xlfn.IFS(G1206&lt;3, "0–2 Years", G1206&lt;6, "3–5 Years", G1206&lt;9, "6–8 Years", G1206&lt;12, "9-11 Years", G1206&gt;=12, "12-14 Years")</f>
        <v>9-11 Years</v>
      </c>
      <c r="J1206">
        <v>3</v>
      </c>
      <c r="K1206" t="s">
        <v>69</v>
      </c>
      <c r="L1206">
        <v>64600</v>
      </c>
      <c r="M1206">
        <v>3700</v>
      </c>
      <c r="N1206">
        <v>68300</v>
      </c>
      <c r="O1206" t="s">
        <v>25</v>
      </c>
      <c r="P1206" s="3">
        <v>42562</v>
      </c>
      <c r="Q1206" t="s">
        <v>28</v>
      </c>
    </row>
    <row r="1207" spans="1:17" x14ac:dyDescent="0.35">
      <c r="A1207" t="s">
        <v>1259</v>
      </c>
      <c r="B1207" t="s">
        <v>16</v>
      </c>
      <c r="C1207" s="7">
        <v>37</v>
      </c>
      <c r="D1207" t="s">
        <v>38</v>
      </c>
      <c r="E1207" t="s">
        <v>61</v>
      </c>
      <c r="F1207" t="s">
        <v>19</v>
      </c>
      <c r="G1207" s="9">
        <v>12.4</v>
      </c>
      <c r="H1207" s="7">
        <v>9.3000000000000007</v>
      </c>
      <c r="I1207" t="str" cm="1">
        <f t="array" ref="I1207">_xlfn.IFS(G1207&lt;3, "0–2 Years", G1207&lt;6, "3–5 Years", G1207&lt;9, "6–8 Years", G1207&lt;12, "9-11 Years", G1207&gt;=12, "12-14 Years")</f>
        <v>12-14 Years</v>
      </c>
      <c r="J1207" s="7">
        <v>3</v>
      </c>
      <c r="K1207" t="s">
        <v>20</v>
      </c>
      <c r="L1207" s="7">
        <v>108600</v>
      </c>
      <c r="M1207" s="7">
        <v>6600</v>
      </c>
      <c r="N1207" s="7">
        <v>115200</v>
      </c>
      <c r="O1207" t="s">
        <v>57</v>
      </c>
      <c r="P1207" s="3">
        <v>41491</v>
      </c>
      <c r="Q1207" t="s">
        <v>19</v>
      </c>
    </row>
    <row r="1208" spans="1:17" x14ac:dyDescent="0.35">
      <c r="A1208" t="s">
        <v>1260</v>
      </c>
      <c r="B1208" t="s">
        <v>23</v>
      </c>
      <c r="C1208">
        <v>43</v>
      </c>
      <c r="D1208" t="s">
        <v>44</v>
      </c>
      <c r="E1208" t="s">
        <v>45</v>
      </c>
      <c r="F1208" t="s">
        <v>36</v>
      </c>
      <c r="G1208">
        <v>9.4</v>
      </c>
      <c r="H1208">
        <v>6.5</v>
      </c>
      <c r="I1208" t="str" cm="1">
        <f t="array" ref="I1208">_xlfn.IFS(G1208&lt;3, "0–2 Years", G1208&lt;6, "3–5 Years", G1208&lt;9, "6–8 Years", G1208&lt;12, "9-11 Years", G1208&gt;=12, "12-14 Years")</f>
        <v>9-11 Years</v>
      </c>
      <c r="J1208">
        <v>3</v>
      </c>
      <c r="K1208" t="s">
        <v>20</v>
      </c>
      <c r="L1208">
        <v>81400</v>
      </c>
      <c r="M1208">
        <v>12000</v>
      </c>
      <c r="N1208">
        <v>93400</v>
      </c>
      <c r="O1208" t="s">
        <v>30</v>
      </c>
      <c r="P1208" s="3">
        <v>42574</v>
      </c>
      <c r="Q1208" t="s">
        <v>36</v>
      </c>
    </row>
    <row r="1209" spans="1:17" x14ac:dyDescent="0.35">
      <c r="A1209" t="s">
        <v>1261</v>
      </c>
      <c r="B1209" t="s">
        <v>23</v>
      </c>
      <c r="C1209">
        <v>22</v>
      </c>
      <c r="D1209" t="s">
        <v>17</v>
      </c>
      <c r="E1209" t="s">
        <v>27</v>
      </c>
      <c r="F1209" t="s">
        <v>28</v>
      </c>
      <c r="G1209">
        <v>11.9</v>
      </c>
      <c r="H1209">
        <v>7.8</v>
      </c>
      <c r="I1209" t="str" cm="1">
        <f t="array" ref="I1209">_xlfn.IFS(G1209&lt;3, "0–2 Years", G1209&lt;6, "3–5 Years", G1209&lt;9, "6–8 Years", G1209&lt;12, "9-11 Years", G1209&gt;=12, "12-14 Years")</f>
        <v>9-11 Years</v>
      </c>
      <c r="J1209">
        <v>4</v>
      </c>
      <c r="K1209" t="s">
        <v>20</v>
      </c>
      <c r="L1209">
        <v>83400</v>
      </c>
      <c r="M1209">
        <v>4200</v>
      </c>
      <c r="N1209">
        <v>87600</v>
      </c>
      <c r="O1209" t="s">
        <v>30</v>
      </c>
      <c r="P1209" s="3">
        <v>41670</v>
      </c>
      <c r="Q1209" t="s">
        <v>28</v>
      </c>
    </row>
    <row r="1210" spans="1:17" x14ac:dyDescent="0.35">
      <c r="A1210" t="s">
        <v>1262</v>
      </c>
      <c r="B1210" t="s">
        <v>23</v>
      </c>
      <c r="C1210">
        <v>54</v>
      </c>
      <c r="D1210" t="s">
        <v>41</v>
      </c>
      <c r="E1210" t="s">
        <v>73</v>
      </c>
      <c r="F1210" t="s">
        <v>36</v>
      </c>
      <c r="G1210">
        <v>6.8</v>
      </c>
      <c r="H1210">
        <v>3.4</v>
      </c>
      <c r="I1210" t="str" cm="1">
        <f t="array" ref="I1210">_xlfn.IFS(G1210&lt;3, "0–2 Years", G1210&lt;6, "3–5 Years", G1210&lt;9, "6–8 Years", G1210&lt;12, "9-11 Years", G1210&gt;=12, "12-14 Years")</f>
        <v>6–8 Years</v>
      </c>
      <c r="J1210">
        <v>2</v>
      </c>
      <c r="K1210" t="s">
        <v>20</v>
      </c>
      <c r="L1210">
        <v>107600</v>
      </c>
      <c r="M1210">
        <v>8500</v>
      </c>
      <c r="N1210">
        <v>116100</v>
      </c>
      <c r="O1210" t="s">
        <v>57</v>
      </c>
      <c r="P1210" s="3">
        <v>43541</v>
      </c>
      <c r="Q1210" t="s">
        <v>36</v>
      </c>
    </row>
    <row r="1211" spans="1:17" x14ac:dyDescent="0.35">
      <c r="A1211" t="s">
        <v>1263</v>
      </c>
      <c r="B1211" t="s">
        <v>23</v>
      </c>
      <c r="C1211">
        <v>32</v>
      </c>
      <c r="D1211" t="s">
        <v>44</v>
      </c>
      <c r="E1211" t="s">
        <v>51</v>
      </c>
      <c r="F1211" t="s">
        <v>36</v>
      </c>
      <c r="G1211">
        <v>5.7</v>
      </c>
      <c r="H1211">
        <v>4.8</v>
      </c>
      <c r="I1211" t="str" cm="1">
        <f t="array" ref="I1211">_xlfn.IFS(G1211&lt;3, "0–2 Years", G1211&lt;6, "3–5 Years", G1211&lt;9, "6–8 Years", G1211&lt;12, "9-11 Years", G1211&gt;=12, "12-14 Years")</f>
        <v>3–5 Years</v>
      </c>
      <c r="J1211">
        <v>3</v>
      </c>
      <c r="K1211" t="s">
        <v>20</v>
      </c>
      <c r="L1211">
        <v>90100</v>
      </c>
      <c r="M1211">
        <v>11700</v>
      </c>
      <c r="N1211">
        <v>101800</v>
      </c>
      <c r="O1211" t="s">
        <v>30</v>
      </c>
      <c r="P1211" s="3">
        <v>43955</v>
      </c>
      <c r="Q1211" t="s">
        <v>36</v>
      </c>
    </row>
    <row r="1212" spans="1:17" x14ac:dyDescent="0.35">
      <c r="A1212" t="s">
        <v>1264</v>
      </c>
      <c r="B1212" t="s">
        <v>16</v>
      </c>
      <c r="C1212">
        <v>27</v>
      </c>
      <c r="D1212" t="s">
        <v>38</v>
      </c>
      <c r="E1212" t="s">
        <v>39</v>
      </c>
      <c r="F1212" t="s">
        <v>28</v>
      </c>
      <c r="G1212">
        <v>4.0999999999999996</v>
      </c>
      <c r="H1212">
        <v>2.8</v>
      </c>
      <c r="I1212" t="str" cm="1">
        <f t="array" ref="I1212">_xlfn.IFS(G1212&lt;3, "0–2 Years", G1212&lt;6, "3–5 Years", G1212&lt;9, "6–8 Years", G1212&lt;12, "9-11 Years", G1212&gt;=12, "12-14 Years")</f>
        <v>3–5 Years</v>
      </c>
      <c r="J1212">
        <v>3</v>
      </c>
      <c r="K1212" t="s">
        <v>20</v>
      </c>
      <c r="L1212">
        <v>78800</v>
      </c>
      <c r="M1212">
        <v>3100</v>
      </c>
      <c r="N1212">
        <v>81900</v>
      </c>
      <c r="O1212" t="s">
        <v>21</v>
      </c>
      <c r="P1212" s="3">
        <v>44510</v>
      </c>
      <c r="Q1212" t="s">
        <v>28</v>
      </c>
    </row>
    <row r="1213" spans="1:17" x14ac:dyDescent="0.35">
      <c r="A1213" t="s">
        <v>1265</v>
      </c>
      <c r="B1213" t="s">
        <v>16</v>
      </c>
      <c r="C1213">
        <v>27</v>
      </c>
      <c r="D1213" t="s">
        <v>55</v>
      </c>
      <c r="E1213" t="s">
        <v>92</v>
      </c>
      <c r="F1213" t="s">
        <v>28</v>
      </c>
      <c r="G1213">
        <v>10.6</v>
      </c>
      <c r="H1213">
        <v>7.3</v>
      </c>
      <c r="I1213" t="str" cm="1">
        <f t="array" ref="I1213">_xlfn.IFS(G1213&lt;3, "0–2 Years", G1213&lt;6, "3–5 Years", G1213&lt;9, "6–8 Years", G1213&lt;12, "9-11 Years", G1213&gt;=12, "12-14 Years")</f>
        <v>9-11 Years</v>
      </c>
      <c r="J1213">
        <v>3</v>
      </c>
      <c r="K1213" t="s">
        <v>20</v>
      </c>
      <c r="L1213">
        <v>97200</v>
      </c>
      <c r="M1213">
        <v>19900</v>
      </c>
      <c r="N1213">
        <v>117100</v>
      </c>
      <c r="O1213" t="s">
        <v>30</v>
      </c>
      <c r="P1213" s="3">
        <v>42157</v>
      </c>
      <c r="Q1213" t="s">
        <v>28</v>
      </c>
    </row>
    <row r="1214" spans="1:17" x14ac:dyDescent="0.35">
      <c r="A1214" t="s">
        <v>1266</v>
      </c>
      <c r="B1214" t="s">
        <v>23</v>
      </c>
      <c r="C1214">
        <v>21</v>
      </c>
      <c r="D1214" t="s">
        <v>34</v>
      </c>
      <c r="E1214" t="s">
        <v>59</v>
      </c>
      <c r="F1214" t="s">
        <v>36</v>
      </c>
      <c r="G1214">
        <v>4</v>
      </c>
      <c r="H1214">
        <v>2</v>
      </c>
      <c r="I1214" t="str" cm="1">
        <f t="array" ref="I1214">_xlfn.IFS(G1214&lt;3, "0–2 Years", G1214&lt;6, "3–5 Years", G1214&lt;9, "6–8 Years", G1214&lt;12, "9-11 Years", G1214&gt;=12, "12-14 Years")</f>
        <v>3–5 Years</v>
      </c>
      <c r="J1214">
        <v>3</v>
      </c>
      <c r="K1214" t="s">
        <v>69</v>
      </c>
      <c r="L1214">
        <v>87400</v>
      </c>
      <c r="M1214">
        <v>7400</v>
      </c>
      <c r="N1214">
        <v>94800</v>
      </c>
      <c r="O1214" t="s">
        <v>30</v>
      </c>
      <c r="P1214" s="3">
        <v>44552</v>
      </c>
      <c r="Q1214" t="s">
        <v>36</v>
      </c>
    </row>
    <row r="1215" spans="1:17" x14ac:dyDescent="0.35">
      <c r="A1215" t="s">
        <v>1267</v>
      </c>
      <c r="B1215" t="s">
        <v>23</v>
      </c>
      <c r="C1215" s="7">
        <v>55</v>
      </c>
      <c r="D1215" t="s">
        <v>34</v>
      </c>
      <c r="E1215" t="s">
        <v>47</v>
      </c>
      <c r="F1215" t="s">
        <v>36</v>
      </c>
      <c r="G1215" s="9">
        <v>12.7</v>
      </c>
      <c r="H1215" s="7">
        <v>7.2</v>
      </c>
      <c r="I1215" t="str" cm="1">
        <f t="array" ref="I1215">_xlfn.IFS(G1215&lt;3, "0–2 Years", G1215&lt;6, "3–5 Years", G1215&lt;9, "6–8 Years", G1215&lt;12, "9-11 Years", G1215&gt;=12, "12-14 Years")</f>
        <v>12-14 Years</v>
      </c>
      <c r="J1215" s="7">
        <v>3</v>
      </c>
      <c r="K1215" t="s">
        <v>20</v>
      </c>
      <c r="L1215" s="7">
        <v>82700</v>
      </c>
      <c r="M1215" s="7">
        <v>6700</v>
      </c>
      <c r="N1215" s="7">
        <v>89400</v>
      </c>
      <c r="O1215" t="s">
        <v>30</v>
      </c>
      <c r="P1215" s="3">
        <v>41374</v>
      </c>
      <c r="Q1215" t="s">
        <v>36</v>
      </c>
    </row>
    <row r="1216" spans="1:17" x14ac:dyDescent="0.35">
      <c r="A1216" t="s">
        <v>1268</v>
      </c>
      <c r="B1216" t="s">
        <v>23</v>
      </c>
      <c r="C1216">
        <v>33</v>
      </c>
      <c r="D1216" t="s">
        <v>55</v>
      </c>
      <c r="E1216" t="s">
        <v>92</v>
      </c>
      <c r="F1216" t="s">
        <v>28</v>
      </c>
      <c r="G1216">
        <v>8</v>
      </c>
      <c r="H1216">
        <v>4.5999999999999996</v>
      </c>
      <c r="I1216" t="str" cm="1">
        <f t="array" ref="I1216">_xlfn.IFS(G1216&lt;3, "0–2 Years", G1216&lt;6, "3–5 Years", G1216&lt;9, "6–8 Years", G1216&lt;12, "9-11 Years", G1216&gt;=12, "12-14 Years")</f>
        <v>6–8 Years</v>
      </c>
      <c r="J1216">
        <v>3</v>
      </c>
      <c r="K1216" t="s">
        <v>20</v>
      </c>
      <c r="L1216">
        <v>98800</v>
      </c>
      <c r="M1216">
        <v>15100</v>
      </c>
      <c r="N1216">
        <v>113900</v>
      </c>
      <c r="O1216" t="s">
        <v>30</v>
      </c>
      <c r="P1216" s="3">
        <v>43088</v>
      </c>
      <c r="Q1216" t="s">
        <v>28</v>
      </c>
    </row>
    <row r="1217" spans="1:17" x14ac:dyDescent="0.35">
      <c r="A1217" t="s">
        <v>1269</v>
      </c>
      <c r="B1217" t="s">
        <v>16</v>
      </c>
      <c r="C1217">
        <v>33</v>
      </c>
      <c r="D1217" t="s">
        <v>41</v>
      </c>
      <c r="E1217" t="s">
        <v>73</v>
      </c>
      <c r="F1217" t="s">
        <v>28</v>
      </c>
      <c r="G1217">
        <v>7.8</v>
      </c>
      <c r="H1217">
        <v>7</v>
      </c>
      <c r="I1217" t="str" cm="1">
        <f t="array" ref="I1217">_xlfn.IFS(G1217&lt;3, "0–2 Years", G1217&lt;6, "3–5 Years", G1217&lt;9, "6–8 Years", G1217&lt;12, "9-11 Years", G1217&gt;=12, "12-14 Years")</f>
        <v>6–8 Years</v>
      </c>
      <c r="J1217">
        <v>4</v>
      </c>
      <c r="K1217" t="s">
        <v>20</v>
      </c>
      <c r="L1217">
        <v>96700</v>
      </c>
      <c r="M1217">
        <v>6400</v>
      </c>
      <c r="N1217">
        <v>103100</v>
      </c>
      <c r="O1217" t="s">
        <v>30</v>
      </c>
      <c r="P1217" s="3">
        <v>43162</v>
      </c>
      <c r="Q1217" t="s">
        <v>28</v>
      </c>
    </row>
    <row r="1218" spans="1:17" x14ac:dyDescent="0.35">
      <c r="A1218" t="s">
        <v>1270</v>
      </c>
      <c r="B1218" t="s">
        <v>23</v>
      </c>
      <c r="C1218">
        <v>49</v>
      </c>
      <c r="D1218" t="s">
        <v>41</v>
      </c>
      <c r="E1218" t="s">
        <v>73</v>
      </c>
      <c r="F1218" t="s">
        <v>28</v>
      </c>
      <c r="G1218">
        <v>6.5</v>
      </c>
      <c r="H1218">
        <v>6.1</v>
      </c>
      <c r="I1218" t="str" cm="1">
        <f t="array" ref="I1218">_xlfn.IFS(G1218&lt;3, "0–2 Years", G1218&lt;6, "3–5 Years", G1218&lt;9, "6–8 Years", G1218&lt;12, "9-11 Years", G1218&gt;=12, "12-14 Years")</f>
        <v>6–8 Years</v>
      </c>
      <c r="J1218">
        <v>2</v>
      </c>
      <c r="K1218" t="s">
        <v>20</v>
      </c>
      <c r="L1218">
        <v>94000</v>
      </c>
      <c r="M1218">
        <v>5400</v>
      </c>
      <c r="N1218">
        <v>99400</v>
      </c>
      <c r="O1218" t="s">
        <v>30</v>
      </c>
      <c r="P1218" s="3">
        <v>43664</v>
      </c>
      <c r="Q1218" t="s">
        <v>28</v>
      </c>
    </row>
    <row r="1219" spans="1:17" x14ac:dyDescent="0.35">
      <c r="A1219" t="s">
        <v>1271</v>
      </c>
      <c r="B1219" t="s">
        <v>16</v>
      </c>
      <c r="C1219">
        <v>43</v>
      </c>
      <c r="D1219" t="s">
        <v>41</v>
      </c>
      <c r="E1219" t="s">
        <v>73</v>
      </c>
      <c r="F1219" t="s">
        <v>36</v>
      </c>
      <c r="G1219">
        <v>4.4000000000000004</v>
      </c>
      <c r="H1219">
        <v>4.2</v>
      </c>
      <c r="I1219" t="str" cm="1">
        <f t="array" ref="I1219">_xlfn.IFS(G1219&lt;3, "0–2 Years", G1219&lt;6, "3–5 Years", G1219&lt;9, "6–8 Years", G1219&lt;12, "9-11 Years", G1219&gt;=12, "12-14 Years")</f>
        <v>3–5 Years</v>
      </c>
      <c r="J1219">
        <v>3</v>
      </c>
      <c r="K1219" t="s">
        <v>20</v>
      </c>
      <c r="L1219">
        <v>102200</v>
      </c>
      <c r="M1219">
        <v>4000</v>
      </c>
      <c r="N1219">
        <v>106200</v>
      </c>
      <c r="O1219" t="s">
        <v>57</v>
      </c>
      <c r="P1219" s="3">
        <v>44415</v>
      </c>
      <c r="Q1219" t="s">
        <v>36</v>
      </c>
    </row>
    <row r="1220" spans="1:17" x14ac:dyDescent="0.35">
      <c r="A1220" t="s">
        <v>1272</v>
      </c>
      <c r="B1220" t="s">
        <v>23</v>
      </c>
      <c r="C1220">
        <v>35</v>
      </c>
      <c r="D1220" t="s">
        <v>34</v>
      </c>
      <c r="E1220" t="s">
        <v>35</v>
      </c>
      <c r="F1220" t="s">
        <v>36</v>
      </c>
      <c r="G1220">
        <v>6.3</v>
      </c>
      <c r="H1220">
        <v>2.5</v>
      </c>
      <c r="I1220" t="str" cm="1">
        <f t="array" ref="I1220">_xlfn.IFS(G1220&lt;3, "0–2 Years", G1220&lt;6, "3–5 Years", G1220&lt;9, "6–8 Years", G1220&lt;12, "9-11 Years", G1220&gt;=12, "12-14 Years")</f>
        <v>6–8 Years</v>
      </c>
      <c r="J1220">
        <v>4</v>
      </c>
      <c r="K1220" t="s">
        <v>20</v>
      </c>
      <c r="L1220">
        <v>90200</v>
      </c>
      <c r="M1220">
        <v>4200</v>
      </c>
      <c r="N1220">
        <v>94400</v>
      </c>
      <c r="O1220" t="s">
        <v>30</v>
      </c>
      <c r="P1220" s="3">
        <v>43728</v>
      </c>
      <c r="Q1220" t="s">
        <v>36</v>
      </c>
    </row>
    <row r="1221" spans="1:17" x14ac:dyDescent="0.35">
      <c r="A1221" t="s">
        <v>1273</v>
      </c>
      <c r="B1221" t="s">
        <v>16</v>
      </c>
      <c r="C1221">
        <v>33</v>
      </c>
      <c r="D1221" t="s">
        <v>34</v>
      </c>
      <c r="E1221" t="s">
        <v>47</v>
      </c>
      <c r="F1221" t="s">
        <v>28</v>
      </c>
      <c r="G1221">
        <v>2.1</v>
      </c>
      <c r="H1221">
        <v>0.3</v>
      </c>
      <c r="I1221" t="str" cm="1">
        <f t="array" ref="I1221">_xlfn.IFS(G1221&lt;3, "0–2 Years", G1221&lt;6, "3–5 Years", G1221&lt;9, "6–8 Years", G1221&lt;12, "9-11 Years", G1221&gt;=12, "12-14 Years")</f>
        <v>0–2 Years</v>
      </c>
      <c r="J1221">
        <v>4</v>
      </c>
      <c r="K1221" t="s">
        <v>20</v>
      </c>
      <c r="L1221">
        <v>65300</v>
      </c>
      <c r="M1221">
        <v>6300</v>
      </c>
      <c r="N1221">
        <v>71600</v>
      </c>
      <c r="O1221" t="s">
        <v>21</v>
      </c>
      <c r="P1221" s="3">
        <v>45254</v>
      </c>
      <c r="Q1221" t="s">
        <v>28</v>
      </c>
    </row>
    <row r="1222" spans="1:17" x14ac:dyDescent="0.35">
      <c r="A1222" t="s">
        <v>1274</v>
      </c>
      <c r="B1222" t="s">
        <v>16</v>
      </c>
      <c r="C1222">
        <v>39</v>
      </c>
      <c r="D1222" t="s">
        <v>44</v>
      </c>
      <c r="E1222" t="s">
        <v>81</v>
      </c>
      <c r="F1222" t="s">
        <v>28</v>
      </c>
      <c r="G1222">
        <v>6.1</v>
      </c>
      <c r="H1222">
        <v>4.5999999999999996</v>
      </c>
      <c r="I1222" t="str" cm="1">
        <f t="array" ref="I1222">_xlfn.IFS(G1222&lt;3, "0–2 Years", G1222&lt;6, "3–5 Years", G1222&lt;9, "6–8 Years", G1222&lt;12, "9-11 Years", G1222&gt;=12, "12-14 Years")</f>
        <v>6–8 Years</v>
      </c>
      <c r="J1222">
        <v>3</v>
      </c>
      <c r="K1222" t="s">
        <v>20</v>
      </c>
      <c r="L1222">
        <v>102200</v>
      </c>
      <c r="M1222">
        <v>14800</v>
      </c>
      <c r="N1222">
        <v>117000</v>
      </c>
      <c r="O1222" t="s">
        <v>57</v>
      </c>
      <c r="P1222" s="3">
        <v>43788</v>
      </c>
      <c r="Q1222" t="s">
        <v>28</v>
      </c>
    </row>
    <row r="1223" spans="1:17" x14ac:dyDescent="0.35">
      <c r="A1223" t="s">
        <v>1275</v>
      </c>
      <c r="B1223" t="s">
        <v>16</v>
      </c>
      <c r="C1223" s="7">
        <v>42</v>
      </c>
      <c r="D1223" t="s">
        <v>44</v>
      </c>
      <c r="E1223" t="s">
        <v>76</v>
      </c>
      <c r="F1223" t="s">
        <v>28</v>
      </c>
      <c r="G1223" s="9">
        <v>12.2</v>
      </c>
      <c r="H1223" s="7">
        <v>8.9</v>
      </c>
      <c r="I1223" t="str" cm="1">
        <f t="array" ref="I1223">_xlfn.IFS(G1223&lt;3, "0–2 Years", G1223&lt;6, "3–5 Years", G1223&lt;9, "6–8 Years", G1223&lt;12, "9-11 Years", G1223&gt;=12, "12-14 Years")</f>
        <v>12-14 Years</v>
      </c>
      <c r="J1223" s="7">
        <v>5</v>
      </c>
      <c r="K1223" t="s">
        <v>20</v>
      </c>
      <c r="L1223" s="7">
        <v>127100</v>
      </c>
      <c r="M1223" s="7">
        <v>15900</v>
      </c>
      <c r="N1223" s="7">
        <v>143000</v>
      </c>
      <c r="O1223" t="s">
        <v>57</v>
      </c>
      <c r="P1223" s="3">
        <v>41551</v>
      </c>
      <c r="Q1223" t="s">
        <v>28</v>
      </c>
    </row>
    <row r="1224" spans="1:17" x14ac:dyDescent="0.35">
      <c r="A1224" t="s">
        <v>1276</v>
      </c>
      <c r="B1224" t="s">
        <v>23</v>
      </c>
      <c r="C1224">
        <v>39</v>
      </c>
      <c r="D1224" t="s">
        <v>17</v>
      </c>
      <c r="E1224" t="s">
        <v>32</v>
      </c>
      <c r="F1224" t="s">
        <v>36</v>
      </c>
      <c r="G1224">
        <v>1.3</v>
      </c>
      <c r="H1224">
        <v>0</v>
      </c>
      <c r="I1224" t="str" cm="1">
        <f t="array" ref="I1224">_xlfn.IFS(G1224&lt;3, "0–2 Years", G1224&lt;6, "3–5 Years", G1224&lt;9, "6–8 Years", G1224&lt;12, "9-11 Years", G1224&gt;=12, "12-14 Years")</f>
        <v>0–2 Years</v>
      </c>
      <c r="J1224">
        <v>4</v>
      </c>
      <c r="K1224" t="s">
        <v>24</v>
      </c>
      <c r="L1224">
        <v>40800</v>
      </c>
      <c r="M1224">
        <v>2600</v>
      </c>
      <c r="N1224">
        <v>43400</v>
      </c>
      <c r="O1224" t="s">
        <v>65</v>
      </c>
      <c r="P1224" s="3">
        <v>45559</v>
      </c>
      <c r="Q1224" t="s">
        <v>36</v>
      </c>
    </row>
    <row r="1225" spans="1:17" x14ac:dyDescent="0.35">
      <c r="A1225" t="s">
        <v>1277</v>
      </c>
      <c r="B1225" t="s">
        <v>23</v>
      </c>
      <c r="C1225">
        <v>41</v>
      </c>
      <c r="D1225" t="s">
        <v>41</v>
      </c>
      <c r="E1225" t="s">
        <v>73</v>
      </c>
      <c r="F1225" t="s">
        <v>36</v>
      </c>
      <c r="G1225">
        <v>11.5</v>
      </c>
      <c r="H1225">
        <v>7</v>
      </c>
      <c r="I1225" t="str" cm="1">
        <f t="array" ref="I1225">_xlfn.IFS(G1225&lt;3, "0–2 Years", G1225&lt;6, "3–5 Years", G1225&lt;9, "6–8 Years", G1225&lt;12, "9-11 Years", G1225&gt;=12, "12-14 Years")</f>
        <v>9-11 Years</v>
      </c>
      <c r="J1225">
        <v>3</v>
      </c>
      <c r="K1225" t="s">
        <v>20</v>
      </c>
      <c r="L1225">
        <v>123700</v>
      </c>
      <c r="M1225">
        <v>4200</v>
      </c>
      <c r="N1225">
        <v>127900</v>
      </c>
      <c r="O1225" t="s">
        <v>57</v>
      </c>
      <c r="P1225" s="3">
        <v>41807</v>
      </c>
      <c r="Q1225" t="s">
        <v>36</v>
      </c>
    </row>
    <row r="1226" spans="1:17" x14ac:dyDescent="0.35">
      <c r="A1226" t="s">
        <v>1278</v>
      </c>
      <c r="B1226" t="s">
        <v>23</v>
      </c>
      <c r="C1226">
        <v>43</v>
      </c>
      <c r="D1226" t="s">
        <v>41</v>
      </c>
      <c r="E1226" t="s">
        <v>73</v>
      </c>
      <c r="F1226" t="s">
        <v>36</v>
      </c>
      <c r="G1226">
        <v>9.6999999999999993</v>
      </c>
      <c r="H1226">
        <v>8.5</v>
      </c>
      <c r="I1226" t="str" cm="1">
        <f t="array" ref="I1226">_xlfn.IFS(G1226&lt;3, "0–2 Years", G1226&lt;6, "3–5 Years", G1226&lt;9, "6–8 Years", G1226&lt;12, "9-11 Years", G1226&gt;=12, "12-14 Years")</f>
        <v>9-11 Years</v>
      </c>
      <c r="J1226">
        <v>3</v>
      </c>
      <c r="K1226" t="s">
        <v>20</v>
      </c>
      <c r="L1226">
        <v>104300</v>
      </c>
      <c r="M1226">
        <v>7900</v>
      </c>
      <c r="N1226">
        <v>112200</v>
      </c>
      <c r="O1226" t="s">
        <v>57</v>
      </c>
      <c r="P1226" s="3">
        <v>42481</v>
      </c>
      <c r="Q1226" t="s">
        <v>36</v>
      </c>
    </row>
    <row r="1227" spans="1:17" x14ac:dyDescent="0.35">
      <c r="A1227" t="s">
        <v>1279</v>
      </c>
      <c r="B1227" t="s">
        <v>16</v>
      </c>
      <c r="C1227">
        <v>43</v>
      </c>
      <c r="D1227" t="s">
        <v>41</v>
      </c>
      <c r="E1227" t="s">
        <v>42</v>
      </c>
      <c r="F1227" t="s">
        <v>28</v>
      </c>
      <c r="G1227">
        <v>11.9</v>
      </c>
      <c r="H1227">
        <v>6.9</v>
      </c>
      <c r="I1227" t="str" cm="1">
        <f t="array" ref="I1227">_xlfn.IFS(G1227&lt;3, "0–2 Years", G1227&lt;6, "3–5 Years", G1227&lt;9, "6–8 Years", G1227&lt;12, "9-11 Years", G1227&gt;=12, "12-14 Years")</f>
        <v>9-11 Years</v>
      </c>
      <c r="J1227">
        <v>2</v>
      </c>
      <c r="K1227" t="s">
        <v>20</v>
      </c>
      <c r="L1227">
        <v>74800</v>
      </c>
      <c r="M1227">
        <v>4500</v>
      </c>
      <c r="N1227">
        <v>79300</v>
      </c>
      <c r="O1227" t="s">
        <v>21</v>
      </c>
      <c r="P1227" s="3">
        <v>41670</v>
      </c>
      <c r="Q1227" t="s">
        <v>28</v>
      </c>
    </row>
    <row r="1228" spans="1:17" x14ac:dyDescent="0.35">
      <c r="A1228" t="s">
        <v>1280</v>
      </c>
      <c r="B1228" t="s">
        <v>16</v>
      </c>
      <c r="C1228">
        <v>26</v>
      </c>
      <c r="D1228" t="s">
        <v>34</v>
      </c>
      <c r="E1228" t="s">
        <v>35</v>
      </c>
      <c r="F1228" t="s">
        <v>19</v>
      </c>
      <c r="G1228">
        <v>5.0999999999999996</v>
      </c>
      <c r="H1228">
        <v>3.7</v>
      </c>
      <c r="I1228" t="str" cm="1">
        <f t="array" ref="I1228">_xlfn.IFS(G1228&lt;3, "0–2 Years", G1228&lt;6, "3–5 Years", G1228&lt;9, "6–8 Years", G1228&lt;12, "9-11 Years", G1228&gt;=12, "12-14 Years")</f>
        <v>3–5 Years</v>
      </c>
      <c r="J1228">
        <v>4</v>
      </c>
      <c r="K1228" t="s">
        <v>20</v>
      </c>
      <c r="L1228">
        <v>68700</v>
      </c>
      <c r="M1228">
        <v>2900</v>
      </c>
      <c r="N1228">
        <v>71600</v>
      </c>
      <c r="O1228" t="s">
        <v>21</v>
      </c>
      <c r="P1228" s="3">
        <v>44175</v>
      </c>
      <c r="Q1228" t="s">
        <v>19</v>
      </c>
    </row>
    <row r="1229" spans="1:17" x14ac:dyDescent="0.35">
      <c r="A1229" t="s">
        <v>1281</v>
      </c>
      <c r="B1229" t="s">
        <v>23</v>
      </c>
      <c r="C1229">
        <v>37</v>
      </c>
      <c r="D1229" t="s">
        <v>17</v>
      </c>
      <c r="E1229" t="s">
        <v>18</v>
      </c>
      <c r="F1229" t="s">
        <v>28</v>
      </c>
      <c r="G1229">
        <v>3.8</v>
      </c>
      <c r="H1229">
        <v>3.8</v>
      </c>
      <c r="I1229" t="str" cm="1">
        <f t="array" ref="I1229">_xlfn.IFS(G1229&lt;3, "0–2 Years", G1229&lt;6, "3–5 Years", G1229&lt;9, "6–8 Years", G1229&lt;12, "9-11 Years", G1229&gt;=12, "12-14 Years")</f>
        <v>3–5 Years</v>
      </c>
      <c r="J1229">
        <v>4</v>
      </c>
      <c r="K1229" t="s">
        <v>20</v>
      </c>
      <c r="L1229">
        <v>89700</v>
      </c>
      <c r="M1229">
        <v>9400</v>
      </c>
      <c r="N1229">
        <v>99100</v>
      </c>
      <c r="O1229" t="s">
        <v>30</v>
      </c>
      <c r="P1229" s="3">
        <v>44634</v>
      </c>
      <c r="Q1229" t="s">
        <v>28</v>
      </c>
    </row>
    <row r="1230" spans="1:17" x14ac:dyDescent="0.35">
      <c r="A1230" t="s">
        <v>1282</v>
      </c>
      <c r="B1230" t="s">
        <v>23</v>
      </c>
      <c r="C1230">
        <v>42</v>
      </c>
      <c r="D1230" t="s">
        <v>34</v>
      </c>
      <c r="E1230" t="s">
        <v>47</v>
      </c>
      <c r="F1230" t="s">
        <v>28</v>
      </c>
      <c r="G1230">
        <v>11.3</v>
      </c>
      <c r="H1230">
        <v>7.1</v>
      </c>
      <c r="I1230" t="str" cm="1">
        <f t="array" ref="I1230">_xlfn.IFS(G1230&lt;3, "0–2 Years", G1230&lt;6, "3–5 Years", G1230&lt;9, "6–8 Years", G1230&lt;12, "9-11 Years", G1230&gt;=12, "12-14 Years")</f>
        <v>9-11 Years</v>
      </c>
      <c r="J1230">
        <v>4</v>
      </c>
      <c r="K1230" t="s">
        <v>24</v>
      </c>
      <c r="L1230">
        <v>48000</v>
      </c>
      <c r="M1230">
        <v>4700</v>
      </c>
      <c r="N1230">
        <v>52700</v>
      </c>
      <c r="O1230" t="s">
        <v>65</v>
      </c>
      <c r="P1230" s="3">
        <v>41900</v>
      </c>
      <c r="Q1230" t="s">
        <v>28</v>
      </c>
    </row>
    <row r="1231" spans="1:17" x14ac:dyDescent="0.35">
      <c r="A1231" t="s">
        <v>1283</v>
      </c>
      <c r="B1231" t="s">
        <v>16</v>
      </c>
      <c r="C1231">
        <v>33</v>
      </c>
      <c r="D1231" t="s">
        <v>41</v>
      </c>
      <c r="E1231" t="s">
        <v>73</v>
      </c>
      <c r="F1231" t="s">
        <v>62</v>
      </c>
      <c r="G1231">
        <v>7.7</v>
      </c>
      <c r="H1231">
        <v>6.1</v>
      </c>
      <c r="I1231" t="str" cm="1">
        <f t="array" ref="I1231">_xlfn.IFS(G1231&lt;3, "0–2 Years", G1231&lt;6, "3–5 Years", G1231&lt;9, "6–8 Years", G1231&lt;12, "9-11 Years", G1231&gt;=12, "12-14 Years")</f>
        <v>6–8 Years</v>
      </c>
      <c r="J1231">
        <v>4</v>
      </c>
      <c r="K1231" t="s">
        <v>20</v>
      </c>
      <c r="L1231">
        <v>117200</v>
      </c>
      <c r="M1231">
        <v>9100</v>
      </c>
      <c r="N1231">
        <v>126300</v>
      </c>
      <c r="O1231" t="s">
        <v>57</v>
      </c>
      <c r="P1231" s="3">
        <v>43194</v>
      </c>
      <c r="Q1231" t="s">
        <v>62</v>
      </c>
    </row>
    <row r="1232" spans="1:17" x14ac:dyDescent="0.35">
      <c r="A1232" t="s">
        <v>1284</v>
      </c>
      <c r="B1232" t="s">
        <v>23</v>
      </c>
      <c r="C1232" s="7">
        <v>35</v>
      </c>
      <c r="D1232" t="s">
        <v>17</v>
      </c>
      <c r="E1232" t="s">
        <v>27</v>
      </c>
      <c r="F1232" t="s">
        <v>36</v>
      </c>
      <c r="G1232" s="9">
        <v>12.7</v>
      </c>
      <c r="H1232" s="7">
        <v>6.6</v>
      </c>
      <c r="I1232" t="str" cm="1">
        <f t="array" ref="I1232">_xlfn.IFS(G1232&lt;3, "0–2 Years", G1232&lt;6, "3–5 Years", G1232&lt;9, "6–8 Years", G1232&lt;12, "9-11 Years", G1232&gt;=12, "12-14 Years")</f>
        <v>12-14 Years</v>
      </c>
      <c r="J1232" s="7">
        <v>3</v>
      </c>
      <c r="K1232" t="s">
        <v>20</v>
      </c>
      <c r="L1232" s="7">
        <v>87100</v>
      </c>
      <c r="M1232" s="7">
        <v>5900</v>
      </c>
      <c r="N1232" s="7">
        <v>93000</v>
      </c>
      <c r="O1232" t="s">
        <v>30</v>
      </c>
      <c r="P1232" s="3">
        <v>41367</v>
      </c>
      <c r="Q1232" t="s">
        <v>36</v>
      </c>
    </row>
    <row r="1233" spans="1:17" x14ac:dyDescent="0.35">
      <c r="A1233" t="s">
        <v>1285</v>
      </c>
      <c r="B1233" t="s">
        <v>23</v>
      </c>
      <c r="C1233">
        <v>38</v>
      </c>
      <c r="D1233" t="s">
        <v>34</v>
      </c>
      <c r="E1233" t="s">
        <v>47</v>
      </c>
      <c r="F1233" t="s">
        <v>28</v>
      </c>
      <c r="G1233">
        <v>1.6</v>
      </c>
      <c r="H1233">
        <v>0</v>
      </c>
      <c r="I1233" t="str" cm="1">
        <f t="array" ref="I1233">_xlfn.IFS(G1233&lt;3, "0–2 Years", G1233&lt;6, "3–5 Years", G1233&lt;9, "6–8 Years", G1233&lt;12, "9-11 Years", G1233&gt;=12, "12-14 Years")</f>
        <v>0–2 Years</v>
      </c>
      <c r="J1233">
        <v>3</v>
      </c>
      <c r="K1233" t="s">
        <v>20</v>
      </c>
      <c r="L1233">
        <v>67200</v>
      </c>
      <c r="M1233">
        <v>2700</v>
      </c>
      <c r="N1233">
        <v>69900</v>
      </c>
      <c r="O1233" t="s">
        <v>21</v>
      </c>
      <c r="P1233" s="3">
        <v>45438</v>
      </c>
      <c r="Q1233" t="s">
        <v>28</v>
      </c>
    </row>
    <row r="1234" spans="1:17" x14ac:dyDescent="0.35">
      <c r="A1234" t="s">
        <v>1286</v>
      </c>
      <c r="B1234" t="s">
        <v>16</v>
      </c>
      <c r="C1234" s="7">
        <v>31</v>
      </c>
      <c r="D1234" t="s">
        <v>44</v>
      </c>
      <c r="E1234" t="s">
        <v>45</v>
      </c>
      <c r="F1234" t="s">
        <v>19</v>
      </c>
      <c r="G1234" s="9">
        <v>13.9</v>
      </c>
      <c r="H1234" s="7">
        <v>9.6</v>
      </c>
      <c r="I1234" t="str" cm="1">
        <f t="array" ref="I1234">_xlfn.IFS(G1234&lt;3, "0–2 Years", G1234&lt;6, "3–5 Years", G1234&lt;9, "6–8 Years", G1234&lt;12, "9-11 Years", G1234&gt;=12, "12-14 Years")</f>
        <v>12-14 Years</v>
      </c>
      <c r="J1234" s="7">
        <v>5</v>
      </c>
      <c r="K1234" t="s">
        <v>20</v>
      </c>
      <c r="L1234" s="7">
        <v>76600</v>
      </c>
      <c r="M1234" s="7">
        <v>7200</v>
      </c>
      <c r="N1234" s="7">
        <v>83800</v>
      </c>
      <c r="O1234" t="s">
        <v>21</v>
      </c>
      <c r="P1234" s="3">
        <v>40959</v>
      </c>
      <c r="Q1234" t="s">
        <v>19</v>
      </c>
    </row>
    <row r="1235" spans="1:17" x14ac:dyDescent="0.35">
      <c r="A1235" t="s">
        <v>1287</v>
      </c>
      <c r="B1235" t="s">
        <v>16</v>
      </c>
      <c r="C1235" s="7">
        <v>32</v>
      </c>
      <c r="D1235" t="s">
        <v>41</v>
      </c>
      <c r="E1235" t="s">
        <v>67</v>
      </c>
      <c r="F1235" t="s">
        <v>28</v>
      </c>
      <c r="G1235" s="9">
        <v>13.2</v>
      </c>
      <c r="H1235" s="7">
        <v>8.1</v>
      </c>
      <c r="I1235" t="str" cm="1">
        <f t="array" ref="I1235">_xlfn.IFS(G1235&lt;3, "0–2 Years", G1235&lt;6, "3–5 Years", G1235&lt;9, "6–8 Years", G1235&lt;12, "9-11 Years", G1235&gt;=12, "12-14 Years")</f>
        <v>12-14 Years</v>
      </c>
      <c r="J1235" s="7">
        <v>3</v>
      </c>
      <c r="K1235" t="s">
        <v>20</v>
      </c>
      <c r="L1235" s="7">
        <v>70300</v>
      </c>
      <c r="M1235" s="7">
        <v>5700</v>
      </c>
      <c r="N1235" s="7">
        <v>76000</v>
      </c>
      <c r="O1235" t="s">
        <v>21</v>
      </c>
      <c r="P1235" s="3">
        <v>41199</v>
      </c>
      <c r="Q1235" t="s">
        <v>28</v>
      </c>
    </row>
    <row r="1236" spans="1:17" x14ac:dyDescent="0.35">
      <c r="A1236" t="s">
        <v>1288</v>
      </c>
      <c r="B1236" t="s">
        <v>23</v>
      </c>
      <c r="C1236">
        <v>35</v>
      </c>
      <c r="D1236" t="s">
        <v>34</v>
      </c>
      <c r="E1236" t="s">
        <v>59</v>
      </c>
      <c r="F1236" t="s">
        <v>28</v>
      </c>
      <c r="G1236">
        <v>1.4</v>
      </c>
      <c r="H1236">
        <v>1.4</v>
      </c>
      <c r="I1236" t="str" cm="1">
        <f t="array" ref="I1236">_xlfn.IFS(G1236&lt;3, "0–2 Years", G1236&lt;6, "3–5 Years", G1236&lt;9, "6–8 Years", G1236&lt;12, "9-11 Years", G1236&gt;=12, "12-14 Years")</f>
        <v>0–2 Years</v>
      </c>
      <c r="J1236">
        <v>4</v>
      </c>
      <c r="K1236" t="s">
        <v>20</v>
      </c>
      <c r="L1236">
        <v>102300</v>
      </c>
      <c r="M1236">
        <v>11200</v>
      </c>
      <c r="N1236">
        <v>113500</v>
      </c>
      <c r="O1236" t="s">
        <v>57</v>
      </c>
      <c r="P1236" s="3">
        <v>45516</v>
      </c>
      <c r="Q1236" t="s">
        <v>28</v>
      </c>
    </row>
    <row r="1237" spans="1:17" x14ac:dyDescent="0.35">
      <c r="A1237" t="s">
        <v>1289</v>
      </c>
      <c r="B1237" t="s">
        <v>16</v>
      </c>
      <c r="C1237">
        <v>38</v>
      </c>
      <c r="D1237" t="s">
        <v>55</v>
      </c>
      <c r="E1237" t="s">
        <v>92</v>
      </c>
      <c r="F1237" t="s">
        <v>19</v>
      </c>
      <c r="G1237">
        <v>11.4</v>
      </c>
      <c r="H1237">
        <v>9.6999999999999993</v>
      </c>
      <c r="I1237" t="str" cm="1">
        <f t="array" ref="I1237">_xlfn.IFS(G1237&lt;3, "0–2 Years", G1237&lt;6, "3–5 Years", G1237&lt;9, "6–8 Years", G1237&lt;12, "9-11 Years", G1237&gt;=12, "12-14 Years")</f>
        <v>9-11 Years</v>
      </c>
      <c r="J1237">
        <v>3</v>
      </c>
      <c r="K1237" t="s">
        <v>20</v>
      </c>
      <c r="L1237">
        <v>104900</v>
      </c>
      <c r="M1237">
        <v>8500</v>
      </c>
      <c r="N1237">
        <v>113400</v>
      </c>
      <c r="O1237" t="s">
        <v>57</v>
      </c>
      <c r="P1237" s="3">
        <v>41856</v>
      </c>
      <c r="Q1237" t="s">
        <v>19</v>
      </c>
    </row>
    <row r="1238" spans="1:17" x14ac:dyDescent="0.35">
      <c r="A1238" t="s">
        <v>1290</v>
      </c>
      <c r="B1238" t="s">
        <v>23</v>
      </c>
      <c r="C1238">
        <v>35</v>
      </c>
      <c r="D1238" t="s">
        <v>38</v>
      </c>
      <c r="E1238" t="s">
        <v>112</v>
      </c>
      <c r="F1238" t="s">
        <v>36</v>
      </c>
      <c r="G1238">
        <v>10.199999999999999</v>
      </c>
      <c r="H1238">
        <v>7.1</v>
      </c>
      <c r="I1238" t="str" cm="1">
        <f t="array" ref="I1238">_xlfn.IFS(G1238&lt;3, "0–2 Years", G1238&lt;6, "3–5 Years", G1238&lt;9, "6–8 Years", G1238&lt;12, "9-11 Years", G1238&gt;=12, "12-14 Years")</f>
        <v>9-11 Years</v>
      </c>
      <c r="J1238">
        <v>4</v>
      </c>
      <c r="K1238" t="s">
        <v>20</v>
      </c>
      <c r="L1238">
        <v>73200</v>
      </c>
      <c r="M1238">
        <v>4400</v>
      </c>
      <c r="N1238">
        <v>77600</v>
      </c>
      <c r="O1238" t="s">
        <v>21</v>
      </c>
      <c r="P1238" s="3">
        <v>42303</v>
      </c>
      <c r="Q1238" t="s">
        <v>36</v>
      </c>
    </row>
    <row r="1239" spans="1:17" x14ac:dyDescent="0.35">
      <c r="A1239" t="s">
        <v>1291</v>
      </c>
      <c r="B1239" t="s">
        <v>23</v>
      </c>
      <c r="C1239">
        <v>34</v>
      </c>
      <c r="D1239" t="s">
        <v>17</v>
      </c>
      <c r="E1239" t="s">
        <v>18</v>
      </c>
      <c r="F1239" t="s">
        <v>28</v>
      </c>
      <c r="G1239">
        <v>6.4</v>
      </c>
      <c r="H1239">
        <v>5.4</v>
      </c>
      <c r="I1239" t="str" cm="1">
        <f t="array" ref="I1239">_xlfn.IFS(G1239&lt;3, "0–2 Years", G1239&lt;6, "3–5 Years", G1239&lt;9, "6–8 Years", G1239&lt;12, "9-11 Years", G1239&gt;=12, "12-14 Years")</f>
        <v>6–8 Years</v>
      </c>
      <c r="J1239">
        <v>5</v>
      </c>
      <c r="K1239" t="s">
        <v>20</v>
      </c>
      <c r="L1239">
        <v>108000</v>
      </c>
      <c r="M1239">
        <v>10300</v>
      </c>
      <c r="N1239">
        <v>118300</v>
      </c>
      <c r="O1239" t="s">
        <v>57</v>
      </c>
      <c r="P1239" s="3">
        <v>43686</v>
      </c>
      <c r="Q1239" t="s">
        <v>28</v>
      </c>
    </row>
    <row r="1240" spans="1:17" x14ac:dyDescent="0.35">
      <c r="A1240" t="s">
        <v>1292</v>
      </c>
      <c r="B1240" t="s">
        <v>23</v>
      </c>
      <c r="C1240">
        <v>49</v>
      </c>
      <c r="D1240" t="s">
        <v>41</v>
      </c>
      <c r="E1240" t="s">
        <v>67</v>
      </c>
      <c r="F1240" t="s">
        <v>36</v>
      </c>
      <c r="G1240">
        <v>3.3</v>
      </c>
      <c r="H1240">
        <v>3.3</v>
      </c>
      <c r="I1240" t="str" cm="1">
        <f t="array" ref="I1240">_xlfn.IFS(G1240&lt;3, "0–2 Years", G1240&lt;6, "3–5 Years", G1240&lt;9, "6–8 Years", G1240&lt;12, "9-11 Years", G1240&gt;=12, "12-14 Years")</f>
        <v>3–5 Years</v>
      </c>
      <c r="J1240">
        <v>4</v>
      </c>
      <c r="K1240" t="s">
        <v>20</v>
      </c>
      <c r="L1240">
        <v>70800</v>
      </c>
      <c r="M1240">
        <v>3000</v>
      </c>
      <c r="N1240">
        <v>73800</v>
      </c>
      <c r="O1240" t="s">
        <v>21</v>
      </c>
      <c r="P1240" s="3">
        <v>44820</v>
      </c>
      <c r="Q1240" t="s">
        <v>36</v>
      </c>
    </row>
    <row r="1241" spans="1:17" x14ac:dyDescent="0.35">
      <c r="A1241" t="s">
        <v>1293</v>
      </c>
      <c r="B1241" t="s">
        <v>16</v>
      </c>
      <c r="C1241" s="7">
        <v>42</v>
      </c>
      <c r="D1241" t="s">
        <v>17</v>
      </c>
      <c r="E1241" t="s">
        <v>32</v>
      </c>
      <c r="F1241" t="s">
        <v>36</v>
      </c>
      <c r="G1241" s="9">
        <v>13.1</v>
      </c>
      <c r="H1241" s="7">
        <v>10.4</v>
      </c>
      <c r="I1241" t="str" cm="1">
        <f t="array" ref="I1241">_xlfn.IFS(G1241&lt;3, "0–2 Years", G1241&lt;6, "3–5 Years", G1241&lt;9, "6–8 Years", G1241&lt;12, "9-11 Years", G1241&gt;=12, "12-14 Years")</f>
        <v>12-14 Years</v>
      </c>
      <c r="J1241" s="7">
        <v>3</v>
      </c>
      <c r="K1241" t="s">
        <v>20</v>
      </c>
      <c r="L1241" s="7">
        <v>75800</v>
      </c>
      <c r="M1241" s="7">
        <v>4900</v>
      </c>
      <c r="N1241" s="7">
        <v>80700</v>
      </c>
      <c r="O1241" t="s">
        <v>21</v>
      </c>
      <c r="P1241" s="3">
        <v>41234</v>
      </c>
      <c r="Q1241" t="s">
        <v>36</v>
      </c>
    </row>
    <row r="1242" spans="1:17" x14ac:dyDescent="0.35">
      <c r="A1242" t="s">
        <v>1294</v>
      </c>
      <c r="B1242" t="s">
        <v>16</v>
      </c>
      <c r="C1242">
        <v>31</v>
      </c>
      <c r="D1242" t="s">
        <v>34</v>
      </c>
      <c r="E1242" t="s">
        <v>59</v>
      </c>
      <c r="F1242" t="s">
        <v>28</v>
      </c>
      <c r="G1242">
        <v>6.7</v>
      </c>
      <c r="H1242">
        <v>2.4</v>
      </c>
      <c r="I1242" t="str" cm="1">
        <f t="array" ref="I1242">_xlfn.IFS(G1242&lt;3, "0–2 Years", G1242&lt;6, "3–5 Years", G1242&lt;9, "6–8 Years", G1242&lt;12, "9-11 Years", G1242&gt;=12, "12-14 Years")</f>
        <v>6–8 Years</v>
      </c>
      <c r="J1242">
        <v>3</v>
      </c>
      <c r="K1242" t="s">
        <v>20</v>
      </c>
      <c r="L1242">
        <v>107900</v>
      </c>
      <c r="M1242">
        <v>7300</v>
      </c>
      <c r="N1242">
        <v>115200</v>
      </c>
      <c r="O1242" t="s">
        <v>57</v>
      </c>
      <c r="P1242" s="3">
        <v>43580</v>
      </c>
      <c r="Q1242" t="s">
        <v>28</v>
      </c>
    </row>
    <row r="1243" spans="1:17" x14ac:dyDescent="0.35">
      <c r="A1243" t="s">
        <v>1295</v>
      </c>
      <c r="B1243" t="s">
        <v>23</v>
      </c>
      <c r="C1243">
        <v>45</v>
      </c>
      <c r="D1243" t="s">
        <v>44</v>
      </c>
      <c r="E1243" t="s">
        <v>45</v>
      </c>
      <c r="F1243" t="s">
        <v>19</v>
      </c>
      <c r="G1243">
        <v>1.8</v>
      </c>
      <c r="H1243">
        <v>1.1000000000000001</v>
      </c>
      <c r="I1243" t="str" cm="1">
        <f t="array" ref="I1243">_xlfn.IFS(G1243&lt;3, "0–2 Years", G1243&lt;6, "3–5 Years", G1243&lt;9, "6–8 Years", G1243&lt;12, "9-11 Years", G1243&gt;=12, "12-14 Years")</f>
        <v>0–2 Years</v>
      </c>
      <c r="J1243">
        <v>3</v>
      </c>
      <c r="K1243" t="s">
        <v>20</v>
      </c>
      <c r="L1243">
        <v>73700</v>
      </c>
      <c r="M1243">
        <v>6600</v>
      </c>
      <c r="N1243">
        <v>80300</v>
      </c>
      <c r="O1243" t="s">
        <v>21</v>
      </c>
      <c r="P1243" s="3">
        <v>45379</v>
      </c>
      <c r="Q1243" t="s">
        <v>19</v>
      </c>
    </row>
    <row r="1244" spans="1:17" x14ac:dyDescent="0.35">
      <c r="A1244" t="s">
        <v>1296</v>
      </c>
      <c r="B1244" t="s">
        <v>23</v>
      </c>
      <c r="C1244">
        <v>27</v>
      </c>
      <c r="D1244" t="s">
        <v>44</v>
      </c>
      <c r="E1244" t="s">
        <v>45</v>
      </c>
      <c r="F1244" t="s">
        <v>36</v>
      </c>
      <c r="G1244">
        <v>9.9</v>
      </c>
      <c r="H1244">
        <v>7.5</v>
      </c>
      <c r="I1244" t="str" cm="1">
        <f t="array" ref="I1244">_xlfn.IFS(G1244&lt;3, "0–2 Years", G1244&lt;6, "3–5 Years", G1244&lt;9, "6–8 Years", G1244&lt;12, "9-11 Years", G1244&gt;=12, "12-14 Years")</f>
        <v>9-11 Years</v>
      </c>
      <c r="J1244">
        <v>3</v>
      </c>
      <c r="K1244" t="s">
        <v>20</v>
      </c>
      <c r="L1244">
        <v>82800</v>
      </c>
      <c r="M1244">
        <v>9900</v>
      </c>
      <c r="N1244">
        <v>92700</v>
      </c>
      <c r="O1244" t="s">
        <v>30</v>
      </c>
      <c r="P1244" s="3">
        <v>42404</v>
      </c>
      <c r="Q1244" t="s">
        <v>36</v>
      </c>
    </row>
    <row r="1245" spans="1:17" x14ac:dyDescent="0.35">
      <c r="A1245" t="s">
        <v>1297</v>
      </c>
      <c r="B1245" t="s">
        <v>16</v>
      </c>
      <c r="C1245">
        <v>21</v>
      </c>
      <c r="D1245" t="s">
        <v>55</v>
      </c>
      <c r="E1245" t="s">
        <v>92</v>
      </c>
      <c r="F1245" t="s">
        <v>28</v>
      </c>
      <c r="G1245">
        <v>10.9</v>
      </c>
      <c r="H1245">
        <v>7</v>
      </c>
      <c r="I1245" t="str" cm="1">
        <f t="array" ref="I1245">_xlfn.IFS(G1245&lt;3, "0–2 Years", G1245&lt;6, "3–5 Years", G1245&lt;9, "6–8 Years", G1245&lt;12, "9-11 Years", G1245&gt;=12, "12-14 Years")</f>
        <v>9-11 Years</v>
      </c>
      <c r="J1245">
        <v>3</v>
      </c>
      <c r="K1245" t="s">
        <v>69</v>
      </c>
      <c r="L1245">
        <v>93600</v>
      </c>
      <c r="M1245">
        <v>18700</v>
      </c>
      <c r="N1245">
        <v>112300</v>
      </c>
      <c r="O1245" t="s">
        <v>30</v>
      </c>
      <c r="P1245" s="3">
        <v>42043</v>
      </c>
      <c r="Q1245" t="s">
        <v>28</v>
      </c>
    </row>
    <row r="1246" spans="1:17" x14ac:dyDescent="0.35">
      <c r="A1246" t="s">
        <v>1298</v>
      </c>
      <c r="B1246" t="s">
        <v>16</v>
      </c>
      <c r="C1246">
        <v>34</v>
      </c>
      <c r="D1246" t="s">
        <v>44</v>
      </c>
      <c r="E1246" t="s">
        <v>76</v>
      </c>
      <c r="F1246" t="s">
        <v>36</v>
      </c>
      <c r="G1246">
        <v>1.4</v>
      </c>
      <c r="H1246">
        <v>1.4</v>
      </c>
      <c r="I1246" t="str" cm="1">
        <f t="array" ref="I1246">_xlfn.IFS(G1246&lt;3, "0–2 Years", G1246&lt;6, "3–5 Years", G1246&lt;9, "6–8 Years", G1246&lt;12, "9-11 Years", G1246&gt;=12, "12-14 Years")</f>
        <v>0–2 Years</v>
      </c>
      <c r="J1246">
        <v>3</v>
      </c>
      <c r="K1246" t="s">
        <v>20</v>
      </c>
      <c r="L1246">
        <v>112400</v>
      </c>
      <c r="M1246">
        <v>16000</v>
      </c>
      <c r="N1246">
        <v>128400</v>
      </c>
      <c r="O1246" t="s">
        <v>57</v>
      </c>
      <c r="P1246" s="3">
        <v>45525</v>
      </c>
      <c r="Q1246" t="s">
        <v>36</v>
      </c>
    </row>
    <row r="1247" spans="1:17" x14ac:dyDescent="0.35">
      <c r="A1247" t="s">
        <v>1299</v>
      </c>
      <c r="B1247" t="s">
        <v>23</v>
      </c>
      <c r="C1247">
        <v>42</v>
      </c>
      <c r="D1247" t="s">
        <v>34</v>
      </c>
      <c r="E1247" t="s">
        <v>35</v>
      </c>
      <c r="F1247" t="s">
        <v>19</v>
      </c>
      <c r="G1247">
        <v>4.4000000000000004</v>
      </c>
      <c r="H1247">
        <v>3.2</v>
      </c>
      <c r="I1247" t="str" cm="1">
        <f t="array" ref="I1247">_xlfn.IFS(G1247&lt;3, "0–2 Years", G1247&lt;6, "3–5 Years", G1247&lt;9, "6–8 Years", G1247&lt;12, "9-11 Years", G1247&gt;=12, "12-14 Years")</f>
        <v>3–5 Years</v>
      </c>
      <c r="J1247">
        <v>2</v>
      </c>
      <c r="K1247" t="s">
        <v>20</v>
      </c>
      <c r="L1247">
        <v>53500</v>
      </c>
      <c r="M1247">
        <v>5500</v>
      </c>
      <c r="N1247">
        <v>59000</v>
      </c>
      <c r="O1247" t="s">
        <v>25</v>
      </c>
      <c r="P1247" s="3">
        <v>44427</v>
      </c>
      <c r="Q1247" t="s">
        <v>19</v>
      </c>
    </row>
    <row r="1248" spans="1:17" x14ac:dyDescent="0.35">
      <c r="A1248" t="s">
        <v>1300</v>
      </c>
      <c r="B1248" t="s">
        <v>16</v>
      </c>
      <c r="C1248">
        <v>50</v>
      </c>
      <c r="D1248" t="s">
        <v>44</v>
      </c>
      <c r="E1248" t="s">
        <v>76</v>
      </c>
      <c r="F1248" t="s">
        <v>36</v>
      </c>
      <c r="G1248">
        <v>6.6</v>
      </c>
      <c r="H1248">
        <v>4.3</v>
      </c>
      <c r="I1248" t="str" cm="1">
        <f t="array" ref="I1248">_xlfn.IFS(G1248&lt;3, "0–2 Years", G1248&lt;6, "3–5 Years", G1248&lt;9, "6–8 Years", G1248&lt;12, "9-11 Years", G1248&gt;=12, "12-14 Years")</f>
        <v>6–8 Years</v>
      </c>
      <c r="J1248">
        <v>3</v>
      </c>
      <c r="K1248" t="s">
        <v>20</v>
      </c>
      <c r="L1248">
        <v>132000</v>
      </c>
      <c r="M1248">
        <v>9600</v>
      </c>
      <c r="N1248">
        <v>141600</v>
      </c>
      <c r="O1248" t="s">
        <v>57</v>
      </c>
      <c r="P1248" s="3">
        <v>43624</v>
      </c>
      <c r="Q1248" t="s">
        <v>36</v>
      </c>
    </row>
    <row r="1249" spans="1:17" x14ac:dyDescent="0.35">
      <c r="A1249" t="s">
        <v>1301</v>
      </c>
      <c r="B1249" t="s">
        <v>16</v>
      </c>
      <c r="C1249">
        <v>40</v>
      </c>
      <c r="D1249" t="s">
        <v>34</v>
      </c>
      <c r="E1249" t="s">
        <v>59</v>
      </c>
      <c r="F1249" t="s">
        <v>36</v>
      </c>
      <c r="G1249">
        <v>4.3</v>
      </c>
      <c r="H1249">
        <v>3.9</v>
      </c>
      <c r="I1249" t="str" cm="1">
        <f t="array" ref="I1249">_xlfn.IFS(G1249&lt;3, "0–2 Years", G1249&lt;6, "3–5 Years", G1249&lt;9, "6–8 Years", G1249&lt;12, "9-11 Years", G1249&gt;=12, "12-14 Years")</f>
        <v>3–5 Years</v>
      </c>
      <c r="J1249">
        <v>2</v>
      </c>
      <c r="K1249" t="s">
        <v>20</v>
      </c>
      <c r="L1249">
        <v>101500</v>
      </c>
      <c r="M1249">
        <v>6300</v>
      </c>
      <c r="N1249">
        <v>107800</v>
      </c>
      <c r="O1249" t="s">
        <v>57</v>
      </c>
      <c r="P1249" s="3">
        <v>44447</v>
      </c>
      <c r="Q1249" t="s">
        <v>36</v>
      </c>
    </row>
    <row r="1250" spans="1:17" x14ac:dyDescent="0.35">
      <c r="A1250" t="s">
        <v>1302</v>
      </c>
      <c r="B1250" t="s">
        <v>16</v>
      </c>
      <c r="C1250">
        <v>47</v>
      </c>
      <c r="D1250" t="s">
        <v>38</v>
      </c>
      <c r="E1250" t="s">
        <v>61</v>
      </c>
      <c r="F1250" t="s">
        <v>28</v>
      </c>
      <c r="G1250">
        <v>8.8000000000000007</v>
      </c>
      <c r="H1250">
        <v>6.7</v>
      </c>
      <c r="I1250" t="str" cm="1">
        <f t="array" ref="I1250">_xlfn.IFS(G1250&lt;3, "0–2 Years", G1250&lt;6, "3–5 Years", G1250&lt;9, "6–8 Years", G1250&lt;12, "9-11 Years", G1250&gt;=12, "12-14 Years")</f>
        <v>6–8 Years</v>
      </c>
      <c r="J1250">
        <v>3</v>
      </c>
      <c r="K1250" t="s">
        <v>20</v>
      </c>
      <c r="L1250">
        <v>109600</v>
      </c>
      <c r="M1250">
        <v>11400</v>
      </c>
      <c r="N1250">
        <v>121000</v>
      </c>
      <c r="O1250" t="s">
        <v>57</v>
      </c>
      <c r="P1250" s="3">
        <v>42800</v>
      </c>
      <c r="Q1250" t="s">
        <v>28</v>
      </c>
    </row>
    <row r="1251" spans="1:17" x14ac:dyDescent="0.35">
      <c r="A1251" t="s">
        <v>1303</v>
      </c>
      <c r="B1251" t="s">
        <v>23</v>
      </c>
      <c r="C1251">
        <v>42</v>
      </c>
      <c r="D1251" t="s">
        <v>34</v>
      </c>
      <c r="E1251" t="s">
        <v>35</v>
      </c>
      <c r="F1251" t="s">
        <v>28</v>
      </c>
      <c r="G1251">
        <v>11.8</v>
      </c>
      <c r="H1251">
        <v>10.1</v>
      </c>
      <c r="I1251" t="str" cm="1">
        <f t="array" ref="I1251">_xlfn.IFS(G1251&lt;3, "0–2 Years", G1251&lt;6, "3–5 Years", G1251&lt;9, "6–8 Years", G1251&lt;12, "9-11 Years", G1251&gt;=12, "12-14 Years")</f>
        <v>9-11 Years</v>
      </c>
      <c r="J1251">
        <v>3</v>
      </c>
      <c r="K1251" t="s">
        <v>20</v>
      </c>
      <c r="L1251">
        <v>81700</v>
      </c>
      <c r="M1251">
        <v>4900</v>
      </c>
      <c r="N1251">
        <v>86600</v>
      </c>
      <c r="O1251" t="s">
        <v>30</v>
      </c>
      <c r="P1251" s="3">
        <v>41713</v>
      </c>
      <c r="Q1251" t="s">
        <v>28</v>
      </c>
    </row>
    <row r="1252" spans="1:17" x14ac:dyDescent="0.35">
      <c r="A1252" t="s">
        <v>1304</v>
      </c>
      <c r="B1252" t="s">
        <v>16</v>
      </c>
      <c r="C1252">
        <v>23</v>
      </c>
      <c r="D1252" t="s">
        <v>38</v>
      </c>
      <c r="E1252" t="s">
        <v>39</v>
      </c>
      <c r="F1252" t="s">
        <v>28</v>
      </c>
      <c r="G1252">
        <v>2.2000000000000002</v>
      </c>
      <c r="H1252">
        <v>0.6</v>
      </c>
      <c r="I1252" t="str" cm="1">
        <f t="array" ref="I1252">_xlfn.IFS(G1252&lt;3, "0–2 Years", G1252&lt;6, "3–5 Years", G1252&lt;9, "6–8 Years", G1252&lt;12, "9-11 Years", G1252&gt;=12, "12-14 Years")</f>
        <v>0–2 Years</v>
      </c>
      <c r="J1252">
        <v>3</v>
      </c>
      <c r="K1252" t="s">
        <v>20</v>
      </c>
      <c r="L1252">
        <v>80100</v>
      </c>
      <c r="M1252">
        <v>5400</v>
      </c>
      <c r="N1252">
        <v>85500</v>
      </c>
      <c r="O1252" t="s">
        <v>30</v>
      </c>
      <c r="P1252" s="3">
        <v>45234</v>
      </c>
      <c r="Q1252" t="s">
        <v>28</v>
      </c>
    </row>
    <row r="1253" spans="1:17" x14ac:dyDescent="0.35">
      <c r="A1253" t="s">
        <v>1305</v>
      </c>
      <c r="B1253" t="s">
        <v>23</v>
      </c>
      <c r="C1253">
        <v>36</v>
      </c>
      <c r="D1253" t="s">
        <v>17</v>
      </c>
      <c r="E1253" t="s">
        <v>32</v>
      </c>
      <c r="F1253" t="s">
        <v>28</v>
      </c>
      <c r="G1253">
        <v>9.1999999999999993</v>
      </c>
      <c r="H1253">
        <v>6.4</v>
      </c>
      <c r="I1253" t="str" cm="1">
        <f t="array" ref="I1253">_xlfn.IFS(G1253&lt;3, "0–2 Years", G1253&lt;6, "3–5 Years", G1253&lt;9, "6–8 Years", G1253&lt;12, "9-11 Years", G1253&gt;=12, "12-14 Years")</f>
        <v>9-11 Years</v>
      </c>
      <c r="J1253">
        <v>3</v>
      </c>
      <c r="K1253" t="s">
        <v>24</v>
      </c>
      <c r="L1253">
        <v>47200</v>
      </c>
      <c r="M1253">
        <v>5700</v>
      </c>
      <c r="N1253">
        <v>52900</v>
      </c>
      <c r="O1253" t="s">
        <v>65</v>
      </c>
      <c r="P1253" s="3">
        <v>42666</v>
      </c>
      <c r="Q1253" t="s">
        <v>28</v>
      </c>
    </row>
    <row r="1254" spans="1:17" x14ac:dyDescent="0.35">
      <c r="A1254" t="s">
        <v>1306</v>
      </c>
      <c r="B1254" t="s">
        <v>16</v>
      </c>
      <c r="C1254">
        <v>33</v>
      </c>
      <c r="D1254" t="s">
        <v>34</v>
      </c>
      <c r="E1254" t="s">
        <v>35</v>
      </c>
      <c r="F1254" t="s">
        <v>62</v>
      </c>
      <c r="G1254">
        <v>6.2</v>
      </c>
      <c r="H1254">
        <v>3.5</v>
      </c>
      <c r="I1254" t="str" cm="1">
        <f t="array" ref="I1254">_xlfn.IFS(G1254&lt;3, "0–2 Years", G1254&lt;6, "3–5 Years", G1254&lt;9, "6–8 Years", G1254&lt;12, "9-11 Years", G1254&gt;=12, "12-14 Years")</f>
        <v>6–8 Years</v>
      </c>
      <c r="J1254">
        <v>5</v>
      </c>
      <c r="K1254" t="s">
        <v>20</v>
      </c>
      <c r="L1254">
        <v>86500</v>
      </c>
      <c r="M1254">
        <v>4700</v>
      </c>
      <c r="N1254">
        <v>91200</v>
      </c>
      <c r="O1254" t="s">
        <v>30</v>
      </c>
      <c r="P1254" s="3">
        <v>43750</v>
      </c>
      <c r="Q1254" t="s">
        <v>62</v>
      </c>
    </row>
    <row r="1255" spans="1:17" x14ac:dyDescent="0.35">
      <c r="A1255" t="s">
        <v>1307</v>
      </c>
      <c r="B1255" t="s">
        <v>16</v>
      </c>
      <c r="C1255" s="7">
        <v>32</v>
      </c>
      <c r="D1255" t="s">
        <v>55</v>
      </c>
      <c r="E1255" t="s">
        <v>92</v>
      </c>
      <c r="F1255" t="s">
        <v>19</v>
      </c>
      <c r="G1255" s="9">
        <v>13.7</v>
      </c>
      <c r="H1255" s="7">
        <v>6.7</v>
      </c>
      <c r="I1255" t="str" cm="1">
        <f t="array" ref="I1255">_xlfn.IFS(G1255&lt;3, "0–2 Years", G1255&lt;6, "3–5 Years", G1255&lt;9, "6–8 Years", G1255&lt;12, "9-11 Years", G1255&gt;=12, "12-14 Years")</f>
        <v>12-14 Years</v>
      </c>
      <c r="J1255" s="7">
        <v>3</v>
      </c>
      <c r="K1255" t="s">
        <v>20</v>
      </c>
      <c r="L1255" s="7">
        <v>107700</v>
      </c>
      <c r="M1255" s="7">
        <v>16200</v>
      </c>
      <c r="N1255" s="7">
        <v>123900</v>
      </c>
      <c r="O1255" t="s">
        <v>57</v>
      </c>
      <c r="P1255" s="3">
        <v>41032</v>
      </c>
      <c r="Q1255" t="s">
        <v>19</v>
      </c>
    </row>
    <row r="1256" spans="1:17" x14ac:dyDescent="0.35">
      <c r="A1256" t="s">
        <v>1308</v>
      </c>
      <c r="B1256" t="s">
        <v>23</v>
      </c>
      <c r="C1256" s="7">
        <v>26</v>
      </c>
      <c r="D1256" t="s">
        <v>55</v>
      </c>
      <c r="E1256" t="s">
        <v>79</v>
      </c>
      <c r="F1256" t="s">
        <v>28</v>
      </c>
      <c r="G1256" s="9">
        <v>13.4</v>
      </c>
      <c r="H1256" s="7">
        <v>8.6</v>
      </c>
      <c r="I1256" t="str" cm="1">
        <f t="array" ref="I1256">_xlfn.IFS(G1256&lt;3, "0–2 Years", G1256&lt;6, "3–5 Years", G1256&lt;9, "6–8 Years", G1256&lt;12, "9-11 Years", G1256&gt;=12, "12-14 Years")</f>
        <v>12-14 Years</v>
      </c>
      <c r="J1256" s="7">
        <v>1</v>
      </c>
      <c r="K1256" t="s">
        <v>20</v>
      </c>
      <c r="L1256" s="7">
        <v>73100</v>
      </c>
      <c r="M1256" s="7">
        <v>13400</v>
      </c>
      <c r="N1256" s="7">
        <v>86500</v>
      </c>
      <c r="O1256" t="s">
        <v>21</v>
      </c>
      <c r="P1256" s="3">
        <v>41119</v>
      </c>
      <c r="Q1256" t="s">
        <v>28</v>
      </c>
    </row>
    <row r="1257" spans="1:17" x14ac:dyDescent="0.35">
      <c r="A1257" t="s">
        <v>1309</v>
      </c>
      <c r="B1257" t="s">
        <v>16</v>
      </c>
      <c r="C1257">
        <v>44</v>
      </c>
      <c r="D1257" t="s">
        <v>44</v>
      </c>
      <c r="E1257" t="s">
        <v>51</v>
      </c>
      <c r="F1257" t="s">
        <v>28</v>
      </c>
      <c r="G1257">
        <v>2.1</v>
      </c>
      <c r="H1257">
        <v>2.1</v>
      </c>
      <c r="I1257" t="str" cm="1">
        <f t="array" ref="I1257">_xlfn.IFS(G1257&lt;3, "0–2 Years", G1257&lt;6, "3–5 Years", G1257&lt;9, "6–8 Years", G1257&lt;12, "9-11 Years", G1257&gt;=12, "12-14 Years")</f>
        <v>0–2 Years</v>
      </c>
      <c r="J1257">
        <v>5</v>
      </c>
      <c r="K1257" t="s">
        <v>20</v>
      </c>
      <c r="L1257">
        <v>85700</v>
      </c>
      <c r="M1257">
        <v>6900</v>
      </c>
      <c r="N1257">
        <v>92600</v>
      </c>
      <c r="O1257" t="s">
        <v>30</v>
      </c>
      <c r="P1257" s="3">
        <v>45273</v>
      </c>
      <c r="Q1257" t="s">
        <v>28</v>
      </c>
    </row>
    <row r="1258" spans="1:17" x14ac:dyDescent="0.35">
      <c r="A1258" t="s">
        <v>1310</v>
      </c>
      <c r="B1258" t="s">
        <v>23</v>
      </c>
      <c r="C1258">
        <v>28</v>
      </c>
      <c r="D1258" t="s">
        <v>17</v>
      </c>
      <c r="E1258" t="s">
        <v>27</v>
      </c>
      <c r="F1258" t="s">
        <v>28</v>
      </c>
      <c r="G1258">
        <v>7.6</v>
      </c>
      <c r="H1258">
        <v>6</v>
      </c>
      <c r="I1258" t="str" cm="1">
        <f t="array" ref="I1258">_xlfn.IFS(G1258&lt;3, "0–2 Years", G1258&lt;6, "3–5 Years", G1258&lt;9, "6–8 Years", G1258&lt;12, "9-11 Years", G1258&gt;=12, "12-14 Years")</f>
        <v>6–8 Years</v>
      </c>
      <c r="J1258">
        <v>3</v>
      </c>
      <c r="K1258" t="s">
        <v>20</v>
      </c>
      <c r="L1258">
        <v>78400</v>
      </c>
      <c r="M1258">
        <v>7300</v>
      </c>
      <c r="N1258">
        <v>85700</v>
      </c>
      <c r="O1258" t="s">
        <v>21</v>
      </c>
      <c r="P1258" s="3">
        <v>43240</v>
      </c>
      <c r="Q1258" t="s">
        <v>28</v>
      </c>
    </row>
    <row r="1259" spans="1:17" x14ac:dyDescent="0.35">
      <c r="A1259" t="s">
        <v>1311</v>
      </c>
      <c r="B1259" t="s">
        <v>16</v>
      </c>
      <c r="C1259">
        <v>34</v>
      </c>
      <c r="D1259" t="s">
        <v>41</v>
      </c>
      <c r="E1259" t="s">
        <v>42</v>
      </c>
      <c r="F1259" t="s">
        <v>36</v>
      </c>
      <c r="G1259">
        <v>3.7</v>
      </c>
      <c r="H1259">
        <v>3.7</v>
      </c>
      <c r="I1259" t="str" cm="1">
        <f t="array" ref="I1259">_xlfn.IFS(G1259&lt;3, "0–2 Years", G1259&lt;6, "3–5 Years", G1259&lt;9, "6–8 Years", G1259&lt;12, "9-11 Years", G1259&gt;=12, "12-14 Years")</f>
        <v>3–5 Years</v>
      </c>
      <c r="J1259">
        <v>4</v>
      </c>
      <c r="K1259" t="s">
        <v>24</v>
      </c>
      <c r="L1259">
        <v>54000</v>
      </c>
      <c r="M1259">
        <v>3000</v>
      </c>
      <c r="N1259">
        <v>57000</v>
      </c>
      <c r="O1259" t="s">
        <v>25</v>
      </c>
      <c r="P1259" s="3">
        <v>44665</v>
      </c>
      <c r="Q1259" t="s">
        <v>36</v>
      </c>
    </row>
    <row r="1260" spans="1:17" x14ac:dyDescent="0.35">
      <c r="A1260" t="s">
        <v>1312</v>
      </c>
      <c r="B1260" t="s">
        <v>16</v>
      </c>
      <c r="C1260">
        <v>36</v>
      </c>
      <c r="D1260" t="s">
        <v>38</v>
      </c>
      <c r="E1260" t="s">
        <v>39</v>
      </c>
      <c r="F1260" t="s">
        <v>28</v>
      </c>
      <c r="G1260">
        <v>6</v>
      </c>
      <c r="H1260">
        <v>4.0999999999999996</v>
      </c>
      <c r="I1260" t="str" cm="1">
        <f t="array" ref="I1260">_xlfn.IFS(G1260&lt;3, "0–2 Years", G1260&lt;6, "3–5 Years", G1260&lt;9, "6–8 Years", G1260&lt;12, "9-11 Years", G1260&gt;=12, "12-14 Years")</f>
        <v>6–8 Years</v>
      </c>
      <c r="J1260">
        <v>2</v>
      </c>
      <c r="K1260" t="s">
        <v>20</v>
      </c>
      <c r="L1260">
        <v>82400</v>
      </c>
      <c r="M1260">
        <v>4300</v>
      </c>
      <c r="N1260">
        <v>86700</v>
      </c>
      <c r="O1260" t="s">
        <v>30</v>
      </c>
      <c r="P1260" s="3">
        <v>43832</v>
      </c>
      <c r="Q1260" t="s">
        <v>28</v>
      </c>
    </row>
    <row r="1261" spans="1:17" x14ac:dyDescent="0.35">
      <c r="A1261" t="s">
        <v>1313</v>
      </c>
      <c r="B1261" t="s">
        <v>16</v>
      </c>
      <c r="C1261">
        <v>34</v>
      </c>
      <c r="D1261" t="s">
        <v>41</v>
      </c>
      <c r="E1261" t="s">
        <v>67</v>
      </c>
      <c r="F1261" t="s">
        <v>28</v>
      </c>
      <c r="G1261">
        <v>9.5</v>
      </c>
      <c r="H1261">
        <v>6.9</v>
      </c>
      <c r="I1261" t="str" cm="1">
        <f t="array" ref="I1261">_xlfn.IFS(G1261&lt;3, "0–2 Years", G1261&lt;6, "3–5 Years", G1261&lt;9, "6–8 Years", G1261&lt;12, "9-11 Years", G1261&gt;=12, "12-14 Years")</f>
        <v>9-11 Years</v>
      </c>
      <c r="J1261">
        <v>4</v>
      </c>
      <c r="K1261" t="s">
        <v>20</v>
      </c>
      <c r="L1261">
        <v>71900</v>
      </c>
      <c r="M1261">
        <v>4900</v>
      </c>
      <c r="N1261">
        <v>76800</v>
      </c>
      <c r="O1261" t="s">
        <v>21</v>
      </c>
      <c r="P1261" s="3">
        <v>42564</v>
      </c>
      <c r="Q1261" t="s">
        <v>28</v>
      </c>
    </row>
    <row r="1262" spans="1:17" x14ac:dyDescent="0.35">
      <c r="A1262" t="s">
        <v>1314</v>
      </c>
      <c r="B1262" t="s">
        <v>23</v>
      </c>
      <c r="C1262">
        <v>33</v>
      </c>
      <c r="D1262" t="s">
        <v>17</v>
      </c>
      <c r="E1262" t="s">
        <v>18</v>
      </c>
      <c r="F1262" t="s">
        <v>28</v>
      </c>
      <c r="G1262">
        <v>11.2</v>
      </c>
      <c r="H1262">
        <v>8.6999999999999993</v>
      </c>
      <c r="I1262" t="str" cm="1">
        <f t="array" ref="I1262">_xlfn.IFS(G1262&lt;3, "0–2 Years", G1262&lt;6, "3–5 Years", G1262&lt;9, "6–8 Years", G1262&lt;12, "9-11 Years", G1262&gt;=12, "12-14 Years")</f>
        <v>9-11 Years</v>
      </c>
      <c r="J1262">
        <v>2</v>
      </c>
      <c r="K1262" t="s">
        <v>20</v>
      </c>
      <c r="L1262">
        <v>107700</v>
      </c>
      <c r="M1262">
        <v>6300</v>
      </c>
      <c r="N1262">
        <v>114000</v>
      </c>
      <c r="O1262" t="s">
        <v>57</v>
      </c>
      <c r="P1262" s="3">
        <v>41915</v>
      </c>
      <c r="Q1262" t="s">
        <v>28</v>
      </c>
    </row>
    <row r="1263" spans="1:17" x14ac:dyDescent="0.35">
      <c r="A1263" t="s">
        <v>1315</v>
      </c>
      <c r="B1263" t="s">
        <v>16</v>
      </c>
      <c r="C1263">
        <v>49</v>
      </c>
      <c r="D1263" t="s">
        <v>17</v>
      </c>
      <c r="E1263" t="s">
        <v>32</v>
      </c>
      <c r="F1263" t="s">
        <v>28</v>
      </c>
      <c r="G1263">
        <v>9.9</v>
      </c>
      <c r="H1263">
        <v>6</v>
      </c>
      <c r="I1263" t="str" cm="1">
        <f t="array" ref="I1263">_xlfn.IFS(G1263&lt;3, "0–2 Years", G1263&lt;6, "3–5 Years", G1263&lt;9, "6–8 Years", G1263&lt;12, "9-11 Years", G1263&gt;=12, "12-14 Years")</f>
        <v>9-11 Years</v>
      </c>
      <c r="J1263">
        <v>4</v>
      </c>
      <c r="K1263" t="s">
        <v>20</v>
      </c>
      <c r="L1263">
        <v>69200</v>
      </c>
      <c r="M1263">
        <v>3200</v>
      </c>
      <c r="N1263">
        <v>72400</v>
      </c>
      <c r="O1263" t="s">
        <v>21</v>
      </c>
      <c r="P1263" s="3">
        <v>42405</v>
      </c>
      <c r="Q1263" t="s">
        <v>28</v>
      </c>
    </row>
    <row r="1264" spans="1:17" x14ac:dyDescent="0.35">
      <c r="A1264" t="s">
        <v>1316</v>
      </c>
      <c r="B1264" t="s">
        <v>16</v>
      </c>
      <c r="C1264" s="7">
        <v>38</v>
      </c>
      <c r="D1264" t="s">
        <v>17</v>
      </c>
      <c r="E1264" t="s">
        <v>32</v>
      </c>
      <c r="F1264" t="s">
        <v>36</v>
      </c>
      <c r="G1264" s="9">
        <v>12.6</v>
      </c>
      <c r="H1264" s="7">
        <v>6.2</v>
      </c>
      <c r="I1264" t="str" cm="1">
        <f t="array" ref="I1264">_xlfn.IFS(G1264&lt;3, "0–2 Years", G1264&lt;6, "3–5 Years", G1264&lt;9, "6–8 Years", G1264&lt;12, "9-11 Years", G1264&gt;=12, "12-14 Years")</f>
        <v>12-14 Years</v>
      </c>
      <c r="J1264" s="7">
        <v>4</v>
      </c>
      <c r="K1264" t="s">
        <v>20</v>
      </c>
      <c r="L1264" s="7">
        <v>83600</v>
      </c>
      <c r="M1264" s="7">
        <v>6900</v>
      </c>
      <c r="N1264" s="7">
        <v>90500</v>
      </c>
      <c r="O1264" t="s">
        <v>30</v>
      </c>
      <c r="P1264" s="3">
        <v>41435</v>
      </c>
      <c r="Q1264" t="s">
        <v>36</v>
      </c>
    </row>
    <row r="1265" spans="1:17" x14ac:dyDescent="0.35">
      <c r="A1265" t="s">
        <v>1317</v>
      </c>
      <c r="B1265" t="s">
        <v>23</v>
      </c>
      <c r="C1265">
        <v>30</v>
      </c>
      <c r="D1265" t="s">
        <v>17</v>
      </c>
      <c r="E1265" t="s">
        <v>27</v>
      </c>
      <c r="F1265" t="s">
        <v>36</v>
      </c>
      <c r="G1265">
        <v>6.7</v>
      </c>
      <c r="H1265">
        <v>5.4</v>
      </c>
      <c r="I1265" t="str" cm="1">
        <f t="array" ref="I1265">_xlfn.IFS(G1265&lt;3, "0–2 Years", G1265&lt;6, "3–5 Years", G1265&lt;9, "6–8 Years", G1265&lt;12, "9-11 Years", G1265&gt;=12, "12-14 Years")</f>
        <v>6–8 Years</v>
      </c>
      <c r="J1265">
        <v>3</v>
      </c>
      <c r="K1265" t="s">
        <v>20</v>
      </c>
      <c r="L1265">
        <v>83100</v>
      </c>
      <c r="M1265">
        <v>6200</v>
      </c>
      <c r="N1265">
        <v>89300</v>
      </c>
      <c r="O1265" t="s">
        <v>30</v>
      </c>
      <c r="P1265" s="3">
        <v>43575</v>
      </c>
      <c r="Q1265" t="s">
        <v>36</v>
      </c>
    </row>
    <row r="1266" spans="1:17" x14ac:dyDescent="0.35">
      <c r="A1266" t="s">
        <v>1318</v>
      </c>
      <c r="B1266" t="s">
        <v>16</v>
      </c>
      <c r="C1266">
        <v>42</v>
      </c>
      <c r="D1266" t="s">
        <v>55</v>
      </c>
      <c r="E1266" t="s">
        <v>56</v>
      </c>
      <c r="F1266" t="s">
        <v>28</v>
      </c>
      <c r="G1266">
        <v>6.2</v>
      </c>
      <c r="H1266">
        <v>4.2</v>
      </c>
      <c r="I1266" t="str" cm="1">
        <f t="array" ref="I1266">_xlfn.IFS(G1266&lt;3, "0–2 Years", G1266&lt;6, "3–5 Years", G1266&lt;9, "6–8 Years", G1266&lt;12, "9-11 Years", G1266&gt;=12, "12-14 Years")</f>
        <v>6–8 Years</v>
      </c>
      <c r="J1266">
        <v>3</v>
      </c>
      <c r="K1266" t="s">
        <v>20</v>
      </c>
      <c r="L1266">
        <v>97800</v>
      </c>
      <c r="M1266">
        <v>10500</v>
      </c>
      <c r="N1266">
        <v>108300</v>
      </c>
      <c r="O1266" t="s">
        <v>30</v>
      </c>
      <c r="P1266" s="3">
        <v>43775</v>
      </c>
      <c r="Q1266" t="s">
        <v>28</v>
      </c>
    </row>
    <row r="1267" spans="1:17" x14ac:dyDescent="0.35">
      <c r="A1267" t="s">
        <v>1319</v>
      </c>
      <c r="B1267" t="s">
        <v>16</v>
      </c>
      <c r="C1267">
        <v>36</v>
      </c>
      <c r="D1267" t="s">
        <v>44</v>
      </c>
      <c r="E1267" t="s">
        <v>81</v>
      </c>
      <c r="F1267" t="s">
        <v>62</v>
      </c>
      <c r="G1267">
        <v>7.7</v>
      </c>
      <c r="H1267">
        <v>5.2</v>
      </c>
      <c r="I1267" t="str" cm="1">
        <f t="array" ref="I1267">_xlfn.IFS(G1267&lt;3, "0–2 Years", G1267&lt;6, "3–5 Years", G1267&lt;9, "6–8 Years", G1267&lt;12, "9-11 Years", G1267&gt;=12, "12-14 Years")</f>
        <v>6–8 Years</v>
      </c>
      <c r="J1267">
        <v>4</v>
      </c>
      <c r="K1267" t="s">
        <v>20</v>
      </c>
      <c r="L1267">
        <v>107100</v>
      </c>
      <c r="M1267">
        <v>13200</v>
      </c>
      <c r="N1267">
        <v>120300</v>
      </c>
      <c r="O1267" t="s">
        <v>57</v>
      </c>
      <c r="P1267" s="3">
        <v>43215</v>
      </c>
      <c r="Q1267" t="s">
        <v>62</v>
      </c>
    </row>
    <row r="1268" spans="1:17" x14ac:dyDescent="0.35">
      <c r="A1268" t="s">
        <v>1320</v>
      </c>
      <c r="B1268" t="s">
        <v>16</v>
      </c>
      <c r="C1268" s="7">
        <v>37</v>
      </c>
      <c r="D1268" t="s">
        <v>17</v>
      </c>
      <c r="E1268" t="s">
        <v>27</v>
      </c>
      <c r="F1268" t="s">
        <v>36</v>
      </c>
      <c r="G1268" s="9">
        <v>12.4</v>
      </c>
      <c r="H1268" s="7">
        <v>7.7</v>
      </c>
      <c r="I1268" t="str" cm="1">
        <f t="array" ref="I1268">_xlfn.IFS(G1268&lt;3, "0–2 Years", G1268&lt;6, "3–5 Years", G1268&lt;9, "6–8 Years", G1268&lt;12, "9-11 Years", G1268&gt;=12, "12-14 Years")</f>
        <v>12-14 Years</v>
      </c>
      <c r="J1268" s="7">
        <v>3</v>
      </c>
      <c r="K1268" t="s">
        <v>69</v>
      </c>
      <c r="L1268" s="7">
        <v>71700</v>
      </c>
      <c r="M1268" s="7">
        <v>5400</v>
      </c>
      <c r="N1268" s="7">
        <v>77100</v>
      </c>
      <c r="O1268" t="s">
        <v>21</v>
      </c>
      <c r="P1268" s="3">
        <v>41481</v>
      </c>
      <c r="Q1268" t="s">
        <v>36</v>
      </c>
    </row>
    <row r="1269" spans="1:17" x14ac:dyDescent="0.35">
      <c r="A1269" t="s">
        <v>1321</v>
      </c>
      <c r="B1269" t="s">
        <v>16</v>
      </c>
      <c r="C1269">
        <v>40</v>
      </c>
      <c r="D1269" t="s">
        <v>44</v>
      </c>
      <c r="E1269" t="s">
        <v>45</v>
      </c>
      <c r="F1269" t="s">
        <v>28</v>
      </c>
      <c r="G1269">
        <v>10.5</v>
      </c>
      <c r="H1269">
        <v>7.3</v>
      </c>
      <c r="I1269" t="str" cm="1">
        <f t="array" ref="I1269">_xlfn.IFS(G1269&lt;3, "0–2 Years", G1269&lt;6, "3–5 Years", G1269&lt;9, "6–8 Years", G1269&lt;12, "9-11 Years", G1269&gt;=12, "12-14 Years")</f>
        <v>9-11 Years</v>
      </c>
      <c r="J1269">
        <v>3</v>
      </c>
      <c r="K1269" t="s">
        <v>20</v>
      </c>
      <c r="L1269">
        <v>79600</v>
      </c>
      <c r="M1269">
        <v>5800</v>
      </c>
      <c r="N1269">
        <v>85400</v>
      </c>
      <c r="O1269" t="s">
        <v>21</v>
      </c>
      <c r="P1269" s="3">
        <v>42171</v>
      </c>
      <c r="Q1269" t="s">
        <v>28</v>
      </c>
    </row>
    <row r="1270" spans="1:17" x14ac:dyDescent="0.35">
      <c r="A1270" t="s">
        <v>1322</v>
      </c>
      <c r="B1270" t="s">
        <v>23</v>
      </c>
      <c r="C1270">
        <v>34</v>
      </c>
      <c r="D1270" t="s">
        <v>34</v>
      </c>
      <c r="E1270" t="s">
        <v>35</v>
      </c>
      <c r="F1270" t="s">
        <v>28</v>
      </c>
      <c r="G1270">
        <v>6</v>
      </c>
      <c r="H1270">
        <v>3.3</v>
      </c>
      <c r="I1270" t="str" cm="1">
        <f t="array" ref="I1270">_xlfn.IFS(G1270&lt;3, "0–2 Years", G1270&lt;6, "3–5 Years", G1270&lt;9, "6–8 Years", G1270&lt;12, "9-11 Years", G1270&gt;=12, "12-14 Years")</f>
        <v>6–8 Years</v>
      </c>
      <c r="J1270">
        <v>3</v>
      </c>
      <c r="K1270" t="s">
        <v>24</v>
      </c>
      <c r="L1270">
        <v>49200</v>
      </c>
      <c r="M1270">
        <v>3700</v>
      </c>
      <c r="N1270">
        <v>52900</v>
      </c>
      <c r="O1270" t="s">
        <v>65</v>
      </c>
      <c r="P1270" s="3">
        <v>43841</v>
      </c>
      <c r="Q1270" t="s">
        <v>28</v>
      </c>
    </row>
    <row r="1271" spans="1:17" x14ac:dyDescent="0.35">
      <c r="A1271" t="s">
        <v>1323</v>
      </c>
      <c r="B1271" t="s">
        <v>16</v>
      </c>
      <c r="C1271">
        <v>25</v>
      </c>
      <c r="D1271" t="s">
        <v>17</v>
      </c>
      <c r="E1271" t="s">
        <v>18</v>
      </c>
      <c r="F1271" t="s">
        <v>28</v>
      </c>
      <c r="G1271">
        <v>3.7</v>
      </c>
      <c r="H1271">
        <v>3.2</v>
      </c>
      <c r="I1271" t="str" cm="1">
        <f t="array" ref="I1271">_xlfn.IFS(G1271&lt;3, "0–2 Years", G1271&lt;6, "3–5 Years", G1271&lt;9, "6–8 Years", G1271&lt;12, "9-11 Years", G1271&gt;=12, "12-14 Years")</f>
        <v>3–5 Years</v>
      </c>
      <c r="J1271">
        <v>2</v>
      </c>
      <c r="K1271" t="s">
        <v>20</v>
      </c>
      <c r="L1271">
        <v>86700</v>
      </c>
      <c r="M1271">
        <v>8300</v>
      </c>
      <c r="N1271">
        <v>95000</v>
      </c>
      <c r="O1271" t="s">
        <v>30</v>
      </c>
      <c r="P1271" s="3">
        <v>44685</v>
      </c>
      <c r="Q1271" t="s">
        <v>28</v>
      </c>
    </row>
    <row r="1272" spans="1:17" x14ac:dyDescent="0.35">
      <c r="A1272" t="s">
        <v>1324</v>
      </c>
      <c r="B1272" t="s">
        <v>23</v>
      </c>
      <c r="C1272">
        <v>25</v>
      </c>
      <c r="D1272" t="s">
        <v>38</v>
      </c>
      <c r="E1272" t="s">
        <v>61</v>
      </c>
      <c r="F1272" t="s">
        <v>28</v>
      </c>
      <c r="G1272">
        <v>8.5</v>
      </c>
      <c r="H1272">
        <v>3.1</v>
      </c>
      <c r="I1272" t="str" cm="1">
        <f t="array" ref="I1272">_xlfn.IFS(G1272&lt;3, "0–2 Years", G1272&lt;6, "3–5 Years", G1272&lt;9, "6–8 Years", G1272&lt;12, "9-11 Years", G1272&gt;=12, "12-14 Years")</f>
        <v>6–8 Years</v>
      </c>
      <c r="J1272">
        <v>4</v>
      </c>
      <c r="K1272" t="s">
        <v>69</v>
      </c>
      <c r="L1272">
        <v>79500</v>
      </c>
      <c r="M1272">
        <v>5800</v>
      </c>
      <c r="N1272">
        <v>85300</v>
      </c>
      <c r="O1272" t="s">
        <v>21</v>
      </c>
      <c r="P1272" s="3">
        <v>42907</v>
      </c>
      <c r="Q1272" t="s">
        <v>28</v>
      </c>
    </row>
    <row r="1273" spans="1:17" x14ac:dyDescent="0.35">
      <c r="A1273" t="s">
        <v>1325</v>
      </c>
      <c r="B1273" t="s">
        <v>23</v>
      </c>
      <c r="C1273">
        <v>50</v>
      </c>
      <c r="D1273" t="s">
        <v>38</v>
      </c>
      <c r="E1273" t="s">
        <v>39</v>
      </c>
      <c r="F1273" t="s">
        <v>36</v>
      </c>
      <c r="G1273">
        <v>2.2999999999999998</v>
      </c>
      <c r="H1273">
        <v>1.7</v>
      </c>
      <c r="I1273" t="str" cm="1">
        <f t="array" ref="I1273">_xlfn.IFS(G1273&lt;3, "0–2 Years", G1273&lt;6, "3–5 Years", G1273&lt;9, "6–8 Years", G1273&lt;12, "9-11 Years", G1273&gt;=12, "12-14 Years")</f>
        <v>0–2 Years</v>
      </c>
      <c r="J1273">
        <v>3</v>
      </c>
      <c r="K1273" t="s">
        <v>20</v>
      </c>
      <c r="L1273">
        <v>77400</v>
      </c>
      <c r="M1273">
        <v>5200</v>
      </c>
      <c r="N1273">
        <v>82600</v>
      </c>
      <c r="O1273" t="s">
        <v>21</v>
      </c>
      <c r="P1273" s="3">
        <v>45199</v>
      </c>
      <c r="Q1273" t="s">
        <v>36</v>
      </c>
    </row>
    <row r="1274" spans="1:17" x14ac:dyDescent="0.35">
      <c r="A1274" t="s">
        <v>1326</v>
      </c>
      <c r="B1274" t="s">
        <v>23</v>
      </c>
      <c r="C1274">
        <v>46</v>
      </c>
      <c r="D1274" t="s">
        <v>55</v>
      </c>
      <c r="E1274" t="s">
        <v>92</v>
      </c>
      <c r="F1274" t="s">
        <v>19</v>
      </c>
      <c r="G1274">
        <v>5.0999999999999996</v>
      </c>
      <c r="H1274">
        <v>3.9</v>
      </c>
      <c r="I1274" t="str" cm="1">
        <f t="array" ref="I1274">_xlfn.IFS(G1274&lt;3, "0–2 Years", G1274&lt;6, "3–5 Years", G1274&lt;9, "6–8 Years", G1274&lt;12, "9-11 Years", G1274&gt;=12, "12-14 Years")</f>
        <v>3–5 Years</v>
      </c>
      <c r="J1274">
        <v>4</v>
      </c>
      <c r="K1274" t="s">
        <v>20</v>
      </c>
      <c r="L1274">
        <v>92800</v>
      </c>
      <c r="M1274">
        <v>9400</v>
      </c>
      <c r="N1274">
        <v>102200</v>
      </c>
      <c r="O1274" t="s">
        <v>30</v>
      </c>
      <c r="P1274" s="3">
        <v>44144</v>
      </c>
      <c r="Q1274" t="s">
        <v>19</v>
      </c>
    </row>
    <row r="1275" spans="1:17" x14ac:dyDescent="0.35">
      <c r="A1275" t="s">
        <v>1327</v>
      </c>
      <c r="B1275" t="s">
        <v>16</v>
      </c>
      <c r="C1275">
        <v>29</v>
      </c>
      <c r="D1275" t="s">
        <v>55</v>
      </c>
      <c r="E1275" t="s">
        <v>92</v>
      </c>
      <c r="F1275" t="s">
        <v>36</v>
      </c>
      <c r="G1275">
        <v>10.5</v>
      </c>
      <c r="H1275">
        <v>5.2</v>
      </c>
      <c r="I1275" t="str" cm="1">
        <f t="array" ref="I1275">_xlfn.IFS(G1275&lt;3, "0–2 Years", G1275&lt;6, "3–5 Years", G1275&lt;9, "6–8 Years", G1275&lt;12, "9-11 Years", G1275&gt;=12, "12-14 Years")</f>
        <v>9-11 Years</v>
      </c>
      <c r="J1275">
        <v>3</v>
      </c>
      <c r="K1275" t="s">
        <v>20</v>
      </c>
      <c r="L1275">
        <v>127300</v>
      </c>
      <c r="M1275">
        <v>10000</v>
      </c>
      <c r="N1275">
        <v>137300</v>
      </c>
      <c r="O1275" t="s">
        <v>57</v>
      </c>
      <c r="P1275" s="3">
        <v>42197</v>
      </c>
      <c r="Q1275" t="s">
        <v>36</v>
      </c>
    </row>
    <row r="1276" spans="1:17" x14ac:dyDescent="0.35">
      <c r="A1276" t="s">
        <v>1328</v>
      </c>
      <c r="B1276" t="s">
        <v>23</v>
      </c>
      <c r="C1276">
        <v>41</v>
      </c>
      <c r="D1276" t="s">
        <v>41</v>
      </c>
      <c r="E1276" t="s">
        <v>67</v>
      </c>
      <c r="F1276" t="s">
        <v>28</v>
      </c>
      <c r="G1276">
        <v>11.9</v>
      </c>
      <c r="H1276">
        <v>9.1</v>
      </c>
      <c r="I1276" t="str" cm="1">
        <f t="array" ref="I1276">_xlfn.IFS(G1276&lt;3, "0–2 Years", G1276&lt;6, "3–5 Years", G1276&lt;9, "6–8 Years", G1276&lt;12, "9-11 Years", G1276&gt;=12, "12-14 Years")</f>
        <v>9-11 Years</v>
      </c>
      <c r="J1276">
        <v>3</v>
      </c>
      <c r="K1276" t="s">
        <v>20</v>
      </c>
      <c r="L1276">
        <v>74000</v>
      </c>
      <c r="M1276">
        <v>4100</v>
      </c>
      <c r="N1276">
        <v>78100</v>
      </c>
      <c r="O1276" t="s">
        <v>21</v>
      </c>
      <c r="P1276" s="3">
        <v>41677</v>
      </c>
      <c r="Q1276" t="s">
        <v>28</v>
      </c>
    </row>
    <row r="1277" spans="1:17" x14ac:dyDescent="0.35">
      <c r="A1277" t="s">
        <v>1329</v>
      </c>
      <c r="B1277" t="s">
        <v>23</v>
      </c>
      <c r="C1277">
        <v>32</v>
      </c>
      <c r="D1277" t="s">
        <v>17</v>
      </c>
      <c r="E1277" t="s">
        <v>18</v>
      </c>
      <c r="F1277" t="s">
        <v>28</v>
      </c>
      <c r="G1277">
        <v>3.3</v>
      </c>
      <c r="H1277">
        <v>2.1</v>
      </c>
      <c r="I1277" t="str" cm="1">
        <f t="array" ref="I1277">_xlfn.IFS(G1277&lt;3, "0–2 Years", G1277&lt;6, "3–5 Years", G1277&lt;9, "6–8 Years", G1277&lt;12, "9-11 Years", G1277&gt;=12, "12-14 Years")</f>
        <v>3–5 Years</v>
      </c>
      <c r="J1277">
        <v>3</v>
      </c>
      <c r="K1277" t="s">
        <v>20</v>
      </c>
      <c r="L1277">
        <v>82900</v>
      </c>
      <c r="M1277">
        <v>5100</v>
      </c>
      <c r="N1277">
        <v>88000</v>
      </c>
      <c r="O1277" t="s">
        <v>30</v>
      </c>
      <c r="P1277" s="3">
        <v>44811</v>
      </c>
      <c r="Q1277" t="s">
        <v>28</v>
      </c>
    </row>
    <row r="1278" spans="1:17" x14ac:dyDescent="0.35">
      <c r="A1278" t="s">
        <v>1330</v>
      </c>
      <c r="B1278" t="s">
        <v>16</v>
      </c>
      <c r="C1278">
        <v>24</v>
      </c>
      <c r="D1278" t="s">
        <v>17</v>
      </c>
      <c r="E1278" t="s">
        <v>32</v>
      </c>
      <c r="F1278" t="s">
        <v>28</v>
      </c>
      <c r="G1278">
        <v>5.0999999999999996</v>
      </c>
      <c r="H1278">
        <v>4.0999999999999996</v>
      </c>
      <c r="I1278" t="str" cm="1">
        <f t="array" ref="I1278">_xlfn.IFS(G1278&lt;3, "0–2 Years", G1278&lt;6, "3–5 Years", G1278&lt;9, "6–8 Years", G1278&lt;12, "9-11 Years", G1278&gt;=12, "12-14 Years")</f>
        <v>3–5 Years</v>
      </c>
      <c r="J1278">
        <v>3</v>
      </c>
      <c r="K1278" t="s">
        <v>20</v>
      </c>
      <c r="L1278">
        <v>62700</v>
      </c>
      <c r="M1278">
        <v>4900</v>
      </c>
      <c r="N1278">
        <v>67600</v>
      </c>
      <c r="O1278" t="s">
        <v>25</v>
      </c>
      <c r="P1278" s="3">
        <v>44151</v>
      </c>
      <c r="Q1278" t="s">
        <v>28</v>
      </c>
    </row>
    <row r="1279" spans="1:17" x14ac:dyDescent="0.35">
      <c r="A1279" t="s">
        <v>1331</v>
      </c>
      <c r="B1279" t="s">
        <v>16</v>
      </c>
      <c r="C1279">
        <v>42</v>
      </c>
      <c r="D1279" t="s">
        <v>34</v>
      </c>
      <c r="E1279" t="s">
        <v>59</v>
      </c>
      <c r="F1279" t="s">
        <v>28</v>
      </c>
      <c r="G1279">
        <v>8.9</v>
      </c>
      <c r="H1279">
        <v>3.8</v>
      </c>
      <c r="I1279" t="str" cm="1">
        <f t="array" ref="I1279">_xlfn.IFS(G1279&lt;3, "0–2 Years", G1279&lt;6, "3–5 Years", G1279&lt;9, "6–8 Years", G1279&lt;12, "9-11 Years", G1279&gt;=12, "12-14 Years")</f>
        <v>6–8 Years</v>
      </c>
      <c r="J1279">
        <v>5</v>
      </c>
      <c r="K1279" t="s">
        <v>20</v>
      </c>
      <c r="L1279">
        <v>103000</v>
      </c>
      <c r="M1279">
        <v>10700</v>
      </c>
      <c r="N1279">
        <v>113700</v>
      </c>
      <c r="O1279" t="s">
        <v>57</v>
      </c>
      <c r="P1279" s="3">
        <v>42767</v>
      </c>
      <c r="Q1279" t="s">
        <v>28</v>
      </c>
    </row>
    <row r="1280" spans="1:17" x14ac:dyDescent="0.35">
      <c r="A1280" t="s">
        <v>1332</v>
      </c>
      <c r="B1280" t="s">
        <v>23</v>
      </c>
      <c r="C1280">
        <v>24</v>
      </c>
      <c r="D1280" t="s">
        <v>55</v>
      </c>
      <c r="E1280" t="s">
        <v>56</v>
      </c>
      <c r="F1280" t="s">
        <v>36</v>
      </c>
      <c r="G1280">
        <v>5.6</v>
      </c>
      <c r="H1280">
        <v>5.6</v>
      </c>
      <c r="I1280" t="str" cm="1">
        <f t="array" ref="I1280">_xlfn.IFS(G1280&lt;3, "0–2 Years", G1280&lt;6, "3–5 Years", G1280&lt;9, "6–8 Years", G1280&lt;12, "9-11 Years", G1280&gt;=12, "12-14 Years")</f>
        <v>3–5 Years</v>
      </c>
      <c r="J1280">
        <v>3</v>
      </c>
      <c r="K1280" t="s">
        <v>20</v>
      </c>
      <c r="L1280">
        <v>120600</v>
      </c>
      <c r="M1280">
        <v>24300</v>
      </c>
      <c r="N1280">
        <v>144900</v>
      </c>
      <c r="O1280" t="s">
        <v>57</v>
      </c>
      <c r="P1280" s="3">
        <v>43977</v>
      </c>
      <c r="Q1280" t="s">
        <v>36</v>
      </c>
    </row>
    <row r="1281" spans="1:17" x14ac:dyDescent="0.35">
      <c r="A1281" t="s">
        <v>1333</v>
      </c>
      <c r="B1281" t="s">
        <v>16</v>
      </c>
      <c r="C1281">
        <v>40</v>
      </c>
      <c r="D1281" t="s">
        <v>55</v>
      </c>
      <c r="E1281" t="s">
        <v>56</v>
      </c>
      <c r="F1281" t="s">
        <v>19</v>
      </c>
      <c r="G1281">
        <v>11</v>
      </c>
      <c r="H1281">
        <v>7.6</v>
      </c>
      <c r="I1281" t="str" cm="1">
        <f t="array" ref="I1281">_xlfn.IFS(G1281&lt;3, "0–2 Years", G1281&lt;6, "3–5 Years", G1281&lt;9, "6–8 Years", G1281&lt;12, "9-11 Years", G1281&gt;=12, "12-14 Years")</f>
        <v>9-11 Years</v>
      </c>
      <c r="J1281">
        <v>4</v>
      </c>
      <c r="K1281" t="s">
        <v>20</v>
      </c>
      <c r="L1281">
        <v>104100</v>
      </c>
      <c r="M1281">
        <v>8700</v>
      </c>
      <c r="N1281">
        <v>112800</v>
      </c>
      <c r="O1281" t="s">
        <v>57</v>
      </c>
      <c r="P1281" s="3">
        <v>42020</v>
      </c>
      <c r="Q1281" t="s">
        <v>19</v>
      </c>
    </row>
    <row r="1282" spans="1:17" x14ac:dyDescent="0.35">
      <c r="A1282" t="s">
        <v>1334</v>
      </c>
      <c r="B1282" t="s">
        <v>16</v>
      </c>
      <c r="C1282">
        <v>36</v>
      </c>
      <c r="D1282" t="s">
        <v>41</v>
      </c>
      <c r="E1282" t="s">
        <v>42</v>
      </c>
      <c r="F1282" t="s">
        <v>36</v>
      </c>
      <c r="G1282">
        <v>1.7</v>
      </c>
      <c r="H1282">
        <v>1.7</v>
      </c>
      <c r="I1282" t="str" cm="1">
        <f t="array" ref="I1282">_xlfn.IFS(G1282&lt;3, "0–2 Years", G1282&lt;6, "3–5 Years", G1282&lt;9, "6–8 Years", G1282&lt;12, "9-11 Years", G1282&gt;=12, "12-14 Years")</f>
        <v>0–2 Years</v>
      </c>
      <c r="J1282">
        <v>3</v>
      </c>
      <c r="K1282" t="s">
        <v>20</v>
      </c>
      <c r="L1282">
        <v>80000</v>
      </c>
      <c r="M1282">
        <v>3800</v>
      </c>
      <c r="N1282">
        <v>83800</v>
      </c>
      <c r="O1282" t="s">
        <v>30</v>
      </c>
      <c r="P1282" s="3">
        <v>45393</v>
      </c>
      <c r="Q1282" t="s">
        <v>36</v>
      </c>
    </row>
    <row r="1283" spans="1:17" x14ac:dyDescent="0.35">
      <c r="A1283" t="s">
        <v>1335</v>
      </c>
      <c r="B1283" t="s">
        <v>23</v>
      </c>
      <c r="C1283">
        <v>25</v>
      </c>
      <c r="D1283" t="s">
        <v>17</v>
      </c>
      <c r="E1283" t="s">
        <v>27</v>
      </c>
      <c r="F1283" t="s">
        <v>19</v>
      </c>
      <c r="G1283">
        <v>8.4</v>
      </c>
      <c r="H1283">
        <v>5.6</v>
      </c>
      <c r="I1283" t="str" cm="1">
        <f t="array" ref="I1283">_xlfn.IFS(G1283&lt;3, "0–2 Years", G1283&lt;6, "3–5 Years", G1283&lt;9, "6–8 Years", G1283&lt;12, "9-11 Years", G1283&gt;=12, "12-14 Years")</f>
        <v>6–8 Years</v>
      </c>
      <c r="J1283">
        <v>3</v>
      </c>
      <c r="K1283" t="s">
        <v>20</v>
      </c>
      <c r="L1283">
        <v>70200</v>
      </c>
      <c r="M1283">
        <v>6800</v>
      </c>
      <c r="N1283">
        <v>77000</v>
      </c>
      <c r="O1283" t="s">
        <v>21</v>
      </c>
      <c r="P1283" s="3">
        <v>42948</v>
      </c>
      <c r="Q1283" t="s">
        <v>19</v>
      </c>
    </row>
    <row r="1284" spans="1:17" x14ac:dyDescent="0.35">
      <c r="A1284" t="s">
        <v>1336</v>
      </c>
      <c r="B1284" t="s">
        <v>23</v>
      </c>
      <c r="C1284">
        <v>42</v>
      </c>
      <c r="D1284" t="s">
        <v>44</v>
      </c>
      <c r="E1284" t="s">
        <v>51</v>
      </c>
      <c r="F1284" t="s">
        <v>36</v>
      </c>
      <c r="G1284">
        <v>8.5</v>
      </c>
      <c r="H1284">
        <v>4.4000000000000004</v>
      </c>
      <c r="I1284" t="str" cm="1">
        <f t="array" ref="I1284">_xlfn.IFS(G1284&lt;3, "0–2 Years", G1284&lt;6, "3–5 Years", G1284&lt;9, "6–8 Years", G1284&lt;12, "9-11 Years", G1284&gt;=12, "12-14 Years")</f>
        <v>6–8 Years</v>
      </c>
      <c r="J1284">
        <v>3</v>
      </c>
      <c r="K1284" t="s">
        <v>24</v>
      </c>
      <c r="L1284">
        <v>55100</v>
      </c>
      <c r="M1284">
        <v>5300</v>
      </c>
      <c r="N1284">
        <v>60400</v>
      </c>
      <c r="O1284" t="s">
        <v>25</v>
      </c>
      <c r="P1284" s="3">
        <v>42936</v>
      </c>
      <c r="Q1284" t="s">
        <v>36</v>
      </c>
    </row>
    <row r="1285" spans="1:17" x14ac:dyDescent="0.35">
      <c r="A1285" t="s">
        <v>1337</v>
      </c>
      <c r="B1285" t="s">
        <v>16</v>
      </c>
      <c r="C1285">
        <v>40</v>
      </c>
      <c r="D1285" t="s">
        <v>41</v>
      </c>
      <c r="E1285" t="s">
        <v>42</v>
      </c>
      <c r="F1285" t="s">
        <v>62</v>
      </c>
      <c r="G1285">
        <v>8.3000000000000007</v>
      </c>
      <c r="H1285">
        <v>6.3</v>
      </c>
      <c r="I1285" t="str" cm="1">
        <f t="array" ref="I1285">_xlfn.IFS(G1285&lt;3, "0–2 Years", G1285&lt;6, "3–5 Years", G1285&lt;9, "6–8 Years", G1285&lt;12, "9-11 Years", G1285&gt;=12, "12-14 Years")</f>
        <v>6–8 Years</v>
      </c>
      <c r="J1285">
        <v>3</v>
      </c>
      <c r="K1285" t="s">
        <v>20</v>
      </c>
      <c r="L1285">
        <v>84000</v>
      </c>
      <c r="M1285">
        <v>7100</v>
      </c>
      <c r="N1285">
        <v>91100</v>
      </c>
      <c r="O1285" t="s">
        <v>30</v>
      </c>
      <c r="P1285" s="3">
        <v>42977</v>
      </c>
      <c r="Q1285" t="s">
        <v>62</v>
      </c>
    </row>
    <row r="1286" spans="1:17" x14ac:dyDescent="0.35">
      <c r="A1286" t="s">
        <v>1338</v>
      </c>
      <c r="B1286" t="s">
        <v>16</v>
      </c>
      <c r="C1286">
        <v>46</v>
      </c>
      <c r="D1286" t="s">
        <v>55</v>
      </c>
      <c r="E1286" t="s">
        <v>56</v>
      </c>
      <c r="F1286" t="s">
        <v>28</v>
      </c>
      <c r="G1286">
        <v>11.9</v>
      </c>
      <c r="H1286">
        <v>9.1999999999999993</v>
      </c>
      <c r="I1286" t="str" cm="1">
        <f t="array" ref="I1286">_xlfn.IFS(G1286&lt;3, "0–2 Years", G1286&lt;6, "3–5 Years", G1286&lt;9, "6–8 Years", G1286&lt;12, "9-11 Years", G1286&gt;=12, "12-14 Years")</f>
        <v>9-11 Years</v>
      </c>
      <c r="J1286">
        <v>4</v>
      </c>
      <c r="K1286" t="s">
        <v>20</v>
      </c>
      <c r="L1286">
        <v>119600</v>
      </c>
      <c r="M1286">
        <v>9800</v>
      </c>
      <c r="N1286">
        <v>129400</v>
      </c>
      <c r="O1286" t="s">
        <v>57</v>
      </c>
      <c r="P1286" s="3">
        <v>41661</v>
      </c>
      <c r="Q1286" t="s">
        <v>28</v>
      </c>
    </row>
    <row r="1287" spans="1:17" x14ac:dyDescent="0.35">
      <c r="A1287" t="s">
        <v>1339</v>
      </c>
      <c r="B1287" t="s">
        <v>16</v>
      </c>
      <c r="C1287">
        <v>31</v>
      </c>
      <c r="D1287" t="s">
        <v>41</v>
      </c>
      <c r="E1287" t="s">
        <v>42</v>
      </c>
      <c r="F1287" t="s">
        <v>28</v>
      </c>
      <c r="G1287">
        <v>8.1</v>
      </c>
      <c r="H1287">
        <v>6.6</v>
      </c>
      <c r="I1287" t="str" cm="1">
        <f t="array" ref="I1287">_xlfn.IFS(G1287&lt;3, "0–2 Years", G1287&lt;6, "3–5 Years", G1287&lt;9, "6–8 Years", G1287&lt;12, "9-11 Years", G1287&gt;=12, "12-14 Years")</f>
        <v>6–8 Years</v>
      </c>
      <c r="J1287">
        <v>3</v>
      </c>
      <c r="K1287" t="s">
        <v>20</v>
      </c>
      <c r="L1287">
        <v>78800</v>
      </c>
      <c r="M1287">
        <v>2500</v>
      </c>
      <c r="N1287">
        <v>81300</v>
      </c>
      <c r="O1287" t="s">
        <v>21</v>
      </c>
      <c r="P1287" s="3">
        <v>43078</v>
      </c>
      <c r="Q1287" t="s">
        <v>28</v>
      </c>
    </row>
    <row r="1288" spans="1:17" x14ac:dyDescent="0.35">
      <c r="A1288" t="s">
        <v>1340</v>
      </c>
      <c r="B1288" t="s">
        <v>23</v>
      </c>
      <c r="C1288">
        <v>24</v>
      </c>
      <c r="D1288" t="s">
        <v>38</v>
      </c>
      <c r="E1288" t="s">
        <v>112</v>
      </c>
      <c r="F1288" t="s">
        <v>28</v>
      </c>
      <c r="G1288">
        <v>10.6</v>
      </c>
      <c r="H1288">
        <v>7</v>
      </c>
      <c r="I1288" t="str" cm="1">
        <f t="array" ref="I1288">_xlfn.IFS(G1288&lt;3, "0–2 Years", G1288&lt;6, "3–5 Years", G1288&lt;9, "6–8 Years", G1288&lt;12, "9-11 Years", G1288&gt;=12, "12-14 Years")</f>
        <v>9-11 Years</v>
      </c>
      <c r="J1288">
        <v>4</v>
      </c>
      <c r="K1288" t="s">
        <v>20</v>
      </c>
      <c r="L1288">
        <v>71300</v>
      </c>
      <c r="M1288">
        <v>4400</v>
      </c>
      <c r="N1288">
        <v>75700</v>
      </c>
      <c r="O1288" t="s">
        <v>21</v>
      </c>
      <c r="P1288" s="3">
        <v>42165</v>
      </c>
      <c r="Q1288" t="s">
        <v>28</v>
      </c>
    </row>
    <row r="1289" spans="1:17" x14ac:dyDescent="0.35">
      <c r="A1289" t="s">
        <v>1341</v>
      </c>
      <c r="B1289" t="s">
        <v>16</v>
      </c>
      <c r="C1289">
        <v>38</v>
      </c>
      <c r="D1289" t="s">
        <v>41</v>
      </c>
      <c r="E1289" t="s">
        <v>67</v>
      </c>
      <c r="F1289" t="s">
        <v>36</v>
      </c>
      <c r="G1289">
        <v>9.1999999999999993</v>
      </c>
      <c r="H1289">
        <v>6.6</v>
      </c>
      <c r="I1289" t="str" cm="1">
        <f t="array" ref="I1289">_xlfn.IFS(G1289&lt;3, "0–2 Years", G1289&lt;6, "3–5 Years", G1289&lt;9, "6–8 Years", G1289&lt;12, "9-11 Years", G1289&gt;=12, "12-14 Years")</f>
        <v>9-11 Years</v>
      </c>
      <c r="J1289">
        <v>3</v>
      </c>
      <c r="K1289" t="s">
        <v>20</v>
      </c>
      <c r="L1289">
        <v>79000</v>
      </c>
      <c r="M1289">
        <v>3900</v>
      </c>
      <c r="N1289">
        <v>82900</v>
      </c>
      <c r="O1289" t="s">
        <v>21</v>
      </c>
      <c r="P1289" s="3">
        <v>42674</v>
      </c>
      <c r="Q1289" t="s">
        <v>36</v>
      </c>
    </row>
    <row r="1290" spans="1:17" x14ac:dyDescent="0.35">
      <c r="A1290" t="s">
        <v>1342</v>
      </c>
      <c r="B1290" t="s">
        <v>23</v>
      </c>
      <c r="C1290">
        <v>37</v>
      </c>
      <c r="D1290" t="s">
        <v>17</v>
      </c>
      <c r="E1290" t="s">
        <v>27</v>
      </c>
      <c r="F1290" t="s">
        <v>62</v>
      </c>
      <c r="G1290">
        <v>11</v>
      </c>
      <c r="H1290">
        <v>6.4</v>
      </c>
      <c r="I1290" t="str" cm="1">
        <f t="array" ref="I1290">_xlfn.IFS(G1290&lt;3, "0–2 Years", G1290&lt;6, "3–5 Years", G1290&lt;9, "6–8 Years", G1290&lt;12, "9-11 Years", G1290&gt;=12, "12-14 Years")</f>
        <v>9-11 Years</v>
      </c>
      <c r="J1290">
        <v>4</v>
      </c>
      <c r="K1290" t="s">
        <v>20</v>
      </c>
      <c r="L1290">
        <v>97900</v>
      </c>
      <c r="M1290">
        <v>7100</v>
      </c>
      <c r="N1290">
        <v>105000</v>
      </c>
      <c r="O1290" t="s">
        <v>30</v>
      </c>
      <c r="P1290" s="3">
        <v>42002</v>
      </c>
      <c r="Q1290" t="s">
        <v>62</v>
      </c>
    </row>
    <row r="1291" spans="1:17" x14ac:dyDescent="0.35">
      <c r="A1291" t="s">
        <v>1343</v>
      </c>
      <c r="B1291" t="s">
        <v>16</v>
      </c>
      <c r="C1291">
        <v>35</v>
      </c>
      <c r="D1291" t="s">
        <v>34</v>
      </c>
      <c r="E1291" t="s">
        <v>35</v>
      </c>
      <c r="F1291" t="s">
        <v>19</v>
      </c>
      <c r="G1291">
        <v>8.3000000000000007</v>
      </c>
      <c r="H1291">
        <v>5.4</v>
      </c>
      <c r="I1291" t="str" cm="1">
        <f t="array" ref="I1291">_xlfn.IFS(G1291&lt;3, "0–2 Years", G1291&lt;6, "3–5 Years", G1291&lt;9, "6–8 Years", G1291&lt;12, "9-11 Years", G1291&gt;=12, "12-14 Years")</f>
        <v>6–8 Years</v>
      </c>
      <c r="J1291">
        <v>3</v>
      </c>
      <c r="K1291" t="s">
        <v>20</v>
      </c>
      <c r="L1291">
        <v>84200</v>
      </c>
      <c r="M1291">
        <v>8100</v>
      </c>
      <c r="N1291">
        <v>92300</v>
      </c>
      <c r="O1291" t="s">
        <v>30</v>
      </c>
      <c r="P1291" s="3">
        <v>42984</v>
      </c>
      <c r="Q1291" t="s">
        <v>19</v>
      </c>
    </row>
    <row r="1292" spans="1:17" x14ac:dyDescent="0.35">
      <c r="A1292" t="s">
        <v>1344</v>
      </c>
      <c r="B1292" t="s">
        <v>23</v>
      </c>
      <c r="C1292">
        <v>27</v>
      </c>
      <c r="D1292" t="s">
        <v>44</v>
      </c>
      <c r="E1292" t="s">
        <v>76</v>
      </c>
      <c r="F1292" t="s">
        <v>36</v>
      </c>
      <c r="G1292">
        <v>1.8</v>
      </c>
      <c r="H1292">
        <v>0</v>
      </c>
      <c r="I1292" t="str" cm="1">
        <f t="array" ref="I1292">_xlfn.IFS(G1292&lt;3, "0–2 Years", G1292&lt;6, "3–5 Years", G1292&lt;9, "6–8 Years", G1292&lt;12, "9-11 Years", G1292&gt;=12, "12-14 Years")</f>
        <v>0–2 Years</v>
      </c>
      <c r="J1292">
        <v>5</v>
      </c>
      <c r="K1292" t="s">
        <v>20</v>
      </c>
      <c r="L1292">
        <v>105800</v>
      </c>
      <c r="M1292">
        <v>13400</v>
      </c>
      <c r="N1292">
        <v>119200</v>
      </c>
      <c r="O1292" t="s">
        <v>57</v>
      </c>
      <c r="P1292" s="3">
        <v>45357</v>
      </c>
      <c r="Q1292" t="s">
        <v>36</v>
      </c>
    </row>
    <row r="1293" spans="1:17" x14ac:dyDescent="0.35">
      <c r="A1293" t="s">
        <v>1345</v>
      </c>
      <c r="B1293" t="s">
        <v>16</v>
      </c>
      <c r="C1293">
        <v>37</v>
      </c>
      <c r="D1293" t="s">
        <v>44</v>
      </c>
      <c r="E1293" t="s">
        <v>51</v>
      </c>
      <c r="F1293" t="s">
        <v>28</v>
      </c>
      <c r="G1293">
        <v>8.9</v>
      </c>
      <c r="H1293">
        <v>7.7</v>
      </c>
      <c r="I1293" t="str" cm="1">
        <f t="array" ref="I1293">_xlfn.IFS(G1293&lt;3, "0–2 Years", G1293&lt;6, "3–5 Years", G1293&lt;9, "6–8 Years", G1293&lt;12, "9-11 Years", G1293&gt;=12, "12-14 Years")</f>
        <v>6–8 Years</v>
      </c>
      <c r="J1293">
        <v>3</v>
      </c>
      <c r="K1293" t="s">
        <v>20</v>
      </c>
      <c r="L1293">
        <v>85200</v>
      </c>
      <c r="M1293">
        <v>8800</v>
      </c>
      <c r="N1293">
        <v>94000</v>
      </c>
      <c r="O1293" t="s">
        <v>30</v>
      </c>
      <c r="P1293" s="3">
        <v>42771</v>
      </c>
      <c r="Q1293" t="s">
        <v>28</v>
      </c>
    </row>
    <row r="1294" spans="1:17" x14ac:dyDescent="0.35">
      <c r="A1294" t="s">
        <v>1346</v>
      </c>
      <c r="B1294" t="s">
        <v>23</v>
      </c>
      <c r="C1294">
        <v>34</v>
      </c>
      <c r="D1294" t="s">
        <v>44</v>
      </c>
      <c r="E1294" t="s">
        <v>45</v>
      </c>
      <c r="F1294" t="s">
        <v>62</v>
      </c>
      <c r="G1294">
        <v>9.5</v>
      </c>
      <c r="H1294">
        <v>6.4</v>
      </c>
      <c r="I1294" t="str" cm="1">
        <f t="array" ref="I1294">_xlfn.IFS(G1294&lt;3, "0–2 Years", G1294&lt;6, "3–5 Years", G1294&lt;9, "6–8 Years", G1294&lt;12, "9-11 Years", G1294&gt;=12, "12-14 Years")</f>
        <v>9-11 Years</v>
      </c>
      <c r="J1294">
        <v>4</v>
      </c>
      <c r="K1294" t="s">
        <v>20</v>
      </c>
      <c r="L1294">
        <v>83800</v>
      </c>
      <c r="M1294">
        <v>11600</v>
      </c>
      <c r="N1294">
        <v>95400</v>
      </c>
      <c r="O1294" t="s">
        <v>30</v>
      </c>
      <c r="P1294" s="3">
        <v>42539</v>
      </c>
      <c r="Q1294" t="s">
        <v>62</v>
      </c>
    </row>
    <row r="1295" spans="1:17" x14ac:dyDescent="0.35">
      <c r="A1295" t="s">
        <v>1347</v>
      </c>
      <c r="B1295" t="s">
        <v>23</v>
      </c>
      <c r="C1295">
        <v>46</v>
      </c>
      <c r="D1295" t="s">
        <v>41</v>
      </c>
      <c r="E1295" t="s">
        <v>42</v>
      </c>
      <c r="F1295" t="s">
        <v>36</v>
      </c>
      <c r="G1295">
        <v>5.7</v>
      </c>
      <c r="H1295">
        <v>4.5</v>
      </c>
      <c r="I1295" t="str" cm="1">
        <f t="array" ref="I1295">_xlfn.IFS(G1295&lt;3, "0–2 Years", G1295&lt;6, "3–5 Years", G1295&lt;9, "6–8 Years", G1295&lt;12, "9-11 Years", G1295&gt;=12, "12-14 Years")</f>
        <v>3–5 Years</v>
      </c>
      <c r="J1295">
        <v>1</v>
      </c>
      <c r="K1295" t="s">
        <v>20</v>
      </c>
      <c r="L1295">
        <v>79600</v>
      </c>
      <c r="M1295">
        <v>4500</v>
      </c>
      <c r="N1295">
        <v>84100</v>
      </c>
      <c r="O1295" t="s">
        <v>21</v>
      </c>
      <c r="P1295" s="3">
        <v>43940</v>
      </c>
      <c r="Q1295" t="s">
        <v>36</v>
      </c>
    </row>
    <row r="1296" spans="1:17" x14ac:dyDescent="0.35">
      <c r="A1296" t="s">
        <v>1348</v>
      </c>
      <c r="B1296" t="s">
        <v>23</v>
      </c>
      <c r="C1296">
        <v>36</v>
      </c>
      <c r="D1296" t="s">
        <v>44</v>
      </c>
      <c r="E1296" t="s">
        <v>76</v>
      </c>
      <c r="F1296" t="s">
        <v>36</v>
      </c>
      <c r="G1296">
        <v>8.9</v>
      </c>
      <c r="H1296">
        <v>7.5</v>
      </c>
      <c r="I1296" t="str" cm="1">
        <f t="array" ref="I1296">_xlfn.IFS(G1296&lt;3, "0–2 Years", G1296&lt;6, "3–5 Years", G1296&lt;9, "6–8 Years", G1296&lt;12, "9-11 Years", G1296&gt;=12, "12-14 Years")</f>
        <v>6–8 Years</v>
      </c>
      <c r="J1296">
        <v>3</v>
      </c>
      <c r="K1296" t="s">
        <v>20</v>
      </c>
      <c r="L1296">
        <v>107200</v>
      </c>
      <c r="M1296">
        <v>9500</v>
      </c>
      <c r="N1296">
        <v>116700</v>
      </c>
      <c r="O1296" t="s">
        <v>57</v>
      </c>
      <c r="P1296" s="3">
        <v>42757</v>
      </c>
      <c r="Q1296" t="s">
        <v>36</v>
      </c>
    </row>
    <row r="1297" spans="1:17" x14ac:dyDescent="0.35">
      <c r="A1297" t="s">
        <v>1349</v>
      </c>
      <c r="B1297" t="s">
        <v>16</v>
      </c>
      <c r="C1297">
        <v>28</v>
      </c>
      <c r="D1297" t="s">
        <v>55</v>
      </c>
      <c r="E1297" t="s">
        <v>92</v>
      </c>
      <c r="F1297" t="s">
        <v>28</v>
      </c>
      <c r="G1297">
        <v>5</v>
      </c>
      <c r="H1297">
        <v>3.4</v>
      </c>
      <c r="I1297" t="str" cm="1">
        <f t="array" ref="I1297">_xlfn.IFS(G1297&lt;3, "0–2 Years", G1297&lt;6, "3–5 Years", G1297&lt;9, "6–8 Years", G1297&lt;12, "9-11 Years", G1297&gt;=12, "12-14 Years")</f>
        <v>3–5 Years</v>
      </c>
      <c r="J1297">
        <v>2</v>
      </c>
      <c r="K1297" t="s">
        <v>20</v>
      </c>
      <c r="L1297">
        <v>85100</v>
      </c>
      <c r="M1297">
        <v>10100</v>
      </c>
      <c r="N1297">
        <v>95200</v>
      </c>
      <c r="O1297" t="s">
        <v>30</v>
      </c>
      <c r="P1297" s="3">
        <v>44203</v>
      </c>
      <c r="Q1297" t="s">
        <v>28</v>
      </c>
    </row>
    <row r="1298" spans="1:17" x14ac:dyDescent="0.35">
      <c r="A1298" t="s">
        <v>1350</v>
      </c>
      <c r="B1298" t="s">
        <v>16</v>
      </c>
      <c r="C1298">
        <v>35</v>
      </c>
      <c r="D1298" t="s">
        <v>38</v>
      </c>
      <c r="E1298" t="s">
        <v>39</v>
      </c>
      <c r="F1298" t="s">
        <v>19</v>
      </c>
      <c r="G1298">
        <v>1.2</v>
      </c>
      <c r="H1298">
        <v>0.9</v>
      </c>
      <c r="I1298" t="str" cm="1">
        <f t="array" ref="I1298">_xlfn.IFS(G1298&lt;3, "0–2 Years", G1298&lt;6, "3–5 Years", G1298&lt;9, "6–8 Years", G1298&lt;12, "9-11 Years", G1298&gt;=12, "12-14 Years")</f>
        <v>0–2 Years</v>
      </c>
      <c r="J1298">
        <v>2</v>
      </c>
      <c r="K1298" t="s">
        <v>20</v>
      </c>
      <c r="L1298">
        <v>59200</v>
      </c>
      <c r="M1298">
        <v>5900</v>
      </c>
      <c r="N1298">
        <v>65100</v>
      </c>
      <c r="O1298" t="s">
        <v>25</v>
      </c>
      <c r="P1298" s="3">
        <v>45579</v>
      </c>
      <c r="Q1298" t="s">
        <v>19</v>
      </c>
    </row>
    <row r="1299" spans="1:17" x14ac:dyDescent="0.35">
      <c r="A1299" t="s">
        <v>1351</v>
      </c>
      <c r="B1299" t="s">
        <v>23</v>
      </c>
      <c r="C1299">
        <v>37</v>
      </c>
      <c r="D1299" t="s">
        <v>38</v>
      </c>
      <c r="E1299" t="s">
        <v>39</v>
      </c>
      <c r="F1299" t="s">
        <v>28</v>
      </c>
      <c r="G1299">
        <v>9.1999999999999993</v>
      </c>
      <c r="H1299">
        <v>2.7</v>
      </c>
      <c r="I1299" t="str" cm="1">
        <f t="array" ref="I1299">_xlfn.IFS(G1299&lt;3, "0–2 Years", G1299&lt;6, "3–5 Years", G1299&lt;9, "6–8 Years", G1299&lt;12, "9-11 Years", G1299&gt;=12, "12-14 Years")</f>
        <v>9-11 Years</v>
      </c>
      <c r="J1299">
        <v>4</v>
      </c>
      <c r="K1299" t="s">
        <v>20</v>
      </c>
      <c r="L1299">
        <v>77200</v>
      </c>
      <c r="M1299">
        <v>7400</v>
      </c>
      <c r="N1299">
        <v>84600</v>
      </c>
      <c r="O1299" t="s">
        <v>21</v>
      </c>
      <c r="P1299" s="3">
        <v>42651</v>
      </c>
      <c r="Q1299" t="s">
        <v>28</v>
      </c>
    </row>
    <row r="1300" spans="1:17" x14ac:dyDescent="0.35">
      <c r="A1300" t="s">
        <v>1352</v>
      </c>
      <c r="B1300" t="s">
        <v>16</v>
      </c>
      <c r="C1300">
        <v>43</v>
      </c>
      <c r="D1300" t="s">
        <v>41</v>
      </c>
      <c r="E1300" t="s">
        <v>73</v>
      </c>
      <c r="F1300" t="s">
        <v>19</v>
      </c>
      <c r="G1300">
        <v>4.2</v>
      </c>
      <c r="H1300">
        <v>3.9</v>
      </c>
      <c r="I1300" t="str" cm="1">
        <f t="array" ref="I1300">_xlfn.IFS(G1300&lt;3, "0–2 Years", G1300&lt;6, "3–5 Years", G1300&lt;9, "6–8 Years", G1300&lt;12, "9-11 Years", G1300&gt;=12, "12-14 Years")</f>
        <v>3–5 Years</v>
      </c>
      <c r="J1300">
        <v>4</v>
      </c>
      <c r="K1300" t="s">
        <v>20</v>
      </c>
      <c r="L1300">
        <v>98400</v>
      </c>
      <c r="M1300">
        <v>5800</v>
      </c>
      <c r="N1300">
        <v>104200</v>
      </c>
      <c r="O1300" t="s">
        <v>30</v>
      </c>
      <c r="P1300" s="3">
        <v>44501</v>
      </c>
      <c r="Q1300" t="s">
        <v>19</v>
      </c>
    </row>
    <row r="1301" spans="1:17" x14ac:dyDescent="0.35">
      <c r="A1301" t="s">
        <v>1353</v>
      </c>
      <c r="B1301" t="s">
        <v>16</v>
      </c>
      <c r="C1301">
        <v>32</v>
      </c>
      <c r="D1301" t="s">
        <v>34</v>
      </c>
      <c r="E1301" t="s">
        <v>59</v>
      </c>
      <c r="F1301" t="s">
        <v>36</v>
      </c>
      <c r="G1301">
        <v>9</v>
      </c>
      <c r="H1301">
        <v>6.3</v>
      </c>
      <c r="I1301" t="str" cm="1">
        <f t="array" ref="I1301">_xlfn.IFS(G1301&lt;3, "0–2 Years", G1301&lt;6, "3–5 Years", G1301&lt;9, "6–8 Years", G1301&lt;12, "9-11 Years", G1301&gt;=12, "12-14 Years")</f>
        <v>9-11 Years</v>
      </c>
      <c r="J1301">
        <v>3</v>
      </c>
      <c r="K1301" t="s">
        <v>20</v>
      </c>
      <c r="L1301">
        <v>108900</v>
      </c>
      <c r="M1301">
        <v>4600</v>
      </c>
      <c r="N1301">
        <v>113500</v>
      </c>
      <c r="O1301" t="s">
        <v>57</v>
      </c>
      <c r="P1301" s="3">
        <v>42749</v>
      </c>
      <c r="Q1301" t="s">
        <v>36</v>
      </c>
    </row>
    <row r="1302" spans="1:17" x14ac:dyDescent="0.35">
      <c r="A1302" t="s">
        <v>1354</v>
      </c>
      <c r="B1302" t="s">
        <v>16</v>
      </c>
      <c r="C1302" s="7">
        <v>46</v>
      </c>
      <c r="D1302" t="s">
        <v>17</v>
      </c>
      <c r="E1302" t="s">
        <v>32</v>
      </c>
      <c r="F1302" t="s">
        <v>28</v>
      </c>
      <c r="G1302" s="9">
        <v>13.6</v>
      </c>
      <c r="H1302" s="7">
        <v>9</v>
      </c>
      <c r="I1302" t="str" cm="1">
        <f t="array" ref="I1302">_xlfn.IFS(G1302&lt;3, "0–2 Years", G1302&lt;6, "3–5 Years", G1302&lt;9, "6–8 Years", G1302&lt;12, "9-11 Years", G1302&gt;=12, "12-14 Years")</f>
        <v>12-14 Years</v>
      </c>
      <c r="J1302" s="7">
        <v>3</v>
      </c>
      <c r="K1302" t="s">
        <v>69</v>
      </c>
      <c r="L1302" s="7">
        <v>56900</v>
      </c>
      <c r="M1302" s="7">
        <v>3500</v>
      </c>
      <c r="N1302" s="7">
        <v>60400</v>
      </c>
      <c r="O1302" t="s">
        <v>25</v>
      </c>
      <c r="P1302" s="3">
        <v>41061</v>
      </c>
      <c r="Q1302" t="s">
        <v>28</v>
      </c>
    </row>
    <row r="1303" spans="1:17" x14ac:dyDescent="0.35">
      <c r="A1303" t="s">
        <v>1355</v>
      </c>
      <c r="B1303" t="s">
        <v>16</v>
      </c>
      <c r="C1303">
        <v>50</v>
      </c>
      <c r="D1303" t="s">
        <v>55</v>
      </c>
      <c r="E1303" t="s">
        <v>79</v>
      </c>
      <c r="F1303" t="s">
        <v>62</v>
      </c>
      <c r="G1303">
        <v>11.2</v>
      </c>
      <c r="H1303">
        <v>4.5</v>
      </c>
      <c r="I1303" t="str" cm="1">
        <f t="array" ref="I1303">_xlfn.IFS(G1303&lt;3, "0–2 Years", G1303&lt;6, "3–5 Years", G1303&lt;9, "6–8 Years", G1303&lt;12, "9-11 Years", G1303&gt;=12, "12-14 Years")</f>
        <v>9-11 Years</v>
      </c>
      <c r="J1303">
        <v>5</v>
      </c>
      <c r="K1303" t="s">
        <v>20</v>
      </c>
      <c r="L1303">
        <v>81500</v>
      </c>
      <c r="M1303">
        <v>8900</v>
      </c>
      <c r="N1303">
        <v>90400</v>
      </c>
      <c r="O1303" t="s">
        <v>30</v>
      </c>
      <c r="P1303" s="3">
        <v>41929</v>
      </c>
      <c r="Q1303" t="s">
        <v>62</v>
      </c>
    </row>
    <row r="1304" spans="1:17" x14ac:dyDescent="0.35">
      <c r="A1304" t="s">
        <v>1356</v>
      </c>
      <c r="B1304" t="s">
        <v>16</v>
      </c>
      <c r="C1304">
        <v>49</v>
      </c>
      <c r="D1304" t="s">
        <v>34</v>
      </c>
      <c r="E1304" t="s">
        <v>47</v>
      </c>
      <c r="F1304" t="s">
        <v>28</v>
      </c>
      <c r="G1304">
        <v>3.9</v>
      </c>
      <c r="H1304">
        <v>1.8</v>
      </c>
      <c r="I1304" t="str" cm="1">
        <f t="array" ref="I1304">_xlfn.IFS(G1304&lt;3, "0–2 Years", G1304&lt;6, "3–5 Years", G1304&lt;9, "6–8 Years", G1304&lt;12, "9-11 Years", G1304&gt;=12, "12-14 Years")</f>
        <v>3–5 Years</v>
      </c>
      <c r="J1304">
        <v>5</v>
      </c>
      <c r="K1304" t="s">
        <v>20</v>
      </c>
      <c r="L1304">
        <v>80900</v>
      </c>
      <c r="M1304">
        <v>9200</v>
      </c>
      <c r="N1304">
        <v>90100</v>
      </c>
      <c r="O1304" t="s">
        <v>30</v>
      </c>
      <c r="P1304" s="3">
        <v>44611</v>
      </c>
      <c r="Q1304" t="s">
        <v>28</v>
      </c>
    </row>
    <row r="1305" spans="1:17" x14ac:dyDescent="0.35">
      <c r="A1305" t="s">
        <v>1357</v>
      </c>
      <c r="B1305" t="s">
        <v>23</v>
      </c>
      <c r="C1305">
        <v>30</v>
      </c>
      <c r="D1305" t="s">
        <v>41</v>
      </c>
      <c r="E1305" t="s">
        <v>73</v>
      </c>
      <c r="F1305" t="s">
        <v>36</v>
      </c>
      <c r="G1305">
        <v>7.8</v>
      </c>
      <c r="H1305">
        <v>7.8</v>
      </c>
      <c r="I1305" t="str" cm="1">
        <f t="array" ref="I1305">_xlfn.IFS(G1305&lt;3, "0–2 Years", G1305&lt;6, "3–5 Years", G1305&lt;9, "6–8 Years", G1305&lt;12, "9-11 Years", G1305&gt;=12, "12-14 Years")</f>
        <v>6–8 Years</v>
      </c>
      <c r="J1305">
        <v>3</v>
      </c>
      <c r="K1305" t="s">
        <v>24</v>
      </c>
      <c r="L1305">
        <v>61800</v>
      </c>
      <c r="M1305">
        <v>4600</v>
      </c>
      <c r="N1305">
        <v>66400</v>
      </c>
      <c r="O1305" t="s">
        <v>25</v>
      </c>
      <c r="P1305" s="3">
        <v>43179</v>
      </c>
      <c r="Q1305" t="s">
        <v>36</v>
      </c>
    </row>
    <row r="1306" spans="1:17" x14ac:dyDescent="0.35">
      <c r="A1306" t="s">
        <v>1358</v>
      </c>
      <c r="B1306" t="s">
        <v>23</v>
      </c>
      <c r="C1306">
        <v>41</v>
      </c>
      <c r="D1306" t="s">
        <v>44</v>
      </c>
      <c r="E1306" t="s">
        <v>51</v>
      </c>
      <c r="F1306" t="s">
        <v>19</v>
      </c>
      <c r="G1306">
        <v>2.1</v>
      </c>
      <c r="H1306">
        <v>2.1</v>
      </c>
      <c r="I1306" t="str" cm="1">
        <f t="array" ref="I1306">_xlfn.IFS(G1306&lt;3, "0–2 Years", G1306&lt;6, "3–5 Years", G1306&lt;9, "6–8 Years", G1306&lt;12, "9-11 Years", G1306&gt;=12, "12-14 Years")</f>
        <v>0–2 Years</v>
      </c>
      <c r="J1306">
        <v>2</v>
      </c>
      <c r="K1306" t="s">
        <v>20</v>
      </c>
      <c r="L1306">
        <v>63400</v>
      </c>
      <c r="M1306">
        <v>7900</v>
      </c>
      <c r="N1306">
        <v>71300</v>
      </c>
      <c r="O1306" t="s">
        <v>25</v>
      </c>
      <c r="P1306" s="3">
        <v>45269</v>
      </c>
      <c r="Q1306" t="s">
        <v>19</v>
      </c>
    </row>
    <row r="1307" spans="1:17" x14ac:dyDescent="0.35">
      <c r="A1307" t="s">
        <v>1359</v>
      </c>
      <c r="B1307" t="s">
        <v>23</v>
      </c>
      <c r="C1307">
        <v>33</v>
      </c>
      <c r="D1307" t="s">
        <v>17</v>
      </c>
      <c r="E1307" t="s">
        <v>27</v>
      </c>
      <c r="F1307" t="s">
        <v>28</v>
      </c>
      <c r="G1307">
        <v>3.2</v>
      </c>
      <c r="H1307">
        <v>2.7</v>
      </c>
      <c r="I1307" t="str" cm="1">
        <f t="array" ref="I1307">_xlfn.IFS(G1307&lt;3, "0–2 Years", G1307&lt;6, "3–5 Years", G1307&lt;9, "6–8 Years", G1307&lt;12, "9-11 Years", G1307&gt;=12, "12-14 Years")</f>
        <v>3–5 Years</v>
      </c>
      <c r="J1307">
        <v>3</v>
      </c>
      <c r="K1307" t="s">
        <v>20</v>
      </c>
      <c r="L1307">
        <v>69900</v>
      </c>
      <c r="M1307">
        <v>7900</v>
      </c>
      <c r="N1307">
        <v>77800</v>
      </c>
      <c r="O1307" t="s">
        <v>21</v>
      </c>
      <c r="P1307" s="3">
        <v>44852</v>
      </c>
      <c r="Q1307" t="s">
        <v>28</v>
      </c>
    </row>
    <row r="1308" spans="1:17" x14ac:dyDescent="0.35">
      <c r="A1308" t="s">
        <v>1360</v>
      </c>
      <c r="B1308" t="s">
        <v>16</v>
      </c>
      <c r="C1308">
        <v>41</v>
      </c>
      <c r="D1308" t="s">
        <v>34</v>
      </c>
      <c r="E1308" t="s">
        <v>35</v>
      </c>
      <c r="F1308" t="s">
        <v>28</v>
      </c>
      <c r="G1308">
        <v>7.9</v>
      </c>
      <c r="H1308">
        <v>4.9000000000000004</v>
      </c>
      <c r="I1308" t="str" cm="1">
        <f t="array" ref="I1308">_xlfn.IFS(G1308&lt;3, "0–2 Years", G1308&lt;6, "3–5 Years", G1308&lt;9, "6–8 Years", G1308&lt;12, "9-11 Years", G1308&gt;=12, "12-14 Years")</f>
        <v>6–8 Years</v>
      </c>
      <c r="J1308">
        <v>2</v>
      </c>
      <c r="K1308" t="s">
        <v>20</v>
      </c>
      <c r="L1308">
        <v>79100</v>
      </c>
      <c r="M1308">
        <v>4300</v>
      </c>
      <c r="N1308">
        <v>83400</v>
      </c>
      <c r="O1308" t="s">
        <v>21</v>
      </c>
      <c r="P1308" s="3">
        <v>43150</v>
      </c>
      <c r="Q1308" t="s">
        <v>28</v>
      </c>
    </row>
    <row r="1309" spans="1:17" x14ac:dyDescent="0.35">
      <c r="A1309" t="s">
        <v>1361</v>
      </c>
      <c r="B1309" t="s">
        <v>16</v>
      </c>
      <c r="C1309">
        <v>27</v>
      </c>
      <c r="D1309" t="s">
        <v>34</v>
      </c>
      <c r="E1309" t="s">
        <v>59</v>
      </c>
      <c r="F1309" t="s">
        <v>36</v>
      </c>
      <c r="G1309">
        <v>10</v>
      </c>
      <c r="H1309">
        <v>6.5</v>
      </c>
      <c r="I1309" t="str" cm="1">
        <f t="array" ref="I1309">_xlfn.IFS(G1309&lt;3, "0–2 Years", G1309&lt;6, "3–5 Years", G1309&lt;9, "6–8 Years", G1309&lt;12, "9-11 Years", G1309&gt;=12, "12-14 Years")</f>
        <v>9-11 Years</v>
      </c>
      <c r="J1309">
        <v>3</v>
      </c>
      <c r="K1309" t="s">
        <v>20</v>
      </c>
      <c r="L1309">
        <v>123500</v>
      </c>
      <c r="M1309">
        <v>7000</v>
      </c>
      <c r="N1309">
        <v>130500</v>
      </c>
      <c r="O1309" t="s">
        <v>57</v>
      </c>
      <c r="P1309" s="3">
        <v>42365</v>
      </c>
      <c r="Q1309" t="s">
        <v>36</v>
      </c>
    </row>
    <row r="1310" spans="1:17" x14ac:dyDescent="0.35">
      <c r="A1310" t="s">
        <v>1362</v>
      </c>
      <c r="B1310" t="s">
        <v>23</v>
      </c>
      <c r="C1310">
        <v>22</v>
      </c>
      <c r="D1310" t="s">
        <v>44</v>
      </c>
      <c r="E1310" t="s">
        <v>81</v>
      </c>
      <c r="F1310" t="s">
        <v>28</v>
      </c>
      <c r="G1310">
        <v>6.6</v>
      </c>
      <c r="H1310">
        <v>6.6</v>
      </c>
      <c r="I1310" t="str" cm="1">
        <f t="array" ref="I1310">_xlfn.IFS(G1310&lt;3, "0–2 Years", G1310&lt;6, "3–5 Years", G1310&lt;9, "6–8 Years", G1310&lt;12, "9-11 Years", G1310&gt;=12, "12-14 Years")</f>
        <v>6–8 Years</v>
      </c>
      <c r="J1310">
        <v>4</v>
      </c>
      <c r="K1310" t="s">
        <v>20</v>
      </c>
      <c r="L1310">
        <v>96800</v>
      </c>
      <c r="M1310">
        <v>9300</v>
      </c>
      <c r="N1310">
        <v>106100</v>
      </c>
      <c r="O1310" t="s">
        <v>30</v>
      </c>
      <c r="P1310" s="3">
        <v>43618</v>
      </c>
      <c r="Q1310" t="s">
        <v>28</v>
      </c>
    </row>
    <row r="1311" spans="1:17" x14ac:dyDescent="0.35">
      <c r="A1311" t="s">
        <v>1363</v>
      </c>
      <c r="B1311" t="s">
        <v>23</v>
      </c>
      <c r="C1311">
        <v>21</v>
      </c>
      <c r="D1311" t="s">
        <v>17</v>
      </c>
      <c r="E1311" t="s">
        <v>27</v>
      </c>
      <c r="F1311" t="s">
        <v>36</v>
      </c>
      <c r="G1311">
        <v>7.6</v>
      </c>
      <c r="H1311">
        <v>5.2</v>
      </c>
      <c r="I1311" t="str" cm="1">
        <f t="array" ref="I1311">_xlfn.IFS(G1311&lt;3, "0–2 Years", G1311&lt;6, "3–5 Years", G1311&lt;9, "6–8 Years", G1311&lt;12, "9-11 Years", G1311&gt;=12, "12-14 Years")</f>
        <v>6–8 Years</v>
      </c>
      <c r="J1311">
        <v>3</v>
      </c>
      <c r="K1311" t="s">
        <v>20</v>
      </c>
      <c r="L1311">
        <v>69200</v>
      </c>
      <c r="M1311">
        <v>6700</v>
      </c>
      <c r="N1311">
        <v>75900</v>
      </c>
      <c r="O1311" t="s">
        <v>21</v>
      </c>
      <c r="P1311" s="3">
        <v>43232</v>
      </c>
      <c r="Q1311" t="s">
        <v>36</v>
      </c>
    </row>
    <row r="1312" spans="1:17" x14ac:dyDescent="0.35">
      <c r="A1312" t="s">
        <v>1364</v>
      </c>
      <c r="B1312" t="s">
        <v>23</v>
      </c>
      <c r="C1312" s="7">
        <v>45</v>
      </c>
      <c r="D1312" t="s">
        <v>55</v>
      </c>
      <c r="E1312" t="s">
        <v>92</v>
      </c>
      <c r="F1312" t="s">
        <v>28</v>
      </c>
      <c r="G1312" s="9">
        <v>12</v>
      </c>
      <c r="H1312" s="7">
        <v>7.6</v>
      </c>
      <c r="I1312" t="str" cm="1">
        <f t="array" ref="I1312">_xlfn.IFS(G1312&lt;3, "0–2 Years", G1312&lt;6, "3–5 Years", G1312&lt;9, "6–8 Years", G1312&lt;12, "9-11 Years", G1312&gt;=12, "12-14 Years")</f>
        <v>12-14 Years</v>
      </c>
      <c r="J1312" s="7">
        <v>3</v>
      </c>
      <c r="K1312" t="s">
        <v>20</v>
      </c>
      <c r="L1312" s="7">
        <v>94400</v>
      </c>
      <c r="M1312" s="7">
        <v>18500</v>
      </c>
      <c r="N1312" s="7">
        <v>112900</v>
      </c>
      <c r="O1312" t="s">
        <v>30</v>
      </c>
      <c r="P1312" s="3">
        <v>41626</v>
      </c>
      <c r="Q1312" t="s">
        <v>28</v>
      </c>
    </row>
    <row r="1313" spans="1:17" x14ac:dyDescent="0.35">
      <c r="A1313" t="s">
        <v>1365</v>
      </c>
      <c r="B1313" t="s">
        <v>23</v>
      </c>
      <c r="C1313">
        <v>41</v>
      </c>
      <c r="D1313" t="s">
        <v>38</v>
      </c>
      <c r="E1313" t="s">
        <v>61</v>
      </c>
      <c r="F1313" t="s">
        <v>28</v>
      </c>
      <c r="G1313">
        <v>10.4</v>
      </c>
      <c r="H1313">
        <v>7.3</v>
      </c>
      <c r="I1313" t="str" cm="1">
        <f t="array" ref="I1313">_xlfn.IFS(G1313&lt;3, "0–2 Years", G1313&lt;6, "3–5 Years", G1313&lt;9, "6–8 Years", G1313&lt;12, "9-11 Years", G1313&gt;=12, "12-14 Years")</f>
        <v>9-11 Years</v>
      </c>
      <c r="J1313">
        <v>3</v>
      </c>
      <c r="K1313" t="s">
        <v>20</v>
      </c>
      <c r="L1313">
        <v>115500</v>
      </c>
      <c r="M1313">
        <v>8500</v>
      </c>
      <c r="N1313">
        <v>124000</v>
      </c>
      <c r="O1313" t="s">
        <v>57</v>
      </c>
      <c r="P1313" s="3">
        <v>42217</v>
      </c>
      <c r="Q1313" t="s">
        <v>28</v>
      </c>
    </row>
    <row r="1314" spans="1:17" x14ac:dyDescent="0.35">
      <c r="A1314" t="s">
        <v>1366</v>
      </c>
      <c r="B1314" t="s">
        <v>23</v>
      </c>
      <c r="C1314">
        <v>37</v>
      </c>
      <c r="D1314" t="s">
        <v>55</v>
      </c>
      <c r="E1314" t="s">
        <v>56</v>
      </c>
      <c r="F1314" t="s">
        <v>28</v>
      </c>
      <c r="G1314">
        <v>2.1</v>
      </c>
      <c r="H1314">
        <v>1.7</v>
      </c>
      <c r="I1314" t="str" cm="1">
        <f t="array" ref="I1314">_xlfn.IFS(G1314&lt;3, "0–2 Years", G1314&lt;6, "3–5 Years", G1314&lt;9, "6–8 Years", G1314&lt;12, "9-11 Years", G1314&gt;=12, "12-14 Years")</f>
        <v>0–2 Years</v>
      </c>
      <c r="J1314">
        <v>4</v>
      </c>
      <c r="K1314" t="s">
        <v>20</v>
      </c>
      <c r="L1314">
        <v>93900</v>
      </c>
      <c r="M1314">
        <v>10600</v>
      </c>
      <c r="N1314">
        <v>104500</v>
      </c>
      <c r="O1314" t="s">
        <v>30</v>
      </c>
      <c r="P1314" s="3">
        <v>45267</v>
      </c>
      <c r="Q1314" t="s">
        <v>28</v>
      </c>
    </row>
    <row r="1315" spans="1:17" x14ac:dyDescent="0.35">
      <c r="A1315" t="s">
        <v>1367</v>
      </c>
      <c r="B1315" t="s">
        <v>23</v>
      </c>
      <c r="C1315">
        <v>37</v>
      </c>
      <c r="D1315" t="s">
        <v>44</v>
      </c>
      <c r="E1315" t="s">
        <v>76</v>
      </c>
      <c r="F1315" t="s">
        <v>36</v>
      </c>
      <c r="G1315">
        <v>10.1</v>
      </c>
      <c r="H1315">
        <v>7.3</v>
      </c>
      <c r="I1315" t="str" cm="1">
        <f t="array" ref="I1315">_xlfn.IFS(G1315&lt;3, "0–2 Years", G1315&lt;6, "3–5 Years", G1315&lt;9, "6–8 Years", G1315&lt;12, "9-11 Years", G1315&gt;=12, "12-14 Years")</f>
        <v>9-11 Years</v>
      </c>
      <c r="J1315">
        <v>3</v>
      </c>
      <c r="K1315" t="s">
        <v>20</v>
      </c>
      <c r="L1315">
        <v>104200</v>
      </c>
      <c r="M1315">
        <v>10200</v>
      </c>
      <c r="N1315">
        <v>114400</v>
      </c>
      <c r="O1315" t="s">
        <v>57</v>
      </c>
      <c r="P1315" s="3">
        <v>42333</v>
      </c>
      <c r="Q1315" t="s">
        <v>36</v>
      </c>
    </row>
    <row r="1316" spans="1:17" x14ac:dyDescent="0.35">
      <c r="A1316" t="s">
        <v>1368</v>
      </c>
      <c r="B1316" t="s">
        <v>16</v>
      </c>
      <c r="C1316" s="7">
        <v>33</v>
      </c>
      <c r="D1316" t="s">
        <v>34</v>
      </c>
      <c r="E1316" t="s">
        <v>35</v>
      </c>
      <c r="F1316" t="s">
        <v>28</v>
      </c>
      <c r="G1316" s="9">
        <v>14</v>
      </c>
      <c r="H1316" s="7">
        <v>11.1</v>
      </c>
      <c r="I1316" t="str" cm="1">
        <f t="array" ref="I1316">_xlfn.IFS(G1316&lt;3, "0–2 Years", G1316&lt;6, "3–5 Years", G1316&lt;9, "6–8 Years", G1316&lt;12, "9-11 Years", G1316&gt;=12, "12-14 Years")</f>
        <v>12-14 Years</v>
      </c>
      <c r="J1316" s="7">
        <v>5</v>
      </c>
      <c r="K1316" t="s">
        <v>24</v>
      </c>
      <c r="L1316" s="7">
        <v>56600</v>
      </c>
      <c r="M1316" s="7">
        <v>4300</v>
      </c>
      <c r="N1316" s="7">
        <v>60900</v>
      </c>
      <c r="O1316" t="s">
        <v>25</v>
      </c>
      <c r="P1316" s="3">
        <v>40917</v>
      </c>
      <c r="Q1316" t="s">
        <v>28</v>
      </c>
    </row>
    <row r="1317" spans="1:17" x14ac:dyDescent="0.35">
      <c r="A1317" t="s">
        <v>1369</v>
      </c>
      <c r="B1317" t="s">
        <v>16</v>
      </c>
      <c r="C1317">
        <v>23</v>
      </c>
      <c r="D1317" t="s">
        <v>34</v>
      </c>
      <c r="E1317" t="s">
        <v>47</v>
      </c>
      <c r="F1317" t="s">
        <v>19</v>
      </c>
      <c r="G1317">
        <v>1.1000000000000001</v>
      </c>
      <c r="H1317">
        <v>1.1000000000000001</v>
      </c>
      <c r="I1317" t="str" cm="1">
        <f t="array" ref="I1317">_xlfn.IFS(G1317&lt;3, "0–2 Years", G1317&lt;6, "3–5 Years", G1317&lt;9, "6–8 Years", G1317&lt;12, "9-11 Years", G1317&gt;=12, "12-14 Years")</f>
        <v>0–2 Years</v>
      </c>
      <c r="J1317">
        <v>4</v>
      </c>
      <c r="K1317" t="s">
        <v>20</v>
      </c>
      <c r="L1317">
        <v>64600</v>
      </c>
      <c r="M1317">
        <v>4200</v>
      </c>
      <c r="N1317">
        <v>68800</v>
      </c>
      <c r="O1317" t="s">
        <v>25</v>
      </c>
      <c r="P1317" s="3">
        <v>45605</v>
      </c>
      <c r="Q1317" t="s">
        <v>19</v>
      </c>
    </row>
    <row r="1318" spans="1:17" x14ac:dyDescent="0.35">
      <c r="A1318" t="s">
        <v>1370</v>
      </c>
      <c r="B1318" t="s">
        <v>16</v>
      </c>
      <c r="C1318">
        <v>41</v>
      </c>
      <c r="D1318" t="s">
        <v>41</v>
      </c>
      <c r="E1318" t="s">
        <v>73</v>
      </c>
      <c r="F1318" t="s">
        <v>36</v>
      </c>
      <c r="G1318">
        <v>4</v>
      </c>
      <c r="H1318">
        <v>2</v>
      </c>
      <c r="I1318" t="str" cm="1">
        <f t="array" ref="I1318">_xlfn.IFS(G1318&lt;3, "0–2 Years", G1318&lt;6, "3–5 Years", G1318&lt;9, "6–8 Years", G1318&lt;12, "9-11 Years", G1318&gt;=12, "12-14 Years")</f>
        <v>3–5 Years</v>
      </c>
      <c r="J1318">
        <v>4</v>
      </c>
      <c r="K1318" t="s">
        <v>20</v>
      </c>
      <c r="L1318">
        <v>102300</v>
      </c>
      <c r="M1318">
        <v>6800</v>
      </c>
      <c r="N1318">
        <v>109100</v>
      </c>
      <c r="O1318" t="s">
        <v>57</v>
      </c>
      <c r="P1318" s="3">
        <v>44547</v>
      </c>
      <c r="Q1318" t="s">
        <v>36</v>
      </c>
    </row>
    <row r="1319" spans="1:17" x14ac:dyDescent="0.35">
      <c r="A1319" t="s">
        <v>1371</v>
      </c>
      <c r="B1319" t="s">
        <v>16</v>
      </c>
      <c r="C1319">
        <v>38</v>
      </c>
      <c r="D1319" t="s">
        <v>34</v>
      </c>
      <c r="E1319" t="s">
        <v>47</v>
      </c>
      <c r="F1319" t="s">
        <v>28</v>
      </c>
      <c r="G1319">
        <v>2.7</v>
      </c>
      <c r="H1319">
        <v>1.7</v>
      </c>
      <c r="I1319" t="str" cm="1">
        <f t="array" ref="I1319">_xlfn.IFS(G1319&lt;3, "0–2 Years", G1319&lt;6, "3–5 Years", G1319&lt;9, "6–8 Years", G1319&lt;12, "9-11 Years", G1319&gt;=12, "12-14 Years")</f>
        <v>0–2 Years</v>
      </c>
      <c r="J1319">
        <v>5</v>
      </c>
      <c r="K1319" t="s">
        <v>20</v>
      </c>
      <c r="L1319">
        <v>82400</v>
      </c>
      <c r="M1319">
        <v>4600</v>
      </c>
      <c r="N1319">
        <v>87000</v>
      </c>
      <c r="O1319" t="s">
        <v>30</v>
      </c>
      <c r="P1319" s="3">
        <v>45032</v>
      </c>
      <c r="Q1319" t="s">
        <v>28</v>
      </c>
    </row>
    <row r="1320" spans="1:17" x14ac:dyDescent="0.35">
      <c r="A1320" t="s">
        <v>1372</v>
      </c>
      <c r="B1320" t="s">
        <v>16</v>
      </c>
      <c r="C1320">
        <v>34</v>
      </c>
      <c r="D1320" t="s">
        <v>34</v>
      </c>
      <c r="E1320" t="s">
        <v>47</v>
      </c>
      <c r="F1320" t="s">
        <v>28</v>
      </c>
      <c r="G1320">
        <v>10.199999999999999</v>
      </c>
      <c r="H1320">
        <v>5.3</v>
      </c>
      <c r="I1320" t="str" cm="1">
        <f t="array" ref="I1320">_xlfn.IFS(G1320&lt;3, "0–2 Years", G1320&lt;6, "3–5 Years", G1320&lt;9, "6–8 Years", G1320&lt;12, "9-11 Years", G1320&gt;=12, "12-14 Years")</f>
        <v>9-11 Years</v>
      </c>
      <c r="J1320">
        <v>3</v>
      </c>
      <c r="K1320" t="s">
        <v>69</v>
      </c>
      <c r="L1320">
        <v>74700</v>
      </c>
      <c r="M1320">
        <v>8200</v>
      </c>
      <c r="N1320">
        <v>82900</v>
      </c>
      <c r="O1320" t="s">
        <v>21</v>
      </c>
      <c r="P1320" s="3">
        <v>42303</v>
      </c>
      <c r="Q1320" t="s">
        <v>28</v>
      </c>
    </row>
    <row r="1321" spans="1:17" x14ac:dyDescent="0.35">
      <c r="A1321" t="s">
        <v>1373</v>
      </c>
      <c r="B1321" t="s">
        <v>23</v>
      </c>
      <c r="C1321">
        <v>38</v>
      </c>
      <c r="D1321" t="s">
        <v>38</v>
      </c>
      <c r="E1321" t="s">
        <v>61</v>
      </c>
      <c r="F1321" t="s">
        <v>36</v>
      </c>
      <c r="G1321">
        <v>11.3</v>
      </c>
      <c r="H1321">
        <v>9.3000000000000007</v>
      </c>
      <c r="I1321" t="str" cm="1">
        <f t="array" ref="I1321">_xlfn.IFS(G1321&lt;3, "0–2 Years", G1321&lt;6, "3–5 Years", G1321&lt;9, "6–8 Years", G1321&lt;12, "9-11 Years", G1321&gt;=12, "12-14 Years")</f>
        <v>9-11 Years</v>
      </c>
      <c r="J1321">
        <v>3</v>
      </c>
      <c r="K1321" t="s">
        <v>24</v>
      </c>
      <c r="L1321">
        <v>70700</v>
      </c>
      <c r="M1321">
        <v>4300</v>
      </c>
      <c r="N1321">
        <v>75000</v>
      </c>
      <c r="O1321" t="s">
        <v>21</v>
      </c>
      <c r="P1321" s="3">
        <v>41878</v>
      </c>
      <c r="Q1321" t="s">
        <v>36</v>
      </c>
    </row>
    <row r="1322" spans="1:17" x14ac:dyDescent="0.35">
      <c r="A1322" t="s">
        <v>1374</v>
      </c>
      <c r="B1322" t="s">
        <v>16</v>
      </c>
      <c r="C1322">
        <v>39</v>
      </c>
      <c r="D1322" t="s">
        <v>34</v>
      </c>
      <c r="E1322" t="s">
        <v>47</v>
      </c>
      <c r="F1322" t="s">
        <v>36</v>
      </c>
      <c r="G1322">
        <v>1.4</v>
      </c>
      <c r="H1322">
        <v>0.2</v>
      </c>
      <c r="I1322" t="str" cm="1">
        <f t="array" ref="I1322">_xlfn.IFS(G1322&lt;3, "0–2 Years", G1322&lt;6, "3–5 Years", G1322&lt;9, "6–8 Years", G1322&lt;12, "9-11 Years", G1322&gt;=12, "12-14 Years")</f>
        <v>0–2 Years</v>
      </c>
      <c r="J1322">
        <v>3</v>
      </c>
      <c r="K1322" t="s">
        <v>24</v>
      </c>
      <c r="L1322">
        <v>46500</v>
      </c>
      <c r="M1322">
        <v>4900</v>
      </c>
      <c r="N1322">
        <v>51400</v>
      </c>
      <c r="O1322" t="s">
        <v>65</v>
      </c>
      <c r="P1322" s="3">
        <v>45528</v>
      </c>
      <c r="Q1322" t="s">
        <v>36</v>
      </c>
    </row>
    <row r="1323" spans="1:17" x14ac:dyDescent="0.35">
      <c r="A1323" t="s">
        <v>1375</v>
      </c>
      <c r="B1323" t="s">
        <v>23</v>
      </c>
      <c r="C1323">
        <v>33</v>
      </c>
      <c r="D1323" t="s">
        <v>41</v>
      </c>
      <c r="E1323" t="s">
        <v>42</v>
      </c>
      <c r="F1323" t="s">
        <v>36</v>
      </c>
      <c r="G1323">
        <v>1.9</v>
      </c>
      <c r="H1323">
        <v>0.9</v>
      </c>
      <c r="I1323" t="str" cm="1">
        <f t="array" ref="I1323">_xlfn.IFS(G1323&lt;3, "0–2 Years", G1323&lt;6, "3–5 Years", G1323&lt;9, "6–8 Years", G1323&lt;12, "9-11 Years", G1323&gt;=12, "12-14 Years")</f>
        <v>0–2 Years</v>
      </c>
      <c r="J1323">
        <v>4</v>
      </c>
      <c r="K1323" t="s">
        <v>20</v>
      </c>
      <c r="L1323">
        <v>85600</v>
      </c>
      <c r="M1323">
        <v>6900</v>
      </c>
      <c r="N1323">
        <v>92500</v>
      </c>
      <c r="O1323" t="s">
        <v>30</v>
      </c>
      <c r="P1323" s="3">
        <v>45313</v>
      </c>
      <c r="Q1323" t="s">
        <v>36</v>
      </c>
    </row>
    <row r="1324" spans="1:17" x14ac:dyDescent="0.35">
      <c r="A1324" t="s">
        <v>1376</v>
      </c>
      <c r="B1324" t="s">
        <v>16</v>
      </c>
      <c r="C1324">
        <v>44</v>
      </c>
      <c r="D1324" t="s">
        <v>17</v>
      </c>
      <c r="E1324" t="s">
        <v>27</v>
      </c>
      <c r="F1324" t="s">
        <v>28</v>
      </c>
      <c r="G1324">
        <v>5.3</v>
      </c>
      <c r="H1324">
        <v>3.5</v>
      </c>
      <c r="I1324" t="str" cm="1">
        <f t="array" ref="I1324">_xlfn.IFS(G1324&lt;3, "0–2 Years", G1324&lt;6, "3–5 Years", G1324&lt;9, "6–8 Years", G1324&lt;12, "9-11 Years", G1324&gt;=12, "12-14 Years")</f>
        <v>3–5 Years</v>
      </c>
      <c r="J1324">
        <v>5</v>
      </c>
      <c r="K1324" t="s">
        <v>20</v>
      </c>
      <c r="L1324">
        <v>89200</v>
      </c>
      <c r="M1324">
        <v>4000</v>
      </c>
      <c r="N1324">
        <v>93200</v>
      </c>
      <c r="O1324" t="s">
        <v>30</v>
      </c>
      <c r="P1324" s="3">
        <v>44103</v>
      </c>
      <c r="Q1324" t="s">
        <v>28</v>
      </c>
    </row>
    <row r="1325" spans="1:17" x14ac:dyDescent="0.35">
      <c r="A1325" t="s">
        <v>1377</v>
      </c>
      <c r="B1325" t="s">
        <v>23</v>
      </c>
      <c r="C1325">
        <v>48</v>
      </c>
      <c r="D1325" t="s">
        <v>17</v>
      </c>
      <c r="E1325" t="s">
        <v>27</v>
      </c>
      <c r="F1325" t="s">
        <v>19</v>
      </c>
      <c r="G1325">
        <v>11.2</v>
      </c>
      <c r="H1325">
        <v>8.8000000000000007</v>
      </c>
      <c r="I1325" t="str" cm="1">
        <f t="array" ref="I1325">_xlfn.IFS(G1325&lt;3, "0–2 Years", G1325&lt;6, "3–5 Years", G1325&lt;9, "6–8 Years", G1325&lt;12, "9-11 Years", G1325&gt;=12, "12-14 Years")</f>
        <v>9-11 Years</v>
      </c>
      <c r="J1325">
        <v>3</v>
      </c>
      <c r="K1325" t="s">
        <v>20</v>
      </c>
      <c r="L1325">
        <v>73800</v>
      </c>
      <c r="M1325">
        <v>4000</v>
      </c>
      <c r="N1325">
        <v>77800</v>
      </c>
      <c r="O1325" t="s">
        <v>21</v>
      </c>
      <c r="P1325" s="3">
        <v>41942</v>
      </c>
      <c r="Q1325" t="s">
        <v>19</v>
      </c>
    </row>
    <row r="1326" spans="1:17" x14ac:dyDescent="0.35">
      <c r="A1326" t="s">
        <v>1378</v>
      </c>
      <c r="B1326" t="s">
        <v>16</v>
      </c>
      <c r="C1326">
        <v>48</v>
      </c>
      <c r="D1326" t="s">
        <v>44</v>
      </c>
      <c r="E1326" t="s">
        <v>81</v>
      </c>
      <c r="F1326" t="s">
        <v>36</v>
      </c>
      <c r="G1326">
        <v>3.3</v>
      </c>
      <c r="H1326">
        <v>2.5</v>
      </c>
      <c r="I1326" t="str" cm="1">
        <f t="array" ref="I1326">_xlfn.IFS(G1326&lt;3, "0–2 Years", G1326&lt;6, "3–5 Years", G1326&lt;9, "6–8 Years", G1326&lt;12, "9-11 Years", G1326&gt;=12, "12-14 Years")</f>
        <v>3–5 Years</v>
      </c>
      <c r="J1326">
        <v>4</v>
      </c>
      <c r="K1326" t="s">
        <v>20</v>
      </c>
      <c r="L1326">
        <v>98100</v>
      </c>
      <c r="M1326">
        <v>14600</v>
      </c>
      <c r="N1326">
        <v>112700</v>
      </c>
      <c r="O1326" t="s">
        <v>30</v>
      </c>
      <c r="P1326" s="3">
        <v>44808</v>
      </c>
      <c r="Q1326" t="s">
        <v>36</v>
      </c>
    </row>
    <row r="1327" spans="1:17" x14ac:dyDescent="0.35">
      <c r="A1327" t="s">
        <v>1379</v>
      </c>
      <c r="B1327" t="s">
        <v>16</v>
      </c>
      <c r="C1327">
        <v>31</v>
      </c>
      <c r="D1327" t="s">
        <v>55</v>
      </c>
      <c r="E1327" t="s">
        <v>92</v>
      </c>
      <c r="F1327" t="s">
        <v>36</v>
      </c>
      <c r="G1327">
        <v>3.2</v>
      </c>
      <c r="H1327">
        <v>0.9</v>
      </c>
      <c r="I1327" t="str" cm="1">
        <f t="array" ref="I1327">_xlfn.IFS(G1327&lt;3, "0–2 Years", G1327&lt;6, "3–5 Years", G1327&lt;9, "6–8 Years", G1327&lt;12, "9-11 Years", G1327&gt;=12, "12-14 Years")</f>
        <v>3–5 Years</v>
      </c>
      <c r="J1327">
        <v>3</v>
      </c>
      <c r="K1327" t="s">
        <v>20</v>
      </c>
      <c r="L1327">
        <v>101800</v>
      </c>
      <c r="M1327">
        <v>15000</v>
      </c>
      <c r="N1327">
        <v>116800</v>
      </c>
      <c r="O1327" t="s">
        <v>57</v>
      </c>
      <c r="P1327" s="3">
        <v>44838</v>
      </c>
      <c r="Q1327" t="s">
        <v>36</v>
      </c>
    </row>
    <row r="1328" spans="1:17" x14ac:dyDescent="0.35">
      <c r="A1328" t="s">
        <v>1380</v>
      </c>
      <c r="B1328" t="s">
        <v>23</v>
      </c>
      <c r="C1328">
        <v>42</v>
      </c>
      <c r="D1328" t="s">
        <v>44</v>
      </c>
      <c r="E1328" t="s">
        <v>45</v>
      </c>
      <c r="F1328" t="s">
        <v>28</v>
      </c>
      <c r="G1328">
        <v>9.1999999999999993</v>
      </c>
      <c r="H1328">
        <v>4.5999999999999996</v>
      </c>
      <c r="I1328" t="str" cm="1">
        <f t="array" ref="I1328">_xlfn.IFS(G1328&lt;3, "0–2 Years", G1328&lt;6, "3–5 Years", G1328&lt;9, "6–8 Years", G1328&lt;12, "9-11 Years", G1328&gt;=12, "12-14 Years")</f>
        <v>9-11 Years</v>
      </c>
      <c r="J1328">
        <v>4</v>
      </c>
      <c r="K1328" t="s">
        <v>20</v>
      </c>
      <c r="L1328">
        <v>86500</v>
      </c>
      <c r="M1328">
        <v>7600</v>
      </c>
      <c r="N1328">
        <v>94100</v>
      </c>
      <c r="O1328" t="s">
        <v>30</v>
      </c>
      <c r="P1328" s="3">
        <v>42657</v>
      </c>
      <c r="Q1328" t="s">
        <v>28</v>
      </c>
    </row>
    <row r="1329" spans="1:17" x14ac:dyDescent="0.35">
      <c r="A1329" t="s">
        <v>1381</v>
      </c>
      <c r="B1329" t="s">
        <v>23</v>
      </c>
      <c r="C1329">
        <v>56</v>
      </c>
      <c r="D1329" t="s">
        <v>34</v>
      </c>
      <c r="E1329" t="s">
        <v>59</v>
      </c>
      <c r="F1329" t="s">
        <v>62</v>
      </c>
      <c r="G1329">
        <v>9.4</v>
      </c>
      <c r="H1329">
        <v>5.8</v>
      </c>
      <c r="I1329" t="str" cm="1">
        <f t="array" ref="I1329">_xlfn.IFS(G1329&lt;3, "0–2 Years", G1329&lt;6, "3–5 Years", G1329&lt;9, "6–8 Years", G1329&lt;12, "9-11 Years", G1329&gt;=12, "12-14 Years")</f>
        <v>9-11 Years</v>
      </c>
      <c r="J1329">
        <v>2</v>
      </c>
      <c r="K1329" t="s">
        <v>20</v>
      </c>
      <c r="L1329">
        <v>115500</v>
      </c>
      <c r="M1329">
        <v>12100</v>
      </c>
      <c r="N1329">
        <v>127600</v>
      </c>
      <c r="O1329" t="s">
        <v>57</v>
      </c>
      <c r="P1329" s="3">
        <v>42601</v>
      </c>
      <c r="Q1329" t="s">
        <v>62</v>
      </c>
    </row>
    <row r="1330" spans="1:17" x14ac:dyDescent="0.35">
      <c r="A1330" t="s">
        <v>1382</v>
      </c>
      <c r="B1330" t="s">
        <v>23</v>
      </c>
      <c r="C1330">
        <v>43</v>
      </c>
      <c r="D1330" t="s">
        <v>34</v>
      </c>
      <c r="E1330" t="s">
        <v>59</v>
      </c>
      <c r="F1330" t="s">
        <v>28</v>
      </c>
      <c r="G1330">
        <v>5.7</v>
      </c>
      <c r="H1330">
        <v>4.2</v>
      </c>
      <c r="I1330" t="str" cm="1">
        <f t="array" ref="I1330">_xlfn.IFS(G1330&lt;3, "0–2 Years", G1330&lt;6, "3–5 Years", G1330&lt;9, "6–8 Years", G1330&lt;12, "9-11 Years", G1330&gt;=12, "12-14 Years")</f>
        <v>3–5 Years</v>
      </c>
      <c r="J1330">
        <v>3</v>
      </c>
      <c r="K1330" t="s">
        <v>20</v>
      </c>
      <c r="L1330">
        <v>107300</v>
      </c>
      <c r="M1330">
        <v>7000</v>
      </c>
      <c r="N1330">
        <v>114300</v>
      </c>
      <c r="O1330" t="s">
        <v>57</v>
      </c>
      <c r="P1330" s="3">
        <v>43945</v>
      </c>
      <c r="Q1330" t="s">
        <v>28</v>
      </c>
    </row>
    <row r="1331" spans="1:17" x14ac:dyDescent="0.35">
      <c r="A1331" t="s">
        <v>1383</v>
      </c>
      <c r="B1331" t="s">
        <v>23</v>
      </c>
      <c r="C1331">
        <v>28</v>
      </c>
      <c r="D1331" t="s">
        <v>34</v>
      </c>
      <c r="E1331" t="s">
        <v>47</v>
      </c>
      <c r="F1331" t="s">
        <v>28</v>
      </c>
      <c r="G1331">
        <v>6.4</v>
      </c>
      <c r="H1331">
        <v>4.5</v>
      </c>
      <c r="I1331" t="str" cm="1">
        <f t="array" ref="I1331">_xlfn.IFS(G1331&lt;3, "0–2 Years", G1331&lt;6, "3–5 Years", G1331&lt;9, "6–8 Years", G1331&lt;12, "9-11 Years", G1331&gt;=12, "12-14 Years")</f>
        <v>6–8 Years</v>
      </c>
      <c r="J1331">
        <v>4</v>
      </c>
      <c r="K1331" t="s">
        <v>20</v>
      </c>
      <c r="L1331">
        <v>80900</v>
      </c>
      <c r="M1331">
        <v>4600</v>
      </c>
      <c r="N1331">
        <v>85500</v>
      </c>
      <c r="O1331" t="s">
        <v>30</v>
      </c>
      <c r="P1331" s="3">
        <v>43677</v>
      </c>
      <c r="Q1331" t="s">
        <v>28</v>
      </c>
    </row>
    <row r="1332" spans="1:17" x14ac:dyDescent="0.35">
      <c r="A1332" t="s">
        <v>1384</v>
      </c>
      <c r="B1332" t="s">
        <v>23</v>
      </c>
      <c r="C1332" s="7">
        <v>38</v>
      </c>
      <c r="D1332" t="s">
        <v>34</v>
      </c>
      <c r="E1332" t="s">
        <v>59</v>
      </c>
      <c r="F1332" t="s">
        <v>28</v>
      </c>
      <c r="G1332" s="9">
        <v>12.9</v>
      </c>
      <c r="H1332" s="7">
        <v>10.5</v>
      </c>
      <c r="I1332" t="str" cm="1">
        <f t="array" ref="I1332">_xlfn.IFS(G1332&lt;3, "0–2 Years", G1332&lt;6, "3–5 Years", G1332&lt;9, "6–8 Years", G1332&lt;12, "9-11 Years", G1332&gt;=12, "12-14 Years")</f>
        <v>12-14 Years</v>
      </c>
      <c r="J1332" s="7">
        <v>5</v>
      </c>
      <c r="K1332" t="s">
        <v>20</v>
      </c>
      <c r="L1332" s="7">
        <v>104500</v>
      </c>
      <c r="M1332" s="7">
        <v>8300</v>
      </c>
      <c r="N1332" s="7">
        <v>112800</v>
      </c>
      <c r="O1332" t="s">
        <v>57</v>
      </c>
      <c r="P1332" s="3">
        <v>41320</v>
      </c>
      <c r="Q1332" t="s">
        <v>28</v>
      </c>
    </row>
    <row r="1333" spans="1:17" x14ac:dyDescent="0.35">
      <c r="A1333" t="s">
        <v>1385</v>
      </c>
      <c r="B1333" t="s">
        <v>16</v>
      </c>
      <c r="C1333" s="7">
        <v>49</v>
      </c>
      <c r="D1333" t="s">
        <v>17</v>
      </c>
      <c r="E1333" t="s">
        <v>32</v>
      </c>
      <c r="F1333" t="s">
        <v>28</v>
      </c>
      <c r="G1333" s="9">
        <v>13.9</v>
      </c>
      <c r="H1333" s="7">
        <v>9.5</v>
      </c>
      <c r="I1333" t="str" cm="1">
        <f t="array" ref="I1333">_xlfn.IFS(G1333&lt;3, "0–2 Years", G1333&lt;6, "3–5 Years", G1333&lt;9, "6–8 Years", G1333&lt;12, "9-11 Years", G1333&gt;=12, "12-14 Years")</f>
        <v>12-14 Years</v>
      </c>
      <c r="J1333" s="7">
        <v>3</v>
      </c>
      <c r="K1333" t="s">
        <v>20</v>
      </c>
      <c r="L1333" s="7">
        <v>82100</v>
      </c>
      <c r="M1333" s="7">
        <v>4800</v>
      </c>
      <c r="N1333" s="7">
        <v>86900</v>
      </c>
      <c r="O1333" t="s">
        <v>30</v>
      </c>
      <c r="P1333" s="3">
        <v>40960</v>
      </c>
      <c r="Q1333" t="s">
        <v>28</v>
      </c>
    </row>
    <row r="1334" spans="1:17" x14ac:dyDescent="0.35">
      <c r="A1334" t="s">
        <v>1386</v>
      </c>
      <c r="B1334" t="s">
        <v>23</v>
      </c>
      <c r="C1334">
        <v>35</v>
      </c>
      <c r="D1334" t="s">
        <v>38</v>
      </c>
      <c r="E1334" t="s">
        <v>112</v>
      </c>
      <c r="F1334" t="s">
        <v>28</v>
      </c>
      <c r="G1334">
        <v>8.4</v>
      </c>
      <c r="H1334">
        <v>5.4</v>
      </c>
      <c r="I1334" t="str" cm="1">
        <f t="array" ref="I1334">_xlfn.IFS(G1334&lt;3, "0–2 Years", G1334&lt;6, "3–5 Years", G1334&lt;9, "6–8 Years", G1334&lt;12, "9-11 Years", G1334&gt;=12, "12-14 Years")</f>
        <v>6–8 Years</v>
      </c>
      <c r="J1334">
        <v>3</v>
      </c>
      <c r="K1334" t="s">
        <v>20</v>
      </c>
      <c r="L1334">
        <v>58200</v>
      </c>
      <c r="M1334">
        <v>4600</v>
      </c>
      <c r="N1334">
        <v>62800</v>
      </c>
      <c r="O1334" t="s">
        <v>25</v>
      </c>
      <c r="P1334" s="3">
        <v>42968</v>
      </c>
      <c r="Q1334" t="s">
        <v>28</v>
      </c>
    </row>
    <row r="1335" spans="1:17" x14ac:dyDescent="0.35">
      <c r="A1335" t="s">
        <v>1387</v>
      </c>
      <c r="B1335" t="s">
        <v>23</v>
      </c>
      <c r="C1335">
        <v>29</v>
      </c>
      <c r="D1335" t="s">
        <v>34</v>
      </c>
      <c r="E1335" t="s">
        <v>47</v>
      </c>
      <c r="F1335" t="s">
        <v>28</v>
      </c>
      <c r="G1335">
        <v>1.6</v>
      </c>
      <c r="H1335">
        <v>0</v>
      </c>
      <c r="I1335" t="str" cm="1">
        <f t="array" ref="I1335">_xlfn.IFS(G1335&lt;3, "0–2 Years", G1335&lt;6, "3–5 Years", G1335&lt;9, "6–8 Years", G1335&lt;12, "9-11 Years", G1335&gt;=12, "12-14 Years")</f>
        <v>0–2 Years</v>
      </c>
      <c r="J1335">
        <v>3</v>
      </c>
      <c r="K1335" t="s">
        <v>20</v>
      </c>
      <c r="L1335">
        <v>68300</v>
      </c>
      <c r="M1335">
        <v>8100</v>
      </c>
      <c r="N1335">
        <v>76400</v>
      </c>
      <c r="O1335" t="s">
        <v>21</v>
      </c>
      <c r="P1335" s="3">
        <v>45431</v>
      </c>
      <c r="Q1335" t="s">
        <v>28</v>
      </c>
    </row>
    <row r="1336" spans="1:17" x14ac:dyDescent="0.35">
      <c r="A1336" t="s">
        <v>1388</v>
      </c>
      <c r="B1336" t="s">
        <v>23</v>
      </c>
      <c r="C1336">
        <v>37</v>
      </c>
      <c r="D1336" t="s">
        <v>55</v>
      </c>
      <c r="E1336" t="s">
        <v>79</v>
      </c>
      <c r="F1336" t="s">
        <v>36</v>
      </c>
      <c r="G1336">
        <v>3.7</v>
      </c>
      <c r="H1336">
        <v>3.7</v>
      </c>
      <c r="I1336" t="str" cm="1">
        <f t="array" ref="I1336">_xlfn.IFS(G1336&lt;3, "0–2 Years", G1336&lt;6, "3–5 Years", G1336&lt;9, "6–8 Years", G1336&lt;12, "9-11 Years", G1336&gt;=12, "12-14 Years")</f>
        <v>3–5 Years</v>
      </c>
      <c r="J1336">
        <v>3</v>
      </c>
      <c r="K1336" t="s">
        <v>20</v>
      </c>
      <c r="L1336">
        <v>68900</v>
      </c>
      <c r="M1336">
        <v>13300</v>
      </c>
      <c r="N1336">
        <v>82200</v>
      </c>
      <c r="O1336" t="s">
        <v>21</v>
      </c>
      <c r="P1336" s="3">
        <v>44677</v>
      </c>
      <c r="Q1336" t="s">
        <v>36</v>
      </c>
    </row>
    <row r="1337" spans="1:17" x14ac:dyDescent="0.35">
      <c r="A1337" t="s">
        <v>1389</v>
      </c>
      <c r="B1337" t="s">
        <v>23</v>
      </c>
      <c r="C1337" s="7">
        <v>29</v>
      </c>
      <c r="D1337" t="s">
        <v>38</v>
      </c>
      <c r="E1337" t="s">
        <v>112</v>
      </c>
      <c r="F1337" t="s">
        <v>28</v>
      </c>
      <c r="G1337" s="9">
        <v>13.5</v>
      </c>
      <c r="H1337" s="7">
        <v>7.7</v>
      </c>
      <c r="I1337" t="str" cm="1">
        <f t="array" ref="I1337">_xlfn.IFS(G1337&lt;3, "0–2 Years", G1337&lt;6, "3–5 Years", G1337&lt;9, "6–8 Years", G1337&lt;12, "9-11 Years", G1337&gt;=12, "12-14 Years")</f>
        <v>12-14 Years</v>
      </c>
      <c r="J1337" s="7">
        <v>3</v>
      </c>
      <c r="K1337" t="s">
        <v>20</v>
      </c>
      <c r="L1337" s="7">
        <v>77400</v>
      </c>
      <c r="M1337" s="7">
        <v>7700</v>
      </c>
      <c r="N1337" s="7">
        <v>85100</v>
      </c>
      <c r="O1337" t="s">
        <v>21</v>
      </c>
      <c r="P1337" s="3">
        <v>41107</v>
      </c>
      <c r="Q1337" t="s">
        <v>28</v>
      </c>
    </row>
    <row r="1338" spans="1:17" x14ac:dyDescent="0.35">
      <c r="A1338" t="s">
        <v>1390</v>
      </c>
      <c r="B1338" t="s">
        <v>16</v>
      </c>
      <c r="C1338">
        <v>28</v>
      </c>
      <c r="D1338" t="s">
        <v>55</v>
      </c>
      <c r="E1338" t="s">
        <v>79</v>
      </c>
      <c r="F1338" t="s">
        <v>28</v>
      </c>
      <c r="G1338">
        <v>1.5</v>
      </c>
      <c r="H1338">
        <v>0</v>
      </c>
      <c r="I1338" t="str" cm="1">
        <f t="array" ref="I1338">_xlfn.IFS(G1338&lt;3, "0–2 Years", G1338&lt;6, "3–5 Years", G1338&lt;9, "6–8 Years", G1338&lt;12, "9-11 Years", G1338&gt;=12, "12-14 Years")</f>
        <v>0–2 Years</v>
      </c>
      <c r="J1338">
        <v>4</v>
      </c>
      <c r="K1338" t="s">
        <v>20</v>
      </c>
      <c r="L1338">
        <v>57200</v>
      </c>
      <c r="M1338">
        <v>5900</v>
      </c>
      <c r="N1338">
        <v>63100</v>
      </c>
      <c r="O1338" t="s">
        <v>25</v>
      </c>
      <c r="P1338" s="3">
        <v>45460</v>
      </c>
      <c r="Q1338" t="s">
        <v>28</v>
      </c>
    </row>
    <row r="1339" spans="1:17" x14ac:dyDescent="0.35">
      <c r="A1339" t="s">
        <v>1391</v>
      </c>
      <c r="B1339" t="s">
        <v>16</v>
      </c>
      <c r="C1339">
        <v>45</v>
      </c>
      <c r="D1339" t="s">
        <v>17</v>
      </c>
      <c r="E1339" t="s">
        <v>27</v>
      </c>
      <c r="F1339" t="s">
        <v>28</v>
      </c>
      <c r="G1339">
        <v>10.4</v>
      </c>
      <c r="H1339">
        <v>4.5999999999999996</v>
      </c>
      <c r="I1339" t="str" cm="1">
        <f t="array" ref="I1339">_xlfn.IFS(G1339&lt;3, "0–2 Years", G1339&lt;6, "3–5 Years", G1339&lt;9, "6–8 Years", G1339&lt;12, "9-11 Years", G1339&gt;=12, "12-14 Years")</f>
        <v>9-11 Years</v>
      </c>
      <c r="J1339">
        <v>4</v>
      </c>
      <c r="K1339" t="s">
        <v>20</v>
      </c>
      <c r="L1339">
        <v>89500</v>
      </c>
      <c r="M1339">
        <v>10600</v>
      </c>
      <c r="N1339">
        <v>100100</v>
      </c>
      <c r="O1339" t="s">
        <v>30</v>
      </c>
      <c r="P1339" s="3">
        <v>42212</v>
      </c>
      <c r="Q1339" t="s">
        <v>28</v>
      </c>
    </row>
    <row r="1340" spans="1:17" x14ac:dyDescent="0.35">
      <c r="A1340" t="s">
        <v>1392</v>
      </c>
      <c r="B1340" t="s">
        <v>16</v>
      </c>
      <c r="C1340">
        <v>21</v>
      </c>
      <c r="D1340" t="s">
        <v>17</v>
      </c>
      <c r="E1340" t="s">
        <v>18</v>
      </c>
      <c r="F1340" t="s">
        <v>28</v>
      </c>
      <c r="G1340">
        <v>9.6</v>
      </c>
      <c r="H1340">
        <v>6.1</v>
      </c>
      <c r="I1340" t="str" cm="1">
        <f t="array" ref="I1340">_xlfn.IFS(G1340&lt;3, "0–2 Years", G1340&lt;6, "3–5 Years", G1340&lt;9, "6–8 Years", G1340&lt;12, "9-11 Years", G1340&gt;=12, "12-14 Years")</f>
        <v>9-11 Years</v>
      </c>
      <c r="J1340">
        <v>4</v>
      </c>
      <c r="K1340" t="s">
        <v>20</v>
      </c>
      <c r="L1340">
        <v>100000</v>
      </c>
      <c r="M1340">
        <v>10800</v>
      </c>
      <c r="N1340">
        <v>110800</v>
      </c>
      <c r="O1340" t="s">
        <v>57</v>
      </c>
      <c r="P1340" s="3">
        <v>42517</v>
      </c>
      <c r="Q1340" t="s">
        <v>28</v>
      </c>
    </row>
    <row r="1341" spans="1:17" x14ac:dyDescent="0.35">
      <c r="A1341" t="s">
        <v>1393</v>
      </c>
      <c r="B1341" t="s">
        <v>23</v>
      </c>
      <c r="C1341">
        <v>34</v>
      </c>
      <c r="D1341" t="s">
        <v>38</v>
      </c>
      <c r="E1341" t="s">
        <v>39</v>
      </c>
      <c r="F1341" t="s">
        <v>36</v>
      </c>
      <c r="G1341">
        <v>8.5</v>
      </c>
      <c r="H1341">
        <v>3.7</v>
      </c>
      <c r="I1341" t="str" cm="1">
        <f t="array" ref="I1341">_xlfn.IFS(G1341&lt;3, "0–2 Years", G1341&lt;6, "3–5 Years", G1341&lt;9, "6–8 Years", G1341&lt;12, "9-11 Years", G1341&gt;=12, "12-14 Years")</f>
        <v>6–8 Years</v>
      </c>
      <c r="J1341">
        <v>2</v>
      </c>
      <c r="K1341" t="s">
        <v>20</v>
      </c>
      <c r="L1341">
        <v>85100</v>
      </c>
      <c r="M1341">
        <v>6100</v>
      </c>
      <c r="N1341">
        <v>91200</v>
      </c>
      <c r="O1341" t="s">
        <v>30</v>
      </c>
      <c r="P1341" s="3">
        <v>42934</v>
      </c>
      <c r="Q1341" t="s">
        <v>36</v>
      </c>
    </row>
    <row r="1342" spans="1:17" x14ac:dyDescent="0.35">
      <c r="A1342" t="s">
        <v>1394</v>
      </c>
      <c r="B1342" t="s">
        <v>23</v>
      </c>
      <c r="C1342" s="7">
        <v>40</v>
      </c>
      <c r="D1342" t="s">
        <v>34</v>
      </c>
      <c r="E1342" t="s">
        <v>47</v>
      </c>
      <c r="F1342" t="s">
        <v>62</v>
      </c>
      <c r="G1342" s="9">
        <v>13.4</v>
      </c>
      <c r="H1342" s="7">
        <v>7.5</v>
      </c>
      <c r="I1342" t="str" cm="1">
        <f t="array" ref="I1342">_xlfn.IFS(G1342&lt;3, "0–2 Years", G1342&lt;6, "3–5 Years", G1342&lt;9, "6–8 Years", G1342&lt;12, "9-11 Years", G1342&gt;=12, "12-14 Years")</f>
        <v>12-14 Years</v>
      </c>
      <c r="J1342" s="7">
        <v>3</v>
      </c>
      <c r="K1342" t="s">
        <v>20</v>
      </c>
      <c r="L1342" s="7">
        <v>101300</v>
      </c>
      <c r="M1342" s="7">
        <v>8700</v>
      </c>
      <c r="N1342" s="7">
        <v>110000</v>
      </c>
      <c r="O1342" t="s">
        <v>57</v>
      </c>
      <c r="P1342" s="3">
        <v>41121</v>
      </c>
      <c r="Q1342" t="s">
        <v>62</v>
      </c>
    </row>
    <row r="1343" spans="1:17" x14ac:dyDescent="0.35">
      <c r="A1343" t="s">
        <v>1395</v>
      </c>
      <c r="B1343" t="s">
        <v>23</v>
      </c>
      <c r="C1343">
        <v>38</v>
      </c>
      <c r="D1343" t="s">
        <v>55</v>
      </c>
      <c r="E1343" t="s">
        <v>92</v>
      </c>
      <c r="F1343" t="s">
        <v>19</v>
      </c>
      <c r="G1343">
        <v>8.5</v>
      </c>
      <c r="H1343">
        <v>4.7</v>
      </c>
      <c r="I1343" t="str" cm="1">
        <f t="array" ref="I1343">_xlfn.IFS(G1343&lt;3, "0–2 Years", G1343&lt;6, "3–5 Years", G1343&lt;9, "6–8 Years", G1343&lt;12, "9-11 Years", G1343&gt;=12, "12-14 Years")</f>
        <v>6–8 Years</v>
      </c>
      <c r="J1343">
        <v>3</v>
      </c>
      <c r="K1343" t="s">
        <v>20</v>
      </c>
      <c r="L1343">
        <v>98800</v>
      </c>
      <c r="M1343">
        <v>12500</v>
      </c>
      <c r="N1343">
        <v>111300</v>
      </c>
      <c r="O1343" t="s">
        <v>30</v>
      </c>
      <c r="P1343" s="3">
        <v>42916</v>
      </c>
      <c r="Q1343" t="s">
        <v>19</v>
      </c>
    </row>
    <row r="1344" spans="1:17" x14ac:dyDescent="0.35">
      <c r="A1344" t="s">
        <v>1396</v>
      </c>
      <c r="B1344" t="s">
        <v>16</v>
      </c>
      <c r="C1344">
        <v>49</v>
      </c>
      <c r="D1344" t="s">
        <v>34</v>
      </c>
      <c r="E1344" t="s">
        <v>35</v>
      </c>
      <c r="F1344" t="s">
        <v>28</v>
      </c>
      <c r="G1344">
        <v>8.5</v>
      </c>
      <c r="H1344">
        <v>7.5</v>
      </c>
      <c r="I1344" t="str" cm="1">
        <f t="array" ref="I1344">_xlfn.IFS(G1344&lt;3, "0–2 Years", G1344&lt;6, "3–5 Years", G1344&lt;9, "6–8 Years", G1344&lt;12, "9-11 Years", G1344&gt;=12, "12-14 Years")</f>
        <v>6–8 Years</v>
      </c>
      <c r="J1344">
        <v>5</v>
      </c>
      <c r="K1344" t="s">
        <v>20</v>
      </c>
      <c r="L1344">
        <v>69700</v>
      </c>
      <c r="M1344">
        <v>7700</v>
      </c>
      <c r="N1344">
        <v>77400</v>
      </c>
      <c r="O1344" t="s">
        <v>21</v>
      </c>
      <c r="P1344" s="3">
        <v>42905</v>
      </c>
      <c r="Q1344" t="s">
        <v>28</v>
      </c>
    </row>
    <row r="1345" spans="1:17" x14ac:dyDescent="0.35">
      <c r="A1345" t="s">
        <v>1397</v>
      </c>
      <c r="B1345" t="s">
        <v>16</v>
      </c>
      <c r="C1345">
        <v>32</v>
      </c>
      <c r="D1345" t="s">
        <v>55</v>
      </c>
      <c r="E1345" t="s">
        <v>79</v>
      </c>
      <c r="F1345" t="s">
        <v>36</v>
      </c>
      <c r="G1345">
        <v>8.4</v>
      </c>
      <c r="H1345">
        <v>3.8</v>
      </c>
      <c r="I1345" t="str" cm="1">
        <f t="array" ref="I1345">_xlfn.IFS(G1345&lt;3, "0–2 Years", G1345&lt;6, "3–5 Years", G1345&lt;9, "6–8 Years", G1345&lt;12, "9-11 Years", G1345&gt;=12, "12-14 Years")</f>
        <v>6–8 Years</v>
      </c>
      <c r="J1345">
        <v>4</v>
      </c>
      <c r="K1345" t="s">
        <v>20</v>
      </c>
      <c r="L1345">
        <v>70800</v>
      </c>
      <c r="M1345">
        <v>5000</v>
      </c>
      <c r="N1345">
        <v>75800</v>
      </c>
      <c r="O1345" t="s">
        <v>21</v>
      </c>
      <c r="P1345" s="3">
        <v>42942</v>
      </c>
      <c r="Q1345" t="s">
        <v>36</v>
      </c>
    </row>
    <row r="1346" spans="1:17" x14ac:dyDescent="0.35">
      <c r="A1346" t="s">
        <v>1398</v>
      </c>
      <c r="B1346" t="s">
        <v>23</v>
      </c>
      <c r="C1346" s="7">
        <v>34</v>
      </c>
      <c r="D1346" t="s">
        <v>44</v>
      </c>
      <c r="E1346" t="s">
        <v>51</v>
      </c>
      <c r="F1346" t="s">
        <v>36</v>
      </c>
      <c r="G1346" s="9">
        <v>13.3</v>
      </c>
      <c r="H1346" s="7">
        <v>10.8</v>
      </c>
      <c r="I1346" t="str" cm="1">
        <f t="array" ref="I1346">_xlfn.IFS(G1346&lt;3, "0–2 Years", G1346&lt;6, "3–5 Years", G1346&lt;9, "6–8 Years", G1346&lt;12, "9-11 Years", G1346&gt;=12, "12-14 Years")</f>
        <v>12-14 Years</v>
      </c>
      <c r="J1346" s="7">
        <v>4</v>
      </c>
      <c r="K1346" t="s">
        <v>20</v>
      </c>
      <c r="L1346" s="7">
        <v>104200</v>
      </c>
      <c r="M1346" s="7">
        <v>9800</v>
      </c>
      <c r="N1346" s="7">
        <v>114000</v>
      </c>
      <c r="O1346" t="s">
        <v>57</v>
      </c>
      <c r="P1346" s="3">
        <v>41170</v>
      </c>
      <c r="Q1346" t="s">
        <v>36</v>
      </c>
    </row>
    <row r="1347" spans="1:17" x14ac:dyDescent="0.35">
      <c r="A1347" t="s">
        <v>1399</v>
      </c>
      <c r="B1347" t="s">
        <v>16</v>
      </c>
      <c r="C1347">
        <v>28</v>
      </c>
      <c r="D1347" t="s">
        <v>34</v>
      </c>
      <c r="E1347" t="s">
        <v>35</v>
      </c>
      <c r="F1347" t="s">
        <v>28</v>
      </c>
      <c r="G1347">
        <v>9.6999999999999993</v>
      </c>
      <c r="H1347">
        <v>8.5</v>
      </c>
      <c r="I1347" t="str" cm="1">
        <f t="array" ref="I1347">_xlfn.IFS(G1347&lt;3, "0–2 Years", G1347&lt;6, "3–5 Years", G1347&lt;9, "6–8 Years", G1347&lt;12, "9-11 Years", G1347&gt;=12, "12-14 Years")</f>
        <v>9-11 Years</v>
      </c>
      <c r="J1347">
        <v>4</v>
      </c>
      <c r="K1347" t="s">
        <v>20</v>
      </c>
      <c r="L1347">
        <v>87000</v>
      </c>
      <c r="M1347">
        <v>4800</v>
      </c>
      <c r="N1347">
        <v>91800</v>
      </c>
      <c r="O1347" t="s">
        <v>30</v>
      </c>
      <c r="P1347" s="3">
        <v>42476</v>
      </c>
      <c r="Q1347" t="s">
        <v>28</v>
      </c>
    </row>
    <row r="1348" spans="1:17" x14ac:dyDescent="0.35">
      <c r="A1348" t="s">
        <v>1400</v>
      </c>
      <c r="B1348" t="s">
        <v>16</v>
      </c>
      <c r="C1348" s="7">
        <v>36</v>
      </c>
      <c r="D1348" t="s">
        <v>34</v>
      </c>
      <c r="E1348" t="s">
        <v>35</v>
      </c>
      <c r="F1348" t="s">
        <v>19</v>
      </c>
      <c r="G1348" s="9">
        <v>13.7</v>
      </c>
      <c r="H1348" s="7">
        <v>8.6999999999999993</v>
      </c>
      <c r="I1348" t="str" cm="1">
        <f t="array" ref="I1348">_xlfn.IFS(G1348&lt;3, "0–2 Years", G1348&lt;6, "3–5 Years", G1348&lt;9, "6–8 Years", G1348&lt;12, "9-11 Years", G1348&gt;=12, "12-14 Years")</f>
        <v>12-14 Years</v>
      </c>
      <c r="J1348" s="7">
        <v>4</v>
      </c>
      <c r="K1348" t="s">
        <v>20</v>
      </c>
      <c r="L1348" s="7">
        <v>93100</v>
      </c>
      <c r="M1348" s="7">
        <v>5100</v>
      </c>
      <c r="N1348" s="7">
        <v>98200</v>
      </c>
      <c r="O1348" t="s">
        <v>30</v>
      </c>
      <c r="P1348" s="3">
        <v>41016</v>
      </c>
      <c r="Q1348" t="s">
        <v>19</v>
      </c>
    </row>
    <row r="1349" spans="1:17" x14ac:dyDescent="0.35">
      <c r="A1349" t="s">
        <v>1401</v>
      </c>
      <c r="B1349" t="s">
        <v>23</v>
      </c>
      <c r="C1349">
        <v>47</v>
      </c>
      <c r="D1349" t="s">
        <v>41</v>
      </c>
      <c r="E1349" t="s">
        <v>42</v>
      </c>
      <c r="F1349" t="s">
        <v>62</v>
      </c>
      <c r="G1349">
        <v>8.3000000000000007</v>
      </c>
      <c r="H1349">
        <v>3.5</v>
      </c>
      <c r="I1349" t="str" cm="1">
        <f t="array" ref="I1349">_xlfn.IFS(G1349&lt;3, "0–2 Years", G1349&lt;6, "3–5 Years", G1349&lt;9, "6–8 Years", G1349&lt;12, "9-11 Years", G1349&gt;=12, "12-14 Years")</f>
        <v>6–8 Years</v>
      </c>
      <c r="J1349">
        <v>5</v>
      </c>
      <c r="K1349" t="s">
        <v>20</v>
      </c>
      <c r="L1349">
        <v>79000</v>
      </c>
      <c r="M1349">
        <v>6400</v>
      </c>
      <c r="N1349">
        <v>85400</v>
      </c>
      <c r="O1349" t="s">
        <v>21</v>
      </c>
      <c r="P1349" s="3">
        <v>42998</v>
      </c>
      <c r="Q1349" t="s">
        <v>62</v>
      </c>
    </row>
    <row r="1350" spans="1:17" x14ac:dyDescent="0.35">
      <c r="A1350" t="s">
        <v>1402</v>
      </c>
      <c r="B1350" t="s">
        <v>23</v>
      </c>
      <c r="C1350">
        <v>45</v>
      </c>
      <c r="D1350" t="s">
        <v>55</v>
      </c>
      <c r="E1350" t="s">
        <v>79</v>
      </c>
      <c r="F1350" t="s">
        <v>19</v>
      </c>
      <c r="G1350">
        <v>11.4</v>
      </c>
      <c r="H1350">
        <v>9.1</v>
      </c>
      <c r="I1350" t="str" cm="1">
        <f t="array" ref="I1350">_xlfn.IFS(G1350&lt;3, "0–2 Years", G1350&lt;6, "3–5 Years", G1350&lt;9, "6–8 Years", G1350&lt;12, "9-11 Years", G1350&gt;=12, "12-14 Years")</f>
        <v>9-11 Years</v>
      </c>
      <c r="J1350">
        <v>3</v>
      </c>
      <c r="K1350" t="s">
        <v>20</v>
      </c>
      <c r="L1350">
        <v>54800</v>
      </c>
      <c r="M1350">
        <v>8000</v>
      </c>
      <c r="N1350">
        <v>62800</v>
      </c>
      <c r="O1350" t="s">
        <v>25</v>
      </c>
      <c r="P1350" s="3">
        <v>41875</v>
      </c>
      <c r="Q1350" t="s">
        <v>19</v>
      </c>
    </row>
    <row r="1351" spans="1:17" x14ac:dyDescent="0.35">
      <c r="A1351" t="s">
        <v>1403</v>
      </c>
      <c r="B1351" t="s">
        <v>23</v>
      </c>
      <c r="C1351">
        <v>46</v>
      </c>
      <c r="D1351" t="s">
        <v>34</v>
      </c>
      <c r="E1351" t="s">
        <v>35</v>
      </c>
      <c r="F1351" t="s">
        <v>19</v>
      </c>
      <c r="G1351">
        <v>4.2</v>
      </c>
      <c r="H1351">
        <v>1.9</v>
      </c>
      <c r="I1351" t="str" cm="1">
        <f t="array" ref="I1351">_xlfn.IFS(G1351&lt;3, "0–2 Years", G1351&lt;6, "3–5 Years", G1351&lt;9, "6–8 Years", G1351&lt;12, "9-11 Years", G1351&gt;=12, "12-14 Years")</f>
        <v>3–5 Years</v>
      </c>
      <c r="J1351">
        <v>3</v>
      </c>
      <c r="K1351" t="s">
        <v>20</v>
      </c>
      <c r="L1351">
        <v>73200</v>
      </c>
      <c r="M1351">
        <v>8100</v>
      </c>
      <c r="N1351">
        <v>81300</v>
      </c>
      <c r="O1351" t="s">
        <v>21</v>
      </c>
      <c r="P1351" s="3">
        <v>44495</v>
      </c>
      <c r="Q1351" t="s">
        <v>19</v>
      </c>
    </row>
    <row r="1352" spans="1:17" x14ac:dyDescent="0.35">
      <c r="A1352" t="s">
        <v>1404</v>
      </c>
      <c r="B1352" t="s">
        <v>23</v>
      </c>
      <c r="C1352">
        <v>39</v>
      </c>
      <c r="D1352" t="s">
        <v>38</v>
      </c>
      <c r="E1352" t="s">
        <v>61</v>
      </c>
      <c r="F1352" t="s">
        <v>36</v>
      </c>
      <c r="G1352">
        <v>9.1</v>
      </c>
      <c r="H1352">
        <v>3.9</v>
      </c>
      <c r="I1352" t="str" cm="1">
        <f t="array" ref="I1352">_xlfn.IFS(G1352&lt;3, "0–2 Years", G1352&lt;6, "3–5 Years", G1352&lt;9, "6–8 Years", G1352&lt;12, "9-11 Years", G1352&gt;=12, "12-14 Years")</f>
        <v>9-11 Years</v>
      </c>
      <c r="J1352">
        <v>3</v>
      </c>
      <c r="K1352" t="s">
        <v>20</v>
      </c>
      <c r="L1352">
        <v>101400</v>
      </c>
      <c r="M1352">
        <v>10200</v>
      </c>
      <c r="N1352">
        <v>111600</v>
      </c>
      <c r="O1352" t="s">
        <v>57</v>
      </c>
      <c r="P1352" s="3">
        <v>42712</v>
      </c>
      <c r="Q1352" t="s">
        <v>36</v>
      </c>
    </row>
    <row r="1353" spans="1:17" x14ac:dyDescent="0.35">
      <c r="A1353" t="s">
        <v>1405</v>
      </c>
      <c r="B1353" t="s">
        <v>16</v>
      </c>
      <c r="C1353">
        <v>33</v>
      </c>
      <c r="D1353" t="s">
        <v>41</v>
      </c>
      <c r="E1353" t="s">
        <v>42</v>
      </c>
      <c r="F1353" t="s">
        <v>19</v>
      </c>
      <c r="G1353">
        <v>6.1</v>
      </c>
      <c r="H1353">
        <v>6.1</v>
      </c>
      <c r="I1353" t="str" cm="1">
        <f t="array" ref="I1353">_xlfn.IFS(G1353&lt;3, "0–2 Years", G1353&lt;6, "3–5 Years", G1353&lt;9, "6–8 Years", G1353&lt;12, "9-11 Years", G1353&gt;=12, "12-14 Years")</f>
        <v>6–8 Years</v>
      </c>
      <c r="J1353">
        <v>1</v>
      </c>
      <c r="K1353" t="s">
        <v>20</v>
      </c>
      <c r="L1353">
        <v>73000</v>
      </c>
      <c r="M1353">
        <v>3300</v>
      </c>
      <c r="N1353">
        <v>76300</v>
      </c>
      <c r="O1353" t="s">
        <v>21</v>
      </c>
      <c r="P1353" s="3">
        <v>43777</v>
      </c>
      <c r="Q1353" t="s">
        <v>19</v>
      </c>
    </row>
    <row r="1354" spans="1:17" x14ac:dyDescent="0.35">
      <c r="A1354" t="s">
        <v>1406</v>
      </c>
      <c r="B1354" t="s">
        <v>23</v>
      </c>
      <c r="C1354">
        <v>35</v>
      </c>
      <c r="D1354" t="s">
        <v>44</v>
      </c>
      <c r="E1354" t="s">
        <v>45</v>
      </c>
      <c r="F1354" t="s">
        <v>28</v>
      </c>
      <c r="G1354">
        <v>10.199999999999999</v>
      </c>
      <c r="H1354">
        <v>5.5</v>
      </c>
      <c r="I1354" t="str" cm="1">
        <f t="array" ref="I1354">_xlfn.IFS(G1354&lt;3, "0–2 Years", G1354&lt;6, "3–5 Years", G1354&lt;9, "6–8 Years", G1354&lt;12, "9-11 Years", G1354&gt;=12, "12-14 Years")</f>
        <v>9-11 Years</v>
      </c>
      <c r="J1354">
        <v>3</v>
      </c>
      <c r="K1354" t="s">
        <v>20</v>
      </c>
      <c r="L1354">
        <v>76200</v>
      </c>
      <c r="M1354">
        <v>9100</v>
      </c>
      <c r="N1354">
        <v>85300</v>
      </c>
      <c r="O1354" t="s">
        <v>21</v>
      </c>
      <c r="P1354" s="3">
        <v>42281</v>
      </c>
      <c r="Q1354" t="s">
        <v>28</v>
      </c>
    </row>
    <row r="1355" spans="1:17" x14ac:dyDescent="0.35">
      <c r="A1355" t="s">
        <v>1407</v>
      </c>
      <c r="B1355" t="s">
        <v>16</v>
      </c>
      <c r="C1355">
        <v>24</v>
      </c>
      <c r="D1355" t="s">
        <v>44</v>
      </c>
      <c r="E1355" t="s">
        <v>81</v>
      </c>
      <c r="F1355" t="s">
        <v>36</v>
      </c>
      <c r="G1355">
        <v>2.4</v>
      </c>
      <c r="H1355">
        <v>2</v>
      </c>
      <c r="I1355" t="str" cm="1">
        <f t="array" ref="I1355">_xlfn.IFS(G1355&lt;3, "0–2 Years", G1355&lt;6, "3–5 Years", G1355&lt;9, "6–8 Years", G1355&lt;12, "9-11 Years", G1355&gt;=12, "12-14 Years")</f>
        <v>0–2 Years</v>
      </c>
      <c r="J1355">
        <v>3</v>
      </c>
      <c r="K1355" t="s">
        <v>20</v>
      </c>
      <c r="L1355">
        <v>92700</v>
      </c>
      <c r="M1355">
        <v>6100</v>
      </c>
      <c r="N1355">
        <v>98800</v>
      </c>
      <c r="O1355" t="s">
        <v>30</v>
      </c>
      <c r="P1355" s="3">
        <v>45157</v>
      </c>
      <c r="Q1355" t="s">
        <v>36</v>
      </c>
    </row>
    <row r="1356" spans="1:17" x14ac:dyDescent="0.35">
      <c r="A1356" t="s">
        <v>1408</v>
      </c>
      <c r="B1356" t="s">
        <v>16</v>
      </c>
      <c r="C1356">
        <v>46</v>
      </c>
      <c r="D1356" t="s">
        <v>55</v>
      </c>
      <c r="E1356" t="s">
        <v>79</v>
      </c>
      <c r="F1356" t="s">
        <v>28</v>
      </c>
      <c r="G1356">
        <v>8.1</v>
      </c>
      <c r="H1356">
        <v>5.5</v>
      </c>
      <c r="I1356" t="str" cm="1">
        <f t="array" ref="I1356">_xlfn.IFS(G1356&lt;3, "0–2 Years", G1356&lt;6, "3–5 Years", G1356&lt;9, "6–8 Years", G1356&lt;12, "9-11 Years", G1356&gt;=12, "12-14 Years")</f>
        <v>6–8 Years</v>
      </c>
      <c r="J1356">
        <v>4</v>
      </c>
      <c r="K1356" t="s">
        <v>20</v>
      </c>
      <c r="L1356">
        <v>65100</v>
      </c>
      <c r="M1356">
        <v>12200</v>
      </c>
      <c r="N1356">
        <v>77300</v>
      </c>
      <c r="O1356" t="s">
        <v>21</v>
      </c>
      <c r="P1356" s="3">
        <v>43069</v>
      </c>
      <c r="Q1356" t="s">
        <v>28</v>
      </c>
    </row>
    <row r="1357" spans="1:17" x14ac:dyDescent="0.35">
      <c r="A1357" t="s">
        <v>1409</v>
      </c>
      <c r="B1357" t="s">
        <v>23</v>
      </c>
      <c r="C1357" s="7">
        <v>44</v>
      </c>
      <c r="D1357" t="s">
        <v>44</v>
      </c>
      <c r="E1357" t="s">
        <v>76</v>
      </c>
      <c r="F1357" t="s">
        <v>19</v>
      </c>
      <c r="G1357" s="9">
        <v>13.6</v>
      </c>
      <c r="H1357" s="7">
        <v>7.2</v>
      </c>
      <c r="I1357" t="str" cm="1">
        <f t="array" ref="I1357">_xlfn.IFS(G1357&lt;3, "0–2 Years", G1357&lt;6, "3–5 Years", G1357&lt;9, "6–8 Years", G1357&lt;12, "9-11 Years", G1357&gt;=12, "12-14 Years")</f>
        <v>12-14 Years</v>
      </c>
      <c r="J1357" s="7">
        <v>3</v>
      </c>
      <c r="K1357" t="s">
        <v>20</v>
      </c>
      <c r="L1357" s="7">
        <v>103800</v>
      </c>
      <c r="M1357" s="7">
        <v>8800</v>
      </c>
      <c r="N1357" s="7">
        <v>112600</v>
      </c>
      <c r="O1357" t="s">
        <v>57</v>
      </c>
      <c r="P1357" s="3">
        <v>41073</v>
      </c>
      <c r="Q1357" t="s">
        <v>19</v>
      </c>
    </row>
    <row r="1358" spans="1:17" x14ac:dyDescent="0.35">
      <c r="A1358" t="s">
        <v>1410</v>
      </c>
      <c r="B1358" t="s">
        <v>23</v>
      </c>
      <c r="C1358">
        <v>40</v>
      </c>
      <c r="D1358" t="s">
        <v>55</v>
      </c>
      <c r="E1358" t="s">
        <v>79</v>
      </c>
      <c r="F1358" t="s">
        <v>36</v>
      </c>
      <c r="G1358">
        <v>8.6999999999999993</v>
      </c>
      <c r="H1358">
        <v>3.6</v>
      </c>
      <c r="I1358" t="str" cm="1">
        <f t="array" ref="I1358">_xlfn.IFS(G1358&lt;3, "0–2 Years", G1358&lt;6, "3–5 Years", G1358&lt;9, "6–8 Years", G1358&lt;12, "9-11 Years", G1358&gt;=12, "12-14 Years")</f>
        <v>6–8 Years</v>
      </c>
      <c r="J1358">
        <v>4</v>
      </c>
      <c r="K1358" t="s">
        <v>20</v>
      </c>
      <c r="L1358">
        <v>79300</v>
      </c>
      <c r="M1358">
        <v>10800</v>
      </c>
      <c r="N1358">
        <v>90100</v>
      </c>
      <c r="O1358" t="s">
        <v>21</v>
      </c>
      <c r="P1358" s="3">
        <v>42863</v>
      </c>
      <c r="Q1358" t="s">
        <v>36</v>
      </c>
    </row>
    <row r="1359" spans="1:17" x14ac:dyDescent="0.35">
      <c r="A1359" t="s">
        <v>1411</v>
      </c>
      <c r="B1359" t="s">
        <v>23</v>
      </c>
      <c r="C1359">
        <v>33</v>
      </c>
      <c r="D1359" t="s">
        <v>41</v>
      </c>
      <c r="E1359" t="s">
        <v>67</v>
      </c>
      <c r="F1359" t="s">
        <v>36</v>
      </c>
      <c r="G1359">
        <v>2.7</v>
      </c>
      <c r="H1359">
        <v>0.8</v>
      </c>
      <c r="I1359" t="str" cm="1">
        <f t="array" ref="I1359">_xlfn.IFS(G1359&lt;3, "0–2 Years", G1359&lt;6, "3–5 Years", G1359&lt;9, "6–8 Years", G1359&lt;12, "9-11 Years", G1359&gt;=12, "12-14 Years")</f>
        <v>0–2 Years</v>
      </c>
      <c r="J1359">
        <v>3</v>
      </c>
      <c r="K1359" t="s">
        <v>20</v>
      </c>
      <c r="L1359">
        <v>80600</v>
      </c>
      <c r="M1359">
        <v>4500</v>
      </c>
      <c r="N1359">
        <v>85100</v>
      </c>
      <c r="O1359" t="s">
        <v>30</v>
      </c>
      <c r="P1359" s="3">
        <v>45033</v>
      </c>
      <c r="Q1359" t="s">
        <v>36</v>
      </c>
    </row>
    <row r="1360" spans="1:17" x14ac:dyDescent="0.35">
      <c r="A1360" t="s">
        <v>1412</v>
      </c>
      <c r="B1360" t="s">
        <v>23</v>
      </c>
      <c r="C1360">
        <v>26</v>
      </c>
      <c r="D1360" t="s">
        <v>34</v>
      </c>
      <c r="E1360" t="s">
        <v>35</v>
      </c>
      <c r="F1360" t="s">
        <v>36</v>
      </c>
      <c r="G1360">
        <v>1.1000000000000001</v>
      </c>
      <c r="I1360" t="str" cm="1">
        <f t="array" ref="I1360">_xlfn.IFS(G1360&lt;3, "0–2 Years", G1360&lt;6, "3–5 Years", G1360&lt;9, "6–8 Years", G1360&lt;12, "9-11 Years", G1360&gt;=12, "12-14 Years")</f>
        <v>0–2 Years</v>
      </c>
      <c r="J1360">
        <v>3</v>
      </c>
      <c r="K1360" t="s">
        <v>20</v>
      </c>
      <c r="L1360">
        <v>72000</v>
      </c>
      <c r="M1360">
        <v>5200</v>
      </c>
      <c r="N1360">
        <v>77200</v>
      </c>
      <c r="O1360" t="s">
        <v>21</v>
      </c>
      <c r="P1360" s="3">
        <v>45628</v>
      </c>
      <c r="Q1360" t="s">
        <v>36</v>
      </c>
    </row>
    <row r="1361" spans="1:17" x14ac:dyDescent="0.35">
      <c r="A1361" t="s">
        <v>1413</v>
      </c>
      <c r="B1361" t="s">
        <v>23</v>
      </c>
      <c r="C1361">
        <v>37</v>
      </c>
      <c r="D1361" t="s">
        <v>41</v>
      </c>
      <c r="E1361" t="s">
        <v>67</v>
      </c>
      <c r="F1361" t="s">
        <v>28</v>
      </c>
      <c r="G1361">
        <v>5.7</v>
      </c>
      <c r="H1361">
        <v>2.9</v>
      </c>
      <c r="I1361" t="str" cm="1">
        <f t="array" ref="I1361">_xlfn.IFS(G1361&lt;3, "0–2 Years", G1361&lt;6, "3–5 Years", G1361&lt;9, "6–8 Years", G1361&lt;12, "9-11 Years", G1361&gt;=12, "12-14 Years")</f>
        <v>3–5 Years</v>
      </c>
      <c r="J1361">
        <v>4</v>
      </c>
      <c r="K1361" t="s">
        <v>20</v>
      </c>
      <c r="L1361">
        <v>70900</v>
      </c>
      <c r="M1361">
        <v>4100</v>
      </c>
      <c r="N1361">
        <v>75000</v>
      </c>
      <c r="O1361" t="s">
        <v>21</v>
      </c>
      <c r="P1361" s="3">
        <v>43930</v>
      </c>
      <c r="Q1361" t="s">
        <v>28</v>
      </c>
    </row>
    <row r="1362" spans="1:17" x14ac:dyDescent="0.35">
      <c r="A1362" t="s">
        <v>1414</v>
      </c>
      <c r="B1362" t="s">
        <v>16</v>
      </c>
      <c r="C1362">
        <v>41</v>
      </c>
      <c r="D1362" t="s">
        <v>38</v>
      </c>
      <c r="E1362" t="s">
        <v>39</v>
      </c>
      <c r="F1362" t="s">
        <v>19</v>
      </c>
      <c r="G1362">
        <v>2.9</v>
      </c>
      <c r="H1362">
        <v>1.1000000000000001</v>
      </c>
      <c r="I1362" t="str" cm="1">
        <f t="array" ref="I1362">_xlfn.IFS(G1362&lt;3, "0–2 Years", G1362&lt;6, "3–5 Years", G1362&lt;9, "6–8 Years", G1362&lt;12, "9-11 Years", G1362&gt;=12, "12-14 Years")</f>
        <v>0–2 Years</v>
      </c>
      <c r="J1362">
        <v>3</v>
      </c>
      <c r="K1362" t="s">
        <v>20</v>
      </c>
      <c r="L1362">
        <v>62900</v>
      </c>
      <c r="M1362">
        <v>5500</v>
      </c>
      <c r="N1362">
        <v>68400</v>
      </c>
      <c r="O1362" t="s">
        <v>25</v>
      </c>
      <c r="P1362" s="3">
        <v>44952</v>
      </c>
      <c r="Q1362" t="s">
        <v>19</v>
      </c>
    </row>
    <row r="1363" spans="1:17" x14ac:dyDescent="0.35">
      <c r="A1363" t="s">
        <v>1415</v>
      </c>
      <c r="B1363" t="s">
        <v>16</v>
      </c>
      <c r="C1363">
        <v>34</v>
      </c>
      <c r="D1363" t="s">
        <v>38</v>
      </c>
      <c r="E1363" t="s">
        <v>39</v>
      </c>
      <c r="F1363" t="s">
        <v>28</v>
      </c>
      <c r="G1363">
        <v>11.2</v>
      </c>
      <c r="H1363">
        <v>8.4</v>
      </c>
      <c r="I1363" t="str" cm="1">
        <f t="array" ref="I1363">_xlfn.IFS(G1363&lt;3, "0–2 Years", G1363&lt;6, "3–5 Years", G1363&lt;9, "6–8 Years", G1363&lt;12, "9-11 Years", G1363&gt;=12, "12-14 Years")</f>
        <v>9-11 Years</v>
      </c>
      <c r="J1363">
        <v>4</v>
      </c>
      <c r="K1363" t="s">
        <v>20</v>
      </c>
      <c r="L1363">
        <v>80900</v>
      </c>
      <c r="M1363">
        <v>2900</v>
      </c>
      <c r="N1363">
        <v>83800</v>
      </c>
      <c r="O1363" t="s">
        <v>30</v>
      </c>
      <c r="P1363" s="3">
        <v>41926</v>
      </c>
      <c r="Q1363" t="s">
        <v>28</v>
      </c>
    </row>
    <row r="1364" spans="1:17" x14ac:dyDescent="0.35">
      <c r="A1364" t="s">
        <v>1416</v>
      </c>
      <c r="B1364" t="s">
        <v>16</v>
      </c>
      <c r="C1364">
        <v>38</v>
      </c>
      <c r="D1364" t="s">
        <v>34</v>
      </c>
      <c r="E1364" t="s">
        <v>59</v>
      </c>
      <c r="F1364" t="s">
        <v>36</v>
      </c>
      <c r="G1364">
        <v>2.7</v>
      </c>
      <c r="H1364">
        <v>2</v>
      </c>
      <c r="I1364" t="str" cm="1">
        <f t="array" ref="I1364">_xlfn.IFS(G1364&lt;3, "0–2 Years", G1364&lt;6, "3–5 Years", G1364&lt;9, "6–8 Years", G1364&lt;12, "9-11 Years", G1364&gt;=12, "12-14 Years")</f>
        <v>0–2 Years</v>
      </c>
      <c r="J1364">
        <v>3</v>
      </c>
      <c r="K1364" t="s">
        <v>20</v>
      </c>
      <c r="L1364">
        <v>91200</v>
      </c>
      <c r="M1364">
        <v>4100</v>
      </c>
      <c r="N1364">
        <v>95300</v>
      </c>
      <c r="O1364" t="s">
        <v>30</v>
      </c>
      <c r="P1364" s="3">
        <v>45045</v>
      </c>
      <c r="Q1364" t="s">
        <v>36</v>
      </c>
    </row>
    <row r="1365" spans="1:17" x14ac:dyDescent="0.35">
      <c r="A1365" t="s">
        <v>1417</v>
      </c>
      <c r="B1365" t="s">
        <v>23</v>
      </c>
      <c r="C1365" s="7">
        <v>49</v>
      </c>
      <c r="D1365" t="s">
        <v>38</v>
      </c>
      <c r="E1365" t="s">
        <v>112</v>
      </c>
      <c r="F1365" t="s">
        <v>36</v>
      </c>
      <c r="G1365" s="9">
        <v>13</v>
      </c>
      <c r="H1365" s="7">
        <v>8.4</v>
      </c>
      <c r="I1365" t="str" cm="1">
        <f t="array" ref="I1365">_xlfn.IFS(G1365&lt;3, "0–2 Years", G1365&lt;6, "3–5 Years", G1365&lt;9, "6–8 Years", G1365&lt;12, "9-11 Years", G1365&gt;=12, "12-14 Years")</f>
        <v>12-14 Years</v>
      </c>
      <c r="J1365" s="7">
        <v>3</v>
      </c>
      <c r="K1365" t="s">
        <v>20</v>
      </c>
      <c r="L1365" s="7">
        <v>86400</v>
      </c>
      <c r="M1365" s="7">
        <v>6800</v>
      </c>
      <c r="N1365" s="7">
        <v>93200</v>
      </c>
      <c r="O1365" t="s">
        <v>30</v>
      </c>
      <c r="P1365" s="3">
        <v>41280</v>
      </c>
      <c r="Q1365" t="s">
        <v>36</v>
      </c>
    </row>
    <row r="1366" spans="1:17" x14ac:dyDescent="0.35">
      <c r="A1366" t="s">
        <v>1418</v>
      </c>
      <c r="B1366" t="s">
        <v>16</v>
      </c>
      <c r="C1366" s="7">
        <v>37</v>
      </c>
      <c r="D1366" t="s">
        <v>44</v>
      </c>
      <c r="E1366" t="s">
        <v>45</v>
      </c>
      <c r="F1366" t="s">
        <v>28</v>
      </c>
      <c r="G1366" s="9">
        <v>13.6</v>
      </c>
      <c r="H1366" s="7">
        <v>8.1</v>
      </c>
      <c r="I1366" t="str" cm="1">
        <f t="array" ref="I1366">_xlfn.IFS(G1366&lt;3, "0–2 Years", G1366&lt;6, "3–5 Years", G1366&lt;9, "6–8 Years", G1366&lt;12, "9-11 Years", G1366&gt;=12, "12-14 Years")</f>
        <v>12-14 Years</v>
      </c>
      <c r="J1366" s="7">
        <v>1</v>
      </c>
      <c r="K1366" t="s">
        <v>20</v>
      </c>
      <c r="L1366" s="7">
        <v>80100</v>
      </c>
      <c r="M1366" s="7">
        <v>7700</v>
      </c>
      <c r="N1366" s="7">
        <v>87800</v>
      </c>
      <c r="O1366" t="s">
        <v>30</v>
      </c>
      <c r="P1366" s="3">
        <v>41056</v>
      </c>
      <c r="Q1366" t="s">
        <v>28</v>
      </c>
    </row>
    <row r="1367" spans="1:17" x14ac:dyDescent="0.35">
      <c r="A1367" t="s">
        <v>1419</v>
      </c>
      <c r="B1367" t="s">
        <v>16</v>
      </c>
      <c r="C1367">
        <v>40</v>
      </c>
      <c r="D1367" t="s">
        <v>34</v>
      </c>
      <c r="E1367" t="s">
        <v>59</v>
      </c>
      <c r="F1367" t="s">
        <v>28</v>
      </c>
      <c r="G1367">
        <v>1.3</v>
      </c>
      <c r="H1367">
        <v>0.1</v>
      </c>
      <c r="I1367" t="str" cm="1">
        <f t="array" ref="I1367">_xlfn.IFS(G1367&lt;3, "0–2 Years", G1367&lt;6, "3–5 Years", G1367&lt;9, "6–8 Years", G1367&lt;12, "9-11 Years", G1367&gt;=12, "12-14 Years")</f>
        <v>0–2 Years</v>
      </c>
      <c r="J1367">
        <v>4</v>
      </c>
      <c r="K1367" t="s">
        <v>20</v>
      </c>
      <c r="L1367">
        <v>101900</v>
      </c>
      <c r="M1367">
        <v>7700</v>
      </c>
      <c r="N1367">
        <v>109600</v>
      </c>
      <c r="O1367" t="s">
        <v>57</v>
      </c>
      <c r="P1367" s="3">
        <v>45559</v>
      </c>
      <c r="Q1367" t="s">
        <v>28</v>
      </c>
    </row>
    <row r="1368" spans="1:17" x14ac:dyDescent="0.35">
      <c r="A1368" t="s">
        <v>1420</v>
      </c>
      <c r="B1368" t="s">
        <v>23</v>
      </c>
      <c r="C1368" s="7">
        <v>56</v>
      </c>
      <c r="D1368" t="s">
        <v>41</v>
      </c>
      <c r="E1368" t="s">
        <v>42</v>
      </c>
      <c r="F1368" t="s">
        <v>36</v>
      </c>
      <c r="G1368" s="9">
        <v>14</v>
      </c>
      <c r="H1368" s="7">
        <v>11.4</v>
      </c>
      <c r="I1368" t="str" cm="1">
        <f t="array" ref="I1368">_xlfn.IFS(G1368&lt;3, "0–2 Years", G1368&lt;6, "3–5 Years", G1368&lt;9, "6–8 Years", G1368&lt;12, "9-11 Years", G1368&gt;=12, "12-14 Years")</f>
        <v>12-14 Years</v>
      </c>
      <c r="J1368" s="7">
        <v>2</v>
      </c>
      <c r="K1368" t="s">
        <v>20</v>
      </c>
      <c r="L1368" s="7">
        <v>103600</v>
      </c>
      <c r="M1368" s="7">
        <v>4800</v>
      </c>
      <c r="N1368" s="7">
        <v>108400</v>
      </c>
      <c r="O1368" t="s">
        <v>57</v>
      </c>
      <c r="P1368" s="3">
        <v>40925</v>
      </c>
      <c r="Q1368" t="s">
        <v>36</v>
      </c>
    </row>
    <row r="1369" spans="1:17" x14ac:dyDescent="0.35">
      <c r="A1369" t="s">
        <v>1421</v>
      </c>
      <c r="B1369" t="s">
        <v>23</v>
      </c>
      <c r="C1369">
        <v>24</v>
      </c>
      <c r="D1369" t="s">
        <v>41</v>
      </c>
      <c r="E1369" t="s">
        <v>73</v>
      </c>
      <c r="F1369" t="s">
        <v>19</v>
      </c>
      <c r="G1369">
        <v>8.6</v>
      </c>
      <c r="H1369">
        <v>7.1</v>
      </c>
      <c r="I1369" t="str" cm="1">
        <f t="array" ref="I1369">_xlfn.IFS(G1369&lt;3, "0–2 Years", G1369&lt;6, "3–5 Years", G1369&lt;9, "6–8 Years", G1369&lt;12, "9-11 Years", G1369&gt;=12, "12-14 Years")</f>
        <v>6–8 Years</v>
      </c>
      <c r="J1369">
        <v>3</v>
      </c>
      <c r="K1369" t="s">
        <v>69</v>
      </c>
      <c r="L1369">
        <v>75800</v>
      </c>
      <c r="M1369">
        <v>6600</v>
      </c>
      <c r="N1369">
        <v>82400</v>
      </c>
      <c r="O1369" t="s">
        <v>21</v>
      </c>
      <c r="P1369" s="3">
        <v>42869</v>
      </c>
      <c r="Q1369" t="s">
        <v>19</v>
      </c>
    </row>
    <row r="1370" spans="1:17" x14ac:dyDescent="0.35">
      <c r="A1370" t="s">
        <v>1422</v>
      </c>
      <c r="B1370" t="s">
        <v>16</v>
      </c>
      <c r="C1370">
        <v>21</v>
      </c>
      <c r="D1370" t="s">
        <v>41</v>
      </c>
      <c r="E1370" t="s">
        <v>73</v>
      </c>
      <c r="F1370" t="s">
        <v>28</v>
      </c>
      <c r="G1370">
        <v>10.8</v>
      </c>
      <c r="H1370">
        <v>5.6</v>
      </c>
      <c r="I1370" t="str" cm="1">
        <f t="array" ref="I1370">_xlfn.IFS(G1370&lt;3, "0–2 Years", G1370&lt;6, "3–5 Years", G1370&lt;9, "6–8 Years", G1370&lt;12, "9-11 Years", G1370&gt;=12, "12-14 Years")</f>
        <v>9-11 Years</v>
      </c>
      <c r="J1370">
        <v>3</v>
      </c>
      <c r="K1370" t="s">
        <v>20</v>
      </c>
      <c r="L1370">
        <v>102900</v>
      </c>
      <c r="M1370">
        <v>7200</v>
      </c>
      <c r="N1370">
        <v>110100</v>
      </c>
      <c r="O1370" t="s">
        <v>57</v>
      </c>
      <c r="P1370" s="3">
        <v>42091</v>
      </c>
      <c r="Q1370" t="s">
        <v>28</v>
      </c>
    </row>
    <row r="1371" spans="1:17" x14ac:dyDescent="0.35">
      <c r="A1371" t="s">
        <v>1423</v>
      </c>
      <c r="B1371" t="s">
        <v>23</v>
      </c>
      <c r="C1371">
        <v>28</v>
      </c>
      <c r="D1371" t="s">
        <v>34</v>
      </c>
      <c r="E1371" t="s">
        <v>35</v>
      </c>
      <c r="F1371" t="s">
        <v>28</v>
      </c>
      <c r="G1371">
        <v>2.1</v>
      </c>
      <c r="H1371">
        <v>1.5</v>
      </c>
      <c r="I1371" t="str" cm="1">
        <f t="array" ref="I1371">_xlfn.IFS(G1371&lt;3, "0–2 Years", G1371&lt;6, "3–5 Years", G1371&lt;9, "6–8 Years", G1371&lt;12, "9-11 Years", G1371&gt;=12, "12-14 Years")</f>
        <v>0–2 Years</v>
      </c>
      <c r="J1371">
        <v>4</v>
      </c>
      <c r="K1371" t="s">
        <v>20</v>
      </c>
      <c r="L1371">
        <v>77500</v>
      </c>
      <c r="M1371">
        <v>9200</v>
      </c>
      <c r="N1371">
        <v>86700</v>
      </c>
      <c r="O1371" t="s">
        <v>21</v>
      </c>
      <c r="P1371" s="3">
        <v>45240</v>
      </c>
      <c r="Q1371" t="s">
        <v>28</v>
      </c>
    </row>
    <row r="1372" spans="1:17" x14ac:dyDescent="0.35">
      <c r="A1372" t="s">
        <v>1424</v>
      </c>
      <c r="B1372" t="s">
        <v>23</v>
      </c>
      <c r="C1372">
        <v>27</v>
      </c>
      <c r="D1372" t="s">
        <v>17</v>
      </c>
      <c r="E1372" t="s">
        <v>32</v>
      </c>
      <c r="F1372" t="s">
        <v>62</v>
      </c>
      <c r="G1372">
        <v>6.5</v>
      </c>
      <c r="H1372">
        <v>3.9</v>
      </c>
      <c r="I1372" t="str" cm="1">
        <f t="array" ref="I1372">_xlfn.IFS(G1372&lt;3, "0–2 Years", G1372&lt;6, "3–5 Years", G1372&lt;9, "6–8 Years", G1372&lt;12, "9-11 Years", G1372&gt;=12, "12-14 Years")</f>
        <v>6–8 Years</v>
      </c>
      <c r="J1372">
        <v>4</v>
      </c>
      <c r="K1372" t="s">
        <v>20</v>
      </c>
      <c r="L1372">
        <v>80800</v>
      </c>
      <c r="M1372">
        <v>10400</v>
      </c>
      <c r="N1372">
        <v>91200</v>
      </c>
      <c r="O1372" t="s">
        <v>30</v>
      </c>
      <c r="P1372" s="3">
        <v>43635</v>
      </c>
      <c r="Q1372" t="s">
        <v>62</v>
      </c>
    </row>
    <row r="1373" spans="1:17" x14ac:dyDescent="0.35">
      <c r="A1373" t="s">
        <v>1425</v>
      </c>
      <c r="B1373" t="s">
        <v>23</v>
      </c>
      <c r="C1373" s="7">
        <v>43</v>
      </c>
      <c r="D1373" t="s">
        <v>38</v>
      </c>
      <c r="E1373" t="s">
        <v>39</v>
      </c>
      <c r="F1373" t="s">
        <v>28</v>
      </c>
      <c r="G1373" s="9">
        <v>13</v>
      </c>
      <c r="H1373" s="7">
        <v>9.1999999999999993</v>
      </c>
      <c r="I1373" t="str" cm="1">
        <f t="array" ref="I1373">_xlfn.IFS(G1373&lt;3, "0–2 Years", G1373&lt;6, "3–5 Years", G1373&lt;9, "6–8 Years", G1373&lt;12, "9-11 Years", G1373&gt;=12, "12-14 Years")</f>
        <v>12-14 Years</v>
      </c>
      <c r="J1373" s="7">
        <v>2</v>
      </c>
      <c r="K1373" t="s">
        <v>20</v>
      </c>
      <c r="L1373" s="7">
        <v>94400</v>
      </c>
      <c r="M1373" s="7">
        <v>6200</v>
      </c>
      <c r="N1373" s="7">
        <v>100600</v>
      </c>
      <c r="O1373" t="s">
        <v>30</v>
      </c>
      <c r="P1373" s="3">
        <v>41293</v>
      </c>
      <c r="Q1373" t="s">
        <v>28</v>
      </c>
    </row>
    <row r="1374" spans="1:17" x14ac:dyDescent="0.35">
      <c r="A1374" t="s">
        <v>1426</v>
      </c>
      <c r="B1374" t="s">
        <v>23</v>
      </c>
      <c r="C1374">
        <v>29</v>
      </c>
      <c r="D1374" t="s">
        <v>38</v>
      </c>
      <c r="E1374" t="s">
        <v>39</v>
      </c>
      <c r="F1374" t="s">
        <v>19</v>
      </c>
      <c r="G1374">
        <v>5.8</v>
      </c>
      <c r="H1374">
        <v>5.4</v>
      </c>
      <c r="I1374" t="str" cm="1">
        <f t="array" ref="I1374">_xlfn.IFS(G1374&lt;3, "0–2 Years", G1374&lt;6, "3–5 Years", G1374&lt;9, "6–8 Years", G1374&lt;12, "9-11 Years", G1374&gt;=12, "12-14 Years")</f>
        <v>3–5 Years</v>
      </c>
      <c r="J1374">
        <v>4</v>
      </c>
      <c r="K1374" t="s">
        <v>20</v>
      </c>
      <c r="L1374">
        <v>73800</v>
      </c>
      <c r="M1374">
        <v>6400</v>
      </c>
      <c r="N1374">
        <v>80200</v>
      </c>
      <c r="O1374" t="s">
        <v>21</v>
      </c>
      <c r="P1374" s="3">
        <v>43901</v>
      </c>
      <c r="Q1374" t="s">
        <v>19</v>
      </c>
    </row>
    <row r="1375" spans="1:17" x14ac:dyDescent="0.35">
      <c r="A1375" t="s">
        <v>1427</v>
      </c>
      <c r="B1375" t="s">
        <v>23</v>
      </c>
      <c r="C1375">
        <v>39</v>
      </c>
      <c r="D1375" t="s">
        <v>38</v>
      </c>
      <c r="E1375" t="s">
        <v>39</v>
      </c>
      <c r="F1375" t="s">
        <v>28</v>
      </c>
      <c r="G1375">
        <v>11.9</v>
      </c>
      <c r="H1375">
        <v>7.5</v>
      </c>
      <c r="I1375" t="str" cm="1">
        <f t="array" ref="I1375">_xlfn.IFS(G1375&lt;3, "0–2 Years", G1375&lt;6, "3–5 Years", G1375&lt;9, "6–8 Years", G1375&lt;12, "9-11 Years", G1375&gt;=12, "12-14 Years")</f>
        <v>9-11 Years</v>
      </c>
      <c r="J1375">
        <v>3</v>
      </c>
      <c r="K1375" t="s">
        <v>20</v>
      </c>
      <c r="L1375">
        <v>83900</v>
      </c>
      <c r="M1375">
        <v>4900</v>
      </c>
      <c r="N1375">
        <v>88800</v>
      </c>
      <c r="O1375" t="s">
        <v>30</v>
      </c>
      <c r="P1375" s="3">
        <v>41677</v>
      </c>
      <c r="Q1375" t="s">
        <v>28</v>
      </c>
    </row>
    <row r="1376" spans="1:17" x14ac:dyDescent="0.35">
      <c r="A1376" t="s">
        <v>1428</v>
      </c>
      <c r="B1376" t="s">
        <v>23</v>
      </c>
      <c r="C1376">
        <v>21</v>
      </c>
      <c r="D1376" t="s">
        <v>44</v>
      </c>
      <c r="E1376" t="s">
        <v>51</v>
      </c>
      <c r="F1376" t="s">
        <v>36</v>
      </c>
      <c r="G1376">
        <v>5.8</v>
      </c>
      <c r="H1376">
        <v>1.8</v>
      </c>
      <c r="I1376" t="str" cm="1">
        <f t="array" ref="I1376">_xlfn.IFS(G1376&lt;3, "0–2 Years", G1376&lt;6, "3–5 Years", G1376&lt;9, "6–8 Years", G1376&lt;12, "9-11 Years", G1376&gt;=12, "12-14 Years")</f>
        <v>3–5 Years</v>
      </c>
      <c r="J1376">
        <v>3</v>
      </c>
      <c r="K1376" t="s">
        <v>20</v>
      </c>
      <c r="L1376">
        <v>87900</v>
      </c>
      <c r="M1376">
        <v>4800</v>
      </c>
      <c r="N1376">
        <v>92700</v>
      </c>
      <c r="O1376" t="s">
        <v>30</v>
      </c>
      <c r="P1376" s="3">
        <v>43901</v>
      </c>
      <c r="Q1376" t="s">
        <v>36</v>
      </c>
    </row>
    <row r="1377" spans="1:17" x14ac:dyDescent="0.35">
      <c r="A1377" t="s">
        <v>1429</v>
      </c>
      <c r="B1377" t="s">
        <v>23</v>
      </c>
      <c r="C1377" s="7">
        <v>27</v>
      </c>
      <c r="D1377" t="s">
        <v>17</v>
      </c>
      <c r="E1377" t="s">
        <v>27</v>
      </c>
      <c r="F1377" t="s">
        <v>28</v>
      </c>
      <c r="G1377" s="9">
        <v>12.5</v>
      </c>
      <c r="H1377" s="7">
        <v>7.5</v>
      </c>
      <c r="I1377" t="str" cm="1">
        <f t="array" ref="I1377">_xlfn.IFS(G1377&lt;3, "0–2 Years", G1377&lt;6, "3–5 Years", G1377&lt;9, "6–8 Years", G1377&lt;12, "9-11 Years", G1377&gt;=12, "12-14 Years")</f>
        <v>12-14 Years</v>
      </c>
      <c r="J1377" s="7">
        <v>3</v>
      </c>
      <c r="K1377" t="s">
        <v>20</v>
      </c>
      <c r="L1377" s="7">
        <v>86000</v>
      </c>
      <c r="M1377" s="7">
        <v>8300</v>
      </c>
      <c r="N1377" s="7">
        <v>94300</v>
      </c>
      <c r="O1377" t="s">
        <v>30</v>
      </c>
      <c r="P1377" s="3">
        <v>41451</v>
      </c>
      <c r="Q1377" t="s">
        <v>28</v>
      </c>
    </row>
    <row r="1378" spans="1:17" x14ac:dyDescent="0.35">
      <c r="A1378" t="s">
        <v>1430</v>
      </c>
      <c r="B1378" t="s">
        <v>16</v>
      </c>
      <c r="C1378">
        <v>48</v>
      </c>
      <c r="D1378" t="s">
        <v>55</v>
      </c>
      <c r="E1378" t="s">
        <v>79</v>
      </c>
      <c r="F1378" t="s">
        <v>62</v>
      </c>
      <c r="G1378">
        <v>3.3</v>
      </c>
      <c r="H1378">
        <v>1.9</v>
      </c>
      <c r="I1378" t="str" cm="1">
        <f t="array" ref="I1378">_xlfn.IFS(G1378&lt;3, "0–2 Years", G1378&lt;6, "3–5 Years", G1378&lt;9, "6–8 Years", G1378&lt;12, "9-11 Years", G1378&gt;=12, "12-14 Years")</f>
        <v>3–5 Years</v>
      </c>
      <c r="J1378">
        <v>3</v>
      </c>
      <c r="K1378" t="s">
        <v>20</v>
      </c>
      <c r="L1378">
        <v>61900</v>
      </c>
      <c r="M1378">
        <v>9000</v>
      </c>
      <c r="N1378">
        <v>70900</v>
      </c>
      <c r="O1378" t="s">
        <v>25</v>
      </c>
      <c r="P1378" s="3">
        <v>44820</v>
      </c>
      <c r="Q1378" t="s">
        <v>62</v>
      </c>
    </row>
    <row r="1379" spans="1:17" x14ac:dyDescent="0.35">
      <c r="A1379" t="s">
        <v>1431</v>
      </c>
      <c r="B1379" t="s">
        <v>16</v>
      </c>
      <c r="C1379">
        <v>33</v>
      </c>
      <c r="D1379" t="s">
        <v>38</v>
      </c>
      <c r="E1379" t="s">
        <v>61</v>
      </c>
      <c r="F1379" t="s">
        <v>28</v>
      </c>
      <c r="G1379">
        <v>2.1</v>
      </c>
      <c r="H1379">
        <v>1.7</v>
      </c>
      <c r="I1379" t="str" cm="1">
        <f t="array" ref="I1379">_xlfn.IFS(G1379&lt;3, "0–2 Years", G1379&lt;6, "3–5 Years", G1379&lt;9, "6–8 Years", G1379&lt;12, "9-11 Years", G1379&gt;=12, "12-14 Years")</f>
        <v>0–2 Years</v>
      </c>
      <c r="J1379">
        <v>3</v>
      </c>
      <c r="K1379" t="s">
        <v>20</v>
      </c>
      <c r="L1379">
        <v>91400</v>
      </c>
      <c r="M1379">
        <v>9500</v>
      </c>
      <c r="N1379">
        <v>100900</v>
      </c>
      <c r="O1379" t="s">
        <v>30</v>
      </c>
      <c r="P1379" s="3">
        <v>45254</v>
      </c>
      <c r="Q1379" t="s">
        <v>28</v>
      </c>
    </row>
    <row r="1380" spans="1:17" x14ac:dyDescent="0.35">
      <c r="A1380" t="s">
        <v>1432</v>
      </c>
      <c r="B1380" t="s">
        <v>23</v>
      </c>
      <c r="C1380">
        <v>35</v>
      </c>
      <c r="D1380" t="s">
        <v>38</v>
      </c>
      <c r="E1380" t="s">
        <v>61</v>
      </c>
      <c r="F1380" t="s">
        <v>28</v>
      </c>
      <c r="G1380">
        <v>4.8</v>
      </c>
      <c r="H1380">
        <v>3.8</v>
      </c>
      <c r="I1380" t="str" cm="1">
        <f t="array" ref="I1380">_xlfn.IFS(G1380&lt;3, "0–2 Years", G1380&lt;6, "3–5 Years", G1380&lt;9, "6–8 Years", G1380&lt;12, "9-11 Years", G1380&gt;=12, "12-14 Years")</f>
        <v>3–5 Years</v>
      </c>
      <c r="J1380">
        <v>4</v>
      </c>
      <c r="K1380" t="s">
        <v>24</v>
      </c>
      <c r="L1380">
        <v>69900</v>
      </c>
      <c r="M1380">
        <v>7200</v>
      </c>
      <c r="N1380">
        <v>77100</v>
      </c>
      <c r="O1380" t="s">
        <v>21</v>
      </c>
      <c r="P1380" s="3">
        <v>44288</v>
      </c>
      <c r="Q1380" t="s">
        <v>28</v>
      </c>
    </row>
    <row r="1381" spans="1:17" x14ac:dyDescent="0.35">
      <c r="A1381" t="s">
        <v>1433</v>
      </c>
      <c r="B1381" t="s">
        <v>23</v>
      </c>
      <c r="C1381" s="7">
        <v>34</v>
      </c>
      <c r="D1381" t="s">
        <v>41</v>
      </c>
      <c r="E1381" t="s">
        <v>42</v>
      </c>
      <c r="F1381" t="s">
        <v>36</v>
      </c>
      <c r="G1381" s="9">
        <v>13.2</v>
      </c>
      <c r="H1381" s="7">
        <v>7</v>
      </c>
      <c r="I1381" t="str" cm="1">
        <f t="array" ref="I1381">_xlfn.IFS(G1381&lt;3, "0–2 Years", G1381&lt;6, "3–5 Years", G1381&lt;9, "6–8 Years", G1381&lt;12, "9-11 Years", G1381&gt;=12, "12-14 Years")</f>
        <v>12-14 Years</v>
      </c>
      <c r="J1381" s="7">
        <v>3</v>
      </c>
      <c r="K1381" t="s">
        <v>20</v>
      </c>
      <c r="L1381" s="7">
        <v>90200</v>
      </c>
      <c r="M1381" s="7">
        <v>4400</v>
      </c>
      <c r="N1381" s="7">
        <v>94600</v>
      </c>
      <c r="O1381" t="s">
        <v>30</v>
      </c>
      <c r="P1381" s="3">
        <v>41210</v>
      </c>
      <c r="Q1381" t="s">
        <v>36</v>
      </c>
    </row>
    <row r="1382" spans="1:17" x14ac:dyDescent="0.35">
      <c r="A1382" t="s">
        <v>1434</v>
      </c>
      <c r="B1382" t="s">
        <v>16</v>
      </c>
      <c r="C1382">
        <v>28</v>
      </c>
      <c r="D1382" t="s">
        <v>17</v>
      </c>
      <c r="E1382" t="s">
        <v>18</v>
      </c>
      <c r="F1382" t="s">
        <v>28</v>
      </c>
      <c r="G1382">
        <v>2.2000000000000002</v>
      </c>
      <c r="H1382">
        <v>2.2000000000000002</v>
      </c>
      <c r="I1382" t="str" cm="1">
        <f t="array" ref="I1382">_xlfn.IFS(G1382&lt;3, "0–2 Years", G1382&lt;6, "3–5 Years", G1382&lt;9, "6–8 Years", G1382&lt;12, "9-11 Years", G1382&gt;=12, "12-14 Years")</f>
        <v>0–2 Years</v>
      </c>
      <c r="J1382">
        <v>2</v>
      </c>
      <c r="K1382" t="s">
        <v>20</v>
      </c>
      <c r="L1382">
        <v>89700</v>
      </c>
      <c r="M1382">
        <v>11800</v>
      </c>
      <c r="N1382">
        <v>101500</v>
      </c>
      <c r="O1382" t="s">
        <v>30</v>
      </c>
      <c r="P1382" s="3">
        <v>45224</v>
      </c>
      <c r="Q1382" t="s">
        <v>28</v>
      </c>
    </row>
    <row r="1383" spans="1:17" x14ac:dyDescent="0.35">
      <c r="A1383" t="s">
        <v>1435</v>
      </c>
      <c r="B1383" t="s">
        <v>23</v>
      </c>
      <c r="C1383">
        <v>23</v>
      </c>
      <c r="D1383" t="s">
        <v>55</v>
      </c>
      <c r="E1383" t="s">
        <v>56</v>
      </c>
      <c r="F1383" t="s">
        <v>28</v>
      </c>
      <c r="G1383">
        <v>7.1</v>
      </c>
      <c r="H1383">
        <v>4.5999999999999996</v>
      </c>
      <c r="I1383" t="str" cm="1">
        <f t="array" ref="I1383">_xlfn.IFS(G1383&lt;3, "0–2 Years", G1383&lt;6, "3–5 Years", G1383&lt;9, "6–8 Years", G1383&lt;12, "9-11 Years", G1383&gt;=12, "12-14 Years")</f>
        <v>6–8 Years</v>
      </c>
      <c r="J1383">
        <v>3</v>
      </c>
      <c r="K1383" t="s">
        <v>20</v>
      </c>
      <c r="L1383">
        <v>104500</v>
      </c>
      <c r="M1383">
        <v>16300</v>
      </c>
      <c r="N1383">
        <v>120800</v>
      </c>
      <c r="O1383" t="s">
        <v>57</v>
      </c>
      <c r="P1383" s="3">
        <v>43430</v>
      </c>
      <c r="Q1383" t="s">
        <v>28</v>
      </c>
    </row>
    <row r="1384" spans="1:17" x14ac:dyDescent="0.35">
      <c r="A1384" t="s">
        <v>1436</v>
      </c>
      <c r="B1384" t="s">
        <v>23</v>
      </c>
      <c r="C1384">
        <v>44</v>
      </c>
      <c r="D1384" t="s">
        <v>55</v>
      </c>
      <c r="E1384" t="s">
        <v>92</v>
      </c>
      <c r="F1384" t="s">
        <v>62</v>
      </c>
      <c r="G1384">
        <v>2.2999999999999998</v>
      </c>
      <c r="H1384">
        <v>0.5</v>
      </c>
      <c r="I1384" t="str" cm="1">
        <f t="array" ref="I1384">_xlfn.IFS(G1384&lt;3, "0–2 Years", G1384&lt;6, "3–5 Years", G1384&lt;9, "6–8 Years", G1384&lt;12, "9-11 Years", G1384&gt;=12, "12-14 Years")</f>
        <v>0–2 Years</v>
      </c>
      <c r="J1384">
        <v>5</v>
      </c>
      <c r="K1384" t="s">
        <v>20</v>
      </c>
      <c r="L1384">
        <v>115700</v>
      </c>
      <c r="M1384">
        <v>21300</v>
      </c>
      <c r="N1384">
        <v>137000</v>
      </c>
      <c r="O1384" t="s">
        <v>57</v>
      </c>
      <c r="P1384" s="3">
        <v>45171</v>
      </c>
      <c r="Q1384" t="s">
        <v>62</v>
      </c>
    </row>
    <row r="1385" spans="1:17" x14ac:dyDescent="0.35">
      <c r="A1385" t="s">
        <v>1437</v>
      </c>
      <c r="B1385" t="s">
        <v>23</v>
      </c>
      <c r="C1385">
        <v>37</v>
      </c>
      <c r="D1385" t="s">
        <v>44</v>
      </c>
      <c r="E1385" t="s">
        <v>51</v>
      </c>
      <c r="F1385" t="s">
        <v>36</v>
      </c>
      <c r="G1385">
        <v>1.9</v>
      </c>
      <c r="H1385">
        <v>1.9</v>
      </c>
      <c r="I1385" t="str" cm="1">
        <f t="array" ref="I1385">_xlfn.IFS(G1385&lt;3, "0–2 Years", G1385&lt;6, "3–5 Years", G1385&lt;9, "6–8 Years", G1385&lt;12, "9-11 Years", G1385&gt;=12, "12-14 Years")</f>
        <v>0–2 Years</v>
      </c>
      <c r="J1385">
        <v>3</v>
      </c>
      <c r="K1385" t="s">
        <v>20</v>
      </c>
      <c r="L1385">
        <v>68700</v>
      </c>
      <c r="M1385">
        <v>7000</v>
      </c>
      <c r="N1385">
        <v>75700</v>
      </c>
      <c r="O1385" t="s">
        <v>21</v>
      </c>
      <c r="P1385" s="3">
        <v>45317</v>
      </c>
      <c r="Q1385" t="s">
        <v>36</v>
      </c>
    </row>
    <row r="1386" spans="1:17" x14ac:dyDescent="0.35">
      <c r="A1386" t="s">
        <v>1438</v>
      </c>
      <c r="B1386" t="s">
        <v>16</v>
      </c>
      <c r="C1386">
        <v>44</v>
      </c>
      <c r="D1386" t="s">
        <v>17</v>
      </c>
      <c r="E1386" t="s">
        <v>32</v>
      </c>
      <c r="F1386" t="s">
        <v>28</v>
      </c>
      <c r="G1386">
        <v>5.4</v>
      </c>
      <c r="H1386">
        <v>5.4</v>
      </c>
      <c r="I1386" t="str" cm="1">
        <f t="array" ref="I1386">_xlfn.IFS(G1386&lt;3, "0–2 Years", G1386&lt;6, "3–5 Years", G1386&lt;9, "6–8 Years", G1386&lt;12, "9-11 Years", G1386&gt;=12, "12-14 Years")</f>
        <v>3–5 Years</v>
      </c>
      <c r="J1386">
        <v>4</v>
      </c>
      <c r="K1386" t="s">
        <v>24</v>
      </c>
      <c r="L1386">
        <v>44500</v>
      </c>
      <c r="M1386">
        <v>5700</v>
      </c>
      <c r="N1386">
        <v>50200</v>
      </c>
      <c r="O1386" t="s">
        <v>65</v>
      </c>
      <c r="P1386" s="3">
        <v>44065</v>
      </c>
      <c r="Q1386" t="s">
        <v>28</v>
      </c>
    </row>
    <row r="1387" spans="1:17" x14ac:dyDescent="0.35">
      <c r="A1387" t="s">
        <v>1439</v>
      </c>
      <c r="B1387" t="s">
        <v>23</v>
      </c>
      <c r="C1387">
        <v>25</v>
      </c>
      <c r="D1387" t="s">
        <v>44</v>
      </c>
      <c r="E1387" t="s">
        <v>76</v>
      </c>
      <c r="F1387" t="s">
        <v>36</v>
      </c>
      <c r="G1387">
        <v>5.0999999999999996</v>
      </c>
      <c r="H1387">
        <v>3.3</v>
      </c>
      <c r="I1387" t="str" cm="1">
        <f t="array" ref="I1387">_xlfn.IFS(G1387&lt;3, "0–2 Years", G1387&lt;6, "3–5 Years", G1387&lt;9, "6–8 Years", G1387&lt;12, "9-11 Years", G1387&gt;=12, "12-14 Years")</f>
        <v>3–5 Years</v>
      </c>
      <c r="J1387">
        <v>3</v>
      </c>
      <c r="K1387" t="s">
        <v>20</v>
      </c>
      <c r="L1387">
        <v>118600</v>
      </c>
      <c r="M1387">
        <v>16400</v>
      </c>
      <c r="N1387">
        <v>135000</v>
      </c>
      <c r="O1387" t="s">
        <v>57</v>
      </c>
      <c r="P1387" s="3">
        <v>44161</v>
      </c>
      <c r="Q1387" t="s">
        <v>36</v>
      </c>
    </row>
    <row r="1388" spans="1:17" x14ac:dyDescent="0.35">
      <c r="A1388" t="s">
        <v>1440</v>
      </c>
      <c r="B1388" t="s">
        <v>23</v>
      </c>
      <c r="C1388">
        <v>42</v>
      </c>
      <c r="D1388" t="s">
        <v>38</v>
      </c>
      <c r="E1388" t="s">
        <v>61</v>
      </c>
      <c r="F1388" t="s">
        <v>28</v>
      </c>
      <c r="G1388">
        <v>8.9</v>
      </c>
      <c r="H1388">
        <v>7</v>
      </c>
      <c r="I1388" t="str" cm="1">
        <f t="array" ref="I1388">_xlfn.IFS(G1388&lt;3, "0–2 Years", G1388&lt;6, "3–5 Years", G1388&lt;9, "6–8 Years", G1388&lt;12, "9-11 Years", G1388&gt;=12, "12-14 Years")</f>
        <v>6–8 Years</v>
      </c>
      <c r="J1388">
        <v>4</v>
      </c>
      <c r="K1388" t="s">
        <v>24</v>
      </c>
      <c r="L1388">
        <v>65100</v>
      </c>
      <c r="M1388">
        <v>4500</v>
      </c>
      <c r="N1388">
        <v>69600</v>
      </c>
      <c r="O1388" t="s">
        <v>21</v>
      </c>
      <c r="P1388" s="3">
        <v>42764</v>
      </c>
      <c r="Q1388" t="s">
        <v>28</v>
      </c>
    </row>
    <row r="1389" spans="1:17" x14ac:dyDescent="0.35">
      <c r="A1389" t="s">
        <v>1441</v>
      </c>
      <c r="B1389" t="s">
        <v>23</v>
      </c>
      <c r="C1389">
        <v>37</v>
      </c>
      <c r="D1389" t="s">
        <v>17</v>
      </c>
      <c r="E1389" t="s">
        <v>27</v>
      </c>
      <c r="F1389" t="s">
        <v>28</v>
      </c>
      <c r="G1389">
        <v>11</v>
      </c>
      <c r="H1389">
        <v>8.4</v>
      </c>
      <c r="I1389" t="str" cm="1">
        <f t="array" ref="I1389">_xlfn.IFS(G1389&lt;3, "0–2 Years", G1389&lt;6, "3–5 Years", G1389&lt;9, "6–8 Years", G1389&lt;12, "9-11 Years", G1389&gt;=12, "12-14 Years")</f>
        <v>9-11 Years</v>
      </c>
      <c r="J1389">
        <v>4</v>
      </c>
      <c r="K1389" t="s">
        <v>20</v>
      </c>
      <c r="L1389">
        <v>90700</v>
      </c>
      <c r="M1389">
        <v>10200</v>
      </c>
      <c r="N1389">
        <v>100900</v>
      </c>
      <c r="O1389" t="s">
        <v>30</v>
      </c>
      <c r="P1389" s="3">
        <v>42021</v>
      </c>
      <c r="Q1389" t="s">
        <v>28</v>
      </c>
    </row>
    <row r="1390" spans="1:17" x14ac:dyDescent="0.35">
      <c r="A1390" t="s">
        <v>1442</v>
      </c>
      <c r="B1390" t="s">
        <v>23</v>
      </c>
      <c r="C1390">
        <v>33</v>
      </c>
      <c r="D1390" t="s">
        <v>41</v>
      </c>
      <c r="E1390" t="s">
        <v>67</v>
      </c>
      <c r="F1390" t="s">
        <v>28</v>
      </c>
      <c r="G1390">
        <v>9.9</v>
      </c>
      <c r="H1390">
        <v>8.3000000000000007</v>
      </c>
      <c r="I1390" t="str" cm="1">
        <f t="array" ref="I1390">_xlfn.IFS(G1390&lt;3, "0–2 Years", G1390&lt;6, "3–5 Years", G1390&lt;9, "6–8 Years", G1390&lt;12, "9-11 Years", G1390&gt;=12, "12-14 Years")</f>
        <v>9-11 Years</v>
      </c>
      <c r="J1390">
        <v>4</v>
      </c>
      <c r="K1390" t="s">
        <v>20</v>
      </c>
      <c r="L1390">
        <v>68400</v>
      </c>
      <c r="M1390">
        <v>2200</v>
      </c>
      <c r="N1390">
        <v>70600</v>
      </c>
      <c r="O1390" t="s">
        <v>21</v>
      </c>
      <c r="P1390" s="3">
        <v>42399</v>
      </c>
      <c r="Q1390" t="s">
        <v>28</v>
      </c>
    </row>
    <row r="1391" spans="1:17" x14ac:dyDescent="0.35">
      <c r="A1391" t="s">
        <v>1443</v>
      </c>
      <c r="B1391" t="s">
        <v>16</v>
      </c>
      <c r="C1391">
        <v>44</v>
      </c>
      <c r="D1391" t="s">
        <v>17</v>
      </c>
      <c r="E1391" t="s">
        <v>18</v>
      </c>
      <c r="F1391" t="s">
        <v>28</v>
      </c>
      <c r="G1391">
        <v>6.8</v>
      </c>
      <c r="H1391">
        <v>6.4</v>
      </c>
      <c r="I1391" t="str" cm="1">
        <f t="array" ref="I1391">_xlfn.IFS(G1391&lt;3, "0–2 Years", G1391&lt;6, "3–5 Years", G1391&lt;9, "6–8 Years", G1391&lt;12, "9-11 Years", G1391&gt;=12, "12-14 Years")</f>
        <v>6–8 Years</v>
      </c>
      <c r="J1391">
        <v>4</v>
      </c>
      <c r="K1391" t="s">
        <v>20</v>
      </c>
      <c r="L1391">
        <v>97400</v>
      </c>
      <c r="M1391">
        <v>5800</v>
      </c>
      <c r="N1391">
        <v>103200</v>
      </c>
      <c r="O1391" t="s">
        <v>30</v>
      </c>
      <c r="P1391" s="3">
        <v>43547</v>
      </c>
      <c r="Q1391" t="s">
        <v>28</v>
      </c>
    </row>
    <row r="1392" spans="1:17" x14ac:dyDescent="0.35">
      <c r="A1392" t="s">
        <v>1444</v>
      </c>
      <c r="B1392" t="s">
        <v>23</v>
      </c>
      <c r="C1392">
        <v>51</v>
      </c>
      <c r="D1392" t="s">
        <v>38</v>
      </c>
      <c r="E1392" t="s">
        <v>39</v>
      </c>
      <c r="F1392" t="s">
        <v>36</v>
      </c>
      <c r="G1392">
        <v>8</v>
      </c>
      <c r="H1392">
        <v>4.5</v>
      </c>
      <c r="I1392" t="str" cm="1">
        <f t="array" ref="I1392">_xlfn.IFS(G1392&lt;3, "0–2 Years", G1392&lt;6, "3–5 Years", G1392&lt;9, "6–8 Years", G1392&lt;12, "9-11 Years", G1392&gt;=12, "12-14 Years")</f>
        <v>6–8 Years</v>
      </c>
      <c r="J1392">
        <v>2</v>
      </c>
      <c r="K1392" t="s">
        <v>20</v>
      </c>
      <c r="L1392">
        <v>84800</v>
      </c>
      <c r="M1392">
        <v>5700</v>
      </c>
      <c r="N1392">
        <v>90500</v>
      </c>
      <c r="O1392" t="s">
        <v>30</v>
      </c>
      <c r="P1392" s="3">
        <v>43114</v>
      </c>
      <c r="Q1392" t="s">
        <v>36</v>
      </c>
    </row>
    <row r="1393" spans="1:17" x14ac:dyDescent="0.35">
      <c r="A1393" t="s">
        <v>1445</v>
      </c>
      <c r="B1393" t="s">
        <v>23</v>
      </c>
      <c r="C1393" s="7">
        <v>29</v>
      </c>
      <c r="D1393" t="s">
        <v>34</v>
      </c>
      <c r="E1393" t="s">
        <v>59</v>
      </c>
      <c r="F1393" t="s">
        <v>28</v>
      </c>
      <c r="G1393" s="9">
        <v>13.3</v>
      </c>
      <c r="H1393" s="7">
        <v>8.1</v>
      </c>
      <c r="I1393" t="str" cm="1">
        <f t="array" ref="I1393">_xlfn.IFS(G1393&lt;3, "0–2 Years", G1393&lt;6, "3–5 Years", G1393&lt;9, "6–8 Years", G1393&lt;12, "9-11 Years", G1393&gt;=12, "12-14 Years")</f>
        <v>12-14 Years</v>
      </c>
      <c r="J1393" s="7">
        <v>3</v>
      </c>
      <c r="K1393" t="s">
        <v>20</v>
      </c>
      <c r="L1393" s="7">
        <v>95000</v>
      </c>
      <c r="M1393" s="7">
        <v>9900</v>
      </c>
      <c r="N1393" s="7">
        <v>104900</v>
      </c>
      <c r="O1393" t="s">
        <v>30</v>
      </c>
      <c r="P1393" s="3">
        <v>41156</v>
      </c>
      <c r="Q1393" t="s">
        <v>28</v>
      </c>
    </row>
    <row r="1394" spans="1:17" x14ac:dyDescent="0.35">
      <c r="A1394" t="s">
        <v>1446</v>
      </c>
      <c r="B1394" t="s">
        <v>16</v>
      </c>
      <c r="C1394">
        <v>43</v>
      </c>
      <c r="D1394" t="s">
        <v>55</v>
      </c>
      <c r="E1394" t="s">
        <v>92</v>
      </c>
      <c r="F1394" t="s">
        <v>36</v>
      </c>
      <c r="G1394">
        <v>11.9</v>
      </c>
      <c r="H1394">
        <v>7.1</v>
      </c>
      <c r="I1394" t="str" cm="1">
        <f t="array" ref="I1394">_xlfn.IFS(G1394&lt;3, "0–2 Years", G1394&lt;6, "3–5 Years", G1394&lt;9, "6–8 Years", G1394&lt;12, "9-11 Years", G1394&gt;=12, "12-14 Years")</f>
        <v>9-11 Years</v>
      </c>
      <c r="J1394">
        <v>3</v>
      </c>
      <c r="K1394" t="s">
        <v>20</v>
      </c>
      <c r="L1394">
        <v>106900</v>
      </c>
      <c r="M1394">
        <v>8600</v>
      </c>
      <c r="N1394">
        <v>115500</v>
      </c>
      <c r="O1394" t="s">
        <v>57</v>
      </c>
      <c r="P1394" s="3">
        <v>41694</v>
      </c>
      <c r="Q1394" t="s">
        <v>36</v>
      </c>
    </row>
    <row r="1395" spans="1:17" x14ac:dyDescent="0.35">
      <c r="A1395" t="s">
        <v>1447</v>
      </c>
      <c r="B1395" t="s">
        <v>23</v>
      </c>
      <c r="C1395">
        <v>42</v>
      </c>
      <c r="D1395" t="s">
        <v>17</v>
      </c>
      <c r="E1395" t="s">
        <v>18</v>
      </c>
      <c r="F1395" t="s">
        <v>36</v>
      </c>
      <c r="G1395">
        <v>2.8</v>
      </c>
      <c r="H1395">
        <v>2.2999999999999998</v>
      </c>
      <c r="I1395" t="str" cm="1">
        <f t="array" ref="I1395">_xlfn.IFS(G1395&lt;3, "0–2 Years", G1395&lt;6, "3–5 Years", G1395&lt;9, "6–8 Years", G1395&lt;12, "9-11 Years", G1395&gt;=12, "12-14 Years")</f>
        <v>0–2 Years</v>
      </c>
      <c r="J1395">
        <v>3</v>
      </c>
      <c r="K1395" t="s">
        <v>20</v>
      </c>
      <c r="L1395">
        <v>89400</v>
      </c>
      <c r="M1395">
        <v>8100</v>
      </c>
      <c r="N1395">
        <v>97500</v>
      </c>
      <c r="O1395" t="s">
        <v>30</v>
      </c>
      <c r="P1395" s="3">
        <v>44985</v>
      </c>
      <c r="Q1395" t="s">
        <v>36</v>
      </c>
    </row>
    <row r="1396" spans="1:17" x14ac:dyDescent="0.35">
      <c r="A1396" t="s">
        <v>1448</v>
      </c>
      <c r="B1396" t="s">
        <v>16</v>
      </c>
      <c r="C1396">
        <v>36</v>
      </c>
      <c r="D1396" t="s">
        <v>44</v>
      </c>
      <c r="E1396" t="s">
        <v>81</v>
      </c>
      <c r="F1396" t="s">
        <v>28</v>
      </c>
      <c r="G1396">
        <v>2.8</v>
      </c>
      <c r="H1396">
        <v>2</v>
      </c>
      <c r="I1396" t="str" cm="1">
        <f t="array" ref="I1396">_xlfn.IFS(G1396&lt;3, "0–2 Years", G1396&lt;6, "3–5 Years", G1396&lt;9, "6–8 Years", G1396&lt;12, "9-11 Years", G1396&gt;=12, "12-14 Years")</f>
        <v>0–2 Years</v>
      </c>
      <c r="J1396">
        <v>4</v>
      </c>
      <c r="K1396" t="s">
        <v>20</v>
      </c>
      <c r="L1396">
        <v>97700</v>
      </c>
      <c r="M1396">
        <v>9900</v>
      </c>
      <c r="N1396">
        <v>107600</v>
      </c>
      <c r="O1396" t="s">
        <v>30</v>
      </c>
      <c r="P1396" s="3">
        <v>45012</v>
      </c>
      <c r="Q1396" t="s">
        <v>28</v>
      </c>
    </row>
    <row r="1397" spans="1:17" x14ac:dyDescent="0.35">
      <c r="A1397" t="s">
        <v>1449</v>
      </c>
      <c r="B1397" t="s">
        <v>23</v>
      </c>
      <c r="C1397">
        <v>31</v>
      </c>
      <c r="D1397" t="s">
        <v>55</v>
      </c>
      <c r="E1397" t="s">
        <v>56</v>
      </c>
      <c r="F1397" t="s">
        <v>28</v>
      </c>
      <c r="G1397">
        <v>3.5</v>
      </c>
      <c r="H1397">
        <v>2.1</v>
      </c>
      <c r="I1397" t="str" cm="1">
        <f t="array" ref="I1397">_xlfn.IFS(G1397&lt;3, "0–2 Years", G1397&lt;6, "3–5 Years", G1397&lt;9, "6–8 Years", G1397&lt;12, "9-11 Years", G1397&gt;=12, "12-14 Years")</f>
        <v>3–5 Years</v>
      </c>
      <c r="J1397">
        <v>4</v>
      </c>
      <c r="K1397" t="s">
        <v>20</v>
      </c>
      <c r="L1397">
        <v>91700</v>
      </c>
      <c r="M1397">
        <v>10200</v>
      </c>
      <c r="N1397">
        <v>101900</v>
      </c>
      <c r="O1397" t="s">
        <v>30</v>
      </c>
      <c r="P1397" s="3">
        <v>44762</v>
      </c>
      <c r="Q1397" t="s">
        <v>28</v>
      </c>
    </row>
    <row r="1398" spans="1:17" x14ac:dyDescent="0.35">
      <c r="A1398" t="s">
        <v>1450</v>
      </c>
      <c r="B1398" t="s">
        <v>16</v>
      </c>
      <c r="C1398">
        <v>35</v>
      </c>
      <c r="D1398" t="s">
        <v>55</v>
      </c>
      <c r="E1398" t="s">
        <v>79</v>
      </c>
      <c r="F1398" t="s">
        <v>36</v>
      </c>
      <c r="G1398">
        <v>7.6</v>
      </c>
      <c r="H1398">
        <v>2.6</v>
      </c>
      <c r="I1398" t="str" cm="1">
        <f t="array" ref="I1398">_xlfn.IFS(G1398&lt;3, "0–2 Years", G1398&lt;6, "3–5 Years", G1398&lt;9, "6–8 Years", G1398&lt;12, "9-11 Years", G1398&gt;=12, "12-14 Years")</f>
        <v>6–8 Years</v>
      </c>
      <c r="J1398">
        <v>3</v>
      </c>
      <c r="K1398" t="s">
        <v>24</v>
      </c>
      <c r="L1398">
        <v>42200</v>
      </c>
      <c r="M1398">
        <v>8500</v>
      </c>
      <c r="N1398">
        <v>50700</v>
      </c>
      <c r="O1398" t="s">
        <v>65</v>
      </c>
      <c r="P1398" s="3">
        <v>43263</v>
      </c>
      <c r="Q1398" t="s">
        <v>36</v>
      </c>
    </row>
    <row r="1399" spans="1:17" x14ac:dyDescent="0.35">
      <c r="A1399" t="s">
        <v>1451</v>
      </c>
      <c r="B1399" t="s">
        <v>16</v>
      </c>
      <c r="C1399" s="7">
        <v>27</v>
      </c>
      <c r="D1399" t="s">
        <v>55</v>
      </c>
      <c r="E1399" t="s">
        <v>56</v>
      </c>
      <c r="F1399" t="s">
        <v>28</v>
      </c>
      <c r="G1399" s="9">
        <v>12.1</v>
      </c>
      <c r="H1399" s="7">
        <v>9.8000000000000007</v>
      </c>
      <c r="I1399" t="str" cm="1">
        <f t="array" ref="I1399">_xlfn.IFS(G1399&lt;3, "0–2 Years", G1399&lt;6, "3–5 Years", G1399&lt;9, "6–8 Years", G1399&lt;12, "9-11 Years", G1399&gt;=12, "12-14 Years")</f>
        <v>12-14 Years</v>
      </c>
      <c r="J1399" s="7">
        <v>4</v>
      </c>
      <c r="K1399" t="s">
        <v>20</v>
      </c>
      <c r="L1399" s="7">
        <v>105900</v>
      </c>
      <c r="M1399" s="7">
        <v>17000</v>
      </c>
      <c r="N1399" s="7">
        <v>122900</v>
      </c>
      <c r="O1399" t="s">
        <v>57</v>
      </c>
      <c r="P1399" s="3">
        <v>41593</v>
      </c>
      <c r="Q1399" t="s">
        <v>28</v>
      </c>
    </row>
    <row r="1400" spans="1:17" x14ac:dyDescent="0.35">
      <c r="A1400" t="s">
        <v>1452</v>
      </c>
      <c r="B1400" t="s">
        <v>16</v>
      </c>
      <c r="C1400" s="7">
        <v>21</v>
      </c>
      <c r="D1400" t="s">
        <v>17</v>
      </c>
      <c r="E1400" t="s">
        <v>18</v>
      </c>
      <c r="F1400" t="s">
        <v>28</v>
      </c>
      <c r="G1400" s="9">
        <v>12.1</v>
      </c>
      <c r="H1400" s="7">
        <v>6.6</v>
      </c>
      <c r="I1400" t="str" cm="1">
        <f t="array" ref="I1400">_xlfn.IFS(G1400&lt;3, "0–2 Years", G1400&lt;6, "3–5 Years", G1400&lt;9, "6–8 Years", G1400&lt;12, "9-11 Years", G1400&gt;=12, "12-14 Years")</f>
        <v>12-14 Years</v>
      </c>
      <c r="J1400" s="7">
        <v>1</v>
      </c>
      <c r="K1400" t="s">
        <v>69</v>
      </c>
      <c r="L1400" s="7">
        <v>83400</v>
      </c>
      <c r="M1400" s="7">
        <v>4500</v>
      </c>
      <c r="N1400" s="7">
        <v>87900</v>
      </c>
      <c r="O1400" t="s">
        <v>30</v>
      </c>
      <c r="P1400" s="3">
        <v>41599</v>
      </c>
      <c r="Q1400" t="s">
        <v>28</v>
      </c>
    </row>
    <row r="1401" spans="1:17" x14ac:dyDescent="0.35">
      <c r="A1401" t="s">
        <v>1453</v>
      </c>
      <c r="B1401" t="s">
        <v>16</v>
      </c>
      <c r="C1401">
        <v>32</v>
      </c>
      <c r="D1401" t="s">
        <v>41</v>
      </c>
      <c r="E1401" t="s">
        <v>67</v>
      </c>
      <c r="F1401" t="s">
        <v>28</v>
      </c>
      <c r="G1401">
        <v>1.2</v>
      </c>
      <c r="H1401">
        <v>1.2</v>
      </c>
      <c r="I1401" t="str" cm="1">
        <f t="array" ref="I1401">_xlfn.IFS(G1401&lt;3, "0–2 Years", G1401&lt;6, "3–5 Years", G1401&lt;9, "6–8 Years", G1401&lt;12, "9-11 Years", G1401&gt;=12, "12-14 Years")</f>
        <v>0–2 Years</v>
      </c>
      <c r="J1401">
        <v>2</v>
      </c>
      <c r="K1401" t="s">
        <v>20</v>
      </c>
      <c r="L1401">
        <v>72200</v>
      </c>
      <c r="M1401">
        <v>6200</v>
      </c>
      <c r="N1401">
        <v>78400</v>
      </c>
      <c r="O1401" t="s">
        <v>21</v>
      </c>
      <c r="P1401" s="3">
        <v>45590</v>
      </c>
      <c r="Q1401" t="s">
        <v>28</v>
      </c>
    </row>
    <row r="1402" spans="1:17" x14ac:dyDescent="0.35">
      <c r="A1402" t="s">
        <v>1454</v>
      </c>
      <c r="B1402" t="s">
        <v>23</v>
      </c>
      <c r="C1402">
        <v>35</v>
      </c>
      <c r="D1402" t="s">
        <v>44</v>
      </c>
      <c r="E1402" t="s">
        <v>76</v>
      </c>
      <c r="F1402" t="s">
        <v>19</v>
      </c>
      <c r="G1402">
        <v>8.5</v>
      </c>
      <c r="H1402">
        <v>5.2</v>
      </c>
      <c r="I1402" t="str" cm="1">
        <f t="array" ref="I1402">_xlfn.IFS(G1402&lt;3, "0–2 Years", G1402&lt;6, "3–5 Years", G1402&lt;9, "6–8 Years", G1402&lt;12, "9-11 Years", G1402&gt;=12, "12-14 Years")</f>
        <v>6–8 Years</v>
      </c>
      <c r="J1402">
        <v>3</v>
      </c>
      <c r="K1402" t="s">
        <v>20</v>
      </c>
      <c r="L1402">
        <v>103800</v>
      </c>
      <c r="M1402">
        <v>10200</v>
      </c>
      <c r="N1402">
        <v>114000</v>
      </c>
      <c r="O1402" t="s">
        <v>57</v>
      </c>
      <c r="P1402" s="3">
        <v>42930</v>
      </c>
      <c r="Q1402" t="s">
        <v>19</v>
      </c>
    </row>
    <row r="1403" spans="1:17" x14ac:dyDescent="0.35">
      <c r="A1403" t="s">
        <v>1455</v>
      </c>
      <c r="B1403" t="s">
        <v>23</v>
      </c>
      <c r="C1403">
        <v>22</v>
      </c>
      <c r="D1403" t="s">
        <v>38</v>
      </c>
      <c r="E1403" t="s">
        <v>112</v>
      </c>
      <c r="F1403" t="s">
        <v>28</v>
      </c>
      <c r="G1403">
        <v>6</v>
      </c>
      <c r="H1403">
        <v>2.9</v>
      </c>
      <c r="I1403" t="str" cm="1">
        <f t="array" ref="I1403">_xlfn.IFS(G1403&lt;3, "0–2 Years", G1403&lt;6, "3–5 Years", G1403&lt;9, "6–8 Years", G1403&lt;12, "9-11 Years", G1403&gt;=12, "12-14 Years")</f>
        <v>6–8 Years</v>
      </c>
      <c r="J1403">
        <v>5</v>
      </c>
      <c r="K1403" t="s">
        <v>20</v>
      </c>
      <c r="L1403">
        <v>67900</v>
      </c>
      <c r="M1403">
        <v>4300</v>
      </c>
      <c r="N1403">
        <v>72200</v>
      </c>
      <c r="O1403" t="s">
        <v>21</v>
      </c>
      <c r="P1403" s="3">
        <v>43835</v>
      </c>
      <c r="Q1403" t="s">
        <v>28</v>
      </c>
    </row>
    <row r="1404" spans="1:17" x14ac:dyDescent="0.35">
      <c r="A1404" t="s">
        <v>1456</v>
      </c>
      <c r="B1404" t="s">
        <v>23</v>
      </c>
      <c r="C1404">
        <v>24</v>
      </c>
      <c r="D1404" t="s">
        <v>38</v>
      </c>
      <c r="E1404" t="s">
        <v>39</v>
      </c>
      <c r="F1404" t="s">
        <v>28</v>
      </c>
      <c r="G1404">
        <v>3.2</v>
      </c>
      <c r="H1404">
        <v>0.6</v>
      </c>
      <c r="I1404" t="str" cm="1">
        <f t="array" ref="I1404">_xlfn.IFS(G1404&lt;3, "0–2 Years", G1404&lt;6, "3–5 Years", G1404&lt;9, "6–8 Years", G1404&lt;12, "9-11 Years", G1404&gt;=12, "12-14 Years")</f>
        <v>3–5 Years</v>
      </c>
      <c r="J1404">
        <v>1</v>
      </c>
      <c r="K1404" t="s">
        <v>69</v>
      </c>
      <c r="L1404">
        <v>53800</v>
      </c>
      <c r="M1404">
        <v>2700</v>
      </c>
      <c r="N1404">
        <v>56500</v>
      </c>
      <c r="O1404" t="s">
        <v>25</v>
      </c>
      <c r="P1404" s="3">
        <v>44854</v>
      </c>
      <c r="Q1404" t="s">
        <v>28</v>
      </c>
    </row>
    <row r="1405" spans="1:17" x14ac:dyDescent="0.35">
      <c r="A1405" t="s">
        <v>1457</v>
      </c>
      <c r="B1405" t="s">
        <v>23</v>
      </c>
      <c r="C1405">
        <v>40</v>
      </c>
      <c r="D1405" t="s">
        <v>17</v>
      </c>
      <c r="E1405" t="s">
        <v>32</v>
      </c>
      <c r="F1405" t="s">
        <v>36</v>
      </c>
      <c r="G1405">
        <v>10.1</v>
      </c>
      <c r="H1405">
        <v>7.4</v>
      </c>
      <c r="I1405" t="str" cm="1">
        <f t="array" ref="I1405">_xlfn.IFS(G1405&lt;3, "0–2 Years", G1405&lt;6, "3–5 Years", G1405&lt;9, "6–8 Years", G1405&lt;12, "9-11 Years", G1405&gt;=12, "12-14 Years")</f>
        <v>9-11 Years</v>
      </c>
      <c r="J1405">
        <v>5</v>
      </c>
      <c r="K1405" t="s">
        <v>24</v>
      </c>
      <c r="L1405">
        <v>50900</v>
      </c>
      <c r="M1405">
        <v>2600</v>
      </c>
      <c r="N1405">
        <v>53500</v>
      </c>
      <c r="O1405" t="s">
        <v>25</v>
      </c>
      <c r="P1405" s="3">
        <v>42334</v>
      </c>
      <c r="Q1405" t="s">
        <v>36</v>
      </c>
    </row>
    <row r="1406" spans="1:17" x14ac:dyDescent="0.35">
      <c r="A1406" t="s">
        <v>1458</v>
      </c>
      <c r="B1406" t="s">
        <v>16</v>
      </c>
      <c r="C1406">
        <v>45</v>
      </c>
      <c r="D1406" t="s">
        <v>44</v>
      </c>
      <c r="E1406" t="s">
        <v>76</v>
      </c>
      <c r="F1406" t="s">
        <v>28</v>
      </c>
      <c r="G1406">
        <v>9</v>
      </c>
      <c r="H1406">
        <v>6.4</v>
      </c>
      <c r="I1406" t="str" cm="1">
        <f t="array" ref="I1406">_xlfn.IFS(G1406&lt;3, "0–2 Years", G1406&lt;6, "3–5 Years", G1406&lt;9, "6–8 Years", G1406&lt;12, "9-11 Years", G1406&gt;=12, "12-14 Years")</f>
        <v>9-11 Years</v>
      </c>
      <c r="J1406">
        <v>5</v>
      </c>
      <c r="K1406" t="s">
        <v>20</v>
      </c>
      <c r="L1406">
        <v>121900</v>
      </c>
      <c r="M1406">
        <v>12500</v>
      </c>
      <c r="N1406">
        <v>134400</v>
      </c>
      <c r="O1406" t="s">
        <v>57</v>
      </c>
      <c r="P1406" s="3">
        <v>42742</v>
      </c>
      <c r="Q1406" t="s">
        <v>28</v>
      </c>
    </row>
    <row r="1407" spans="1:17" x14ac:dyDescent="0.35">
      <c r="A1407" t="s">
        <v>1459</v>
      </c>
      <c r="B1407" t="s">
        <v>23</v>
      </c>
      <c r="C1407">
        <v>40</v>
      </c>
      <c r="D1407" t="s">
        <v>17</v>
      </c>
      <c r="E1407" t="s">
        <v>32</v>
      </c>
      <c r="F1407" t="s">
        <v>28</v>
      </c>
      <c r="G1407">
        <v>10.9</v>
      </c>
      <c r="H1407">
        <v>7.7</v>
      </c>
      <c r="I1407" t="str" cm="1">
        <f t="array" ref="I1407">_xlfn.IFS(G1407&lt;3, "0–2 Years", G1407&lt;6, "3–5 Years", G1407&lt;9, "6–8 Years", G1407&lt;12, "9-11 Years", G1407&gt;=12, "12-14 Years")</f>
        <v>9-11 Years</v>
      </c>
      <c r="J1407">
        <v>3</v>
      </c>
      <c r="K1407" t="s">
        <v>20</v>
      </c>
      <c r="L1407">
        <v>68200</v>
      </c>
      <c r="M1407">
        <v>3500</v>
      </c>
      <c r="N1407">
        <v>71700</v>
      </c>
      <c r="O1407" t="s">
        <v>21</v>
      </c>
      <c r="P1407" s="3">
        <v>42054</v>
      </c>
      <c r="Q1407" t="s">
        <v>28</v>
      </c>
    </row>
    <row r="1408" spans="1:17" x14ac:dyDescent="0.35">
      <c r="A1408" t="s">
        <v>1460</v>
      </c>
      <c r="B1408" t="s">
        <v>23</v>
      </c>
      <c r="C1408">
        <v>21</v>
      </c>
      <c r="D1408" t="s">
        <v>34</v>
      </c>
      <c r="E1408" t="s">
        <v>47</v>
      </c>
      <c r="F1408" t="s">
        <v>28</v>
      </c>
      <c r="G1408">
        <v>1.2</v>
      </c>
      <c r="H1408">
        <v>1.2</v>
      </c>
      <c r="I1408" t="str" cm="1">
        <f t="array" ref="I1408">_xlfn.IFS(G1408&lt;3, "0–2 Years", G1408&lt;6, "3–5 Years", G1408&lt;9, "6–8 Years", G1408&lt;12, "9-11 Years", G1408&gt;=12, "12-14 Years")</f>
        <v>0–2 Years</v>
      </c>
      <c r="J1408">
        <v>3</v>
      </c>
      <c r="K1408" t="s">
        <v>20</v>
      </c>
      <c r="L1408">
        <v>64700</v>
      </c>
      <c r="M1408">
        <v>6500</v>
      </c>
      <c r="N1408">
        <v>71200</v>
      </c>
      <c r="O1408" t="s">
        <v>25</v>
      </c>
      <c r="P1408" s="3">
        <v>45573</v>
      </c>
      <c r="Q1408" t="s">
        <v>28</v>
      </c>
    </row>
    <row r="1409" spans="1:17" x14ac:dyDescent="0.35">
      <c r="A1409" t="s">
        <v>1461</v>
      </c>
      <c r="B1409" t="s">
        <v>16</v>
      </c>
      <c r="C1409">
        <v>35</v>
      </c>
      <c r="D1409" t="s">
        <v>41</v>
      </c>
      <c r="E1409" t="s">
        <v>42</v>
      </c>
      <c r="F1409" t="s">
        <v>28</v>
      </c>
      <c r="G1409">
        <v>9.4</v>
      </c>
      <c r="H1409">
        <v>6.6</v>
      </c>
      <c r="I1409" t="str" cm="1">
        <f t="array" ref="I1409">_xlfn.IFS(G1409&lt;3, "0–2 Years", G1409&lt;6, "3–5 Years", G1409&lt;9, "6–8 Years", G1409&lt;12, "9-11 Years", G1409&gt;=12, "12-14 Years")</f>
        <v>9-11 Years</v>
      </c>
      <c r="J1409">
        <v>3</v>
      </c>
      <c r="K1409" t="s">
        <v>24</v>
      </c>
      <c r="L1409">
        <v>49100</v>
      </c>
      <c r="M1409">
        <v>3600</v>
      </c>
      <c r="N1409">
        <v>52700</v>
      </c>
      <c r="O1409" t="s">
        <v>65</v>
      </c>
      <c r="P1409" s="3">
        <v>42581</v>
      </c>
      <c r="Q1409" t="s">
        <v>28</v>
      </c>
    </row>
    <row r="1410" spans="1:17" x14ac:dyDescent="0.35">
      <c r="A1410" t="s">
        <v>1462</v>
      </c>
      <c r="B1410" t="s">
        <v>16</v>
      </c>
      <c r="C1410">
        <v>23</v>
      </c>
      <c r="D1410" t="s">
        <v>41</v>
      </c>
      <c r="E1410" t="s">
        <v>73</v>
      </c>
      <c r="F1410" t="s">
        <v>36</v>
      </c>
      <c r="G1410">
        <v>3</v>
      </c>
      <c r="H1410">
        <v>1.3</v>
      </c>
      <c r="I1410" t="str" cm="1">
        <f t="array" ref="I1410">_xlfn.IFS(G1410&lt;3, "0–2 Years", G1410&lt;6, "3–5 Years", G1410&lt;9, "6–8 Years", G1410&lt;12, "9-11 Years", G1410&gt;=12, "12-14 Years")</f>
        <v>3–5 Years</v>
      </c>
      <c r="J1410">
        <v>3</v>
      </c>
      <c r="K1410" t="s">
        <v>20</v>
      </c>
      <c r="L1410">
        <v>113600</v>
      </c>
      <c r="M1410">
        <v>6900</v>
      </c>
      <c r="N1410">
        <v>120500</v>
      </c>
      <c r="O1410" t="s">
        <v>57</v>
      </c>
      <c r="P1410" s="3">
        <v>44940</v>
      </c>
      <c r="Q1410" t="s">
        <v>36</v>
      </c>
    </row>
    <row r="1411" spans="1:17" x14ac:dyDescent="0.35">
      <c r="A1411" t="s">
        <v>1463</v>
      </c>
      <c r="B1411" t="s">
        <v>16</v>
      </c>
      <c r="C1411">
        <v>43</v>
      </c>
      <c r="D1411" t="s">
        <v>38</v>
      </c>
      <c r="E1411" t="s">
        <v>112</v>
      </c>
      <c r="F1411" t="s">
        <v>28</v>
      </c>
      <c r="G1411">
        <v>5.6</v>
      </c>
      <c r="H1411">
        <v>3.2</v>
      </c>
      <c r="I1411" t="str" cm="1">
        <f t="array" ref="I1411">_xlfn.IFS(G1411&lt;3, "0–2 Years", G1411&lt;6, "3–5 Years", G1411&lt;9, "6–8 Years", G1411&lt;12, "9-11 Years", G1411&gt;=12, "12-14 Years")</f>
        <v>3–5 Years</v>
      </c>
      <c r="J1411">
        <v>3</v>
      </c>
      <c r="K1411" t="s">
        <v>20</v>
      </c>
      <c r="L1411">
        <v>56400</v>
      </c>
      <c r="M1411">
        <v>5400</v>
      </c>
      <c r="N1411">
        <v>61800</v>
      </c>
      <c r="O1411" t="s">
        <v>25</v>
      </c>
      <c r="P1411" s="3">
        <v>43964</v>
      </c>
      <c r="Q1411" t="s">
        <v>28</v>
      </c>
    </row>
    <row r="1412" spans="1:17" x14ac:dyDescent="0.35">
      <c r="A1412" t="s">
        <v>1464</v>
      </c>
      <c r="B1412" t="s">
        <v>23</v>
      </c>
      <c r="C1412">
        <v>38</v>
      </c>
      <c r="D1412" t="s">
        <v>44</v>
      </c>
      <c r="E1412" t="s">
        <v>51</v>
      </c>
      <c r="F1412" t="s">
        <v>28</v>
      </c>
      <c r="G1412">
        <v>2.4</v>
      </c>
      <c r="H1412">
        <v>1.6</v>
      </c>
      <c r="I1412" t="str" cm="1">
        <f t="array" ref="I1412">_xlfn.IFS(G1412&lt;3, "0–2 Years", G1412&lt;6, "3–5 Years", G1412&lt;9, "6–8 Years", G1412&lt;12, "9-11 Years", G1412&gt;=12, "12-14 Years")</f>
        <v>0–2 Years</v>
      </c>
      <c r="J1412">
        <v>4</v>
      </c>
      <c r="K1412" t="s">
        <v>20</v>
      </c>
      <c r="L1412">
        <v>81900</v>
      </c>
      <c r="M1412">
        <v>10400</v>
      </c>
      <c r="N1412">
        <v>92300</v>
      </c>
      <c r="O1412" t="s">
        <v>30</v>
      </c>
      <c r="P1412" s="3">
        <v>45148</v>
      </c>
      <c r="Q1412" t="s">
        <v>28</v>
      </c>
    </row>
    <row r="1413" spans="1:17" x14ac:dyDescent="0.35">
      <c r="A1413" t="s">
        <v>1465</v>
      </c>
      <c r="B1413" t="s">
        <v>23</v>
      </c>
      <c r="C1413">
        <v>29</v>
      </c>
      <c r="D1413" t="s">
        <v>55</v>
      </c>
      <c r="E1413" t="s">
        <v>92</v>
      </c>
      <c r="F1413" t="s">
        <v>28</v>
      </c>
      <c r="G1413">
        <v>11.3</v>
      </c>
      <c r="H1413">
        <v>8.5</v>
      </c>
      <c r="I1413" t="str" cm="1">
        <f t="array" ref="I1413">_xlfn.IFS(G1413&lt;3, "0–2 Years", G1413&lt;6, "3–5 Years", G1413&lt;9, "6–8 Years", G1413&lt;12, "9-11 Years", G1413&gt;=12, "12-14 Years")</f>
        <v>9-11 Years</v>
      </c>
      <c r="J1413">
        <v>3</v>
      </c>
      <c r="K1413" t="s">
        <v>20</v>
      </c>
      <c r="L1413">
        <v>100800</v>
      </c>
      <c r="M1413">
        <v>10300</v>
      </c>
      <c r="N1413">
        <v>111100</v>
      </c>
      <c r="O1413" t="s">
        <v>57</v>
      </c>
      <c r="P1413" s="3">
        <v>41902</v>
      </c>
      <c r="Q1413" t="s">
        <v>28</v>
      </c>
    </row>
    <row r="1414" spans="1:17" x14ac:dyDescent="0.35">
      <c r="A1414" t="s">
        <v>1466</v>
      </c>
      <c r="B1414" t="s">
        <v>23</v>
      </c>
      <c r="C1414">
        <v>21</v>
      </c>
      <c r="D1414" t="s">
        <v>38</v>
      </c>
      <c r="E1414" t="s">
        <v>39</v>
      </c>
      <c r="F1414" t="s">
        <v>36</v>
      </c>
      <c r="G1414">
        <v>8.8000000000000007</v>
      </c>
      <c r="H1414">
        <v>6.1</v>
      </c>
      <c r="I1414" t="str" cm="1">
        <f t="array" ref="I1414">_xlfn.IFS(G1414&lt;3, "0–2 Years", G1414&lt;6, "3–5 Years", G1414&lt;9, "6–8 Years", G1414&lt;12, "9-11 Years", G1414&gt;=12, "12-14 Years")</f>
        <v>6–8 Years</v>
      </c>
      <c r="J1414">
        <v>3</v>
      </c>
      <c r="K1414" t="s">
        <v>24</v>
      </c>
      <c r="L1414">
        <v>48800</v>
      </c>
      <c r="M1414">
        <v>3600</v>
      </c>
      <c r="N1414">
        <v>52400</v>
      </c>
      <c r="O1414" t="s">
        <v>65</v>
      </c>
      <c r="P1414" s="3">
        <v>42817</v>
      </c>
      <c r="Q1414" t="s">
        <v>36</v>
      </c>
    </row>
    <row r="1415" spans="1:17" x14ac:dyDescent="0.35">
      <c r="A1415" t="s">
        <v>1467</v>
      </c>
      <c r="B1415" t="s">
        <v>16</v>
      </c>
      <c r="C1415">
        <v>30</v>
      </c>
      <c r="D1415" t="s">
        <v>17</v>
      </c>
      <c r="E1415" t="s">
        <v>18</v>
      </c>
      <c r="F1415" t="s">
        <v>19</v>
      </c>
      <c r="G1415">
        <v>1.2</v>
      </c>
      <c r="H1415">
        <v>0.5</v>
      </c>
      <c r="I1415" t="str" cm="1">
        <f t="array" ref="I1415">_xlfn.IFS(G1415&lt;3, "0–2 Years", G1415&lt;6, "3–5 Years", G1415&lt;9, "6–8 Years", G1415&lt;12, "9-11 Years", G1415&gt;=12, "12-14 Years")</f>
        <v>0–2 Years</v>
      </c>
      <c r="J1415">
        <v>3</v>
      </c>
      <c r="K1415" t="s">
        <v>69</v>
      </c>
      <c r="L1415">
        <v>73800</v>
      </c>
      <c r="M1415">
        <v>8600</v>
      </c>
      <c r="N1415">
        <v>82400</v>
      </c>
      <c r="O1415" t="s">
        <v>21</v>
      </c>
      <c r="P1415" s="3">
        <v>45576</v>
      </c>
      <c r="Q1415" t="s">
        <v>19</v>
      </c>
    </row>
    <row r="1416" spans="1:17" x14ac:dyDescent="0.35">
      <c r="A1416" t="s">
        <v>1468</v>
      </c>
      <c r="B1416" t="s">
        <v>23</v>
      </c>
      <c r="C1416">
        <v>36</v>
      </c>
      <c r="D1416" t="s">
        <v>55</v>
      </c>
      <c r="E1416" t="s">
        <v>92</v>
      </c>
      <c r="F1416" t="s">
        <v>28</v>
      </c>
      <c r="G1416">
        <v>6.2</v>
      </c>
      <c r="H1416">
        <v>2.1</v>
      </c>
      <c r="I1416" t="str" cm="1">
        <f t="array" ref="I1416">_xlfn.IFS(G1416&lt;3, "0–2 Years", G1416&lt;6, "3–5 Years", G1416&lt;9, "6–8 Years", G1416&lt;12, "9-11 Years", G1416&gt;=12, "12-14 Years")</f>
        <v>6–8 Years</v>
      </c>
      <c r="J1416">
        <v>5</v>
      </c>
      <c r="K1416" t="s">
        <v>20</v>
      </c>
      <c r="L1416">
        <v>98900</v>
      </c>
      <c r="M1416">
        <v>20400</v>
      </c>
      <c r="N1416">
        <v>119300</v>
      </c>
      <c r="O1416" t="s">
        <v>30</v>
      </c>
      <c r="P1416" s="3">
        <v>43761</v>
      </c>
      <c r="Q1416" t="s">
        <v>28</v>
      </c>
    </row>
    <row r="1417" spans="1:17" x14ac:dyDescent="0.35">
      <c r="A1417" t="s">
        <v>1469</v>
      </c>
      <c r="B1417" t="s">
        <v>23</v>
      </c>
      <c r="C1417">
        <v>34</v>
      </c>
      <c r="D1417" t="s">
        <v>44</v>
      </c>
      <c r="E1417" t="s">
        <v>81</v>
      </c>
      <c r="F1417" t="s">
        <v>28</v>
      </c>
      <c r="G1417">
        <v>2.1</v>
      </c>
      <c r="H1417">
        <v>0.3</v>
      </c>
      <c r="I1417" t="str" cm="1">
        <f t="array" ref="I1417">_xlfn.IFS(G1417&lt;3, "0–2 Years", G1417&lt;6, "3–5 Years", G1417&lt;9, "6–8 Years", G1417&lt;12, "9-11 Years", G1417&gt;=12, "12-14 Years")</f>
        <v>0–2 Years</v>
      </c>
      <c r="J1417">
        <v>3</v>
      </c>
      <c r="K1417" t="s">
        <v>20</v>
      </c>
      <c r="L1417">
        <v>90100</v>
      </c>
      <c r="M1417">
        <v>12600</v>
      </c>
      <c r="N1417">
        <v>102700</v>
      </c>
      <c r="O1417" t="s">
        <v>30</v>
      </c>
      <c r="P1417" s="3">
        <v>45250</v>
      </c>
      <c r="Q1417" t="s">
        <v>28</v>
      </c>
    </row>
    <row r="1418" spans="1:17" x14ac:dyDescent="0.35">
      <c r="A1418" t="s">
        <v>1470</v>
      </c>
      <c r="B1418" t="s">
        <v>23</v>
      </c>
      <c r="C1418">
        <v>29</v>
      </c>
      <c r="D1418" t="s">
        <v>17</v>
      </c>
      <c r="E1418" t="s">
        <v>27</v>
      </c>
      <c r="F1418" t="s">
        <v>28</v>
      </c>
      <c r="G1418">
        <v>2.5</v>
      </c>
      <c r="H1418">
        <v>0.7</v>
      </c>
      <c r="I1418" t="str" cm="1">
        <f t="array" ref="I1418">_xlfn.IFS(G1418&lt;3, "0–2 Years", G1418&lt;6, "3–5 Years", G1418&lt;9, "6–8 Years", G1418&lt;12, "9-11 Years", G1418&gt;=12, "12-14 Years")</f>
        <v>0–2 Years</v>
      </c>
      <c r="J1418">
        <v>5</v>
      </c>
      <c r="K1418" t="s">
        <v>20</v>
      </c>
      <c r="L1418">
        <v>63500</v>
      </c>
      <c r="M1418">
        <v>4500</v>
      </c>
      <c r="N1418">
        <v>68000</v>
      </c>
      <c r="O1418" t="s">
        <v>25</v>
      </c>
      <c r="P1418" s="3">
        <v>45124</v>
      </c>
      <c r="Q1418" t="s">
        <v>28</v>
      </c>
    </row>
    <row r="1419" spans="1:17" x14ac:dyDescent="0.35">
      <c r="A1419" t="s">
        <v>1471</v>
      </c>
      <c r="B1419" t="s">
        <v>23</v>
      </c>
      <c r="C1419">
        <v>34</v>
      </c>
      <c r="D1419" t="s">
        <v>38</v>
      </c>
      <c r="E1419" t="s">
        <v>39</v>
      </c>
      <c r="F1419" t="s">
        <v>28</v>
      </c>
      <c r="G1419">
        <v>3.8</v>
      </c>
      <c r="H1419">
        <v>3.8</v>
      </c>
      <c r="I1419" t="str" cm="1">
        <f t="array" ref="I1419">_xlfn.IFS(G1419&lt;3, "0–2 Years", G1419&lt;6, "3–5 Years", G1419&lt;9, "6–8 Years", G1419&lt;12, "9-11 Years", G1419&gt;=12, "12-14 Years")</f>
        <v>3–5 Years</v>
      </c>
      <c r="J1419">
        <v>3</v>
      </c>
      <c r="K1419" t="s">
        <v>20</v>
      </c>
      <c r="L1419">
        <v>71400</v>
      </c>
      <c r="M1419">
        <v>4200</v>
      </c>
      <c r="N1419">
        <v>75600</v>
      </c>
      <c r="O1419" t="s">
        <v>21</v>
      </c>
      <c r="P1419" s="3">
        <v>44634</v>
      </c>
      <c r="Q1419" t="s">
        <v>28</v>
      </c>
    </row>
    <row r="1420" spans="1:17" x14ac:dyDescent="0.35">
      <c r="A1420" t="s">
        <v>1472</v>
      </c>
      <c r="B1420" t="s">
        <v>16</v>
      </c>
      <c r="C1420">
        <v>29</v>
      </c>
      <c r="D1420" t="s">
        <v>41</v>
      </c>
      <c r="E1420" t="s">
        <v>67</v>
      </c>
      <c r="F1420" t="s">
        <v>36</v>
      </c>
      <c r="G1420">
        <v>2.9</v>
      </c>
      <c r="H1420">
        <v>1</v>
      </c>
      <c r="I1420" t="str" cm="1">
        <f t="array" ref="I1420">_xlfn.IFS(G1420&lt;3, "0–2 Years", G1420&lt;6, "3–5 Years", G1420&lt;9, "6–8 Years", G1420&lt;12, "9-11 Years", G1420&gt;=12, "12-14 Years")</f>
        <v>0–2 Years</v>
      </c>
      <c r="J1420">
        <v>4</v>
      </c>
      <c r="K1420" t="s">
        <v>20</v>
      </c>
      <c r="L1420">
        <v>76300</v>
      </c>
      <c r="M1420">
        <v>3300</v>
      </c>
      <c r="N1420">
        <v>79600</v>
      </c>
      <c r="O1420" t="s">
        <v>21</v>
      </c>
      <c r="P1420" s="3">
        <v>44952</v>
      </c>
      <c r="Q1420" t="s">
        <v>36</v>
      </c>
    </row>
    <row r="1421" spans="1:17" x14ac:dyDescent="0.35">
      <c r="A1421" t="s">
        <v>1473</v>
      </c>
      <c r="B1421" t="s">
        <v>23</v>
      </c>
      <c r="C1421" s="7">
        <v>36</v>
      </c>
      <c r="D1421" t="s">
        <v>38</v>
      </c>
      <c r="E1421" t="s">
        <v>112</v>
      </c>
      <c r="F1421" t="s">
        <v>28</v>
      </c>
      <c r="G1421" s="9">
        <v>13.5</v>
      </c>
      <c r="H1421" s="7">
        <v>9.6</v>
      </c>
      <c r="I1421" t="str" cm="1">
        <f t="array" ref="I1421">_xlfn.IFS(G1421&lt;3, "0–2 Years", G1421&lt;6, "3–5 Years", G1421&lt;9, "6–8 Years", G1421&lt;12, "9-11 Years", G1421&gt;=12, "12-14 Years")</f>
        <v>12-14 Years</v>
      </c>
      <c r="J1421" s="7">
        <v>4</v>
      </c>
      <c r="K1421" t="s">
        <v>20</v>
      </c>
      <c r="L1421" s="7">
        <v>86900</v>
      </c>
      <c r="M1421" s="7">
        <v>4700</v>
      </c>
      <c r="N1421" s="7">
        <v>91600</v>
      </c>
      <c r="O1421" t="s">
        <v>30</v>
      </c>
      <c r="P1421" s="3">
        <v>41074</v>
      </c>
      <c r="Q1421" t="s">
        <v>28</v>
      </c>
    </row>
    <row r="1422" spans="1:17" x14ac:dyDescent="0.35">
      <c r="A1422" t="s">
        <v>1474</v>
      </c>
      <c r="B1422" t="s">
        <v>16</v>
      </c>
      <c r="C1422">
        <v>27</v>
      </c>
      <c r="D1422" t="s">
        <v>44</v>
      </c>
      <c r="E1422" t="s">
        <v>45</v>
      </c>
      <c r="F1422" t="s">
        <v>36</v>
      </c>
      <c r="G1422">
        <v>4.7</v>
      </c>
      <c r="H1422">
        <v>4.5</v>
      </c>
      <c r="I1422" t="str" cm="1">
        <f t="array" ref="I1422">_xlfn.IFS(G1422&lt;3, "0–2 Years", G1422&lt;6, "3–5 Years", G1422&lt;9, "6–8 Years", G1422&lt;12, "9-11 Years", G1422&gt;=12, "12-14 Years")</f>
        <v>3–5 Years</v>
      </c>
      <c r="J1422">
        <v>3</v>
      </c>
      <c r="K1422" t="s">
        <v>20</v>
      </c>
      <c r="L1422">
        <v>66800</v>
      </c>
      <c r="M1422">
        <v>5500</v>
      </c>
      <c r="N1422">
        <v>72300</v>
      </c>
      <c r="O1422" t="s">
        <v>21</v>
      </c>
      <c r="P1422" s="3">
        <v>44309</v>
      </c>
      <c r="Q1422" t="s">
        <v>36</v>
      </c>
    </row>
    <row r="1423" spans="1:17" x14ac:dyDescent="0.35">
      <c r="A1423" t="s">
        <v>1475</v>
      </c>
      <c r="B1423" t="s">
        <v>23</v>
      </c>
      <c r="C1423">
        <v>38</v>
      </c>
      <c r="D1423" t="s">
        <v>17</v>
      </c>
      <c r="E1423" t="s">
        <v>27</v>
      </c>
      <c r="F1423" t="s">
        <v>28</v>
      </c>
      <c r="G1423">
        <v>6.5</v>
      </c>
      <c r="H1423">
        <v>5.7</v>
      </c>
      <c r="I1423" t="str" cm="1">
        <f t="array" ref="I1423">_xlfn.IFS(G1423&lt;3, "0–2 Years", G1423&lt;6, "3–5 Years", G1423&lt;9, "6–8 Years", G1423&lt;12, "9-11 Years", G1423&gt;=12, "12-14 Years")</f>
        <v>6–8 Years</v>
      </c>
      <c r="J1423">
        <v>4</v>
      </c>
      <c r="K1423" t="s">
        <v>20</v>
      </c>
      <c r="L1423">
        <v>76400</v>
      </c>
      <c r="M1423">
        <v>7200</v>
      </c>
      <c r="N1423">
        <v>83600</v>
      </c>
      <c r="O1423" t="s">
        <v>21</v>
      </c>
      <c r="P1423" s="3">
        <v>43639</v>
      </c>
      <c r="Q1423" t="s">
        <v>28</v>
      </c>
    </row>
    <row r="1424" spans="1:17" x14ac:dyDescent="0.35">
      <c r="A1424" t="s">
        <v>1476</v>
      </c>
      <c r="B1424" t="s">
        <v>23</v>
      </c>
      <c r="C1424">
        <v>33</v>
      </c>
      <c r="D1424" t="s">
        <v>44</v>
      </c>
      <c r="E1424" t="s">
        <v>45</v>
      </c>
      <c r="F1424" t="s">
        <v>19</v>
      </c>
      <c r="G1424">
        <v>8.1999999999999993</v>
      </c>
      <c r="H1424">
        <v>3.5</v>
      </c>
      <c r="I1424" t="str" cm="1">
        <f t="array" ref="I1424">_xlfn.IFS(G1424&lt;3, "0–2 Years", G1424&lt;6, "3–5 Years", G1424&lt;9, "6–8 Years", G1424&lt;12, "9-11 Years", G1424&gt;=12, "12-14 Years")</f>
        <v>6–8 Years</v>
      </c>
      <c r="J1424">
        <v>2</v>
      </c>
      <c r="K1424" t="s">
        <v>20</v>
      </c>
      <c r="L1424">
        <v>67800</v>
      </c>
      <c r="M1424">
        <v>5200</v>
      </c>
      <c r="N1424">
        <v>73000</v>
      </c>
      <c r="O1424" t="s">
        <v>21</v>
      </c>
      <c r="P1424" s="3">
        <v>43034</v>
      </c>
      <c r="Q1424" t="s">
        <v>19</v>
      </c>
    </row>
    <row r="1425" spans="1:17" x14ac:dyDescent="0.35">
      <c r="A1425" t="s">
        <v>1477</v>
      </c>
      <c r="B1425" t="s">
        <v>23</v>
      </c>
      <c r="C1425">
        <v>40</v>
      </c>
      <c r="D1425" t="s">
        <v>34</v>
      </c>
      <c r="E1425" t="s">
        <v>35</v>
      </c>
      <c r="F1425" t="s">
        <v>28</v>
      </c>
      <c r="G1425">
        <v>10.8</v>
      </c>
      <c r="H1425">
        <v>6.3</v>
      </c>
      <c r="I1425" t="str" cm="1">
        <f t="array" ref="I1425">_xlfn.IFS(G1425&lt;3, "0–2 Years", G1425&lt;6, "3–5 Years", G1425&lt;9, "6–8 Years", G1425&lt;12, "9-11 Years", G1425&gt;=12, "12-14 Years")</f>
        <v>9-11 Years</v>
      </c>
      <c r="J1425">
        <v>4</v>
      </c>
      <c r="K1425" t="s">
        <v>20</v>
      </c>
      <c r="L1425">
        <v>87800</v>
      </c>
      <c r="M1425">
        <v>5400</v>
      </c>
      <c r="N1425">
        <v>93200</v>
      </c>
      <c r="O1425" t="s">
        <v>30</v>
      </c>
      <c r="P1425" s="3">
        <v>42093</v>
      </c>
      <c r="Q1425" t="s">
        <v>28</v>
      </c>
    </row>
    <row r="1426" spans="1:17" x14ac:dyDescent="0.35">
      <c r="A1426" t="s">
        <v>1478</v>
      </c>
      <c r="B1426" t="s">
        <v>23</v>
      </c>
      <c r="C1426" s="7">
        <v>52</v>
      </c>
      <c r="D1426" t="s">
        <v>44</v>
      </c>
      <c r="E1426" t="s">
        <v>81</v>
      </c>
      <c r="F1426" t="s">
        <v>28</v>
      </c>
      <c r="G1426" s="9">
        <v>13.3</v>
      </c>
      <c r="H1426" s="7">
        <v>8.1</v>
      </c>
      <c r="I1426" t="str" cm="1">
        <f t="array" ref="I1426">_xlfn.IFS(G1426&lt;3, "0–2 Years", G1426&lt;6, "3–5 Years", G1426&lt;9, "6–8 Years", G1426&lt;12, "9-11 Years", G1426&gt;=12, "12-14 Years")</f>
        <v>12-14 Years</v>
      </c>
      <c r="J1426" s="7">
        <v>2</v>
      </c>
      <c r="K1426" t="s">
        <v>20</v>
      </c>
      <c r="L1426" s="7">
        <v>92600</v>
      </c>
      <c r="M1426" s="7">
        <v>7600</v>
      </c>
      <c r="N1426" s="7">
        <v>100200</v>
      </c>
      <c r="O1426" t="s">
        <v>30</v>
      </c>
      <c r="P1426" s="3">
        <v>41147</v>
      </c>
      <c r="Q1426" t="s">
        <v>28</v>
      </c>
    </row>
    <row r="1427" spans="1:17" x14ac:dyDescent="0.35">
      <c r="A1427" t="s">
        <v>1479</v>
      </c>
      <c r="B1427" t="s">
        <v>23</v>
      </c>
      <c r="C1427">
        <v>46</v>
      </c>
      <c r="D1427" t="s">
        <v>17</v>
      </c>
      <c r="E1427" t="s">
        <v>27</v>
      </c>
      <c r="F1427" t="s">
        <v>36</v>
      </c>
      <c r="G1427">
        <v>7.2</v>
      </c>
      <c r="H1427">
        <v>3</v>
      </c>
      <c r="I1427" t="str" cm="1">
        <f t="array" ref="I1427">_xlfn.IFS(G1427&lt;3, "0–2 Years", G1427&lt;6, "3–5 Years", G1427&lt;9, "6–8 Years", G1427&lt;12, "9-11 Years", G1427&gt;=12, "12-14 Years")</f>
        <v>6–8 Years</v>
      </c>
      <c r="J1427">
        <v>3</v>
      </c>
      <c r="K1427" t="s">
        <v>20</v>
      </c>
      <c r="L1427">
        <v>72400</v>
      </c>
      <c r="M1427">
        <v>5200</v>
      </c>
      <c r="N1427">
        <v>77600</v>
      </c>
      <c r="O1427" t="s">
        <v>21</v>
      </c>
      <c r="P1427" s="3">
        <v>43393</v>
      </c>
      <c r="Q1427" t="s">
        <v>36</v>
      </c>
    </row>
    <row r="1428" spans="1:17" x14ac:dyDescent="0.35">
      <c r="A1428" t="s">
        <v>1480</v>
      </c>
      <c r="B1428" t="s">
        <v>23</v>
      </c>
      <c r="C1428">
        <v>36</v>
      </c>
      <c r="D1428" t="s">
        <v>44</v>
      </c>
      <c r="E1428" t="s">
        <v>45</v>
      </c>
      <c r="F1428" t="s">
        <v>28</v>
      </c>
      <c r="G1428">
        <v>8.9</v>
      </c>
      <c r="H1428">
        <v>3</v>
      </c>
      <c r="I1428" t="str" cm="1">
        <f t="array" ref="I1428">_xlfn.IFS(G1428&lt;3, "0–2 Years", G1428&lt;6, "3–5 Years", G1428&lt;9, "6–8 Years", G1428&lt;12, "9-11 Years", G1428&gt;=12, "12-14 Years")</f>
        <v>6–8 Years</v>
      </c>
      <c r="J1428">
        <v>4</v>
      </c>
      <c r="K1428" t="s">
        <v>20</v>
      </c>
      <c r="L1428">
        <v>78900</v>
      </c>
      <c r="M1428">
        <v>9100</v>
      </c>
      <c r="N1428">
        <v>88000</v>
      </c>
      <c r="O1428" t="s">
        <v>21</v>
      </c>
      <c r="P1428" s="3">
        <v>42769</v>
      </c>
      <c r="Q1428" t="s">
        <v>28</v>
      </c>
    </row>
    <row r="1429" spans="1:17" x14ac:dyDescent="0.35">
      <c r="A1429" t="s">
        <v>1481</v>
      </c>
      <c r="B1429" t="s">
        <v>16</v>
      </c>
      <c r="C1429">
        <v>37</v>
      </c>
      <c r="D1429" t="s">
        <v>55</v>
      </c>
      <c r="E1429" t="s">
        <v>92</v>
      </c>
      <c r="F1429" t="s">
        <v>28</v>
      </c>
      <c r="G1429">
        <v>1</v>
      </c>
      <c r="H1429">
        <v>1</v>
      </c>
      <c r="I1429" t="str" cm="1">
        <f t="array" ref="I1429">_xlfn.IFS(G1429&lt;3, "0–2 Years", G1429&lt;6, "3–5 Years", G1429&lt;9, "6–8 Years", G1429&lt;12, "9-11 Years", G1429&gt;=12, "12-14 Years")</f>
        <v>0–2 Years</v>
      </c>
      <c r="J1429">
        <v>4</v>
      </c>
      <c r="K1429" t="s">
        <v>20</v>
      </c>
      <c r="L1429">
        <v>94100</v>
      </c>
      <c r="M1429">
        <v>18500</v>
      </c>
      <c r="N1429">
        <v>112600</v>
      </c>
      <c r="O1429" t="s">
        <v>30</v>
      </c>
      <c r="P1429" s="3">
        <v>45643</v>
      </c>
      <c r="Q1429" t="s">
        <v>28</v>
      </c>
    </row>
    <row r="1430" spans="1:17" x14ac:dyDescent="0.35">
      <c r="A1430" t="s">
        <v>1482</v>
      </c>
      <c r="B1430" t="s">
        <v>23</v>
      </c>
      <c r="C1430">
        <v>31</v>
      </c>
      <c r="D1430" t="s">
        <v>41</v>
      </c>
      <c r="E1430" t="s">
        <v>67</v>
      </c>
      <c r="F1430" t="s">
        <v>28</v>
      </c>
      <c r="G1430">
        <v>9.1999999999999993</v>
      </c>
      <c r="H1430">
        <v>8.6</v>
      </c>
      <c r="I1430" t="str" cm="1">
        <f t="array" ref="I1430">_xlfn.IFS(G1430&lt;3, "0–2 Years", G1430&lt;6, "3–5 Years", G1430&lt;9, "6–8 Years", G1430&lt;12, "9-11 Years", G1430&gt;=12, "12-14 Years")</f>
        <v>9-11 Years</v>
      </c>
      <c r="J1430">
        <v>4</v>
      </c>
      <c r="K1430" t="s">
        <v>20</v>
      </c>
      <c r="L1430">
        <v>77000</v>
      </c>
      <c r="M1430">
        <v>6100</v>
      </c>
      <c r="N1430">
        <v>83100</v>
      </c>
      <c r="O1430" t="s">
        <v>21</v>
      </c>
      <c r="P1430" s="3">
        <v>42675</v>
      </c>
      <c r="Q1430" t="s">
        <v>28</v>
      </c>
    </row>
    <row r="1431" spans="1:17" x14ac:dyDescent="0.35">
      <c r="A1431" t="s">
        <v>1483</v>
      </c>
      <c r="B1431" t="s">
        <v>23</v>
      </c>
      <c r="C1431" s="7">
        <v>42</v>
      </c>
      <c r="D1431" t="s">
        <v>44</v>
      </c>
      <c r="E1431" t="s">
        <v>51</v>
      </c>
      <c r="F1431" t="s">
        <v>28</v>
      </c>
      <c r="G1431" s="9">
        <v>12.4</v>
      </c>
      <c r="H1431" s="7">
        <v>4.7</v>
      </c>
      <c r="I1431" t="str" cm="1">
        <f t="array" ref="I1431">_xlfn.IFS(G1431&lt;3, "0–2 Years", G1431&lt;6, "3–5 Years", G1431&lt;9, "6–8 Years", G1431&lt;12, "9-11 Years", G1431&gt;=12, "12-14 Years")</f>
        <v>12-14 Years</v>
      </c>
      <c r="J1431" s="7">
        <v>3</v>
      </c>
      <c r="K1431" t="s">
        <v>20</v>
      </c>
      <c r="L1431" s="7">
        <v>80000</v>
      </c>
      <c r="M1431" s="7">
        <v>5200</v>
      </c>
      <c r="N1431" s="7">
        <v>85200</v>
      </c>
      <c r="O1431" t="s">
        <v>30</v>
      </c>
      <c r="P1431" s="3">
        <v>41496</v>
      </c>
      <c r="Q1431" t="s">
        <v>28</v>
      </c>
    </row>
    <row r="1432" spans="1:17" x14ac:dyDescent="0.35">
      <c r="A1432" t="s">
        <v>1484</v>
      </c>
      <c r="B1432" t="s">
        <v>16</v>
      </c>
      <c r="C1432">
        <v>30</v>
      </c>
      <c r="D1432" t="s">
        <v>41</v>
      </c>
      <c r="E1432" t="s">
        <v>73</v>
      </c>
      <c r="F1432" t="s">
        <v>36</v>
      </c>
      <c r="G1432">
        <v>6.8</v>
      </c>
      <c r="H1432">
        <v>3.7</v>
      </c>
      <c r="I1432" t="str" cm="1">
        <f t="array" ref="I1432">_xlfn.IFS(G1432&lt;3, "0–2 Years", G1432&lt;6, "3–5 Years", G1432&lt;9, "6–8 Years", G1432&lt;12, "9-11 Years", G1432&gt;=12, "12-14 Years")</f>
        <v>6–8 Years</v>
      </c>
      <c r="J1432">
        <v>4</v>
      </c>
      <c r="K1432" t="s">
        <v>69</v>
      </c>
      <c r="L1432">
        <v>91400</v>
      </c>
      <c r="M1432">
        <v>7500</v>
      </c>
      <c r="N1432">
        <v>98900</v>
      </c>
      <c r="O1432" t="s">
        <v>30</v>
      </c>
      <c r="P1432" s="3">
        <v>43524</v>
      </c>
      <c r="Q1432" t="s">
        <v>36</v>
      </c>
    </row>
    <row r="1433" spans="1:17" x14ac:dyDescent="0.35">
      <c r="A1433" t="s">
        <v>1485</v>
      </c>
      <c r="B1433" t="s">
        <v>16</v>
      </c>
      <c r="C1433">
        <v>39</v>
      </c>
      <c r="D1433" t="s">
        <v>55</v>
      </c>
      <c r="E1433" t="s">
        <v>92</v>
      </c>
      <c r="F1433" t="s">
        <v>28</v>
      </c>
      <c r="G1433">
        <v>9.6</v>
      </c>
      <c r="H1433">
        <v>5.5</v>
      </c>
      <c r="I1433" t="str" cm="1">
        <f t="array" ref="I1433">_xlfn.IFS(G1433&lt;3, "0–2 Years", G1433&lt;6, "3–5 Years", G1433&lt;9, "6–8 Years", G1433&lt;12, "9-11 Years", G1433&gt;=12, "12-14 Years")</f>
        <v>9-11 Years</v>
      </c>
      <c r="J1433">
        <v>3</v>
      </c>
      <c r="K1433" t="s">
        <v>20</v>
      </c>
      <c r="L1433">
        <v>110900</v>
      </c>
      <c r="M1433">
        <v>17100</v>
      </c>
      <c r="N1433">
        <v>128000</v>
      </c>
      <c r="O1433" t="s">
        <v>57</v>
      </c>
      <c r="P1433" s="3">
        <v>42523</v>
      </c>
      <c r="Q1433" t="s">
        <v>28</v>
      </c>
    </row>
    <row r="1434" spans="1:17" x14ac:dyDescent="0.35">
      <c r="A1434" t="s">
        <v>1486</v>
      </c>
      <c r="B1434" t="s">
        <v>16</v>
      </c>
      <c r="C1434">
        <v>26</v>
      </c>
      <c r="D1434" t="s">
        <v>44</v>
      </c>
      <c r="E1434" t="s">
        <v>45</v>
      </c>
      <c r="F1434" t="s">
        <v>28</v>
      </c>
      <c r="G1434">
        <v>9.4</v>
      </c>
      <c r="H1434">
        <v>5.2</v>
      </c>
      <c r="I1434" t="str" cm="1">
        <f t="array" ref="I1434">_xlfn.IFS(G1434&lt;3, "0–2 Years", G1434&lt;6, "3–5 Years", G1434&lt;9, "6–8 Years", G1434&lt;12, "9-11 Years", G1434&gt;=12, "12-14 Years")</f>
        <v>9-11 Years</v>
      </c>
      <c r="J1434">
        <v>4</v>
      </c>
      <c r="K1434" t="s">
        <v>20</v>
      </c>
      <c r="L1434">
        <v>74100</v>
      </c>
      <c r="M1434">
        <v>8500</v>
      </c>
      <c r="N1434">
        <v>82600</v>
      </c>
      <c r="O1434" t="s">
        <v>21</v>
      </c>
      <c r="P1434" s="3">
        <v>42604</v>
      </c>
      <c r="Q1434" t="s">
        <v>28</v>
      </c>
    </row>
    <row r="1435" spans="1:17" x14ac:dyDescent="0.35">
      <c r="A1435" t="s">
        <v>1487</v>
      </c>
      <c r="B1435" t="s">
        <v>16</v>
      </c>
      <c r="C1435">
        <v>51</v>
      </c>
      <c r="D1435" t="s">
        <v>55</v>
      </c>
      <c r="E1435" t="s">
        <v>56</v>
      </c>
      <c r="F1435" t="s">
        <v>36</v>
      </c>
      <c r="G1435">
        <v>11.2</v>
      </c>
      <c r="H1435">
        <v>6.1</v>
      </c>
      <c r="I1435" t="str" cm="1">
        <f t="array" ref="I1435">_xlfn.IFS(G1435&lt;3, "0–2 Years", G1435&lt;6, "3–5 Years", G1435&lt;9, "6–8 Years", G1435&lt;12, "9-11 Years", G1435&gt;=12, "12-14 Years")</f>
        <v>9-11 Years</v>
      </c>
      <c r="J1435">
        <v>4</v>
      </c>
      <c r="K1435" t="s">
        <v>20</v>
      </c>
      <c r="L1435">
        <v>110500</v>
      </c>
      <c r="M1435">
        <v>19200</v>
      </c>
      <c r="N1435">
        <v>129700</v>
      </c>
      <c r="O1435" t="s">
        <v>57</v>
      </c>
      <c r="P1435" s="3">
        <v>41940</v>
      </c>
      <c r="Q1435" t="s">
        <v>36</v>
      </c>
    </row>
    <row r="1436" spans="1:17" x14ac:dyDescent="0.35">
      <c r="A1436" t="s">
        <v>1488</v>
      </c>
      <c r="B1436" t="s">
        <v>23</v>
      </c>
      <c r="C1436">
        <v>41</v>
      </c>
      <c r="D1436" t="s">
        <v>41</v>
      </c>
      <c r="E1436" t="s">
        <v>42</v>
      </c>
      <c r="F1436" t="s">
        <v>36</v>
      </c>
      <c r="G1436">
        <v>11.9</v>
      </c>
      <c r="H1436">
        <v>6.6</v>
      </c>
      <c r="I1436" t="str" cm="1">
        <f t="array" ref="I1436">_xlfn.IFS(G1436&lt;3, "0–2 Years", G1436&lt;6, "3–5 Years", G1436&lt;9, "6–8 Years", G1436&lt;12, "9-11 Years", G1436&gt;=12, "12-14 Years")</f>
        <v>9-11 Years</v>
      </c>
      <c r="J1436">
        <v>1</v>
      </c>
      <c r="K1436" t="s">
        <v>69</v>
      </c>
      <c r="L1436">
        <v>76700</v>
      </c>
      <c r="M1436">
        <v>3000</v>
      </c>
      <c r="N1436">
        <v>79700</v>
      </c>
      <c r="O1436" t="s">
        <v>21</v>
      </c>
      <c r="P1436" s="3">
        <v>41662</v>
      </c>
      <c r="Q1436" t="s">
        <v>36</v>
      </c>
    </row>
    <row r="1437" spans="1:17" x14ac:dyDescent="0.35">
      <c r="A1437" t="s">
        <v>1489</v>
      </c>
      <c r="B1437" t="s">
        <v>16</v>
      </c>
      <c r="C1437">
        <v>22</v>
      </c>
      <c r="D1437" t="s">
        <v>38</v>
      </c>
      <c r="E1437" t="s">
        <v>112</v>
      </c>
      <c r="F1437" t="s">
        <v>28</v>
      </c>
      <c r="G1437">
        <v>1.6</v>
      </c>
      <c r="H1437">
        <v>1.6</v>
      </c>
      <c r="I1437" t="str" cm="1">
        <f t="array" ref="I1437">_xlfn.IFS(G1437&lt;3, "0–2 Years", G1437&lt;6, "3–5 Years", G1437&lt;9, "6–8 Years", G1437&lt;12, "9-11 Years", G1437&gt;=12, "12-14 Years")</f>
        <v>0–2 Years</v>
      </c>
      <c r="J1437">
        <v>5</v>
      </c>
      <c r="K1437" t="s">
        <v>69</v>
      </c>
      <c r="L1437">
        <v>59100</v>
      </c>
      <c r="M1437">
        <v>4200</v>
      </c>
      <c r="N1437">
        <v>63300</v>
      </c>
      <c r="O1437" t="s">
        <v>25</v>
      </c>
      <c r="P1437" s="3">
        <v>45438</v>
      </c>
      <c r="Q1437" t="s">
        <v>28</v>
      </c>
    </row>
    <row r="1438" spans="1:17" x14ac:dyDescent="0.35">
      <c r="A1438" t="s">
        <v>1490</v>
      </c>
      <c r="B1438" t="s">
        <v>16</v>
      </c>
      <c r="C1438">
        <v>33</v>
      </c>
      <c r="D1438" t="s">
        <v>38</v>
      </c>
      <c r="E1438" t="s">
        <v>61</v>
      </c>
      <c r="F1438" t="s">
        <v>28</v>
      </c>
      <c r="G1438">
        <v>9.3000000000000007</v>
      </c>
      <c r="H1438">
        <v>6.8</v>
      </c>
      <c r="I1438" t="str" cm="1">
        <f t="array" ref="I1438">_xlfn.IFS(G1438&lt;3, "0–2 Years", G1438&lt;6, "3–5 Years", G1438&lt;9, "6–8 Years", G1438&lt;12, "9-11 Years", G1438&gt;=12, "12-14 Years")</f>
        <v>9-11 Years</v>
      </c>
      <c r="J1438">
        <v>5</v>
      </c>
      <c r="K1438" t="s">
        <v>20</v>
      </c>
      <c r="L1438">
        <v>109000</v>
      </c>
      <c r="M1438">
        <v>9600</v>
      </c>
      <c r="N1438">
        <v>118600</v>
      </c>
      <c r="O1438" t="s">
        <v>57</v>
      </c>
      <c r="P1438" s="3">
        <v>42641</v>
      </c>
      <c r="Q1438" t="s">
        <v>28</v>
      </c>
    </row>
    <row r="1439" spans="1:17" x14ac:dyDescent="0.35">
      <c r="A1439" t="s">
        <v>1491</v>
      </c>
      <c r="B1439" t="s">
        <v>23</v>
      </c>
      <c r="C1439">
        <v>28</v>
      </c>
      <c r="D1439" t="s">
        <v>55</v>
      </c>
      <c r="E1439" t="s">
        <v>79</v>
      </c>
      <c r="F1439" t="s">
        <v>28</v>
      </c>
      <c r="G1439">
        <v>4.5999999999999996</v>
      </c>
      <c r="H1439">
        <v>2.1</v>
      </c>
      <c r="I1439" t="str" cm="1">
        <f t="array" ref="I1439">_xlfn.IFS(G1439&lt;3, "0–2 Years", G1439&lt;6, "3–5 Years", G1439&lt;9, "6–8 Years", G1439&lt;12, "9-11 Years", G1439&gt;=12, "12-14 Years")</f>
        <v>3–5 Years</v>
      </c>
      <c r="J1439">
        <v>3</v>
      </c>
      <c r="K1439" t="s">
        <v>20</v>
      </c>
      <c r="L1439">
        <v>69200</v>
      </c>
      <c r="M1439">
        <v>5600</v>
      </c>
      <c r="N1439">
        <v>74800</v>
      </c>
      <c r="O1439" t="s">
        <v>21</v>
      </c>
      <c r="P1439" s="3">
        <v>44357</v>
      </c>
      <c r="Q1439" t="s">
        <v>28</v>
      </c>
    </row>
    <row r="1440" spans="1:17" x14ac:dyDescent="0.35">
      <c r="A1440" t="s">
        <v>1492</v>
      </c>
      <c r="B1440" t="s">
        <v>16</v>
      </c>
      <c r="C1440">
        <v>37</v>
      </c>
      <c r="D1440" t="s">
        <v>41</v>
      </c>
      <c r="E1440" t="s">
        <v>73</v>
      </c>
      <c r="F1440" t="s">
        <v>36</v>
      </c>
      <c r="G1440">
        <v>5.7</v>
      </c>
      <c r="H1440">
        <v>1.9</v>
      </c>
      <c r="I1440" t="str" cm="1">
        <f t="array" ref="I1440">_xlfn.IFS(G1440&lt;3, "0–2 Years", G1440&lt;6, "3–5 Years", G1440&lt;9, "6–8 Years", G1440&lt;12, "9-11 Years", G1440&gt;=12, "12-14 Years")</f>
        <v>3–5 Years</v>
      </c>
      <c r="J1440">
        <v>1</v>
      </c>
      <c r="K1440" t="s">
        <v>20</v>
      </c>
      <c r="L1440">
        <v>103300</v>
      </c>
      <c r="M1440">
        <v>7600</v>
      </c>
      <c r="N1440">
        <v>110900</v>
      </c>
      <c r="O1440" t="s">
        <v>57</v>
      </c>
      <c r="P1440" s="3">
        <v>43930</v>
      </c>
      <c r="Q1440" t="s">
        <v>36</v>
      </c>
    </row>
    <row r="1441" spans="1:17" x14ac:dyDescent="0.35">
      <c r="A1441" t="s">
        <v>1493</v>
      </c>
      <c r="B1441" t="s">
        <v>16</v>
      </c>
      <c r="C1441" s="7">
        <v>42</v>
      </c>
      <c r="D1441" t="s">
        <v>41</v>
      </c>
      <c r="E1441" t="s">
        <v>67</v>
      </c>
      <c r="F1441" t="s">
        <v>36</v>
      </c>
      <c r="G1441" s="9">
        <v>12.5</v>
      </c>
      <c r="H1441" s="7">
        <v>6.3</v>
      </c>
      <c r="I1441" t="str" cm="1">
        <f t="array" ref="I1441">_xlfn.IFS(G1441&lt;3, "0–2 Years", G1441&lt;6, "3–5 Years", G1441&lt;9, "6–8 Years", G1441&lt;12, "9-11 Years", G1441&gt;=12, "12-14 Years")</f>
        <v>12-14 Years</v>
      </c>
      <c r="J1441" s="7">
        <v>3</v>
      </c>
      <c r="K1441" t="s">
        <v>20</v>
      </c>
      <c r="L1441" s="7">
        <v>77700</v>
      </c>
      <c r="M1441" s="7">
        <v>6900</v>
      </c>
      <c r="N1441" s="7">
        <v>84600</v>
      </c>
      <c r="O1441" t="s">
        <v>21</v>
      </c>
      <c r="P1441" s="3">
        <v>41447</v>
      </c>
      <c r="Q1441" t="s">
        <v>36</v>
      </c>
    </row>
    <row r="1442" spans="1:17" x14ac:dyDescent="0.35">
      <c r="A1442" t="s">
        <v>1494</v>
      </c>
      <c r="B1442" t="s">
        <v>23</v>
      </c>
      <c r="C1442">
        <v>45</v>
      </c>
      <c r="D1442" t="s">
        <v>34</v>
      </c>
      <c r="E1442" t="s">
        <v>47</v>
      </c>
      <c r="F1442" t="s">
        <v>36</v>
      </c>
      <c r="G1442">
        <v>8.5</v>
      </c>
      <c r="H1442">
        <v>5</v>
      </c>
      <c r="I1442" t="str" cm="1">
        <f t="array" ref="I1442">_xlfn.IFS(G1442&lt;3, "0–2 Years", G1442&lt;6, "3–5 Years", G1442&lt;9, "6–8 Years", G1442&lt;12, "9-11 Years", G1442&gt;=12, "12-14 Years")</f>
        <v>6–8 Years</v>
      </c>
      <c r="J1442">
        <v>1</v>
      </c>
      <c r="K1442" t="s">
        <v>20</v>
      </c>
      <c r="L1442">
        <v>84800</v>
      </c>
      <c r="M1442">
        <v>5200</v>
      </c>
      <c r="N1442">
        <v>90000</v>
      </c>
      <c r="O1442" t="s">
        <v>30</v>
      </c>
      <c r="P1442" s="3">
        <v>42917</v>
      </c>
      <c r="Q1442" t="s">
        <v>36</v>
      </c>
    </row>
    <row r="1443" spans="1:17" x14ac:dyDescent="0.35">
      <c r="A1443" t="s">
        <v>1495</v>
      </c>
      <c r="B1443" t="s">
        <v>16</v>
      </c>
      <c r="C1443">
        <v>31</v>
      </c>
      <c r="D1443" t="s">
        <v>55</v>
      </c>
      <c r="E1443" t="s">
        <v>56</v>
      </c>
      <c r="F1443" t="s">
        <v>28</v>
      </c>
      <c r="G1443">
        <v>5</v>
      </c>
      <c r="H1443">
        <v>3.3</v>
      </c>
      <c r="I1443" t="str" cm="1">
        <f t="array" ref="I1443">_xlfn.IFS(G1443&lt;3, "0–2 Years", G1443&lt;6, "3–5 Years", G1443&lt;9, "6–8 Years", G1443&lt;12, "9-11 Years", G1443&gt;=12, "12-14 Years")</f>
        <v>3–5 Years</v>
      </c>
      <c r="J1443">
        <v>3</v>
      </c>
      <c r="K1443" t="s">
        <v>20</v>
      </c>
      <c r="L1443">
        <v>90100</v>
      </c>
      <c r="M1443">
        <v>18500</v>
      </c>
      <c r="N1443">
        <v>108600</v>
      </c>
      <c r="O1443" t="s">
        <v>30</v>
      </c>
      <c r="P1443" s="3">
        <v>44187</v>
      </c>
      <c r="Q1443" t="s">
        <v>28</v>
      </c>
    </row>
    <row r="1444" spans="1:17" x14ac:dyDescent="0.35">
      <c r="A1444" t="s">
        <v>1496</v>
      </c>
      <c r="B1444" t="s">
        <v>16</v>
      </c>
      <c r="C1444">
        <v>38</v>
      </c>
      <c r="D1444" t="s">
        <v>38</v>
      </c>
      <c r="E1444" t="s">
        <v>39</v>
      </c>
      <c r="F1444" t="s">
        <v>28</v>
      </c>
      <c r="G1444">
        <v>10.199999999999999</v>
      </c>
      <c r="H1444">
        <v>7.7</v>
      </c>
      <c r="I1444" t="str" cm="1">
        <f t="array" ref="I1444">_xlfn.IFS(G1444&lt;3, "0–2 Years", G1444&lt;6, "3–5 Years", G1444&lt;9, "6–8 Years", G1444&lt;12, "9-11 Years", G1444&gt;=12, "12-14 Years")</f>
        <v>9-11 Years</v>
      </c>
      <c r="J1444">
        <v>3</v>
      </c>
      <c r="K1444" t="s">
        <v>20</v>
      </c>
      <c r="L1444">
        <v>81400</v>
      </c>
      <c r="M1444">
        <v>8200</v>
      </c>
      <c r="N1444">
        <v>89600</v>
      </c>
      <c r="O1444" t="s">
        <v>30</v>
      </c>
      <c r="P1444" s="3">
        <v>42309</v>
      </c>
      <c r="Q1444" t="s">
        <v>28</v>
      </c>
    </row>
    <row r="1445" spans="1:17" x14ac:dyDescent="0.35">
      <c r="A1445" t="s">
        <v>1497</v>
      </c>
      <c r="B1445" t="s">
        <v>16</v>
      </c>
      <c r="C1445">
        <v>54</v>
      </c>
      <c r="D1445" t="s">
        <v>41</v>
      </c>
      <c r="E1445" t="s">
        <v>67</v>
      </c>
      <c r="F1445" t="s">
        <v>28</v>
      </c>
      <c r="G1445">
        <v>4.5</v>
      </c>
      <c r="H1445">
        <v>2.2999999999999998</v>
      </c>
      <c r="I1445" t="str" cm="1">
        <f t="array" ref="I1445">_xlfn.IFS(G1445&lt;3, "0–2 Years", G1445&lt;6, "3–5 Years", G1445&lt;9, "6–8 Years", G1445&lt;12, "9-11 Years", G1445&gt;=12, "12-14 Years")</f>
        <v>3–5 Years</v>
      </c>
      <c r="J1445">
        <v>3</v>
      </c>
      <c r="K1445" t="s">
        <v>20</v>
      </c>
      <c r="L1445">
        <v>73400</v>
      </c>
      <c r="M1445">
        <v>6200</v>
      </c>
      <c r="N1445">
        <v>79600</v>
      </c>
      <c r="O1445" t="s">
        <v>21</v>
      </c>
      <c r="P1445" s="3">
        <v>44377</v>
      </c>
      <c r="Q1445" t="s">
        <v>28</v>
      </c>
    </row>
    <row r="1446" spans="1:17" x14ac:dyDescent="0.35">
      <c r="A1446" t="s">
        <v>1498</v>
      </c>
      <c r="B1446" t="s">
        <v>16</v>
      </c>
      <c r="C1446">
        <v>32</v>
      </c>
      <c r="D1446" t="s">
        <v>41</v>
      </c>
      <c r="E1446" t="s">
        <v>42</v>
      </c>
      <c r="F1446" t="s">
        <v>28</v>
      </c>
      <c r="G1446">
        <v>9</v>
      </c>
      <c r="H1446">
        <v>3.4</v>
      </c>
      <c r="I1446" t="str" cm="1">
        <f t="array" ref="I1446">_xlfn.IFS(G1446&lt;3, "0–2 Years", G1446&lt;6, "3–5 Years", G1446&lt;9, "6–8 Years", G1446&lt;12, "9-11 Years", G1446&gt;=12, "12-14 Years")</f>
        <v>9-11 Years</v>
      </c>
      <c r="J1446">
        <v>4</v>
      </c>
      <c r="K1446" t="s">
        <v>20</v>
      </c>
      <c r="L1446">
        <v>76100</v>
      </c>
      <c r="M1446">
        <v>3600</v>
      </c>
      <c r="N1446">
        <v>79700</v>
      </c>
      <c r="O1446" t="s">
        <v>21</v>
      </c>
      <c r="P1446" s="3">
        <v>42738</v>
      </c>
      <c r="Q1446" t="s">
        <v>28</v>
      </c>
    </row>
    <row r="1447" spans="1:17" x14ac:dyDescent="0.35">
      <c r="A1447" t="s">
        <v>1499</v>
      </c>
      <c r="B1447" t="s">
        <v>16</v>
      </c>
      <c r="C1447">
        <v>37</v>
      </c>
      <c r="D1447" t="s">
        <v>41</v>
      </c>
      <c r="E1447" t="s">
        <v>67</v>
      </c>
      <c r="F1447" t="s">
        <v>36</v>
      </c>
      <c r="G1447">
        <v>7.5</v>
      </c>
      <c r="H1447">
        <v>4.5</v>
      </c>
      <c r="I1447" t="str" cm="1">
        <f t="array" ref="I1447">_xlfn.IFS(G1447&lt;3, "0–2 Years", G1447&lt;6, "3–5 Years", G1447&lt;9, "6–8 Years", G1447&lt;12, "9-11 Years", G1447&gt;=12, "12-14 Years")</f>
        <v>6–8 Years</v>
      </c>
      <c r="J1447">
        <v>3</v>
      </c>
      <c r="K1447" t="s">
        <v>20</v>
      </c>
      <c r="L1447">
        <v>77500</v>
      </c>
      <c r="M1447">
        <v>7000</v>
      </c>
      <c r="N1447">
        <v>84500</v>
      </c>
      <c r="O1447" t="s">
        <v>21</v>
      </c>
      <c r="P1447" s="3">
        <v>43277</v>
      </c>
      <c r="Q1447" t="s">
        <v>36</v>
      </c>
    </row>
    <row r="1448" spans="1:17" x14ac:dyDescent="0.35">
      <c r="A1448" t="s">
        <v>1500</v>
      </c>
      <c r="B1448" t="s">
        <v>16</v>
      </c>
      <c r="C1448">
        <v>35</v>
      </c>
      <c r="D1448" t="s">
        <v>38</v>
      </c>
      <c r="E1448" t="s">
        <v>112</v>
      </c>
      <c r="F1448" t="s">
        <v>28</v>
      </c>
      <c r="G1448">
        <v>6.9</v>
      </c>
      <c r="H1448">
        <v>3.6</v>
      </c>
      <c r="I1448" t="str" cm="1">
        <f t="array" ref="I1448">_xlfn.IFS(G1448&lt;3, "0–2 Years", G1448&lt;6, "3–5 Years", G1448&lt;9, "6–8 Years", G1448&lt;12, "9-11 Years", G1448&gt;=12, "12-14 Years")</f>
        <v>6–8 Years</v>
      </c>
      <c r="J1448">
        <v>1</v>
      </c>
      <c r="K1448" t="s">
        <v>20</v>
      </c>
      <c r="L1448">
        <v>66900</v>
      </c>
      <c r="M1448">
        <v>6000</v>
      </c>
      <c r="N1448">
        <v>72900</v>
      </c>
      <c r="O1448" t="s">
        <v>21</v>
      </c>
      <c r="P1448" s="3">
        <v>43507</v>
      </c>
      <c r="Q1448" t="s">
        <v>28</v>
      </c>
    </row>
    <row r="1449" spans="1:17" x14ac:dyDescent="0.35">
      <c r="A1449" t="s">
        <v>1501</v>
      </c>
      <c r="B1449" t="s">
        <v>23</v>
      </c>
      <c r="C1449">
        <v>22</v>
      </c>
      <c r="D1449" t="s">
        <v>38</v>
      </c>
      <c r="E1449" t="s">
        <v>112</v>
      </c>
      <c r="F1449" t="s">
        <v>36</v>
      </c>
      <c r="G1449">
        <v>4.0999999999999996</v>
      </c>
      <c r="H1449">
        <v>2.8</v>
      </c>
      <c r="I1449" t="str" cm="1">
        <f t="array" ref="I1449">_xlfn.IFS(G1449&lt;3, "0–2 Years", G1449&lt;6, "3–5 Years", G1449&lt;9, "6–8 Years", G1449&lt;12, "9-11 Years", G1449&gt;=12, "12-14 Years")</f>
        <v>3–5 Years</v>
      </c>
      <c r="J1449">
        <v>4</v>
      </c>
      <c r="K1449" t="s">
        <v>20</v>
      </c>
      <c r="L1449">
        <v>76700</v>
      </c>
      <c r="M1449">
        <v>3000</v>
      </c>
      <c r="N1449">
        <v>79700</v>
      </c>
      <c r="O1449" t="s">
        <v>21</v>
      </c>
      <c r="P1449" s="3">
        <v>44528</v>
      </c>
      <c r="Q1449" t="s">
        <v>36</v>
      </c>
    </row>
    <row r="1450" spans="1:17" x14ac:dyDescent="0.35">
      <c r="A1450" t="s">
        <v>1502</v>
      </c>
      <c r="B1450" t="s">
        <v>23</v>
      </c>
      <c r="C1450" s="7">
        <v>29</v>
      </c>
      <c r="D1450" t="s">
        <v>55</v>
      </c>
      <c r="E1450" t="s">
        <v>92</v>
      </c>
      <c r="F1450" t="s">
        <v>36</v>
      </c>
      <c r="G1450" s="9">
        <v>13.8</v>
      </c>
      <c r="H1450" s="7">
        <v>9.5</v>
      </c>
      <c r="I1450" t="str" cm="1">
        <f t="array" ref="I1450">_xlfn.IFS(G1450&lt;3, "0–2 Years", G1450&lt;6, "3–5 Years", G1450&lt;9, "6–8 Years", G1450&lt;12, "9-11 Years", G1450&gt;=12, "12-14 Years")</f>
        <v>12-14 Years</v>
      </c>
      <c r="J1450" s="7">
        <v>4</v>
      </c>
      <c r="K1450" t="s">
        <v>20</v>
      </c>
      <c r="L1450" s="7">
        <v>112600</v>
      </c>
      <c r="M1450" s="7">
        <v>9600</v>
      </c>
      <c r="N1450" s="7">
        <v>122200</v>
      </c>
      <c r="O1450" t="s">
        <v>57</v>
      </c>
      <c r="P1450" s="3">
        <v>40974</v>
      </c>
      <c r="Q1450" t="s">
        <v>36</v>
      </c>
    </row>
    <row r="1451" spans="1:17" x14ac:dyDescent="0.35">
      <c r="A1451" t="s">
        <v>1503</v>
      </c>
      <c r="B1451" t="s">
        <v>23</v>
      </c>
      <c r="C1451">
        <v>30</v>
      </c>
      <c r="D1451" t="s">
        <v>34</v>
      </c>
      <c r="E1451" t="s">
        <v>35</v>
      </c>
      <c r="F1451" t="s">
        <v>28</v>
      </c>
      <c r="G1451">
        <v>7.8</v>
      </c>
      <c r="H1451">
        <v>4</v>
      </c>
      <c r="I1451" t="str" cm="1">
        <f t="array" ref="I1451">_xlfn.IFS(G1451&lt;3, "0–2 Years", G1451&lt;6, "3–5 Years", G1451&lt;9, "6–8 Years", G1451&lt;12, "9-11 Years", G1451&gt;=12, "12-14 Years")</f>
        <v>6–8 Years</v>
      </c>
      <c r="J1451">
        <v>2</v>
      </c>
      <c r="K1451" t="s">
        <v>20</v>
      </c>
      <c r="L1451">
        <v>75700</v>
      </c>
      <c r="M1451">
        <v>3200</v>
      </c>
      <c r="N1451">
        <v>78900</v>
      </c>
      <c r="O1451" t="s">
        <v>21</v>
      </c>
      <c r="P1451" s="3">
        <v>43191</v>
      </c>
      <c r="Q1451" t="s">
        <v>28</v>
      </c>
    </row>
    <row r="1452" spans="1:17" x14ac:dyDescent="0.35">
      <c r="A1452" t="s">
        <v>1504</v>
      </c>
      <c r="B1452" t="s">
        <v>16</v>
      </c>
      <c r="C1452" s="7">
        <v>41</v>
      </c>
      <c r="D1452" t="s">
        <v>17</v>
      </c>
      <c r="E1452" t="s">
        <v>27</v>
      </c>
      <c r="F1452" t="s">
        <v>19</v>
      </c>
      <c r="G1452" s="9">
        <v>13.8</v>
      </c>
      <c r="H1452" s="7">
        <v>8.1</v>
      </c>
      <c r="I1452" t="str" cm="1">
        <f t="array" ref="I1452">_xlfn.IFS(G1452&lt;3, "0–2 Years", G1452&lt;6, "3–5 Years", G1452&lt;9, "6–8 Years", G1452&lt;12, "9-11 Years", G1452&gt;=12, "12-14 Years")</f>
        <v>12-14 Years</v>
      </c>
      <c r="J1452" s="7">
        <v>4</v>
      </c>
      <c r="K1452" t="s">
        <v>24</v>
      </c>
      <c r="L1452" s="7">
        <v>42300</v>
      </c>
      <c r="M1452" s="7">
        <v>4500</v>
      </c>
      <c r="N1452" s="7">
        <v>46800</v>
      </c>
      <c r="O1452" t="s">
        <v>65</v>
      </c>
      <c r="P1452" s="3">
        <v>40980</v>
      </c>
      <c r="Q1452" t="s">
        <v>19</v>
      </c>
    </row>
    <row r="1453" spans="1:17" x14ac:dyDescent="0.35">
      <c r="A1453" t="s">
        <v>1505</v>
      </c>
      <c r="B1453" t="s">
        <v>16</v>
      </c>
      <c r="C1453">
        <v>29</v>
      </c>
      <c r="D1453" t="s">
        <v>38</v>
      </c>
      <c r="E1453" t="s">
        <v>61</v>
      </c>
      <c r="F1453" t="s">
        <v>28</v>
      </c>
      <c r="G1453">
        <v>4.9000000000000004</v>
      </c>
      <c r="H1453">
        <v>2.2999999999999998</v>
      </c>
      <c r="I1453" t="str" cm="1">
        <f t="array" ref="I1453">_xlfn.IFS(G1453&lt;3, "0–2 Years", G1453&lt;6, "3–5 Years", G1453&lt;9, "6–8 Years", G1453&lt;12, "9-11 Years", G1453&gt;=12, "12-14 Years")</f>
        <v>3–5 Years</v>
      </c>
      <c r="J1453">
        <v>3</v>
      </c>
      <c r="K1453" t="s">
        <v>20</v>
      </c>
      <c r="L1453">
        <v>111000</v>
      </c>
      <c r="M1453">
        <v>5000</v>
      </c>
      <c r="N1453">
        <v>116000</v>
      </c>
      <c r="O1453" t="s">
        <v>57</v>
      </c>
      <c r="P1453" s="3">
        <v>44234</v>
      </c>
      <c r="Q1453" t="s">
        <v>28</v>
      </c>
    </row>
    <row r="1454" spans="1:17" x14ac:dyDescent="0.35">
      <c r="A1454" t="s">
        <v>1506</v>
      </c>
      <c r="B1454" t="s">
        <v>23</v>
      </c>
      <c r="C1454">
        <v>35</v>
      </c>
      <c r="D1454" t="s">
        <v>17</v>
      </c>
      <c r="E1454" t="s">
        <v>18</v>
      </c>
      <c r="F1454" t="s">
        <v>62</v>
      </c>
      <c r="G1454">
        <v>5</v>
      </c>
      <c r="H1454">
        <v>1.9</v>
      </c>
      <c r="I1454" t="str" cm="1">
        <f t="array" ref="I1454">_xlfn.IFS(G1454&lt;3, "0–2 Years", G1454&lt;6, "3–5 Years", G1454&lt;9, "6–8 Years", G1454&lt;12, "9-11 Years", G1454&gt;=12, "12-14 Years")</f>
        <v>3–5 Years</v>
      </c>
      <c r="J1454">
        <v>3</v>
      </c>
      <c r="K1454" t="s">
        <v>20</v>
      </c>
      <c r="L1454">
        <v>115000</v>
      </c>
      <c r="M1454">
        <v>5600</v>
      </c>
      <c r="N1454">
        <v>120600</v>
      </c>
      <c r="O1454" t="s">
        <v>57</v>
      </c>
      <c r="P1454" s="3">
        <v>44213</v>
      </c>
      <c r="Q1454" t="s">
        <v>62</v>
      </c>
    </row>
    <row r="1455" spans="1:17" x14ac:dyDescent="0.35">
      <c r="A1455" t="s">
        <v>1507</v>
      </c>
      <c r="B1455" t="s">
        <v>16</v>
      </c>
      <c r="C1455" s="7">
        <v>33</v>
      </c>
      <c r="D1455" t="s">
        <v>17</v>
      </c>
      <c r="E1455" t="s">
        <v>32</v>
      </c>
      <c r="F1455" t="s">
        <v>62</v>
      </c>
      <c r="G1455" s="9">
        <v>13.3</v>
      </c>
      <c r="H1455" s="7">
        <v>8</v>
      </c>
      <c r="I1455" t="str" cm="1">
        <f t="array" ref="I1455">_xlfn.IFS(G1455&lt;3, "0–2 Years", G1455&lt;6, "3–5 Years", G1455&lt;9, "6–8 Years", G1455&lt;12, "9-11 Years", G1455&gt;=12, "12-14 Years")</f>
        <v>12-14 Years</v>
      </c>
      <c r="J1455" s="7">
        <v>4</v>
      </c>
      <c r="K1455" t="s">
        <v>24</v>
      </c>
      <c r="L1455" s="7">
        <v>51300</v>
      </c>
      <c r="M1455" s="7">
        <v>5000</v>
      </c>
      <c r="N1455" s="7">
        <v>56300</v>
      </c>
      <c r="O1455" t="s">
        <v>25</v>
      </c>
      <c r="P1455" s="3">
        <v>41171</v>
      </c>
      <c r="Q1455" t="s">
        <v>62</v>
      </c>
    </row>
    <row r="1456" spans="1:17" x14ac:dyDescent="0.35">
      <c r="A1456" t="s">
        <v>1508</v>
      </c>
      <c r="B1456" t="s">
        <v>16</v>
      </c>
      <c r="C1456">
        <v>24</v>
      </c>
      <c r="D1456" t="s">
        <v>44</v>
      </c>
      <c r="E1456" t="s">
        <v>51</v>
      </c>
      <c r="F1456" t="s">
        <v>36</v>
      </c>
      <c r="G1456">
        <v>11.8</v>
      </c>
      <c r="H1456">
        <v>8</v>
      </c>
      <c r="I1456" t="str" cm="1">
        <f t="array" ref="I1456">_xlfn.IFS(G1456&lt;3, "0–2 Years", G1456&lt;6, "3–5 Years", G1456&lt;9, "6–8 Years", G1456&lt;12, "9-11 Years", G1456&gt;=12, "12-14 Years")</f>
        <v>9-11 Years</v>
      </c>
      <c r="J1456">
        <v>3</v>
      </c>
      <c r="K1456" t="s">
        <v>69</v>
      </c>
      <c r="L1456">
        <v>62800</v>
      </c>
      <c r="M1456">
        <v>5300</v>
      </c>
      <c r="N1456">
        <v>68100</v>
      </c>
      <c r="O1456" t="s">
        <v>25</v>
      </c>
      <c r="P1456" s="3">
        <v>41708</v>
      </c>
      <c r="Q1456" t="s">
        <v>36</v>
      </c>
    </row>
    <row r="1457" spans="1:17" x14ac:dyDescent="0.35">
      <c r="A1457" t="s">
        <v>1509</v>
      </c>
      <c r="B1457" t="s">
        <v>23</v>
      </c>
      <c r="C1457">
        <v>21</v>
      </c>
      <c r="D1457" t="s">
        <v>17</v>
      </c>
      <c r="E1457" t="s">
        <v>32</v>
      </c>
      <c r="F1457" t="s">
        <v>28</v>
      </c>
      <c r="G1457">
        <v>4.0999999999999996</v>
      </c>
      <c r="H1457">
        <v>0.1</v>
      </c>
      <c r="I1457" t="str" cm="1">
        <f t="array" ref="I1457">_xlfn.IFS(G1457&lt;3, "0–2 Years", G1457&lt;6, "3–5 Years", G1457&lt;9, "6–8 Years", G1457&lt;12, "9-11 Years", G1457&gt;=12, "12-14 Years")</f>
        <v>3–5 Years</v>
      </c>
      <c r="J1457">
        <v>3</v>
      </c>
      <c r="K1457" t="s">
        <v>24</v>
      </c>
      <c r="L1457">
        <v>34700</v>
      </c>
      <c r="M1457">
        <v>1600</v>
      </c>
      <c r="N1457">
        <v>36300</v>
      </c>
      <c r="O1457" t="s">
        <v>65</v>
      </c>
      <c r="P1457" s="3">
        <v>44525</v>
      </c>
      <c r="Q1457" t="s">
        <v>28</v>
      </c>
    </row>
    <row r="1458" spans="1:17" x14ac:dyDescent="0.35">
      <c r="A1458" t="s">
        <v>1510</v>
      </c>
      <c r="B1458" t="s">
        <v>23</v>
      </c>
      <c r="C1458">
        <v>26</v>
      </c>
      <c r="D1458" t="s">
        <v>38</v>
      </c>
      <c r="E1458" t="s">
        <v>112</v>
      </c>
      <c r="F1458" t="s">
        <v>62</v>
      </c>
      <c r="G1458">
        <v>4.9000000000000004</v>
      </c>
      <c r="H1458">
        <v>3.7</v>
      </c>
      <c r="I1458" t="str" cm="1">
        <f t="array" ref="I1458">_xlfn.IFS(G1458&lt;3, "0–2 Years", G1458&lt;6, "3–5 Years", G1458&lt;9, "6–8 Years", G1458&lt;12, "9-11 Years", G1458&gt;=12, "12-14 Years")</f>
        <v>3–5 Years</v>
      </c>
      <c r="J1458">
        <v>3</v>
      </c>
      <c r="K1458" t="s">
        <v>20</v>
      </c>
      <c r="L1458">
        <v>72400</v>
      </c>
      <c r="M1458">
        <v>7400</v>
      </c>
      <c r="N1458">
        <v>79800</v>
      </c>
      <c r="O1458" t="s">
        <v>21</v>
      </c>
      <c r="P1458" s="3">
        <v>44232</v>
      </c>
      <c r="Q1458" t="s">
        <v>62</v>
      </c>
    </row>
    <row r="1459" spans="1:17" x14ac:dyDescent="0.35">
      <c r="A1459" t="s">
        <v>1511</v>
      </c>
      <c r="B1459" t="s">
        <v>23</v>
      </c>
      <c r="C1459">
        <v>38</v>
      </c>
      <c r="D1459" t="s">
        <v>17</v>
      </c>
      <c r="E1459" t="s">
        <v>32</v>
      </c>
      <c r="F1459" t="s">
        <v>28</v>
      </c>
      <c r="G1459">
        <v>11.7</v>
      </c>
      <c r="H1459">
        <v>8</v>
      </c>
      <c r="I1459" t="str" cm="1">
        <f t="array" ref="I1459">_xlfn.IFS(G1459&lt;3, "0–2 Years", G1459&lt;6, "3–5 Years", G1459&lt;9, "6–8 Years", G1459&lt;12, "9-11 Years", G1459&gt;=12, "12-14 Years")</f>
        <v>9-11 Years</v>
      </c>
      <c r="J1459">
        <v>3</v>
      </c>
      <c r="K1459" t="s">
        <v>20</v>
      </c>
      <c r="L1459">
        <v>72300</v>
      </c>
      <c r="M1459">
        <v>7600</v>
      </c>
      <c r="N1459">
        <v>79900</v>
      </c>
      <c r="O1459" t="s">
        <v>21</v>
      </c>
      <c r="P1459" s="3">
        <v>41754</v>
      </c>
      <c r="Q1459" t="s">
        <v>28</v>
      </c>
    </row>
    <row r="1460" spans="1:17" x14ac:dyDescent="0.35">
      <c r="A1460" t="s">
        <v>1512</v>
      </c>
      <c r="B1460" t="s">
        <v>16</v>
      </c>
      <c r="C1460">
        <v>24</v>
      </c>
      <c r="D1460" t="s">
        <v>38</v>
      </c>
      <c r="E1460" t="s">
        <v>61</v>
      </c>
      <c r="F1460" t="s">
        <v>36</v>
      </c>
      <c r="G1460">
        <v>6.7</v>
      </c>
      <c r="H1460">
        <v>3.8</v>
      </c>
      <c r="I1460" t="str" cm="1">
        <f t="array" ref="I1460">_xlfn.IFS(G1460&lt;3, "0–2 Years", G1460&lt;6, "3–5 Years", G1460&lt;9, "6–8 Years", G1460&lt;12, "9-11 Years", G1460&gt;=12, "12-14 Years")</f>
        <v>6–8 Years</v>
      </c>
      <c r="J1460">
        <v>2</v>
      </c>
      <c r="K1460" t="s">
        <v>20</v>
      </c>
      <c r="L1460">
        <v>100800</v>
      </c>
      <c r="M1460">
        <v>4200</v>
      </c>
      <c r="N1460">
        <v>105000</v>
      </c>
      <c r="O1460" t="s">
        <v>57</v>
      </c>
      <c r="P1460" s="3">
        <v>43560</v>
      </c>
      <c r="Q1460" t="s">
        <v>36</v>
      </c>
    </row>
    <row r="1461" spans="1:17" x14ac:dyDescent="0.35">
      <c r="A1461" t="s">
        <v>1513</v>
      </c>
      <c r="B1461" t="s">
        <v>23</v>
      </c>
      <c r="C1461">
        <v>35</v>
      </c>
      <c r="D1461" t="s">
        <v>44</v>
      </c>
      <c r="E1461" t="s">
        <v>45</v>
      </c>
      <c r="F1461" t="s">
        <v>28</v>
      </c>
      <c r="G1461">
        <v>8</v>
      </c>
      <c r="H1461">
        <v>5.7</v>
      </c>
      <c r="I1461" t="str" cm="1">
        <f t="array" ref="I1461">_xlfn.IFS(G1461&lt;3, "0–2 Years", G1461&lt;6, "3–5 Years", G1461&lt;9, "6–8 Years", G1461&lt;12, "9-11 Years", G1461&gt;=12, "12-14 Years")</f>
        <v>6–8 Years</v>
      </c>
      <c r="J1461">
        <v>3</v>
      </c>
      <c r="K1461" t="s">
        <v>20</v>
      </c>
      <c r="L1461">
        <v>80700</v>
      </c>
      <c r="M1461">
        <v>4100</v>
      </c>
      <c r="N1461">
        <v>84800</v>
      </c>
      <c r="O1461" t="s">
        <v>30</v>
      </c>
      <c r="P1461" s="3">
        <v>43117</v>
      </c>
      <c r="Q1461" t="s">
        <v>28</v>
      </c>
    </row>
    <row r="1462" spans="1:17" x14ac:dyDescent="0.35">
      <c r="A1462" t="s">
        <v>1514</v>
      </c>
      <c r="B1462" t="s">
        <v>16</v>
      </c>
      <c r="C1462" s="7">
        <v>29</v>
      </c>
      <c r="D1462" t="s">
        <v>44</v>
      </c>
      <c r="E1462" t="s">
        <v>51</v>
      </c>
      <c r="F1462" t="s">
        <v>28</v>
      </c>
      <c r="G1462" s="9">
        <v>13.8</v>
      </c>
      <c r="H1462" s="7">
        <v>8.5</v>
      </c>
      <c r="I1462" t="str" cm="1">
        <f t="array" ref="I1462">_xlfn.IFS(G1462&lt;3, "0–2 Years", G1462&lt;6, "3–5 Years", G1462&lt;9, "6–8 Years", G1462&lt;12, "9-11 Years", G1462&gt;=12, "12-14 Years")</f>
        <v>12-14 Years</v>
      </c>
      <c r="J1462" s="7">
        <v>3</v>
      </c>
      <c r="K1462" t="s">
        <v>24</v>
      </c>
      <c r="L1462" s="7">
        <v>62500</v>
      </c>
      <c r="M1462" s="7">
        <v>6000</v>
      </c>
      <c r="N1462" s="7">
        <v>68500</v>
      </c>
      <c r="O1462" t="s">
        <v>25</v>
      </c>
      <c r="P1462" s="3">
        <v>40975</v>
      </c>
      <c r="Q1462" t="s">
        <v>28</v>
      </c>
    </row>
    <row r="1463" spans="1:17" x14ac:dyDescent="0.35">
      <c r="A1463" t="s">
        <v>1515</v>
      </c>
      <c r="B1463" t="s">
        <v>16</v>
      </c>
      <c r="C1463" s="7">
        <v>44</v>
      </c>
      <c r="D1463" t="s">
        <v>44</v>
      </c>
      <c r="E1463" t="s">
        <v>45</v>
      </c>
      <c r="F1463" t="s">
        <v>19</v>
      </c>
      <c r="G1463" s="9">
        <v>13.5</v>
      </c>
      <c r="H1463" s="7">
        <v>8.8000000000000007</v>
      </c>
      <c r="I1463" t="str" cm="1">
        <f t="array" ref="I1463">_xlfn.IFS(G1463&lt;3, "0–2 Years", G1463&lt;6, "3–5 Years", G1463&lt;9, "6–8 Years", G1463&lt;12, "9-11 Years", G1463&gt;=12, "12-14 Years")</f>
        <v>12-14 Years</v>
      </c>
      <c r="J1463" s="7">
        <v>4</v>
      </c>
      <c r="K1463" t="s">
        <v>69</v>
      </c>
      <c r="L1463" s="7">
        <v>63700</v>
      </c>
      <c r="M1463" s="7">
        <v>3600</v>
      </c>
      <c r="N1463" s="7">
        <v>67300</v>
      </c>
      <c r="O1463" t="s">
        <v>25</v>
      </c>
      <c r="P1463" s="3">
        <v>41107</v>
      </c>
      <c r="Q1463" t="s">
        <v>19</v>
      </c>
    </row>
    <row r="1464" spans="1:17" x14ac:dyDescent="0.35">
      <c r="A1464" t="s">
        <v>1516</v>
      </c>
      <c r="B1464" t="s">
        <v>16</v>
      </c>
      <c r="C1464">
        <v>41</v>
      </c>
      <c r="D1464" t="s">
        <v>44</v>
      </c>
      <c r="E1464" t="s">
        <v>81</v>
      </c>
      <c r="F1464" t="s">
        <v>36</v>
      </c>
      <c r="G1464">
        <v>11</v>
      </c>
      <c r="H1464">
        <v>5.2</v>
      </c>
      <c r="I1464" t="str" cm="1">
        <f t="array" ref="I1464">_xlfn.IFS(G1464&lt;3, "0–2 Years", G1464&lt;6, "3–5 Years", G1464&lt;9, "6–8 Years", G1464&lt;12, "9-11 Years", G1464&gt;=12, "12-14 Years")</f>
        <v>9-11 Years</v>
      </c>
      <c r="J1464">
        <v>3</v>
      </c>
      <c r="K1464" t="s">
        <v>24</v>
      </c>
      <c r="L1464">
        <v>65700</v>
      </c>
      <c r="M1464">
        <v>7100</v>
      </c>
      <c r="N1464">
        <v>72800</v>
      </c>
      <c r="O1464" t="s">
        <v>21</v>
      </c>
      <c r="P1464" s="3">
        <v>41999</v>
      </c>
      <c r="Q1464" t="s">
        <v>36</v>
      </c>
    </row>
    <row r="1465" spans="1:17" x14ac:dyDescent="0.35">
      <c r="A1465" t="s">
        <v>1517</v>
      </c>
      <c r="B1465" t="s">
        <v>23</v>
      </c>
      <c r="C1465">
        <v>25</v>
      </c>
      <c r="D1465" t="s">
        <v>44</v>
      </c>
      <c r="E1465" t="s">
        <v>81</v>
      </c>
      <c r="F1465" t="s">
        <v>28</v>
      </c>
      <c r="G1465">
        <v>3</v>
      </c>
      <c r="H1465">
        <v>0.8</v>
      </c>
      <c r="I1465" t="str" cm="1">
        <f t="array" ref="I1465">_xlfn.IFS(G1465&lt;3, "0–2 Years", G1465&lt;6, "3–5 Years", G1465&lt;9, "6–8 Years", G1465&lt;12, "9-11 Years", G1465&gt;=12, "12-14 Years")</f>
        <v>3–5 Years</v>
      </c>
      <c r="J1465">
        <v>5</v>
      </c>
      <c r="K1465" t="s">
        <v>20</v>
      </c>
      <c r="L1465">
        <v>106400</v>
      </c>
      <c r="M1465">
        <v>7600</v>
      </c>
      <c r="N1465">
        <v>114000</v>
      </c>
      <c r="O1465" t="s">
        <v>57</v>
      </c>
      <c r="P1465" s="3">
        <v>44941</v>
      </c>
      <c r="Q1465" t="s">
        <v>28</v>
      </c>
    </row>
    <row r="1466" spans="1:17" x14ac:dyDescent="0.35">
      <c r="A1466" t="s">
        <v>1518</v>
      </c>
      <c r="B1466" t="s">
        <v>23</v>
      </c>
      <c r="C1466">
        <v>32</v>
      </c>
      <c r="D1466" t="s">
        <v>55</v>
      </c>
      <c r="E1466" t="s">
        <v>79</v>
      </c>
      <c r="F1466" t="s">
        <v>36</v>
      </c>
      <c r="G1466">
        <v>9.8000000000000007</v>
      </c>
      <c r="H1466">
        <v>5.6</v>
      </c>
      <c r="I1466" t="str" cm="1">
        <f t="array" ref="I1466">_xlfn.IFS(G1466&lt;3, "0–2 Years", G1466&lt;6, "3–5 Years", G1466&lt;9, "6–8 Years", G1466&lt;12, "9-11 Years", G1466&gt;=12, "12-14 Years")</f>
        <v>9-11 Years</v>
      </c>
      <c r="J1466">
        <v>3</v>
      </c>
      <c r="K1466" t="s">
        <v>20</v>
      </c>
      <c r="L1466">
        <v>80400</v>
      </c>
      <c r="M1466">
        <v>10000</v>
      </c>
      <c r="N1466">
        <v>90400</v>
      </c>
      <c r="O1466" t="s">
        <v>30</v>
      </c>
      <c r="P1466" s="3">
        <v>42445</v>
      </c>
      <c r="Q1466" t="s">
        <v>36</v>
      </c>
    </row>
    <row r="1467" spans="1:17" x14ac:dyDescent="0.35">
      <c r="A1467" t="s">
        <v>1519</v>
      </c>
      <c r="B1467" t="s">
        <v>23</v>
      </c>
      <c r="C1467">
        <v>34</v>
      </c>
      <c r="D1467" t="s">
        <v>55</v>
      </c>
      <c r="E1467" t="s">
        <v>92</v>
      </c>
      <c r="F1467" t="s">
        <v>19</v>
      </c>
      <c r="G1467">
        <v>7.3</v>
      </c>
      <c r="H1467">
        <v>5.0999999999999996</v>
      </c>
      <c r="I1467" t="str" cm="1">
        <f t="array" ref="I1467">_xlfn.IFS(G1467&lt;3, "0–2 Years", G1467&lt;6, "3–5 Years", G1467&lt;9, "6–8 Years", G1467&lt;12, "9-11 Years", G1467&gt;=12, "12-14 Years")</f>
        <v>6–8 Years</v>
      </c>
      <c r="J1467">
        <v>3</v>
      </c>
      <c r="K1467" t="s">
        <v>20</v>
      </c>
      <c r="L1467">
        <v>95200</v>
      </c>
      <c r="M1467">
        <v>10500</v>
      </c>
      <c r="N1467">
        <v>105700</v>
      </c>
      <c r="O1467" t="s">
        <v>30</v>
      </c>
      <c r="P1467" s="3">
        <v>43349</v>
      </c>
      <c r="Q1467" t="s">
        <v>19</v>
      </c>
    </row>
    <row r="1468" spans="1:17" x14ac:dyDescent="0.35">
      <c r="A1468" t="s">
        <v>1520</v>
      </c>
      <c r="B1468" t="s">
        <v>16</v>
      </c>
      <c r="C1468" s="7">
        <v>29</v>
      </c>
      <c r="D1468" t="s">
        <v>44</v>
      </c>
      <c r="E1468" t="s">
        <v>76</v>
      </c>
      <c r="F1468" t="s">
        <v>36</v>
      </c>
      <c r="G1468" s="9">
        <v>12.7</v>
      </c>
      <c r="H1468" s="7">
        <v>8.5</v>
      </c>
      <c r="I1468" t="str" cm="1">
        <f t="array" ref="I1468">_xlfn.IFS(G1468&lt;3, "0–2 Years", G1468&lt;6, "3–5 Years", G1468&lt;9, "6–8 Years", G1468&lt;12, "9-11 Years", G1468&gt;=12, "12-14 Years")</f>
        <v>12-14 Years</v>
      </c>
      <c r="J1468" s="7">
        <v>2</v>
      </c>
      <c r="K1468" t="s">
        <v>20</v>
      </c>
      <c r="L1468" s="7">
        <v>123400</v>
      </c>
      <c r="M1468" s="7">
        <v>10500</v>
      </c>
      <c r="N1468" s="7">
        <v>133900</v>
      </c>
      <c r="O1468" t="s">
        <v>57</v>
      </c>
      <c r="P1468" s="3">
        <v>41383</v>
      </c>
      <c r="Q1468" t="s">
        <v>36</v>
      </c>
    </row>
    <row r="1469" spans="1:17" x14ac:dyDescent="0.35">
      <c r="A1469" t="s">
        <v>1521</v>
      </c>
      <c r="B1469" t="s">
        <v>23</v>
      </c>
      <c r="C1469" s="7">
        <v>41</v>
      </c>
      <c r="D1469" t="s">
        <v>44</v>
      </c>
      <c r="E1469" t="s">
        <v>51</v>
      </c>
      <c r="F1469" t="s">
        <v>28</v>
      </c>
      <c r="G1469" s="9">
        <v>13.6</v>
      </c>
      <c r="H1469" s="7">
        <v>9.9</v>
      </c>
      <c r="I1469" t="str" cm="1">
        <f t="array" ref="I1469">_xlfn.IFS(G1469&lt;3, "0–2 Years", G1469&lt;6, "3–5 Years", G1469&lt;9, "6–8 Years", G1469&lt;12, "9-11 Years", G1469&gt;=12, "12-14 Years")</f>
        <v>12-14 Years</v>
      </c>
      <c r="J1469" s="7">
        <v>2</v>
      </c>
      <c r="K1469" t="s">
        <v>20</v>
      </c>
      <c r="L1469" s="7">
        <v>85700</v>
      </c>
      <c r="M1469" s="7">
        <v>7900</v>
      </c>
      <c r="N1469" s="7">
        <v>93600</v>
      </c>
      <c r="O1469" t="s">
        <v>30</v>
      </c>
      <c r="P1469" s="3">
        <v>41049</v>
      </c>
      <c r="Q1469" t="s">
        <v>28</v>
      </c>
    </row>
    <row r="1470" spans="1:17" x14ac:dyDescent="0.35">
      <c r="A1470" t="s">
        <v>1522</v>
      </c>
      <c r="B1470" t="s">
        <v>16</v>
      </c>
      <c r="C1470">
        <v>43</v>
      </c>
      <c r="D1470" t="s">
        <v>38</v>
      </c>
      <c r="E1470" t="s">
        <v>112</v>
      </c>
      <c r="F1470" t="s">
        <v>36</v>
      </c>
      <c r="G1470">
        <v>2.6</v>
      </c>
      <c r="H1470">
        <v>2.5</v>
      </c>
      <c r="I1470" t="str" cm="1">
        <f t="array" ref="I1470">_xlfn.IFS(G1470&lt;3, "0–2 Years", G1470&lt;6, "3–5 Years", G1470&lt;9, "6–8 Years", G1470&lt;12, "9-11 Years", G1470&gt;=12, "12-14 Years")</f>
        <v>0–2 Years</v>
      </c>
      <c r="J1470">
        <v>3</v>
      </c>
      <c r="K1470" t="s">
        <v>20</v>
      </c>
      <c r="L1470">
        <v>67400</v>
      </c>
      <c r="M1470">
        <v>6000</v>
      </c>
      <c r="N1470">
        <v>73400</v>
      </c>
      <c r="O1470" t="s">
        <v>21</v>
      </c>
      <c r="P1470" s="3">
        <v>45075</v>
      </c>
      <c r="Q1470" t="s">
        <v>36</v>
      </c>
    </row>
    <row r="1471" spans="1:17" x14ac:dyDescent="0.35">
      <c r="A1471" t="s">
        <v>1523</v>
      </c>
      <c r="B1471" t="s">
        <v>16</v>
      </c>
      <c r="C1471">
        <v>42</v>
      </c>
      <c r="D1471" t="s">
        <v>41</v>
      </c>
      <c r="E1471" t="s">
        <v>42</v>
      </c>
      <c r="F1471" t="s">
        <v>36</v>
      </c>
      <c r="G1471">
        <v>3.5</v>
      </c>
      <c r="H1471">
        <v>0.6</v>
      </c>
      <c r="I1471" t="str" cm="1">
        <f t="array" ref="I1471">_xlfn.IFS(G1471&lt;3, "0–2 Years", G1471&lt;6, "3–5 Years", G1471&lt;9, "6–8 Years", G1471&lt;12, "9-11 Years", G1471&gt;=12, "12-14 Years")</f>
        <v>3–5 Years</v>
      </c>
      <c r="J1471">
        <v>4</v>
      </c>
      <c r="K1471" t="s">
        <v>20</v>
      </c>
      <c r="L1471">
        <v>79200</v>
      </c>
      <c r="M1471">
        <v>3400</v>
      </c>
      <c r="N1471">
        <v>82600</v>
      </c>
      <c r="O1471" t="s">
        <v>21</v>
      </c>
      <c r="P1471" s="3">
        <v>44745</v>
      </c>
      <c r="Q1471" t="s">
        <v>36</v>
      </c>
    </row>
    <row r="1472" spans="1:17" x14ac:dyDescent="0.35">
      <c r="A1472" t="s">
        <v>1524</v>
      </c>
      <c r="B1472" t="s">
        <v>23</v>
      </c>
      <c r="C1472">
        <v>47</v>
      </c>
      <c r="D1472" t="s">
        <v>41</v>
      </c>
      <c r="E1472" t="s">
        <v>67</v>
      </c>
      <c r="F1472" t="s">
        <v>36</v>
      </c>
      <c r="G1472">
        <v>10.7</v>
      </c>
      <c r="H1472">
        <v>5.4</v>
      </c>
      <c r="I1472" t="str" cm="1">
        <f t="array" ref="I1472">_xlfn.IFS(G1472&lt;3, "0–2 Years", G1472&lt;6, "3–5 Years", G1472&lt;9, "6–8 Years", G1472&lt;12, "9-11 Years", G1472&gt;=12, "12-14 Years")</f>
        <v>9-11 Years</v>
      </c>
      <c r="J1472">
        <v>3</v>
      </c>
      <c r="K1472" t="s">
        <v>20</v>
      </c>
      <c r="L1472">
        <v>81900</v>
      </c>
      <c r="M1472">
        <v>3900</v>
      </c>
      <c r="N1472">
        <v>85800</v>
      </c>
      <c r="O1472" t="s">
        <v>30</v>
      </c>
      <c r="P1472" s="3">
        <v>42100</v>
      </c>
      <c r="Q1472" t="s">
        <v>36</v>
      </c>
    </row>
    <row r="1473" spans="1:17" x14ac:dyDescent="0.35">
      <c r="A1473" t="s">
        <v>1525</v>
      </c>
      <c r="B1473" t="s">
        <v>16</v>
      </c>
      <c r="C1473">
        <v>31</v>
      </c>
      <c r="D1473" t="s">
        <v>34</v>
      </c>
      <c r="E1473" t="s">
        <v>35</v>
      </c>
      <c r="F1473" t="s">
        <v>19</v>
      </c>
      <c r="G1473">
        <v>2.7</v>
      </c>
      <c r="H1473">
        <v>0</v>
      </c>
      <c r="I1473" t="str" cm="1">
        <f t="array" ref="I1473">_xlfn.IFS(G1473&lt;3, "0–2 Years", G1473&lt;6, "3–5 Years", G1473&lt;9, "6–8 Years", G1473&lt;12, "9-11 Years", G1473&gt;=12, "12-14 Years")</f>
        <v>0–2 Years</v>
      </c>
      <c r="J1473">
        <v>2</v>
      </c>
      <c r="K1473" t="s">
        <v>24</v>
      </c>
      <c r="L1473">
        <v>34900</v>
      </c>
      <c r="M1473">
        <v>1500</v>
      </c>
      <c r="N1473">
        <v>36400</v>
      </c>
      <c r="O1473" t="s">
        <v>65</v>
      </c>
      <c r="P1473" s="3">
        <v>45023</v>
      </c>
      <c r="Q1473" t="s">
        <v>19</v>
      </c>
    </row>
    <row r="1474" spans="1:17" x14ac:dyDescent="0.35">
      <c r="A1474" t="s">
        <v>1526</v>
      </c>
      <c r="B1474" t="s">
        <v>23</v>
      </c>
      <c r="C1474">
        <v>34</v>
      </c>
      <c r="D1474" t="s">
        <v>38</v>
      </c>
      <c r="E1474" t="s">
        <v>112</v>
      </c>
      <c r="F1474" t="s">
        <v>19</v>
      </c>
      <c r="G1474">
        <v>5</v>
      </c>
      <c r="H1474">
        <v>5</v>
      </c>
      <c r="I1474" t="str" cm="1">
        <f t="array" ref="I1474">_xlfn.IFS(G1474&lt;3, "0–2 Years", G1474&lt;6, "3–5 Years", G1474&lt;9, "6–8 Years", G1474&lt;12, "9-11 Years", G1474&gt;=12, "12-14 Years")</f>
        <v>3–5 Years</v>
      </c>
      <c r="J1474">
        <v>4</v>
      </c>
      <c r="K1474" t="s">
        <v>24</v>
      </c>
      <c r="L1474">
        <v>44900</v>
      </c>
      <c r="M1474">
        <v>3600</v>
      </c>
      <c r="N1474">
        <v>48500</v>
      </c>
      <c r="O1474" t="s">
        <v>65</v>
      </c>
      <c r="P1474" s="3">
        <v>44182</v>
      </c>
      <c r="Q1474" t="s">
        <v>19</v>
      </c>
    </row>
    <row r="1475" spans="1:17" x14ac:dyDescent="0.35">
      <c r="A1475" t="s">
        <v>1527</v>
      </c>
      <c r="B1475" t="s">
        <v>16</v>
      </c>
      <c r="C1475" s="7">
        <v>30</v>
      </c>
      <c r="D1475" t="s">
        <v>34</v>
      </c>
      <c r="E1475" t="s">
        <v>59</v>
      </c>
      <c r="F1475" t="s">
        <v>19</v>
      </c>
      <c r="G1475" s="9">
        <v>12.1</v>
      </c>
      <c r="H1475" s="7">
        <v>7.1</v>
      </c>
      <c r="I1475" t="str" cm="1">
        <f t="array" ref="I1475">_xlfn.IFS(G1475&lt;3, "0–2 Years", G1475&lt;6, "3–5 Years", G1475&lt;9, "6–8 Years", G1475&lt;12, "9-11 Years", G1475&gt;=12, "12-14 Years")</f>
        <v>12-14 Years</v>
      </c>
      <c r="J1475" s="7">
        <v>4</v>
      </c>
      <c r="K1475" t="s">
        <v>69</v>
      </c>
      <c r="L1475" s="7">
        <v>76200</v>
      </c>
      <c r="M1475" s="7">
        <v>5700</v>
      </c>
      <c r="N1475" s="7">
        <v>81900</v>
      </c>
      <c r="O1475" t="s">
        <v>21</v>
      </c>
      <c r="P1475" s="3">
        <v>41591</v>
      </c>
      <c r="Q1475" t="s">
        <v>19</v>
      </c>
    </row>
    <row r="1476" spans="1:17" x14ac:dyDescent="0.35">
      <c r="A1476" t="s">
        <v>1528</v>
      </c>
      <c r="B1476" t="s">
        <v>16</v>
      </c>
      <c r="C1476">
        <v>39</v>
      </c>
      <c r="D1476" t="s">
        <v>34</v>
      </c>
      <c r="E1476" t="s">
        <v>59</v>
      </c>
      <c r="F1476" t="s">
        <v>28</v>
      </c>
      <c r="G1476">
        <v>6.3</v>
      </c>
      <c r="H1476">
        <v>2.2999999999999998</v>
      </c>
      <c r="I1476" t="str" cm="1">
        <f t="array" ref="I1476">_xlfn.IFS(G1476&lt;3, "0–2 Years", G1476&lt;6, "3–5 Years", G1476&lt;9, "6–8 Years", G1476&lt;12, "9-11 Years", G1476&gt;=12, "12-14 Years")</f>
        <v>6–8 Years</v>
      </c>
      <c r="J1476">
        <v>3</v>
      </c>
      <c r="K1476" t="s">
        <v>20</v>
      </c>
      <c r="L1476">
        <v>100200</v>
      </c>
      <c r="M1476">
        <v>11100</v>
      </c>
      <c r="N1476">
        <v>111300</v>
      </c>
      <c r="O1476" t="s">
        <v>57</v>
      </c>
      <c r="P1476" s="3">
        <v>43739</v>
      </c>
      <c r="Q1476" t="s">
        <v>28</v>
      </c>
    </row>
    <row r="1477" spans="1:17" x14ac:dyDescent="0.35">
      <c r="A1477" t="s">
        <v>1529</v>
      </c>
      <c r="B1477" t="s">
        <v>23</v>
      </c>
      <c r="C1477">
        <v>66</v>
      </c>
      <c r="D1477" t="s">
        <v>41</v>
      </c>
      <c r="E1477" t="s">
        <v>42</v>
      </c>
      <c r="F1477" t="s">
        <v>28</v>
      </c>
      <c r="G1477">
        <v>11.9</v>
      </c>
      <c r="H1477">
        <v>9.3000000000000007</v>
      </c>
      <c r="I1477" t="str" cm="1">
        <f t="array" ref="I1477">_xlfn.IFS(G1477&lt;3, "0–2 Years", G1477&lt;6, "3–5 Years", G1477&lt;9, "6–8 Years", G1477&lt;12, "9-11 Years", G1477&gt;=12, "12-14 Years")</f>
        <v>9-11 Years</v>
      </c>
      <c r="J1477">
        <v>4</v>
      </c>
      <c r="K1477" t="s">
        <v>20</v>
      </c>
      <c r="L1477">
        <v>90300</v>
      </c>
      <c r="M1477">
        <v>7600</v>
      </c>
      <c r="N1477">
        <v>97900</v>
      </c>
      <c r="O1477" t="s">
        <v>30</v>
      </c>
      <c r="P1477" s="3">
        <v>41679</v>
      </c>
      <c r="Q1477" t="s">
        <v>28</v>
      </c>
    </row>
    <row r="1478" spans="1:17" x14ac:dyDescent="0.35">
      <c r="A1478" t="s">
        <v>1530</v>
      </c>
      <c r="B1478" t="s">
        <v>23</v>
      </c>
      <c r="C1478">
        <v>51</v>
      </c>
      <c r="D1478" t="s">
        <v>38</v>
      </c>
      <c r="E1478" t="s">
        <v>39</v>
      </c>
      <c r="F1478" t="s">
        <v>36</v>
      </c>
      <c r="G1478">
        <v>4.8</v>
      </c>
      <c r="H1478">
        <v>4.5999999999999996</v>
      </c>
      <c r="I1478" t="str" cm="1">
        <f t="array" ref="I1478">_xlfn.IFS(G1478&lt;3, "0–2 Years", G1478&lt;6, "3–5 Years", G1478&lt;9, "6–8 Years", G1478&lt;12, "9-11 Years", G1478&gt;=12, "12-14 Years")</f>
        <v>3–5 Years</v>
      </c>
      <c r="J1478">
        <v>2</v>
      </c>
      <c r="K1478" t="s">
        <v>69</v>
      </c>
      <c r="L1478">
        <v>63800</v>
      </c>
      <c r="M1478">
        <v>6200</v>
      </c>
      <c r="N1478">
        <v>70000</v>
      </c>
      <c r="O1478" t="s">
        <v>25</v>
      </c>
      <c r="P1478" s="3">
        <v>44266</v>
      </c>
      <c r="Q1478" t="s">
        <v>36</v>
      </c>
    </row>
    <row r="1479" spans="1:17" x14ac:dyDescent="0.35">
      <c r="A1479" t="s">
        <v>1531</v>
      </c>
      <c r="B1479" t="s">
        <v>23</v>
      </c>
      <c r="C1479">
        <v>46</v>
      </c>
      <c r="D1479" t="s">
        <v>55</v>
      </c>
      <c r="E1479" t="s">
        <v>56</v>
      </c>
      <c r="F1479" t="s">
        <v>36</v>
      </c>
      <c r="G1479">
        <v>7.9</v>
      </c>
      <c r="H1479">
        <v>6.9</v>
      </c>
      <c r="I1479" t="str" cm="1">
        <f t="array" ref="I1479">_xlfn.IFS(G1479&lt;3, "0–2 Years", G1479&lt;6, "3–5 Years", G1479&lt;9, "6–8 Years", G1479&lt;12, "9-11 Years", G1479&gt;=12, "12-14 Years")</f>
        <v>6–8 Years</v>
      </c>
      <c r="J1479">
        <v>3</v>
      </c>
      <c r="K1479" t="s">
        <v>20</v>
      </c>
      <c r="L1479">
        <v>107700</v>
      </c>
      <c r="M1479">
        <v>18300</v>
      </c>
      <c r="N1479">
        <v>126000</v>
      </c>
      <c r="O1479" t="s">
        <v>57</v>
      </c>
      <c r="P1479" s="3">
        <v>43136</v>
      </c>
      <c r="Q1479" t="s">
        <v>36</v>
      </c>
    </row>
    <row r="1480" spans="1:17" x14ac:dyDescent="0.35">
      <c r="A1480" t="s">
        <v>1532</v>
      </c>
      <c r="B1480" t="s">
        <v>23</v>
      </c>
      <c r="C1480">
        <v>35</v>
      </c>
      <c r="D1480" t="s">
        <v>55</v>
      </c>
      <c r="E1480" t="s">
        <v>92</v>
      </c>
      <c r="F1480" t="s">
        <v>28</v>
      </c>
      <c r="G1480">
        <v>8.1999999999999993</v>
      </c>
      <c r="H1480">
        <v>5.0999999999999996</v>
      </c>
      <c r="I1480" t="str" cm="1">
        <f t="array" ref="I1480">_xlfn.IFS(G1480&lt;3, "0–2 Years", G1480&lt;6, "3–5 Years", G1480&lt;9, "6–8 Years", G1480&lt;12, "9-11 Years", G1480&gt;=12, "12-14 Years")</f>
        <v>6–8 Years</v>
      </c>
      <c r="J1480">
        <v>4</v>
      </c>
      <c r="K1480" t="s">
        <v>20</v>
      </c>
      <c r="L1480">
        <v>106800</v>
      </c>
      <c r="M1480">
        <v>17700</v>
      </c>
      <c r="N1480">
        <v>124500</v>
      </c>
      <c r="O1480" t="s">
        <v>57</v>
      </c>
      <c r="P1480" s="3">
        <v>43039</v>
      </c>
      <c r="Q1480" t="s">
        <v>28</v>
      </c>
    </row>
    <row r="1481" spans="1:17" x14ac:dyDescent="0.35">
      <c r="A1481" t="s">
        <v>1533</v>
      </c>
      <c r="B1481" t="s">
        <v>23</v>
      </c>
      <c r="C1481">
        <v>45</v>
      </c>
      <c r="D1481" t="s">
        <v>41</v>
      </c>
      <c r="E1481" t="s">
        <v>67</v>
      </c>
      <c r="F1481" t="s">
        <v>19</v>
      </c>
      <c r="G1481">
        <v>9.5</v>
      </c>
      <c r="H1481">
        <v>7.3</v>
      </c>
      <c r="I1481" t="str" cm="1">
        <f t="array" ref="I1481">_xlfn.IFS(G1481&lt;3, "0–2 Years", G1481&lt;6, "3–5 Years", G1481&lt;9, "6–8 Years", G1481&lt;12, "9-11 Years", G1481&gt;=12, "12-14 Years")</f>
        <v>9-11 Years</v>
      </c>
      <c r="J1481">
        <v>4</v>
      </c>
      <c r="K1481" t="s">
        <v>24</v>
      </c>
      <c r="L1481">
        <v>44100</v>
      </c>
      <c r="M1481">
        <v>3300</v>
      </c>
      <c r="N1481">
        <v>47400</v>
      </c>
      <c r="O1481" t="s">
        <v>65</v>
      </c>
      <c r="P1481" s="3">
        <v>42557</v>
      </c>
      <c r="Q1481" t="s">
        <v>19</v>
      </c>
    </row>
    <row r="1482" spans="1:17" x14ac:dyDescent="0.35">
      <c r="A1482" t="s">
        <v>1534</v>
      </c>
      <c r="B1482" t="s">
        <v>16</v>
      </c>
      <c r="C1482">
        <v>46</v>
      </c>
      <c r="D1482" t="s">
        <v>34</v>
      </c>
      <c r="E1482" t="s">
        <v>35</v>
      </c>
      <c r="F1482" t="s">
        <v>36</v>
      </c>
      <c r="G1482">
        <v>6</v>
      </c>
      <c r="H1482">
        <v>3.5</v>
      </c>
      <c r="I1482" t="str" cm="1">
        <f t="array" ref="I1482">_xlfn.IFS(G1482&lt;3, "0–2 Years", G1482&lt;6, "3–5 Years", G1482&lt;9, "6–8 Years", G1482&lt;12, "9-11 Years", G1482&gt;=12, "12-14 Years")</f>
        <v>6–8 Years</v>
      </c>
      <c r="J1482">
        <v>4</v>
      </c>
      <c r="K1482" t="s">
        <v>24</v>
      </c>
      <c r="L1482">
        <v>45900</v>
      </c>
      <c r="M1482">
        <v>5500</v>
      </c>
      <c r="N1482">
        <v>51400</v>
      </c>
      <c r="O1482" t="s">
        <v>65</v>
      </c>
      <c r="P1482" s="3">
        <v>43817</v>
      </c>
      <c r="Q1482" t="s">
        <v>36</v>
      </c>
    </row>
    <row r="1483" spans="1:17" x14ac:dyDescent="0.35">
      <c r="A1483" t="s">
        <v>1535</v>
      </c>
      <c r="B1483" t="s">
        <v>16</v>
      </c>
      <c r="C1483">
        <v>37</v>
      </c>
      <c r="D1483" t="s">
        <v>34</v>
      </c>
      <c r="E1483" t="s">
        <v>59</v>
      </c>
      <c r="F1483" t="s">
        <v>36</v>
      </c>
      <c r="G1483">
        <v>3.5</v>
      </c>
      <c r="H1483">
        <v>2.9</v>
      </c>
      <c r="I1483" t="str" cm="1">
        <f t="array" ref="I1483">_xlfn.IFS(G1483&lt;3, "0–2 Years", G1483&lt;6, "3–5 Years", G1483&lt;9, "6–8 Years", G1483&lt;12, "9-11 Years", G1483&gt;=12, "12-14 Years")</f>
        <v>3–5 Years</v>
      </c>
      <c r="J1483">
        <v>4</v>
      </c>
      <c r="K1483" t="s">
        <v>20</v>
      </c>
      <c r="L1483">
        <v>105100</v>
      </c>
      <c r="M1483">
        <v>4400</v>
      </c>
      <c r="N1483">
        <v>109500</v>
      </c>
      <c r="O1483" t="s">
        <v>57</v>
      </c>
      <c r="P1483" s="3">
        <v>44744</v>
      </c>
      <c r="Q1483" t="s">
        <v>36</v>
      </c>
    </row>
    <row r="1484" spans="1:17" x14ac:dyDescent="0.35">
      <c r="A1484" t="s">
        <v>1536</v>
      </c>
      <c r="B1484" t="s">
        <v>23</v>
      </c>
      <c r="C1484">
        <v>28</v>
      </c>
      <c r="D1484" t="s">
        <v>55</v>
      </c>
      <c r="E1484" t="s">
        <v>92</v>
      </c>
      <c r="F1484" t="s">
        <v>62</v>
      </c>
      <c r="G1484">
        <v>7.7</v>
      </c>
      <c r="H1484">
        <v>2.6</v>
      </c>
      <c r="I1484" t="str" cm="1">
        <f t="array" ref="I1484">_xlfn.IFS(G1484&lt;3, "0–2 Years", G1484&lt;6, "3–5 Years", G1484&lt;9, "6–8 Years", G1484&lt;12, "9-11 Years", G1484&gt;=12, "12-14 Years")</f>
        <v>6–8 Years</v>
      </c>
      <c r="J1484">
        <v>3</v>
      </c>
      <c r="K1484" t="s">
        <v>20</v>
      </c>
      <c r="L1484">
        <v>117900</v>
      </c>
      <c r="M1484">
        <v>14700</v>
      </c>
      <c r="N1484">
        <v>132600</v>
      </c>
      <c r="O1484" t="s">
        <v>57</v>
      </c>
      <c r="P1484" s="3">
        <v>43204</v>
      </c>
      <c r="Q1484" t="s">
        <v>62</v>
      </c>
    </row>
    <row r="1485" spans="1:17" x14ac:dyDescent="0.35">
      <c r="A1485" t="s">
        <v>1537</v>
      </c>
      <c r="B1485" t="s">
        <v>23</v>
      </c>
      <c r="C1485">
        <v>37</v>
      </c>
      <c r="D1485" t="s">
        <v>41</v>
      </c>
      <c r="E1485" t="s">
        <v>42</v>
      </c>
      <c r="F1485" t="s">
        <v>28</v>
      </c>
      <c r="G1485">
        <v>8.3000000000000007</v>
      </c>
      <c r="H1485">
        <v>3.7</v>
      </c>
      <c r="I1485" t="str" cm="1">
        <f t="array" ref="I1485">_xlfn.IFS(G1485&lt;3, "0–2 Years", G1485&lt;6, "3–5 Years", G1485&lt;9, "6–8 Years", G1485&lt;12, "9-11 Years", G1485&gt;=12, "12-14 Years")</f>
        <v>6–8 Years</v>
      </c>
      <c r="J1485">
        <v>3</v>
      </c>
      <c r="K1485" t="s">
        <v>20</v>
      </c>
      <c r="L1485">
        <v>77700</v>
      </c>
      <c r="M1485">
        <v>3100</v>
      </c>
      <c r="N1485">
        <v>80800</v>
      </c>
      <c r="O1485" t="s">
        <v>21</v>
      </c>
      <c r="P1485" s="3">
        <v>42983</v>
      </c>
      <c r="Q1485" t="s">
        <v>28</v>
      </c>
    </row>
    <row r="1486" spans="1:17" x14ac:dyDescent="0.35">
      <c r="A1486" t="s">
        <v>1538</v>
      </c>
      <c r="B1486" t="s">
        <v>23</v>
      </c>
      <c r="C1486">
        <v>27</v>
      </c>
      <c r="D1486" t="s">
        <v>55</v>
      </c>
      <c r="E1486" t="s">
        <v>79</v>
      </c>
      <c r="F1486" t="s">
        <v>36</v>
      </c>
      <c r="G1486">
        <v>1.5</v>
      </c>
      <c r="H1486">
        <v>0.3</v>
      </c>
      <c r="I1486" t="str" cm="1">
        <f t="array" ref="I1486">_xlfn.IFS(G1486&lt;3, "0–2 Years", G1486&lt;6, "3–5 Years", G1486&lt;9, "6–8 Years", G1486&lt;12, "9-11 Years", G1486&gt;=12, "12-14 Years")</f>
        <v>0–2 Years</v>
      </c>
      <c r="J1486">
        <v>3</v>
      </c>
      <c r="K1486" t="s">
        <v>20</v>
      </c>
      <c r="L1486">
        <v>52900</v>
      </c>
      <c r="M1486">
        <v>7600</v>
      </c>
      <c r="N1486">
        <v>60500</v>
      </c>
      <c r="O1486" t="s">
        <v>25</v>
      </c>
      <c r="P1486" s="3">
        <v>45471</v>
      </c>
      <c r="Q1486" t="s">
        <v>36</v>
      </c>
    </row>
    <row r="1487" spans="1:17" x14ac:dyDescent="0.35">
      <c r="A1487" t="s">
        <v>1539</v>
      </c>
      <c r="B1487" t="s">
        <v>16</v>
      </c>
      <c r="C1487">
        <v>28</v>
      </c>
      <c r="D1487" t="s">
        <v>34</v>
      </c>
      <c r="E1487" t="s">
        <v>35</v>
      </c>
      <c r="F1487" t="s">
        <v>28</v>
      </c>
      <c r="G1487">
        <v>3.9</v>
      </c>
      <c r="H1487">
        <v>3.6</v>
      </c>
      <c r="I1487" t="str" cm="1">
        <f t="array" ref="I1487">_xlfn.IFS(G1487&lt;3, "0–2 Years", G1487&lt;6, "3–5 Years", G1487&lt;9, "6–8 Years", G1487&lt;12, "9-11 Years", G1487&gt;=12, "12-14 Years")</f>
        <v>3–5 Years</v>
      </c>
      <c r="J1487">
        <v>3</v>
      </c>
      <c r="K1487" t="s">
        <v>20</v>
      </c>
      <c r="L1487">
        <v>70800</v>
      </c>
      <c r="M1487">
        <v>6500</v>
      </c>
      <c r="N1487">
        <v>77300</v>
      </c>
      <c r="O1487" t="s">
        <v>21</v>
      </c>
      <c r="P1487" s="3">
        <v>44606</v>
      </c>
      <c r="Q1487" t="s">
        <v>28</v>
      </c>
    </row>
    <row r="1488" spans="1:17" x14ac:dyDescent="0.35">
      <c r="A1488" t="s">
        <v>1540</v>
      </c>
      <c r="B1488" t="s">
        <v>16</v>
      </c>
      <c r="C1488">
        <v>34</v>
      </c>
      <c r="D1488" t="s">
        <v>34</v>
      </c>
      <c r="E1488" t="s">
        <v>47</v>
      </c>
      <c r="F1488" t="s">
        <v>28</v>
      </c>
      <c r="G1488">
        <v>9.1</v>
      </c>
      <c r="H1488">
        <v>6.8</v>
      </c>
      <c r="I1488" t="str" cm="1">
        <f t="array" ref="I1488">_xlfn.IFS(G1488&lt;3, "0–2 Years", G1488&lt;6, "3–5 Years", G1488&lt;9, "6–8 Years", G1488&lt;12, "9-11 Years", G1488&gt;=12, "12-14 Years")</f>
        <v>9-11 Years</v>
      </c>
      <c r="J1488">
        <v>3</v>
      </c>
      <c r="K1488" t="s">
        <v>24</v>
      </c>
      <c r="L1488">
        <v>47300</v>
      </c>
      <c r="M1488">
        <v>3900</v>
      </c>
      <c r="N1488">
        <v>51200</v>
      </c>
      <c r="O1488" t="s">
        <v>65</v>
      </c>
      <c r="P1488" s="3">
        <v>42713</v>
      </c>
      <c r="Q1488" t="s">
        <v>28</v>
      </c>
    </row>
    <row r="1489" spans="1:17" x14ac:dyDescent="0.35">
      <c r="A1489" t="s">
        <v>1541</v>
      </c>
      <c r="B1489" t="s">
        <v>16</v>
      </c>
      <c r="C1489">
        <v>45</v>
      </c>
      <c r="D1489" t="s">
        <v>38</v>
      </c>
      <c r="E1489" t="s">
        <v>61</v>
      </c>
      <c r="F1489" t="s">
        <v>28</v>
      </c>
      <c r="G1489">
        <v>4.9000000000000004</v>
      </c>
      <c r="H1489">
        <v>3.8</v>
      </c>
      <c r="I1489" t="str" cm="1">
        <f t="array" ref="I1489">_xlfn.IFS(G1489&lt;3, "0–2 Years", G1489&lt;6, "3–5 Years", G1489&lt;9, "6–8 Years", G1489&lt;12, "9-11 Years", G1489&gt;=12, "12-14 Years")</f>
        <v>3–5 Years</v>
      </c>
      <c r="J1489">
        <v>3</v>
      </c>
      <c r="K1489" t="s">
        <v>20</v>
      </c>
      <c r="L1489">
        <v>107000</v>
      </c>
      <c r="M1489">
        <v>5300</v>
      </c>
      <c r="N1489">
        <v>112300</v>
      </c>
      <c r="O1489" t="s">
        <v>57</v>
      </c>
      <c r="P1489" s="3">
        <v>44241</v>
      </c>
      <c r="Q1489" t="s">
        <v>28</v>
      </c>
    </row>
    <row r="1490" spans="1:17" x14ac:dyDescent="0.35">
      <c r="A1490" t="s">
        <v>1542</v>
      </c>
      <c r="B1490" t="s">
        <v>16</v>
      </c>
      <c r="C1490">
        <v>47</v>
      </c>
      <c r="D1490" t="s">
        <v>55</v>
      </c>
      <c r="E1490" t="s">
        <v>92</v>
      </c>
      <c r="F1490" t="s">
        <v>28</v>
      </c>
      <c r="G1490">
        <v>9.4</v>
      </c>
      <c r="H1490">
        <v>5.3</v>
      </c>
      <c r="I1490" t="str" cm="1">
        <f t="array" ref="I1490">_xlfn.IFS(G1490&lt;3, "0–2 Years", G1490&lt;6, "3–5 Years", G1490&lt;9, "6–8 Years", G1490&lt;12, "9-11 Years", G1490&gt;=12, "12-14 Years")</f>
        <v>9-11 Years</v>
      </c>
      <c r="J1490">
        <v>3</v>
      </c>
      <c r="K1490" t="s">
        <v>20</v>
      </c>
      <c r="L1490">
        <v>91800</v>
      </c>
      <c r="M1490">
        <v>12600</v>
      </c>
      <c r="N1490">
        <v>104400</v>
      </c>
      <c r="O1490" t="s">
        <v>30</v>
      </c>
      <c r="P1490" s="3">
        <v>42597</v>
      </c>
      <c r="Q1490" t="s">
        <v>28</v>
      </c>
    </row>
    <row r="1491" spans="1:17" x14ac:dyDescent="0.35">
      <c r="A1491" t="s">
        <v>1543</v>
      </c>
      <c r="B1491" t="s">
        <v>16</v>
      </c>
      <c r="C1491">
        <v>32</v>
      </c>
      <c r="D1491" t="s">
        <v>17</v>
      </c>
      <c r="E1491" t="s">
        <v>18</v>
      </c>
      <c r="F1491" t="s">
        <v>28</v>
      </c>
      <c r="G1491">
        <v>4.2</v>
      </c>
      <c r="H1491">
        <v>0.6</v>
      </c>
      <c r="I1491" t="str" cm="1">
        <f t="array" ref="I1491">_xlfn.IFS(G1491&lt;3, "0–2 Years", G1491&lt;6, "3–5 Years", G1491&lt;9, "6–8 Years", G1491&lt;12, "9-11 Years", G1491&gt;=12, "12-14 Years")</f>
        <v>3–5 Years</v>
      </c>
      <c r="J1491">
        <v>2</v>
      </c>
      <c r="K1491" t="s">
        <v>20</v>
      </c>
      <c r="L1491">
        <v>105900</v>
      </c>
      <c r="M1491">
        <v>13400</v>
      </c>
      <c r="N1491">
        <v>119300</v>
      </c>
      <c r="O1491" t="s">
        <v>57</v>
      </c>
      <c r="P1491" s="3">
        <v>44502</v>
      </c>
      <c r="Q1491" t="s">
        <v>28</v>
      </c>
    </row>
    <row r="1492" spans="1:17" x14ac:dyDescent="0.35">
      <c r="A1492" t="s">
        <v>1544</v>
      </c>
      <c r="B1492" t="s">
        <v>23</v>
      </c>
      <c r="C1492">
        <v>41</v>
      </c>
      <c r="D1492" t="s">
        <v>38</v>
      </c>
      <c r="E1492" t="s">
        <v>112</v>
      </c>
      <c r="F1492" t="s">
        <v>36</v>
      </c>
      <c r="G1492">
        <v>6.4</v>
      </c>
      <c r="H1492">
        <v>2.2000000000000002</v>
      </c>
      <c r="I1492" t="str" cm="1">
        <f t="array" ref="I1492">_xlfn.IFS(G1492&lt;3, "0–2 Years", G1492&lt;6, "3–5 Years", G1492&lt;9, "6–8 Years", G1492&lt;12, "9-11 Years", G1492&gt;=12, "12-14 Years")</f>
        <v>6–8 Years</v>
      </c>
      <c r="J1492">
        <v>3</v>
      </c>
      <c r="K1492" t="s">
        <v>20</v>
      </c>
      <c r="L1492">
        <v>77100</v>
      </c>
      <c r="M1492">
        <v>5800</v>
      </c>
      <c r="N1492">
        <v>82900</v>
      </c>
      <c r="O1492" t="s">
        <v>21</v>
      </c>
      <c r="P1492" s="3">
        <v>43680</v>
      </c>
      <c r="Q1492" t="s">
        <v>36</v>
      </c>
    </row>
    <row r="1493" spans="1:17" x14ac:dyDescent="0.35">
      <c r="A1493" t="s">
        <v>1545</v>
      </c>
      <c r="B1493" t="s">
        <v>16</v>
      </c>
      <c r="C1493">
        <v>48</v>
      </c>
      <c r="D1493" t="s">
        <v>38</v>
      </c>
      <c r="E1493" t="s">
        <v>39</v>
      </c>
      <c r="F1493" t="s">
        <v>62</v>
      </c>
      <c r="G1493">
        <v>6</v>
      </c>
      <c r="H1493">
        <v>5.9</v>
      </c>
      <c r="I1493" t="str" cm="1">
        <f t="array" ref="I1493">_xlfn.IFS(G1493&lt;3, "0–2 Years", G1493&lt;6, "3–5 Years", G1493&lt;9, "6–8 Years", G1493&lt;12, "9-11 Years", G1493&gt;=12, "12-14 Years")</f>
        <v>6–8 Years</v>
      </c>
      <c r="J1493">
        <v>3</v>
      </c>
      <c r="K1493" t="s">
        <v>20</v>
      </c>
      <c r="L1493">
        <v>88000</v>
      </c>
      <c r="M1493">
        <v>8700</v>
      </c>
      <c r="N1493">
        <v>96700</v>
      </c>
      <c r="O1493" t="s">
        <v>30</v>
      </c>
      <c r="P1493" s="3">
        <v>43820</v>
      </c>
      <c r="Q1493" t="s">
        <v>62</v>
      </c>
    </row>
    <row r="1494" spans="1:17" x14ac:dyDescent="0.35">
      <c r="A1494" t="s">
        <v>1546</v>
      </c>
      <c r="B1494" t="s">
        <v>23</v>
      </c>
      <c r="C1494">
        <v>46</v>
      </c>
      <c r="D1494" t="s">
        <v>55</v>
      </c>
      <c r="E1494" t="s">
        <v>56</v>
      </c>
      <c r="F1494" t="s">
        <v>36</v>
      </c>
      <c r="G1494">
        <v>9.9</v>
      </c>
      <c r="H1494">
        <v>8</v>
      </c>
      <c r="I1494" t="str" cm="1">
        <f t="array" ref="I1494">_xlfn.IFS(G1494&lt;3, "0–2 Years", G1494&lt;6, "3–5 Years", G1494&lt;9, "6–8 Years", G1494&lt;12, "9-11 Years", G1494&gt;=12, "12-14 Years")</f>
        <v>9-11 Years</v>
      </c>
      <c r="J1494">
        <v>3</v>
      </c>
      <c r="K1494" t="s">
        <v>20</v>
      </c>
      <c r="L1494">
        <v>105200</v>
      </c>
      <c r="M1494">
        <v>11300</v>
      </c>
      <c r="N1494">
        <v>116500</v>
      </c>
      <c r="O1494" t="s">
        <v>57</v>
      </c>
      <c r="P1494" s="3">
        <v>42402</v>
      </c>
      <c r="Q1494" t="s">
        <v>36</v>
      </c>
    </row>
    <row r="1495" spans="1:17" x14ac:dyDescent="0.35">
      <c r="A1495" t="s">
        <v>1547</v>
      </c>
      <c r="B1495" t="s">
        <v>23</v>
      </c>
      <c r="C1495">
        <v>39</v>
      </c>
      <c r="D1495" t="s">
        <v>34</v>
      </c>
      <c r="E1495" t="s">
        <v>47</v>
      </c>
      <c r="F1495" t="s">
        <v>36</v>
      </c>
      <c r="G1495">
        <v>1.9</v>
      </c>
      <c r="H1495">
        <v>0.9</v>
      </c>
      <c r="I1495" t="str" cm="1">
        <f t="array" ref="I1495">_xlfn.IFS(G1495&lt;3, "0–2 Years", G1495&lt;6, "3–5 Years", G1495&lt;9, "6–8 Years", G1495&lt;12, "9-11 Years", G1495&gt;=12, "12-14 Years")</f>
        <v>0–2 Years</v>
      </c>
      <c r="J1495">
        <v>3</v>
      </c>
      <c r="K1495" t="s">
        <v>20</v>
      </c>
      <c r="L1495">
        <v>78900</v>
      </c>
      <c r="M1495">
        <v>5300</v>
      </c>
      <c r="N1495">
        <v>84200</v>
      </c>
      <c r="O1495" t="s">
        <v>21</v>
      </c>
      <c r="P1495" s="3">
        <v>45321</v>
      </c>
      <c r="Q1495" t="s">
        <v>36</v>
      </c>
    </row>
    <row r="1496" spans="1:17" x14ac:dyDescent="0.35">
      <c r="A1496" t="s">
        <v>1548</v>
      </c>
      <c r="B1496" t="s">
        <v>16</v>
      </c>
      <c r="C1496">
        <v>25</v>
      </c>
      <c r="D1496" t="s">
        <v>38</v>
      </c>
      <c r="E1496" t="s">
        <v>39</v>
      </c>
      <c r="F1496" t="s">
        <v>36</v>
      </c>
      <c r="G1496">
        <v>8.5</v>
      </c>
      <c r="H1496">
        <v>6.1</v>
      </c>
      <c r="I1496" t="str" cm="1">
        <f t="array" ref="I1496">_xlfn.IFS(G1496&lt;3, "0–2 Years", G1496&lt;6, "3–5 Years", G1496&lt;9, "6–8 Years", G1496&lt;12, "9-11 Years", G1496&gt;=12, "12-14 Years")</f>
        <v>6–8 Years</v>
      </c>
      <c r="J1496">
        <v>3</v>
      </c>
      <c r="K1496" t="s">
        <v>20</v>
      </c>
      <c r="L1496">
        <v>81600</v>
      </c>
      <c r="M1496">
        <v>3600</v>
      </c>
      <c r="N1496">
        <v>85200</v>
      </c>
      <c r="O1496" t="s">
        <v>30</v>
      </c>
      <c r="P1496" s="3">
        <v>42902</v>
      </c>
      <c r="Q1496" t="s">
        <v>36</v>
      </c>
    </row>
    <row r="1497" spans="1:17" x14ac:dyDescent="0.35">
      <c r="A1497" t="s">
        <v>1549</v>
      </c>
      <c r="B1497" t="s">
        <v>16</v>
      </c>
      <c r="C1497" s="7">
        <v>55</v>
      </c>
      <c r="D1497" t="s">
        <v>44</v>
      </c>
      <c r="E1497" t="s">
        <v>45</v>
      </c>
      <c r="F1497" t="s">
        <v>28</v>
      </c>
      <c r="G1497" s="9">
        <v>13.4</v>
      </c>
      <c r="H1497" s="7">
        <v>9.3000000000000007</v>
      </c>
      <c r="I1497" t="str" cm="1">
        <f t="array" ref="I1497">_xlfn.IFS(G1497&lt;3, "0–2 Years", G1497&lt;6, "3–5 Years", G1497&lt;9, "6–8 Years", G1497&lt;12, "9-11 Years", G1497&gt;=12, "12-14 Years")</f>
        <v>12-14 Years</v>
      </c>
      <c r="J1497" s="7">
        <v>3</v>
      </c>
      <c r="K1497" t="s">
        <v>20</v>
      </c>
      <c r="L1497" s="7">
        <v>70100</v>
      </c>
      <c r="M1497" s="7">
        <v>4900</v>
      </c>
      <c r="N1497" s="7">
        <v>75000</v>
      </c>
      <c r="O1497" t="s">
        <v>21</v>
      </c>
      <c r="P1497" s="3">
        <v>41112</v>
      </c>
      <c r="Q1497" t="s">
        <v>28</v>
      </c>
    </row>
    <row r="1498" spans="1:17" x14ac:dyDescent="0.35">
      <c r="A1498" t="s">
        <v>1550</v>
      </c>
      <c r="B1498" t="s">
        <v>16</v>
      </c>
      <c r="C1498">
        <v>40</v>
      </c>
      <c r="D1498" t="s">
        <v>34</v>
      </c>
      <c r="E1498" t="s">
        <v>59</v>
      </c>
      <c r="F1498" t="s">
        <v>28</v>
      </c>
      <c r="G1498">
        <v>8.4</v>
      </c>
      <c r="H1498">
        <v>4.5999999999999996</v>
      </c>
      <c r="I1498" t="str" cm="1">
        <f t="array" ref="I1498">_xlfn.IFS(G1498&lt;3, "0–2 Years", G1498&lt;6, "3–5 Years", G1498&lt;9, "6–8 Years", G1498&lt;12, "9-11 Years", G1498&gt;=12, "12-14 Years")</f>
        <v>6–8 Years</v>
      </c>
      <c r="J1498">
        <v>4</v>
      </c>
      <c r="K1498" t="s">
        <v>69</v>
      </c>
      <c r="L1498">
        <v>86600</v>
      </c>
      <c r="M1498">
        <v>8600</v>
      </c>
      <c r="N1498">
        <v>95200</v>
      </c>
      <c r="O1498" t="s">
        <v>30</v>
      </c>
      <c r="P1498" s="3">
        <v>42948</v>
      </c>
      <c r="Q1498" t="s">
        <v>28</v>
      </c>
    </row>
    <row r="1499" spans="1:17" x14ac:dyDescent="0.35">
      <c r="A1499" t="s">
        <v>1551</v>
      </c>
      <c r="B1499" t="s">
        <v>16</v>
      </c>
      <c r="C1499">
        <v>44</v>
      </c>
      <c r="D1499" t="s">
        <v>17</v>
      </c>
      <c r="E1499" t="s">
        <v>18</v>
      </c>
      <c r="F1499" t="s">
        <v>36</v>
      </c>
      <c r="G1499">
        <v>11.7</v>
      </c>
      <c r="H1499">
        <v>6</v>
      </c>
      <c r="I1499" t="str" cm="1">
        <f t="array" ref="I1499">_xlfn.IFS(G1499&lt;3, "0–2 Years", G1499&lt;6, "3–5 Years", G1499&lt;9, "6–8 Years", G1499&lt;12, "9-11 Years", G1499&gt;=12, "12-14 Years")</f>
        <v>9-11 Years</v>
      </c>
      <c r="J1499">
        <v>4</v>
      </c>
      <c r="K1499" t="s">
        <v>20</v>
      </c>
      <c r="L1499">
        <v>103800</v>
      </c>
      <c r="M1499">
        <v>14000</v>
      </c>
      <c r="N1499">
        <v>117800</v>
      </c>
      <c r="O1499" t="s">
        <v>57</v>
      </c>
      <c r="P1499" s="3">
        <v>41762</v>
      </c>
      <c r="Q1499" t="s">
        <v>36</v>
      </c>
    </row>
    <row r="1500" spans="1:17" x14ac:dyDescent="0.35">
      <c r="A1500" t="s">
        <v>1552</v>
      </c>
      <c r="B1500" t="s">
        <v>16</v>
      </c>
      <c r="C1500">
        <v>39</v>
      </c>
      <c r="D1500" t="s">
        <v>41</v>
      </c>
      <c r="E1500" t="s">
        <v>42</v>
      </c>
      <c r="F1500" t="s">
        <v>28</v>
      </c>
      <c r="G1500">
        <v>3.4</v>
      </c>
      <c r="H1500">
        <v>0.5</v>
      </c>
      <c r="I1500" t="str" cm="1">
        <f t="array" ref="I1500">_xlfn.IFS(G1500&lt;3, "0–2 Years", G1500&lt;6, "3–5 Years", G1500&lt;9, "6–8 Years", G1500&lt;12, "9-11 Years", G1500&gt;=12, "12-14 Years")</f>
        <v>3–5 Years</v>
      </c>
      <c r="J1500">
        <v>4</v>
      </c>
      <c r="K1500" t="s">
        <v>20</v>
      </c>
      <c r="L1500">
        <v>69700</v>
      </c>
      <c r="M1500">
        <v>6300</v>
      </c>
      <c r="N1500">
        <v>76000</v>
      </c>
      <c r="O1500" t="s">
        <v>21</v>
      </c>
      <c r="P1500" s="3">
        <v>44783</v>
      </c>
      <c r="Q1500" t="s">
        <v>28</v>
      </c>
    </row>
    <row r="1501" spans="1:17" x14ac:dyDescent="0.35">
      <c r="A1501" t="s">
        <v>1553</v>
      </c>
      <c r="B1501" t="s">
        <v>23</v>
      </c>
      <c r="C1501" s="7">
        <v>42</v>
      </c>
      <c r="D1501" t="s">
        <v>44</v>
      </c>
      <c r="E1501" t="s">
        <v>81</v>
      </c>
      <c r="F1501" t="s">
        <v>28</v>
      </c>
      <c r="G1501" s="9">
        <v>13.6</v>
      </c>
      <c r="H1501" s="7">
        <v>9.9</v>
      </c>
      <c r="I1501" t="str" cm="1">
        <f t="array" ref="I1501">_xlfn.IFS(G1501&lt;3, "0–2 Years", G1501&lt;6, "3–5 Years", G1501&lt;9, "6–8 Years", G1501&lt;12, "9-11 Years", G1501&gt;=12, "12-14 Years")</f>
        <v>12-14 Years</v>
      </c>
      <c r="J1501" s="7">
        <v>4</v>
      </c>
      <c r="K1501" t="s">
        <v>20</v>
      </c>
      <c r="L1501" s="7">
        <v>118500</v>
      </c>
      <c r="M1501" s="7">
        <v>15700</v>
      </c>
      <c r="N1501" s="7">
        <v>134200</v>
      </c>
      <c r="O1501" t="s">
        <v>57</v>
      </c>
      <c r="P1501" s="3">
        <v>41064</v>
      </c>
      <c r="Q1501" t="s">
        <v>28</v>
      </c>
    </row>
    <row r="1502" spans="1:17" x14ac:dyDescent="0.35">
      <c r="A1502" t="s">
        <v>1554</v>
      </c>
      <c r="B1502" t="s">
        <v>16</v>
      </c>
      <c r="C1502">
        <v>37</v>
      </c>
      <c r="D1502" t="s">
        <v>17</v>
      </c>
      <c r="E1502" t="s">
        <v>32</v>
      </c>
      <c r="F1502" t="s">
        <v>36</v>
      </c>
      <c r="G1502">
        <v>6.3</v>
      </c>
      <c r="H1502">
        <v>6.2</v>
      </c>
      <c r="I1502" t="str" cm="1">
        <f t="array" ref="I1502">_xlfn.IFS(G1502&lt;3, "0–2 Years", G1502&lt;6, "3–5 Years", G1502&lt;9, "6–8 Years", G1502&lt;12, "9-11 Years", G1502&gt;=12, "12-14 Years")</f>
        <v>6–8 Years</v>
      </c>
      <c r="J1502">
        <v>2</v>
      </c>
      <c r="K1502" t="s">
        <v>20</v>
      </c>
      <c r="L1502">
        <v>64400</v>
      </c>
      <c r="M1502">
        <v>3800</v>
      </c>
      <c r="N1502">
        <v>68200</v>
      </c>
      <c r="O1502" t="s">
        <v>25</v>
      </c>
      <c r="P1502" s="3">
        <v>43706</v>
      </c>
      <c r="Q1502" t="s">
        <v>36</v>
      </c>
    </row>
    <row r="1503" spans="1:17" x14ac:dyDescent="0.35">
      <c r="A1503" t="s">
        <v>1555</v>
      </c>
      <c r="B1503" t="s">
        <v>16</v>
      </c>
      <c r="C1503">
        <v>44</v>
      </c>
      <c r="D1503" t="s">
        <v>44</v>
      </c>
      <c r="E1503" t="s">
        <v>45</v>
      </c>
      <c r="F1503" t="s">
        <v>36</v>
      </c>
      <c r="G1503">
        <v>5.2</v>
      </c>
      <c r="H1503">
        <v>5.0999999999999996</v>
      </c>
      <c r="I1503" t="str" cm="1">
        <f t="array" ref="I1503">_xlfn.IFS(G1503&lt;3, "0–2 Years", G1503&lt;6, "3–5 Years", G1503&lt;9, "6–8 Years", G1503&lt;12, "9-11 Years", G1503&gt;=12, "12-14 Years")</f>
        <v>3–5 Years</v>
      </c>
      <c r="J1503">
        <v>4</v>
      </c>
      <c r="K1503" t="s">
        <v>20</v>
      </c>
      <c r="L1503">
        <v>85300</v>
      </c>
      <c r="M1503">
        <v>8900</v>
      </c>
      <c r="N1503">
        <v>94200</v>
      </c>
      <c r="O1503" t="s">
        <v>30</v>
      </c>
      <c r="P1503" s="3">
        <v>44106</v>
      </c>
      <c r="Q1503" t="s">
        <v>36</v>
      </c>
    </row>
    <row r="1504" spans="1:17" x14ac:dyDescent="0.35">
      <c r="A1504" t="s">
        <v>1556</v>
      </c>
      <c r="B1504" t="s">
        <v>23</v>
      </c>
      <c r="C1504">
        <v>45</v>
      </c>
      <c r="D1504" t="s">
        <v>17</v>
      </c>
      <c r="E1504" t="s">
        <v>27</v>
      </c>
      <c r="F1504" t="s">
        <v>36</v>
      </c>
      <c r="G1504">
        <v>11.9</v>
      </c>
      <c r="H1504">
        <v>9</v>
      </c>
      <c r="I1504" t="str" cm="1">
        <f t="array" ref="I1504">_xlfn.IFS(G1504&lt;3, "0–2 Years", G1504&lt;6, "3–5 Years", G1504&lt;9, "6–8 Years", G1504&lt;12, "9-11 Years", G1504&gt;=12, "12-14 Years")</f>
        <v>9-11 Years</v>
      </c>
      <c r="J1504">
        <v>3</v>
      </c>
      <c r="K1504" t="s">
        <v>24</v>
      </c>
      <c r="L1504">
        <v>54400</v>
      </c>
      <c r="M1504">
        <v>5300</v>
      </c>
      <c r="N1504">
        <v>59700</v>
      </c>
      <c r="O1504" t="s">
        <v>25</v>
      </c>
      <c r="P1504" s="3">
        <v>41663</v>
      </c>
      <c r="Q1504" t="s">
        <v>36</v>
      </c>
    </row>
    <row r="1505" spans="1:17" x14ac:dyDescent="0.35">
      <c r="A1505" t="s">
        <v>1557</v>
      </c>
      <c r="B1505" t="s">
        <v>23</v>
      </c>
      <c r="C1505" s="7">
        <v>49</v>
      </c>
      <c r="D1505" t="s">
        <v>55</v>
      </c>
      <c r="E1505" t="s">
        <v>56</v>
      </c>
      <c r="F1505" t="s">
        <v>28</v>
      </c>
      <c r="G1505" s="9">
        <v>13.6</v>
      </c>
      <c r="H1505" s="7">
        <v>9.4</v>
      </c>
      <c r="I1505" t="str" cm="1">
        <f t="array" ref="I1505">_xlfn.IFS(G1505&lt;3, "0–2 Years", G1505&lt;6, "3–5 Years", G1505&lt;9, "6–8 Years", G1505&lt;12, "9-11 Years", G1505&gt;=12, "12-14 Years")</f>
        <v>12-14 Years</v>
      </c>
      <c r="J1505" s="7">
        <v>3</v>
      </c>
      <c r="K1505" t="s">
        <v>20</v>
      </c>
      <c r="L1505" s="7">
        <v>101400</v>
      </c>
      <c r="M1505" s="7">
        <v>15600</v>
      </c>
      <c r="N1505" s="7">
        <v>117000</v>
      </c>
      <c r="O1505" t="s">
        <v>57</v>
      </c>
      <c r="P1505" s="3">
        <v>41042</v>
      </c>
      <c r="Q1505" t="s">
        <v>28</v>
      </c>
    </row>
    <row r="1506" spans="1:17" x14ac:dyDescent="0.35">
      <c r="A1506" t="s">
        <v>1558</v>
      </c>
      <c r="B1506" t="s">
        <v>23</v>
      </c>
      <c r="C1506">
        <v>38</v>
      </c>
      <c r="D1506" t="s">
        <v>34</v>
      </c>
      <c r="E1506" t="s">
        <v>59</v>
      </c>
      <c r="F1506" t="s">
        <v>36</v>
      </c>
      <c r="G1506">
        <v>5.6</v>
      </c>
      <c r="H1506">
        <v>2.9</v>
      </c>
      <c r="I1506" t="str" cm="1">
        <f t="array" ref="I1506">_xlfn.IFS(G1506&lt;3, "0–2 Years", G1506&lt;6, "3–5 Years", G1506&lt;9, "6–8 Years", G1506&lt;12, "9-11 Years", G1506&gt;=12, "12-14 Years")</f>
        <v>3–5 Years</v>
      </c>
      <c r="J1506">
        <v>4</v>
      </c>
      <c r="K1506" t="s">
        <v>20</v>
      </c>
      <c r="L1506">
        <v>115000</v>
      </c>
      <c r="M1506">
        <v>5800</v>
      </c>
      <c r="N1506">
        <v>120800</v>
      </c>
      <c r="O1506" t="s">
        <v>57</v>
      </c>
      <c r="P1506" s="3">
        <v>43993</v>
      </c>
      <c r="Q1506" t="s">
        <v>36</v>
      </c>
    </row>
    <row r="1507" spans="1:17" x14ac:dyDescent="0.35">
      <c r="A1507" t="s">
        <v>1559</v>
      </c>
      <c r="B1507" t="s">
        <v>23</v>
      </c>
      <c r="C1507">
        <v>47</v>
      </c>
      <c r="D1507" t="s">
        <v>55</v>
      </c>
      <c r="E1507" t="s">
        <v>92</v>
      </c>
      <c r="F1507" t="s">
        <v>28</v>
      </c>
      <c r="G1507">
        <v>8.6999999999999993</v>
      </c>
      <c r="H1507">
        <v>6.9</v>
      </c>
      <c r="I1507" t="str" cm="1">
        <f t="array" ref="I1507">_xlfn.IFS(G1507&lt;3, "0–2 Years", G1507&lt;6, "3–5 Years", G1507&lt;9, "6–8 Years", G1507&lt;12, "9-11 Years", G1507&gt;=12, "12-14 Years")</f>
        <v>6–8 Years</v>
      </c>
      <c r="J1507">
        <v>4</v>
      </c>
      <c r="K1507" t="s">
        <v>20</v>
      </c>
      <c r="L1507">
        <v>122400</v>
      </c>
      <c r="M1507">
        <v>17700</v>
      </c>
      <c r="N1507">
        <v>140100</v>
      </c>
      <c r="O1507" t="s">
        <v>57</v>
      </c>
      <c r="P1507" s="3">
        <v>42849</v>
      </c>
      <c r="Q1507" t="s">
        <v>28</v>
      </c>
    </row>
    <row r="1508" spans="1:17" x14ac:dyDescent="0.35">
      <c r="A1508" t="s">
        <v>1560</v>
      </c>
      <c r="B1508" t="s">
        <v>16</v>
      </c>
      <c r="C1508">
        <v>31</v>
      </c>
      <c r="D1508" t="s">
        <v>55</v>
      </c>
      <c r="E1508" t="s">
        <v>92</v>
      </c>
      <c r="F1508" t="s">
        <v>28</v>
      </c>
      <c r="G1508">
        <v>9.8000000000000007</v>
      </c>
      <c r="H1508">
        <v>5.2</v>
      </c>
      <c r="I1508" t="str" cm="1">
        <f t="array" ref="I1508">_xlfn.IFS(G1508&lt;3, "0–2 Years", G1508&lt;6, "3–5 Years", G1508&lt;9, "6–8 Years", G1508&lt;12, "9-11 Years", G1508&gt;=12, "12-14 Years")</f>
        <v>9-11 Years</v>
      </c>
      <c r="J1508">
        <v>5</v>
      </c>
      <c r="K1508" t="s">
        <v>20</v>
      </c>
      <c r="L1508">
        <v>100800</v>
      </c>
      <c r="M1508">
        <v>14300</v>
      </c>
      <c r="N1508">
        <v>115100</v>
      </c>
      <c r="O1508" t="s">
        <v>57</v>
      </c>
      <c r="P1508" s="3">
        <v>42437</v>
      </c>
      <c r="Q1508" t="s">
        <v>28</v>
      </c>
    </row>
    <row r="1509" spans="1:17" x14ac:dyDescent="0.35">
      <c r="A1509" t="s">
        <v>1561</v>
      </c>
      <c r="B1509" t="s">
        <v>16</v>
      </c>
      <c r="C1509">
        <v>35</v>
      </c>
      <c r="D1509" t="s">
        <v>38</v>
      </c>
      <c r="E1509" t="s">
        <v>112</v>
      </c>
      <c r="F1509" t="s">
        <v>36</v>
      </c>
      <c r="G1509">
        <v>11.2</v>
      </c>
      <c r="H1509">
        <v>9</v>
      </c>
      <c r="I1509" t="str" cm="1">
        <f t="array" ref="I1509">_xlfn.IFS(G1509&lt;3, "0–2 Years", G1509&lt;6, "3–5 Years", G1509&lt;9, "6–8 Years", G1509&lt;12, "9-11 Years", G1509&gt;=12, "12-14 Years")</f>
        <v>9-11 Years</v>
      </c>
      <c r="J1509">
        <v>3</v>
      </c>
      <c r="K1509" t="s">
        <v>20</v>
      </c>
      <c r="L1509">
        <v>74500</v>
      </c>
      <c r="M1509">
        <v>4900</v>
      </c>
      <c r="N1509">
        <v>79400</v>
      </c>
      <c r="O1509" t="s">
        <v>21</v>
      </c>
      <c r="P1509" s="3">
        <v>41943</v>
      </c>
      <c r="Q1509" t="s">
        <v>36</v>
      </c>
    </row>
    <row r="1510" spans="1:17" x14ac:dyDescent="0.35">
      <c r="A1510" t="s">
        <v>1562</v>
      </c>
      <c r="B1510" t="s">
        <v>16</v>
      </c>
      <c r="C1510">
        <v>50</v>
      </c>
      <c r="D1510" t="s">
        <v>38</v>
      </c>
      <c r="E1510" t="s">
        <v>39</v>
      </c>
      <c r="F1510" t="s">
        <v>28</v>
      </c>
      <c r="G1510">
        <v>4.8</v>
      </c>
      <c r="H1510">
        <v>4.0999999999999996</v>
      </c>
      <c r="I1510" t="str" cm="1">
        <f t="array" ref="I1510">_xlfn.IFS(G1510&lt;3, "0–2 Years", G1510&lt;6, "3–5 Years", G1510&lt;9, "6–8 Years", G1510&lt;12, "9-11 Years", G1510&gt;=12, "12-14 Years")</f>
        <v>3–5 Years</v>
      </c>
      <c r="J1510">
        <v>2</v>
      </c>
      <c r="K1510" t="s">
        <v>20</v>
      </c>
      <c r="L1510">
        <v>76700</v>
      </c>
      <c r="M1510">
        <v>4400</v>
      </c>
      <c r="N1510">
        <v>81100</v>
      </c>
      <c r="O1510" t="s">
        <v>21</v>
      </c>
      <c r="P1510" s="3">
        <v>44288</v>
      </c>
      <c r="Q1510" t="s">
        <v>28</v>
      </c>
    </row>
    <row r="1511" spans="1:17" x14ac:dyDescent="0.35">
      <c r="A1511" t="s">
        <v>1563</v>
      </c>
      <c r="B1511" t="s">
        <v>16</v>
      </c>
      <c r="C1511">
        <v>42</v>
      </c>
      <c r="D1511" t="s">
        <v>41</v>
      </c>
      <c r="E1511" t="s">
        <v>67</v>
      </c>
      <c r="F1511" t="s">
        <v>36</v>
      </c>
      <c r="G1511">
        <v>1</v>
      </c>
      <c r="H1511">
        <v>0.6</v>
      </c>
      <c r="I1511" t="str" cm="1">
        <f t="array" ref="I1511">_xlfn.IFS(G1511&lt;3, "0–2 Years", G1511&lt;6, "3–5 Years", G1511&lt;9, "6–8 Years", G1511&lt;12, "9-11 Years", G1511&gt;=12, "12-14 Years")</f>
        <v>0–2 Years</v>
      </c>
      <c r="J1511">
        <v>3</v>
      </c>
      <c r="K1511" t="s">
        <v>20</v>
      </c>
      <c r="L1511">
        <v>65000</v>
      </c>
      <c r="M1511">
        <v>5500</v>
      </c>
      <c r="N1511">
        <v>70500</v>
      </c>
      <c r="O1511" t="s">
        <v>21</v>
      </c>
      <c r="P1511" s="3">
        <v>45646</v>
      </c>
      <c r="Q1511" t="s">
        <v>36</v>
      </c>
    </row>
    <row r="1512" spans="1:17" x14ac:dyDescent="0.35">
      <c r="A1512" t="s">
        <v>1564</v>
      </c>
      <c r="B1512" t="s">
        <v>23</v>
      </c>
      <c r="C1512">
        <v>36</v>
      </c>
      <c r="D1512" t="s">
        <v>17</v>
      </c>
      <c r="E1512" t="s">
        <v>27</v>
      </c>
      <c r="F1512" t="s">
        <v>28</v>
      </c>
      <c r="G1512">
        <v>11.9</v>
      </c>
      <c r="H1512">
        <v>7.2</v>
      </c>
      <c r="I1512" t="str" cm="1">
        <f t="array" ref="I1512">_xlfn.IFS(G1512&lt;3, "0–2 Years", G1512&lt;6, "3–5 Years", G1512&lt;9, "6–8 Years", G1512&lt;12, "9-11 Years", G1512&gt;=12, "12-14 Years")</f>
        <v>9-11 Years</v>
      </c>
      <c r="J1512">
        <v>3</v>
      </c>
      <c r="K1512" t="s">
        <v>20</v>
      </c>
      <c r="L1512">
        <v>75100</v>
      </c>
      <c r="M1512">
        <v>7200</v>
      </c>
      <c r="N1512">
        <v>82300</v>
      </c>
      <c r="O1512" t="s">
        <v>21</v>
      </c>
      <c r="P1512" s="3">
        <v>41660</v>
      </c>
      <c r="Q1512" t="s">
        <v>28</v>
      </c>
    </row>
    <row r="1513" spans="1:17" x14ac:dyDescent="0.35">
      <c r="A1513" t="s">
        <v>1565</v>
      </c>
      <c r="B1513" t="s">
        <v>16</v>
      </c>
      <c r="C1513" s="7">
        <v>47</v>
      </c>
      <c r="D1513" t="s">
        <v>34</v>
      </c>
      <c r="E1513" t="s">
        <v>35</v>
      </c>
      <c r="F1513" t="s">
        <v>36</v>
      </c>
      <c r="G1513" s="9">
        <v>13.1</v>
      </c>
      <c r="H1513" s="7">
        <v>8.5</v>
      </c>
      <c r="I1513" t="str" cm="1">
        <f t="array" ref="I1513">_xlfn.IFS(G1513&lt;3, "0–2 Years", G1513&lt;6, "3–5 Years", G1513&lt;9, "6–8 Years", G1513&lt;12, "9-11 Years", G1513&gt;=12, "12-14 Years")</f>
        <v>12-14 Years</v>
      </c>
      <c r="J1513" s="7">
        <v>4</v>
      </c>
      <c r="K1513" t="s">
        <v>20</v>
      </c>
      <c r="L1513" s="7">
        <v>93000</v>
      </c>
      <c r="M1513" s="7">
        <v>11100</v>
      </c>
      <c r="N1513" s="7">
        <v>104100</v>
      </c>
      <c r="O1513" t="s">
        <v>30</v>
      </c>
      <c r="P1513" s="3">
        <v>41220</v>
      </c>
      <c r="Q1513" t="s">
        <v>36</v>
      </c>
    </row>
    <row r="1514" spans="1:17" x14ac:dyDescent="0.35">
      <c r="A1514" t="s">
        <v>1566</v>
      </c>
      <c r="B1514" t="s">
        <v>23</v>
      </c>
      <c r="C1514">
        <v>37</v>
      </c>
      <c r="D1514" t="s">
        <v>41</v>
      </c>
      <c r="E1514" t="s">
        <v>42</v>
      </c>
      <c r="F1514" t="s">
        <v>28</v>
      </c>
      <c r="G1514">
        <v>10.4</v>
      </c>
      <c r="H1514">
        <v>6.5</v>
      </c>
      <c r="I1514" t="str" cm="1">
        <f t="array" ref="I1514">_xlfn.IFS(G1514&lt;3, "0–2 Years", G1514&lt;6, "3–5 Years", G1514&lt;9, "6–8 Years", G1514&lt;12, "9-11 Years", G1514&gt;=12, "12-14 Years")</f>
        <v>9-11 Years</v>
      </c>
      <c r="J1514">
        <v>3</v>
      </c>
      <c r="K1514" t="s">
        <v>20</v>
      </c>
      <c r="L1514">
        <v>76700</v>
      </c>
      <c r="M1514">
        <v>5900</v>
      </c>
      <c r="N1514">
        <v>82600</v>
      </c>
      <c r="O1514" t="s">
        <v>21</v>
      </c>
      <c r="P1514" s="3">
        <v>42235</v>
      </c>
      <c r="Q1514" t="s">
        <v>28</v>
      </c>
    </row>
    <row r="1515" spans="1:17" x14ac:dyDescent="0.35">
      <c r="A1515" t="s">
        <v>1567</v>
      </c>
      <c r="B1515" t="s">
        <v>16</v>
      </c>
      <c r="C1515">
        <v>32</v>
      </c>
      <c r="D1515" t="s">
        <v>44</v>
      </c>
      <c r="E1515" t="s">
        <v>51</v>
      </c>
      <c r="F1515" t="s">
        <v>19</v>
      </c>
      <c r="G1515">
        <v>5</v>
      </c>
      <c r="H1515">
        <v>3.6</v>
      </c>
      <c r="I1515" t="str" cm="1">
        <f t="array" ref="I1515">_xlfn.IFS(G1515&lt;3, "0–2 Years", G1515&lt;6, "3–5 Years", G1515&lt;9, "6–8 Years", G1515&lt;12, "9-11 Years", G1515&gt;=12, "12-14 Years")</f>
        <v>3–5 Years</v>
      </c>
      <c r="J1515">
        <v>5</v>
      </c>
      <c r="K1515" t="s">
        <v>20</v>
      </c>
      <c r="L1515">
        <v>83800</v>
      </c>
      <c r="M1515">
        <v>10800</v>
      </c>
      <c r="N1515">
        <v>94600</v>
      </c>
      <c r="O1515" t="s">
        <v>30</v>
      </c>
      <c r="P1515" s="3">
        <v>44206</v>
      </c>
      <c r="Q1515" t="s">
        <v>19</v>
      </c>
    </row>
    <row r="1516" spans="1:17" x14ac:dyDescent="0.35">
      <c r="A1516" t="s">
        <v>1568</v>
      </c>
      <c r="B1516" t="s">
        <v>16</v>
      </c>
      <c r="C1516">
        <v>32</v>
      </c>
      <c r="D1516" t="s">
        <v>55</v>
      </c>
      <c r="E1516" t="s">
        <v>79</v>
      </c>
      <c r="F1516" t="s">
        <v>36</v>
      </c>
      <c r="G1516">
        <v>9.3000000000000007</v>
      </c>
      <c r="H1516">
        <v>5.8</v>
      </c>
      <c r="I1516" t="str" cm="1">
        <f t="array" ref="I1516">_xlfn.IFS(G1516&lt;3, "0–2 Years", G1516&lt;6, "3–5 Years", G1516&lt;9, "6–8 Years", G1516&lt;12, "9-11 Years", G1516&gt;=12, "12-14 Years")</f>
        <v>9-11 Years</v>
      </c>
      <c r="J1516">
        <v>2</v>
      </c>
      <c r="K1516" t="s">
        <v>20</v>
      </c>
      <c r="L1516">
        <v>68000</v>
      </c>
      <c r="M1516">
        <v>6700</v>
      </c>
      <c r="N1516">
        <v>74700</v>
      </c>
      <c r="O1516" t="s">
        <v>21</v>
      </c>
      <c r="P1516" s="3">
        <v>42616</v>
      </c>
      <c r="Q1516" t="s">
        <v>36</v>
      </c>
    </row>
    <row r="1517" spans="1:17" x14ac:dyDescent="0.35">
      <c r="A1517" t="s">
        <v>1569</v>
      </c>
      <c r="B1517" t="s">
        <v>23</v>
      </c>
      <c r="C1517">
        <v>32</v>
      </c>
      <c r="D1517" t="s">
        <v>41</v>
      </c>
      <c r="E1517" t="s">
        <v>73</v>
      </c>
      <c r="F1517" t="s">
        <v>19</v>
      </c>
      <c r="G1517">
        <v>3.8</v>
      </c>
      <c r="H1517">
        <v>2.5</v>
      </c>
      <c r="I1517" t="str" cm="1">
        <f t="array" ref="I1517">_xlfn.IFS(G1517&lt;3, "0–2 Years", G1517&lt;6, "3–5 Years", G1517&lt;9, "6–8 Years", G1517&lt;12, "9-11 Years", G1517&gt;=12, "12-14 Years")</f>
        <v>3–5 Years</v>
      </c>
      <c r="J1517">
        <v>2</v>
      </c>
      <c r="K1517" t="s">
        <v>20</v>
      </c>
      <c r="L1517">
        <v>83800</v>
      </c>
      <c r="M1517">
        <v>5600</v>
      </c>
      <c r="N1517">
        <v>89400</v>
      </c>
      <c r="O1517" t="s">
        <v>30</v>
      </c>
      <c r="P1517" s="3">
        <v>44627</v>
      </c>
      <c r="Q1517" t="s">
        <v>19</v>
      </c>
    </row>
    <row r="1518" spans="1:17" x14ac:dyDescent="0.35">
      <c r="A1518" t="s">
        <v>1570</v>
      </c>
      <c r="B1518" t="s">
        <v>23</v>
      </c>
      <c r="C1518">
        <v>39</v>
      </c>
      <c r="D1518" t="s">
        <v>34</v>
      </c>
      <c r="E1518" t="s">
        <v>35</v>
      </c>
      <c r="F1518" t="s">
        <v>28</v>
      </c>
      <c r="G1518">
        <v>8</v>
      </c>
      <c r="H1518">
        <v>5.6</v>
      </c>
      <c r="I1518" t="str" cm="1">
        <f t="array" ref="I1518">_xlfn.IFS(G1518&lt;3, "0–2 Years", G1518&lt;6, "3–5 Years", G1518&lt;9, "6–8 Years", G1518&lt;12, "9-11 Years", G1518&gt;=12, "12-14 Years")</f>
        <v>6–8 Years</v>
      </c>
      <c r="J1518">
        <v>4</v>
      </c>
      <c r="K1518" t="s">
        <v>20</v>
      </c>
      <c r="L1518">
        <v>91700</v>
      </c>
      <c r="M1518">
        <v>9400</v>
      </c>
      <c r="N1518">
        <v>101100</v>
      </c>
      <c r="O1518" t="s">
        <v>30</v>
      </c>
      <c r="P1518" s="3">
        <v>43103</v>
      </c>
      <c r="Q1518" t="s">
        <v>28</v>
      </c>
    </row>
    <row r="1519" spans="1:17" x14ac:dyDescent="0.35">
      <c r="A1519" t="s">
        <v>1571</v>
      </c>
      <c r="B1519" t="s">
        <v>23</v>
      </c>
      <c r="C1519">
        <v>34</v>
      </c>
      <c r="D1519" t="s">
        <v>55</v>
      </c>
      <c r="E1519" t="s">
        <v>79</v>
      </c>
      <c r="F1519" t="s">
        <v>36</v>
      </c>
      <c r="G1519">
        <v>2.2000000000000002</v>
      </c>
      <c r="H1519">
        <v>2</v>
      </c>
      <c r="I1519" t="str" cm="1">
        <f t="array" ref="I1519">_xlfn.IFS(G1519&lt;3, "0–2 Years", G1519&lt;6, "3–5 Years", G1519&lt;9, "6–8 Years", G1519&lt;12, "9-11 Years", G1519&gt;=12, "12-14 Years")</f>
        <v>0–2 Years</v>
      </c>
      <c r="J1519">
        <v>3</v>
      </c>
      <c r="K1519" t="s">
        <v>20</v>
      </c>
      <c r="L1519">
        <v>62100</v>
      </c>
      <c r="M1519">
        <v>8500</v>
      </c>
      <c r="N1519">
        <v>70600</v>
      </c>
      <c r="O1519" t="s">
        <v>25</v>
      </c>
      <c r="P1519" s="3">
        <v>45234</v>
      </c>
      <c r="Q1519" t="s">
        <v>36</v>
      </c>
    </row>
    <row r="1520" spans="1:17" x14ac:dyDescent="0.35">
      <c r="A1520" t="s">
        <v>1572</v>
      </c>
      <c r="B1520" t="s">
        <v>16</v>
      </c>
      <c r="C1520" s="7">
        <v>42</v>
      </c>
      <c r="D1520" t="s">
        <v>34</v>
      </c>
      <c r="E1520" t="s">
        <v>47</v>
      </c>
      <c r="F1520" t="s">
        <v>19</v>
      </c>
      <c r="G1520" s="9">
        <v>13.7</v>
      </c>
      <c r="H1520" s="7">
        <v>7.1</v>
      </c>
      <c r="I1520" t="str" cm="1">
        <f t="array" ref="I1520">_xlfn.IFS(G1520&lt;3, "0–2 Years", G1520&lt;6, "3–5 Years", G1520&lt;9, "6–8 Years", G1520&lt;12, "9-11 Years", G1520&gt;=12, "12-14 Years")</f>
        <v>12-14 Years</v>
      </c>
      <c r="J1520" s="7">
        <v>2</v>
      </c>
      <c r="K1520" t="s">
        <v>20</v>
      </c>
      <c r="L1520" s="7">
        <v>76200</v>
      </c>
      <c r="M1520" s="7">
        <v>6500</v>
      </c>
      <c r="N1520" s="7">
        <v>82700</v>
      </c>
      <c r="O1520" t="s">
        <v>21</v>
      </c>
      <c r="P1520" s="3">
        <v>41021</v>
      </c>
      <c r="Q1520" t="s">
        <v>19</v>
      </c>
    </row>
    <row r="1521" spans="1:17" x14ac:dyDescent="0.35">
      <c r="A1521" t="s">
        <v>1573</v>
      </c>
      <c r="B1521" t="s">
        <v>16</v>
      </c>
      <c r="C1521">
        <v>40</v>
      </c>
      <c r="D1521" t="s">
        <v>17</v>
      </c>
      <c r="E1521" t="s">
        <v>27</v>
      </c>
      <c r="F1521" t="s">
        <v>28</v>
      </c>
      <c r="G1521">
        <v>5.6</v>
      </c>
      <c r="H1521">
        <v>4.9000000000000004</v>
      </c>
      <c r="I1521" t="str" cm="1">
        <f t="array" ref="I1521">_xlfn.IFS(G1521&lt;3, "0–2 Years", G1521&lt;6, "3–5 Years", G1521&lt;9, "6–8 Years", G1521&lt;12, "9-11 Years", G1521&gt;=12, "12-14 Years")</f>
        <v>3–5 Years</v>
      </c>
      <c r="J1521">
        <v>3</v>
      </c>
      <c r="K1521" t="s">
        <v>20</v>
      </c>
      <c r="L1521">
        <v>78100</v>
      </c>
      <c r="M1521">
        <v>3700</v>
      </c>
      <c r="N1521">
        <v>81800</v>
      </c>
      <c r="O1521" t="s">
        <v>21</v>
      </c>
      <c r="P1521" s="3">
        <v>43979</v>
      </c>
      <c r="Q1521" t="s">
        <v>28</v>
      </c>
    </row>
    <row r="1522" spans="1:17" x14ac:dyDescent="0.35">
      <c r="A1522" t="s">
        <v>1574</v>
      </c>
      <c r="B1522" t="s">
        <v>16</v>
      </c>
      <c r="C1522">
        <v>34</v>
      </c>
      <c r="D1522" t="s">
        <v>17</v>
      </c>
      <c r="E1522" t="s">
        <v>32</v>
      </c>
      <c r="F1522" t="s">
        <v>19</v>
      </c>
      <c r="G1522">
        <v>10.5</v>
      </c>
      <c r="H1522">
        <v>7.2</v>
      </c>
      <c r="I1522" t="str" cm="1">
        <f t="array" ref="I1522">_xlfn.IFS(G1522&lt;3, "0–2 Years", G1522&lt;6, "3–5 Years", G1522&lt;9, "6–8 Years", G1522&lt;12, "9-11 Years", G1522&gt;=12, "12-14 Years")</f>
        <v>9-11 Years</v>
      </c>
      <c r="J1522">
        <v>3</v>
      </c>
      <c r="K1522" t="s">
        <v>20</v>
      </c>
      <c r="L1522">
        <v>67200</v>
      </c>
      <c r="M1522">
        <v>4500</v>
      </c>
      <c r="N1522">
        <v>71700</v>
      </c>
      <c r="O1522" t="s">
        <v>21</v>
      </c>
      <c r="P1522" s="3">
        <v>42185</v>
      </c>
      <c r="Q1522" t="s">
        <v>19</v>
      </c>
    </row>
    <row r="1523" spans="1:17" x14ac:dyDescent="0.35">
      <c r="A1523" t="s">
        <v>1575</v>
      </c>
      <c r="B1523" t="s">
        <v>23</v>
      </c>
      <c r="C1523">
        <v>41</v>
      </c>
      <c r="D1523" t="s">
        <v>17</v>
      </c>
      <c r="E1523" t="s">
        <v>18</v>
      </c>
      <c r="F1523" t="s">
        <v>28</v>
      </c>
      <c r="G1523">
        <v>11.2</v>
      </c>
      <c r="H1523">
        <v>6.9</v>
      </c>
      <c r="I1523" t="str" cm="1">
        <f t="array" ref="I1523">_xlfn.IFS(G1523&lt;3, "0–2 Years", G1523&lt;6, "3–5 Years", G1523&lt;9, "6–8 Years", G1523&lt;12, "9-11 Years", G1523&gt;=12, "12-14 Years")</f>
        <v>9-11 Years</v>
      </c>
      <c r="J1523">
        <v>4</v>
      </c>
      <c r="K1523" t="s">
        <v>20</v>
      </c>
      <c r="L1523">
        <v>108200</v>
      </c>
      <c r="M1523">
        <v>8900</v>
      </c>
      <c r="N1523">
        <v>117100</v>
      </c>
      <c r="O1523" t="s">
        <v>57</v>
      </c>
      <c r="P1523" s="3">
        <v>41944</v>
      </c>
      <c r="Q1523" t="s">
        <v>28</v>
      </c>
    </row>
    <row r="1524" spans="1:17" x14ac:dyDescent="0.35">
      <c r="A1524" t="s">
        <v>1576</v>
      </c>
      <c r="B1524" t="s">
        <v>16</v>
      </c>
      <c r="C1524">
        <v>21</v>
      </c>
      <c r="D1524" t="s">
        <v>44</v>
      </c>
      <c r="E1524" t="s">
        <v>51</v>
      </c>
      <c r="F1524" t="s">
        <v>36</v>
      </c>
      <c r="G1524">
        <v>4.7</v>
      </c>
      <c r="H1524">
        <v>1</v>
      </c>
      <c r="I1524" t="str" cm="1">
        <f t="array" ref="I1524">_xlfn.IFS(G1524&lt;3, "0–2 Years", G1524&lt;6, "3–5 Years", G1524&lt;9, "6–8 Years", G1524&lt;12, "9-11 Years", G1524&gt;=12, "12-14 Years")</f>
        <v>3–5 Years</v>
      </c>
      <c r="J1524">
        <v>4</v>
      </c>
      <c r="K1524" t="s">
        <v>20</v>
      </c>
      <c r="L1524">
        <v>85100</v>
      </c>
      <c r="M1524">
        <v>9500</v>
      </c>
      <c r="N1524">
        <v>94600</v>
      </c>
      <c r="O1524" t="s">
        <v>30</v>
      </c>
      <c r="P1524" s="3">
        <v>44300</v>
      </c>
      <c r="Q1524" t="s">
        <v>36</v>
      </c>
    </row>
    <row r="1525" spans="1:17" x14ac:dyDescent="0.35">
      <c r="A1525" t="s">
        <v>1577</v>
      </c>
      <c r="B1525" t="s">
        <v>16</v>
      </c>
      <c r="C1525">
        <v>34</v>
      </c>
      <c r="D1525" t="s">
        <v>44</v>
      </c>
      <c r="E1525" t="s">
        <v>45</v>
      </c>
      <c r="F1525" t="s">
        <v>36</v>
      </c>
      <c r="G1525">
        <v>5.3</v>
      </c>
      <c r="H1525">
        <v>0.6</v>
      </c>
      <c r="I1525" t="str" cm="1">
        <f t="array" ref="I1525">_xlfn.IFS(G1525&lt;3, "0–2 Years", G1525&lt;6, "3–5 Years", G1525&lt;9, "6–8 Years", G1525&lt;12, "9-11 Years", G1525&gt;=12, "12-14 Years")</f>
        <v>3–5 Years</v>
      </c>
      <c r="J1525">
        <v>2</v>
      </c>
      <c r="K1525" t="s">
        <v>20</v>
      </c>
      <c r="L1525">
        <v>73800</v>
      </c>
      <c r="M1525">
        <v>9400</v>
      </c>
      <c r="N1525">
        <v>83200</v>
      </c>
      <c r="O1525" t="s">
        <v>21</v>
      </c>
      <c r="P1525" s="3">
        <v>44072</v>
      </c>
      <c r="Q1525" t="s">
        <v>36</v>
      </c>
    </row>
    <row r="1526" spans="1:17" x14ac:dyDescent="0.35">
      <c r="A1526" t="s">
        <v>1578</v>
      </c>
      <c r="B1526" t="s">
        <v>16</v>
      </c>
      <c r="C1526">
        <v>36</v>
      </c>
      <c r="D1526" t="s">
        <v>44</v>
      </c>
      <c r="E1526" t="s">
        <v>81</v>
      </c>
      <c r="F1526" t="s">
        <v>62</v>
      </c>
      <c r="G1526">
        <v>1</v>
      </c>
      <c r="H1526">
        <v>1</v>
      </c>
      <c r="I1526" t="str" cm="1">
        <f t="array" ref="I1526">_xlfn.IFS(G1526&lt;3, "0–2 Years", G1526&lt;6, "3–5 Years", G1526&lt;9, "6–8 Years", G1526&lt;12, "9-11 Years", G1526&gt;=12, "12-14 Years")</f>
        <v>0–2 Years</v>
      </c>
      <c r="J1526">
        <v>3</v>
      </c>
      <c r="K1526" t="s">
        <v>20</v>
      </c>
      <c r="L1526">
        <v>105300</v>
      </c>
      <c r="M1526">
        <v>11100</v>
      </c>
      <c r="N1526">
        <v>116400</v>
      </c>
      <c r="O1526" t="s">
        <v>57</v>
      </c>
      <c r="P1526" s="3">
        <v>45653</v>
      </c>
      <c r="Q1526" t="s">
        <v>62</v>
      </c>
    </row>
    <row r="1527" spans="1:17" x14ac:dyDescent="0.35">
      <c r="A1527" t="s">
        <v>1579</v>
      </c>
      <c r="B1527" t="s">
        <v>16</v>
      </c>
      <c r="C1527" s="7">
        <v>32</v>
      </c>
      <c r="D1527" t="s">
        <v>34</v>
      </c>
      <c r="E1527" t="s">
        <v>47</v>
      </c>
      <c r="F1527" t="s">
        <v>36</v>
      </c>
      <c r="G1527" s="9">
        <v>12.8</v>
      </c>
      <c r="H1527" s="7">
        <v>7.4</v>
      </c>
      <c r="I1527" t="str" cm="1">
        <f t="array" ref="I1527">_xlfn.IFS(G1527&lt;3, "0–2 Years", G1527&lt;6, "3–5 Years", G1527&lt;9, "6–8 Years", G1527&lt;12, "9-11 Years", G1527&gt;=12, "12-14 Years")</f>
        <v>12-14 Years</v>
      </c>
      <c r="J1527" s="7">
        <v>4</v>
      </c>
      <c r="K1527" t="s">
        <v>20</v>
      </c>
      <c r="L1527" s="7">
        <v>97400</v>
      </c>
      <c r="M1527" s="7">
        <v>11200</v>
      </c>
      <c r="N1527" s="7">
        <v>108600</v>
      </c>
      <c r="O1527" t="s">
        <v>30</v>
      </c>
      <c r="P1527" s="3">
        <v>41345</v>
      </c>
      <c r="Q1527" t="s">
        <v>36</v>
      </c>
    </row>
    <row r="1528" spans="1:17" x14ac:dyDescent="0.35">
      <c r="A1528" t="s">
        <v>1580</v>
      </c>
      <c r="B1528" t="s">
        <v>23</v>
      </c>
      <c r="C1528" s="7">
        <v>37</v>
      </c>
      <c r="D1528" t="s">
        <v>17</v>
      </c>
      <c r="E1528" t="s">
        <v>27</v>
      </c>
      <c r="F1528" t="s">
        <v>28</v>
      </c>
      <c r="G1528" s="9">
        <v>13.5</v>
      </c>
      <c r="H1528" s="7">
        <v>8.5</v>
      </c>
      <c r="I1528" t="str" cm="1">
        <f t="array" ref="I1528">_xlfn.IFS(G1528&lt;3, "0–2 Years", G1528&lt;6, "3–5 Years", G1528&lt;9, "6–8 Years", G1528&lt;12, "9-11 Years", G1528&gt;=12, "12-14 Years")</f>
        <v>12-14 Years</v>
      </c>
      <c r="J1528" s="7">
        <v>3</v>
      </c>
      <c r="K1528" t="s">
        <v>20</v>
      </c>
      <c r="L1528" s="7">
        <v>83100</v>
      </c>
      <c r="M1528" s="7">
        <v>6400</v>
      </c>
      <c r="N1528" s="7">
        <v>89500</v>
      </c>
      <c r="O1528" t="s">
        <v>30</v>
      </c>
      <c r="P1528" s="3">
        <v>41105</v>
      </c>
      <c r="Q1528" t="s">
        <v>28</v>
      </c>
    </row>
    <row r="1529" spans="1:17" x14ac:dyDescent="0.35">
      <c r="A1529" t="s">
        <v>1581</v>
      </c>
      <c r="B1529" t="s">
        <v>23</v>
      </c>
      <c r="C1529">
        <v>36</v>
      </c>
      <c r="D1529" t="s">
        <v>38</v>
      </c>
      <c r="E1529" t="s">
        <v>61</v>
      </c>
      <c r="F1529" t="s">
        <v>28</v>
      </c>
      <c r="G1529">
        <v>9.4</v>
      </c>
      <c r="H1529">
        <v>7.1</v>
      </c>
      <c r="I1529" t="str" cm="1">
        <f t="array" ref="I1529">_xlfn.IFS(G1529&lt;3, "0–2 Years", G1529&lt;6, "3–5 Years", G1529&lt;9, "6–8 Years", G1529&lt;12, "9-11 Years", G1529&gt;=12, "12-14 Years")</f>
        <v>9-11 Years</v>
      </c>
      <c r="J1529">
        <v>4</v>
      </c>
      <c r="K1529" t="s">
        <v>20</v>
      </c>
      <c r="L1529">
        <v>95900</v>
      </c>
      <c r="M1529">
        <v>3700</v>
      </c>
      <c r="N1529">
        <v>99600</v>
      </c>
      <c r="O1529" t="s">
        <v>30</v>
      </c>
      <c r="P1529" s="3">
        <v>42572</v>
      </c>
      <c r="Q1529" t="s">
        <v>28</v>
      </c>
    </row>
    <row r="1530" spans="1:17" x14ac:dyDescent="0.35">
      <c r="A1530" t="s">
        <v>1582</v>
      </c>
      <c r="B1530" t="s">
        <v>16</v>
      </c>
      <c r="C1530">
        <v>49</v>
      </c>
      <c r="D1530" t="s">
        <v>44</v>
      </c>
      <c r="E1530" t="s">
        <v>76</v>
      </c>
      <c r="F1530" t="s">
        <v>19</v>
      </c>
      <c r="G1530">
        <v>7.4</v>
      </c>
      <c r="H1530">
        <v>7.4</v>
      </c>
      <c r="I1530" t="str" cm="1">
        <f t="array" ref="I1530">_xlfn.IFS(G1530&lt;3, "0–2 Years", G1530&lt;6, "3–5 Years", G1530&lt;9, "6–8 Years", G1530&lt;12, "9-11 Years", G1530&gt;=12, "12-14 Years")</f>
        <v>6–8 Years</v>
      </c>
      <c r="J1530">
        <v>4</v>
      </c>
      <c r="K1530" t="s">
        <v>24</v>
      </c>
      <c r="L1530">
        <v>60900</v>
      </c>
      <c r="M1530">
        <v>7500</v>
      </c>
      <c r="N1530">
        <v>68400</v>
      </c>
      <c r="O1530" t="s">
        <v>25</v>
      </c>
      <c r="P1530" s="3">
        <v>43315</v>
      </c>
      <c r="Q1530" t="s">
        <v>19</v>
      </c>
    </row>
    <row r="1531" spans="1:17" x14ac:dyDescent="0.35">
      <c r="A1531" t="s">
        <v>1583</v>
      </c>
      <c r="B1531" t="s">
        <v>16</v>
      </c>
      <c r="C1531">
        <v>29</v>
      </c>
      <c r="D1531" t="s">
        <v>41</v>
      </c>
      <c r="E1531" t="s">
        <v>73</v>
      </c>
      <c r="F1531" t="s">
        <v>62</v>
      </c>
      <c r="G1531">
        <v>6.3</v>
      </c>
      <c r="H1531">
        <v>5.7</v>
      </c>
      <c r="I1531" t="str" cm="1">
        <f t="array" ref="I1531">_xlfn.IFS(G1531&lt;3, "0–2 Years", G1531&lt;6, "3–5 Years", G1531&lt;9, "6–8 Years", G1531&lt;12, "9-11 Years", G1531&gt;=12, "12-14 Years")</f>
        <v>6–8 Years</v>
      </c>
      <c r="J1531">
        <v>4</v>
      </c>
      <c r="K1531" t="s">
        <v>20</v>
      </c>
      <c r="L1531">
        <v>130800</v>
      </c>
      <c r="M1531">
        <v>4300</v>
      </c>
      <c r="N1531">
        <v>135100</v>
      </c>
      <c r="O1531" t="s">
        <v>57</v>
      </c>
      <c r="P1531" s="3">
        <v>43730</v>
      </c>
      <c r="Q1531" t="s">
        <v>62</v>
      </c>
    </row>
    <row r="1532" spans="1:17" x14ac:dyDescent="0.35">
      <c r="A1532" t="s">
        <v>1584</v>
      </c>
      <c r="B1532" t="s">
        <v>23</v>
      </c>
      <c r="C1532">
        <v>36</v>
      </c>
      <c r="D1532" t="s">
        <v>41</v>
      </c>
      <c r="E1532" t="s">
        <v>42</v>
      </c>
      <c r="F1532" t="s">
        <v>36</v>
      </c>
      <c r="G1532">
        <v>11</v>
      </c>
      <c r="H1532">
        <v>7.7</v>
      </c>
      <c r="I1532" t="str" cm="1">
        <f t="array" ref="I1532">_xlfn.IFS(G1532&lt;3, "0–2 Years", G1532&lt;6, "3–5 Years", G1532&lt;9, "6–8 Years", G1532&lt;12, "9-11 Years", G1532&gt;=12, "12-14 Years")</f>
        <v>9-11 Years</v>
      </c>
      <c r="J1532">
        <v>3</v>
      </c>
      <c r="K1532" t="s">
        <v>20</v>
      </c>
      <c r="L1532">
        <v>86800</v>
      </c>
      <c r="M1532">
        <v>3100</v>
      </c>
      <c r="N1532">
        <v>89900</v>
      </c>
      <c r="O1532" t="s">
        <v>30</v>
      </c>
      <c r="P1532" s="3">
        <v>41994</v>
      </c>
      <c r="Q1532" t="s">
        <v>36</v>
      </c>
    </row>
    <row r="1533" spans="1:17" x14ac:dyDescent="0.35">
      <c r="A1533" t="s">
        <v>1585</v>
      </c>
      <c r="B1533" t="s">
        <v>23</v>
      </c>
      <c r="C1533" s="7">
        <v>22</v>
      </c>
      <c r="D1533" t="s">
        <v>17</v>
      </c>
      <c r="E1533" t="s">
        <v>27</v>
      </c>
      <c r="F1533" t="s">
        <v>28</v>
      </c>
      <c r="G1533" s="9">
        <v>12.3</v>
      </c>
      <c r="H1533" s="7">
        <v>9</v>
      </c>
      <c r="I1533" t="str" cm="1">
        <f t="array" ref="I1533">_xlfn.IFS(G1533&lt;3, "0–2 Years", G1533&lt;6, "3–5 Years", G1533&lt;9, "6–8 Years", G1533&lt;12, "9-11 Years", G1533&gt;=12, "12-14 Years")</f>
        <v>12-14 Years</v>
      </c>
      <c r="J1533" s="7">
        <v>3</v>
      </c>
      <c r="K1533" t="s">
        <v>20</v>
      </c>
      <c r="L1533" s="7">
        <v>94800</v>
      </c>
      <c r="M1533" s="7">
        <v>8000</v>
      </c>
      <c r="N1533" s="7">
        <v>102800</v>
      </c>
      <c r="O1533" t="s">
        <v>30</v>
      </c>
      <c r="P1533" s="3">
        <v>41518</v>
      </c>
      <c r="Q1533" t="s">
        <v>28</v>
      </c>
    </row>
    <row r="1534" spans="1:17" x14ac:dyDescent="0.35">
      <c r="A1534" t="s">
        <v>1586</v>
      </c>
      <c r="B1534" t="s">
        <v>23</v>
      </c>
      <c r="C1534">
        <v>23</v>
      </c>
      <c r="D1534" t="s">
        <v>17</v>
      </c>
      <c r="E1534" t="s">
        <v>27</v>
      </c>
      <c r="F1534" t="s">
        <v>19</v>
      </c>
      <c r="G1534">
        <v>5.6</v>
      </c>
      <c r="H1534">
        <v>3.4</v>
      </c>
      <c r="I1534" t="str" cm="1">
        <f t="array" ref="I1534">_xlfn.IFS(G1534&lt;3, "0–2 Years", G1534&lt;6, "3–5 Years", G1534&lt;9, "6–8 Years", G1534&lt;12, "9-11 Years", G1534&gt;=12, "12-14 Years")</f>
        <v>3–5 Years</v>
      </c>
      <c r="J1534">
        <v>3</v>
      </c>
      <c r="K1534" t="s">
        <v>20</v>
      </c>
      <c r="L1534">
        <v>62100</v>
      </c>
      <c r="M1534">
        <v>3700</v>
      </c>
      <c r="N1534">
        <v>65800</v>
      </c>
      <c r="O1534" t="s">
        <v>25</v>
      </c>
      <c r="P1534" s="3">
        <v>43986</v>
      </c>
      <c r="Q1534" t="s">
        <v>19</v>
      </c>
    </row>
    <row r="1535" spans="1:17" x14ac:dyDescent="0.35">
      <c r="A1535" t="s">
        <v>1587</v>
      </c>
      <c r="B1535" t="s">
        <v>16</v>
      </c>
      <c r="C1535">
        <v>37</v>
      </c>
      <c r="D1535" t="s">
        <v>34</v>
      </c>
      <c r="E1535" t="s">
        <v>59</v>
      </c>
      <c r="F1535" t="s">
        <v>36</v>
      </c>
      <c r="G1535">
        <v>7.3</v>
      </c>
      <c r="H1535">
        <v>3.9</v>
      </c>
      <c r="I1535" t="str" cm="1">
        <f t="array" ref="I1535">_xlfn.IFS(G1535&lt;3, "0–2 Years", G1535&lt;6, "3–5 Years", G1535&lt;9, "6–8 Years", G1535&lt;12, "9-11 Years", G1535&gt;=12, "12-14 Years")</f>
        <v>6–8 Years</v>
      </c>
      <c r="J1535">
        <v>3</v>
      </c>
      <c r="K1535" t="s">
        <v>20</v>
      </c>
      <c r="L1535">
        <v>108300</v>
      </c>
      <c r="M1535">
        <v>11100</v>
      </c>
      <c r="N1535">
        <v>119400</v>
      </c>
      <c r="O1535" t="s">
        <v>57</v>
      </c>
      <c r="P1535" s="3">
        <v>43368</v>
      </c>
      <c r="Q1535" t="s">
        <v>36</v>
      </c>
    </row>
    <row r="1536" spans="1:17" x14ac:dyDescent="0.35">
      <c r="A1536" t="s">
        <v>1588</v>
      </c>
      <c r="B1536" t="s">
        <v>23</v>
      </c>
      <c r="C1536">
        <v>48</v>
      </c>
      <c r="D1536" t="s">
        <v>34</v>
      </c>
      <c r="E1536" t="s">
        <v>59</v>
      </c>
      <c r="F1536" t="s">
        <v>28</v>
      </c>
      <c r="G1536">
        <v>10.8</v>
      </c>
      <c r="H1536">
        <v>6.6</v>
      </c>
      <c r="I1536" t="str" cm="1">
        <f t="array" ref="I1536">_xlfn.IFS(G1536&lt;3, "0–2 Years", G1536&lt;6, "3–5 Years", G1536&lt;9, "6–8 Years", G1536&lt;12, "9-11 Years", G1536&gt;=12, "12-14 Years")</f>
        <v>9-11 Years</v>
      </c>
      <c r="J1536">
        <v>3</v>
      </c>
      <c r="K1536" t="s">
        <v>20</v>
      </c>
      <c r="L1536">
        <v>100500</v>
      </c>
      <c r="M1536">
        <v>4400</v>
      </c>
      <c r="N1536">
        <v>104900</v>
      </c>
      <c r="O1536" t="s">
        <v>57</v>
      </c>
      <c r="P1536" s="3">
        <v>42073</v>
      </c>
      <c r="Q1536" t="s">
        <v>28</v>
      </c>
    </row>
    <row r="1537" spans="1:17" x14ac:dyDescent="0.35">
      <c r="A1537" t="s">
        <v>1589</v>
      </c>
      <c r="B1537" t="s">
        <v>23</v>
      </c>
      <c r="C1537">
        <v>39</v>
      </c>
      <c r="D1537" t="s">
        <v>38</v>
      </c>
      <c r="E1537" t="s">
        <v>61</v>
      </c>
      <c r="F1537" t="s">
        <v>62</v>
      </c>
      <c r="G1537">
        <v>10.4</v>
      </c>
      <c r="H1537">
        <v>7.8</v>
      </c>
      <c r="I1537" t="str" cm="1">
        <f t="array" ref="I1537">_xlfn.IFS(G1537&lt;3, "0–2 Years", G1537&lt;6, "3–5 Years", G1537&lt;9, "6–8 Years", G1537&lt;12, "9-11 Years", G1537&gt;=12, "12-14 Years")</f>
        <v>9-11 Years</v>
      </c>
      <c r="J1537">
        <v>4</v>
      </c>
      <c r="K1537" t="s">
        <v>20</v>
      </c>
      <c r="L1537">
        <v>115000</v>
      </c>
      <c r="M1537">
        <v>7900</v>
      </c>
      <c r="N1537">
        <v>122900</v>
      </c>
      <c r="O1537" t="s">
        <v>57</v>
      </c>
      <c r="P1537" s="3">
        <v>42216</v>
      </c>
      <c r="Q1537" t="s">
        <v>62</v>
      </c>
    </row>
    <row r="1538" spans="1:17" x14ac:dyDescent="0.35">
      <c r="A1538" t="s">
        <v>1590</v>
      </c>
      <c r="B1538" t="s">
        <v>23</v>
      </c>
      <c r="C1538">
        <v>30</v>
      </c>
      <c r="D1538" t="s">
        <v>55</v>
      </c>
      <c r="E1538" t="s">
        <v>79</v>
      </c>
      <c r="F1538" t="s">
        <v>28</v>
      </c>
      <c r="G1538">
        <v>1.1000000000000001</v>
      </c>
      <c r="H1538">
        <v>1.1000000000000001</v>
      </c>
      <c r="I1538" t="str" cm="1">
        <f t="array" ref="I1538">_xlfn.IFS(G1538&lt;3, "0–2 Years", G1538&lt;6, "3–5 Years", G1538&lt;9, "6–8 Years", G1538&lt;12, "9-11 Years", G1538&gt;=12, "12-14 Years")</f>
        <v>0–2 Years</v>
      </c>
      <c r="J1538">
        <v>3</v>
      </c>
      <c r="K1538" t="s">
        <v>20</v>
      </c>
      <c r="L1538">
        <v>55400</v>
      </c>
      <c r="M1538">
        <v>11200</v>
      </c>
      <c r="N1538">
        <v>66600</v>
      </c>
      <c r="O1538" t="s">
        <v>25</v>
      </c>
      <c r="P1538" s="3">
        <v>45613</v>
      </c>
      <c r="Q1538" t="s">
        <v>28</v>
      </c>
    </row>
    <row r="1539" spans="1:17" x14ac:dyDescent="0.35">
      <c r="A1539" t="s">
        <v>1591</v>
      </c>
      <c r="B1539" t="s">
        <v>16</v>
      </c>
      <c r="C1539" s="7">
        <v>38</v>
      </c>
      <c r="D1539" t="s">
        <v>34</v>
      </c>
      <c r="E1539" t="s">
        <v>35</v>
      </c>
      <c r="F1539" t="s">
        <v>36</v>
      </c>
      <c r="G1539" s="9">
        <v>13.9</v>
      </c>
      <c r="H1539" s="7">
        <v>8.9</v>
      </c>
      <c r="I1539" t="str" cm="1">
        <f t="array" ref="I1539">_xlfn.IFS(G1539&lt;3, "0–2 Years", G1539&lt;6, "3–5 Years", G1539&lt;9, "6–8 Years", G1539&lt;12, "9-11 Years", G1539&gt;=12, "12-14 Years")</f>
        <v>12-14 Years</v>
      </c>
      <c r="J1539" s="7">
        <v>4</v>
      </c>
      <c r="K1539" t="s">
        <v>20</v>
      </c>
      <c r="L1539" s="7">
        <v>92400</v>
      </c>
      <c r="M1539" s="7">
        <v>5600</v>
      </c>
      <c r="N1539" s="7">
        <v>98000</v>
      </c>
      <c r="O1539" t="s">
        <v>30</v>
      </c>
      <c r="P1539" s="3">
        <v>40955</v>
      </c>
      <c r="Q1539" t="s">
        <v>36</v>
      </c>
    </row>
    <row r="1540" spans="1:17" x14ac:dyDescent="0.35">
      <c r="A1540" t="s">
        <v>1592</v>
      </c>
      <c r="B1540" t="s">
        <v>16</v>
      </c>
      <c r="C1540">
        <v>39</v>
      </c>
      <c r="D1540" t="s">
        <v>41</v>
      </c>
      <c r="E1540" t="s">
        <v>42</v>
      </c>
      <c r="F1540" t="s">
        <v>36</v>
      </c>
      <c r="G1540">
        <v>2.6</v>
      </c>
      <c r="H1540">
        <v>1.8</v>
      </c>
      <c r="I1540" t="str" cm="1">
        <f t="array" ref="I1540">_xlfn.IFS(G1540&lt;3, "0–2 Years", G1540&lt;6, "3–5 Years", G1540&lt;9, "6–8 Years", G1540&lt;12, "9-11 Years", G1540&gt;=12, "12-14 Years")</f>
        <v>0–2 Years</v>
      </c>
      <c r="J1540">
        <v>4</v>
      </c>
      <c r="K1540" t="s">
        <v>20</v>
      </c>
      <c r="L1540">
        <v>69400</v>
      </c>
      <c r="M1540">
        <v>4100</v>
      </c>
      <c r="N1540">
        <v>73500</v>
      </c>
      <c r="O1540" t="s">
        <v>21</v>
      </c>
      <c r="P1540" s="3">
        <v>45066</v>
      </c>
      <c r="Q1540" t="s">
        <v>36</v>
      </c>
    </row>
    <row r="1541" spans="1:17" x14ac:dyDescent="0.35">
      <c r="A1541" t="s">
        <v>1593</v>
      </c>
      <c r="B1541" t="s">
        <v>16</v>
      </c>
      <c r="C1541">
        <v>41</v>
      </c>
      <c r="D1541" t="s">
        <v>34</v>
      </c>
      <c r="E1541" t="s">
        <v>59</v>
      </c>
      <c r="F1541" t="s">
        <v>28</v>
      </c>
      <c r="G1541">
        <v>5.0999999999999996</v>
      </c>
      <c r="H1541">
        <v>3.3</v>
      </c>
      <c r="I1541" t="str" cm="1">
        <f t="array" ref="I1541">_xlfn.IFS(G1541&lt;3, "0–2 Years", G1541&lt;6, "3–5 Years", G1541&lt;9, "6–8 Years", G1541&lt;12, "9-11 Years", G1541&gt;=12, "12-14 Years")</f>
        <v>3–5 Years</v>
      </c>
      <c r="J1541">
        <v>3</v>
      </c>
      <c r="K1541" t="s">
        <v>20</v>
      </c>
      <c r="L1541">
        <v>92500</v>
      </c>
      <c r="M1541">
        <v>5400</v>
      </c>
      <c r="N1541">
        <v>97900</v>
      </c>
      <c r="O1541" t="s">
        <v>30</v>
      </c>
      <c r="P1541" s="3">
        <v>44155</v>
      </c>
      <c r="Q1541" t="s">
        <v>28</v>
      </c>
    </row>
    <row r="1542" spans="1:17" x14ac:dyDescent="0.35">
      <c r="A1542" t="s">
        <v>1594</v>
      </c>
      <c r="B1542" t="s">
        <v>16</v>
      </c>
      <c r="C1542">
        <v>37</v>
      </c>
      <c r="D1542" t="s">
        <v>38</v>
      </c>
      <c r="E1542" t="s">
        <v>39</v>
      </c>
      <c r="F1542" t="s">
        <v>19</v>
      </c>
      <c r="G1542">
        <v>6.4</v>
      </c>
      <c r="H1542">
        <v>4.0999999999999996</v>
      </c>
      <c r="I1542" t="str" cm="1">
        <f t="array" ref="I1542">_xlfn.IFS(G1542&lt;3, "0–2 Years", G1542&lt;6, "3–5 Years", G1542&lt;9, "6–8 Years", G1542&lt;12, "9-11 Years", G1542&gt;=12, "12-14 Years")</f>
        <v>6–8 Years</v>
      </c>
      <c r="J1542">
        <v>5</v>
      </c>
      <c r="K1542" t="s">
        <v>20</v>
      </c>
      <c r="L1542">
        <v>79600</v>
      </c>
      <c r="M1542">
        <v>3500</v>
      </c>
      <c r="N1542">
        <v>83100</v>
      </c>
      <c r="O1542" t="s">
        <v>21</v>
      </c>
      <c r="P1542" s="3">
        <v>43670</v>
      </c>
      <c r="Q1542" t="s">
        <v>19</v>
      </c>
    </row>
    <row r="1543" spans="1:17" x14ac:dyDescent="0.35">
      <c r="A1543" t="s">
        <v>1595</v>
      </c>
      <c r="B1543" t="s">
        <v>16</v>
      </c>
      <c r="C1543">
        <v>29</v>
      </c>
      <c r="D1543" t="s">
        <v>34</v>
      </c>
      <c r="E1543" t="s">
        <v>59</v>
      </c>
      <c r="F1543" t="s">
        <v>36</v>
      </c>
      <c r="G1543">
        <v>8</v>
      </c>
      <c r="H1543">
        <v>4.4000000000000004</v>
      </c>
      <c r="I1543" t="str" cm="1">
        <f t="array" ref="I1543">_xlfn.IFS(G1543&lt;3, "0–2 Years", G1543&lt;6, "3–5 Years", G1543&lt;9, "6–8 Years", G1543&lt;12, "9-11 Years", G1543&gt;=12, "12-14 Years")</f>
        <v>6–8 Years</v>
      </c>
      <c r="J1543">
        <v>5</v>
      </c>
      <c r="K1543" t="s">
        <v>69</v>
      </c>
      <c r="L1543">
        <v>94600</v>
      </c>
      <c r="M1543">
        <v>7800</v>
      </c>
      <c r="N1543">
        <v>102400</v>
      </c>
      <c r="O1543" t="s">
        <v>30</v>
      </c>
      <c r="P1543" s="3">
        <v>43099</v>
      </c>
      <c r="Q1543" t="s">
        <v>36</v>
      </c>
    </row>
    <row r="1544" spans="1:17" x14ac:dyDescent="0.35">
      <c r="A1544" t="s">
        <v>1596</v>
      </c>
      <c r="B1544" t="s">
        <v>16</v>
      </c>
      <c r="C1544">
        <v>30</v>
      </c>
      <c r="D1544" t="s">
        <v>41</v>
      </c>
      <c r="E1544" t="s">
        <v>42</v>
      </c>
      <c r="F1544" t="s">
        <v>19</v>
      </c>
      <c r="G1544">
        <v>10</v>
      </c>
      <c r="H1544">
        <v>8.8000000000000007</v>
      </c>
      <c r="I1544" t="str" cm="1">
        <f t="array" ref="I1544">_xlfn.IFS(G1544&lt;3, "0–2 Years", G1544&lt;6, "3–5 Years", G1544&lt;9, "6–8 Years", G1544&lt;12, "9-11 Years", G1544&gt;=12, "12-14 Years")</f>
        <v>9-11 Years</v>
      </c>
      <c r="J1544">
        <v>4</v>
      </c>
      <c r="K1544" t="s">
        <v>20</v>
      </c>
      <c r="L1544">
        <v>82600</v>
      </c>
      <c r="M1544">
        <v>3700</v>
      </c>
      <c r="N1544">
        <v>86300</v>
      </c>
      <c r="O1544" t="s">
        <v>30</v>
      </c>
      <c r="P1544" s="3">
        <v>42377</v>
      </c>
      <c r="Q1544" t="s">
        <v>19</v>
      </c>
    </row>
    <row r="1545" spans="1:17" x14ac:dyDescent="0.35">
      <c r="A1545" t="s">
        <v>1597</v>
      </c>
      <c r="B1545" t="s">
        <v>16</v>
      </c>
      <c r="C1545">
        <v>30</v>
      </c>
      <c r="D1545" t="s">
        <v>17</v>
      </c>
      <c r="E1545" t="s">
        <v>32</v>
      </c>
      <c r="F1545" t="s">
        <v>19</v>
      </c>
      <c r="G1545">
        <v>4.8</v>
      </c>
      <c r="H1545">
        <v>4.0999999999999996</v>
      </c>
      <c r="I1545" t="str" cm="1">
        <f t="array" ref="I1545">_xlfn.IFS(G1545&lt;3, "0–2 Years", G1545&lt;6, "3–5 Years", G1545&lt;9, "6–8 Years", G1545&lt;12, "9-11 Years", G1545&gt;=12, "12-14 Years")</f>
        <v>3–5 Years</v>
      </c>
      <c r="J1545">
        <v>4</v>
      </c>
      <c r="K1545" t="s">
        <v>20</v>
      </c>
      <c r="L1545">
        <v>62700</v>
      </c>
      <c r="M1545">
        <v>4400</v>
      </c>
      <c r="N1545">
        <v>67100</v>
      </c>
      <c r="O1545" t="s">
        <v>25</v>
      </c>
      <c r="P1545" s="3">
        <v>44278</v>
      </c>
      <c r="Q1545" t="s">
        <v>19</v>
      </c>
    </row>
    <row r="1546" spans="1:17" x14ac:dyDescent="0.35">
      <c r="A1546" t="s">
        <v>1598</v>
      </c>
      <c r="B1546" t="s">
        <v>23</v>
      </c>
      <c r="C1546">
        <v>36</v>
      </c>
      <c r="D1546" t="s">
        <v>55</v>
      </c>
      <c r="E1546" t="s">
        <v>79</v>
      </c>
      <c r="F1546" t="s">
        <v>36</v>
      </c>
      <c r="G1546">
        <v>6.1</v>
      </c>
      <c r="H1546">
        <v>3.8</v>
      </c>
      <c r="I1546" t="str" cm="1">
        <f t="array" ref="I1546">_xlfn.IFS(G1546&lt;3, "0–2 Years", G1546&lt;6, "3–5 Years", G1546&lt;9, "6–8 Years", G1546&lt;12, "9-11 Years", G1546&gt;=12, "12-14 Years")</f>
        <v>6–8 Years</v>
      </c>
      <c r="J1546">
        <v>3</v>
      </c>
      <c r="K1546" t="s">
        <v>20</v>
      </c>
      <c r="L1546">
        <v>62200</v>
      </c>
      <c r="M1546">
        <v>9600</v>
      </c>
      <c r="N1546">
        <v>71800</v>
      </c>
      <c r="O1546" t="s">
        <v>25</v>
      </c>
      <c r="P1546" s="3">
        <v>43786</v>
      </c>
      <c r="Q1546" t="s">
        <v>36</v>
      </c>
    </row>
    <row r="1547" spans="1:17" x14ac:dyDescent="0.35">
      <c r="A1547" t="s">
        <v>1599</v>
      </c>
      <c r="B1547" t="s">
        <v>23</v>
      </c>
      <c r="C1547" s="7">
        <v>40</v>
      </c>
      <c r="D1547" t="s">
        <v>55</v>
      </c>
      <c r="E1547" t="s">
        <v>56</v>
      </c>
      <c r="F1547" t="s">
        <v>28</v>
      </c>
      <c r="G1547" s="9">
        <v>13.2</v>
      </c>
      <c r="H1547" s="7">
        <v>10.4</v>
      </c>
      <c r="I1547" t="str" cm="1">
        <f t="array" ref="I1547">_xlfn.IFS(G1547&lt;3, "0–2 Years", G1547&lt;6, "3–5 Years", G1547&lt;9, "6–8 Years", G1547&lt;12, "9-11 Years", G1547&gt;=12, "12-14 Years")</f>
        <v>12-14 Years</v>
      </c>
      <c r="J1547" s="7">
        <v>5</v>
      </c>
      <c r="K1547" t="s">
        <v>20</v>
      </c>
      <c r="L1547" s="7">
        <v>110500</v>
      </c>
      <c r="M1547" s="7">
        <v>8700</v>
      </c>
      <c r="N1547" s="7">
        <v>119200</v>
      </c>
      <c r="O1547" t="s">
        <v>57</v>
      </c>
      <c r="P1547" s="3">
        <v>41189</v>
      </c>
      <c r="Q1547" t="s">
        <v>28</v>
      </c>
    </row>
    <row r="1548" spans="1:17" x14ac:dyDescent="0.35">
      <c r="A1548" t="s">
        <v>1600</v>
      </c>
      <c r="B1548" t="s">
        <v>16</v>
      </c>
      <c r="C1548">
        <v>43</v>
      </c>
      <c r="D1548" t="s">
        <v>55</v>
      </c>
      <c r="E1548" t="s">
        <v>79</v>
      </c>
      <c r="F1548" t="s">
        <v>28</v>
      </c>
      <c r="G1548">
        <v>2.9</v>
      </c>
      <c r="H1548">
        <v>1.6</v>
      </c>
      <c r="I1548" t="str" cm="1">
        <f t="array" ref="I1548">_xlfn.IFS(G1548&lt;3, "0–2 Years", G1548&lt;6, "3–5 Years", G1548&lt;9, "6–8 Years", G1548&lt;12, "9-11 Years", G1548&gt;=12, "12-14 Years")</f>
        <v>0–2 Years</v>
      </c>
      <c r="J1548">
        <v>4</v>
      </c>
      <c r="K1548" t="s">
        <v>20</v>
      </c>
      <c r="L1548">
        <v>59600</v>
      </c>
      <c r="M1548">
        <v>4200</v>
      </c>
      <c r="N1548">
        <v>63800</v>
      </c>
      <c r="O1548" t="s">
        <v>25</v>
      </c>
      <c r="P1548" s="3">
        <v>44959</v>
      </c>
      <c r="Q1548" t="s">
        <v>28</v>
      </c>
    </row>
    <row r="1549" spans="1:17" x14ac:dyDescent="0.35">
      <c r="A1549" t="s">
        <v>1601</v>
      </c>
      <c r="B1549" t="s">
        <v>23</v>
      </c>
      <c r="C1549">
        <v>37</v>
      </c>
      <c r="D1549" t="s">
        <v>55</v>
      </c>
      <c r="E1549" t="s">
        <v>79</v>
      </c>
      <c r="F1549" t="s">
        <v>19</v>
      </c>
      <c r="G1549">
        <v>6.3</v>
      </c>
      <c r="H1549">
        <v>2.6</v>
      </c>
      <c r="I1549" t="str" cm="1">
        <f t="array" ref="I1549">_xlfn.IFS(G1549&lt;3, "0–2 Years", G1549&lt;6, "3–5 Years", G1549&lt;9, "6–8 Years", G1549&lt;12, "9-11 Years", G1549&gt;=12, "12-14 Years")</f>
        <v>6–8 Years</v>
      </c>
      <c r="J1549">
        <v>3</v>
      </c>
      <c r="K1549" t="s">
        <v>20</v>
      </c>
      <c r="L1549">
        <v>58200</v>
      </c>
      <c r="M1549">
        <v>9300</v>
      </c>
      <c r="N1549">
        <v>67500</v>
      </c>
      <c r="O1549" t="s">
        <v>25</v>
      </c>
      <c r="P1549" s="3">
        <v>43710</v>
      </c>
      <c r="Q1549" t="s">
        <v>19</v>
      </c>
    </row>
    <row r="1550" spans="1:17" x14ac:dyDescent="0.35">
      <c r="A1550" t="s">
        <v>1602</v>
      </c>
      <c r="B1550" t="s">
        <v>23</v>
      </c>
      <c r="C1550" s="7">
        <v>23</v>
      </c>
      <c r="D1550" t="s">
        <v>44</v>
      </c>
      <c r="E1550" t="s">
        <v>76</v>
      </c>
      <c r="F1550" t="s">
        <v>28</v>
      </c>
      <c r="G1550" s="9">
        <v>12.5</v>
      </c>
      <c r="H1550" s="7">
        <v>9</v>
      </c>
      <c r="I1550" t="str" cm="1">
        <f t="array" ref="I1550">_xlfn.IFS(G1550&lt;3, "0–2 Years", G1550&lt;6, "3–5 Years", G1550&lt;9, "6–8 Years", G1550&lt;12, "9-11 Years", G1550&gt;=12, "12-14 Years")</f>
        <v>12-14 Years</v>
      </c>
      <c r="J1550" s="7">
        <v>2</v>
      </c>
      <c r="K1550" t="s">
        <v>20</v>
      </c>
      <c r="L1550" s="7">
        <v>101400</v>
      </c>
      <c r="M1550" s="7">
        <v>12400</v>
      </c>
      <c r="N1550" s="7">
        <v>113800</v>
      </c>
      <c r="O1550" t="s">
        <v>57</v>
      </c>
      <c r="P1550" s="3">
        <v>41461</v>
      </c>
      <c r="Q1550" t="s">
        <v>28</v>
      </c>
    </row>
    <row r="1551" spans="1:17" x14ac:dyDescent="0.35">
      <c r="A1551" t="s">
        <v>1603</v>
      </c>
      <c r="B1551" t="s">
        <v>23</v>
      </c>
      <c r="C1551">
        <v>24</v>
      </c>
      <c r="D1551" t="s">
        <v>17</v>
      </c>
      <c r="E1551" t="s">
        <v>18</v>
      </c>
      <c r="F1551" t="s">
        <v>19</v>
      </c>
      <c r="G1551">
        <v>11.7</v>
      </c>
      <c r="H1551">
        <v>7.2</v>
      </c>
      <c r="I1551" t="str" cm="1">
        <f t="array" ref="I1551">_xlfn.IFS(G1551&lt;3, "0–2 Years", G1551&lt;6, "3–5 Years", G1551&lt;9, "6–8 Years", G1551&lt;12, "9-11 Years", G1551&gt;=12, "12-14 Years")</f>
        <v>9-11 Years</v>
      </c>
      <c r="J1551">
        <v>4</v>
      </c>
      <c r="K1551" t="s">
        <v>20</v>
      </c>
      <c r="L1551">
        <v>117200</v>
      </c>
      <c r="M1551">
        <v>8900</v>
      </c>
      <c r="N1551">
        <v>126100</v>
      </c>
      <c r="O1551" t="s">
        <v>57</v>
      </c>
      <c r="P1551" s="3">
        <v>41752</v>
      </c>
      <c r="Q1551" t="s">
        <v>19</v>
      </c>
    </row>
    <row r="1552" spans="1:17" x14ac:dyDescent="0.35">
      <c r="A1552" t="s">
        <v>1604</v>
      </c>
      <c r="B1552" t="s">
        <v>23</v>
      </c>
      <c r="C1552">
        <v>44</v>
      </c>
      <c r="D1552" t="s">
        <v>44</v>
      </c>
      <c r="E1552" t="s">
        <v>81</v>
      </c>
      <c r="F1552" t="s">
        <v>36</v>
      </c>
      <c r="G1552">
        <v>11.1</v>
      </c>
      <c r="H1552">
        <v>7.2</v>
      </c>
      <c r="I1552" t="str" cm="1">
        <f t="array" ref="I1552">_xlfn.IFS(G1552&lt;3, "0–2 Years", G1552&lt;6, "3–5 Years", G1552&lt;9, "6–8 Years", G1552&lt;12, "9-11 Years", G1552&gt;=12, "12-14 Years")</f>
        <v>9-11 Years</v>
      </c>
      <c r="J1552">
        <v>4</v>
      </c>
      <c r="K1552" t="s">
        <v>20</v>
      </c>
      <c r="L1552">
        <v>115200</v>
      </c>
      <c r="M1552">
        <v>15500</v>
      </c>
      <c r="N1552">
        <v>130700</v>
      </c>
      <c r="O1552" t="s">
        <v>57</v>
      </c>
      <c r="P1552" s="3">
        <v>41960</v>
      </c>
      <c r="Q1552" t="s">
        <v>36</v>
      </c>
    </row>
    <row r="1553" spans="1:17" x14ac:dyDescent="0.35">
      <c r="A1553" t="s">
        <v>1605</v>
      </c>
      <c r="B1553" t="s">
        <v>23</v>
      </c>
      <c r="C1553">
        <v>21</v>
      </c>
      <c r="D1553" t="s">
        <v>17</v>
      </c>
      <c r="E1553" t="s">
        <v>32</v>
      </c>
      <c r="F1553" t="s">
        <v>36</v>
      </c>
      <c r="G1553">
        <v>6.3</v>
      </c>
      <c r="H1553">
        <v>4.9000000000000004</v>
      </c>
      <c r="I1553" t="str" cm="1">
        <f t="array" ref="I1553">_xlfn.IFS(G1553&lt;3, "0–2 Years", G1553&lt;6, "3–5 Years", G1553&lt;9, "6–8 Years", G1553&lt;12, "9-11 Years", G1553&gt;=12, "12-14 Years")</f>
        <v>6–8 Years</v>
      </c>
      <c r="J1553">
        <v>3</v>
      </c>
      <c r="K1553" t="s">
        <v>24</v>
      </c>
      <c r="L1553">
        <v>42200</v>
      </c>
      <c r="M1553">
        <v>2100</v>
      </c>
      <c r="N1553">
        <v>44300</v>
      </c>
      <c r="O1553" t="s">
        <v>65</v>
      </c>
      <c r="P1553" s="3">
        <v>43709</v>
      </c>
      <c r="Q1553" t="s">
        <v>36</v>
      </c>
    </row>
    <row r="1554" spans="1:17" x14ac:dyDescent="0.35">
      <c r="A1554" t="s">
        <v>1606</v>
      </c>
      <c r="B1554" t="s">
        <v>16</v>
      </c>
      <c r="C1554">
        <v>26</v>
      </c>
      <c r="D1554" t="s">
        <v>38</v>
      </c>
      <c r="E1554" t="s">
        <v>112</v>
      </c>
      <c r="F1554" t="s">
        <v>28</v>
      </c>
      <c r="G1554">
        <v>6.6</v>
      </c>
      <c r="H1554">
        <v>5.0999999999999996</v>
      </c>
      <c r="I1554" t="str" cm="1">
        <f t="array" ref="I1554">_xlfn.IFS(G1554&lt;3, "0–2 Years", G1554&lt;6, "3–5 Years", G1554&lt;9, "6–8 Years", G1554&lt;12, "9-11 Years", G1554&gt;=12, "12-14 Years")</f>
        <v>6–8 Years</v>
      </c>
      <c r="J1554">
        <v>1</v>
      </c>
      <c r="K1554" t="s">
        <v>20</v>
      </c>
      <c r="L1554">
        <v>64700</v>
      </c>
      <c r="M1554">
        <v>6700</v>
      </c>
      <c r="N1554">
        <v>71400</v>
      </c>
      <c r="O1554" t="s">
        <v>25</v>
      </c>
      <c r="P1554" s="3">
        <v>43597</v>
      </c>
      <c r="Q1554" t="s">
        <v>28</v>
      </c>
    </row>
    <row r="1555" spans="1:17" x14ac:dyDescent="0.35">
      <c r="A1555" t="s">
        <v>1607</v>
      </c>
      <c r="B1555" t="s">
        <v>16</v>
      </c>
      <c r="C1555">
        <v>29</v>
      </c>
      <c r="D1555" t="s">
        <v>17</v>
      </c>
      <c r="E1555" t="s">
        <v>18</v>
      </c>
      <c r="F1555" t="s">
        <v>28</v>
      </c>
      <c r="G1555">
        <v>11.6</v>
      </c>
      <c r="H1555">
        <v>10.1</v>
      </c>
      <c r="I1555" t="str" cm="1">
        <f t="array" ref="I1555">_xlfn.IFS(G1555&lt;3, "0–2 Years", G1555&lt;6, "3–5 Years", G1555&lt;9, "6–8 Years", G1555&lt;12, "9-11 Years", G1555&gt;=12, "12-14 Years")</f>
        <v>9-11 Years</v>
      </c>
      <c r="J1555">
        <v>3</v>
      </c>
      <c r="K1555" t="s">
        <v>20</v>
      </c>
      <c r="L1555">
        <v>98400</v>
      </c>
      <c r="M1555">
        <v>7900</v>
      </c>
      <c r="N1555">
        <v>106300</v>
      </c>
      <c r="O1555" t="s">
        <v>30</v>
      </c>
      <c r="P1555" s="3">
        <v>41791</v>
      </c>
      <c r="Q1555" t="s">
        <v>28</v>
      </c>
    </row>
    <row r="1556" spans="1:17" x14ac:dyDescent="0.35">
      <c r="A1556" t="s">
        <v>1608</v>
      </c>
      <c r="B1556" t="s">
        <v>23</v>
      </c>
      <c r="C1556">
        <v>26</v>
      </c>
      <c r="D1556" t="s">
        <v>41</v>
      </c>
      <c r="E1556" t="s">
        <v>73</v>
      </c>
      <c r="F1556" t="s">
        <v>62</v>
      </c>
      <c r="G1556">
        <v>8.1999999999999993</v>
      </c>
      <c r="H1556">
        <v>4.4000000000000004</v>
      </c>
      <c r="I1556" t="str" cm="1">
        <f t="array" ref="I1556">_xlfn.IFS(G1556&lt;3, "0–2 Years", G1556&lt;6, "3–5 Years", G1556&lt;9, "6–8 Years", G1556&lt;12, "9-11 Years", G1556&gt;=12, "12-14 Years")</f>
        <v>6–8 Years</v>
      </c>
      <c r="J1556">
        <v>5</v>
      </c>
      <c r="K1556" t="s">
        <v>24</v>
      </c>
      <c r="L1556">
        <v>75600</v>
      </c>
      <c r="M1556">
        <v>6300</v>
      </c>
      <c r="N1556">
        <v>81900</v>
      </c>
      <c r="O1556" t="s">
        <v>21</v>
      </c>
      <c r="P1556" s="3">
        <v>43024</v>
      </c>
      <c r="Q1556" t="s">
        <v>62</v>
      </c>
    </row>
    <row r="1557" spans="1:17" x14ac:dyDescent="0.35">
      <c r="A1557" t="s">
        <v>1609</v>
      </c>
      <c r="B1557" t="s">
        <v>23</v>
      </c>
      <c r="C1557">
        <v>41</v>
      </c>
      <c r="D1557" t="s">
        <v>34</v>
      </c>
      <c r="E1557" t="s">
        <v>35</v>
      </c>
      <c r="F1557" t="s">
        <v>28</v>
      </c>
      <c r="G1557">
        <v>3</v>
      </c>
      <c r="H1557">
        <v>2.8</v>
      </c>
      <c r="I1557" t="str" cm="1">
        <f t="array" ref="I1557">_xlfn.IFS(G1557&lt;3, "0–2 Years", G1557&lt;6, "3–5 Years", G1557&lt;9, "6–8 Years", G1557&lt;12, "9-11 Years", G1557&gt;=12, "12-14 Years")</f>
        <v>3–5 Years</v>
      </c>
      <c r="J1557">
        <v>3</v>
      </c>
      <c r="K1557" t="s">
        <v>20</v>
      </c>
      <c r="L1557">
        <v>66800</v>
      </c>
      <c r="M1557">
        <v>2800</v>
      </c>
      <c r="N1557">
        <v>69600</v>
      </c>
      <c r="O1557" t="s">
        <v>21</v>
      </c>
      <c r="P1557" s="3">
        <v>44910</v>
      </c>
      <c r="Q1557" t="s">
        <v>28</v>
      </c>
    </row>
    <row r="1558" spans="1:17" x14ac:dyDescent="0.35">
      <c r="A1558" t="s">
        <v>1610</v>
      </c>
      <c r="B1558" t="s">
        <v>16</v>
      </c>
      <c r="C1558">
        <v>26</v>
      </c>
      <c r="D1558" t="s">
        <v>44</v>
      </c>
      <c r="E1558" t="s">
        <v>76</v>
      </c>
      <c r="F1558" t="s">
        <v>36</v>
      </c>
      <c r="G1558">
        <v>7</v>
      </c>
      <c r="H1558">
        <v>5.5</v>
      </c>
      <c r="I1558" t="str" cm="1">
        <f t="array" ref="I1558">_xlfn.IFS(G1558&lt;3, "0–2 Years", G1558&lt;6, "3–5 Years", G1558&lt;9, "6–8 Years", G1558&lt;12, "9-11 Years", G1558&gt;=12, "12-14 Years")</f>
        <v>6–8 Years</v>
      </c>
      <c r="J1558">
        <v>3</v>
      </c>
      <c r="K1558" t="s">
        <v>20</v>
      </c>
      <c r="L1558">
        <v>112100</v>
      </c>
      <c r="M1558">
        <v>14900</v>
      </c>
      <c r="N1558">
        <v>127000</v>
      </c>
      <c r="O1558" t="s">
        <v>57</v>
      </c>
      <c r="P1558" s="3">
        <v>43454</v>
      </c>
      <c r="Q1558" t="s">
        <v>36</v>
      </c>
    </row>
    <row r="1559" spans="1:17" x14ac:dyDescent="0.35">
      <c r="A1559" t="s">
        <v>1611</v>
      </c>
      <c r="B1559" t="s">
        <v>23</v>
      </c>
      <c r="C1559">
        <v>36</v>
      </c>
      <c r="D1559" t="s">
        <v>17</v>
      </c>
      <c r="E1559" t="s">
        <v>18</v>
      </c>
      <c r="F1559" t="s">
        <v>28</v>
      </c>
      <c r="G1559">
        <v>11.8</v>
      </c>
      <c r="H1559">
        <v>8</v>
      </c>
      <c r="I1559" t="str" cm="1">
        <f t="array" ref="I1559">_xlfn.IFS(G1559&lt;3, "0–2 Years", G1559&lt;6, "3–5 Years", G1559&lt;9, "6–8 Years", G1559&lt;12, "9-11 Years", G1559&gt;=12, "12-14 Years")</f>
        <v>9-11 Years</v>
      </c>
      <c r="J1559">
        <v>3</v>
      </c>
      <c r="K1559" t="s">
        <v>24</v>
      </c>
      <c r="L1559">
        <v>64200</v>
      </c>
      <c r="M1559">
        <v>8300</v>
      </c>
      <c r="N1559">
        <v>72500</v>
      </c>
      <c r="O1559" t="s">
        <v>25</v>
      </c>
      <c r="P1559" s="3">
        <v>41713</v>
      </c>
      <c r="Q1559" t="s">
        <v>28</v>
      </c>
    </row>
    <row r="1560" spans="1:17" x14ac:dyDescent="0.35">
      <c r="A1560" t="s">
        <v>1612</v>
      </c>
      <c r="B1560" t="s">
        <v>16</v>
      </c>
      <c r="C1560">
        <v>29</v>
      </c>
      <c r="D1560" t="s">
        <v>41</v>
      </c>
      <c r="E1560" t="s">
        <v>42</v>
      </c>
      <c r="F1560" t="s">
        <v>36</v>
      </c>
      <c r="G1560">
        <v>7.3</v>
      </c>
      <c r="H1560">
        <v>4.0999999999999996</v>
      </c>
      <c r="I1560" t="str" cm="1">
        <f t="array" ref="I1560">_xlfn.IFS(G1560&lt;3, "0–2 Years", G1560&lt;6, "3–5 Years", G1560&lt;9, "6–8 Years", G1560&lt;12, "9-11 Years", G1560&gt;=12, "12-14 Years")</f>
        <v>6–8 Years</v>
      </c>
      <c r="J1560">
        <v>2</v>
      </c>
      <c r="K1560" t="s">
        <v>69</v>
      </c>
      <c r="L1560">
        <v>69500</v>
      </c>
      <c r="M1560">
        <v>2500</v>
      </c>
      <c r="N1560">
        <v>72000</v>
      </c>
      <c r="O1560" t="s">
        <v>21</v>
      </c>
      <c r="P1560" s="3">
        <v>43352</v>
      </c>
      <c r="Q1560" t="s">
        <v>36</v>
      </c>
    </row>
    <row r="1561" spans="1:17" x14ac:dyDescent="0.35">
      <c r="A1561" t="s">
        <v>1613</v>
      </c>
      <c r="B1561" t="s">
        <v>23</v>
      </c>
      <c r="C1561">
        <v>29</v>
      </c>
      <c r="D1561" t="s">
        <v>44</v>
      </c>
      <c r="E1561" t="s">
        <v>81</v>
      </c>
      <c r="F1561" t="s">
        <v>36</v>
      </c>
      <c r="G1561">
        <v>10.6</v>
      </c>
      <c r="H1561">
        <v>6.8</v>
      </c>
      <c r="I1561" t="str" cm="1">
        <f t="array" ref="I1561">_xlfn.IFS(G1561&lt;3, "0–2 Years", G1561&lt;6, "3–5 Years", G1561&lt;9, "6–8 Years", G1561&lt;12, "9-11 Years", G1561&gt;=12, "12-14 Years")</f>
        <v>9-11 Years</v>
      </c>
      <c r="J1561">
        <v>4</v>
      </c>
      <c r="K1561" t="s">
        <v>20</v>
      </c>
      <c r="L1561">
        <v>100600</v>
      </c>
      <c r="M1561">
        <v>11700</v>
      </c>
      <c r="N1561">
        <v>112300</v>
      </c>
      <c r="O1561" t="s">
        <v>57</v>
      </c>
      <c r="P1561" s="3">
        <v>42148</v>
      </c>
      <c r="Q1561" t="s">
        <v>36</v>
      </c>
    </row>
    <row r="1562" spans="1:17" x14ac:dyDescent="0.35">
      <c r="A1562" t="s">
        <v>1614</v>
      </c>
      <c r="B1562" t="s">
        <v>16</v>
      </c>
      <c r="C1562" s="7">
        <v>29</v>
      </c>
      <c r="D1562" t="s">
        <v>38</v>
      </c>
      <c r="E1562" t="s">
        <v>61</v>
      </c>
      <c r="F1562" t="s">
        <v>36</v>
      </c>
      <c r="G1562" s="9">
        <v>12.5</v>
      </c>
      <c r="H1562" s="7">
        <v>7.6</v>
      </c>
      <c r="I1562" t="str" cm="1">
        <f t="array" ref="I1562">_xlfn.IFS(G1562&lt;3, "0–2 Years", G1562&lt;6, "3–5 Years", G1562&lt;9, "6–8 Years", G1562&lt;12, "9-11 Years", G1562&gt;=12, "12-14 Years")</f>
        <v>12-14 Years</v>
      </c>
      <c r="J1562" s="7">
        <v>5</v>
      </c>
      <c r="K1562" t="s">
        <v>20</v>
      </c>
      <c r="L1562" s="7">
        <v>110300</v>
      </c>
      <c r="M1562" s="7">
        <v>5200</v>
      </c>
      <c r="N1562" s="7">
        <v>115500</v>
      </c>
      <c r="O1562" t="s">
        <v>57</v>
      </c>
      <c r="P1562" s="3">
        <v>41455</v>
      </c>
      <c r="Q1562" t="s">
        <v>36</v>
      </c>
    </row>
    <row r="1563" spans="1:17" x14ac:dyDescent="0.35">
      <c r="A1563" t="s">
        <v>1615</v>
      </c>
      <c r="B1563" t="s">
        <v>23</v>
      </c>
      <c r="C1563">
        <v>27</v>
      </c>
      <c r="D1563" t="s">
        <v>55</v>
      </c>
      <c r="E1563" t="s">
        <v>56</v>
      </c>
      <c r="F1563" t="s">
        <v>28</v>
      </c>
      <c r="G1563">
        <v>6.7</v>
      </c>
      <c r="H1563">
        <v>2.5</v>
      </c>
      <c r="I1563" t="str" cm="1">
        <f t="array" ref="I1563">_xlfn.IFS(G1563&lt;3, "0–2 Years", G1563&lt;6, "3–5 Years", G1563&lt;9, "6–8 Years", G1563&lt;12, "9-11 Years", G1563&gt;=12, "12-14 Years")</f>
        <v>6–8 Years</v>
      </c>
      <c r="J1563">
        <v>3</v>
      </c>
      <c r="K1563" t="s">
        <v>24</v>
      </c>
      <c r="L1563">
        <v>66000</v>
      </c>
      <c r="M1563">
        <v>8100</v>
      </c>
      <c r="N1563">
        <v>74100</v>
      </c>
      <c r="O1563" t="s">
        <v>21</v>
      </c>
      <c r="P1563" s="3">
        <v>43561</v>
      </c>
      <c r="Q1563" t="s">
        <v>28</v>
      </c>
    </row>
    <row r="1564" spans="1:17" x14ac:dyDescent="0.35">
      <c r="A1564" t="s">
        <v>1616</v>
      </c>
      <c r="B1564" t="s">
        <v>23</v>
      </c>
      <c r="C1564" s="7">
        <v>47</v>
      </c>
      <c r="D1564" t="s">
        <v>41</v>
      </c>
      <c r="E1564" t="s">
        <v>73</v>
      </c>
      <c r="F1564" t="s">
        <v>62</v>
      </c>
      <c r="G1564" s="9">
        <v>13.7</v>
      </c>
      <c r="H1564" s="7">
        <v>8.6</v>
      </c>
      <c r="I1564" t="str" cm="1">
        <f t="array" ref="I1564">_xlfn.IFS(G1564&lt;3, "0–2 Years", G1564&lt;6, "3–5 Years", G1564&lt;9, "6–8 Years", G1564&lt;12, "9-11 Years", G1564&gt;=12, "12-14 Years")</f>
        <v>12-14 Years</v>
      </c>
      <c r="J1564" s="7">
        <v>3</v>
      </c>
      <c r="K1564" t="s">
        <v>24</v>
      </c>
      <c r="L1564" s="7">
        <v>78100</v>
      </c>
      <c r="M1564" s="7">
        <v>6400</v>
      </c>
      <c r="N1564" s="7">
        <v>84500</v>
      </c>
      <c r="O1564" t="s">
        <v>21</v>
      </c>
      <c r="P1564" s="3">
        <v>41005</v>
      </c>
      <c r="Q1564" t="s">
        <v>62</v>
      </c>
    </row>
    <row r="1565" spans="1:17" x14ac:dyDescent="0.35">
      <c r="A1565" t="s">
        <v>1617</v>
      </c>
      <c r="B1565" t="s">
        <v>16</v>
      </c>
      <c r="C1565">
        <v>36</v>
      </c>
      <c r="D1565" t="s">
        <v>38</v>
      </c>
      <c r="E1565" t="s">
        <v>39</v>
      </c>
      <c r="F1565" t="s">
        <v>19</v>
      </c>
      <c r="G1565">
        <v>5.7</v>
      </c>
      <c r="H1565">
        <v>4</v>
      </c>
      <c r="I1565" t="str" cm="1">
        <f t="array" ref="I1565">_xlfn.IFS(G1565&lt;3, "0–2 Years", G1565&lt;6, "3–5 Years", G1565&lt;9, "6–8 Years", G1565&lt;12, "9-11 Years", G1565&gt;=12, "12-14 Years")</f>
        <v>3–5 Years</v>
      </c>
      <c r="J1565">
        <v>2</v>
      </c>
      <c r="K1565" t="s">
        <v>20</v>
      </c>
      <c r="L1565">
        <v>76000</v>
      </c>
      <c r="M1565">
        <v>7500</v>
      </c>
      <c r="N1565">
        <v>83500</v>
      </c>
      <c r="O1565" t="s">
        <v>21</v>
      </c>
      <c r="P1565" s="3">
        <v>43953</v>
      </c>
      <c r="Q1565" t="s">
        <v>19</v>
      </c>
    </row>
    <row r="1566" spans="1:17" x14ac:dyDescent="0.35">
      <c r="A1566" t="s">
        <v>1618</v>
      </c>
      <c r="B1566" t="s">
        <v>16</v>
      </c>
      <c r="C1566">
        <v>41</v>
      </c>
      <c r="D1566" t="s">
        <v>55</v>
      </c>
      <c r="E1566" t="s">
        <v>79</v>
      </c>
      <c r="F1566" t="s">
        <v>19</v>
      </c>
      <c r="G1566">
        <v>3.7</v>
      </c>
      <c r="H1566">
        <v>2</v>
      </c>
      <c r="I1566" t="str" cm="1">
        <f t="array" ref="I1566">_xlfn.IFS(G1566&lt;3, "0–2 Years", G1566&lt;6, "3–5 Years", G1566&lt;9, "6–8 Years", G1566&lt;12, "9-11 Years", G1566&gt;=12, "12-14 Years")</f>
        <v>3–5 Years</v>
      </c>
      <c r="J1566">
        <v>2</v>
      </c>
      <c r="K1566" t="s">
        <v>20</v>
      </c>
      <c r="L1566">
        <v>54600</v>
      </c>
      <c r="M1566">
        <v>8200</v>
      </c>
      <c r="N1566">
        <v>62800</v>
      </c>
      <c r="O1566" t="s">
        <v>25</v>
      </c>
      <c r="P1566" s="3">
        <v>44668</v>
      </c>
      <c r="Q1566" t="s">
        <v>19</v>
      </c>
    </row>
    <row r="1567" spans="1:17" x14ac:dyDescent="0.35">
      <c r="A1567" t="s">
        <v>1619</v>
      </c>
      <c r="B1567" t="s">
        <v>23</v>
      </c>
      <c r="C1567">
        <v>29</v>
      </c>
      <c r="D1567" t="s">
        <v>44</v>
      </c>
      <c r="E1567" t="s">
        <v>45</v>
      </c>
      <c r="F1567" t="s">
        <v>28</v>
      </c>
      <c r="G1567">
        <v>1.6</v>
      </c>
      <c r="H1567">
        <v>0</v>
      </c>
      <c r="I1567" t="str" cm="1">
        <f t="array" ref="I1567">_xlfn.IFS(G1567&lt;3, "0–2 Years", G1567&lt;6, "3–5 Years", G1567&lt;9, "6–8 Years", G1567&lt;12, "9-11 Years", G1567&gt;=12, "12-14 Years")</f>
        <v>0–2 Years</v>
      </c>
      <c r="J1567">
        <v>5</v>
      </c>
      <c r="K1567" t="s">
        <v>20</v>
      </c>
      <c r="L1567">
        <v>72600</v>
      </c>
      <c r="M1567">
        <v>6500</v>
      </c>
      <c r="N1567">
        <v>79100</v>
      </c>
      <c r="O1567" t="s">
        <v>21</v>
      </c>
      <c r="P1567" s="3">
        <v>45422</v>
      </c>
      <c r="Q1567" t="s">
        <v>28</v>
      </c>
    </row>
    <row r="1568" spans="1:17" x14ac:dyDescent="0.35">
      <c r="A1568" t="s">
        <v>1620</v>
      </c>
      <c r="B1568" t="s">
        <v>16</v>
      </c>
      <c r="C1568">
        <v>26</v>
      </c>
      <c r="D1568" t="s">
        <v>38</v>
      </c>
      <c r="E1568" t="s">
        <v>39</v>
      </c>
      <c r="F1568" t="s">
        <v>36</v>
      </c>
      <c r="G1568">
        <v>3.5</v>
      </c>
      <c r="H1568">
        <v>0.6</v>
      </c>
      <c r="I1568" t="str" cm="1">
        <f t="array" ref="I1568">_xlfn.IFS(G1568&lt;3, "0–2 Years", G1568&lt;6, "3–5 Years", G1568&lt;9, "6–8 Years", G1568&lt;12, "9-11 Years", G1568&gt;=12, "12-14 Years")</f>
        <v>3–5 Years</v>
      </c>
      <c r="J1568">
        <v>3</v>
      </c>
      <c r="K1568" t="s">
        <v>24</v>
      </c>
      <c r="L1568">
        <v>55300</v>
      </c>
      <c r="M1568">
        <v>1900</v>
      </c>
      <c r="N1568">
        <v>57200</v>
      </c>
      <c r="O1568" t="s">
        <v>25</v>
      </c>
      <c r="P1568" s="3">
        <v>44760</v>
      </c>
      <c r="Q1568" t="s">
        <v>36</v>
      </c>
    </row>
    <row r="1569" spans="1:17" x14ac:dyDescent="0.35">
      <c r="A1569" t="s">
        <v>1621</v>
      </c>
      <c r="B1569" t="s">
        <v>23</v>
      </c>
      <c r="C1569">
        <v>34</v>
      </c>
      <c r="D1569" t="s">
        <v>38</v>
      </c>
      <c r="E1569" t="s">
        <v>39</v>
      </c>
      <c r="F1569" t="s">
        <v>36</v>
      </c>
      <c r="G1569">
        <v>1.1000000000000001</v>
      </c>
      <c r="H1569">
        <v>0</v>
      </c>
      <c r="I1569" t="str" cm="1">
        <f t="array" ref="I1569">_xlfn.IFS(G1569&lt;3, "0–2 Years", G1569&lt;6, "3–5 Years", G1569&lt;9, "6–8 Years", G1569&lt;12, "9-11 Years", G1569&gt;=12, "12-14 Years")</f>
        <v>0–2 Years</v>
      </c>
      <c r="J1569">
        <v>4</v>
      </c>
      <c r="K1569" t="s">
        <v>20</v>
      </c>
      <c r="L1569">
        <v>75800</v>
      </c>
      <c r="M1569">
        <v>7200</v>
      </c>
      <c r="N1569">
        <v>83000</v>
      </c>
      <c r="O1569" t="s">
        <v>21</v>
      </c>
      <c r="P1569" s="3">
        <v>45629</v>
      </c>
      <c r="Q1569" t="s">
        <v>36</v>
      </c>
    </row>
    <row r="1570" spans="1:17" x14ac:dyDescent="0.35">
      <c r="A1570" t="s">
        <v>1622</v>
      </c>
      <c r="B1570" t="s">
        <v>16</v>
      </c>
      <c r="C1570">
        <v>33</v>
      </c>
      <c r="D1570" t="s">
        <v>38</v>
      </c>
      <c r="E1570" t="s">
        <v>39</v>
      </c>
      <c r="F1570" t="s">
        <v>36</v>
      </c>
      <c r="G1570">
        <v>3.7</v>
      </c>
      <c r="H1570">
        <v>1.7</v>
      </c>
      <c r="I1570" t="str" cm="1">
        <f t="array" ref="I1570">_xlfn.IFS(G1570&lt;3, "0–2 Years", G1570&lt;6, "3–5 Years", G1570&lt;9, "6–8 Years", G1570&lt;12, "9-11 Years", G1570&gt;=12, "12-14 Years")</f>
        <v>3–5 Years</v>
      </c>
      <c r="J1570">
        <v>3</v>
      </c>
      <c r="K1570" t="s">
        <v>20</v>
      </c>
      <c r="L1570">
        <v>75400</v>
      </c>
      <c r="M1570">
        <v>7900</v>
      </c>
      <c r="N1570">
        <v>83300</v>
      </c>
      <c r="O1570" t="s">
        <v>21</v>
      </c>
      <c r="P1570" s="3">
        <v>44662</v>
      </c>
      <c r="Q1570" t="s">
        <v>36</v>
      </c>
    </row>
    <row r="1571" spans="1:17" x14ac:dyDescent="0.35">
      <c r="A1571" t="s">
        <v>1623</v>
      </c>
      <c r="B1571" t="s">
        <v>23</v>
      </c>
      <c r="C1571">
        <v>45</v>
      </c>
      <c r="D1571" t="s">
        <v>41</v>
      </c>
      <c r="E1571" t="s">
        <v>67</v>
      </c>
      <c r="F1571" t="s">
        <v>19</v>
      </c>
      <c r="G1571">
        <v>8.5</v>
      </c>
      <c r="H1571">
        <v>4.9000000000000004</v>
      </c>
      <c r="I1571" t="str" cm="1">
        <f t="array" ref="I1571">_xlfn.IFS(G1571&lt;3, "0–2 Years", G1571&lt;6, "3–5 Years", G1571&lt;9, "6–8 Years", G1571&lt;12, "9-11 Years", G1571&gt;=12, "12-14 Years")</f>
        <v>6–8 Years</v>
      </c>
      <c r="J1571">
        <v>2</v>
      </c>
      <c r="K1571" t="s">
        <v>24</v>
      </c>
      <c r="L1571">
        <v>40700</v>
      </c>
      <c r="M1571">
        <v>3100</v>
      </c>
      <c r="N1571">
        <v>43800</v>
      </c>
      <c r="O1571" t="s">
        <v>65</v>
      </c>
      <c r="P1571" s="3">
        <v>42926</v>
      </c>
      <c r="Q1571" t="s">
        <v>19</v>
      </c>
    </row>
    <row r="1572" spans="1:17" x14ac:dyDescent="0.35">
      <c r="A1572" t="s">
        <v>1624</v>
      </c>
      <c r="B1572" t="s">
        <v>16</v>
      </c>
      <c r="C1572">
        <v>35</v>
      </c>
      <c r="D1572" t="s">
        <v>55</v>
      </c>
      <c r="E1572" t="s">
        <v>92</v>
      </c>
      <c r="F1572" t="s">
        <v>19</v>
      </c>
      <c r="G1572">
        <v>1.5</v>
      </c>
      <c r="H1572">
        <v>0</v>
      </c>
      <c r="I1572" t="str" cm="1">
        <f t="array" ref="I1572">_xlfn.IFS(G1572&lt;3, "0–2 Years", G1572&lt;6, "3–5 Years", G1572&lt;9, "6–8 Years", G1572&lt;12, "9-11 Years", G1572&gt;=12, "12-14 Years")</f>
        <v>0–2 Years</v>
      </c>
      <c r="J1572">
        <v>3</v>
      </c>
      <c r="K1572" t="s">
        <v>20</v>
      </c>
      <c r="L1572">
        <v>99600</v>
      </c>
      <c r="M1572">
        <v>19400</v>
      </c>
      <c r="N1572">
        <v>119000</v>
      </c>
      <c r="O1572" t="s">
        <v>30</v>
      </c>
      <c r="P1572" s="3">
        <v>45467</v>
      </c>
      <c r="Q1572" t="s">
        <v>19</v>
      </c>
    </row>
    <row r="1573" spans="1:17" x14ac:dyDescent="0.35">
      <c r="A1573" t="s">
        <v>1625</v>
      </c>
      <c r="B1573" t="s">
        <v>23</v>
      </c>
      <c r="C1573">
        <v>32</v>
      </c>
      <c r="D1573" t="s">
        <v>34</v>
      </c>
      <c r="E1573" t="s">
        <v>47</v>
      </c>
      <c r="F1573" t="s">
        <v>28</v>
      </c>
      <c r="G1573">
        <v>7.2</v>
      </c>
      <c r="H1573">
        <v>5.3</v>
      </c>
      <c r="I1573" t="str" cm="1">
        <f t="array" ref="I1573">_xlfn.IFS(G1573&lt;3, "0–2 Years", G1573&lt;6, "3–5 Years", G1573&lt;9, "6–8 Years", G1573&lt;12, "9-11 Years", G1573&gt;=12, "12-14 Years")</f>
        <v>6–8 Years</v>
      </c>
      <c r="J1573">
        <v>2</v>
      </c>
      <c r="K1573" t="s">
        <v>20</v>
      </c>
      <c r="L1573">
        <v>82400</v>
      </c>
      <c r="M1573">
        <v>5600</v>
      </c>
      <c r="N1573">
        <v>88000</v>
      </c>
      <c r="O1573" t="s">
        <v>30</v>
      </c>
      <c r="P1573" s="3">
        <v>43401</v>
      </c>
      <c r="Q1573" t="s">
        <v>28</v>
      </c>
    </row>
    <row r="1574" spans="1:17" x14ac:dyDescent="0.35">
      <c r="A1574" t="s">
        <v>1626</v>
      </c>
      <c r="B1574" t="s">
        <v>23</v>
      </c>
      <c r="C1574">
        <v>37</v>
      </c>
      <c r="D1574" t="s">
        <v>34</v>
      </c>
      <c r="E1574" t="s">
        <v>35</v>
      </c>
      <c r="F1574" t="s">
        <v>36</v>
      </c>
      <c r="G1574">
        <v>4.5</v>
      </c>
      <c r="H1574">
        <v>1.9</v>
      </c>
      <c r="I1574" t="str" cm="1">
        <f t="array" ref="I1574">_xlfn.IFS(G1574&lt;3, "0–2 Years", G1574&lt;6, "3–5 Years", G1574&lt;9, "6–8 Years", G1574&lt;12, "9-11 Years", G1574&gt;=12, "12-14 Years")</f>
        <v>3–5 Years</v>
      </c>
      <c r="J1574">
        <v>3</v>
      </c>
      <c r="K1574" t="s">
        <v>20</v>
      </c>
      <c r="L1574">
        <v>85100</v>
      </c>
      <c r="M1574">
        <v>9600</v>
      </c>
      <c r="N1574">
        <v>94700</v>
      </c>
      <c r="O1574" t="s">
        <v>30</v>
      </c>
      <c r="P1574" s="3">
        <v>44382</v>
      </c>
      <c r="Q1574" t="s">
        <v>36</v>
      </c>
    </row>
    <row r="1575" spans="1:17" x14ac:dyDescent="0.35">
      <c r="A1575" t="s">
        <v>1627</v>
      </c>
      <c r="B1575" t="s">
        <v>16</v>
      </c>
      <c r="C1575">
        <v>25</v>
      </c>
      <c r="D1575" t="s">
        <v>34</v>
      </c>
      <c r="E1575" t="s">
        <v>35</v>
      </c>
      <c r="F1575" t="s">
        <v>28</v>
      </c>
      <c r="G1575">
        <v>3.6</v>
      </c>
      <c r="H1575">
        <v>2.7</v>
      </c>
      <c r="I1575" t="str" cm="1">
        <f t="array" ref="I1575">_xlfn.IFS(G1575&lt;3, "0–2 Years", G1575&lt;6, "3–5 Years", G1575&lt;9, "6–8 Years", G1575&lt;12, "9-11 Years", G1575&gt;=12, "12-14 Years")</f>
        <v>3–5 Years</v>
      </c>
      <c r="J1575">
        <v>4</v>
      </c>
      <c r="K1575" t="s">
        <v>24</v>
      </c>
      <c r="L1575">
        <v>47700</v>
      </c>
      <c r="M1575">
        <v>3600</v>
      </c>
      <c r="N1575">
        <v>51300</v>
      </c>
      <c r="O1575" t="s">
        <v>65</v>
      </c>
      <c r="P1575" s="3">
        <v>44723</v>
      </c>
      <c r="Q1575" t="s">
        <v>28</v>
      </c>
    </row>
    <row r="1576" spans="1:17" x14ac:dyDescent="0.35">
      <c r="A1576" t="s">
        <v>1628</v>
      </c>
      <c r="B1576" t="s">
        <v>16</v>
      </c>
      <c r="C1576">
        <v>48</v>
      </c>
      <c r="D1576" t="s">
        <v>17</v>
      </c>
      <c r="E1576" t="s">
        <v>18</v>
      </c>
      <c r="F1576" t="s">
        <v>28</v>
      </c>
      <c r="G1576">
        <v>5.8</v>
      </c>
      <c r="H1576">
        <v>2.9</v>
      </c>
      <c r="I1576" t="str" cm="1">
        <f t="array" ref="I1576">_xlfn.IFS(G1576&lt;3, "0–2 Years", G1576&lt;6, "3–5 Years", G1576&lt;9, "6–8 Years", G1576&lt;12, "9-11 Years", G1576&gt;=12, "12-14 Years")</f>
        <v>3–5 Years</v>
      </c>
      <c r="J1576">
        <v>5</v>
      </c>
      <c r="K1576" t="s">
        <v>20</v>
      </c>
      <c r="L1576">
        <v>96900</v>
      </c>
      <c r="M1576">
        <v>7100</v>
      </c>
      <c r="N1576">
        <v>104000</v>
      </c>
      <c r="O1576" t="s">
        <v>30</v>
      </c>
      <c r="P1576" s="3">
        <v>43904</v>
      </c>
      <c r="Q1576" t="s">
        <v>28</v>
      </c>
    </row>
    <row r="1577" spans="1:17" x14ac:dyDescent="0.35">
      <c r="A1577" t="s">
        <v>1629</v>
      </c>
      <c r="B1577" t="s">
        <v>16</v>
      </c>
      <c r="C1577">
        <v>42</v>
      </c>
      <c r="D1577" t="s">
        <v>44</v>
      </c>
      <c r="E1577" t="s">
        <v>81</v>
      </c>
      <c r="F1577" t="s">
        <v>36</v>
      </c>
      <c r="G1577">
        <v>8.5</v>
      </c>
      <c r="H1577">
        <v>7.7</v>
      </c>
      <c r="I1577" t="str" cm="1">
        <f t="array" ref="I1577">_xlfn.IFS(G1577&lt;3, "0–2 Years", G1577&lt;6, "3–5 Years", G1577&lt;9, "6–8 Years", G1577&lt;12, "9-11 Years", G1577&gt;=12, "12-14 Years")</f>
        <v>6–8 Years</v>
      </c>
      <c r="J1577">
        <v>3</v>
      </c>
      <c r="K1577" t="s">
        <v>20</v>
      </c>
      <c r="L1577">
        <v>92400</v>
      </c>
      <c r="M1577">
        <v>10700</v>
      </c>
      <c r="N1577">
        <v>103100</v>
      </c>
      <c r="O1577" t="s">
        <v>30</v>
      </c>
      <c r="P1577" s="3">
        <v>42918</v>
      </c>
      <c r="Q1577" t="s">
        <v>36</v>
      </c>
    </row>
    <row r="1578" spans="1:17" x14ac:dyDescent="0.35">
      <c r="A1578" t="s">
        <v>1630</v>
      </c>
      <c r="B1578" t="s">
        <v>23</v>
      </c>
      <c r="C1578" s="7">
        <v>49</v>
      </c>
      <c r="D1578" t="s">
        <v>34</v>
      </c>
      <c r="E1578" t="s">
        <v>35</v>
      </c>
      <c r="F1578" t="s">
        <v>28</v>
      </c>
      <c r="G1578" s="9">
        <v>13.1</v>
      </c>
      <c r="H1578" s="7">
        <v>9.3000000000000007</v>
      </c>
      <c r="I1578" t="str" cm="1">
        <f t="array" ref="I1578">_xlfn.IFS(G1578&lt;3, "0–2 Years", G1578&lt;6, "3–5 Years", G1578&lt;9, "6–8 Years", G1578&lt;12, "9-11 Years", G1578&gt;=12, "12-14 Years")</f>
        <v>12-14 Years</v>
      </c>
      <c r="J1578" s="7">
        <v>3</v>
      </c>
      <c r="K1578" t="s">
        <v>20</v>
      </c>
      <c r="L1578" s="7">
        <v>82100</v>
      </c>
      <c r="M1578" s="7">
        <v>4200</v>
      </c>
      <c r="N1578" s="7">
        <v>86300</v>
      </c>
      <c r="O1578" t="s">
        <v>30</v>
      </c>
      <c r="P1578" s="3">
        <v>41241</v>
      </c>
      <c r="Q1578" t="s">
        <v>28</v>
      </c>
    </row>
    <row r="1579" spans="1:17" x14ac:dyDescent="0.35">
      <c r="A1579" t="s">
        <v>1631</v>
      </c>
      <c r="B1579" t="s">
        <v>16</v>
      </c>
      <c r="C1579">
        <v>39</v>
      </c>
      <c r="D1579" t="s">
        <v>44</v>
      </c>
      <c r="E1579" t="s">
        <v>81</v>
      </c>
      <c r="F1579" t="s">
        <v>28</v>
      </c>
      <c r="G1579">
        <v>6</v>
      </c>
      <c r="H1579">
        <v>3.7</v>
      </c>
      <c r="I1579" t="str" cm="1">
        <f t="array" ref="I1579">_xlfn.IFS(G1579&lt;3, "0–2 Years", G1579&lt;6, "3–5 Years", G1579&lt;9, "6–8 Years", G1579&lt;12, "9-11 Years", G1579&gt;=12, "12-14 Years")</f>
        <v>6–8 Years</v>
      </c>
      <c r="J1579">
        <v>3</v>
      </c>
      <c r="K1579" t="s">
        <v>20</v>
      </c>
      <c r="L1579">
        <v>97000</v>
      </c>
      <c r="M1579">
        <v>10200</v>
      </c>
      <c r="N1579">
        <v>107200</v>
      </c>
      <c r="O1579" t="s">
        <v>30</v>
      </c>
      <c r="P1579" s="3">
        <v>43829</v>
      </c>
      <c r="Q1579" t="s">
        <v>28</v>
      </c>
    </row>
    <row r="1580" spans="1:17" x14ac:dyDescent="0.35">
      <c r="A1580" t="s">
        <v>1632</v>
      </c>
      <c r="B1580" t="s">
        <v>23</v>
      </c>
      <c r="C1580">
        <v>34</v>
      </c>
      <c r="D1580" t="s">
        <v>38</v>
      </c>
      <c r="E1580" t="s">
        <v>112</v>
      </c>
      <c r="F1580" t="s">
        <v>36</v>
      </c>
      <c r="G1580">
        <v>5</v>
      </c>
      <c r="H1580">
        <v>0.9</v>
      </c>
      <c r="I1580" t="str" cm="1">
        <f t="array" ref="I1580">_xlfn.IFS(G1580&lt;3, "0–2 Years", G1580&lt;6, "3–5 Years", G1580&lt;9, "6–8 Years", G1580&lt;12, "9-11 Years", G1580&gt;=12, "12-14 Years")</f>
        <v>3–5 Years</v>
      </c>
      <c r="J1580">
        <v>2</v>
      </c>
      <c r="K1580" t="s">
        <v>20</v>
      </c>
      <c r="L1580">
        <v>69000</v>
      </c>
      <c r="M1580">
        <v>2600</v>
      </c>
      <c r="N1580">
        <v>71600</v>
      </c>
      <c r="O1580" t="s">
        <v>21</v>
      </c>
      <c r="P1580" s="3">
        <v>44198</v>
      </c>
      <c r="Q1580" t="s">
        <v>36</v>
      </c>
    </row>
    <row r="1581" spans="1:17" x14ac:dyDescent="0.35">
      <c r="A1581" t="s">
        <v>1633</v>
      </c>
      <c r="B1581" t="s">
        <v>23</v>
      </c>
      <c r="C1581">
        <v>27</v>
      </c>
      <c r="D1581" t="s">
        <v>34</v>
      </c>
      <c r="E1581" t="s">
        <v>35</v>
      </c>
      <c r="F1581" t="s">
        <v>36</v>
      </c>
      <c r="G1581">
        <v>1.8</v>
      </c>
      <c r="H1581">
        <v>0.2</v>
      </c>
      <c r="I1581" t="str" cm="1">
        <f t="array" ref="I1581">_xlfn.IFS(G1581&lt;3, "0–2 Years", G1581&lt;6, "3–5 Years", G1581&lt;9, "6–8 Years", G1581&lt;12, "9-11 Years", G1581&gt;=12, "12-14 Years")</f>
        <v>0–2 Years</v>
      </c>
      <c r="J1581">
        <v>3</v>
      </c>
      <c r="K1581" t="s">
        <v>20</v>
      </c>
      <c r="L1581">
        <v>69800</v>
      </c>
      <c r="M1581">
        <v>8100</v>
      </c>
      <c r="N1581">
        <v>77900</v>
      </c>
      <c r="O1581" t="s">
        <v>21</v>
      </c>
      <c r="P1581" s="3">
        <v>45349</v>
      </c>
      <c r="Q1581" t="s">
        <v>36</v>
      </c>
    </row>
    <row r="1582" spans="1:17" x14ac:dyDescent="0.35">
      <c r="A1582" t="s">
        <v>1634</v>
      </c>
      <c r="B1582" t="s">
        <v>16</v>
      </c>
      <c r="C1582" s="7">
        <v>39</v>
      </c>
      <c r="D1582" t="s">
        <v>38</v>
      </c>
      <c r="E1582" t="s">
        <v>61</v>
      </c>
      <c r="F1582" t="s">
        <v>28</v>
      </c>
      <c r="G1582" s="9">
        <v>13.3</v>
      </c>
      <c r="H1582" s="7">
        <v>9.3000000000000007</v>
      </c>
      <c r="I1582" t="str" cm="1">
        <f t="array" ref="I1582">_xlfn.IFS(G1582&lt;3, "0–2 Years", G1582&lt;6, "3–5 Years", G1582&lt;9, "6–8 Years", G1582&lt;12, "9-11 Years", G1582&gt;=12, "12-14 Years")</f>
        <v>12-14 Years</v>
      </c>
      <c r="J1582" s="7">
        <v>3</v>
      </c>
      <c r="K1582" t="s">
        <v>20</v>
      </c>
      <c r="L1582" s="7">
        <v>113400</v>
      </c>
      <c r="M1582" s="7">
        <v>4000</v>
      </c>
      <c r="N1582" s="7">
        <v>117400</v>
      </c>
      <c r="O1582" t="s">
        <v>57</v>
      </c>
      <c r="P1582" s="3">
        <v>41160</v>
      </c>
      <c r="Q1582" t="s">
        <v>28</v>
      </c>
    </row>
    <row r="1583" spans="1:17" x14ac:dyDescent="0.35">
      <c r="A1583" t="s">
        <v>1635</v>
      </c>
      <c r="B1583" t="s">
        <v>23</v>
      </c>
      <c r="C1583">
        <v>32</v>
      </c>
      <c r="D1583" t="s">
        <v>34</v>
      </c>
      <c r="E1583" t="s">
        <v>59</v>
      </c>
      <c r="F1583" t="s">
        <v>28</v>
      </c>
      <c r="G1583">
        <v>2.2000000000000002</v>
      </c>
      <c r="H1583">
        <v>2.2000000000000002</v>
      </c>
      <c r="I1583" t="str" cm="1">
        <f t="array" ref="I1583">_xlfn.IFS(G1583&lt;3, "0–2 Years", G1583&lt;6, "3–5 Years", G1583&lt;9, "6–8 Years", G1583&lt;12, "9-11 Years", G1583&gt;=12, "12-14 Years")</f>
        <v>0–2 Years</v>
      </c>
      <c r="J1583">
        <v>1</v>
      </c>
      <c r="K1583" t="s">
        <v>20</v>
      </c>
      <c r="L1583">
        <v>83400</v>
      </c>
      <c r="M1583">
        <v>9100</v>
      </c>
      <c r="N1583">
        <v>92500</v>
      </c>
      <c r="O1583" t="s">
        <v>30</v>
      </c>
      <c r="P1583" s="3">
        <v>45217</v>
      </c>
      <c r="Q1583" t="s">
        <v>28</v>
      </c>
    </row>
    <row r="1584" spans="1:17" x14ac:dyDescent="0.35">
      <c r="A1584" t="s">
        <v>1636</v>
      </c>
      <c r="B1584" t="s">
        <v>23</v>
      </c>
      <c r="C1584">
        <v>42</v>
      </c>
      <c r="D1584" t="s">
        <v>44</v>
      </c>
      <c r="E1584" t="s">
        <v>45</v>
      </c>
      <c r="F1584" t="s">
        <v>28</v>
      </c>
      <c r="G1584">
        <v>1.3</v>
      </c>
      <c r="H1584">
        <v>1.3</v>
      </c>
      <c r="I1584" t="str" cm="1">
        <f t="array" ref="I1584">_xlfn.IFS(G1584&lt;3, "0–2 Years", G1584&lt;6, "3–5 Years", G1584&lt;9, "6–8 Years", G1584&lt;12, "9-11 Years", G1584&gt;=12, "12-14 Years")</f>
        <v>0–2 Years</v>
      </c>
      <c r="J1584">
        <v>3</v>
      </c>
      <c r="K1584" t="s">
        <v>20</v>
      </c>
      <c r="L1584">
        <v>64600</v>
      </c>
      <c r="M1584">
        <v>6800</v>
      </c>
      <c r="N1584">
        <v>71400</v>
      </c>
      <c r="O1584" t="s">
        <v>25</v>
      </c>
      <c r="P1584" s="3">
        <v>45560</v>
      </c>
      <c r="Q1584" t="s">
        <v>28</v>
      </c>
    </row>
    <row r="1585" spans="1:17" x14ac:dyDescent="0.35">
      <c r="A1585" t="s">
        <v>1637</v>
      </c>
      <c r="B1585" t="s">
        <v>16</v>
      </c>
      <c r="C1585" s="7">
        <v>36</v>
      </c>
      <c r="D1585" t="s">
        <v>41</v>
      </c>
      <c r="E1585" t="s">
        <v>73</v>
      </c>
      <c r="F1585" t="s">
        <v>36</v>
      </c>
      <c r="G1585" s="9">
        <v>13.4</v>
      </c>
      <c r="H1585" s="7">
        <v>7.6</v>
      </c>
      <c r="I1585" t="str" cm="1">
        <f t="array" ref="I1585">_xlfn.IFS(G1585&lt;3, "0–2 Years", G1585&lt;6, "3–5 Years", G1585&lt;9, "6–8 Years", G1585&lt;12, "9-11 Years", G1585&gt;=12, "12-14 Years")</f>
        <v>12-14 Years</v>
      </c>
      <c r="J1585" s="7">
        <v>3</v>
      </c>
      <c r="K1585" t="s">
        <v>24</v>
      </c>
      <c r="L1585" s="7">
        <v>72900</v>
      </c>
      <c r="M1585" s="7">
        <v>6200</v>
      </c>
      <c r="N1585" s="7">
        <v>79100</v>
      </c>
      <c r="O1585" t="s">
        <v>21</v>
      </c>
      <c r="P1585" s="3">
        <v>41129</v>
      </c>
      <c r="Q1585" t="s">
        <v>36</v>
      </c>
    </row>
    <row r="1586" spans="1:17" x14ac:dyDescent="0.35">
      <c r="A1586" t="s">
        <v>1638</v>
      </c>
      <c r="B1586" t="s">
        <v>16</v>
      </c>
      <c r="C1586">
        <v>35</v>
      </c>
      <c r="D1586" t="s">
        <v>17</v>
      </c>
      <c r="E1586" t="s">
        <v>27</v>
      </c>
      <c r="F1586" t="s">
        <v>28</v>
      </c>
      <c r="G1586">
        <v>8.1999999999999993</v>
      </c>
      <c r="H1586">
        <v>5.8</v>
      </c>
      <c r="I1586" t="str" cm="1">
        <f t="array" ref="I1586">_xlfn.IFS(G1586&lt;3, "0–2 Years", G1586&lt;6, "3–5 Years", G1586&lt;9, "6–8 Years", G1586&lt;12, "9-11 Years", G1586&gt;=12, "12-14 Years")</f>
        <v>6–8 Years</v>
      </c>
      <c r="J1586">
        <v>5</v>
      </c>
      <c r="K1586" t="s">
        <v>20</v>
      </c>
      <c r="L1586">
        <v>81300</v>
      </c>
      <c r="M1586">
        <v>8200</v>
      </c>
      <c r="N1586">
        <v>89500</v>
      </c>
      <c r="O1586" t="s">
        <v>30</v>
      </c>
      <c r="P1586" s="3">
        <v>43039</v>
      </c>
      <c r="Q1586" t="s">
        <v>28</v>
      </c>
    </row>
    <row r="1587" spans="1:17" x14ac:dyDescent="0.35">
      <c r="A1587" t="s">
        <v>1639</v>
      </c>
      <c r="B1587" t="s">
        <v>23</v>
      </c>
      <c r="C1587">
        <v>37</v>
      </c>
      <c r="D1587" t="s">
        <v>17</v>
      </c>
      <c r="E1587" t="s">
        <v>32</v>
      </c>
      <c r="F1587" t="s">
        <v>19</v>
      </c>
      <c r="G1587">
        <v>9</v>
      </c>
      <c r="H1587">
        <v>5.4</v>
      </c>
      <c r="I1587" t="str" cm="1">
        <f t="array" ref="I1587">_xlfn.IFS(G1587&lt;3, "0–2 Years", G1587&lt;6, "3–5 Years", G1587&lt;9, "6–8 Years", G1587&lt;12, "9-11 Years", G1587&gt;=12, "12-14 Years")</f>
        <v>9-11 Years</v>
      </c>
      <c r="J1587">
        <v>4</v>
      </c>
      <c r="K1587" t="s">
        <v>20</v>
      </c>
      <c r="L1587">
        <v>54300</v>
      </c>
      <c r="M1587">
        <v>4600</v>
      </c>
      <c r="N1587">
        <v>58900</v>
      </c>
      <c r="O1587" t="s">
        <v>25</v>
      </c>
      <c r="P1587" s="3">
        <v>42740</v>
      </c>
      <c r="Q1587" t="s">
        <v>19</v>
      </c>
    </row>
    <row r="1588" spans="1:17" x14ac:dyDescent="0.35">
      <c r="A1588" t="s">
        <v>1640</v>
      </c>
      <c r="B1588" t="s">
        <v>23</v>
      </c>
      <c r="C1588">
        <v>31</v>
      </c>
      <c r="D1588" t="s">
        <v>44</v>
      </c>
      <c r="E1588" t="s">
        <v>76</v>
      </c>
      <c r="F1588" t="s">
        <v>28</v>
      </c>
      <c r="G1588">
        <v>7.4</v>
      </c>
      <c r="H1588">
        <v>6.7</v>
      </c>
      <c r="I1588" t="str" cm="1">
        <f t="array" ref="I1588">_xlfn.IFS(G1588&lt;3, "0–2 Years", G1588&lt;6, "3–5 Years", G1588&lt;9, "6–8 Years", G1588&lt;12, "9-11 Years", G1588&gt;=12, "12-14 Years")</f>
        <v>6–8 Years</v>
      </c>
      <c r="J1588">
        <v>3</v>
      </c>
      <c r="K1588" t="s">
        <v>20</v>
      </c>
      <c r="L1588">
        <v>110100</v>
      </c>
      <c r="M1588">
        <v>11700</v>
      </c>
      <c r="N1588">
        <v>121800</v>
      </c>
      <c r="O1588" t="s">
        <v>57</v>
      </c>
      <c r="P1588" s="3">
        <v>43334</v>
      </c>
      <c r="Q1588" t="s">
        <v>28</v>
      </c>
    </row>
    <row r="1589" spans="1:17" x14ac:dyDescent="0.35">
      <c r="A1589" t="s">
        <v>1641</v>
      </c>
      <c r="B1589" t="s">
        <v>23</v>
      </c>
      <c r="C1589">
        <v>46</v>
      </c>
      <c r="D1589" t="s">
        <v>38</v>
      </c>
      <c r="E1589" t="s">
        <v>112</v>
      </c>
      <c r="F1589" t="s">
        <v>36</v>
      </c>
      <c r="G1589">
        <v>8.1999999999999993</v>
      </c>
      <c r="H1589">
        <v>6.9</v>
      </c>
      <c r="I1589" t="str" cm="1">
        <f t="array" ref="I1589">_xlfn.IFS(G1589&lt;3, "0–2 Years", G1589&lt;6, "3–5 Years", G1589&lt;9, "6–8 Years", G1589&lt;12, "9-11 Years", G1589&gt;=12, "12-14 Years")</f>
        <v>6–8 Years</v>
      </c>
      <c r="J1589">
        <v>3</v>
      </c>
      <c r="K1589" t="s">
        <v>20</v>
      </c>
      <c r="L1589">
        <v>78000</v>
      </c>
      <c r="M1589">
        <v>7600</v>
      </c>
      <c r="N1589">
        <v>85600</v>
      </c>
      <c r="O1589" t="s">
        <v>21</v>
      </c>
      <c r="P1589" s="3">
        <v>43031</v>
      </c>
      <c r="Q1589" t="s">
        <v>36</v>
      </c>
    </row>
    <row r="1590" spans="1:17" x14ac:dyDescent="0.35">
      <c r="A1590" t="s">
        <v>1642</v>
      </c>
      <c r="B1590" t="s">
        <v>23</v>
      </c>
      <c r="C1590" s="7">
        <v>27</v>
      </c>
      <c r="D1590" t="s">
        <v>17</v>
      </c>
      <c r="E1590" t="s">
        <v>27</v>
      </c>
      <c r="F1590" t="s">
        <v>36</v>
      </c>
      <c r="G1590" s="9">
        <v>12.9</v>
      </c>
      <c r="H1590" s="7">
        <v>7.3</v>
      </c>
      <c r="I1590" t="str" cm="1">
        <f t="array" ref="I1590">_xlfn.IFS(G1590&lt;3, "0–2 Years", G1590&lt;6, "3–5 Years", G1590&lt;9, "6–8 Years", G1590&lt;12, "9-11 Years", G1590&gt;=12, "12-14 Years")</f>
        <v>12-14 Years</v>
      </c>
      <c r="J1590" s="7">
        <v>3</v>
      </c>
      <c r="K1590" t="s">
        <v>20</v>
      </c>
      <c r="L1590" s="7">
        <v>93900</v>
      </c>
      <c r="M1590" s="7">
        <v>5300</v>
      </c>
      <c r="N1590" s="7">
        <v>99200</v>
      </c>
      <c r="O1590" t="s">
        <v>30</v>
      </c>
      <c r="P1590" s="3">
        <v>41324</v>
      </c>
      <c r="Q1590" t="s">
        <v>36</v>
      </c>
    </row>
    <row r="1591" spans="1:17" x14ac:dyDescent="0.35">
      <c r="A1591" t="s">
        <v>1643</v>
      </c>
      <c r="B1591" t="s">
        <v>16</v>
      </c>
      <c r="C1591">
        <v>41</v>
      </c>
      <c r="D1591" t="s">
        <v>44</v>
      </c>
      <c r="E1591" t="s">
        <v>76</v>
      </c>
      <c r="F1591" t="s">
        <v>19</v>
      </c>
      <c r="G1591">
        <v>1.6</v>
      </c>
      <c r="H1591">
        <v>1.6</v>
      </c>
      <c r="I1591" t="str" cm="1">
        <f t="array" ref="I1591">_xlfn.IFS(G1591&lt;3, "0–2 Years", G1591&lt;6, "3–5 Years", G1591&lt;9, "6–8 Years", G1591&lt;12, "9-11 Years", G1591&gt;=12, "12-14 Years")</f>
        <v>0–2 Years</v>
      </c>
      <c r="J1591">
        <v>4</v>
      </c>
      <c r="K1591" t="s">
        <v>24</v>
      </c>
      <c r="L1591">
        <v>61400</v>
      </c>
      <c r="M1591">
        <v>3800</v>
      </c>
      <c r="N1591">
        <v>65200</v>
      </c>
      <c r="O1591" t="s">
        <v>25</v>
      </c>
      <c r="P1591" s="3">
        <v>45430</v>
      </c>
      <c r="Q1591" t="s">
        <v>19</v>
      </c>
    </row>
    <row r="1592" spans="1:17" x14ac:dyDescent="0.35">
      <c r="A1592" t="s">
        <v>1644</v>
      </c>
      <c r="B1592" t="s">
        <v>23</v>
      </c>
      <c r="C1592">
        <v>41</v>
      </c>
      <c r="D1592" t="s">
        <v>38</v>
      </c>
      <c r="E1592" t="s">
        <v>112</v>
      </c>
      <c r="F1592" t="s">
        <v>36</v>
      </c>
      <c r="G1592">
        <v>5.9</v>
      </c>
      <c r="H1592">
        <v>3.9</v>
      </c>
      <c r="I1592" t="str" cm="1">
        <f t="array" ref="I1592">_xlfn.IFS(G1592&lt;3, "0–2 Years", G1592&lt;6, "3–5 Years", G1592&lt;9, "6–8 Years", G1592&lt;12, "9-11 Years", G1592&gt;=12, "12-14 Years")</f>
        <v>3–5 Years</v>
      </c>
      <c r="J1592">
        <v>2</v>
      </c>
      <c r="K1592" t="s">
        <v>20</v>
      </c>
      <c r="L1592">
        <v>65400</v>
      </c>
      <c r="M1592">
        <v>2700</v>
      </c>
      <c r="N1592">
        <v>68100</v>
      </c>
      <c r="O1592" t="s">
        <v>21</v>
      </c>
      <c r="P1592" s="3">
        <v>43878</v>
      </c>
      <c r="Q1592" t="s">
        <v>36</v>
      </c>
    </row>
    <row r="1593" spans="1:17" x14ac:dyDescent="0.35">
      <c r="A1593" t="s">
        <v>1645</v>
      </c>
      <c r="B1593" t="s">
        <v>23</v>
      </c>
      <c r="C1593">
        <v>28</v>
      </c>
      <c r="D1593" t="s">
        <v>44</v>
      </c>
      <c r="E1593" t="s">
        <v>81</v>
      </c>
      <c r="F1593" t="s">
        <v>36</v>
      </c>
      <c r="G1593">
        <v>2.9</v>
      </c>
      <c r="H1593">
        <v>0.7</v>
      </c>
      <c r="I1593" t="str" cm="1">
        <f t="array" ref="I1593">_xlfn.IFS(G1593&lt;3, "0–2 Years", G1593&lt;6, "3–5 Years", G1593&lt;9, "6–8 Years", G1593&lt;12, "9-11 Years", G1593&gt;=12, "12-14 Years")</f>
        <v>0–2 Years</v>
      </c>
      <c r="J1593">
        <v>3</v>
      </c>
      <c r="K1593" t="s">
        <v>20</v>
      </c>
      <c r="L1593">
        <v>104100</v>
      </c>
      <c r="M1593">
        <v>13500</v>
      </c>
      <c r="N1593">
        <v>117600</v>
      </c>
      <c r="O1593" t="s">
        <v>57</v>
      </c>
      <c r="P1593" s="3">
        <v>44957</v>
      </c>
      <c r="Q1593" t="s">
        <v>36</v>
      </c>
    </row>
    <row r="1594" spans="1:17" x14ac:dyDescent="0.35">
      <c r="A1594" t="s">
        <v>1646</v>
      </c>
      <c r="B1594" t="s">
        <v>16</v>
      </c>
      <c r="C1594" s="7">
        <v>34</v>
      </c>
      <c r="D1594" t="s">
        <v>34</v>
      </c>
      <c r="E1594" t="s">
        <v>35</v>
      </c>
      <c r="F1594" t="s">
        <v>28</v>
      </c>
      <c r="G1594" s="9">
        <v>12.7</v>
      </c>
      <c r="H1594" s="7">
        <v>6.2</v>
      </c>
      <c r="I1594" t="str" cm="1">
        <f t="array" ref="I1594">_xlfn.IFS(G1594&lt;3, "0–2 Years", G1594&lt;6, "3–5 Years", G1594&lt;9, "6–8 Years", G1594&lt;12, "9-11 Years", G1594&gt;=12, "12-14 Years")</f>
        <v>12-14 Years</v>
      </c>
      <c r="J1594" s="7">
        <v>2</v>
      </c>
      <c r="K1594" t="s">
        <v>20</v>
      </c>
      <c r="L1594" s="7">
        <v>85300</v>
      </c>
      <c r="M1594" s="7">
        <v>5300</v>
      </c>
      <c r="N1594" s="7">
        <v>90600</v>
      </c>
      <c r="O1594" t="s">
        <v>30</v>
      </c>
      <c r="P1594" s="3">
        <v>41372</v>
      </c>
      <c r="Q1594" t="s">
        <v>28</v>
      </c>
    </row>
    <row r="1595" spans="1:17" x14ac:dyDescent="0.35">
      <c r="A1595" t="s">
        <v>1647</v>
      </c>
      <c r="B1595" t="s">
        <v>23</v>
      </c>
      <c r="C1595">
        <v>38</v>
      </c>
      <c r="D1595" t="s">
        <v>44</v>
      </c>
      <c r="E1595" t="s">
        <v>76</v>
      </c>
      <c r="F1595" t="s">
        <v>28</v>
      </c>
      <c r="G1595">
        <v>3.1</v>
      </c>
      <c r="H1595">
        <v>2.2999999999999998</v>
      </c>
      <c r="I1595" t="str" cm="1">
        <f t="array" ref="I1595">_xlfn.IFS(G1595&lt;3, "0–2 Years", G1595&lt;6, "3–5 Years", G1595&lt;9, "6–8 Years", G1595&lt;12, "9-11 Years", G1595&gt;=12, "12-14 Years")</f>
        <v>3–5 Years</v>
      </c>
      <c r="J1595">
        <v>3</v>
      </c>
      <c r="K1595" t="s">
        <v>20</v>
      </c>
      <c r="L1595">
        <v>108700</v>
      </c>
      <c r="M1595">
        <v>11000</v>
      </c>
      <c r="N1595">
        <v>119700</v>
      </c>
      <c r="O1595" t="s">
        <v>57</v>
      </c>
      <c r="P1595" s="3">
        <v>44881</v>
      </c>
      <c r="Q1595" t="s">
        <v>28</v>
      </c>
    </row>
    <row r="1596" spans="1:17" x14ac:dyDescent="0.35">
      <c r="A1596" t="s">
        <v>1648</v>
      </c>
      <c r="B1596" t="s">
        <v>16</v>
      </c>
      <c r="C1596">
        <v>24</v>
      </c>
      <c r="D1596" t="s">
        <v>17</v>
      </c>
      <c r="E1596" t="s">
        <v>27</v>
      </c>
      <c r="F1596" t="s">
        <v>28</v>
      </c>
      <c r="G1596">
        <v>3.5</v>
      </c>
      <c r="H1596">
        <v>1.9</v>
      </c>
      <c r="I1596" t="str" cm="1">
        <f t="array" ref="I1596">_xlfn.IFS(G1596&lt;3, "0–2 Years", G1596&lt;6, "3–5 Years", G1596&lt;9, "6–8 Years", G1596&lt;12, "9-11 Years", G1596&gt;=12, "12-14 Years")</f>
        <v>3–5 Years</v>
      </c>
      <c r="J1596">
        <v>2</v>
      </c>
      <c r="K1596" t="s">
        <v>24</v>
      </c>
      <c r="L1596">
        <v>46600</v>
      </c>
      <c r="M1596">
        <v>4300</v>
      </c>
      <c r="N1596">
        <v>50900</v>
      </c>
      <c r="O1596" t="s">
        <v>65</v>
      </c>
      <c r="P1596" s="3">
        <v>44752</v>
      </c>
      <c r="Q1596" t="s">
        <v>28</v>
      </c>
    </row>
    <row r="1597" spans="1:17" x14ac:dyDescent="0.35">
      <c r="A1597" t="s">
        <v>1649</v>
      </c>
      <c r="B1597" t="s">
        <v>16</v>
      </c>
      <c r="C1597">
        <v>29</v>
      </c>
      <c r="D1597" t="s">
        <v>55</v>
      </c>
      <c r="E1597" t="s">
        <v>56</v>
      </c>
      <c r="F1597" t="s">
        <v>36</v>
      </c>
      <c r="G1597">
        <v>4</v>
      </c>
      <c r="H1597">
        <v>2.2999999999999998</v>
      </c>
      <c r="I1597" t="str" cm="1">
        <f t="array" ref="I1597">_xlfn.IFS(G1597&lt;3, "0–2 Years", G1597&lt;6, "3–5 Years", G1597&lt;9, "6–8 Years", G1597&lt;12, "9-11 Years", G1597&gt;=12, "12-14 Years")</f>
        <v>3–5 Years</v>
      </c>
      <c r="J1597">
        <v>3</v>
      </c>
      <c r="K1597" t="s">
        <v>20</v>
      </c>
      <c r="L1597">
        <v>106200</v>
      </c>
      <c r="M1597">
        <v>7800</v>
      </c>
      <c r="N1597">
        <v>114000</v>
      </c>
      <c r="O1597" t="s">
        <v>57</v>
      </c>
      <c r="P1597" s="3">
        <v>44546</v>
      </c>
      <c r="Q1597" t="s">
        <v>36</v>
      </c>
    </row>
    <row r="1598" spans="1:17" x14ac:dyDescent="0.35">
      <c r="A1598" t="s">
        <v>1650</v>
      </c>
      <c r="B1598" t="s">
        <v>16</v>
      </c>
      <c r="C1598">
        <v>37</v>
      </c>
      <c r="D1598" t="s">
        <v>44</v>
      </c>
      <c r="E1598" t="s">
        <v>76</v>
      </c>
      <c r="F1598" t="s">
        <v>19</v>
      </c>
      <c r="G1598">
        <v>4.0999999999999996</v>
      </c>
      <c r="H1598">
        <v>1.9</v>
      </c>
      <c r="I1598" t="str" cm="1">
        <f t="array" ref="I1598">_xlfn.IFS(G1598&lt;3, "0–2 Years", G1598&lt;6, "3–5 Years", G1598&lt;9, "6–8 Years", G1598&lt;12, "9-11 Years", G1598&gt;=12, "12-14 Years")</f>
        <v>3–5 Years</v>
      </c>
      <c r="J1598">
        <v>4</v>
      </c>
      <c r="K1598" t="s">
        <v>20</v>
      </c>
      <c r="L1598">
        <v>109200</v>
      </c>
      <c r="M1598">
        <v>12300</v>
      </c>
      <c r="N1598">
        <v>121500</v>
      </c>
      <c r="O1598" t="s">
        <v>57</v>
      </c>
      <c r="P1598" s="3">
        <v>44527</v>
      </c>
      <c r="Q1598" t="s">
        <v>19</v>
      </c>
    </row>
    <row r="1599" spans="1:17" x14ac:dyDescent="0.35">
      <c r="A1599" t="s">
        <v>1651</v>
      </c>
      <c r="B1599" t="s">
        <v>23</v>
      </c>
      <c r="C1599">
        <v>43</v>
      </c>
      <c r="D1599" t="s">
        <v>41</v>
      </c>
      <c r="E1599" t="s">
        <v>67</v>
      </c>
      <c r="F1599" t="s">
        <v>28</v>
      </c>
      <c r="G1599">
        <v>11.5</v>
      </c>
      <c r="H1599">
        <v>6.8</v>
      </c>
      <c r="I1599" t="str" cm="1">
        <f t="array" ref="I1599">_xlfn.IFS(G1599&lt;3, "0–2 Years", G1599&lt;6, "3–5 Years", G1599&lt;9, "6–8 Years", G1599&lt;12, "9-11 Years", G1599&gt;=12, "12-14 Years")</f>
        <v>9-11 Years</v>
      </c>
      <c r="J1599">
        <v>4</v>
      </c>
      <c r="K1599" t="s">
        <v>20</v>
      </c>
      <c r="L1599">
        <v>73600</v>
      </c>
      <c r="M1599">
        <v>5300</v>
      </c>
      <c r="N1599">
        <v>78900</v>
      </c>
      <c r="O1599" t="s">
        <v>21</v>
      </c>
      <c r="P1599" s="3">
        <v>41822</v>
      </c>
      <c r="Q1599" t="s">
        <v>28</v>
      </c>
    </row>
    <row r="1600" spans="1:17" x14ac:dyDescent="0.35">
      <c r="A1600" t="s">
        <v>1652</v>
      </c>
      <c r="B1600" t="s">
        <v>16</v>
      </c>
      <c r="C1600">
        <v>27</v>
      </c>
      <c r="D1600" t="s">
        <v>34</v>
      </c>
      <c r="E1600" t="s">
        <v>47</v>
      </c>
      <c r="F1600" t="s">
        <v>36</v>
      </c>
      <c r="G1600">
        <v>3</v>
      </c>
      <c r="H1600">
        <v>0.5</v>
      </c>
      <c r="I1600" t="str" cm="1">
        <f t="array" ref="I1600">_xlfn.IFS(G1600&lt;3, "0–2 Years", G1600&lt;6, "3–5 Years", G1600&lt;9, "6–8 Years", G1600&lt;12, "9-11 Years", G1600&gt;=12, "12-14 Years")</f>
        <v>3–5 Years</v>
      </c>
      <c r="J1600">
        <v>1</v>
      </c>
      <c r="K1600" t="s">
        <v>20</v>
      </c>
      <c r="L1600">
        <v>79400</v>
      </c>
      <c r="M1600">
        <v>8600</v>
      </c>
      <c r="N1600">
        <v>88000</v>
      </c>
      <c r="O1600" t="s">
        <v>21</v>
      </c>
      <c r="P1600" s="3">
        <v>44921</v>
      </c>
      <c r="Q1600" t="s">
        <v>36</v>
      </c>
    </row>
    <row r="1601" spans="1:17" x14ac:dyDescent="0.35">
      <c r="A1601" t="s">
        <v>1653</v>
      </c>
      <c r="B1601" t="s">
        <v>23</v>
      </c>
      <c r="C1601">
        <v>31</v>
      </c>
      <c r="D1601" t="s">
        <v>34</v>
      </c>
      <c r="E1601" t="s">
        <v>47</v>
      </c>
      <c r="F1601" t="s">
        <v>28</v>
      </c>
      <c r="G1601">
        <v>11.8</v>
      </c>
      <c r="H1601">
        <v>6.6</v>
      </c>
      <c r="I1601" t="str" cm="1">
        <f t="array" ref="I1601">_xlfn.IFS(G1601&lt;3, "0–2 Years", G1601&lt;6, "3–5 Years", G1601&lt;9, "6–8 Years", G1601&lt;12, "9-11 Years", G1601&gt;=12, "12-14 Years")</f>
        <v>9-11 Years</v>
      </c>
      <c r="J1601">
        <v>3</v>
      </c>
      <c r="K1601" t="s">
        <v>20</v>
      </c>
      <c r="L1601">
        <v>75800</v>
      </c>
      <c r="M1601">
        <v>4200</v>
      </c>
      <c r="N1601">
        <v>80000</v>
      </c>
      <c r="O1601" t="s">
        <v>21</v>
      </c>
      <c r="P1601" s="3">
        <v>41708</v>
      </c>
      <c r="Q1601" t="s">
        <v>28</v>
      </c>
    </row>
    <row r="1602" spans="1:17" x14ac:dyDescent="0.35">
      <c r="A1602" t="s">
        <v>1654</v>
      </c>
      <c r="B1602" t="s">
        <v>16</v>
      </c>
      <c r="C1602" s="7">
        <v>33</v>
      </c>
      <c r="D1602" t="s">
        <v>17</v>
      </c>
      <c r="E1602" t="s">
        <v>18</v>
      </c>
      <c r="F1602" t="s">
        <v>28</v>
      </c>
      <c r="G1602" s="9">
        <v>12.5</v>
      </c>
      <c r="H1602" s="7">
        <v>8.4</v>
      </c>
      <c r="I1602" t="str" cm="1">
        <f t="array" ref="I1602">_xlfn.IFS(G1602&lt;3, "0–2 Years", G1602&lt;6, "3–5 Years", G1602&lt;9, "6–8 Years", G1602&lt;12, "9-11 Years", G1602&gt;=12, "12-14 Years")</f>
        <v>12-14 Years</v>
      </c>
      <c r="J1602" s="7">
        <v>4</v>
      </c>
      <c r="K1602" t="s">
        <v>20</v>
      </c>
      <c r="L1602" s="7">
        <v>112200</v>
      </c>
      <c r="M1602" s="7">
        <v>13400</v>
      </c>
      <c r="N1602" s="7">
        <v>125600</v>
      </c>
      <c r="O1602" t="s">
        <v>57</v>
      </c>
      <c r="P1602" s="3">
        <v>41444</v>
      </c>
      <c r="Q1602" t="s">
        <v>28</v>
      </c>
    </row>
    <row r="1603" spans="1:17" x14ac:dyDescent="0.35">
      <c r="A1603" t="s">
        <v>1655</v>
      </c>
      <c r="B1603" t="s">
        <v>16</v>
      </c>
      <c r="C1603">
        <v>38</v>
      </c>
      <c r="D1603" t="s">
        <v>17</v>
      </c>
      <c r="E1603" t="s">
        <v>18</v>
      </c>
      <c r="F1603" t="s">
        <v>36</v>
      </c>
      <c r="G1603">
        <v>8.5</v>
      </c>
      <c r="H1603">
        <v>5.8</v>
      </c>
      <c r="I1603" t="str" cm="1">
        <f t="array" ref="I1603">_xlfn.IFS(G1603&lt;3, "0–2 Years", G1603&lt;6, "3–5 Years", G1603&lt;9, "6–8 Years", G1603&lt;12, "9-11 Years", G1603&gt;=12, "12-14 Years")</f>
        <v>6–8 Years</v>
      </c>
      <c r="J1603">
        <v>4</v>
      </c>
      <c r="K1603" t="s">
        <v>24</v>
      </c>
      <c r="L1603">
        <v>69600</v>
      </c>
      <c r="M1603">
        <v>3200</v>
      </c>
      <c r="N1603">
        <v>72800</v>
      </c>
      <c r="O1603" t="s">
        <v>21</v>
      </c>
      <c r="P1603" s="3">
        <v>42911</v>
      </c>
      <c r="Q1603" t="s">
        <v>36</v>
      </c>
    </row>
    <row r="1604" spans="1:17" x14ac:dyDescent="0.35">
      <c r="A1604" t="s">
        <v>1656</v>
      </c>
      <c r="B1604" t="s">
        <v>16</v>
      </c>
      <c r="C1604" s="7">
        <v>40</v>
      </c>
      <c r="D1604" t="s">
        <v>55</v>
      </c>
      <c r="E1604" t="s">
        <v>56</v>
      </c>
      <c r="F1604" t="s">
        <v>36</v>
      </c>
      <c r="G1604" s="9">
        <v>13</v>
      </c>
      <c r="H1604" s="7">
        <v>7.2</v>
      </c>
      <c r="I1604" t="str" cm="1">
        <f t="array" ref="I1604">_xlfn.IFS(G1604&lt;3, "0–2 Years", G1604&lt;6, "3–5 Years", G1604&lt;9, "6–8 Years", G1604&lt;12, "9-11 Years", G1604&gt;=12, "12-14 Years")</f>
        <v>12-14 Years</v>
      </c>
      <c r="J1604" s="7">
        <v>5</v>
      </c>
      <c r="K1604" t="s">
        <v>24</v>
      </c>
      <c r="L1604" s="7">
        <v>75400</v>
      </c>
      <c r="M1604" s="7">
        <v>9000</v>
      </c>
      <c r="N1604" s="7">
        <v>84400</v>
      </c>
      <c r="O1604" t="s">
        <v>21</v>
      </c>
      <c r="P1604" s="3">
        <v>41288</v>
      </c>
      <c r="Q1604" t="s">
        <v>36</v>
      </c>
    </row>
    <row r="1605" spans="1:17" x14ac:dyDescent="0.35">
      <c r="A1605" t="s">
        <v>1657</v>
      </c>
      <c r="B1605" t="s">
        <v>16</v>
      </c>
      <c r="C1605">
        <v>43</v>
      </c>
      <c r="D1605" t="s">
        <v>38</v>
      </c>
      <c r="E1605" t="s">
        <v>39</v>
      </c>
      <c r="F1605" t="s">
        <v>28</v>
      </c>
      <c r="G1605">
        <v>11.9</v>
      </c>
      <c r="H1605">
        <v>6.6</v>
      </c>
      <c r="I1605" t="str" cm="1">
        <f t="array" ref="I1605">_xlfn.IFS(G1605&lt;3, "0–2 Years", G1605&lt;6, "3–5 Years", G1605&lt;9, "6–8 Years", G1605&lt;12, "9-11 Years", G1605&gt;=12, "12-14 Years")</f>
        <v>9-11 Years</v>
      </c>
      <c r="J1605">
        <v>3</v>
      </c>
      <c r="K1605" t="s">
        <v>20</v>
      </c>
      <c r="L1605">
        <v>76700</v>
      </c>
      <c r="M1605">
        <v>5900</v>
      </c>
      <c r="N1605">
        <v>82600</v>
      </c>
      <c r="O1605" t="s">
        <v>21</v>
      </c>
      <c r="P1605" s="3">
        <v>41663</v>
      </c>
      <c r="Q1605" t="s">
        <v>28</v>
      </c>
    </row>
    <row r="1606" spans="1:17" x14ac:dyDescent="0.35">
      <c r="A1606" t="s">
        <v>1658</v>
      </c>
      <c r="B1606" t="s">
        <v>16</v>
      </c>
      <c r="C1606" s="7">
        <v>30</v>
      </c>
      <c r="D1606" t="s">
        <v>44</v>
      </c>
      <c r="E1606" t="s">
        <v>45</v>
      </c>
      <c r="F1606" t="s">
        <v>19</v>
      </c>
      <c r="G1606" s="9">
        <v>12.7</v>
      </c>
      <c r="H1606" s="7">
        <v>7.6</v>
      </c>
      <c r="I1606" t="str" cm="1">
        <f t="array" ref="I1606">_xlfn.IFS(G1606&lt;3, "0–2 Years", G1606&lt;6, "3–5 Years", G1606&lt;9, "6–8 Years", G1606&lt;12, "9-11 Years", G1606&gt;=12, "12-14 Years")</f>
        <v>12-14 Years</v>
      </c>
      <c r="J1606" s="7">
        <v>3</v>
      </c>
      <c r="K1606" t="s">
        <v>20</v>
      </c>
      <c r="L1606" s="7">
        <v>81500</v>
      </c>
      <c r="M1606" s="7">
        <v>11000</v>
      </c>
      <c r="N1606" s="7">
        <v>92500</v>
      </c>
      <c r="O1606" t="s">
        <v>30</v>
      </c>
      <c r="P1606" s="3">
        <v>41380</v>
      </c>
      <c r="Q1606" t="s">
        <v>19</v>
      </c>
    </row>
    <row r="1607" spans="1:17" x14ac:dyDescent="0.35">
      <c r="A1607" t="s">
        <v>1659</v>
      </c>
      <c r="B1607" t="s">
        <v>23</v>
      </c>
      <c r="C1607">
        <v>45</v>
      </c>
      <c r="D1607" t="s">
        <v>55</v>
      </c>
      <c r="E1607" t="s">
        <v>79</v>
      </c>
      <c r="F1607" t="s">
        <v>36</v>
      </c>
      <c r="G1607">
        <v>1.4</v>
      </c>
      <c r="H1607">
        <v>0.4</v>
      </c>
      <c r="I1607" t="str" cm="1">
        <f t="array" ref="I1607">_xlfn.IFS(G1607&lt;3, "0–2 Years", G1607&lt;6, "3–5 Years", G1607&lt;9, "6–8 Years", G1607&lt;12, "9-11 Years", G1607&gt;=12, "12-14 Years")</f>
        <v>0–2 Years</v>
      </c>
      <c r="J1607">
        <v>3</v>
      </c>
      <c r="K1607" t="s">
        <v>20</v>
      </c>
      <c r="L1607">
        <v>56200</v>
      </c>
      <c r="M1607">
        <v>4500</v>
      </c>
      <c r="N1607">
        <v>60700</v>
      </c>
      <c r="O1607" t="s">
        <v>25</v>
      </c>
      <c r="P1607" s="3">
        <v>45515</v>
      </c>
      <c r="Q1607" t="s">
        <v>36</v>
      </c>
    </row>
    <row r="1608" spans="1:17" x14ac:dyDescent="0.35">
      <c r="A1608" t="s">
        <v>1660</v>
      </c>
      <c r="B1608" t="s">
        <v>16</v>
      </c>
      <c r="C1608">
        <v>21</v>
      </c>
      <c r="D1608" t="s">
        <v>38</v>
      </c>
      <c r="E1608" t="s">
        <v>112</v>
      </c>
      <c r="F1608" t="s">
        <v>36</v>
      </c>
      <c r="G1608">
        <v>6.5</v>
      </c>
      <c r="H1608">
        <v>5.6</v>
      </c>
      <c r="I1608" t="str" cm="1">
        <f t="array" ref="I1608">_xlfn.IFS(G1608&lt;3, "0–2 Years", G1608&lt;6, "3–5 Years", G1608&lt;9, "6–8 Years", G1608&lt;12, "9-11 Years", G1608&gt;=12, "12-14 Years")</f>
        <v>6–8 Years</v>
      </c>
      <c r="J1608">
        <v>3</v>
      </c>
      <c r="K1608" t="s">
        <v>20</v>
      </c>
      <c r="L1608">
        <v>74000</v>
      </c>
      <c r="M1608">
        <v>5800</v>
      </c>
      <c r="N1608">
        <v>79800</v>
      </c>
      <c r="O1608" t="s">
        <v>21</v>
      </c>
      <c r="P1608" s="3">
        <v>43636</v>
      </c>
      <c r="Q1608" t="s">
        <v>36</v>
      </c>
    </row>
    <row r="1609" spans="1:17" x14ac:dyDescent="0.35">
      <c r="A1609" t="s">
        <v>1661</v>
      </c>
      <c r="B1609" t="s">
        <v>16</v>
      </c>
      <c r="C1609">
        <v>36</v>
      </c>
      <c r="D1609" t="s">
        <v>38</v>
      </c>
      <c r="E1609" t="s">
        <v>112</v>
      </c>
      <c r="F1609" t="s">
        <v>28</v>
      </c>
      <c r="G1609">
        <v>7.9</v>
      </c>
      <c r="H1609">
        <v>6.8</v>
      </c>
      <c r="I1609" t="str" cm="1">
        <f t="array" ref="I1609">_xlfn.IFS(G1609&lt;3, "0–2 Years", G1609&lt;6, "3–5 Years", G1609&lt;9, "6–8 Years", G1609&lt;12, "9-11 Years", G1609&gt;=12, "12-14 Years")</f>
        <v>6–8 Years</v>
      </c>
      <c r="J1609">
        <v>2</v>
      </c>
      <c r="K1609" t="s">
        <v>69</v>
      </c>
      <c r="L1609">
        <v>59300</v>
      </c>
      <c r="M1609">
        <v>3500</v>
      </c>
      <c r="N1609">
        <v>62800</v>
      </c>
      <c r="O1609" t="s">
        <v>25</v>
      </c>
      <c r="P1609" s="3">
        <v>43141</v>
      </c>
      <c r="Q1609" t="s">
        <v>28</v>
      </c>
    </row>
    <row r="1610" spans="1:17" x14ac:dyDescent="0.35">
      <c r="A1610" t="s">
        <v>1662</v>
      </c>
      <c r="B1610" t="s">
        <v>23</v>
      </c>
      <c r="C1610">
        <v>50</v>
      </c>
      <c r="D1610" t="s">
        <v>44</v>
      </c>
      <c r="E1610" t="s">
        <v>51</v>
      </c>
      <c r="F1610" t="s">
        <v>28</v>
      </c>
      <c r="G1610">
        <v>11.5</v>
      </c>
      <c r="H1610">
        <v>5.6</v>
      </c>
      <c r="I1610" t="str" cm="1">
        <f t="array" ref="I1610">_xlfn.IFS(G1610&lt;3, "0–2 Years", G1610&lt;6, "3–5 Years", G1610&lt;9, "6–8 Years", G1610&lt;12, "9-11 Years", G1610&gt;=12, "12-14 Years")</f>
        <v>9-11 Years</v>
      </c>
      <c r="J1610">
        <v>4</v>
      </c>
      <c r="K1610" t="s">
        <v>20</v>
      </c>
      <c r="L1610">
        <v>86300</v>
      </c>
      <c r="M1610">
        <v>10700</v>
      </c>
      <c r="N1610">
        <v>97000</v>
      </c>
      <c r="O1610" t="s">
        <v>30</v>
      </c>
      <c r="P1610" s="3">
        <v>41836</v>
      </c>
      <c r="Q1610" t="s">
        <v>28</v>
      </c>
    </row>
    <row r="1611" spans="1:17" x14ac:dyDescent="0.35">
      <c r="A1611" t="s">
        <v>1663</v>
      </c>
      <c r="B1611" t="s">
        <v>16</v>
      </c>
      <c r="C1611">
        <v>33</v>
      </c>
      <c r="D1611" t="s">
        <v>38</v>
      </c>
      <c r="E1611" t="s">
        <v>112</v>
      </c>
      <c r="F1611" t="s">
        <v>28</v>
      </c>
      <c r="G1611">
        <v>6.4</v>
      </c>
      <c r="H1611">
        <v>3.5</v>
      </c>
      <c r="I1611" t="str" cm="1">
        <f t="array" ref="I1611">_xlfn.IFS(G1611&lt;3, "0–2 Years", G1611&lt;6, "3–5 Years", G1611&lt;9, "6–8 Years", G1611&lt;12, "9-11 Years", G1611&gt;=12, "12-14 Years")</f>
        <v>6–8 Years</v>
      </c>
      <c r="J1611">
        <v>2</v>
      </c>
      <c r="K1611" t="s">
        <v>20</v>
      </c>
      <c r="L1611">
        <v>68000</v>
      </c>
      <c r="M1611">
        <v>6700</v>
      </c>
      <c r="N1611">
        <v>74700</v>
      </c>
      <c r="O1611" t="s">
        <v>21</v>
      </c>
      <c r="P1611" s="3">
        <v>43700</v>
      </c>
      <c r="Q1611" t="s">
        <v>28</v>
      </c>
    </row>
    <row r="1612" spans="1:17" x14ac:dyDescent="0.35">
      <c r="A1612" t="s">
        <v>1664</v>
      </c>
      <c r="B1612" t="s">
        <v>16</v>
      </c>
      <c r="C1612">
        <v>40</v>
      </c>
      <c r="D1612" t="s">
        <v>17</v>
      </c>
      <c r="E1612" t="s">
        <v>27</v>
      </c>
      <c r="F1612" t="s">
        <v>36</v>
      </c>
      <c r="G1612">
        <v>10.9</v>
      </c>
      <c r="H1612">
        <v>6.4</v>
      </c>
      <c r="I1612" t="str" cm="1">
        <f t="array" ref="I1612">_xlfn.IFS(G1612&lt;3, "0–2 Years", G1612&lt;6, "3–5 Years", G1612&lt;9, "6–8 Years", G1612&lt;12, "9-11 Years", G1612&gt;=12, "12-14 Years")</f>
        <v>9-11 Years</v>
      </c>
      <c r="J1612">
        <v>2</v>
      </c>
      <c r="K1612" t="s">
        <v>20</v>
      </c>
      <c r="L1612">
        <v>88300</v>
      </c>
      <c r="M1612">
        <v>8300</v>
      </c>
      <c r="N1612">
        <v>96600</v>
      </c>
      <c r="O1612" t="s">
        <v>30</v>
      </c>
      <c r="P1612" s="3">
        <v>42036</v>
      </c>
      <c r="Q1612" t="s">
        <v>36</v>
      </c>
    </row>
    <row r="1613" spans="1:17" x14ac:dyDescent="0.35">
      <c r="A1613" t="s">
        <v>1665</v>
      </c>
      <c r="B1613" t="s">
        <v>23</v>
      </c>
      <c r="C1613">
        <v>30</v>
      </c>
      <c r="D1613" t="s">
        <v>17</v>
      </c>
      <c r="E1613" t="s">
        <v>27</v>
      </c>
      <c r="F1613" t="s">
        <v>36</v>
      </c>
      <c r="G1613">
        <v>6.4</v>
      </c>
      <c r="H1613">
        <v>3.8</v>
      </c>
      <c r="I1613" t="str" cm="1">
        <f t="array" ref="I1613">_xlfn.IFS(G1613&lt;3, "0–2 Years", G1613&lt;6, "3–5 Years", G1613&lt;9, "6–8 Years", G1613&lt;12, "9-11 Years", G1613&gt;=12, "12-14 Years")</f>
        <v>6–8 Years</v>
      </c>
      <c r="J1613">
        <v>3</v>
      </c>
      <c r="K1613" t="s">
        <v>20</v>
      </c>
      <c r="L1613">
        <v>80700</v>
      </c>
      <c r="M1613">
        <v>7000</v>
      </c>
      <c r="N1613">
        <v>87700</v>
      </c>
      <c r="O1613" t="s">
        <v>30</v>
      </c>
      <c r="P1613" s="3">
        <v>43680</v>
      </c>
      <c r="Q1613" t="s">
        <v>36</v>
      </c>
    </row>
    <row r="1614" spans="1:17" x14ac:dyDescent="0.35">
      <c r="A1614" t="s">
        <v>1666</v>
      </c>
      <c r="B1614" t="s">
        <v>16</v>
      </c>
      <c r="C1614" s="7">
        <v>49</v>
      </c>
      <c r="D1614" t="s">
        <v>34</v>
      </c>
      <c r="E1614" t="s">
        <v>47</v>
      </c>
      <c r="F1614" t="s">
        <v>19</v>
      </c>
      <c r="G1614" s="9">
        <v>13.6</v>
      </c>
      <c r="H1614" s="7">
        <v>10</v>
      </c>
      <c r="I1614" t="str" cm="1">
        <f t="array" ref="I1614">_xlfn.IFS(G1614&lt;3, "0–2 Years", G1614&lt;6, "3–5 Years", G1614&lt;9, "6–8 Years", G1614&lt;12, "9-11 Years", G1614&gt;=12, "12-14 Years")</f>
        <v>12-14 Years</v>
      </c>
      <c r="J1614" s="7">
        <v>4</v>
      </c>
      <c r="K1614" t="s">
        <v>20</v>
      </c>
      <c r="L1614" s="7">
        <v>86100</v>
      </c>
      <c r="M1614" s="7">
        <v>4600</v>
      </c>
      <c r="N1614" s="7">
        <v>90700</v>
      </c>
      <c r="O1614" t="s">
        <v>30</v>
      </c>
      <c r="P1614" s="3">
        <v>41063</v>
      </c>
      <c r="Q1614" t="s">
        <v>19</v>
      </c>
    </row>
    <row r="1615" spans="1:17" x14ac:dyDescent="0.35">
      <c r="A1615" t="s">
        <v>1667</v>
      </c>
      <c r="B1615" t="s">
        <v>16</v>
      </c>
      <c r="C1615">
        <v>47</v>
      </c>
      <c r="D1615" t="s">
        <v>17</v>
      </c>
      <c r="E1615" t="s">
        <v>27</v>
      </c>
      <c r="F1615" t="s">
        <v>36</v>
      </c>
      <c r="G1615">
        <v>3.3</v>
      </c>
      <c r="H1615">
        <v>1.6</v>
      </c>
      <c r="I1615" t="str" cm="1">
        <f t="array" ref="I1615">_xlfn.IFS(G1615&lt;3, "0–2 Years", G1615&lt;6, "3–5 Years", G1615&lt;9, "6–8 Years", G1615&lt;12, "9-11 Years", G1615&gt;=12, "12-14 Years")</f>
        <v>3–5 Years</v>
      </c>
      <c r="J1615">
        <v>4</v>
      </c>
      <c r="K1615" t="s">
        <v>20</v>
      </c>
      <c r="L1615">
        <v>93300</v>
      </c>
      <c r="M1615">
        <v>5800</v>
      </c>
      <c r="N1615">
        <v>99100</v>
      </c>
      <c r="O1615" t="s">
        <v>30</v>
      </c>
      <c r="P1615" s="3">
        <v>44803</v>
      </c>
      <c r="Q1615" t="s">
        <v>36</v>
      </c>
    </row>
    <row r="1616" spans="1:17" x14ac:dyDescent="0.35">
      <c r="A1616" t="s">
        <v>1668</v>
      </c>
      <c r="B1616" t="s">
        <v>16</v>
      </c>
      <c r="C1616">
        <v>38</v>
      </c>
      <c r="D1616" t="s">
        <v>38</v>
      </c>
      <c r="E1616" t="s">
        <v>112</v>
      </c>
      <c r="F1616" t="s">
        <v>36</v>
      </c>
      <c r="G1616">
        <v>9.5</v>
      </c>
      <c r="H1616">
        <v>6.8</v>
      </c>
      <c r="I1616" t="str" cm="1">
        <f t="array" ref="I1616">_xlfn.IFS(G1616&lt;3, "0–2 Years", G1616&lt;6, "3–5 Years", G1616&lt;9, "6–8 Years", G1616&lt;12, "9-11 Years", G1616&gt;=12, "12-14 Years")</f>
        <v>9-11 Years</v>
      </c>
      <c r="J1616">
        <v>3</v>
      </c>
      <c r="K1616" t="s">
        <v>20</v>
      </c>
      <c r="L1616">
        <v>77100</v>
      </c>
      <c r="M1616">
        <v>7800</v>
      </c>
      <c r="N1616">
        <v>84900</v>
      </c>
      <c r="O1616" t="s">
        <v>21</v>
      </c>
      <c r="P1616" s="3">
        <v>42557</v>
      </c>
      <c r="Q1616" t="s">
        <v>36</v>
      </c>
    </row>
    <row r="1617" spans="1:17" x14ac:dyDescent="0.35">
      <c r="A1617" t="s">
        <v>1669</v>
      </c>
      <c r="B1617" t="s">
        <v>23</v>
      </c>
      <c r="C1617">
        <v>40</v>
      </c>
      <c r="D1617" t="s">
        <v>41</v>
      </c>
      <c r="E1617" t="s">
        <v>42</v>
      </c>
      <c r="F1617" t="s">
        <v>19</v>
      </c>
      <c r="G1617">
        <v>5.9</v>
      </c>
      <c r="H1617">
        <v>5.8</v>
      </c>
      <c r="I1617" t="str" cm="1">
        <f t="array" ref="I1617">_xlfn.IFS(G1617&lt;3, "0–2 Years", G1617&lt;6, "3–5 Years", G1617&lt;9, "6–8 Years", G1617&lt;12, "9-11 Years", G1617&gt;=12, "12-14 Years")</f>
        <v>3–5 Years</v>
      </c>
      <c r="J1617">
        <v>4</v>
      </c>
      <c r="K1617" t="s">
        <v>20</v>
      </c>
      <c r="L1617">
        <v>77900</v>
      </c>
      <c r="M1617">
        <v>3600</v>
      </c>
      <c r="N1617">
        <v>81500</v>
      </c>
      <c r="O1617" t="s">
        <v>21</v>
      </c>
      <c r="P1617" s="3">
        <v>43858</v>
      </c>
      <c r="Q1617" t="s">
        <v>19</v>
      </c>
    </row>
    <row r="1618" spans="1:17" x14ac:dyDescent="0.35">
      <c r="A1618" t="s">
        <v>1670</v>
      </c>
      <c r="B1618" t="s">
        <v>23</v>
      </c>
      <c r="C1618">
        <v>32</v>
      </c>
      <c r="D1618" t="s">
        <v>38</v>
      </c>
      <c r="E1618" t="s">
        <v>61</v>
      </c>
      <c r="F1618" t="s">
        <v>36</v>
      </c>
      <c r="G1618">
        <v>7.9</v>
      </c>
      <c r="H1618">
        <v>4.5999999999999996</v>
      </c>
      <c r="I1618" t="str" cm="1">
        <f t="array" ref="I1618">_xlfn.IFS(G1618&lt;3, "0–2 Years", G1618&lt;6, "3–5 Years", G1618&lt;9, "6–8 Years", G1618&lt;12, "9-11 Years", G1618&gt;=12, "12-14 Years")</f>
        <v>6–8 Years</v>
      </c>
      <c r="J1618">
        <v>4</v>
      </c>
      <c r="K1618" t="s">
        <v>20</v>
      </c>
      <c r="L1618">
        <v>109200</v>
      </c>
      <c r="M1618">
        <v>6000</v>
      </c>
      <c r="N1618">
        <v>115200</v>
      </c>
      <c r="O1618" t="s">
        <v>57</v>
      </c>
      <c r="P1618" s="3">
        <v>43155</v>
      </c>
      <c r="Q1618" t="s">
        <v>36</v>
      </c>
    </row>
    <row r="1619" spans="1:17" x14ac:dyDescent="0.35">
      <c r="A1619" t="s">
        <v>1671</v>
      </c>
      <c r="B1619" t="s">
        <v>16</v>
      </c>
      <c r="C1619">
        <v>22</v>
      </c>
      <c r="D1619" t="s">
        <v>55</v>
      </c>
      <c r="E1619" t="s">
        <v>56</v>
      </c>
      <c r="F1619" t="s">
        <v>62</v>
      </c>
      <c r="G1619">
        <v>10.9</v>
      </c>
      <c r="H1619">
        <v>7.2</v>
      </c>
      <c r="I1619" t="str" cm="1">
        <f t="array" ref="I1619">_xlfn.IFS(G1619&lt;3, "0–2 Years", G1619&lt;6, "3–5 Years", G1619&lt;9, "6–8 Years", G1619&lt;12, "9-11 Years", G1619&gt;=12, "12-14 Years")</f>
        <v>9-11 Years</v>
      </c>
      <c r="J1619">
        <v>4</v>
      </c>
      <c r="K1619" t="s">
        <v>20</v>
      </c>
      <c r="L1619">
        <v>103600</v>
      </c>
      <c r="M1619">
        <v>8700</v>
      </c>
      <c r="N1619">
        <v>112300</v>
      </c>
      <c r="O1619" t="s">
        <v>57</v>
      </c>
      <c r="P1619" s="3">
        <v>42049</v>
      </c>
      <c r="Q1619" t="s">
        <v>62</v>
      </c>
    </row>
    <row r="1620" spans="1:17" x14ac:dyDescent="0.35">
      <c r="A1620" t="s">
        <v>1672</v>
      </c>
      <c r="B1620" t="s">
        <v>23</v>
      </c>
      <c r="C1620">
        <v>34</v>
      </c>
      <c r="D1620" t="s">
        <v>55</v>
      </c>
      <c r="E1620" t="s">
        <v>79</v>
      </c>
      <c r="F1620" t="s">
        <v>28</v>
      </c>
      <c r="G1620">
        <v>6.7</v>
      </c>
      <c r="H1620">
        <v>3.3</v>
      </c>
      <c r="I1620" t="str" cm="1">
        <f t="array" ref="I1620">_xlfn.IFS(G1620&lt;3, "0–2 Years", G1620&lt;6, "3–5 Years", G1620&lt;9, "6–8 Years", G1620&lt;12, "9-11 Years", G1620&gt;=12, "12-14 Years")</f>
        <v>6–8 Years</v>
      </c>
      <c r="J1620">
        <v>3</v>
      </c>
      <c r="K1620" t="s">
        <v>20</v>
      </c>
      <c r="L1620">
        <v>76100</v>
      </c>
      <c r="M1620">
        <v>7000</v>
      </c>
      <c r="N1620">
        <v>83100</v>
      </c>
      <c r="O1620" t="s">
        <v>21</v>
      </c>
      <c r="P1620" s="3">
        <v>43587</v>
      </c>
      <c r="Q1620" t="s">
        <v>28</v>
      </c>
    </row>
    <row r="1621" spans="1:17" x14ac:dyDescent="0.35">
      <c r="A1621" t="s">
        <v>1673</v>
      </c>
      <c r="B1621" t="s">
        <v>16</v>
      </c>
      <c r="C1621">
        <v>42</v>
      </c>
      <c r="D1621" t="s">
        <v>41</v>
      </c>
      <c r="E1621" t="s">
        <v>67</v>
      </c>
      <c r="F1621" t="s">
        <v>28</v>
      </c>
      <c r="G1621">
        <v>6.4</v>
      </c>
      <c r="H1621">
        <v>2.1</v>
      </c>
      <c r="I1621" t="str" cm="1">
        <f t="array" ref="I1621">_xlfn.IFS(G1621&lt;3, "0–2 Years", G1621&lt;6, "3–5 Years", G1621&lt;9, "6–8 Years", G1621&lt;12, "9-11 Years", G1621&gt;=12, "12-14 Years")</f>
        <v>6–8 Years</v>
      </c>
      <c r="J1621">
        <v>1</v>
      </c>
      <c r="K1621" t="s">
        <v>24</v>
      </c>
      <c r="L1621">
        <v>36400</v>
      </c>
      <c r="M1621">
        <v>2000</v>
      </c>
      <c r="N1621">
        <v>38400</v>
      </c>
      <c r="O1621" t="s">
        <v>65</v>
      </c>
      <c r="P1621" s="3">
        <v>43685</v>
      </c>
      <c r="Q1621" t="s">
        <v>28</v>
      </c>
    </row>
    <row r="1622" spans="1:17" x14ac:dyDescent="0.35">
      <c r="A1622" t="s">
        <v>1674</v>
      </c>
      <c r="B1622" t="s">
        <v>23</v>
      </c>
      <c r="C1622">
        <v>33</v>
      </c>
      <c r="D1622" t="s">
        <v>17</v>
      </c>
      <c r="E1622" t="s">
        <v>32</v>
      </c>
      <c r="F1622" t="s">
        <v>28</v>
      </c>
      <c r="G1622">
        <v>2.4</v>
      </c>
      <c r="H1622">
        <v>2.4</v>
      </c>
      <c r="I1622" t="str" cm="1">
        <f t="array" ref="I1622">_xlfn.IFS(G1622&lt;3, "0–2 Years", G1622&lt;6, "3–5 Years", G1622&lt;9, "6–8 Years", G1622&lt;12, "9-11 Years", G1622&gt;=12, "12-14 Years")</f>
        <v>0–2 Years</v>
      </c>
      <c r="J1622">
        <v>3</v>
      </c>
      <c r="K1622" t="s">
        <v>20</v>
      </c>
      <c r="L1622">
        <v>68600</v>
      </c>
      <c r="M1622">
        <v>8500</v>
      </c>
      <c r="N1622">
        <v>77100</v>
      </c>
      <c r="O1622" t="s">
        <v>21</v>
      </c>
      <c r="P1622" s="3">
        <v>45162</v>
      </c>
      <c r="Q1622" t="s">
        <v>28</v>
      </c>
    </row>
    <row r="1623" spans="1:17" x14ac:dyDescent="0.35">
      <c r="A1623" t="s">
        <v>1675</v>
      </c>
      <c r="B1623" t="s">
        <v>16</v>
      </c>
      <c r="C1623">
        <v>32</v>
      </c>
      <c r="D1623" t="s">
        <v>38</v>
      </c>
      <c r="E1623" t="s">
        <v>112</v>
      </c>
      <c r="F1623" t="s">
        <v>36</v>
      </c>
      <c r="G1623">
        <v>9.6999999999999993</v>
      </c>
      <c r="H1623">
        <v>3.4</v>
      </c>
      <c r="I1623" t="str" cm="1">
        <f t="array" ref="I1623">_xlfn.IFS(G1623&lt;3, "0–2 Years", G1623&lt;6, "3–5 Years", G1623&lt;9, "6–8 Years", G1623&lt;12, "9-11 Years", G1623&gt;=12, "12-14 Years")</f>
        <v>9-11 Years</v>
      </c>
      <c r="J1623">
        <v>2</v>
      </c>
      <c r="K1623" t="s">
        <v>20</v>
      </c>
      <c r="L1623">
        <v>72400</v>
      </c>
      <c r="M1623">
        <v>4600</v>
      </c>
      <c r="N1623">
        <v>77000</v>
      </c>
      <c r="O1623" t="s">
        <v>21</v>
      </c>
      <c r="P1623" s="3">
        <v>42476</v>
      </c>
      <c r="Q1623" t="s">
        <v>36</v>
      </c>
    </row>
    <row r="1624" spans="1:17" x14ac:dyDescent="0.35">
      <c r="A1624" t="s">
        <v>1676</v>
      </c>
      <c r="B1624" t="s">
        <v>16</v>
      </c>
      <c r="C1624">
        <v>46</v>
      </c>
      <c r="D1624" t="s">
        <v>17</v>
      </c>
      <c r="E1624" t="s">
        <v>18</v>
      </c>
      <c r="F1624" t="s">
        <v>28</v>
      </c>
      <c r="G1624">
        <v>9.6</v>
      </c>
      <c r="H1624">
        <v>8.5</v>
      </c>
      <c r="I1624" t="str" cm="1">
        <f t="array" ref="I1624">_xlfn.IFS(G1624&lt;3, "0–2 Years", G1624&lt;6, "3–5 Years", G1624&lt;9, "6–8 Years", G1624&lt;12, "9-11 Years", G1624&gt;=12, "12-14 Years")</f>
        <v>9-11 Years</v>
      </c>
      <c r="J1624">
        <v>3</v>
      </c>
      <c r="K1624" t="s">
        <v>20</v>
      </c>
      <c r="L1624">
        <v>110700</v>
      </c>
      <c r="M1624">
        <v>8400</v>
      </c>
      <c r="N1624">
        <v>119100</v>
      </c>
      <c r="O1624" t="s">
        <v>57</v>
      </c>
      <c r="P1624" s="3">
        <v>42501</v>
      </c>
      <c r="Q1624" t="s">
        <v>28</v>
      </c>
    </row>
    <row r="1625" spans="1:17" x14ac:dyDescent="0.35">
      <c r="A1625" t="s">
        <v>1677</v>
      </c>
      <c r="B1625" t="s">
        <v>16</v>
      </c>
      <c r="C1625">
        <v>25</v>
      </c>
      <c r="D1625" t="s">
        <v>38</v>
      </c>
      <c r="E1625" t="s">
        <v>39</v>
      </c>
      <c r="F1625" t="s">
        <v>28</v>
      </c>
      <c r="G1625">
        <v>10.7</v>
      </c>
      <c r="H1625">
        <v>8.3000000000000007</v>
      </c>
      <c r="I1625" t="str" cm="1">
        <f t="array" ref="I1625">_xlfn.IFS(G1625&lt;3, "0–2 Years", G1625&lt;6, "3–5 Years", G1625&lt;9, "6–8 Years", G1625&lt;12, "9-11 Years", G1625&gt;=12, "12-14 Years")</f>
        <v>9-11 Years</v>
      </c>
      <c r="J1625">
        <v>3</v>
      </c>
      <c r="K1625" t="s">
        <v>20</v>
      </c>
      <c r="L1625">
        <v>75600</v>
      </c>
      <c r="M1625">
        <v>5100</v>
      </c>
      <c r="N1625">
        <v>80700</v>
      </c>
      <c r="O1625" t="s">
        <v>21</v>
      </c>
      <c r="P1625" s="3">
        <v>42120</v>
      </c>
      <c r="Q1625" t="s">
        <v>28</v>
      </c>
    </row>
    <row r="1626" spans="1:17" x14ac:dyDescent="0.35">
      <c r="A1626" t="s">
        <v>1678</v>
      </c>
      <c r="B1626" t="s">
        <v>23</v>
      </c>
      <c r="C1626" s="7">
        <v>35</v>
      </c>
      <c r="D1626" t="s">
        <v>34</v>
      </c>
      <c r="E1626" t="s">
        <v>47</v>
      </c>
      <c r="F1626" t="s">
        <v>28</v>
      </c>
      <c r="G1626" s="9">
        <v>12.6</v>
      </c>
      <c r="H1626" s="7">
        <v>8.6</v>
      </c>
      <c r="I1626" t="str" cm="1">
        <f t="array" ref="I1626">_xlfn.IFS(G1626&lt;3, "0–2 Years", G1626&lt;6, "3–5 Years", G1626&lt;9, "6–8 Years", G1626&lt;12, "9-11 Years", G1626&gt;=12, "12-14 Years")</f>
        <v>12-14 Years</v>
      </c>
      <c r="J1626" s="7">
        <v>3</v>
      </c>
      <c r="K1626" t="s">
        <v>20</v>
      </c>
      <c r="L1626" s="7">
        <v>87400</v>
      </c>
      <c r="M1626" s="7">
        <v>9700</v>
      </c>
      <c r="N1626" s="7">
        <v>97100</v>
      </c>
      <c r="O1626" t="s">
        <v>30</v>
      </c>
      <c r="P1626" s="3">
        <v>41417</v>
      </c>
      <c r="Q1626" t="s">
        <v>28</v>
      </c>
    </row>
    <row r="1627" spans="1:17" x14ac:dyDescent="0.35">
      <c r="A1627" t="s">
        <v>1679</v>
      </c>
      <c r="B1627" t="s">
        <v>16</v>
      </c>
      <c r="C1627" s="7">
        <v>29</v>
      </c>
      <c r="D1627" t="s">
        <v>34</v>
      </c>
      <c r="E1627" t="s">
        <v>47</v>
      </c>
      <c r="F1627" t="s">
        <v>28</v>
      </c>
      <c r="G1627" s="9">
        <v>12.4</v>
      </c>
      <c r="H1627" s="7">
        <v>7.2</v>
      </c>
      <c r="I1627" t="str" cm="1">
        <f t="array" ref="I1627">_xlfn.IFS(G1627&lt;3, "0–2 Years", G1627&lt;6, "3–5 Years", G1627&lt;9, "6–8 Years", G1627&lt;12, "9-11 Years", G1627&gt;=12, "12-14 Years")</f>
        <v>12-14 Years</v>
      </c>
      <c r="J1627" s="7">
        <v>4</v>
      </c>
      <c r="K1627" t="s">
        <v>20</v>
      </c>
      <c r="L1627" s="7">
        <v>92000</v>
      </c>
      <c r="M1627" s="7">
        <v>10100</v>
      </c>
      <c r="N1627" s="7">
        <v>102100</v>
      </c>
      <c r="O1627" t="s">
        <v>30</v>
      </c>
      <c r="P1627" s="3">
        <v>41509</v>
      </c>
      <c r="Q1627" t="s">
        <v>28</v>
      </c>
    </row>
    <row r="1628" spans="1:17" x14ac:dyDescent="0.35">
      <c r="A1628" t="s">
        <v>1680</v>
      </c>
      <c r="B1628" t="s">
        <v>16</v>
      </c>
      <c r="C1628">
        <v>21</v>
      </c>
      <c r="D1628" t="s">
        <v>38</v>
      </c>
      <c r="E1628" t="s">
        <v>112</v>
      </c>
      <c r="F1628" t="s">
        <v>28</v>
      </c>
      <c r="G1628">
        <v>3.6</v>
      </c>
      <c r="H1628">
        <v>2.5</v>
      </c>
      <c r="I1628" t="str" cm="1">
        <f t="array" ref="I1628">_xlfn.IFS(G1628&lt;3, "0–2 Years", G1628&lt;6, "3–5 Years", G1628&lt;9, "6–8 Years", G1628&lt;12, "9-11 Years", G1628&gt;=12, "12-14 Years")</f>
        <v>3–5 Years</v>
      </c>
      <c r="J1628">
        <v>3</v>
      </c>
      <c r="K1628" t="s">
        <v>20</v>
      </c>
      <c r="L1628">
        <v>63000</v>
      </c>
      <c r="M1628">
        <v>4900</v>
      </c>
      <c r="N1628">
        <v>67900</v>
      </c>
      <c r="O1628" t="s">
        <v>25</v>
      </c>
      <c r="P1628" s="3">
        <v>44712</v>
      </c>
      <c r="Q1628" t="s">
        <v>28</v>
      </c>
    </row>
    <row r="1629" spans="1:17" x14ac:dyDescent="0.35">
      <c r="A1629" t="s">
        <v>1681</v>
      </c>
      <c r="B1629" t="s">
        <v>23</v>
      </c>
      <c r="C1629">
        <v>37</v>
      </c>
      <c r="D1629" t="s">
        <v>41</v>
      </c>
      <c r="E1629" t="s">
        <v>42</v>
      </c>
      <c r="F1629" t="s">
        <v>28</v>
      </c>
      <c r="G1629">
        <v>2.4</v>
      </c>
      <c r="H1629">
        <v>1.3</v>
      </c>
      <c r="I1629" t="str" cm="1">
        <f t="array" ref="I1629">_xlfn.IFS(G1629&lt;3, "0–2 Years", G1629&lt;6, "3–5 Years", G1629&lt;9, "6–8 Years", G1629&lt;12, "9-11 Years", G1629&gt;=12, "12-14 Years")</f>
        <v>0–2 Years</v>
      </c>
      <c r="J1629">
        <v>3</v>
      </c>
      <c r="K1629" t="s">
        <v>20</v>
      </c>
      <c r="L1629">
        <v>73800</v>
      </c>
      <c r="M1629">
        <v>4800</v>
      </c>
      <c r="N1629">
        <v>78600</v>
      </c>
      <c r="O1629" t="s">
        <v>21</v>
      </c>
      <c r="P1629" s="3">
        <v>45159</v>
      </c>
      <c r="Q1629" t="s">
        <v>28</v>
      </c>
    </row>
    <row r="1630" spans="1:17" x14ac:dyDescent="0.35">
      <c r="A1630" t="s">
        <v>1682</v>
      </c>
      <c r="B1630" t="s">
        <v>23</v>
      </c>
      <c r="C1630">
        <v>29</v>
      </c>
      <c r="D1630" t="s">
        <v>44</v>
      </c>
      <c r="E1630" t="s">
        <v>81</v>
      </c>
      <c r="F1630" t="s">
        <v>28</v>
      </c>
      <c r="G1630">
        <v>10.7</v>
      </c>
      <c r="H1630">
        <v>7.4</v>
      </c>
      <c r="I1630" t="str" cm="1">
        <f t="array" ref="I1630">_xlfn.IFS(G1630&lt;3, "0–2 Years", G1630&lt;6, "3–5 Years", G1630&lt;9, "6–8 Years", G1630&lt;12, "9-11 Years", G1630&gt;=12, "12-14 Years")</f>
        <v>9-11 Years</v>
      </c>
      <c r="J1630">
        <v>2</v>
      </c>
      <c r="K1630" t="s">
        <v>20</v>
      </c>
      <c r="L1630">
        <v>98500</v>
      </c>
      <c r="M1630">
        <v>10800</v>
      </c>
      <c r="N1630">
        <v>109300</v>
      </c>
      <c r="O1630" t="s">
        <v>30</v>
      </c>
      <c r="P1630" s="3">
        <v>42119</v>
      </c>
      <c r="Q1630" t="s">
        <v>28</v>
      </c>
    </row>
    <row r="1631" spans="1:17" x14ac:dyDescent="0.35">
      <c r="A1631" t="s">
        <v>1683</v>
      </c>
      <c r="B1631" t="s">
        <v>16</v>
      </c>
      <c r="C1631">
        <v>31</v>
      </c>
      <c r="D1631" t="s">
        <v>44</v>
      </c>
      <c r="E1631" t="s">
        <v>81</v>
      </c>
      <c r="F1631" t="s">
        <v>28</v>
      </c>
      <c r="G1631">
        <v>11.6</v>
      </c>
      <c r="H1631">
        <v>4.4000000000000004</v>
      </c>
      <c r="I1631" t="str" cm="1">
        <f t="array" ref="I1631">_xlfn.IFS(G1631&lt;3, "0–2 Years", G1631&lt;6, "3–5 Years", G1631&lt;9, "6–8 Years", G1631&lt;12, "9-11 Years", G1631&gt;=12, "12-14 Years")</f>
        <v>9-11 Years</v>
      </c>
      <c r="J1631">
        <v>3</v>
      </c>
      <c r="K1631" t="s">
        <v>20</v>
      </c>
      <c r="L1631">
        <v>99800</v>
      </c>
      <c r="M1631">
        <v>12400</v>
      </c>
      <c r="N1631">
        <v>112200</v>
      </c>
      <c r="O1631" t="s">
        <v>30</v>
      </c>
      <c r="P1631" s="3">
        <v>41771</v>
      </c>
      <c r="Q1631" t="s">
        <v>28</v>
      </c>
    </row>
    <row r="1632" spans="1:17" x14ac:dyDescent="0.35">
      <c r="A1632" t="s">
        <v>1684</v>
      </c>
      <c r="B1632" t="s">
        <v>16</v>
      </c>
      <c r="C1632">
        <v>39</v>
      </c>
      <c r="D1632" t="s">
        <v>34</v>
      </c>
      <c r="E1632" t="s">
        <v>47</v>
      </c>
      <c r="F1632" t="s">
        <v>28</v>
      </c>
      <c r="G1632">
        <v>4.0999999999999996</v>
      </c>
      <c r="H1632">
        <v>2.6</v>
      </c>
      <c r="I1632" t="str" cm="1">
        <f t="array" ref="I1632">_xlfn.IFS(G1632&lt;3, "0–2 Years", G1632&lt;6, "3–5 Years", G1632&lt;9, "6–8 Years", G1632&lt;12, "9-11 Years", G1632&gt;=12, "12-14 Years")</f>
        <v>3–5 Years</v>
      </c>
      <c r="J1632">
        <v>3</v>
      </c>
      <c r="K1632" t="s">
        <v>20</v>
      </c>
      <c r="L1632">
        <v>76500</v>
      </c>
      <c r="M1632">
        <v>3700</v>
      </c>
      <c r="N1632">
        <v>80200</v>
      </c>
      <c r="O1632" t="s">
        <v>21</v>
      </c>
      <c r="P1632" s="3">
        <v>44516</v>
      </c>
      <c r="Q1632" t="s">
        <v>28</v>
      </c>
    </row>
    <row r="1633" spans="1:17" x14ac:dyDescent="0.35">
      <c r="A1633" t="s">
        <v>1685</v>
      </c>
      <c r="B1633" t="s">
        <v>23</v>
      </c>
      <c r="C1633">
        <v>35</v>
      </c>
      <c r="D1633" t="s">
        <v>34</v>
      </c>
      <c r="E1633" t="s">
        <v>47</v>
      </c>
      <c r="F1633" t="s">
        <v>36</v>
      </c>
      <c r="G1633">
        <v>1.5</v>
      </c>
      <c r="H1633">
        <v>1</v>
      </c>
      <c r="I1633" t="str" cm="1">
        <f t="array" ref="I1633">_xlfn.IFS(G1633&lt;3, "0–2 Years", G1633&lt;6, "3–5 Years", G1633&lt;9, "6–8 Years", G1633&lt;12, "9-11 Years", G1633&gt;=12, "12-14 Years")</f>
        <v>0–2 Years</v>
      </c>
      <c r="J1633">
        <v>2</v>
      </c>
      <c r="K1633" t="s">
        <v>20</v>
      </c>
      <c r="L1633">
        <v>75300</v>
      </c>
      <c r="M1633">
        <v>3500</v>
      </c>
      <c r="N1633">
        <v>78800</v>
      </c>
      <c r="O1633" t="s">
        <v>21</v>
      </c>
      <c r="P1633" s="3">
        <v>45488</v>
      </c>
      <c r="Q1633" t="s">
        <v>36</v>
      </c>
    </row>
    <row r="1634" spans="1:17" x14ac:dyDescent="0.35">
      <c r="A1634" t="s">
        <v>1686</v>
      </c>
      <c r="B1634" t="s">
        <v>16</v>
      </c>
      <c r="C1634">
        <v>48</v>
      </c>
      <c r="D1634" t="s">
        <v>38</v>
      </c>
      <c r="E1634" t="s">
        <v>39</v>
      </c>
      <c r="F1634" t="s">
        <v>28</v>
      </c>
      <c r="G1634">
        <v>7.1</v>
      </c>
      <c r="H1634">
        <v>4.4000000000000004</v>
      </c>
      <c r="I1634" t="str" cm="1">
        <f t="array" ref="I1634">_xlfn.IFS(G1634&lt;3, "0–2 Years", G1634&lt;6, "3–5 Years", G1634&lt;9, "6–8 Years", G1634&lt;12, "9-11 Years", G1634&gt;=12, "12-14 Years")</f>
        <v>6–8 Years</v>
      </c>
      <c r="J1634">
        <v>3</v>
      </c>
      <c r="K1634" t="s">
        <v>20</v>
      </c>
      <c r="L1634">
        <v>74600</v>
      </c>
      <c r="M1634">
        <v>4400</v>
      </c>
      <c r="N1634">
        <v>79000</v>
      </c>
      <c r="O1634" t="s">
        <v>21</v>
      </c>
      <c r="P1634" s="3">
        <v>43427</v>
      </c>
      <c r="Q1634" t="s">
        <v>28</v>
      </c>
    </row>
    <row r="1635" spans="1:17" x14ac:dyDescent="0.35">
      <c r="A1635" t="s">
        <v>1687</v>
      </c>
      <c r="B1635" t="s">
        <v>16</v>
      </c>
      <c r="C1635">
        <v>38</v>
      </c>
      <c r="D1635" t="s">
        <v>41</v>
      </c>
      <c r="E1635" t="s">
        <v>73</v>
      </c>
      <c r="F1635" t="s">
        <v>28</v>
      </c>
      <c r="G1635">
        <v>6.9</v>
      </c>
      <c r="H1635">
        <v>4</v>
      </c>
      <c r="I1635" t="str" cm="1">
        <f t="array" ref="I1635">_xlfn.IFS(G1635&lt;3, "0–2 Years", G1635&lt;6, "3–5 Years", G1635&lt;9, "6–8 Years", G1635&lt;12, "9-11 Years", G1635&gt;=12, "12-14 Years")</f>
        <v>6–8 Years</v>
      </c>
      <c r="J1635">
        <v>3</v>
      </c>
      <c r="K1635" t="s">
        <v>20</v>
      </c>
      <c r="L1635">
        <v>102400</v>
      </c>
      <c r="M1635">
        <v>3100</v>
      </c>
      <c r="N1635">
        <v>105500</v>
      </c>
      <c r="O1635" t="s">
        <v>57</v>
      </c>
      <c r="P1635" s="3">
        <v>43486</v>
      </c>
      <c r="Q1635" t="s">
        <v>28</v>
      </c>
    </row>
    <row r="1636" spans="1:17" x14ac:dyDescent="0.35">
      <c r="A1636" t="s">
        <v>1688</v>
      </c>
      <c r="B1636" t="s">
        <v>16</v>
      </c>
      <c r="C1636">
        <v>49</v>
      </c>
      <c r="D1636" t="s">
        <v>38</v>
      </c>
      <c r="E1636" t="s">
        <v>112</v>
      </c>
      <c r="F1636" t="s">
        <v>36</v>
      </c>
      <c r="G1636">
        <v>1.3</v>
      </c>
      <c r="H1636">
        <v>1.3</v>
      </c>
      <c r="I1636" t="str" cm="1">
        <f t="array" ref="I1636">_xlfn.IFS(G1636&lt;3, "0–2 Years", G1636&lt;6, "3–5 Years", G1636&lt;9, "6–8 Years", G1636&lt;12, "9-11 Years", G1636&gt;=12, "12-14 Years")</f>
        <v>0–2 Years</v>
      </c>
      <c r="J1636">
        <v>3</v>
      </c>
      <c r="K1636" t="s">
        <v>20</v>
      </c>
      <c r="L1636">
        <v>66200</v>
      </c>
      <c r="M1636">
        <v>3200</v>
      </c>
      <c r="N1636">
        <v>69400</v>
      </c>
      <c r="O1636" t="s">
        <v>21</v>
      </c>
      <c r="P1636" s="3">
        <v>45546</v>
      </c>
      <c r="Q1636" t="s">
        <v>36</v>
      </c>
    </row>
    <row r="1637" spans="1:17" x14ac:dyDescent="0.35">
      <c r="A1637" t="s">
        <v>1689</v>
      </c>
      <c r="B1637" t="s">
        <v>16</v>
      </c>
      <c r="C1637">
        <v>33</v>
      </c>
      <c r="D1637" t="s">
        <v>34</v>
      </c>
      <c r="E1637" t="s">
        <v>59</v>
      </c>
      <c r="F1637" t="s">
        <v>28</v>
      </c>
      <c r="G1637">
        <v>2.6</v>
      </c>
      <c r="H1637">
        <v>2.2999999999999998</v>
      </c>
      <c r="I1637" t="str" cm="1">
        <f t="array" ref="I1637">_xlfn.IFS(G1637&lt;3, "0–2 Years", G1637&lt;6, "3–5 Years", G1637&lt;9, "6–8 Years", G1637&lt;12, "9-11 Years", G1637&gt;=12, "12-14 Years")</f>
        <v>0–2 Years</v>
      </c>
      <c r="J1637">
        <v>3</v>
      </c>
      <c r="K1637" t="s">
        <v>69</v>
      </c>
      <c r="L1637">
        <v>75000</v>
      </c>
      <c r="M1637">
        <v>8900</v>
      </c>
      <c r="N1637">
        <v>83900</v>
      </c>
      <c r="O1637" t="s">
        <v>21</v>
      </c>
      <c r="P1637" s="3">
        <v>45065</v>
      </c>
      <c r="Q1637" t="s">
        <v>28</v>
      </c>
    </row>
    <row r="1638" spans="1:17" x14ac:dyDescent="0.35">
      <c r="A1638" t="s">
        <v>1690</v>
      </c>
      <c r="B1638" t="s">
        <v>23</v>
      </c>
      <c r="C1638">
        <v>33</v>
      </c>
      <c r="D1638" t="s">
        <v>34</v>
      </c>
      <c r="E1638" t="s">
        <v>59</v>
      </c>
      <c r="F1638" t="s">
        <v>19</v>
      </c>
      <c r="G1638">
        <v>2.7</v>
      </c>
      <c r="H1638">
        <v>1.2</v>
      </c>
      <c r="I1638" t="str" cm="1">
        <f t="array" ref="I1638">_xlfn.IFS(G1638&lt;3, "0–2 Years", G1638&lt;6, "3–5 Years", G1638&lt;9, "6–8 Years", G1638&lt;12, "9-11 Years", G1638&gt;=12, "12-14 Years")</f>
        <v>0–2 Years</v>
      </c>
      <c r="J1638">
        <v>3</v>
      </c>
      <c r="K1638" t="s">
        <v>20</v>
      </c>
      <c r="L1638">
        <v>98000</v>
      </c>
      <c r="M1638">
        <v>9200</v>
      </c>
      <c r="N1638">
        <v>107200</v>
      </c>
      <c r="O1638" t="s">
        <v>30</v>
      </c>
      <c r="P1638" s="3">
        <v>45051</v>
      </c>
      <c r="Q1638" t="s">
        <v>19</v>
      </c>
    </row>
    <row r="1639" spans="1:17" x14ac:dyDescent="0.35">
      <c r="A1639" t="s">
        <v>1691</v>
      </c>
      <c r="B1639" t="s">
        <v>23</v>
      </c>
      <c r="C1639">
        <v>28</v>
      </c>
      <c r="D1639" t="s">
        <v>38</v>
      </c>
      <c r="E1639" t="s">
        <v>61</v>
      </c>
      <c r="F1639" t="s">
        <v>62</v>
      </c>
      <c r="G1639">
        <v>2.4</v>
      </c>
      <c r="H1639">
        <v>2.4</v>
      </c>
      <c r="I1639" t="str" cm="1">
        <f t="array" ref="I1639">_xlfn.IFS(G1639&lt;3, "0–2 Years", G1639&lt;6, "3–5 Years", G1639&lt;9, "6–8 Years", G1639&lt;12, "9-11 Years", G1639&gt;=12, "12-14 Years")</f>
        <v>0–2 Years</v>
      </c>
      <c r="J1639">
        <v>4</v>
      </c>
      <c r="K1639" t="s">
        <v>20</v>
      </c>
      <c r="L1639">
        <v>96200</v>
      </c>
      <c r="M1639">
        <v>7900</v>
      </c>
      <c r="N1639">
        <v>104100</v>
      </c>
      <c r="O1639" t="s">
        <v>30</v>
      </c>
      <c r="P1639" s="3">
        <v>45142</v>
      </c>
      <c r="Q1639" t="s">
        <v>62</v>
      </c>
    </row>
    <row r="1640" spans="1:17" x14ac:dyDescent="0.35">
      <c r="A1640" t="s">
        <v>1692</v>
      </c>
      <c r="B1640" t="s">
        <v>16</v>
      </c>
      <c r="C1640">
        <v>48</v>
      </c>
      <c r="D1640" t="s">
        <v>17</v>
      </c>
      <c r="E1640" t="s">
        <v>27</v>
      </c>
      <c r="F1640" t="s">
        <v>28</v>
      </c>
      <c r="G1640">
        <v>11.3</v>
      </c>
      <c r="H1640">
        <v>6.1</v>
      </c>
      <c r="I1640" t="str" cm="1">
        <f t="array" ref="I1640">_xlfn.IFS(G1640&lt;3, "0–2 Years", G1640&lt;6, "3–5 Years", G1640&lt;9, "6–8 Years", G1640&lt;12, "9-11 Years", G1640&gt;=12, "12-14 Years")</f>
        <v>9-11 Years</v>
      </c>
      <c r="J1640">
        <v>2</v>
      </c>
      <c r="K1640" t="s">
        <v>20</v>
      </c>
      <c r="L1640">
        <v>79300</v>
      </c>
      <c r="M1640">
        <v>6000</v>
      </c>
      <c r="N1640">
        <v>85300</v>
      </c>
      <c r="O1640" t="s">
        <v>21</v>
      </c>
      <c r="P1640" s="3">
        <v>41891</v>
      </c>
      <c r="Q1640" t="s">
        <v>28</v>
      </c>
    </row>
    <row r="1641" spans="1:17" x14ac:dyDescent="0.35">
      <c r="A1641" t="s">
        <v>1693</v>
      </c>
      <c r="B1641" t="s">
        <v>23</v>
      </c>
      <c r="C1641" s="7">
        <v>31</v>
      </c>
      <c r="D1641" t="s">
        <v>41</v>
      </c>
      <c r="E1641" t="s">
        <v>67</v>
      </c>
      <c r="F1641" t="s">
        <v>28</v>
      </c>
      <c r="G1641" s="9">
        <v>12.6</v>
      </c>
      <c r="H1641" s="7">
        <v>8.6999999999999993</v>
      </c>
      <c r="I1641" t="str" cm="1">
        <f t="array" ref="I1641">_xlfn.IFS(G1641&lt;3, "0–2 Years", G1641&lt;6, "3–5 Years", G1641&lt;9, "6–8 Years", G1641&lt;12, "9-11 Years", G1641&gt;=12, "12-14 Years")</f>
        <v>12-14 Years</v>
      </c>
      <c r="J1641" s="7">
        <v>3</v>
      </c>
      <c r="K1641" t="s">
        <v>69</v>
      </c>
      <c r="L1641" s="7">
        <v>61400</v>
      </c>
      <c r="M1641" s="7">
        <v>2800</v>
      </c>
      <c r="N1641" s="7">
        <v>64200</v>
      </c>
      <c r="O1641" t="s">
        <v>25</v>
      </c>
      <c r="P1641" s="3">
        <v>41425</v>
      </c>
      <c r="Q1641" t="s">
        <v>28</v>
      </c>
    </row>
    <row r="1642" spans="1:17" x14ac:dyDescent="0.35">
      <c r="A1642" t="s">
        <v>1694</v>
      </c>
      <c r="B1642" t="s">
        <v>23</v>
      </c>
      <c r="C1642">
        <v>29</v>
      </c>
      <c r="D1642" t="s">
        <v>44</v>
      </c>
      <c r="E1642" t="s">
        <v>81</v>
      </c>
      <c r="F1642" t="s">
        <v>36</v>
      </c>
      <c r="G1642">
        <v>10.4</v>
      </c>
      <c r="H1642">
        <v>6.8</v>
      </c>
      <c r="I1642" t="str" cm="1">
        <f t="array" ref="I1642">_xlfn.IFS(G1642&lt;3, "0–2 Years", G1642&lt;6, "3–5 Years", G1642&lt;9, "6–8 Years", G1642&lt;12, "9-11 Years", G1642&gt;=12, "12-14 Years")</f>
        <v>9-11 Years</v>
      </c>
      <c r="J1642">
        <v>3</v>
      </c>
      <c r="K1642" t="s">
        <v>20</v>
      </c>
      <c r="L1642">
        <v>118400</v>
      </c>
      <c r="M1642">
        <v>16100</v>
      </c>
      <c r="N1642">
        <v>134500</v>
      </c>
      <c r="O1642" t="s">
        <v>57</v>
      </c>
      <c r="P1642" s="3">
        <v>42208</v>
      </c>
      <c r="Q1642" t="s">
        <v>36</v>
      </c>
    </row>
    <row r="1643" spans="1:17" x14ac:dyDescent="0.35">
      <c r="A1643" t="s">
        <v>1695</v>
      </c>
      <c r="B1643" t="s">
        <v>16</v>
      </c>
      <c r="C1643" s="7">
        <v>29</v>
      </c>
      <c r="D1643" t="s">
        <v>34</v>
      </c>
      <c r="E1643" t="s">
        <v>35</v>
      </c>
      <c r="F1643" t="s">
        <v>36</v>
      </c>
      <c r="G1643" s="9">
        <v>13.1</v>
      </c>
      <c r="H1643" s="7">
        <v>9.1</v>
      </c>
      <c r="I1643" t="str" cm="1">
        <f t="array" ref="I1643">_xlfn.IFS(G1643&lt;3, "0–2 Years", G1643&lt;6, "3–5 Years", G1643&lt;9, "6–8 Years", G1643&lt;12, "9-11 Years", G1643&gt;=12, "12-14 Years")</f>
        <v>12-14 Years</v>
      </c>
      <c r="J1643" s="7">
        <v>3</v>
      </c>
      <c r="K1643" t="s">
        <v>20</v>
      </c>
      <c r="L1643" s="7">
        <v>89300</v>
      </c>
      <c r="M1643" s="7">
        <v>3900</v>
      </c>
      <c r="N1643" s="7">
        <v>93200</v>
      </c>
      <c r="O1643" t="s">
        <v>30</v>
      </c>
      <c r="P1643" s="3">
        <v>41236</v>
      </c>
      <c r="Q1643" t="s">
        <v>36</v>
      </c>
    </row>
    <row r="1644" spans="1:17" x14ac:dyDescent="0.35">
      <c r="A1644" t="s">
        <v>1696</v>
      </c>
      <c r="B1644" t="s">
        <v>23</v>
      </c>
      <c r="C1644" s="7">
        <v>41</v>
      </c>
      <c r="D1644" t="s">
        <v>38</v>
      </c>
      <c r="E1644" t="s">
        <v>61</v>
      </c>
      <c r="F1644" t="s">
        <v>19</v>
      </c>
      <c r="G1644" s="9">
        <v>13.3</v>
      </c>
      <c r="H1644" s="7">
        <v>8.6999999999999993</v>
      </c>
      <c r="I1644" t="str" cm="1">
        <f t="array" ref="I1644">_xlfn.IFS(G1644&lt;3, "0–2 Years", G1644&lt;6, "3–5 Years", G1644&lt;9, "6–8 Years", G1644&lt;12, "9-11 Years", G1644&gt;=12, "12-14 Years")</f>
        <v>12-14 Years</v>
      </c>
      <c r="J1644" s="7">
        <v>3</v>
      </c>
      <c r="K1644" t="s">
        <v>20</v>
      </c>
      <c r="L1644" s="7">
        <v>93100</v>
      </c>
      <c r="M1644" s="7">
        <v>7200</v>
      </c>
      <c r="N1644" s="7">
        <v>100300</v>
      </c>
      <c r="O1644" t="s">
        <v>30</v>
      </c>
      <c r="P1644" s="3">
        <v>41151</v>
      </c>
      <c r="Q1644" t="s">
        <v>19</v>
      </c>
    </row>
    <row r="1645" spans="1:17" x14ac:dyDescent="0.35">
      <c r="A1645" t="s">
        <v>1697</v>
      </c>
      <c r="B1645" t="s">
        <v>23</v>
      </c>
      <c r="C1645">
        <v>26</v>
      </c>
      <c r="D1645" t="s">
        <v>38</v>
      </c>
      <c r="E1645" t="s">
        <v>39</v>
      </c>
      <c r="F1645" t="s">
        <v>28</v>
      </c>
      <c r="G1645">
        <v>7.9</v>
      </c>
      <c r="H1645">
        <v>7.1</v>
      </c>
      <c r="I1645" t="str" cm="1">
        <f t="array" ref="I1645">_xlfn.IFS(G1645&lt;3, "0–2 Years", G1645&lt;6, "3–5 Years", G1645&lt;9, "6–8 Years", G1645&lt;12, "9-11 Years", G1645&gt;=12, "12-14 Years")</f>
        <v>6–8 Years</v>
      </c>
      <c r="J1645">
        <v>1</v>
      </c>
      <c r="K1645" t="s">
        <v>20</v>
      </c>
      <c r="L1645">
        <v>78200</v>
      </c>
      <c r="M1645">
        <v>4100</v>
      </c>
      <c r="N1645">
        <v>82300</v>
      </c>
      <c r="O1645" t="s">
        <v>21</v>
      </c>
      <c r="P1645" s="3">
        <v>43139</v>
      </c>
      <c r="Q1645" t="s">
        <v>28</v>
      </c>
    </row>
    <row r="1646" spans="1:17" x14ac:dyDescent="0.35">
      <c r="A1646" t="s">
        <v>1698</v>
      </c>
      <c r="B1646" t="s">
        <v>16</v>
      </c>
      <c r="C1646" s="7">
        <v>27</v>
      </c>
      <c r="D1646" t="s">
        <v>17</v>
      </c>
      <c r="E1646" t="s">
        <v>32</v>
      </c>
      <c r="F1646" t="s">
        <v>62</v>
      </c>
      <c r="G1646" s="9">
        <v>13.2</v>
      </c>
      <c r="H1646" s="7">
        <v>10.7</v>
      </c>
      <c r="I1646" t="str" cm="1">
        <f t="array" ref="I1646">_xlfn.IFS(G1646&lt;3, "0–2 Years", G1646&lt;6, "3–5 Years", G1646&lt;9, "6–8 Years", G1646&lt;12, "9-11 Years", G1646&gt;=12, "12-14 Years")</f>
        <v>12-14 Years</v>
      </c>
      <c r="J1646" s="7">
        <v>5</v>
      </c>
      <c r="K1646" t="s">
        <v>20</v>
      </c>
      <c r="L1646" s="7">
        <v>78800</v>
      </c>
      <c r="M1646" s="7">
        <v>9200</v>
      </c>
      <c r="N1646" s="7">
        <v>88000</v>
      </c>
      <c r="O1646" t="s">
        <v>21</v>
      </c>
      <c r="P1646" s="3">
        <v>41193</v>
      </c>
      <c r="Q1646" t="s">
        <v>62</v>
      </c>
    </row>
    <row r="1647" spans="1:17" x14ac:dyDescent="0.35">
      <c r="A1647" t="s">
        <v>1699</v>
      </c>
      <c r="B1647" t="s">
        <v>23</v>
      </c>
      <c r="C1647">
        <v>46</v>
      </c>
      <c r="D1647" t="s">
        <v>44</v>
      </c>
      <c r="E1647" t="s">
        <v>45</v>
      </c>
      <c r="F1647" t="s">
        <v>28</v>
      </c>
      <c r="G1647">
        <v>11.8</v>
      </c>
      <c r="H1647">
        <v>6</v>
      </c>
      <c r="I1647" t="str" cm="1">
        <f t="array" ref="I1647">_xlfn.IFS(G1647&lt;3, "0–2 Years", G1647&lt;6, "3–5 Years", G1647&lt;9, "6–8 Years", G1647&lt;12, "9-11 Years", G1647&gt;=12, "12-14 Years")</f>
        <v>9-11 Years</v>
      </c>
      <c r="J1647">
        <v>3</v>
      </c>
      <c r="K1647" t="s">
        <v>20</v>
      </c>
      <c r="L1647">
        <v>81500</v>
      </c>
      <c r="M1647">
        <v>5800</v>
      </c>
      <c r="N1647">
        <v>87300</v>
      </c>
      <c r="O1647" t="s">
        <v>30</v>
      </c>
      <c r="P1647" s="3">
        <v>41717</v>
      </c>
      <c r="Q1647" t="s">
        <v>28</v>
      </c>
    </row>
    <row r="1648" spans="1:17" x14ac:dyDescent="0.35">
      <c r="A1648" t="s">
        <v>1700</v>
      </c>
      <c r="B1648" t="s">
        <v>16</v>
      </c>
      <c r="C1648">
        <v>47</v>
      </c>
      <c r="D1648" t="s">
        <v>17</v>
      </c>
      <c r="E1648" t="s">
        <v>18</v>
      </c>
      <c r="F1648" t="s">
        <v>36</v>
      </c>
      <c r="G1648">
        <v>7.2</v>
      </c>
      <c r="H1648">
        <v>6.1</v>
      </c>
      <c r="I1648" t="str" cm="1">
        <f t="array" ref="I1648">_xlfn.IFS(G1648&lt;3, "0–2 Years", G1648&lt;6, "3–5 Years", G1648&lt;9, "6–8 Years", G1648&lt;12, "9-11 Years", G1648&gt;=12, "12-14 Years")</f>
        <v>6–8 Years</v>
      </c>
      <c r="J1648">
        <v>3</v>
      </c>
      <c r="K1648" t="s">
        <v>24</v>
      </c>
      <c r="L1648">
        <v>60900</v>
      </c>
      <c r="M1648">
        <v>2900</v>
      </c>
      <c r="N1648">
        <v>63800</v>
      </c>
      <c r="O1648" t="s">
        <v>25</v>
      </c>
      <c r="P1648" s="3">
        <v>43381</v>
      </c>
      <c r="Q1648" t="s">
        <v>36</v>
      </c>
    </row>
    <row r="1649" spans="1:17" x14ac:dyDescent="0.35">
      <c r="A1649" t="s">
        <v>1701</v>
      </c>
      <c r="B1649" t="s">
        <v>16</v>
      </c>
      <c r="C1649">
        <v>34</v>
      </c>
      <c r="D1649" t="s">
        <v>17</v>
      </c>
      <c r="E1649" t="s">
        <v>27</v>
      </c>
      <c r="F1649" t="s">
        <v>36</v>
      </c>
      <c r="G1649">
        <v>4.5999999999999996</v>
      </c>
      <c r="H1649">
        <v>3.3</v>
      </c>
      <c r="I1649" t="str" cm="1">
        <f t="array" ref="I1649">_xlfn.IFS(G1649&lt;3, "0–2 Years", G1649&lt;6, "3–5 Years", G1649&lt;9, "6–8 Years", G1649&lt;12, "9-11 Years", G1649&gt;=12, "12-14 Years")</f>
        <v>3–5 Years</v>
      </c>
      <c r="J1649">
        <v>4</v>
      </c>
      <c r="K1649" t="s">
        <v>20</v>
      </c>
      <c r="L1649">
        <v>79100</v>
      </c>
      <c r="M1649">
        <v>7200</v>
      </c>
      <c r="N1649">
        <v>86300</v>
      </c>
      <c r="O1649" t="s">
        <v>21</v>
      </c>
      <c r="P1649" s="3">
        <v>44360</v>
      </c>
      <c r="Q1649" t="s">
        <v>36</v>
      </c>
    </row>
    <row r="1650" spans="1:17" x14ac:dyDescent="0.35">
      <c r="A1650" t="s">
        <v>1702</v>
      </c>
      <c r="B1650" t="s">
        <v>16</v>
      </c>
      <c r="C1650">
        <v>50</v>
      </c>
      <c r="D1650" t="s">
        <v>17</v>
      </c>
      <c r="E1650" t="s">
        <v>18</v>
      </c>
      <c r="F1650" t="s">
        <v>28</v>
      </c>
      <c r="G1650">
        <v>9</v>
      </c>
      <c r="H1650">
        <v>6.4</v>
      </c>
      <c r="I1650" t="str" cm="1">
        <f t="array" ref="I1650">_xlfn.IFS(G1650&lt;3, "0–2 Years", G1650&lt;6, "3–5 Years", G1650&lt;9, "6–8 Years", G1650&lt;12, "9-11 Years", G1650&gt;=12, "12-14 Years")</f>
        <v>9-11 Years</v>
      </c>
      <c r="J1650">
        <v>3</v>
      </c>
      <c r="K1650" t="s">
        <v>20</v>
      </c>
      <c r="L1650">
        <v>104600</v>
      </c>
      <c r="M1650">
        <v>13900</v>
      </c>
      <c r="N1650">
        <v>118500</v>
      </c>
      <c r="O1650" t="s">
        <v>57</v>
      </c>
      <c r="P1650" s="3">
        <v>42724</v>
      </c>
      <c r="Q1650" t="s">
        <v>28</v>
      </c>
    </row>
    <row r="1651" spans="1:17" x14ac:dyDescent="0.35">
      <c r="A1651" t="s">
        <v>1703</v>
      </c>
      <c r="B1651" t="s">
        <v>23</v>
      </c>
      <c r="C1651">
        <v>33</v>
      </c>
      <c r="D1651" t="s">
        <v>41</v>
      </c>
      <c r="E1651" t="s">
        <v>73</v>
      </c>
      <c r="F1651" t="s">
        <v>19</v>
      </c>
      <c r="G1651">
        <v>5.2</v>
      </c>
      <c r="H1651">
        <v>5.0999999999999996</v>
      </c>
      <c r="I1651" t="str" cm="1">
        <f t="array" ref="I1651">_xlfn.IFS(G1651&lt;3, "0–2 Years", G1651&lt;6, "3–5 Years", G1651&lt;9, "6–8 Years", G1651&lt;12, "9-11 Years", G1651&gt;=12, "12-14 Years")</f>
        <v>3–5 Years</v>
      </c>
      <c r="J1651">
        <v>3</v>
      </c>
      <c r="K1651" t="s">
        <v>20</v>
      </c>
      <c r="L1651">
        <v>109700</v>
      </c>
      <c r="M1651">
        <v>3800</v>
      </c>
      <c r="N1651">
        <v>113500</v>
      </c>
      <c r="O1651" t="s">
        <v>57</v>
      </c>
      <c r="P1651" s="3">
        <v>44130</v>
      </c>
      <c r="Q1651" t="s">
        <v>19</v>
      </c>
    </row>
    <row r="1652" spans="1:17" x14ac:dyDescent="0.35">
      <c r="A1652" t="s">
        <v>1704</v>
      </c>
      <c r="B1652" t="s">
        <v>23</v>
      </c>
      <c r="C1652">
        <v>28</v>
      </c>
      <c r="D1652" t="s">
        <v>41</v>
      </c>
      <c r="E1652" t="s">
        <v>42</v>
      </c>
      <c r="G1652">
        <v>11.6</v>
      </c>
      <c r="H1652">
        <v>6.8</v>
      </c>
      <c r="I1652" t="str" cm="1">
        <f t="array" ref="I1652">_xlfn.IFS(G1652&lt;3, "0–2 Years", G1652&lt;6, "3–5 Years", G1652&lt;9, "6–8 Years", G1652&lt;12, "9-11 Years", G1652&gt;=12, "12-14 Years")</f>
        <v>9-11 Years</v>
      </c>
      <c r="J1652">
        <v>4</v>
      </c>
      <c r="K1652" t="s">
        <v>20</v>
      </c>
      <c r="L1652">
        <v>100000</v>
      </c>
      <c r="M1652">
        <v>6300</v>
      </c>
      <c r="N1652">
        <v>106300</v>
      </c>
      <c r="O1652" t="s">
        <v>57</v>
      </c>
      <c r="P1652" s="3">
        <v>41779</v>
      </c>
      <c r="Q1652" t="s">
        <v>5104</v>
      </c>
    </row>
    <row r="1653" spans="1:17" x14ac:dyDescent="0.35">
      <c r="A1653" t="s">
        <v>1705</v>
      </c>
      <c r="B1653" t="s">
        <v>16</v>
      </c>
      <c r="C1653">
        <v>32</v>
      </c>
      <c r="D1653" t="s">
        <v>55</v>
      </c>
      <c r="E1653" t="s">
        <v>79</v>
      </c>
      <c r="F1653" t="s">
        <v>28</v>
      </c>
      <c r="G1653">
        <v>6.7</v>
      </c>
      <c r="H1653">
        <v>4.8</v>
      </c>
      <c r="I1653" t="str" cm="1">
        <f t="array" ref="I1653">_xlfn.IFS(G1653&lt;3, "0–2 Years", G1653&lt;6, "3–5 Years", G1653&lt;9, "6–8 Years", G1653&lt;12, "9-11 Years", G1653&gt;=12, "12-14 Years")</f>
        <v>6–8 Years</v>
      </c>
      <c r="J1653">
        <v>5</v>
      </c>
      <c r="K1653" t="s">
        <v>20</v>
      </c>
      <c r="L1653">
        <v>61200</v>
      </c>
      <c r="M1653">
        <v>4900</v>
      </c>
      <c r="N1653">
        <v>66100</v>
      </c>
      <c r="O1653" t="s">
        <v>25</v>
      </c>
      <c r="P1653" s="3">
        <v>43568</v>
      </c>
      <c r="Q1653" t="s">
        <v>28</v>
      </c>
    </row>
    <row r="1654" spans="1:17" x14ac:dyDescent="0.35">
      <c r="A1654" t="s">
        <v>1706</v>
      </c>
      <c r="B1654" t="s">
        <v>23</v>
      </c>
      <c r="C1654">
        <v>32</v>
      </c>
      <c r="D1654" t="s">
        <v>55</v>
      </c>
      <c r="E1654" t="s">
        <v>79</v>
      </c>
      <c r="F1654" t="s">
        <v>36</v>
      </c>
      <c r="G1654">
        <v>9.6999999999999993</v>
      </c>
      <c r="H1654">
        <v>4.7</v>
      </c>
      <c r="I1654" t="str" cm="1">
        <f t="array" ref="I1654">_xlfn.IFS(G1654&lt;3, "0–2 Years", G1654&lt;6, "3–5 Years", G1654&lt;9, "6–8 Years", G1654&lt;12, "9-11 Years", G1654&gt;=12, "12-14 Years")</f>
        <v>9-11 Years</v>
      </c>
      <c r="J1654">
        <v>4</v>
      </c>
      <c r="K1654" t="s">
        <v>20</v>
      </c>
      <c r="L1654">
        <v>73200</v>
      </c>
      <c r="M1654">
        <v>9700</v>
      </c>
      <c r="N1654">
        <v>82900</v>
      </c>
      <c r="O1654" t="s">
        <v>21</v>
      </c>
      <c r="P1654" s="3">
        <v>42478</v>
      </c>
      <c r="Q1654" t="s">
        <v>36</v>
      </c>
    </row>
    <row r="1655" spans="1:17" x14ac:dyDescent="0.35">
      <c r="A1655" t="s">
        <v>1707</v>
      </c>
      <c r="B1655" t="s">
        <v>23</v>
      </c>
      <c r="C1655">
        <v>22</v>
      </c>
      <c r="D1655" t="s">
        <v>44</v>
      </c>
      <c r="E1655" t="s">
        <v>81</v>
      </c>
      <c r="F1655" t="s">
        <v>62</v>
      </c>
      <c r="G1655">
        <v>5.3</v>
      </c>
      <c r="H1655">
        <v>1.9</v>
      </c>
      <c r="I1655" t="str" cm="1">
        <f t="array" ref="I1655">_xlfn.IFS(G1655&lt;3, "0–2 Years", G1655&lt;6, "3–5 Years", G1655&lt;9, "6–8 Years", G1655&lt;12, "9-11 Years", G1655&gt;=12, "12-14 Years")</f>
        <v>3–5 Years</v>
      </c>
      <c r="J1655">
        <v>1</v>
      </c>
      <c r="K1655" t="s">
        <v>20</v>
      </c>
      <c r="L1655">
        <v>113500</v>
      </c>
      <c r="M1655">
        <v>15600</v>
      </c>
      <c r="N1655">
        <v>129100</v>
      </c>
      <c r="O1655" t="s">
        <v>57</v>
      </c>
      <c r="P1655" s="3">
        <v>44101</v>
      </c>
      <c r="Q1655" t="s">
        <v>62</v>
      </c>
    </row>
    <row r="1656" spans="1:17" x14ac:dyDescent="0.35">
      <c r="A1656" t="s">
        <v>1708</v>
      </c>
      <c r="B1656" t="s">
        <v>16</v>
      </c>
      <c r="C1656">
        <v>31</v>
      </c>
      <c r="D1656" t="s">
        <v>38</v>
      </c>
      <c r="E1656" t="s">
        <v>61</v>
      </c>
      <c r="F1656" t="s">
        <v>28</v>
      </c>
      <c r="G1656">
        <v>11.5</v>
      </c>
      <c r="H1656">
        <v>7.1</v>
      </c>
      <c r="I1656" t="str" cm="1">
        <f t="array" ref="I1656">_xlfn.IFS(G1656&lt;3, "0–2 Years", G1656&lt;6, "3–5 Years", G1656&lt;9, "6–8 Years", G1656&lt;12, "9-11 Years", G1656&gt;=12, "12-14 Years")</f>
        <v>9-11 Years</v>
      </c>
      <c r="J1656">
        <v>2</v>
      </c>
      <c r="K1656" t="s">
        <v>20</v>
      </c>
      <c r="L1656">
        <v>107600</v>
      </c>
      <c r="M1656">
        <v>5600</v>
      </c>
      <c r="N1656">
        <v>113200</v>
      </c>
      <c r="O1656" t="s">
        <v>57</v>
      </c>
      <c r="P1656" s="3">
        <v>41828</v>
      </c>
      <c r="Q1656" t="s">
        <v>28</v>
      </c>
    </row>
    <row r="1657" spans="1:17" x14ac:dyDescent="0.35">
      <c r="A1657" t="s">
        <v>1709</v>
      </c>
      <c r="B1657" t="s">
        <v>23</v>
      </c>
      <c r="C1657">
        <v>36</v>
      </c>
      <c r="D1657" t="s">
        <v>34</v>
      </c>
      <c r="E1657" t="s">
        <v>59</v>
      </c>
      <c r="F1657" t="s">
        <v>28</v>
      </c>
      <c r="G1657">
        <v>9.9</v>
      </c>
      <c r="H1657">
        <v>6</v>
      </c>
      <c r="I1657" t="str" cm="1">
        <f t="array" ref="I1657">_xlfn.IFS(G1657&lt;3, "0–2 Years", G1657&lt;6, "3–5 Years", G1657&lt;9, "6–8 Years", G1657&lt;12, "9-11 Years", G1657&gt;=12, "12-14 Years")</f>
        <v>9-11 Years</v>
      </c>
      <c r="J1657">
        <v>3</v>
      </c>
      <c r="K1657" t="s">
        <v>20</v>
      </c>
      <c r="L1657">
        <v>117800</v>
      </c>
      <c r="M1657">
        <v>7300</v>
      </c>
      <c r="N1657">
        <v>125100</v>
      </c>
      <c r="O1657" t="s">
        <v>57</v>
      </c>
      <c r="P1657" s="3">
        <v>42415</v>
      </c>
      <c r="Q1657" t="s">
        <v>28</v>
      </c>
    </row>
    <row r="1658" spans="1:17" x14ac:dyDescent="0.35">
      <c r="A1658" t="s">
        <v>1710</v>
      </c>
      <c r="B1658" t="s">
        <v>16</v>
      </c>
      <c r="C1658">
        <v>46</v>
      </c>
      <c r="D1658" t="s">
        <v>44</v>
      </c>
      <c r="E1658" t="s">
        <v>76</v>
      </c>
      <c r="F1658" t="s">
        <v>19</v>
      </c>
      <c r="G1658">
        <v>2.2000000000000002</v>
      </c>
      <c r="H1658">
        <v>2.1</v>
      </c>
      <c r="I1658" t="str" cm="1">
        <f t="array" ref="I1658">_xlfn.IFS(G1658&lt;3, "0–2 Years", G1658&lt;6, "3–5 Years", G1658&lt;9, "6–8 Years", G1658&lt;12, "9-11 Years", G1658&gt;=12, "12-14 Years")</f>
        <v>0–2 Years</v>
      </c>
      <c r="J1658">
        <v>3</v>
      </c>
      <c r="K1658" t="s">
        <v>20</v>
      </c>
      <c r="L1658">
        <v>87400</v>
      </c>
      <c r="M1658">
        <v>6300</v>
      </c>
      <c r="N1658">
        <v>93700</v>
      </c>
      <c r="O1658" t="s">
        <v>30</v>
      </c>
      <c r="P1658" s="3">
        <v>45235</v>
      </c>
      <c r="Q1658" t="s">
        <v>19</v>
      </c>
    </row>
    <row r="1659" spans="1:17" x14ac:dyDescent="0.35">
      <c r="A1659" t="s">
        <v>1711</v>
      </c>
      <c r="B1659" t="s">
        <v>16</v>
      </c>
      <c r="C1659">
        <v>28</v>
      </c>
      <c r="D1659" t="s">
        <v>17</v>
      </c>
      <c r="E1659" t="s">
        <v>27</v>
      </c>
      <c r="F1659" t="s">
        <v>28</v>
      </c>
      <c r="G1659">
        <v>1.2</v>
      </c>
      <c r="H1659">
        <v>1.2</v>
      </c>
      <c r="I1659" t="str" cm="1">
        <f t="array" ref="I1659">_xlfn.IFS(G1659&lt;3, "0–2 Years", G1659&lt;6, "3–5 Years", G1659&lt;9, "6–8 Years", G1659&lt;12, "9-11 Years", G1659&gt;=12, "12-14 Years")</f>
        <v>0–2 Years</v>
      </c>
      <c r="J1659">
        <v>4</v>
      </c>
      <c r="K1659" t="s">
        <v>20</v>
      </c>
      <c r="L1659">
        <v>75100</v>
      </c>
      <c r="M1659">
        <v>6600</v>
      </c>
      <c r="N1659">
        <v>81700</v>
      </c>
      <c r="O1659" t="s">
        <v>21</v>
      </c>
      <c r="P1659" s="3">
        <v>45576</v>
      </c>
      <c r="Q1659" t="s">
        <v>28</v>
      </c>
    </row>
    <row r="1660" spans="1:17" x14ac:dyDescent="0.35">
      <c r="A1660" t="s">
        <v>1712</v>
      </c>
      <c r="B1660" t="s">
        <v>23</v>
      </c>
      <c r="C1660">
        <v>40</v>
      </c>
      <c r="D1660" t="s">
        <v>38</v>
      </c>
      <c r="E1660" t="s">
        <v>112</v>
      </c>
      <c r="F1660" t="s">
        <v>28</v>
      </c>
      <c r="G1660">
        <v>9.4</v>
      </c>
      <c r="H1660">
        <v>5.8</v>
      </c>
      <c r="I1660" t="str" cm="1">
        <f t="array" ref="I1660">_xlfn.IFS(G1660&lt;3, "0–2 Years", G1660&lt;6, "3–5 Years", G1660&lt;9, "6–8 Years", G1660&lt;12, "9-11 Years", G1660&gt;=12, "12-14 Years")</f>
        <v>9-11 Years</v>
      </c>
      <c r="J1660">
        <v>2</v>
      </c>
      <c r="K1660" t="s">
        <v>20</v>
      </c>
      <c r="L1660">
        <v>72000</v>
      </c>
      <c r="M1660">
        <v>7100</v>
      </c>
      <c r="N1660">
        <v>79100</v>
      </c>
      <c r="O1660" t="s">
        <v>21</v>
      </c>
      <c r="P1660" s="3">
        <v>42607</v>
      </c>
      <c r="Q1660" t="s">
        <v>28</v>
      </c>
    </row>
    <row r="1661" spans="1:17" x14ac:dyDescent="0.35">
      <c r="A1661" t="s">
        <v>1713</v>
      </c>
      <c r="B1661" t="s">
        <v>23</v>
      </c>
      <c r="C1661" s="7">
        <v>41</v>
      </c>
      <c r="D1661" t="s">
        <v>41</v>
      </c>
      <c r="E1661" t="s">
        <v>67</v>
      </c>
      <c r="F1661" t="s">
        <v>36</v>
      </c>
      <c r="G1661" s="9">
        <v>13.5</v>
      </c>
      <c r="H1661" s="7">
        <v>8.8000000000000007</v>
      </c>
      <c r="I1661" t="str" cm="1">
        <f t="array" ref="I1661">_xlfn.IFS(G1661&lt;3, "0–2 Years", G1661&lt;6, "3–5 Years", G1661&lt;9, "6–8 Years", G1661&lt;12, "9-11 Years", G1661&gt;=12, "12-14 Years")</f>
        <v>12-14 Years</v>
      </c>
      <c r="J1661" s="7">
        <v>2</v>
      </c>
      <c r="K1661" t="s">
        <v>20</v>
      </c>
      <c r="L1661" s="7">
        <v>72200</v>
      </c>
      <c r="M1661" s="7">
        <v>3100</v>
      </c>
      <c r="N1661" s="7">
        <v>75300</v>
      </c>
      <c r="O1661" t="s">
        <v>21</v>
      </c>
      <c r="P1661" s="3">
        <v>41081</v>
      </c>
      <c r="Q1661" t="s">
        <v>36</v>
      </c>
    </row>
    <row r="1662" spans="1:17" x14ac:dyDescent="0.35">
      <c r="A1662" t="s">
        <v>1714</v>
      </c>
      <c r="B1662" t="s">
        <v>23</v>
      </c>
      <c r="C1662">
        <v>40</v>
      </c>
      <c r="D1662" t="s">
        <v>55</v>
      </c>
      <c r="E1662" t="s">
        <v>56</v>
      </c>
      <c r="F1662" t="s">
        <v>28</v>
      </c>
      <c r="G1662">
        <v>5.5</v>
      </c>
      <c r="H1662">
        <v>3.6</v>
      </c>
      <c r="I1662" t="str" cm="1">
        <f t="array" ref="I1662">_xlfn.IFS(G1662&lt;3, "0–2 Years", G1662&lt;6, "3–5 Years", G1662&lt;9, "6–8 Years", G1662&lt;12, "9-11 Years", G1662&gt;=12, "12-14 Years")</f>
        <v>3–5 Years</v>
      </c>
      <c r="J1662">
        <v>3</v>
      </c>
      <c r="K1662" t="s">
        <v>20</v>
      </c>
      <c r="L1662">
        <v>97200</v>
      </c>
      <c r="M1662">
        <v>19800</v>
      </c>
      <c r="N1662">
        <v>117000</v>
      </c>
      <c r="O1662" t="s">
        <v>30</v>
      </c>
      <c r="P1662" s="3">
        <v>43997</v>
      </c>
      <c r="Q1662" t="s">
        <v>28</v>
      </c>
    </row>
    <row r="1663" spans="1:17" x14ac:dyDescent="0.35">
      <c r="A1663" t="s">
        <v>1715</v>
      </c>
      <c r="B1663" t="s">
        <v>16</v>
      </c>
      <c r="C1663">
        <v>36</v>
      </c>
      <c r="D1663" t="s">
        <v>41</v>
      </c>
      <c r="E1663" t="s">
        <v>73</v>
      </c>
      <c r="F1663" t="s">
        <v>28</v>
      </c>
      <c r="G1663">
        <v>7</v>
      </c>
      <c r="H1663">
        <v>3.3</v>
      </c>
      <c r="I1663" t="str" cm="1">
        <f t="array" ref="I1663">_xlfn.IFS(G1663&lt;3, "0–2 Years", G1663&lt;6, "3–5 Years", G1663&lt;9, "6–8 Years", G1663&lt;12, "9-11 Years", G1663&gt;=12, "12-14 Years")</f>
        <v>6–8 Years</v>
      </c>
      <c r="J1663">
        <v>4</v>
      </c>
      <c r="K1663" t="s">
        <v>20</v>
      </c>
      <c r="L1663">
        <v>94700</v>
      </c>
      <c r="M1663">
        <v>3800</v>
      </c>
      <c r="N1663">
        <v>98500</v>
      </c>
      <c r="O1663" t="s">
        <v>30</v>
      </c>
      <c r="P1663" s="3">
        <v>43477</v>
      </c>
      <c r="Q1663" t="s">
        <v>28</v>
      </c>
    </row>
    <row r="1664" spans="1:17" x14ac:dyDescent="0.35">
      <c r="A1664" t="s">
        <v>1716</v>
      </c>
      <c r="B1664" t="s">
        <v>23</v>
      </c>
      <c r="C1664">
        <v>26</v>
      </c>
      <c r="D1664" t="s">
        <v>38</v>
      </c>
      <c r="E1664" t="s">
        <v>61</v>
      </c>
      <c r="F1664" t="s">
        <v>19</v>
      </c>
      <c r="G1664">
        <v>2</v>
      </c>
      <c r="H1664">
        <v>2</v>
      </c>
      <c r="I1664" t="str" cm="1">
        <f t="array" ref="I1664">_xlfn.IFS(G1664&lt;3, "0–2 Years", G1664&lt;6, "3–5 Years", G1664&lt;9, "6–8 Years", G1664&lt;12, "9-11 Years", G1664&gt;=12, "12-14 Years")</f>
        <v>0–2 Years</v>
      </c>
      <c r="J1664">
        <v>4</v>
      </c>
      <c r="K1664" t="s">
        <v>24</v>
      </c>
      <c r="L1664">
        <v>65700</v>
      </c>
      <c r="M1664">
        <v>4600</v>
      </c>
      <c r="N1664">
        <v>70300</v>
      </c>
      <c r="O1664" t="s">
        <v>21</v>
      </c>
      <c r="P1664" s="3">
        <v>45292</v>
      </c>
      <c r="Q1664" t="s">
        <v>19</v>
      </c>
    </row>
    <row r="1665" spans="1:17" x14ac:dyDescent="0.35">
      <c r="A1665" t="s">
        <v>1717</v>
      </c>
      <c r="B1665" t="s">
        <v>16</v>
      </c>
      <c r="C1665">
        <v>35</v>
      </c>
      <c r="D1665" t="s">
        <v>34</v>
      </c>
      <c r="E1665" t="s">
        <v>47</v>
      </c>
      <c r="F1665" t="s">
        <v>19</v>
      </c>
      <c r="G1665">
        <v>3.7</v>
      </c>
      <c r="H1665">
        <v>3.3</v>
      </c>
      <c r="I1665" t="str" cm="1">
        <f t="array" ref="I1665">_xlfn.IFS(G1665&lt;3, "0–2 Years", G1665&lt;6, "3–5 Years", G1665&lt;9, "6–8 Years", G1665&lt;12, "9-11 Years", G1665&gt;=12, "12-14 Years")</f>
        <v>3–5 Years</v>
      </c>
      <c r="J1665">
        <v>4</v>
      </c>
      <c r="K1665" t="s">
        <v>20</v>
      </c>
      <c r="L1665">
        <v>68400</v>
      </c>
      <c r="M1665">
        <v>3400</v>
      </c>
      <c r="N1665">
        <v>71800</v>
      </c>
      <c r="O1665" t="s">
        <v>21</v>
      </c>
      <c r="P1665" s="3">
        <v>44680</v>
      </c>
      <c r="Q1665" t="s">
        <v>19</v>
      </c>
    </row>
    <row r="1666" spans="1:17" x14ac:dyDescent="0.35">
      <c r="A1666" t="s">
        <v>1718</v>
      </c>
      <c r="B1666" t="s">
        <v>23</v>
      </c>
      <c r="C1666">
        <v>35</v>
      </c>
      <c r="D1666" t="s">
        <v>44</v>
      </c>
      <c r="E1666" t="s">
        <v>76</v>
      </c>
      <c r="F1666" t="s">
        <v>36</v>
      </c>
      <c r="G1666">
        <v>1.5</v>
      </c>
      <c r="H1666">
        <v>1.5</v>
      </c>
      <c r="I1666" t="str" cm="1">
        <f t="array" ref="I1666">_xlfn.IFS(G1666&lt;3, "0–2 Years", G1666&lt;6, "3–5 Years", G1666&lt;9, "6–8 Years", G1666&lt;12, "9-11 Years", G1666&gt;=12, "12-14 Years")</f>
        <v>0–2 Years</v>
      </c>
      <c r="J1666">
        <v>2</v>
      </c>
      <c r="K1666" t="s">
        <v>69</v>
      </c>
      <c r="L1666">
        <v>75100</v>
      </c>
      <c r="M1666">
        <v>11100</v>
      </c>
      <c r="N1666">
        <v>86200</v>
      </c>
      <c r="O1666" t="s">
        <v>21</v>
      </c>
      <c r="P1666" s="3">
        <v>45461</v>
      </c>
      <c r="Q1666" t="s">
        <v>36</v>
      </c>
    </row>
    <row r="1667" spans="1:17" x14ac:dyDescent="0.35">
      <c r="A1667" t="s">
        <v>1719</v>
      </c>
      <c r="B1667" t="s">
        <v>23</v>
      </c>
      <c r="C1667">
        <v>32</v>
      </c>
      <c r="D1667" t="s">
        <v>38</v>
      </c>
      <c r="E1667" t="s">
        <v>112</v>
      </c>
      <c r="F1667" t="s">
        <v>36</v>
      </c>
      <c r="G1667">
        <v>7.5</v>
      </c>
      <c r="H1667">
        <v>3.8</v>
      </c>
      <c r="I1667" t="str" cm="1">
        <f t="array" ref="I1667">_xlfn.IFS(G1667&lt;3, "0–2 Years", G1667&lt;6, "3–5 Years", G1667&lt;9, "6–8 Years", G1667&lt;12, "9-11 Years", G1667&gt;=12, "12-14 Years")</f>
        <v>6–8 Years</v>
      </c>
      <c r="J1667">
        <v>2</v>
      </c>
      <c r="K1667" t="s">
        <v>69</v>
      </c>
      <c r="L1667">
        <v>59300</v>
      </c>
      <c r="M1667">
        <v>6200</v>
      </c>
      <c r="N1667">
        <v>65500</v>
      </c>
      <c r="O1667" t="s">
        <v>25</v>
      </c>
      <c r="P1667" s="3">
        <v>43274</v>
      </c>
      <c r="Q1667" t="s">
        <v>36</v>
      </c>
    </row>
    <row r="1668" spans="1:17" x14ac:dyDescent="0.35">
      <c r="A1668" t="s">
        <v>1720</v>
      </c>
      <c r="B1668" t="s">
        <v>23</v>
      </c>
      <c r="C1668" s="7">
        <v>29</v>
      </c>
      <c r="D1668" t="s">
        <v>34</v>
      </c>
      <c r="E1668" t="s">
        <v>59</v>
      </c>
      <c r="F1668" t="s">
        <v>19</v>
      </c>
      <c r="G1668" s="9">
        <v>14</v>
      </c>
      <c r="H1668" s="7">
        <v>9.1999999999999993</v>
      </c>
      <c r="I1668" t="str" cm="1">
        <f t="array" ref="I1668">_xlfn.IFS(G1668&lt;3, "0–2 Years", G1668&lt;6, "3–5 Years", G1668&lt;9, "6–8 Years", G1668&lt;12, "9-11 Years", G1668&gt;=12, "12-14 Years")</f>
        <v>12-14 Years</v>
      </c>
      <c r="J1668" s="7">
        <v>4</v>
      </c>
      <c r="K1668" t="s">
        <v>24</v>
      </c>
      <c r="L1668" s="7">
        <v>72600</v>
      </c>
      <c r="M1668" s="7">
        <v>7600</v>
      </c>
      <c r="N1668" s="7">
        <v>80200</v>
      </c>
      <c r="O1668" t="s">
        <v>21</v>
      </c>
      <c r="P1668" s="3">
        <v>40910</v>
      </c>
      <c r="Q1668" t="s">
        <v>19</v>
      </c>
    </row>
    <row r="1669" spans="1:17" x14ac:dyDescent="0.35">
      <c r="A1669" t="s">
        <v>1721</v>
      </c>
      <c r="B1669" t="s">
        <v>16</v>
      </c>
      <c r="C1669">
        <v>26</v>
      </c>
      <c r="D1669" t="s">
        <v>41</v>
      </c>
      <c r="E1669" t="s">
        <v>42</v>
      </c>
      <c r="F1669" t="s">
        <v>28</v>
      </c>
      <c r="G1669">
        <v>6.7</v>
      </c>
      <c r="H1669">
        <v>5.7</v>
      </c>
      <c r="I1669" t="str" cm="1">
        <f t="array" ref="I1669">_xlfn.IFS(G1669&lt;3, "0–2 Years", G1669&lt;6, "3–5 Years", G1669&lt;9, "6–8 Years", G1669&lt;12, "9-11 Years", G1669&gt;=12, "12-14 Years")</f>
        <v>6–8 Years</v>
      </c>
      <c r="J1669">
        <v>1</v>
      </c>
      <c r="K1669" t="s">
        <v>20</v>
      </c>
      <c r="L1669">
        <v>67100</v>
      </c>
      <c r="M1669">
        <v>5900</v>
      </c>
      <c r="N1669">
        <v>73000</v>
      </c>
      <c r="O1669" t="s">
        <v>21</v>
      </c>
      <c r="P1669" s="3">
        <v>43561</v>
      </c>
      <c r="Q1669" t="s">
        <v>28</v>
      </c>
    </row>
    <row r="1670" spans="1:17" x14ac:dyDescent="0.35">
      <c r="A1670" t="s">
        <v>1722</v>
      </c>
      <c r="B1670" t="s">
        <v>16</v>
      </c>
      <c r="C1670">
        <v>31</v>
      </c>
      <c r="D1670" t="s">
        <v>44</v>
      </c>
      <c r="E1670" t="s">
        <v>45</v>
      </c>
      <c r="F1670" t="s">
        <v>28</v>
      </c>
      <c r="G1670">
        <v>9.9</v>
      </c>
      <c r="H1670">
        <v>5.6</v>
      </c>
      <c r="I1670" t="str" cm="1">
        <f t="array" ref="I1670">_xlfn.IFS(G1670&lt;3, "0–2 Years", G1670&lt;6, "3–5 Years", G1670&lt;9, "6–8 Years", G1670&lt;12, "9-11 Years", G1670&gt;=12, "12-14 Years")</f>
        <v>9-11 Years</v>
      </c>
      <c r="J1670">
        <v>2</v>
      </c>
      <c r="K1670" t="s">
        <v>20</v>
      </c>
      <c r="L1670">
        <v>69300</v>
      </c>
      <c r="M1670">
        <v>9800</v>
      </c>
      <c r="N1670">
        <v>79100</v>
      </c>
      <c r="O1670" t="s">
        <v>21</v>
      </c>
      <c r="P1670" s="3">
        <v>42404</v>
      </c>
      <c r="Q1670" t="s">
        <v>28</v>
      </c>
    </row>
    <row r="1671" spans="1:17" x14ac:dyDescent="0.35">
      <c r="A1671" t="s">
        <v>1723</v>
      </c>
      <c r="B1671" t="s">
        <v>16</v>
      </c>
      <c r="C1671">
        <v>29</v>
      </c>
      <c r="D1671" t="s">
        <v>34</v>
      </c>
      <c r="E1671" t="s">
        <v>47</v>
      </c>
      <c r="F1671" t="s">
        <v>28</v>
      </c>
      <c r="G1671">
        <v>5</v>
      </c>
      <c r="H1671">
        <v>3</v>
      </c>
      <c r="I1671" t="str" cm="1">
        <f t="array" ref="I1671">_xlfn.IFS(G1671&lt;3, "0–2 Years", G1671&lt;6, "3–5 Years", G1671&lt;9, "6–8 Years", G1671&lt;12, "9-11 Years", G1671&gt;=12, "12-14 Years")</f>
        <v>3–5 Years</v>
      </c>
      <c r="J1671">
        <v>5</v>
      </c>
      <c r="K1671" t="s">
        <v>20</v>
      </c>
      <c r="L1671">
        <v>75000</v>
      </c>
      <c r="M1671">
        <v>5400</v>
      </c>
      <c r="N1671">
        <v>80400</v>
      </c>
      <c r="O1671" t="s">
        <v>21</v>
      </c>
      <c r="P1671" s="3">
        <v>44182</v>
      </c>
      <c r="Q1671" t="s">
        <v>28</v>
      </c>
    </row>
    <row r="1672" spans="1:17" x14ac:dyDescent="0.35">
      <c r="A1672" t="s">
        <v>1724</v>
      </c>
      <c r="B1672" t="s">
        <v>23</v>
      </c>
      <c r="C1672">
        <v>37</v>
      </c>
      <c r="D1672" t="s">
        <v>17</v>
      </c>
      <c r="E1672" t="s">
        <v>32</v>
      </c>
      <c r="F1672" t="s">
        <v>36</v>
      </c>
      <c r="G1672">
        <v>8.9</v>
      </c>
      <c r="H1672">
        <v>7.3</v>
      </c>
      <c r="I1672" t="str" cm="1">
        <f t="array" ref="I1672">_xlfn.IFS(G1672&lt;3, "0–2 Years", G1672&lt;6, "3–5 Years", G1672&lt;9, "6–8 Years", G1672&lt;12, "9-11 Years", G1672&gt;=12, "12-14 Years")</f>
        <v>6–8 Years</v>
      </c>
      <c r="J1672">
        <v>3</v>
      </c>
      <c r="K1672" t="s">
        <v>20</v>
      </c>
      <c r="L1672">
        <v>74700</v>
      </c>
      <c r="M1672">
        <v>7500</v>
      </c>
      <c r="N1672">
        <v>82200</v>
      </c>
      <c r="O1672" t="s">
        <v>21</v>
      </c>
      <c r="P1672" s="3">
        <v>42767</v>
      </c>
      <c r="Q1672" t="s">
        <v>36</v>
      </c>
    </row>
    <row r="1673" spans="1:17" x14ac:dyDescent="0.35">
      <c r="A1673" t="s">
        <v>1725</v>
      </c>
      <c r="B1673" t="s">
        <v>16</v>
      </c>
      <c r="C1673">
        <v>29</v>
      </c>
      <c r="D1673" t="s">
        <v>34</v>
      </c>
      <c r="E1673" t="s">
        <v>35</v>
      </c>
      <c r="F1673" t="s">
        <v>28</v>
      </c>
      <c r="G1673">
        <v>1.3</v>
      </c>
      <c r="H1673">
        <v>0.5</v>
      </c>
      <c r="I1673" t="str" cm="1">
        <f t="array" ref="I1673">_xlfn.IFS(G1673&lt;3, "0–2 Years", G1673&lt;6, "3–5 Years", G1673&lt;9, "6–8 Years", G1673&lt;12, "9-11 Years", G1673&gt;=12, "12-14 Years")</f>
        <v>0–2 Years</v>
      </c>
      <c r="J1673">
        <v>3</v>
      </c>
      <c r="K1673" t="s">
        <v>20</v>
      </c>
      <c r="L1673">
        <v>72700</v>
      </c>
      <c r="M1673">
        <v>3200</v>
      </c>
      <c r="N1673">
        <v>75900</v>
      </c>
      <c r="O1673" t="s">
        <v>21</v>
      </c>
      <c r="P1673" s="3">
        <v>45563</v>
      </c>
      <c r="Q1673" t="s">
        <v>28</v>
      </c>
    </row>
    <row r="1674" spans="1:17" x14ac:dyDescent="0.35">
      <c r="A1674" t="s">
        <v>1726</v>
      </c>
      <c r="B1674" t="s">
        <v>16</v>
      </c>
      <c r="C1674">
        <v>57</v>
      </c>
      <c r="D1674" t="s">
        <v>55</v>
      </c>
      <c r="E1674" t="s">
        <v>56</v>
      </c>
      <c r="F1674" t="s">
        <v>28</v>
      </c>
      <c r="G1674">
        <v>1.5</v>
      </c>
      <c r="H1674">
        <v>0</v>
      </c>
      <c r="I1674" t="str" cm="1">
        <f t="array" ref="I1674">_xlfn.IFS(G1674&lt;3, "0–2 Years", G1674&lt;6, "3–5 Years", G1674&lt;9, "6–8 Years", G1674&lt;12, "9-11 Years", G1674&gt;=12, "12-14 Years")</f>
        <v>0–2 Years</v>
      </c>
      <c r="J1674">
        <v>3</v>
      </c>
      <c r="K1674" t="s">
        <v>20</v>
      </c>
      <c r="L1674">
        <v>100100</v>
      </c>
      <c r="M1674">
        <v>13300</v>
      </c>
      <c r="N1674">
        <v>113400</v>
      </c>
      <c r="O1674" t="s">
        <v>57</v>
      </c>
      <c r="P1674" s="3">
        <v>45475</v>
      </c>
      <c r="Q1674" t="s">
        <v>28</v>
      </c>
    </row>
    <row r="1675" spans="1:17" x14ac:dyDescent="0.35">
      <c r="A1675" t="s">
        <v>1727</v>
      </c>
      <c r="B1675" t="s">
        <v>23</v>
      </c>
      <c r="C1675">
        <v>27</v>
      </c>
      <c r="D1675" t="s">
        <v>55</v>
      </c>
      <c r="E1675" t="s">
        <v>92</v>
      </c>
      <c r="F1675" t="s">
        <v>62</v>
      </c>
      <c r="G1675">
        <v>4.9000000000000004</v>
      </c>
      <c r="H1675">
        <v>3.2</v>
      </c>
      <c r="I1675" t="str" cm="1">
        <f t="array" ref="I1675">_xlfn.IFS(G1675&lt;3, "0–2 Years", G1675&lt;6, "3–5 Years", G1675&lt;9, "6–8 Years", G1675&lt;12, "9-11 Years", G1675&gt;=12, "12-14 Years")</f>
        <v>3–5 Years</v>
      </c>
      <c r="J1675">
        <v>1</v>
      </c>
      <c r="K1675" t="s">
        <v>24</v>
      </c>
      <c r="L1675">
        <v>60300</v>
      </c>
      <c r="M1675">
        <v>8400</v>
      </c>
      <c r="N1675">
        <v>68700</v>
      </c>
      <c r="O1675" t="s">
        <v>25</v>
      </c>
      <c r="P1675" s="3">
        <v>44240</v>
      </c>
      <c r="Q1675" t="s">
        <v>62</v>
      </c>
    </row>
    <row r="1676" spans="1:17" x14ac:dyDescent="0.35">
      <c r="A1676" t="s">
        <v>1728</v>
      </c>
      <c r="B1676" t="s">
        <v>23</v>
      </c>
      <c r="C1676" s="7">
        <v>49</v>
      </c>
      <c r="D1676" t="s">
        <v>41</v>
      </c>
      <c r="E1676" t="s">
        <v>67</v>
      </c>
      <c r="F1676" t="s">
        <v>28</v>
      </c>
      <c r="G1676" s="9">
        <v>12.7</v>
      </c>
      <c r="H1676" s="7">
        <v>9</v>
      </c>
      <c r="I1676" t="str" cm="1">
        <f t="array" ref="I1676">_xlfn.IFS(G1676&lt;3, "0–2 Years", G1676&lt;6, "3–5 Years", G1676&lt;9, "6–8 Years", G1676&lt;12, "9-11 Years", G1676&gt;=12, "12-14 Years")</f>
        <v>12-14 Years</v>
      </c>
      <c r="J1676" s="7">
        <v>3</v>
      </c>
      <c r="K1676" t="s">
        <v>20</v>
      </c>
      <c r="L1676" s="7">
        <v>73600</v>
      </c>
      <c r="M1676" s="7">
        <v>2400</v>
      </c>
      <c r="N1676" s="7">
        <v>76000</v>
      </c>
      <c r="O1676" t="s">
        <v>21</v>
      </c>
      <c r="P1676" s="3">
        <v>41392</v>
      </c>
      <c r="Q1676" t="s">
        <v>28</v>
      </c>
    </row>
    <row r="1677" spans="1:17" x14ac:dyDescent="0.35">
      <c r="A1677" t="s">
        <v>1729</v>
      </c>
      <c r="B1677" t="s">
        <v>23</v>
      </c>
      <c r="C1677">
        <v>38</v>
      </c>
      <c r="D1677" t="s">
        <v>17</v>
      </c>
      <c r="E1677" t="s">
        <v>32</v>
      </c>
      <c r="F1677" t="s">
        <v>28</v>
      </c>
      <c r="G1677">
        <v>1.6</v>
      </c>
      <c r="H1677">
        <v>1</v>
      </c>
      <c r="I1677" t="str" cm="1">
        <f t="array" ref="I1677">_xlfn.IFS(G1677&lt;3, "0–2 Years", G1677&lt;6, "3–5 Years", G1677&lt;9, "6–8 Years", G1677&lt;12, "9-11 Years", G1677&gt;=12, "12-14 Years")</f>
        <v>0–2 Years</v>
      </c>
      <c r="J1677">
        <v>3</v>
      </c>
      <c r="K1677" t="s">
        <v>20</v>
      </c>
      <c r="L1677">
        <v>56800</v>
      </c>
      <c r="M1677">
        <v>6000</v>
      </c>
      <c r="N1677">
        <v>62800</v>
      </c>
      <c r="O1677" t="s">
        <v>25</v>
      </c>
      <c r="P1677" s="3">
        <v>45444</v>
      </c>
      <c r="Q1677" t="s">
        <v>28</v>
      </c>
    </row>
    <row r="1678" spans="1:17" x14ac:dyDescent="0.35">
      <c r="A1678" t="s">
        <v>1730</v>
      </c>
      <c r="B1678" t="s">
        <v>16</v>
      </c>
      <c r="C1678">
        <v>32</v>
      </c>
      <c r="D1678" t="s">
        <v>34</v>
      </c>
      <c r="E1678" t="s">
        <v>59</v>
      </c>
      <c r="F1678" t="s">
        <v>36</v>
      </c>
      <c r="G1678">
        <v>9.9</v>
      </c>
      <c r="H1678">
        <v>7.8</v>
      </c>
      <c r="I1678" t="str" cm="1">
        <f t="array" ref="I1678">_xlfn.IFS(G1678&lt;3, "0–2 Years", G1678&lt;6, "3–5 Years", G1678&lt;9, "6–8 Years", G1678&lt;12, "9-11 Years", G1678&gt;=12, "12-14 Years")</f>
        <v>9-11 Years</v>
      </c>
      <c r="J1678">
        <v>3</v>
      </c>
      <c r="K1678" t="s">
        <v>24</v>
      </c>
      <c r="L1678">
        <v>68300</v>
      </c>
      <c r="M1678">
        <v>6900</v>
      </c>
      <c r="N1678">
        <v>75200</v>
      </c>
      <c r="O1678" t="s">
        <v>21</v>
      </c>
      <c r="P1678" s="3">
        <v>42409</v>
      </c>
      <c r="Q1678" t="s">
        <v>36</v>
      </c>
    </row>
    <row r="1679" spans="1:17" x14ac:dyDescent="0.35">
      <c r="A1679" t="s">
        <v>1731</v>
      </c>
      <c r="B1679" t="s">
        <v>23</v>
      </c>
      <c r="C1679">
        <v>48</v>
      </c>
      <c r="D1679" t="s">
        <v>34</v>
      </c>
      <c r="E1679" t="s">
        <v>35</v>
      </c>
      <c r="F1679" t="s">
        <v>28</v>
      </c>
      <c r="G1679">
        <v>5.0999999999999996</v>
      </c>
      <c r="H1679">
        <v>2.8</v>
      </c>
      <c r="I1679" t="str" cm="1">
        <f t="array" ref="I1679">_xlfn.IFS(G1679&lt;3, "0–2 Years", G1679&lt;6, "3–5 Years", G1679&lt;9, "6–8 Years", G1679&lt;12, "9-11 Years", G1679&gt;=12, "12-14 Years")</f>
        <v>3–5 Years</v>
      </c>
      <c r="J1679">
        <v>3</v>
      </c>
      <c r="K1679" t="s">
        <v>24</v>
      </c>
      <c r="L1679">
        <v>47700</v>
      </c>
      <c r="M1679">
        <v>5300</v>
      </c>
      <c r="N1679">
        <v>53000</v>
      </c>
      <c r="O1679" t="s">
        <v>65</v>
      </c>
      <c r="P1679" s="3">
        <v>44164</v>
      </c>
      <c r="Q1679" t="s">
        <v>28</v>
      </c>
    </row>
    <row r="1680" spans="1:17" x14ac:dyDescent="0.35">
      <c r="A1680" t="s">
        <v>1732</v>
      </c>
      <c r="B1680" t="s">
        <v>16</v>
      </c>
      <c r="C1680">
        <v>38</v>
      </c>
      <c r="D1680" t="s">
        <v>34</v>
      </c>
      <c r="E1680" t="s">
        <v>59</v>
      </c>
      <c r="F1680" t="s">
        <v>28</v>
      </c>
      <c r="G1680">
        <v>2.8</v>
      </c>
      <c r="H1680">
        <v>0.5</v>
      </c>
      <c r="I1680" t="str" cm="1">
        <f t="array" ref="I1680">_xlfn.IFS(G1680&lt;3, "0–2 Years", G1680&lt;6, "3–5 Years", G1680&lt;9, "6–8 Years", G1680&lt;12, "9-11 Years", G1680&gt;=12, "12-14 Years")</f>
        <v>0–2 Years</v>
      </c>
      <c r="J1680">
        <v>5</v>
      </c>
      <c r="K1680" t="s">
        <v>20</v>
      </c>
      <c r="L1680">
        <v>108000</v>
      </c>
      <c r="M1680">
        <v>5100</v>
      </c>
      <c r="N1680">
        <v>113100</v>
      </c>
      <c r="O1680" t="s">
        <v>57</v>
      </c>
      <c r="P1680" s="3">
        <v>44999</v>
      </c>
      <c r="Q1680" t="s">
        <v>28</v>
      </c>
    </row>
    <row r="1681" spans="1:17" x14ac:dyDescent="0.35">
      <c r="A1681" t="s">
        <v>1733</v>
      </c>
      <c r="B1681" t="s">
        <v>16</v>
      </c>
      <c r="C1681" s="7">
        <v>40</v>
      </c>
      <c r="D1681" t="s">
        <v>41</v>
      </c>
      <c r="E1681" t="s">
        <v>73</v>
      </c>
      <c r="F1681" t="s">
        <v>28</v>
      </c>
      <c r="G1681" s="9">
        <v>12.9</v>
      </c>
      <c r="H1681" s="7">
        <v>7.6</v>
      </c>
      <c r="I1681" t="str" cm="1">
        <f t="array" ref="I1681">_xlfn.IFS(G1681&lt;3, "0–2 Years", G1681&lt;6, "3–5 Years", G1681&lt;9, "6–8 Years", G1681&lt;12, "9-11 Years", G1681&gt;=12, "12-14 Years")</f>
        <v>12-14 Years</v>
      </c>
      <c r="J1681" s="7">
        <v>3</v>
      </c>
      <c r="K1681" t="s">
        <v>69</v>
      </c>
      <c r="L1681" s="7">
        <v>89500</v>
      </c>
      <c r="M1681" s="7">
        <v>5700</v>
      </c>
      <c r="N1681" s="7">
        <v>95200</v>
      </c>
      <c r="O1681" t="s">
        <v>30</v>
      </c>
      <c r="P1681" s="3">
        <v>41308</v>
      </c>
      <c r="Q1681" t="s">
        <v>28</v>
      </c>
    </row>
    <row r="1682" spans="1:17" x14ac:dyDescent="0.35">
      <c r="A1682" t="s">
        <v>1734</v>
      </c>
      <c r="B1682" t="s">
        <v>16</v>
      </c>
      <c r="C1682">
        <v>34</v>
      </c>
      <c r="D1682" t="s">
        <v>34</v>
      </c>
      <c r="E1682" t="s">
        <v>59</v>
      </c>
      <c r="F1682" t="s">
        <v>28</v>
      </c>
      <c r="G1682">
        <v>11.1</v>
      </c>
      <c r="H1682">
        <v>7</v>
      </c>
      <c r="I1682" t="str" cm="1">
        <f t="array" ref="I1682">_xlfn.IFS(G1682&lt;3, "0–2 Years", G1682&lt;6, "3–5 Years", G1682&lt;9, "6–8 Years", G1682&lt;12, "9-11 Years", G1682&gt;=12, "12-14 Years")</f>
        <v>9-11 Years</v>
      </c>
      <c r="J1682">
        <v>3</v>
      </c>
      <c r="K1682" t="s">
        <v>24</v>
      </c>
      <c r="L1682">
        <v>66600</v>
      </c>
      <c r="M1682">
        <v>5500</v>
      </c>
      <c r="N1682">
        <v>72100</v>
      </c>
      <c r="O1682" t="s">
        <v>21</v>
      </c>
      <c r="P1682" s="3">
        <v>41966</v>
      </c>
      <c r="Q1682" t="s">
        <v>28</v>
      </c>
    </row>
    <row r="1683" spans="1:17" x14ac:dyDescent="0.35">
      <c r="A1683" t="s">
        <v>1735</v>
      </c>
      <c r="B1683" t="s">
        <v>16</v>
      </c>
      <c r="C1683">
        <v>39</v>
      </c>
      <c r="D1683" t="s">
        <v>44</v>
      </c>
      <c r="E1683" t="s">
        <v>45</v>
      </c>
      <c r="F1683" t="s">
        <v>36</v>
      </c>
      <c r="G1683">
        <v>9.3000000000000007</v>
      </c>
      <c r="H1683">
        <v>5.5</v>
      </c>
      <c r="I1683" t="str" cm="1">
        <f t="array" ref="I1683">_xlfn.IFS(G1683&lt;3, "0–2 Years", G1683&lt;6, "3–5 Years", G1683&lt;9, "6–8 Years", G1683&lt;12, "9-11 Years", G1683&gt;=12, "12-14 Years")</f>
        <v>9-11 Years</v>
      </c>
      <c r="J1683">
        <v>3</v>
      </c>
      <c r="K1683" t="s">
        <v>20</v>
      </c>
      <c r="L1683">
        <v>87200</v>
      </c>
      <c r="M1683">
        <v>4400</v>
      </c>
      <c r="N1683">
        <v>91600</v>
      </c>
      <c r="O1683" t="s">
        <v>30</v>
      </c>
      <c r="P1683" s="3">
        <v>42630</v>
      </c>
      <c r="Q1683" t="s">
        <v>36</v>
      </c>
    </row>
    <row r="1684" spans="1:17" x14ac:dyDescent="0.35">
      <c r="A1684" t="s">
        <v>1736</v>
      </c>
      <c r="B1684" t="s">
        <v>23</v>
      </c>
      <c r="C1684">
        <v>29</v>
      </c>
      <c r="D1684" t="s">
        <v>55</v>
      </c>
      <c r="E1684" t="s">
        <v>79</v>
      </c>
      <c r="F1684" t="s">
        <v>62</v>
      </c>
      <c r="G1684">
        <v>6.2</v>
      </c>
      <c r="H1684">
        <v>5.8</v>
      </c>
      <c r="I1684" t="str" cm="1">
        <f t="array" ref="I1684">_xlfn.IFS(G1684&lt;3, "0–2 Years", G1684&lt;6, "3–5 Years", G1684&lt;9, "6–8 Years", G1684&lt;12, "9-11 Years", G1684&gt;=12, "12-14 Years")</f>
        <v>6–8 Years</v>
      </c>
      <c r="J1684">
        <v>2</v>
      </c>
      <c r="K1684" t="s">
        <v>20</v>
      </c>
      <c r="L1684">
        <v>73800</v>
      </c>
      <c r="M1684">
        <v>6800</v>
      </c>
      <c r="N1684">
        <v>80600</v>
      </c>
      <c r="O1684" t="s">
        <v>21</v>
      </c>
      <c r="P1684" s="3">
        <v>43744</v>
      </c>
      <c r="Q1684" t="s">
        <v>62</v>
      </c>
    </row>
    <row r="1685" spans="1:17" x14ac:dyDescent="0.35">
      <c r="A1685" t="s">
        <v>1737</v>
      </c>
      <c r="B1685" t="s">
        <v>23</v>
      </c>
      <c r="C1685" s="7">
        <v>34</v>
      </c>
      <c r="D1685" t="s">
        <v>41</v>
      </c>
      <c r="E1685" t="s">
        <v>73</v>
      </c>
      <c r="F1685" t="s">
        <v>62</v>
      </c>
      <c r="G1685" s="9">
        <v>13.9</v>
      </c>
      <c r="H1685" s="7">
        <v>8.1</v>
      </c>
      <c r="I1685" t="str" cm="1">
        <f t="array" ref="I1685">_xlfn.IFS(G1685&lt;3, "0–2 Years", G1685&lt;6, "3–5 Years", G1685&lt;9, "6–8 Years", G1685&lt;12, "9-11 Years", G1685&gt;=12, "12-14 Years")</f>
        <v>12-14 Years</v>
      </c>
      <c r="J1685" s="7">
        <v>2</v>
      </c>
      <c r="K1685" t="s">
        <v>20</v>
      </c>
      <c r="L1685" s="7">
        <v>117300</v>
      </c>
      <c r="M1685" s="7">
        <v>6100</v>
      </c>
      <c r="N1685" s="7">
        <v>123400</v>
      </c>
      <c r="O1685" t="s">
        <v>57</v>
      </c>
      <c r="P1685" s="3">
        <v>40943</v>
      </c>
      <c r="Q1685" t="s">
        <v>62</v>
      </c>
    </row>
    <row r="1686" spans="1:17" x14ac:dyDescent="0.35">
      <c r="A1686" t="s">
        <v>1738</v>
      </c>
      <c r="B1686" t="s">
        <v>23</v>
      </c>
      <c r="C1686">
        <v>26</v>
      </c>
      <c r="D1686" t="s">
        <v>41</v>
      </c>
      <c r="E1686" t="s">
        <v>73</v>
      </c>
      <c r="F1686" t="s">
        <v>28</v>
      </c>
      <c r="G1686">
        <v>7.1</v>
      </c>
      <c r="H1686">
        <v>4.5</v>
      </c>
      <c r="I1686" t="str" cm="1">
        <f t="array" ref="I1686">_xlfn.IFS(G1686&lt;3, "0–2 Years", G1686&lt;6, "3–5 Years", G1686&lt;9, "6–8 Years", G1686&lt;12, "9-11 Years", G1686&gt;=12, "12-14 Years")</f>
        <v>6–8 Years</v>
      </c>
      <c r="J1686">
        <v>3</v>
      </c>
      <c r="K1686" t="s">
        <v>20</v>
      </c>
      <c r="L1686">
        <v>112000</v>
      </c>
      <c r="M1686">
        <v>4100</v>
      </c>
      <c r="N1686">
        <v>116100</v>
      </c>
      <c r="O1686" t="s">
        <v>57</v>
      </c>
      <c r="P1686" s="3">
        <v>43441</v>
      </c>
      <c r="Q1686" t="s">
        <v>28</v>
      </c>
    </row>
    <row r="1687" spans="1:17" x14ac:dyDescent="0.35">
      <c r="A1687" t="s">
        <v>1739</v>
      </c>
      <c r="B1687" t="s">
        <v>16</v>
      </c>
      <c r="C1687">
        <v>26</v>
      </c>
      <c r="D1687" t="s">
        <v>41</v>
      </c>
      <c r="E1687" t="s">
        <v>67</v>
      </c>
      <c r="F1687" t="s">
        <v>36</v>
      </c>
      <c r="G1687">
        <v>8</v>
      </c>
      <c r="H1687">
        <v>6.8</v>
      </c>
      <c r="I1687" t="str" cm="1">
        <f t="array" ref="I1687">_xlfn.IFS(G1687&lt;3, "0–2 Years", G1687&lt;6, "3–5 Years", G1687&lt;9, "6–8 Years", G1687&lt;12, "9-11 Years", G1687&gt;=12, "12-14 Years")</f>
        <v>6–8 Years</v>
      </c>
      <c r="J1687">
        <v>4</v>
      </c>
      <c r="K1687" t="s">
        <v>20</v>
      </c>
      <c r="L1687">
        <v>82500</v>
      </c>
      <c r="M1687">
        <v>3800</v>
      </c>
      <c r="N1687">
        <v>86300</v>
      </c>
      <c r="O1687" t="s">
        <v>30</v>
      </c>
      <c r="P1687" s="3">
        <v>43087</v>
      </c>
      <c r="Q1687" t="s">
        <v>36</v>
      </c>
    </row>
    <row r="1688" spans="1:17" x14ac:dyDescent="0.35">
      <c r="A1688" t="s">
        <v>1740</v>
      </c>
      <c r="B1688" t="s">
        <v>23</v>
      </c>
      <c r="C1688">
        <v>46</v>
      </c>
      <c r="D1688" t="s">
        <v>17</v>
      </c>
      <c r="E1688" t="s">
        <v>27</v>
      </c>
      <c r="F1688" t="s">
        <v>28</v>
      </c>
      <c r="G1688">
        <v>5.8</v>
      </c>
      <c r="H1688">
        <v>4.4000000000000004</v>
      </c>
      <c r="I1688" t="str" cm="1">
        <f t="array" ref="I1688">_xlfn.IFS(G1688&lt;3, "0–2 Years", G1688&lt;6, "3–5 Years", G1688&lt;9, "6–8 Years", G1688&lt;12, "9-11 Years", G1688&gt;=12, "12-14 Years")</f>
        <v>3–5 Years</v>
      </c>
      <c r="J1688">
        <v>3</v>
      </c>
      <c r="K1688" t="s">
        <v>20</v>
      </c>
      <c r="L1688">
        <v>76500</v>
      </c>
      <c r="M1688">
        <v>8800</v>
      </c>
      <c r="N1688">
        <v>85300</v>
      </c>
      <c r="O1688" t="s">
        <v>21</v>
      </c>
      <c r="P1688" s="3">
        <v>43915</v>
      </c>
      <c r="Q1688" t="s">
        <v>28</v>
      </c>
    </row>
    <row r="1689" spans="1:17" x14ac:dyDescent="0.35">
      <c r="A1689" t="s">
        <v>1741</v>
      </c>
      <c r="B1689" t="s">
        <v>23</v>
      </c>
      <c r="C1689">
        <v>30</v>
      </c>
      <c r="D1689" t="s">
        <v>17</v>
      </c>
      <c r="E1689" t="s">
        <v>27</v>
      </c>
      <c r="F1689" t="s">
        <v>36</v>
      </c>
      <c r="G1689">
        <v>6.3</v>
      </c>
      <c r="H1689">
        <v>4.4000000000000004</v>
      </c>
      <c r="I1689" t="str" cm="1">
        <f t="array" ref="I1689">_xlfn.IFS(G1689&lt;3, "0–2 Years", G1689&lt;6, "3–5 Years", G1689&lt;9, "6–8 Years", G1689&lt;12, "9-11 Years", G1689&gt;=12, "12-14 Years")</f>
        <v>6–8 Years</v>
      </c>
      <c r="J1689">
        <v>4</v>
      </c>
      <c r="K1689" t="s">
        <v>20</v>
      </c>
      <c r="L1689">
        <v>85800</v>
      </c>
      <c r="M1689">
        <v>7500</v>
      </c>
      <c r="N1689">
        <v>93300</v>
      </c>
      <c r="O1689" t="s">
        <v>30</v>
      </c>
      <c r="P1689" s="3">
        <v>43726</v>
      </c>
      <c r="Q1689" t="s">
        <v>36</v>
      </c>
    </row>
    <row r="1690" spans="1:17" x14ac:dyDescent="0.35">
      <c r="A1690" t="s">
        <v>1742</v>
      </c>
      <c r="B1690" t="s">
        <v>23</v>
      </c>
      <c r="C1690">
        <v>33</v>
      </c>
      <c r="D1690" t="s">
        <v>41</v>
      </c>
      <c r="E1690" t="s">
        <v>42</v>
      </c>
      <c r="F1690" t="s">
        <v>28</v>
      </c>
      <c r="G1690">
        <v>11</v>
      </c>
      <c r="H1690">
        <v>7.5</v>
      </c>
      <c r="I1690" t="str" cm="1">
        <f t="array" ref="I1690">_xlfn.IFS(G1690&lt;3, "0–2 Years", G1690&lt;6, "3–5 Years", G1690&lt;9, "6–8 Years", G1690&lt;12, "9-11 Years", G1690&gt;=12, "12-14 Years")</f>
        <v>9-11 Years</v>
      </c>
      <c r="J1690">
        <v>3</v>
      </c>
      <c r="K1690" t="s">
        <v>24</v>
      </c>
      <c r="L1690">
        <v>52100</v>
      </c>
      <c r="M1690">
        <v>3000</v>
      </c>
      <c r="N1690">
        <v>55100</v>
      </c>
      <c r="O1690" t="s">
        <v>25</v>
      </c>
      <c r="P1690" s="3">
        <v>41988</v>
      </c>
      <c r="Q1690" t="s">
        <v>28</v>
      </c>
    </row>
    <row r="1691" spans="1:17" x14ac:dyDescent="0.35">
      <c r="A1691" t="s">
        <v>1743</v>
      </c>
      <c r="B1691" t="s">
        <v>23</v>
      </c>
      <c r="C1691">
        <v>45</v>
      </c>
      <c r="D1691" t="s">
        <v>38</v>
      </c>
      <c r="E1691" t="s">
        <v>39</v>
      </c>
      <c r="F1691" t="s">
        <v>36</v>
      </c>
      <c r="G1691">
        <v>3.1</v>
      </c>
      <c r="H1691">
        <v>1.1000000000000001</v>
      </c>
      <c r="I1691" t="str" cm="1">
        <f t="array" ref="I1691">_xlfn.IFS(G1691&lt;3, "0–2 Years", G1691&lt;6, "3–5 Years", G1691&lt;9, "6–8 Years", G1691&lt;12, "9-11 Years", G1691&gt;=12, "12-14 Years")</f>
        <v>3–5 Years</v>
      </c>
      <c r="J1691">
        <v>4</v>
      </c>
      <c r="K1691" t="s">
        <v>20</v>
      </c>
      <c r="L1691">
        <v>74200</v>
      </c>
      <c r="M1691">
        <v>3200</v>
      </c>
      <c r="N1691">
        <v>77400</v>
      </c>
      <c r="O1691" t="s">
        <v>21</v>
      </c>
      <c r="P1691" s="3">
        <v>44903</v>
      </c>
      <c r="Q1691" t="s">
        <v>36</v>
      </c>
    </row>
    <row r="1692" spans="1:17" x14ac:dyDescent="0.35">
      <c r="A1692" t="s">
        <v>1744</v>
      </c>
      <c r="B1692" t="s">
        <v>23</v>
      </c>
      <c r="C1692">
        <v>38</v>
      </c>
      <c r="D1692" t="s">
        <v>55</v>
      </c>
      <c r="E1692" t="s">
        <v>56</v>
      </c>
      <c r="F1692" t="s">
        <v>36</v>
      </c>
      <c r="G1692">
        <v>3.5</v>
      </c>
      <c r="H1692">
        <v>3.3</v>
      </c>
      <c r="I1692" t="str" cm="1">
        <f t="array" ref="I1692">_xlfn.IFS(G1692&lt;3, "0–2 Years", G1692&lt;6, "3–5 Years", G1692&lt;9, "6–8 Years", G1692&lt;12, "9-11 Years", G1692&gt;=12, "12-14 Years")</f>
        <v>3–5 Years</v>
      </c>
      <c r="J1692">
        <v>3</v>
      </c>
      <c r="K1692" t="s">
        <v>20</v>
      </c>
      <c r="L1692">
        <v>102200</v>
      </c>
      <c r="M1692">
        <v>17400</v>
      </c>
      <c r="N1692">
        <v>119600</v>
      </c>
      <c r="O1692" t="s">
        <v>57</v>
      </c>
      <c r="P1692" s="3">
        <v>44731</v>
      </c>
      <c r="Q1692" t="s">
        <v>36</v>
      </c>
    </row>
    <row r="1693" spans="1:17" x14ac:dyDescent="0.35">
      <c r="A1693" t="s">
        <v>1745</v>
      </c>
      <c r="B1693" t="s">
        <v>16</v>
      </c>
      <c r="C1693">
        <v>38</v>
      </c>
      <c r="D1693" t="s">
        <v>17</v>
      </c>
      <c r="E1693" t="s">
        <v>32</v>
      </c>
      <c r="F1693" t="s">
        <v>36</v>
      </c>
      <c r="G1693">
        <v>5.7</v>
      </c>
      <c r="H1693">
        <v>3.1</v>
      </c>
      <c r="I1693" t="str" cm="1">
        <f t="array" ref="I1693">_xlfn.IFS(G1693&lt;3, "0–2 Years", G1693&lt;6, "3–5 Years", G1693&lt;9, "6–8 Years", G1693&lt;12, "9-11 Years", G1693&gt;=12, "12-14 Years")</f>
        <v>3–5 Years</v>
      </c>
      <c r="J1693">
        <v>2</v>
      </c>
      <c r="K1693" t="s">
        <v>24</v>
      </c>
      <c r="L1693">
        <v>40800</v>
      </c>
      <c r="M1693">
        <v>3100</v>
      </c>
      <c r="N1693">
        <v>43900</v>
      </c>
      <c r="O1693" t="s">
        <v>65</v>
      </c>
      <c r="P1693" s="3">
        <v>43950</v>
      </c>
      <c r="Q1693" t="s">
        <v>36</v>
      </c>
    </row>
    <row r="1694" spans="1:17" x14ac:dyDescent="0.35">
      <c r="A1694" t="s">
        <v>1746</v>
      </c>
      <c r="B1694" t="s">
        <v>16</v>
      </c>
      <c r="C1694">
        <v>39</v>
      </c>
      <c r="D1694" t="s">
        <v>17</v>
      </c>
      <c r="E1694" t="s">
        <v>32</v>
      </c>
      <c r="F1694" t="s">
        <v>36</v>
      </c>
      <c r="G1694">
        <v>11.1</v>
      </c>
      <c r="H1694">
        <v>4.5999999999999996</v>
      </c>
      <c r="I1694" t="str" cm="1">
        <f t="array" ref="I1694">_xlfn.IFS(G1694&lt;3, "0–2 Years", G1694&lt;6, "3–5 Years", G1694&lt;9, "6–8 Years", G1694&lt;12, "9-11 Years", G1694&gt;=12, "12-14 Years")</f>
        <v>9-11 Years</v>
      </c>
      <c r="J1694">
        <v>4</v>
      </c>
      <c r="K1694" t="s">
        <v>20</v>
      </c>
      <c r="L1694">
        <v>93400</v>
      </c>
      <c r="M1694">
        <v>8300</v>
      </c>
      <c r="N1694">
        <v>101700</v>
      </c>
      <c r="O1694" t="s">
        <v>30</v>
      </c>
      <c r="P1694" s="3">
        <v>41964</v>
      </c>
      <c r="Q1694" t="s">
        <v>36</v>
      </c>
    </row>
    <row r="1695" spans="1:17" x14ac:dyDescent="0.35">
      <c r="A1695" t="s">
        <v>1747</v>
      </c>
      <c r="B1695" t="s">
        <v>23</v>
      </c>
      <c r="C1695" s="7">
        <v>39</v>
      </c>
      <c r="D1695" t="s">
        <v>44</v>
      </c>
      <c r="E1695" t="s">
        <v>81</v>
      </c>
      <c r="F1695" t="s">
        <v>28</v>
      </c>
      <c r="G1695" s="9">
        <v>12</v>
      </c>
      <c r="H1695" s="7">
        <v>8.4</v>
      </c>
      <c r="I1695" t="str" cm="1">
        <f t="array" ref="I1695">_xlfn.IFS(G1695&lt;3, "0–2 Years", G1695&lt;6, "3–5 Years", G1695&lt;9, "6–8 Years", G1695&lt;12, "9-11 Years", G1695&gt;=12, "12-14 Years")</f>
        <v>12-14 Years</v>
      </c>
      <c r="J1695" s="7">
        <v>2</v>
      </c>
      <c r="K1695" t="s">
        <v>20</v>
      </c>
      <c r="L1695" s="7">
        <v>104700</v>
      </c>
      <c r="M1695" s="7">
        <v>9100</v>
      </c>
      <c r="N1695" s="7">
        <v>113800</v>
      </c>
      <c r="O1695" t="s">
        <v>57</v>
      </c>
      <c r="P1695" s="3">
        <v>41629</v>
      </c>
      <c r="Q1695" t="s">
        <v>28</v>
      </c>
    </row>
    <row r="1696" spans="1:17" x14ac:dyDescent="0.35">
      <c r="A1696" t="s">
        <v>1748</v>
      </c>
      <c r="B1696" t="s">
        <v>16</v>
      </c>
      <c r="C1696">
        <v>37</v>
      </c>
      <c r="D1696" t="s">
        <v>17</v>
      </c>
      <c r="E1696" t="s">
        <v>18</v>
      </c>
      <c r="F1696" t="s">
        <v>28</v>
      </c>
      <c r="G1696">
        <v>5.5</v>
      </c>
      <c r="H1696">
        <v>1.7</v>
      </c>
      <c r="I1696" t="str" cm="1">
        <f t="array" ref="I1696">_xlfn.IFS(G1696&lt;3, "0–2 Years", G1696&lt;6, "3–5 Years", G1696&lt;9, "6–8 Years", G1696&lt;12, "9-11 Years", G1696&gt;=12, "12-14 Years")</f>
        <v>3–5 Years</v>
      </c>
      <c r="J1696">
        <v>3</v>
      </c>
      <c r="K1696" t="s">
        <v>20</v>
      </c>
      <c r="L1696">
        <v>88800</v>
      </c>
      <c r="M1696">
        <v>11800</v>
      </c>
      <c r="N1696">
        <v>100600</v>
      </c>
      <c r="O1696" t="s">
        <v>30</v>
      </c>
      <c r="P1696" s="3">
        <v>43999</v>
      </c>
      <c r="Q1696" t="s">
        <v>28</v>
      </c>
    </row>
    <row r="1697" spans="1:17" x14ac:dyDescent="0.35">
      <c r="A1697" t="s">
        <v>1749</v>
      </c>
      <c r="B1697" t="s">
        <v>16</v>
      </c>
      <c r="C1697">
        <v>28</v>
      </c>
      <c r="D1697" t="s">
        <v>41</v>
      </c>
      <c r="E1697" t="s">
        <v>67</v>
      </c>
      <c r="F1697" t="s">
        <v>36</v>
      </c>
      <c r="G1697">
        <v>8.8000000000000007</v>
      </c>
      <c r="H1697">
        <v>6.4</v>
      </c>
      <c r="I1697" t="str" cm="1">
        <f t="array" ref="I1697">_xlfn.IFS(G1697&lt;3, "0–2 Years", G1697&lt;6, "3–5 Years", G1697&lt;9, "6–8 Years", G1697&lt;12, "9-11 Years", G1697&gt;=12, "12-14 Years")</f>
        <v>6–8 Years</v>
      </c>
      <c r="J1697">
        <v>3</v>
      </c>
      <c r="K1697" t="s">
        <v>20</v>
      </c>
      <c r="L1697">
        <v>64300</v>
      </c>
      <c r="M1697">
        <v>4500</v>
      </c>
      <c r="N1697">
        <v>68800</v>
      </c>
      <c r="O1697" t="s">
        <v>25</v>
      </c>
      <c r="P1697" s="3">
        <v>42797</v>
      </c>
      <c r="Q1697" t="s">
        <v>36</v>
      </c>
    </row>
    <row r="1698" spans="1:17" x14ac:dyDescent="0.35">
      <c r="A1698" t="s">
        <v>1750</v>
      </c>
      <c r="B1698" t="s">
        <v>16</v>
      </c>
      <c r="C1698">
        <v>43</v>
      </c>
      <c r="D1698" t="s">
        <v>55</v>
      </c>
      <c r="E1698" t="s">
        <v>92</v>
      </c>
      <c r="F1698" t="s">
        <v>19</v>
      </c>
      <c r="G1698">
        <v>4.7</v>
      </c>
      <c r="H1698">
        <v>3.2</v>
      </c>
      <c r="I1698" t="str" cm="1">
        <f t="array" ref="I1698">_xlfn.IFS(G1698&lt;3, "0–2 Years", G1698&lt;6, "3–5 Years", G1698&lt;9, "6–8 Years", G1698&lt;12, "9-11 Years", G1698&gt;=12, "12-14 Years")</f>
        <v>3–5 Years</v>
      </c>
      <c r="J1698">
        <v>4</v>
      </c>
      <c r="K1698" t="s">
        <v>20</v>
      </c>
      <c r="L1698">
        <v>107600</v>
      </c>
      <c r="M1698">
        <v>17000</v>
      </c>
      <c r="N1698">
        <v>124600</v>
      </c>
      <c r="O1698" t="s">
        <v>57</v>
      </c>
      <c r="P1698" s="3">
        <v>44295</v>
      </c>
      <c r="Q1698" t="s">
        <v>19</v>
      </c>
    </row>
    <row r="1699" spans="1:17" x14ac:dyDescent="0.35">
      <c r="A1699" t="s">
        <v>1751</v>
      </c>
      <c r="B1699" t="s">
        <v>23</v>
      </c>
      <c r="C1699">
        <v>42</v>
      </c>
      <c r="D1699" t="s">
        <v>17</v>
      </c>
      <c r="E1699" t="s">
        <v>27</v>
      </c>
      <c r="F1699" t="s">
        <v>28</v>
      </c>
      <c r="G1699">
        <v>4.5999999999999996</v>
      </c>
      <c r="H1699">
        <v>1.1000000000000001</v>
      </c>
      <c r="I1699" t="str" cm="1">
        <f t="array" ref="I1699">_xlfn.IFS(G1699&lt;3, "0–2 Years", G1699&lt;6, "3–5 Years", G1699&lt;9, "6–8 Years", G1699&lt;12, "9-11 Years", G1699&gt;=12, "12-14 Years")</f>
        <v>3–5 Years</v>
      </c>
      <c r="J1699">
        <v>5</v>
      </c>
      <c r="K1699" t="s">
        <v>20</v>
      </c>
      <c r="L1699">
        <v>71700</v>
      </c>
      <c r="M1699">
        <v>6200</v>
      </c>
      <c r="N1699">
        <v>77900</v>
      </c>
      <c r="O1699" t="s">
        <v>21</v>
      </c>
      <c r="P1699" s="3">
        <v>44353</v>
      </c>
      <c r="Q1699" t="s">
        <v>28</v>
      </c>
    </row>
    <row r="1700" spans="1:17" x14ac:dyDescent="0.35">
      <c r="A1700" t="s">
        <v>1752</v>
      </c>
      <c r="B1700" t="s">
        <v>16</v>
      </c>
      <c r="C1700" s="7">
        <v>44</v>
      </c>
      <c r="D1700" t="s">
        <v>38</v>
      </c>
      <c r="E1700" t="s">
        <v>61</v>
      </c>
      <c r="F1700" t="s">
        <v>36</v>
      </c>
      <c r="G1700" s="9">
        <v>13.9</v>
      </c>
      <c r="H1700" s="7">
        <v>10.6</v>
      </c>
      <c r="I1700" t="str" cm="1">
        <f t="array" ref="I1700">_xlfn.IFS(G1700&lt;3, "0–2 Years", G1700&lt;6, "3–5 Years", G1700&lt;9, "6–8 Years", G1700&lt;12, "9-11 Years", G1700&gt;=12, "12-14 Years")</f>
        <v>12-14 Years</v>
      </c>
      <c r="J1700" s="7">
        <v>3</v>
      </c>
      <c r="K1700" t="s">
        <v>20</v>
      </c>
      <c r="L1700" s="7">
        <v>101200</v>
      </c>
      <c r="M1700" s="7">
        <v>8600</v>
      </c>
      <c r="N1700" s="7">
        <v>109800</v>
      </c>
      <c r="O1700" t="s">
        <v>57</v>
      </c>
      <c r="P1700" s="3">
        <v>40947</v>
      </c>
      <c r="Q1700" t="s">
        <v>36</v>
      </c>
    </row>
    <row r="1701" spans="1:17" x14ac:dyDescent="0.35">
      <c r="A1701" t="s">
        <v>1753</v>
      </c>
      <c r="B1701" t="s">
        <v>23</v>
      </c>
      <c r="C1701">
        <v>40</v>
      </c>
      <c r="D1701" t="s">
        <v>41</v>
      </c>
      <c r="E1701" t="s">
        <v>67</v>
      </c>
      <c r="F1701" t="s">
        <v>36</v>
      </c>
      <c r="G1701">
        <v>8.3000000000000007</v>
      </c>
      <c r="H1701">
        <v>4.0999999999999996</v>
      </c>
      <c r="I1701" t="str" cm="1">
        <f t="array" ref="I1701">_xlfn.IFS(G1701&lt;3, "0–2 Years", G1701&lt;6, "3–5 Years", G1701&lt;9, "6–8 Years", G1701&lt;12, "9-11 Years", G1701&gt;=12, "12-14 Years")</f>
        <v>6–8 Years</v>
      </c>
      <c r="J1701">
        <v>4</v>
      </c>
      <c r="K1701" t="s">
        <v>20</v>
      </c>
      <c r="L1701">
        <v>75100</v>
      </c>
      <c r="M1701">
        <v>2300</v>
      </c>
      <c r="N1701">
        <v>77400</v>
      </c>
      <c r="O1701" t="s">
        <v>21</v>
      </c>
      <c r="P1701" s="3">
        <v>43001</v>
      </c>
      <c r="Q1701" t="s">
        <v>36</v>
      </c>
    </row>
    <row r="1702" spans="1:17" x14ac:dyDescent="0.35">
      <c r="A1702" t="s">
        <v>1754</v>
      </c>
      <c r="B1702" t="s">
        <v>23</v>
      </c>
      <c r="C1702">
        <v>42</v>
      </c>
      <c r="D1702" t="s">
        <v>41</v>
      </c>
      <c r="E1702" t="s">
        <v>73</v>
      </c>
      <c r="F1702" t="s">
        <v>19</v>
      </c>
      <c r="G1702">
        <v>8.1999999999999993</v>
      </c>
      <c r="H1702">
        <v>7.7</v>
      </c>
      <c r="I1702" t="str" cm="1">
        <f t="array" ref="I1702">_xlfn.IFS(G1702&lt;3, "0–2 Years", G1702&lt;6, "3–5 Years", G1702&lt;9, "6–8 Years", G1702&lt;12, "9-11 Years", G1702&gt;=12, "12-14 Years")</f>
        <v>6–8 Years</v>
      </c>
      <c r="J1702">
        <v>2</v>
      </c>
      <c r="K1702" t="s">
        <v>20</v>
      </c>
      <c r="L1702">
        <v>97700</v>
      </c>
      <c r="M1702">
        <v>4900</v>
      </c>
      <c r="N1702">
        <v>102600</v>
      </c>
      <c r="O1702" t="s">
        <v>30</v>
      </c>
      <c r="P1702" s="3">
        <v>43019</v>
      </c>
      <c r="Q1702" t="s">
        <v>19</v>
      </c>
    </row>
    <row r="1703" spans="1:17" x14ac:dyDescent="0.35">
      <c r="A1703" t="s">
        <v>1755</v>
      </c>
      <c r="B1703" t="s">
        <v>23</v>
      </c>
      <c r="C1703">
        <v>35</v>
      </c>
      <c r="D1703" t="s">
        <v>44</v>
      </c>
      <c r="E1703" t="s">
        <v>76</v>
      </c>
      <c r="F1703" t="s">
        <v>36</v>
      </c>
      <c r="G1703">
        <v>1.1000000000000001</v>
      </c>
      <c r="H1703">
        <v>0</v>
      </c>
      <c r="I1703" t="str" cm="1">
        <f t="array" ref="I1703">_xlfn.IFS(G1703&lt;3, "0–2 Years", G1703&lt;6, "3–5 Years", G1703&lt;9, "6–8 Years", G1703&lt;12, "9-11 Years", G1703&gt;=12, "12-14 Years")</f>
        <v>0–2 Years</v>
      </c>
      <c r="J1703">
        <v>3</v>
      </c>
      <c r="K1703" t="s">
        <v>20</v>
      </c>
      <c r="L1703">
        <v>99900</v>
      </c>
      <c r="M1703">
        <v>11000</v>
      </c>
      <c r="N1703">
        <v>110900</v>
      </c>
      <c r="O1703" t="s">
        <v>30</v>
      </c>
      <c r="P1703" s="3">
        <v>45623</v>
      </c>
      <c r="Q1703" t="s">
        <v>36</v>
      </c>
    </row>
    <row r="1704" spans="1:17" x14ac:dyDescent="0.35">
      <c r="A1704" t="s">
        <v>1756</v>
      </c>
      <c r="B1704" t="s">
        <v>16</v>
      </c>
      <c r="C1704">
        <v>42</v>
      </c>
      <c r="D1704" t="s">
        <v>44</v>
      </c>
      <c r="E1704" t="s">
        <v>76</v>
      </c>
      <c r="F1704" t="s">
        <v>28</v>
      </c>
      <c r="G1704">
        <v>11.7</v>
      </c>
      <c r="H1704">
        <v>8.3000000000000007</v>
      </c>
      <c r="I1704" t="str" cm="1">
        <f t="array" ref="I1704">_xlfn.IFS(G1704&lt;3, "0–2 Years", G1704&lt;6, "3–5 Years", G1704&lt;9, "6–8 Years", G1704&lt;12, "9-11 Years", G1704&gt;=12, "12-14 Years")</f>
        <v>9-11 Years</v>
      </c>
      <c r="J1704">
        <v>1</v>
      </c>
      <c r="K1704" t="s">
        <v>69</v>
      </c>
      <c r="L1704">
        <v>78300</v>
      </c>
      <c r="M1704">
        <v>10300</v>
      </c>
      <c r="N1704">
        <v>88600</v>
      </c>
      <c r="O1704" t="s">
        <v>21</v>
      </c>
      <c r="P1704" s="3">
        <v>41749</v>
      </c>
      <c r="Q1704" t="s">
        <v>28</v>
      </c>
    </row>
    <row r="1705" spans="1:17" x14ac:dyDescent="0.35">
      <c r="A1705" t="s">
        <v>1757</v>
      </c>
      <c r="B1705" t="s">
        <v>16</v>
      </c>
      <c r="C1705" s="7">
        <v>47</v>
      </c>
      <c r="D1705" t="s">
        <v>41</v>
      </c>
      <c r="E1705" t="s">
        <v>67</v>
      </c>
      <c r="F1705" t="s">
        <v>62</v>
      </c>
      <c r="G1705" s="9">
        <v>13.7</v>
      </c>
      <c r="H1705" s="7">
        <v>8.5</v>
      </c>
      <c r="I1705" t="str" cm="1">
        <f t="array" ref="I1705">_xlfn.IFS(G1705&lt;3, "0–2 Years", G1705&lt;6, "3–5 Years", G1705&lt;9, "6–8 Years", G1705&lt;12, "9-11 Years", G1705&gt;=12, "12-14 Years")</f>
        <v>12-14 Years</v>
      </c>
      <c r="J1705" s="7">
        <v>3</v>
      </c>
      <c r="K1705" t="s">
        <v>20</v>
      </c>
      <c r="L1705" s="7">
        <v>88800</v>
      </c>
      <c r="M1705" s="7">
        <v>3700</v>
      </c>
      <c r="N1705" s="7">
        <v>92500</v>
      </c>
      <c r="O1705" t="s">
        <v>30</v>
      </c>
      <c r="P1705" s="3">
        <v>41021</v>
      </c>
      <c r="Q1705" t="s">
        <v>62</v>
      </c>
    </row>
    <row r="1706" spans="1:17" x14ac:dyDescent="0.35">
      <c r="A1706" t="s">
        <v>1758</v>
      </c>
      <c r="B1706" t="s">
        <v>16</v>
      </c>
      <c r="C1706">
        <v>30</v>
      </c>
      <c r="D1706" t="s">
        <v>44</v>
      </c>
      <c r="E1706" t="s">
        <v>81</v>
      </c>
      <c r="F1706" t="s">
        <v>28</v>
      </c>
      <c r="G1706">
        <v>1.4</v>
      </c>
      <c r="H1706">
        <v>0.8</v>
      </c>
      <c r="I1706" t="str" cm="1">
        <f t="array" ref="I1706">_xlfn.IFS(G1706&lt;3, "0–2 Years", G1706&lt;6, "3–5 Years", G1706&lt;9, "6–8 Years", G1706&lt;12, "9-11 Years", G1706&gt;=12, "12-14 Years")</f>
        <v>0–2 Years</v>
      </c>
      <c r="J1706">
        <v>4</v>
      </c>
      <c r="K1706" t="s">
        <v>20</v>
      </c>
      <c r="L1706">
        <v>82600</v>
      </c>
      <c r="M1706">
        <v>4100</v>
      </c>
      <c r="N1706">
        <v>86700</v>
      </c>
      <c r="O1706" t="s">
        <v>30</v>
      </c>
      <c r="P1706" s="3">
        <v>45508</v>
      </c>
      <c r="Q1706" t="s">
        <v>28</v>
      </c>
    </row>
    <row r="1707" spans="1:17" x14ac:dyDescent="0.35">
      <c r="A1707" t="s">
        <v>1759</v>
      </c>
      <c r="B1707" t="s">
        <v>23</v>
      </c>
      <c r="C1707">
        <v>32</v>
      </c>
      <c r="D1707" t="s">
        <v>41</v>
      </c>
      <c r="E1707" t="s">
        <v>73</v>
      </c>
      <c r="F1707" t="s">
        <v>36</v>
      </c>
      <c r="G1707">
        <v>8.8000000000000007</v>
      </c>
      <c r="H1707">
        <v>5.5</v>
      </c>
      <c r="I1707" t="str" cm="1">
        <f t="array" ref="I1707">_xlfn.IFS(G1707&lt;3, "0–2 Years", G1707&lt;6, "3–5 Years", G1707&lt;9, "6–8 Years", G1707&lt;12, "9-11 Years", G1707&gt;=12, "12-14 Years")</f>
        <v>6–8 Years</v>
      </c>
      <c r="J1707">
        <v>3</v>
      </c>
      <c r="K1707" t="s">
        <v>20</v>
      </c>
      <c r="L1707">
        <v>95000</v>
      </c>
      <c r="M1707">
        <v>3600</v>
      </c>
      <c r="N1707">
        <v>98600</v>
      </c>
      <c r="O1707" t="s">
        <v>30</v>
      </c>
      <c r="P1707" s="3">
        <v>42823</v>
      </c>
      <c r="Q1707" t="s">
        <v>36</v>
      </c>
    </row>
    <row r="1708" spans="1:17" x14ac:dyDescent="0.35">
      <c r="A1708" t="s">
        <v>1760</v>
      </c>
      <c r="B1708" t="s">
        <v>23</v>
      </c>
      <c r="C1708">
        <v>27</v>
      </c>
      <c r="D1708" t="s">
        <v>34</v>
      </c>
      <c r="E1708" t="s">
        <v>47</v>
      </c>
      <c r="F1708" t="s">
        <v>28</v>
      </c>
      <c r="G1708">
        <v>2.9</v>
      </c>
      <c r="H1708">
        <v>2.9</v>
      </c>
      <c r="I1708" t="str" cm="1">
        <f t="array" ref="I1708">_xlfn.IFS(G1708&lt;3, "0–2 Years", G1708&lt;6, "3–5 Years", G1708&lt;9, "6–8 Years", G1708&lt;12, "9-11 Years", G1708&gt;=12, "12-14 Years")</f>
        <v>0–2 Years</v>
      </c>
      <c r="J1708">
        <v>4</v>
      </c>
      <c r="K1708" t="s">
        <v>20</v>
      </c>
      <c r="L1708">
        <v>74200</v>
      </c>
      <c r="M1708">
        <v>5600</v>
      </c>
      <c r="N1708">
        <v>79800</v>
      </c>
      <c r="O1708" t="s">
        <v>21</v>
      </c>
      <c r="P1708" s="3">
        <v>44966</v>
      </c>
      <c r="Q1708" t="s">
        <v>28</v>
      </c>
    </row>
    <row r="1709" spans="1:17" x14ac:dyDescent="0.35">
      <c r="A1709" t="s">
        <v>1761</v>
      </c>
      <c r="B1709" t="s">
        <v>23</v>
      </c>
      <c r="C1709" s="7">
        <v>29</v>
      </c>
      <c r="D1709" t="s">
        <v>38</v>
      </c>
      <c r="E1709" t="s">
        <v>39</v>
      </c>
      <c r="F1709" t="s">
        <v>28</v>
      </c>
      <c r="G1709" s="9">
        <v>13.6</v>
      </c>
      <c r="H1709" s="7">
        <v>7.9</v>
      </c>
      <c r="I1709" t="str" cm="1">
        <f t="array" ref="I1709">_xlfn.IFS(G1709&lt;3, "0–2 Years", G1709&lt;6, "3–5 Years", G1709&lt;9, "6–8 Years", G1709&lt;12, "9-11 Years", G1709&gt;=12, "12-14 Years")</f>
        <v>12-14 Years</v>
      </c>
      <c r="J1709" s="7">
        <v>4</v>
      </c>
      <c r="K1709" t="s">
        <v>20</v>
      </c>
      <c r="L1709" s="7">
        <v>82000</v>
      </c>
      <c r="M1709" s="7">
        <v>5800</v>
      </c>
      <c r="N1709" s="7">
        <v>87800</v>
      </c>
      <c r="O1709" t="s">
        <v>30</v>
      </c>
      <c r="P1709" s="3">
        <v>41061</v>
      </c>
      <c r="Q1709" t="s">
        <v>28</v>
      </c>
    </row>
    <row r="1710" spans="1:17" x14ac:dyDescent="0.35">
      <c r="A1710" t="s">
        <v>1762</v>
      </c>
      <c r="B1710" t="s">
        <v>23</v>
      </c>
      <c r="C1710" s="7">
        <v>47</v>
      </c>
      <c r="D1710" t="s">
        <v>41</v>
      </c>
      <c r="E1710" t="s">
        <v>42</v>
      </c>
      <c r="F1710" t="s">
        <v>28</v>
      </c>
      <c r="G1710" s="9">
        <v>12.5</v>
      </c>
      <c r="H1710" s="7">
        <v>7</v>
      </c>
      <c r="I1710" t="str" cm="1">
        <f t="array" ref="I1710">_xlfn.IFS(G1710&lt;3, "0–2 Years", G1710&lt;6, "3–5 Years", G1710&lt;9, "6–8 Years", G1710&lt;12, "9-11 Years", G1710&gt;=12, "12-14 Years")</f>
        <v>12-14 Years</v>
      </c>
      <c r="J1710" s="7">
        <v>4</v>
      </c>
      <c r="K1710" t="s">
        <v>20</v>
      </c>
      <c r="L1710" s="7">
        <v>75300</v>
      </c>
      <c r="M1710" s="7">
        <v>5800</v>
      </c>
      <c r="N1710" s="7">
        <v>81100</v>
      </c>
      <c r="O1710" t="s">
        <v>21</v>
      </c>
      <c r="P1710" s="3">
        <v>41466</v>
      </c>
      <c r="Q1710" t="s">
        <v>28</v>
      </c>
    </row>
    <row r="1711" spans="1:17" x14ac:dyDescent="0.35">
      <c r="A1711" t="s">
        <v>1763</v>
      </c>
      <c r="B1711" t="s">
        <v>23</v>
      </c>
      <c r="C1711">
        <v>29</v>
      </c>
      <c r="D1711" t="s">
        <v>17</v>
      </c>
      <c r="E1711" t="s">
        <v>27</v>
      </c>
      <c r="F1711" t="s">
        <v>19</v>
      </c>
      <c r="G1711">
        <v>10.199999999999999</v>
      </c>
      <c r="H1711">
        <v>9.5</v>
      </c>
      <c r="I1711" t="str" cm="1">
        <f t="array" ref="I1711">_xlfn.IFS(G1711&lt;3, "0–2 Years", G1711&lt;6, "3–5 Years", G1711&lt;9, "6–8 Years", G1711&lt;12, "9-11 Years", G1711&gt;=12, "12-14 Years")</f>
        <v>9-11 Years</v>
      </c>
      <c r="J1711">
        <v>4</v>
      </c>
      <c r="K1711" t="s">
        <v>20</v>
      </c>
      <c r="L1711">
        <v>72600</v>
      </c>
      <c r="M1711">
        <v>3500</v>
      </c>
      <c r="N1711">
        <v>76100</v>
      </c>
      <c r="O1711" t="s">
        <v>21</v>
      </c>
      <c r="P1711" s="3">
        <v>42287</v>
      </c>
      <c r="Q1711" t="s">
        <v>19</v>
      </c>
    </row>
    <row r="1712" spans="1:17" x14ac:dyDescent="0.35">
      <c r="A1712" t="s">
        <v>1764</v>
      </c>
      <c r="B1712" t="s">
        <v>16</v>
      </c>
      <c r="C1712" s="7">
        <v>26</v>
      </c>
      <c r="D1712" t="s">
        <v>38</v>
      </c>
      <c r="E1712" t="s">
        <v>39</v>
      </c>
      <c r="F1712" t="s">
        <v>36</v>
      </c>
      <c r="G1712" s="9">
        <v>13.3</v>
      </c>
      <c r="H1712" s="7">
        <v>10.199999999999999</v>
      </c>
      <c r="I1712" t="str" cm="1">
        <f t="array" ref="I1712">_xlfn.IFS(G1712&lt;3, "0–2 Years", G1712&lt;6, "3–5 Years", G1712&lt;9, "6–8 Years", G1712&lt;12, "9-11 Years", G1712&gt;=12, "12-14 Years")</f>
        <v>12-14 Years</v>
      </c>
      <c r="J1712" s="7">
        <v>4</v>
      </c>
      <c r="K1712" t="s">
        <v>20</v>
      </c>
      <c r="L1712" s="7">
        <v>85300</v>
      </c>
      <c r="M1712" s="7">
        <v>6100</v>
      </c>
      <c r="N1712" s="7">
        <v>91400</v>
      </c>
      <c r="O1712" t="s">
        <v>30</v>
      </c>
      <c r="P1712" s="3">
        <v>41178</v>
      </c>
      <c r="Q1712" t="s">
        <v>36</v>
      </c>
    </row>
    <row r="1713" spans="1:17" x14ac:dyDescent="0.35">
      <c r="A1713" t="s">
        <v>1765</v>
      </c>
      <c r="B1713" t="s">
        <v>23</v>
      </c>
      <c r="C1713">
        <v>36</v>
      </c>
      <c r="D1713" t="s">
        <v>55</v>
      </c>
      <c r="E1713" t="s">
        <v>79</v>
      </c>
      <c r="F1713" t="s">
        <v>28</v>
      </c>
      <c r="G1713">
        <v>6.6</v>
      </c>
      <c r="H1713">
        <v>6.4</v>
      </c>
      <c r="I1713" t="str" cm="1">
        <f t="array" ref="I1713">_xlfn.IFS(G1713&lt;3, "0–2 Years", G1713&lt;6, "3–5 Years", G1713&lt;9, "6–8 Years", G1713&lt;12, "9-11 Years", G1713&gt;=12, "12-14 Years")</f>
        <v>6–8 Years</v>
      </c>
      <c r="J1713">
        <v>5</v>
      </c>
      <c r="K1713" t="s">
        <v>20</v>
      </c>
      <c r="L1713">
        <v>76200</v>
      </c>
      <c r="M1713">
        <v>9700</v>
      </c>
      <c r="N1713">
        <v>85900</v>
      </c>
      <c r="O1713" t="s">
        <v>21</v>
      </c>
      <c r="P1713" s="3">
        <v>43625</v>
      </c>
      <c r="Q1713" t="s">
        <v>28</v>
      </c>
    </row>
    <row r="1714" spans="1:17" x14ac:dyDescent="0.35">
      <c r="A1714" t="s">
        <v>1766</v>
      </c>
      <c r="B1714" t="s">
        <v>16</v>
      </c>
      <c r="C1714" s="7">
        <v>40</v>
      </c>
      <c r="D1714" t="s">
        <v>41</v>
      </c>
      <c r="E1714" t="s">
        <v>73</v>
      </c>
      <c r="F1714" t="s">
        <v>28</v>
      </c>
      <c r="G1714" s="9">
        <v>13.2</v>
      </c>
      <c r="H1714" s="7">
        <v>7.3</v>
      </c>
      <c r="I1714" t="str" cm="1">
        <f t="array" ref="I1714">_xlfn.IFS(G1714&lt;3, "0–2 Years", G1714&lt;6, "3–5 Years", G1714&lt;9, "6–8 Years", G1714&lt;12, "9-11 Years", G1714&gt;=12, "12-14 Years")</f>
        <v>12-14 Years</v>
      </c>
      <c r="J1714" s="7">
        <v>4</v>
      </c>
      <c r="K1714" t="s">
        <v>20</v>
      </c>
      <c r="L1714" s="7">
        <v>107800</v>
      </c>
      <c r="M1714" s="7">
        <v>5700</v>
      </c>
      <c r="N1714" s="7">
        <v>113500</v>
      </c>
      <c r="O1714" t="s">
        <v>57</v>
      </c>
      <c r="P1714" s="3">
        <v>41189</v>
      </c>
      <c r="Q1714" t="s">
        <v>28</v>
      </c>
    </row>
    <row r="1715" spans="1:17" x14ac:dyDescent="0.35">
      <c r="A1715" t="s">
        <v>1767</v>
      </c>
      <c r="B1715" t="s">
        <v>16</v>
      </c>
      <c r="C1715">
        <v>33</v>
      </c>
      <c r="D1715" t="s">
        <v>44</v>
      </c>
      <c r="E1715" t="s">
        <v>81</v>
      </c>
      <c r="F1715" t="s">
        <v>28</v>
      </c>
      <c r="G1715">
        <v>8.5</v>
      </c>
      <c r="H1715">
        <v>6.1</v>
      </c>
      <c r="I1715" t="str" cm="1">
        <f t="array" ref="I1715">_xlfn.IFS(G1715&lt;3, "0–2 Years", G1715&lt;6, "3–5 Years", G1715&lt;9, "6–8 Years", G1715&lt;12, "9-11 Years", G1715&gt;=12, "12-14 Years")</f>
        <v>6–8 Years</v>
      </c>
      <c r="J1715">
        <v>3</v>
      </c>
      <c r="K1715" t="s">
        <v>24</v>
      </c>
      <c r="L1715">
        <v>62200</v>
      </c>
      <c r="M1715">
        <v>3300</v>
      </c>
      <c r="N1715">
        <v>65500</v>
      </c>
      <c r="O1715" t="s">
        <v>25</v>
      </c>
      <c r="P1715" s="3">
        <v>42923</v>
      </c>
      <c r="Q1715" t="s">
        <v>28</v>
      </c>
    </row>
    <row r="1716" spans="1:17" x14ac:dyDescent="0.35">
      <c r="A1716" t="s">
        <v>1768</v>
      </c>
      <c r="B1716" t="s">
        <v>23</v>
      </c>
      <c r="C1716">
        <v>52</v>
      </c>
      <c r="D1716" t="s">
        <v>41</v>
      </c>
      <c r="E1716" t="s">
        <v>67</v>
      </c>
      <c r="F1716" t="s">
        <v>36</v>
      </c>
      <c r="G1716">
        <v>5.9</v>
      </c>
      <c r="H1716">
        <v>2.6</v>
      </c>
      <c r="I1716" t="str" cm="1">
        <f t="array" ref="I1716">_xlfn.IFS(G1716&lt;3, "0–2 Years", G1716&lt;6, "3–5 Years", G1716&lt;9, "6–8 Years", G1716&lt;12, "9-11 Years", G1716&gt;=12, "12-14 Years")</f>
        <v>3–5 Years</v>
      </c>
      <c r="J1716">
        <v>3</v>
      </c>
      <c r="K1716" t="s">
        <v>20</v>
      </c>
      <c r="L1716">
        <v>77000</v>
      </c>
      <c r="M1716">
        <v>4600</v>
      </c>
      <c r="N1716">
        <v>81600</v>
      </c>
      <c r="O1716" t="s">
        <v>21</v>
      </c>
      <c r="P1716" s="3">
        <v>43875</v>
      </c>
      <c r="Q1716" t="s">
        <v>36</v>
      </c>
    </row>
    <row r="1717" spans="1:17" x14ac:dyDescent="0.35">
      <c r="A1717" t="s">
        <v>1769</v>
      </c>
      <c r="B1717" t="s">
        <v>16</v>
      </c>
      <c r="C1717">
        <v>26</v>
      </c>
      <c r="D1717" t="s">
        <v>34</v>
      </c>
      <c r="E1717" t="s">
        <v>47</v>
      </c>
      <c r="F1717" t="s">
        <v>36</v>
      </c>
      <c r="G1717">
        <v>8</v>
      </c>
      <c r="H1717">
        <v>4.0999999999999996</v>
      </c>
      <c r="I1717" t="str" cm="1">
        <f t="array" ref="I1717">_xlfn.IFS(G1717&lt;3, "0–2 Years", G1717&lt;6, "3–5 Years", G1717&lt;9, "6–8 Years", G1717&lt;12, "9-11 Years", G1717&gt;=12, "12-14 Years")</f>
        <v>6–8 Years</v>
      </c>
      <c r="J1717">
        <v>3</v>
      </c>
      <c r="K1717" t="s">
        <v>20</v>
      </c>
      <c r="L1717">
        <v>80600</v>
      </c>
      <c r="M1717">
        <v>3400</v>
      </c>
      <c r="N1717">
        <v>84000</v>
      </c>
      <c r="O1717" t="s">
        <v>30</v>
      </c>
      <c r="P1717" s="3">
        <v>43119</v>
      </c>
      <c r="Q1717" t="s">
        <v>36</v>
      </c>
    </row>
    <row r="1718" spans="1:17" x14ac:dyDescent="0.35">
      <c r="A1718" t="s">
        <v>1770</v>
      </c>
      <c r="B1718" t="s">
        <v>16</v>
      </c>
      <c r="C1718">
        <v>46</v>
      </c>
      <c r="D1718" t="s">
        <v>44</v>
      </c>
      <c r="E1718" t="s">
        <v>76</v>
      </c>
      <c r="F1718" t="s">
        <v>19</v>
      </c>
      <c r="G1718">
        <v>2.2999999999999998</v>
      </c>
      <c r="H1718">
        <v>0.7</v>
      </c>
      <c r="I1718" t="str" cm="1">
        <f t="array" ref="I1718">_xlfn.IFS(G1718&lt;3, "0–2 Years", G1718&lt;6, "3–5 Years", G1718&lt;9, "6–8 Years", G1718&lt;12, "9-11 Years", G1718&gt;=12, "12-14 Years")</f>
        <v>0–2 Years</v>
      </c>
      <c r="J1718">
        <v>3</v>
      </c>
      <c r="K1718" t="s">
        <v>20</v>
      </c>
      <c r="L1718">
        <v>91800</v>
      </c>
      <c r="M1718">
        <v>11600</v>
      </c>
      <c r="N1718">
        <v>103400</v>
      </c>
      <c r="O1718" t="s">
        <v>30</v>
      </c>
      <c r="P1718" s="3">
        <v>45185</v>
      </c>
      <c r="Q1718" t="s">
        <v>19</v>
      </c>
    </row>
    <row r="1719" spans="1:17" x14ac:dyDescent="0.35">
      <c r="A1719" t="s">
        <v>1771</v>
      </c>
      <c r="B1719" t="s">
        <v>23</v>
      </c>
      <c r="C1719">
        <v>54</v>
      </c>
      <c r="D1719" t="s">
        <v>34</v>
      </c>
      <c r="E1719" t="s">
        <v>35</v>
      </c>
      <c r="F1719" t="s">
        <v>36</v>
      </c>
      <c r="G1719">
        <v>1.5</v>
      </c>
      <c r="H1719">
        <v>1</v>
      </c>
      <c r="I1719" t="str" cm="1">
        <f t="array" ref="I1719">_xlfn.IFS(G1719&lt;3, "0–2 Years", G1719&lt;6, "3–5 Years", G1719&lt;9, "6–8 Years", G1719&lt;12, "9-11 Years", G1719&gt;=12, "12-14 Years")</f>
        <v>0–2 Years</v>
      </c>
      <c r="J1719">
        <v>5</v>
      </c>
      <c r="K1719" t="s">
        <v>69</v>
      </c>
      <c r="L1719">
        <v>65100</v>
      </c>
      <c r="M1719">
        <v>4700</v>
      </c>
      <c r="N1719">
        <v>69800</v>
      </c>
      <c r="O1719" t="s">
        <v>21</v>
      </c>
      <c r="P1719" s="3">
        <v>45477</v>
      </c>
      <c r="Q1719" t="s">
        <v>36</v>
      </c>
    </row>
    <row r="1720" spans="1:17" x14ac:dyDescent="0.35">
      <c r="A1720" t="s">
        <v>1772</v>
      </c>
      <c r="B1720" t="s">
        <v>16</v>
      </c>
      <c r="C1720">
        <v>36</v>
      </c>
      <c r="D1720" t="s">
        <v>34</v>
      </c>
      <c r="E1720" t="s">
        <v>59</v>
      </c>
      <c r="F1720" t="s">
        <v>28</v>
      </c>
      <c r="G1720">
        <v>3.7</v>
      </c>
      <c r="H1720">
        <v>2.2999999999999998</v>
      </c>
      <c r="I1720" t="str" cm="1">
        <f t="array" ref="I1720">_xlfn.IFS(G1720&lt;3, "0–2 Years", G1720&lt;6, "3–5 Years", G1720&lt;9, "6–8 Years", G1720&lt;12, "9-11 Years", G1720&gt;=12, "12-14 Years")</f>
        <v>3–5 Years</v>
      </c>
      <c r="J1720">
        <v>3</v>
      </c>
      <c r="K1720" t="s">
        <v>20</v>
      </c>
      <c r="L1720">
        <v>103000</v>
      </c>
      <c r="M1720">
        <v>11400</v>
      </c>
      <c r="N1720">
        <v>114400</v>
      </c>
      <c r="O1720" t="s">
        <v>57</v>
      </c>
      <c r="P1720" s="3">
        <v>44658</v>
      </c>
      <c r="Q1720" t="s">
        <v>28</v>
      </c>
    </row>
    <row r="1721" spans="1:17" x14ac:dyDescent="0.35">
      <c r="A1721" t="s">
        <v>1773</v>
      </c>
      <c r="B1721" t="s">
        <v>23</v>
      </c>
      <c r="C1721">
        <v>37</v>
      </c>
      <c r="D1721" t="s">
        <v>34</v>
      </c>
      <c r="E1721" t="s">
        <v>59</v>
      </c>
      <c r="G1721">
        <v>6.8</v>
      </c>
      <c r="H1721">
        <v>4.2</v>
      </c>
      <c r="I1721" t="str" cm="1">
        <f t="array" ref="I1721">_xlfn.IFS(G1721&lt;3, "0–2 Years", G1721&lt;6, "3–5 Years", G1721&lt;9, "6–8 Years", G1721&lt;12, "9-11 Years", G1721&gt;=12, "12-14 Years")</f>
        <v>6–8 Years</v>
      </c>
      <c r="J1721">
        <v>3</v>
      </c>
      <c r="K1721" t="s">
        <v>20</v>
      </c>
      <c r="L1721">
        <v>91600</v>
      </c>
      <c r="M1721">
        <v>8200</v>
      </c>
      <c r="N1721">
        <v>99800</v>
      </c>
      <c r="O1721" t="s">
        <v>30</v>
      </c>
      <c r="P1721" s="3">
        <v>43553</v>
      </c>
      <c r="Q1721" t="s">
        <v>5104</v>
      </c>
    </row>
    <row r="1722" spans="1:17" x14ac:dyDescent="0.35">
      <c r="A1722" t="s">
        <v>1774</v>
      </c>
      <c r="B1722" t="s">
        <v>16</v>
      </c>
      <c r="C1722" s="7">
        <v>38</v>
      </c>
      <c r="D1722" t="s">
        <v>17</v>
      </c>
      <c r="E1722" t="s">
        <v>32</v>
      </c>
      <c r="F1722" t="s">
        <v>36</v>
      </c>
      <c r="G1722" s="9">
        <v>13.9</v>
      </c>
      <c r="H1722" s="7">
        <v>7.9</v>
      </c>
      <c r="I1722" t="str" cm="1">
        <f t="array" ref="I1722">_xlfn.IFS(G1722&lt;3, "0–2 Years", G1722&lt;6, "3–5 Years", G1722&lt;9, "6–8 Years", G1722&lt;12, "9-11 Years", G1722&gt;=12, "12-14 Years")</f>
        <v>12-14 Years</v>
      </c>
      <c r="J1722" s="7">
        <v>3</v>
      </c>
      <c r="K1722" t="s">
        <v>20</v>
      </c>
      <c r="L1722" s="7">
        <v>82500</v>
      </c>
      <c r="M1722" s="7">
        <v>8400</v>
      </c>
      <c r="N1722" s="7">
        <v>90900</v>
      </c>
      <c r="O1722" t="s">
        <v>30</v>
      </c>
      <c r="P1722" s="3">
        <v>40951</v>
      </c>
      <c r="Q1722" t="s">
        <v>36</v>
      </c>
    </row>
    <row r="1723" spans="1:17" x14ac:dyDescent="0.35">
      <c r="A1723" t="s">
        <v>1775</v>
      </c>
      <c r="B1723" t="s">
        <v>16</v>
      </c>
      <c r="C1723">
        <v>37</v>
      </c>
      <c r="D1723" t="s">
        <v>38</v>
      </c>
      <c r="E1723" t="s">
        <v>39</v>
      </c>
      <c r="F1723" t="s">
        <v>28</v>
      </c>
      <c r="G1723">
        <v>5.9</v>
      </c>
      <c r="H1723">
        <v>3.9</v>
      </c>
      <c r="I1723" t="str" cm="1">
        <f t="array" ref="I1723">_xlfn.IFS(G1723&lt;3, "0–2 Years", G1723&lt;6, "3–5 Years", G1723&lt;9, "6–8 Years", G1723&lt;12, "9-11 Years", G1723&gt;=12, "12-14 Years")</f>
        <v>3–5 Years</v>
      </c>
      <c r="J1723">
        <v>3</v>
      </c>
      <c r="K1723" t="s">
        <v>20</v>
      </c>
      <c r="L1723">
        <v>72700</v>
      </c>
      <c r="M1723">
        <v>6500</v>
      </c>
      <c r="N1723">
        <v>79200</v>
      </c>
      <c r="O1723" t="s">
        <v>21</v>
      </c>
      <c r="P1723" s="3">
        <v>43877</v>
      </c>
      <c r="Q1723" t="s">
        <v>28</v>
      </c>
    </row>
    <row r="1724" spans="1:17" x14ac:dyDescent="0.35">
      <c r="A1724" t="s">
        <v>1776</v>
      </c>
      <c r="B1724" t="s">
        <v>23</v>
      </c>
      <c r="C1724">
        <v>24</v>
      </c>
      <c r="D1724" t="s">
        <v>38</v>
      </c>
      <c r="E1724" t="s">
        <v>61</v>
      </c>
      <c r="F1724" t="s">
        <v>28</v>
      </c>
      <c r="G1724">
        <v>7.9</v>
      </c>
      <c r="H1724">
        <v>4.0999999999999996</v>
      </c>
      <c r="I1724" t="str" cm="1">
        <f t="array" ref="I1724">_xlfn.IFS(G1724&lt;3, "0–2 Years", G1724&lt;6, "3–5 Years", G1724&lt;9, "6–8 Years", G1724&lt;12, "9-11 Years", G1724&gt;=12, "12-14 Years")</f>
        <v>6–8 Years</v>
      </c>
      <c r="J1724">
        <v>5</v>
      </c>
      <c r="K1724" t="s">
        <v>20</v>
      </c>
      <c r="L1724">
        <v>100200</v>
      </c>
      <c r="M1724">
        <v>6000</v>
      </c>
      <c r="N1724">
        <v>106200</v>
      </c>
      <c r="O1724" t="s">
        <v>57</v>
      </c>
      <c r="P1724" s="3">
        <v>43147</v>
      </c>
      <c r="Q1724" t="s">
        <v>28</v>
      </c>
    </row>
    <row r="1725" spans="1:17" x14ac:dyDescent="0.35">
      <c r="A1725" t="s">
        <v>1777</v>
      </c>
      <c r="B1725" t="s">
        <v>23</v>
      </c>
      <c r="C1725">
        <v>22</v>
      </c>
      <c r="D1725" t="s">
        <v>34</v>
      </c>
      <c r="E1725" t="s">
        <v>35</v>
      </c>
      <c r="F1725" t="s">
        <v>28</v>
      </c>
      <c r="G1725">
        <v>4.0999999999999996</v>
      </c>
      <c r="H1725">
        <v>2.7</v>
      </c>
      <c r="I1725" t="str" cm="1">
        <f t="array" ref="I1725">_xlfn.IFS(G1725&lt;3, "0–2 Years", G1725&lt;6, "3–5 Years", G1725&lt;9, "6–8 Years", G1725&lt;12, "9-11 Years", G1725&gt;=12, "12-14 Years")</f>
        <v>3–5 Years</v>
      </c>
      <c r="J1725">
        <v>3</v>
      </c>
      <c r="K1725" t="s">
        <v>20</v>
      </c>
      <c r="L1725">
        <v>81900</v>
      </c>
      <c r="M1725">
        <v>6700</v>
      </c>
      <c r="N1725">
        <v>88600</v>
      </c>
      <c r="O1725" t="s">
        <v>30</v>
      </c>
      <c r="P1725" s="3">
        <v>44543</v>
      </c>
      <c r="Q1725" t="s">
        <v>28</v>
      </c>
    </row>
    <row r="1726" spans="1:17" x14ac:dyDescent="0.35">
      <c r="A1726" t="s">
        <v>1778</v>
      </c>
      <c r="B1726" t="s">
        <v>16</v>
      </c>
      <c r="C1726">
        <v>39</v>
      </c>
      <c r="D1726" t="s">
        <v>41</v>
      </c>
      <c r="E1726" t="s">
        <v>73</v>
      </c>
      <c r="F1726" t="s">
        <v>28</v>
      </c>
      <c r="G1726">
        <v>6.3</v>
      </c>
      <c r="H1726">
        <v>4.7</v>
      </c>
      <c r="I1726" t="str" cm="1">
        <f t="array" ref="I1726">_xlfn.IFS(G1726&lt;3, "0–2 Years", G1726&lt;6, "3–5 Years", G1726&lt;9, "6–8 Years", G1726&lt;12, "9-11 Years", G1726&gt;=12, "12-14 Years")</f>
        <v>6–8 Years</v>
      </c>
      <c r="J1726">
        <v>2</v>
      </c>
      <c r="K1726" t="s">
        <v>20</v>
      </c>
      <c r="L1726">
        <v>89800</v>
      </c>
      <c r="M1726">
        <v>5500</v>
      </c>
      <c r="N1726">
        <v>95300</v>
      </c>
      <c r="O1726" t="s">
        <v>30</v>
      </c>
      <c r="P1726" s="3">
        <v>43705</v>
      </c>
      <c r="Q1726" t="s">
        <v>28</v>
      </c>
    </row>
    <row r="1727" spans="1:17" x14ac:dyDescent="0.35">
      <c r="A1727" t="s">
        <v>1779</v>
      </c>
      <c r="B1727" t="s">
        <v>23</v>
      </c>
      <c r="C1727">
        <v>48</v>
      </c>
      <c r="D1727" t="s">
        <v>55</v>
      </c>
      <c r="E1727" t="s">
        <v>79</v>
      </c>
      <c r="F1727" t="s">
        <v>19</v>
      </c>
      <c r="G1727">
        <v>2.4</v>
      </c>
      <c r="H1727">
        <v>1.7</v>
      </c>
      <c r="I1727" t="str" cm="1">
        <f t="array" ref="I1727">_xlfn.IFS(G1727&lt;3, "0–2 Years", G1727&lt;6, "3–5 Years", G1727&lt;9, "6–8 Years", G1727&lt;12, "9-11 Years", G1727&gt;=12, "12-14 Years")</f>
        <v>0–2 Years</v>
      </c>
      <c r="J1727">
        <v>5</v>
      </c>
      <c r="K1727" t="s">
        <v>24</v>
      </c>
      <c r="L1727">
        <v>31500</v>
      </c>
      <c r="M1727">
        <v>3800</v>
      </c>
      <c r="N1727">
        <v>35300</v>
      </c>
      <c r="O1727" t="s">
        <v>65</v>
      </c>
      <c r="P1727" s="3">
        <v>45134</v>
      </c>
      <c r="Q1727" t="s">
        <v>19</v>
      </c>
    </row>
    <row r="1728" spans="1:17" x14ac:dyDescent="0.35">
      <c r="A1728" t="s">
        <v>1780</v>
      </c>
      <c r="B1728" t="s">
        <v>23</v>
      </c>
      <c r="C1728">
        <v>39</v>
      </c>
      <c r="D1728" t="s">
        <v>38</v>
      </c>
      <c r="E1728" t="s">
        <v>61</v>
      </c>
      <c r="F1728" t="s">
        <v>36</v>
      </c>
      <c r="G1728">
        <v>11.9</v>
      </c>
      <c r="H1728">
        <v>7.6</v>
      </c>
      <c r="I1728" t="str" cm="1">
        <f t="array" ref="I1728">_xlfn.IFS(G1728&lt;3, "0–2 Years", G1728&lt;6, "3–5 Years", G1728&lt;9, "6–8 Years", G1728&lt;12, "9-11 Years", G1728&gt;=12, "12-14 Years")</f>
        <v>9-11 Years</v>
      </c>
      <c r="J1728">
        <v>4</v>
      </c>
      <c r="K1728" t="s">
        <v>20</v>
      </c>
      <c r="L1728">
        <v>117100</v>
      </c>
      <c r="M1728">
        <v>7900</v>
      </c>
      <c r="N1728">
        <v>125000</v>
      </c>
      <c r="O1728" t="s">
        <v>57</v>
      </c>
      <c r="P1728" s="3">
        <v>41659</v>
      </c>
      <c r="Q1728" t="s">
        <v>36</v>
      </c>
    </row>
    <row r="1729" spans="1:17" x14ac:dyDescent="0.35">
      <c r="A1729" t="s">
        <v>1781</v>
      </c>
      <c r="B1729" t="s">
        <v>23</v>
      </c>
      <c r="C1729">
        <v>30</v>
      </c>
      <c r="D1729" t="s">
        <v>34</v>
      </c>
      <c r="E1729" t="s">
        <v>35</v>
      </c>
      <c r="F1729" t="s">
        <v>28</v>
      </c>
      <c r="G1729">
        <v>4.0999999999999996</v>
      </c>
      <c r="H1729">
        <v>2.7</v>
      </c>
      <c r="I1729" t="str" cm="1">
        <f t="array" ref="I1729">_xlfn.IFS(G1729&lt;3, "0–2 Years", G1729&lt;6, "3–5 Years", G1729&lt;9, "6–8 Years", G1729&lt;12, "9-11 Years", G1729&gt;=12, "12-14 Years")</f>
        <v>3–5 Years</v>
      </c>
      <c r="J1729">
        <v>1</v>
      </c>
      <c r="K1729" t="s">
        <v>69</v>
      </c>
      <c r="L1729">
        <v>56500</v>
      </c>
      <c r="M1729">
        <v>6000</v>
      </c>
      <c r="N1729">
        <v>62500</v>
      </c>
      <c r="O1729" t="s">
        <v>25</v>
      </c>
      <c r="P1729" s="3">
        <v>44530</v>
      </c>
      <c r="Q1729" t="s">
        <v>28</v>
      </c>
    </row>
    <row r="1730" spans="1:17" x14ac:dyDescent="0.35">
      <c r="A1730" t="s">
        <v>1782</v>
      </c>
      <c r="B1730" t="s">
        <v>16</v>
      </c>
      <c r="C1730">
        <v>32</v>
      </c>
      <c r="D1730" t="s">
        <v>34</v>
      </c>
      <c r="E1730" t="s">
        <v>59</v>
      </c>
      <c r="F1730" t="s">
        <v>36</v>
      </c>
      <c r="G1730">
        <v>3.5</v>
      </c>
      <c r="H1730">
        <v>2.1</v>
      </c>
      <c r="I1730" t="str" cm="1">
        <f t="array" ref="I1730">_xlfn.IFS(G1730&lt;3, "0–2 Years", G1730&lt;6, "3–5 Years", G1730&lt;9, "6–8 Years", G1730&lt;12, "9-11 Years", G1730&gt;=12, "12-14 Years")</f>
        <v>3–5 Years</v>
      </c>
      <c r="J1730">
        <v>3</v>
      </c>
      <c r="K1730" t="s">
        <v>20</v>
      </c>
      <c r="L1730">
        <v>105700</v>
      </c>
      <c r="M1730">
        <v>5900</v>
      </c>
      <c r="N1730">
        <v>111600</v>
      </c>
      <c r="O1730" t="s">
        <v>57</v>
      </c>
      <c r="P1730" s="3">
        <v>44732</v>
      </c>
      <c r="Q1730" t="s">
        <v>36</v>
      </c>
    </row>
    <row r="1731" spans="1:17" x14ac:dyDescent="0.35">
      <c r="A1731" t="s">
        <v>1783</v>
      </c>
      <c r="B1731" t="s">
        <v>16</v>
      </c>
      <c r="C1731" s="7">
        <v>52</v>
      </c>
      <c r="D1731" t="s">
        <v>38</v>
      </c>
      <c r="E1731" t="s">
        <v>39</v>
      </c>
      <c r="F1731" t="s">
        <v>36</v>
      </c>
      <c r="G1731" s="9">
        <v>12</v>
      </c>
      <c r="H1731" s="7">
        <v>8.8000000000000007</v>
      </c>
      <c r="I1731" t="str" cm="1">
        <f t="array" ref="I1731">_xlfn.IFS(G1731&lt;3, "0–2 Years", G1731&lt;6, "3–5 Years", G1731&lt;9, "6–8 Years", G1731&lt;12, "9-11 Years", G1731&gt;=12, "12-14 Years")</f>
        <v>12-14 Years</v>
      </c>
      <c r="J1731" s="7">
        <v>2</v>
      </c>
      <c r="K1731" t="s">
        <v>24</v>
      </c>
      <c r="L1731" s="7">
        <v>53100</v>
      </c>
      <c r="M1731" s="7">
        <v>5300</v>
      </c>
      <c r="N1731" s="7">
        <v>58400</v>
      </c>
      <c r="O1731" t="s">
        <v>25</v>
      </c>
      <c r="P1731" s="3">
        <v>41637</v>
      </c>
      <c r="Q1731" t="s">
        <v>36</v>
      </c>
    </row>
    <row r="1732" spans="1:17" x14ac:dyDescent="0.35">
      <c r="A1732" t="s">
        <v>1784</v>
      </c>
      <c r="B1732" t="s">
        <v>16</v>
      </c>
      <c r="C1732">
        <v>45</v>
      </c>
      <c r="D1732" t="s">
        <v>38</v>
      </c>
      <c r="E1732" t="s">
        <v>112</v>
      </c>
      <c r="F1732" t="s">
        <v>19</v>
      </c>
      <c r="G1732">
        <v>8.1</v>
      </c>
      <c r="H1732">
        <v>4</v>
      </c>
      <c r="I1732" t="str" cm="1">
        <f t="array" ref="I1732">_xlfn.IFS(G1732&lt;3, "0–2 Years", G1732&lt;6, "3–5 Years", G1732&lt;9, "6–8 Years", G1732&lt;12, "9-11 Years", G1732&gt;=12, "12-14 Years")</f>
        <v>6–8 Years</v>
      </c>
      <c r="J1732">
        <v>3</v>
      </c>
      <c r="K1732" t="s">
        <v>20</v>
      </c>
      <c r="L1732">
        <v>58600</v>
      </c>
      <c r="M1732">
        <v>5900</v>
      </c>
      <c r="N1732">
        <v>64500</v>
      </c>
      <c r="O1732" t="s">
        <v>25</v>
      </c>
      <c r="P1732" s="3">
        <v>43067</v>
      </c>
      <c r="Q1732" t="s">
        <v>19</v>
      </c>
    </row>
    <row r="1733" spans="1:17" x14ac:dyDescent="0.35">
      <c r="A1733" t="s">
        <v>1785</v>
      </c>
      <c r="B1733" t="s">
        <v>23</v>
      </c>
      <c r="C1733">
        <v>45</v>
      </c>
      <c r="D1733" t="s">
        <v>34</v>
      </c>
      <c r="E1733" t="s">
        <v>59</v>
      </c>
      <c r="F1733" t="s">
        <v>36</v>
      </c>
      <c r="G1733">
        <v>6.7</v>
      </c>
      <c r="H1733">
        <v>5.6</v>
      </c>
      <c r="I1733" t="str" cm="1">
        <f t="array" ref="I1733">_xlfn.IFS(G1733&lt;3, "0–2 Years", G1733&lt;6, "3–5 Years", G1733&lt;9, "6–8 Years", G1733&lt;12, "9-11 Years", G1733&gt;=12, "12-14 Years")</f>
        <v>6–8 Years</v>
      </c>
      <c r="J1733">
        <v>4</v>
      </c>
      <c r="K1733" t="s">
        <v>24</v>
      </c>
      <c r="L1733">
        <v>67200</v>
      </c>
      <c r="M1733">
        <v>3400</v>
      </c>
      <c r="N1733">
        <v>70600</v>
      </c>
      <c r="O1733" t="s">
        <v>21</v>
      </c>
      <c r="P1733" s="3">
        <v>43578</v>
      </c>
      <c r="Q1733" t="s">
        <v>36</v>
      </c>
    </row>
    <row r="1734" spans="1:17" x14ac:dyDescent="0.35">
      <c r="A1734" t="s">
        <v>1786</v>
      </c>
      <c r="B1734" t="s">
        <v>16</v>
      </c>
      <c r="C1734">
        <v>25</v>
      </c>
      <c r="D1734" t="s">
        <v>34</v>
      </c>
      <c r="E1734" t="s">
        <v>35</v>
      </c>
      <c r="F1734" t="s">
        <v>28</v>
      </c>
      <c r="G1734">
        <v>6.6</v>
      </c>
      <c r="H1734">
        <v>2.4</v>
      </c>
      <c r="I1734" t="str" cm="1">
        <f t="array" ref="I1734">_xlfn.IFS(G1734&lt;3, "0–2 Years", G1734&lt;6, "3–5 Years", G1734&lt;9, "6–8 Years", G1734&lt;12, "9-11 Years", G1734&gt;=12, "12-14 Years")</f>
        <v>6–8 Years</v>
      </c>
      <c r="J1734">
        <v>4</v>
      </c>
      <c r="K1734" t="s">
        <v>20</v>
      </c>
      <c r="L1734">
        <v>86600</v>
      </c>
      <c r="M1734">
        <v>5800</v>
      </c>
      <c r="N1734">
        <v>92400</v>
      </c>
      <c r="O1734" t="s">
        <v>30</v>
      </c>
      <c r="P1734" s="3">
        <v>43622</v>
      </c>
      <c r="Q1734" t="s">
        <v>28</v>
      </c>
    </row>
    <row r="1735" spans="1:17" x14ac:dyDescent="0.35">
      <c r="A1735" t="s">
        <v>1787</v>
      </c>
      <c r="B1735" t="s">
        <v>23</v>
      </c>
      <c r="C1735">
        <v>42</v>
      </c>
      <c r="D1735" t="s">
        <v>34</v>
      </c>
      <c r="E1735" t="s">
        <v>47</v>
      </c>
      <c r="F1735" t="s">
        <v>36</v>
      </c>
      <c r="G1735">
        <v>11.4</v>
      </c>
      <c r="H1735">
        <v>4.2</v>
      </c>
      <c r="I1735" t="str" cm="1">
        <f t="array" ref="I1735">_xlfn.IFS(G1735&lt;3, "0–2 Years", G1735&lt;6, "3–5 Years", G1735&lt;9, "6–8 Years", G1735&lt;12, "9-11 Years", G1735&gt;=12, "12-14 Years")</f>
        <v>9-11 Years</v>
      </c>
      <c r="J1735">
        <v>3</v>
      </c>
      <c r="K1735" t="s">
        <v>20</v>
      </c>
      <c r="L1735">
        <v>96300</v>
      </c>
      <c r="M1735">
        <v>10500</v>
      </c>
      <c r="N1735">
        <v>106800</v>
      </c>
      <c r="O1735" t="s">
        <v>30</v>
      </c>
      <c r="P1735" s="3">
        <v>41855</v>
      </c>
      <c r="Q1735" t="s">
        <v>36</v>
      </c>
    </row>
    <row r="1736" spans="1:17" x14ac:dyDescent="0.35">
      <c r="A1736" t="s">
        <v>1788</v>
      </c>
      <c r="B1736" t="s">
        <v>16</v>
      </c>
      <c r="C1736">
        <v>28</v>
      </c>
      <c r="D1736" t="s">
        <v>44</v>
      </c>
      <c r="E1736" t="s">
        <v>81</v>
      </c>
      <c r="F1736" t="s">
        <v>36</v>
      </c>
      <c r="G1736">
        <v>2</v>
      </c>
      <c r="H1736">
        <v>1.8</v>
      </c>
      <c r="I1736" t="str" cm="1">
        <f t="array" ref="I1736">_xlfn.IFS(G1736&lt;3, "0–2 Years", G1736&lt;6, "3–5 Years", G1736&lt;9, "6–8 Years", G1736&lt;12, "9-11 Years", G1736&gt;=12, "12-14 Years")</f>
        <v>0–2 Years</v>
      </c>
      <c r="J1736">
        <v>4</v>
      </c>
      <c r="K1736" t="s">
        <v>20</v>
      </c>
      <c r="L1736">
        <v>92200</v>
      </c>
      <c r="M1736">
        <v>6200</v>
      </c>
      <c r="N1736">
        <v>98400</v>
      </c>
      <c r="O1736" t="s">
        <v>30</v>
      </c>
      <c r="P1736" s="3">
        <v>45309</v>
      </c>
      <c r="Q1736" t="s">
        <v>36</v>
      </c>
    </row>
    <row r="1737" spans="1:17" x14ac:dyDescent="0.35">
      <c r="A1737" t="s">
        <v>1789</v>
      </c>
      <c r="B1737" t="s">
        <v>23</v>
      </c>
      <c r="C1737">
        <v>39</v>
      </c>
      <c r="D1737" t="s">
        <v>17</v>
      </c>
      <c r="E1737" t="s">
        <v>32</v>
      </c>
      <c r="F1737" t="s">
        <v>36</v>
      </c>
      <c r="G1737">
        <v>3.7</v>
      </c>
      <c r="H1737">
        <v>2</v>
      </c>
      <c r="I1737" t="str" cm="1">
        <f t="array" ref="I1737">_xlfn.IFS(G1737&lt;3, "0–2 Years", G1737&lt;6, "3–5 Years", G1737&lt;9, "6–8 Years", G1737&lt;12, "9-11 Years", G1737&gt;=12, "12-14 Years")</f>
        <v>3–5 Years</v>
      </c>
      <c r="J1737">
        <v>4</v>
      </c>
      <c r="K1737" t="s">
        <v>69</v>
      </c>
      <c r="L1737">
        <v>63200</v>
      </c>
      <c r="M1737">
        <v>7000</v>
      </c>
      <c r="N1737">
        <v>70200</v>
      </c>
      <c r="O1737" t="s">
        <v>25</v>
      </c>
      <c r="P1737" s="3">
        <v>44656</v>
      </c>
      <c r="Q1737" t="s">
        <v>36</v>
      </c>
    </row>
    <row r="1738" spans="1:17" x14ac:dyDescent="0.35">
      <c r="A1738" t="s">
        <v>1790</v>
      </c>
      <c r="B1738" t="s">
        <v>23</v>
      </c>
      <c r="C1738" s="7">
        <v>34</v>
      </c>
      <c r="D1738" t="s">
        <v>17</v>
      </c>
      <c r="E1738" t="s">
        <v>27</v>
      </c>
      <c r="F1738" t="s">
        <v>19</v>
      </c>
      <c r="G1738" s="9">
        <v>12.9</v>
      </c>
      <c r="H1738" s="7">
        <v>10</v>
      </c>
      <c r="I1738" t="str" cm="1">
        <f t="array" ref="I1738">_xlfn.IFS(G1738&lt;3, "0–2 Years", G1738&lt;6, "3–5 Years", G1738&lt;9, "6–8 Years", G1738&lt;12, "9-11 Years", G1738&gt;=12, "12-14 Years")</f>
        <v>12-14 Years</v>
      </c>
      <c r="J1738" s="7">
        <v>4</v>
      </c>
      <c r="K1738" t="s">
        <v>20</v>
      </c>
      <c r="L1738" s="7">
        <v>89400</v>
      </c>
      <c r="M1738" s="7">
        <v>6700</v>
      </c>
      <c r="N1738" s="7">
        <v>96100</v>
      </c>
      <c r="O1738" t="s">
        <v>30</v>
      </c>
      <c r="P1738" s="3">
        <v>41311</v>
      </c>
      <c r="Q1738" t="s">
        <v>19</v>
      </c>
    </row>
    <row r="1739" spans="1:17" x14ac:dyDescent="0.35">
      <c r="A1739" t="s">
        <v>1791</v>
      </c>
      <c r="B1739" t="s">
        <v>16</v>
      </c>
      <c r="C1739">
        <v>37</v>
      </c>
      <c r="D1739" t="s">
        <v>41</v>
      </c>
      <c r="E1739" t="s">
        <v>73</v>
      </c>
      <c r="F1739" t="s">
        <v>28</v>
      </c>
      <c r="G1739">
        <v>5.0999999999999996</v>
      </c>
      <c r="H1739">
        <v>2.5</v>
      </c>
      <c r="I1739" t="str" cm="1">
        <f t="array" ref="I1739">_xlfn.IFS(G1739&lt;3, "0–2 Years", G1739&lt;6, "3–5 Years", G1739&lt;9, "6–8 Years", G1739&lt;12, "9-11 Years", G1739&gt;=12, "12-14 Years")</f>
        <v>3–5 Years</v>
      </c>
      <c r="J1739">
        <v>3</v>
      </c>
      <c r="K1739" t="s">
        <v>20</v>
      </c>
      <c r="L1739">
        <v>97300</v>
      </c>
      <c r="M1739">
        <v>7700</v>
      </c>
      <c r="N1739">
        <v>105000</v>
      </c>
      <c r="O1739" t="s">
        <v>30</v>
      </c>
      <c r="P1739" s="3">
        <v>44161</v>
      </c>
      <c r="Q1739" t="s">
        <v>28</v>
      </c>
    </row>
    <row r="1740" spans="1:17" x14ac:dyDescent="0.35">
      <c r="A1740" t="s">
        <v>1792</v>
      </c>
      <c r="B1740" t="s">
        <v>16</v>
      </c>
      <c r="C1740">
        <v>48</v>
      </c>
      <c r="D1740" t="s">
        <v>17</v>
      </c>
      <c r="E1740" t="s">
        <v>27</v>
      </c>
      <c r="F1740" t="s">
        <v>36</v>
      </c>
      <c r="G1740">
        <v>7.7</v>
      </c>
      <c r="H1740">
        <v>4.2</v>
      </c>
      <c r="I1740" t="str" cm="1">
        <f t="array" ref="I1740">_xlfn.IFS(G1740&lt;3, "0–2 Years", G1740&lt;6, "3–5 Years", G1740&lt;9, "6–8 Years", G1740&lt;12, "9-11 Years", G1740&gt;=12, "12-14 Years")</f>
        <v>6–8 Years</v>
      </c>
      <c r="J1740">
        <v>3</v>
      </c>
      <c r="K1740" t="s">
        <v>20</v>
      </c>
      <c r="L1740">
        <v>75500</v>
      </c>
      <c r="M1740">
        <v>6900</v>
      </c>
      <c r="N1740">
        <v>82400</v>
      </c>
      <c r="O1740" t="s">
        <v>21</v>
      </c>
      <c r="P1740" s="3">
        <v>43207</v>
      </c>
      <c r="Q1740" t="s">
        <v>36</v>
      </c>
    </row>
    <row r="1741" spans="1:17" x14ac:dyDescent="0.35">
      <c r="A1741" t="s">
        <v>1793</v>
      </c>
      <c r="B1741" t="s">
        <v>23</v>
      </c>
      <c r="C1741">
        <v>24</v>
      </c>
      <c r="D1741" t="s">
        <v>41</v>
      </c>
      <c r="E1741" t="s">
        <v>42</v>
      </c>
      <c r="F1741" t="s">
        <v>19</v>
      </c>
      <c r="G1741">
        <v>9</v>
      </c>
      <c r="H1741">
        <v>7.1</v>
      </c>
      <c r="I1741" t="str" cm="1">
        <f t="array" ref="I1741">_xlfn.IFS(G1741&lt;3, "0–2 Years", G1741&lt;6, "3–5 Years", G1741&lt;9, "6–8 Years", G1741&lt;12, "9-11 Years", G1741&gt;=12, "12-14 Years")</f>
        <v>9-11 Years</v>
      </c>
      <c r="J1741">
        <v>4</v>
      </c>
      <c r="K1741" t="s">
        <v>20</v>
      </c>
      <c r="L1741">
        <v>75300</v>
      </c>
      <c r="M1741">
        <v>6200</v>
      </c>
      <c r="N1741">
        <v>81500</v>
      </c>
      <c r="O1741" t="s">
        <v>21</v>
      </c>
      <c r="P1741" s="3">
        <v>42733</v>
      </c>
      <c r="Q1741" t="s">
        <v>19</v>
      </c>
    </row>
    <row r="1742" spans="1:17" x14ac:dyDescent="0.35">
      <c r="A1742" t="s">
        <v>1794</v>
      </c>
      <c r="B1742" t="s">
        <v>16</v>
      </c>
      <c r="C1742">
        <v>44</v>
      </c>
      <c r="D1742" t="s">
        <v>38</v>
      </c>
      <c r="E1742" t="s">
        <v>61</v>
      </c>
      <c r="F1742" t="s">
        <v>28</v>
      </c>
      <c r="G1742">
        <v>1.4</v>
      </c>
      <c r="H1742">
        <v>0</v>
      </c>
      <c r="I1742" t="str" cm="1">
        <f t="array" ref="I1742">_xlfn.IFS(G1742&lt;3, "0–2 Years", G1742&lt;6, "3–5 Years", G1742&lt;9, "6–8 Years", G1742&lt;12, "9-11 Years", G1742&gt;=12, "12-14 Years")</f>
        <v>0–2 Years</v>
      </c>
      <c r="J1742">
        <v>4</v>
      </c>
      <c r="K1742" t="s">
        <v>20</v>
      </c>
      <c r="L1742">
        <v>92500</v>
      </c>
      <c r="M1742">
        <v>5600</v>
      </c>
      <c r="N1742">
        <v>98100</v>
      </c>
      <c r="O1742" t="s">
        <v>30</v>
      </c>
      <c r="P1742" s="3">
        <v>45501</v>
      </c>
      <c r="Q1742" t="s">
        <v>28</v>
      </c>
    </row>
    <row r="1743" spans="1:17" x14ac:dyDescent="0.35">
      <c r="A1743" t="s">
        <v>1795</v>
      </c>
      <c r="B1743" t="s">
        <v>23</v>
      </c>
      <c r="C1743">
        <v>22</v>
      </c>
      <c r="D1743" t="s">
        <v>41</v>
      </c>
      <c r="E1743" t="s">
        <v>67</v>
      </c>
      <c r="F1743" t="s">
        <v>28</v>
      </c>
      <c r="G1743">
        <v>4.5999999999999996</v>
      </c>
      <c r="H1743">
        <v>4.5999999999999996</v>
      </c>
      <c r="I1743" t="str" cm="1">
        <f t="array" ref="I1743">_xlfn.IFS(G1743&lt;3, "0–2 Years", G1743&lt;6, "3–5 Years", G1743&lt;9, "6–8 Years", G1743&lt;12, "9-11 Years", G1743&gt;=12, "12-14 Years")</f>
        <v>3–5 Years</v>
      </c>
      <c r="J1743">
        <v>4</v>
      </c>
      <c r="K1743" t="s">
        <v>20</v>
      </c>
      <c r="L1743">
        <v>68000</v>
      </c>
      <c r="M1743">
        <v>3200</v>
      </c>
      <c r="N1743">
        <v>71200</v>
      </c>
      <c r="O1743" t="s">
        <v>21</v>
      </c>
      <c r="P1743" s="3">
        <v>44336</v>
      </c>
      <c r="Q1743" t="s">
        <v>28</v>
      </c>
    </row>
    <row r="1744" spans="1:17" x14ac:dyDescent="0.35">
      <c r="A1744" t="s">
        <v>1796</v>
      </c>
      <c r="B1744" t="s">
        <v>23</v>
      </c>
      <c r="C1744" s="7">
        <v>28</v>
      </c>
      <c r="D1744" t="s">
        <v>17</v>
      </c>
      <c r="E1744" t="s">
        <v>18</v>
      </c>
      <c r="F1744" t="s">
        <v>36</v>
      </c>
      <c r="G1744" s="9">
        <v>13.9</v>
      </c>
      <c r="H1744" s="7">
        <v>8.4</v>
      </c>
      <c r="I1744" t="str" cm="1">
        <f t="array" ref="I1744">_xlfn.IFS(G1744&lt;3, "0–2 Years", G1744&lt;6, "3–5 Years", G1744&lt;9, "6–8 Years", G1744&lt;12, "9-11 Years", G1744&gt;=12, "12-14 Years")</f>
        <v>12-14 Years</v>
      </c>
      <c r="J1744" s="7">
        <v>4</v>
      </c>
      <c r="K1744" t="s">
        <v>20</v>
      </c>
      <c r="L1744" s="7">
        <v>107800</v>
      </c>
      <c r="M1744" s="7">
        <v>7500</v>
      </c>
      <c r="N1744" s="7">
        <v>115300</v>
      </c>
      <c r="O1744" t="s">
        <v>57</v>
      </c>
      <c r="P1744" s="3">
        <v>40943</v>
      </c>
      <c r="Q1744" t="s">
        <v>36</v>
      </c>
    </row>
    <row r="1745" spans="1:17" x14ac:dyDescent="0.35">
      <c r="A1745" t="s">
        <v>1797</v>
      </c>
      <c r="B1745" t="s">
        <v>16</v>
      </c>
      <c r="C1745">
        <v>42</v>
      </c>
      <c r="D1745" t="s">
        <v>38</v>
      </c>
      <c r="E1745" t="s">
        <v>112</v>
      </c>
      <c r="F1745" t="s">
        <v>28</v>
      </c>
      <c r="G1745">
        <v>1.9</v>
      </c>
      <c r="H1745">
        <v>0.1</v>
      </c>
      <c r="I1745" t="str" cm="1">
        <f t="array" ref="I1745">_xlfn.IFS(G1745&lt;3, "0–2 Years", G1745&lt;6, "3–5 Years", G1745&lt;9, "6–8 Years", G1745&lt;12, "9-11 Years", G1745&gt;=12, "12-14 Years")</f>
        <v>0–2 Years</v>
      </c>
      <c r="J1745">
        <v>3</v>
      </c>
      <c r="K1745" t="s">
        <v>20</v>
      </c>
      <c r="L1745">
        <v>75600</v>
      </c>
      <c r="M1745">
        <v>7600</v>
      </c>
      <c r="N1745">
        <v>83200</v>
      </c>
      <c r="O1745" t="s">
        <v>21</v>
      </c>
      <c r="P1745" s="3">
        <v>45344</v>
      </c>
      <c r="Q1745" t="s">
        <v>28</v>
      </c>
    </row>
    <row r="1746" spans="1:17" x14ac:dyDescent="0.35">
      <c r="A1746" t="s">
        <v>1798</v>
      </c>
      <c r="B1746" t="s">
        <v>23</v>
      </c>
      <c r="C1746">
        <v>41</v>
      </c>
      <c r="D1746" t="s">
        <v>44</v>
      </c>
      <c r="E1746" t="s">
        <v>51</v>
      </c>
      <c r="F1746" t="s">
        <v>28</v>
      </c>
      <c r="G1746">
        <v>7.4</v>
      </c>
      <c r="H1746">
        <v>4.0999999999999996</v>
      </c>
      <c r="I1746" t="str" cm="1">
        <f t="array" ref="I1746">_xlfn.IFS(G1746&lt;3, "0–2 Years", G1746&lt;6, "3–5 Years", G1746&lt;9, "6–8 Years", G1746&lt;12, "9-11 Years", G1746&gt;=12, "12-14 Years")</f>
        <v>6–8 Years</v>
      </c>
      <c r="J1746">
        <v>3</v>
      </c>
      <c r="K1746" t="s">
        <v>20</v>
      </c>
      <c r="L1746">
        <v>81800</v>
      </c>
      <c r="M1746">
        <v>9900</v>
      </c>
      <c r="N1746">
        <v>91700</v>
      </c>
      <c r="O1746" t="s">
        <v>30</v>
      </c>
      <c r="P1746" s="3">
        <v>43307</v>
      </c>
      <c r="Q1746" t="s">
        <v>28</v>
      </c>
    </row>
    <row r="1747" spans="1:17" x14ac:dyDescent="0.35">
      <c r="A1747" t="s">
        <v>1799</v>
      </c>
      <c r="B1747" t="s">
        <v>23</v>
      </c>
      <c r="C1747">
        <v>31</v>
      </c>
      <c r="D1747" t="s">
        <v>34</v>
      </c>
      <c r="E1747" t="s">
        <v>47</v>
      </c>
      <c r="F1747" t="s">
        <v>36</v>
      </c>
      <c r="G1747">
        <v>8.6</v>
      </c>
      <c r="H1747">
        <v>4.0999999999999996</v>
      </c>
      <c r="I1747" t="str" cm="1">
        <f t="array" ref="I1747">_xlfn.IFS(G1747&lt;3, "0–2 Years", G1747&lt;6, "3–5 Years", G1747&lt;9, "6–8 Years", G1747&lt;12, "9-11 Years", G1747&gt;=12, "12-14 Years")</f>
        <v>6–8 Years</v>
      </c>
      <c r="J1747">
        <v>3</v>
      </c>
      <c r="K1747" t="s">
        <v>20</v>
      </c>
      <c r="L1747">
        <v>77900</v>
      </c>
      <c r="M1747">
        <v>3700</v>
      </c>
      <c r="N1747">
        <v>81600</v>
      </c>
      <c r="O1747" t="s">
        <v>21</v>
      </c>
      <c r="P1747" s="3">
        <v>42898</v>
      </c>
      <c r="Q1747" t="s">
        <v>36</v>
      </c>
    </row>
    <row r="1748" spans="1:17" x14ac:dyDescent="0.35">
      <c r="A1748" t="s">
        <v>1800</v>
      </c>
      <c r="B1748" t="s">
        <v>23</v>
      </c>
      <c r="C1748">
        <v>26</v>
      </c>
      <c r="D1748" t="s">
        <v>41</v>
      </c>
      <c r="E1748" t="s">
        <v>67</v>
      </c>
      <c r="F1748" t="s">
        <v>28</v>
      </c>
      <c r="G1748">
        <v>5</v>
      </c>
      <c r="H1748">
        <v>4</v>
      </c>
      <c r="I1748" t="str" cm="1">
        <f t="array" ref="I1748">_xlfn.IFS(G1748&lt;3, "0–2 Years", G1748&lt;6, "3–5 Years", G1748&lt;9, "6–8 Years", G1748&lt;12, "9-11 Years", G1748&gt;=12, "12-14 Years")</f>
        <v>3–5 Years</v>
      </c>
      <c r="J1748">
        <v>3</v>
      </c>
      <c r="K1748" t="s">
        <v>20</v>
      </c>
      <c r="L1748">
        <v>55200</v>
      </c>
      <c r="M1748">
        <v>4500</v>
      </c>
      <c r="N1748">
        <v>59700</v>
      </c>
      <c r="O1748" t="s">
        <v>25</v>
      </c>
      <c r="P1748" s="3">
        <v>44191</v>
      </c>
      <c r="Q1748" t="s">
        <v>28</v>
      </c>
    </row>
    <row r="1749" spans="1:17" x14ac:dyDescent="0.35">
      <c r="A1749" t="s">
        <v>1801</v>
      </c>
      <c r="B1749" t="s">
        <v>23</v>
      </c>
      <c r="C1749">
        <v>33</v>
      </c>
      <c r="D1749" t="s">
        <v>41</v>
      </c>
      <c r="E1749" t="s">
        <v>42</v>
      </c>
      <c r="F1749" t="s">
        <v>36</v>
      </c>
      <c r="G1749">
        <v>10.5</v>
      </c>
      <c r="H1749">
        <v>6.8</v>
      </c>
      <c r="I1749" t="str" cm="1">
        <f t="array" ref="I1749">_xlfn.IFS(G1749&lt;3, "0–2 Years", G1749&lt;6, "3–5 Years", G1749&lt;9, "6–8 Years", G1749&lt;12, "9-11 Years", G1749&gt;=12, "12-14 Years")</f>
        <v>9-11 Years</v>
      </c>
      <c r="J1749">
        <v>3</v>
      </c>
      <c r="K1749" t="s">
        <v>20</v>
      </c>
      <c r="L1749">
        <v>85900</v>
      </c>
      <c r="M1749">
        <v>5200</v>
      </c>
      <c r="N1749">
        <v>91100</v>
      </c>
      <c r="O1749" t="s">
        <v>30</v>
      </c>
      <c r="P1749" s="3">
        <v>42184</v>
      </c>
      <c r="Q1749" t="s">
        <v>36</v>
      </c>
    </row>
    <row r="1750" spans="1:17" x14ac:dyDescent="0.35">
      <c r="A1750" t="s">
        <v>1802</v>
      </c>
      <c r="B1750" t="s">
        <v>16</v>
      </c>
      <c r="C1750">
        <v>27</v>
      </c>
      <c r="D1750" t="s">
        <v>55</v>
      </c>
      <c r="E1750" t="s">
        <v>56</v>
      </c>
      <c r="F1750" t="s">
        <v>36</v>
      </c>
      <c r="G1750">
        <v>2.6</v>
      </c>
      <c r="H1750">
        <v>2.6</v>
      </c>
      <c r="I1750" t="str" cm="1">
        <f t="array" ref="I1750">_xlfn.IFS(G1750&lt;3, "0–2 Years", G1750&lt;6, "3–5 Years", G1750&lt;9, "6–8 Years", G1750&lt;12, "9-11 Years", G1750&gt;=12, "12-14 Years")</f>
        <v>0–2 Years</v>
      </c>
      <c r="J1750">
        <v>2</v>
      </c>
      <c r="K1750" t="s">
        <v>24</v>
      </c>
      <c r="L1750">
        <v>62100</v>
      </c>
      <c r="M1750">
        <v>9400</v>
      </c>
      <c r="N1750">
        <v>71500</v>
      </c>
      <c r="O1750" t="s">
        <v>25</v>
      </c>
      <c r="P1750" s="3">
        <v>45075</v>
      </c>
      <c r="Q1750" t="s">
        <v>36</v>
      </c>
    </row>
    <row r="1751" spans="1:17" x14ac:dyDescent="0.35">
      <c r="A1751" t="s">
        <v>1803</v>
      </c>
      <c r="B1751" t="s">
        <v>16</v>
      </c>
      <c r="C1751" s="7">
        <v>34</v>
      </c>
      <c r="D1751" t="s">
        <v>38</v>
      </c>
      <c r="E1751" t="s">
        <v>112</v>
      </c>
      <c r="F1751" t="s">
        <v>28</v>
      </c>
      <c r="G1751" s="9">
        <v>12.4</v>
      </c>
      <c r="H1751" s="7">
        <v>8.8000000000000007</v>
      </c>
      <c r="I1751" t="str" cm="1">
        <f t="array" ref="I1751">_xlfn.IFS(G1751&lt;3, "0–2 Years", G1751&lt;6, "3–5 Years", G1751&lt;9, "6–8 Years", G1751&lt;12, "9-11 Years", G1751&gt;=12, "12-14 Years")</f>
        <v>12-14 Years</v>
      </c>
      <c r="J1751" s="7">
        <v>4</v>
      </c>
      <c r="K1751" t="s">
        <v>24</v>
      </c>
      <c r="L1751" s="7">
        <v>45000</v>
      </c>
      <c r="M1751" s="7">
        <v>4400</v>
      </c>
      <c r="N1751" s="7">
        <v>49400</v>
      </c>
      <c r="O1751" t="s">
        <v>65</v>
      </c>
      <c r="P1751" s="3">
        <v>41486</v>
      </c>
      <c r="Q1751" t="s">
        <v>28</v>
      </c>
    </row>
    <row r="1752" spans="1:17" x14ac:dyDescent="0.35">
      <c r="A1752" t="s">
        <v>1804</v>
      </c>
      <c r="B1752" t="s">
        <v>23</v>
      </c>
      <c r="C1752">
        <v>42</v>
      </c>
      <c r="D1752" t="s">
        <v>34</v>
      </c>
      <c r="E1752" t="s">
        <v>35</v>
      </c>
      <c r="F1752" t="s">
        <v>28</v>
      </c>
      <c r="G1752">
        <v>2.5</v>
      </c>
      <c r="H1752">
        <v>2.5</v>
      </c>
      <c r="I1752" t="str" cm="1">
        <f t="array" ref="I1752">_xlfn.IFS(G1752&lt;3, "0–2 Years", G1752&lt;6, "3–5 Years", G1752&lt;9, "6–8 Years", G1752&lt;12, "9-11 Years", G1752&gt;=12, "12-14 Years")</f>
        <v>0–2 Years</v>
      </c>
      <c r="J1752">
        <v>1</v>
      </c>
      <c r="K1752" t="s">
        <v>69</v>
      </c>
      <c r="L1752">
        <v>50900</v>
      </c>
      <c r="M1752">
        <v>6100</v>
      </c>
      <c r="N1752">
        <v>57000</v>
      </c>
      <c r="O1752" t="s">
        <v>25</v>
      </c>
      <c r="P1752" s="3">
        <v>45101</v>
      </c>
      <c r="Q1752" t="s">
        <v>28</v>
      </c>
    </row>
    <row r="1753" spans="1:17" x14ac:dyDescent="0.35">
      <c r="A1753" t="s">
        <v>1805</v>
      </c>
      <c r="B1753" t="s">
        <v>16</v>
      </c>
      <c r="C1753">
        <v>36</v>
      </c>
      <c r="D1753" t="s">
        <v>17</v>
      </c>
      <c r="E1753" t="s">
        <v>32</v>
      </c>
      <c r="F1753" t="s">
        <v>36</v>
      </c>
      <c r="G1753">
        <v>6.9</v>
      </c>
      <c r="H1753">
        <v>5.8</v>
      </c>
      <c r="I1753" t="str" cm="1">
        <f t="array" ref="I1753">_xlfn.IFS(G1753&lt;3, "0–2 Years", G1753&lt;6, "3–5 Years", G1753&lt;9, "6–8 Years", G1753&lt;12, "9-11 Years", G1753&gt;=12, "12-14 Years")</f>
        <v>6–8 Years</v>
      </c>
      <c r="J1753">
        <v>3</v>
      </c>
      <c r="K1753" t="s">
        <v>20</v>
      </c>
      <c r="L1753">
        <v>69700</v>
      </c>
      <c r="M1753">
        <v>8800</v>
      </c>
      <c r="N1753">
        <v>78500</v>
      </c>
      <c r="O1753" t="s">
        <v>21</v>
      </c>
      <c r="P1753" s="3">
        <v>43501</v>
      </c>
      <c r="Q1753" t="s">
        <v>36</v>
      </c>
    </row>
    <row r="1754" spans="1:17" x14ac:dyDescent="0.35">
      <c r="A1754" t="s">
        <v>1806</v>
      </c>
      <c r="B1754" t="s">
        <v>23</v>
      </c>
      <c r="C1754" s="7">
        <v>34</v>
      </c>
      <c r="D1754" t="s">
        <v>38</v>
      </c>
      <c r="E1754" t="s">
        <v>39</v>
      </c>
      <c r="F1754" t="s">
        <v>19</v>
      </c>
      <c r="G1754" s="9">
        <v>12</v>
      </c>
      <c r="H1754" s="7">
        <v>6.9</v>
      </c>
      <c r="I1754" t="str" cm="1">
        <f t="array" ref="I1754">_xlfn.IFS(G1754&lt;3, "0–2 Years", G1754&lt;6, "3–5 Years", G1754&lt;9, "6–8 Years", G1754&lt;12, "9-11 Years", G1754&gt;=12, "12-14 Years")</f>
        <v>12-14 Years</v>
      </c>
      <c r="J1754" s="7">
        <v>3</v>
      </c>
      <c r="K1754" t="s">
        <v>20</v>
      </c>
      <c r="L1754" s="7">
        <v>65900</v>
      </c>
      <c r="M1754" s="7">
        <v>4300</v>
      </c>
      <c r="N1754" s="7">
        <v>70200</v>
      </c>
      <c r="O1754" t="s">
        <v>21</v>
      </c>
      <c r="P1754" s="3">
        <v>41650</v>
      </c>
      <c r="Q1754" t="s">
        <v>19</v>
      </c>
    </row>
    <row r="1755" spans="1:17" x14ac:dyDescent="0.35">
      <c r="A1755" t="s">
        <v>1807</v>
      </c>
      <c r="B1755" t="s">
        <v>23</v>
      </c>
      <c r="C1755">
        <v>48</v>
      </c>
      <c r="D1755" t="s">
        <v>41</v>
      </c>
      <c r="E1755" t="s">
        <v>73</v>
      </c>
      <c r="F1755" t="s">
        <v>62</v>
      </c>
      <c r="G1755">
        <v>1.2</v>
      </c>
      <c r="H1755">
        <v>1.2</v>
      </c>
      <c r="I1755" t="str" cm="1">
        <f t="array" ref="I1755">_xlfn.IFS(G1755&lt;3, "0–2 Years", G1755&lt;6, "3–5 Years", G1755&lt;9, "6–8 Years", G1755&lt;12, "9-11 Years", G1755&gt;=12, "12-14 Years")</f>
        <v>0–2 Years</v>
      </c>
      <c r="J1755">
        <v>3</v>
      </c>
      <c r="K1755" t="s">
        <v>20</v>
      </c>
      <c r="L1755">
        <v>110900</v>
      </c>
      <c r="M1755">
        <v>9500</v>
      </c>
      <c r="N1755">
        <v>120400</v>
      </c>
      <c r="O1755" t="s">
        <v>57</v>
      </c>
      <c r="P1755" s="3">
        <v>45596</v>
      </c>
      <c r="Q1755" t="s">
        <v>62</v>
      </c>
    </row>
    <row r="1756" spans="1:17" x14ac:dyDescent="0.35">
      <c r="A1756" t="s">
        <v>1808</v>
      </c>
      <c r="B1756" t="s">
        <v>23</v>
      </c>
      <c r="C1756">
        <v>38</v>
      </c>
      <c r="D1756" t="s">
        <v>38</v>
      </c>
      <c r="E1756" t="s">
        <v>112</v>
      </c>
      <c r="F1756" t="s">
        <v>28</v>
      </c>
      <c r="G1756">
        <v>6.5</v>
      </c>
      <c r="H1756">
        <v>4.7</v>
      </c>
      <c r="I1756" t="str" cm="1">
        <f t="array" ref="I1756">_xlfn.IFS(G1756&lt;3, "0–2 Years", G1756&lt;6, "3–5 Years", G1756&lt;9, "6–8 Years", G1756&lt;12, "9-11 Years", G1756&gt;=12, "12-14 Years")</f>
        <v>6–8 Years</v>
      </c>
      <c r="J1756">
        <v>3</v>
      </c>
      <c r="K1756" t="s">
        <v>20</v>
      </c>
      <c r="L1756">
        <v>63300</v>
      </c>
      <c r="M1756">
        <v>4100</v>
      </c>
      <c r="N1756">
        <v>67400</v>
      </c>
      <c r="O1756" t="s">
        <v>25</v>
      </c>
      <c r="P1756" s="3">
        <v>43639</v>
      </c>
      <c r="Q1756" t="s">
        <v>28</v>
      </c>
    </row>
    <row r="1757" spans="1:17" x14ac:dyDescent="0.35">
      <c r="A1757" t="s">
        <v>1809</v>
      </c>
      <c r="B1757" t="s">
        <v>16</v>
      </c>
      <c r="C1757">
        <v>44</v>
      </c>
      <c r="D1757" t="s">
        <v>17</v>
      </c>
      <c r="E1757" t="s">
        <v>32</v>
      </c>
      <c r="F1757" t="s">
        <v>28</v>
      </c>
      <c r="G1757">
        <v>2.2000000000000002</v>
      </c>
      <c r="H1757">
        <v>1.1000000000000001</v>
      </c>
      <c r="I1757" t="str" cm="1">
        <f t="array" ref="I1757">_xlfn.IFS(G1757&lt;3, "0–2 Years", G1757&lt;6, "3–5 Years", G1757&lt;9, "6–8 Years", G1757&lt;12, "9-11 Years", G1757&gt;=12, "12-14 Years")</f>
        <v>0–2 Years</v>
      </c>
      <c r="J1757">
        <v>3</v>
      </c>
      <c r="K1757" t="s">
        <v>20</v>
      </c>
      <c r="L1757">
        <v>63100</v>
      </c>
      <c r="M1757">
        <v>2900</v>
      </c>
      <c r="N1757">
        <v>66000</v>
      </c>
      <c r="O1757" t="s">
        <v>25</v>
      </c>
      <c r="P1757" s="3">
        <v>45234</v>
      </c>
      <c r="Q1757" t="s">
        <v>28</v>
      </c>
    </row>
    <row r="1758" spans="1:17" x14ac:dyDescent="0.35">
      <c r="A1758" t="s">
        <v>1810</v>
      </c>
      <c r="B1758" t="s">
        <v>23</v>
      </c>
      <c r="C1758">
        <v>39</v>
      </c>
      <c r="D1758" t="s">
        <v>44</v>
      </c>
      <c r="E1758" t="s">
        <v>81</v>
      </c>
      <c r="F1758" t="s">
        <v>28</v>
      </c>
      <c r="G1758">
        <v>5.3</v>
      </c>
      <c r="H1758">
        <v>2.8</v>
      </c>
      <c r="I1758" t="str" cm="1">
        <f t="array" ref="I1758">_xlfn.IFS(G1758&lt;3, "0–2 Years", G1758&lt;6, "3–5 Years", G1758&lt;9, "6–8 Years", G1758&lt;12, "9-11 Years", G1758&gt;=12, "12-14 Years")</f>
        <v>3–5 Years</v>
      </c>
      <c r="J1758">
        <v>4</v>
      </c>
      <c r="K1758" t="s">
        <v>20</v>
      </c>
      <c r="L1758">
        <v>94200</v>
      </c>
      <c r="M1758">
        <v>6700</v>
      </c>
      <c r="N1758">
        <v>100900</v>
      </c>
      <c r="O1758" t="s">
        <v>30</v>
      </c>
      <c r="P1758" s="3">
        <v>44077</v>
      </c>
      <c r="Q1758" t="s">
        <v>28</v>
      </c>
    </row>
    <row r="1759" spans="1:17" x14ac:dyDescent="0.35">
      <c r="A1759" t="s">
        <v>1811</v>
      </c>
      <c r="B1759" t="s">
        <v>23</v>
      </c>
      <c r="C1759">
        <v>57</v>
      </c>
      <c r="D1759" t="s">
        <v>44</v>
      </c>
      <c r="E1759" t="s">
        <v>81</v>
      </c>
      <c r="F1759" t="s">
        <v>28</v>
      </c>
      <c r="G1759">
        <v>9.8000000000000007</v>
      </c>
      <c r="H1759">
        <v>5.8</v>
      </c>
      <c r="I1759" t="str" cm="1">
        <f t="array" ref="I1759">_xlfn.IFS(G1759&lt;3, "0–2 Years", G1759&lt;6, "3–5 Years", G1759&lt;9, "6–8 Years", G1759&lt;12, "9-11 Years", G1759&gt;=12, "12-14 Years")</f>
        <v>9-11 Years</v>
      </c>
      <c r="J1759">
        <v>3</v>
      </c>
      <c r="K1759" t="s">
        <v>20</v>
      </c>
      <c r="L1759">
        <v>97400</v>
      </c>
      <c r="M1759">
        <v>10400</v>
      </c>
      <c r="N1759">
        <v>107800</v>
      </c>
      <c r="O1759" t="s">
        <v>30</v>
      </c>
      <c r="P1759" s="3">
        <v>42453</v>
      </c>
      <c r="Q1759" t="s">
        <v>28</v>
      </c>
    </row>
    <row r="1760" spans="1:17" x14ac:dyDescent="0.35">
      <c r="A1760" t="s">
        <v>1812</v>
      </c>
      <c r="B1760" t="s">
        <v>16</v>
      </c>
      <c r="C1760">
        <v>41</v>
      </c>
      <c r="D1760" t="s">
        <v>41</v>
      </c>
      <c r="E1760" t="s">
        <v>73</v>
      </c>
      <c r="F1760" t="s">
        <v>28</v>
      </c>
      <c r="G1760">
        <v>8.3000000000000007</v>
      </c>
      <c r="H1760">
        <v>2.9</v>
      </c>
      <c r="I1760" t="str" cm="1">
        <f t="array" ref="I1760">_xlfn.IFS(G1760&lt;3, "0–2 Years", G1760&lt;6, "3–5 Years", G1760&lt;9, "6–8 Years", G1760&lt;12, "9-11 Years", G1760&gt;=12, "12-14 Years")</f>
        <v>6–8 Years</v>
      </c>
      <c r="J1760">
        <v>3</v>
      </c>
      <c r="K1760" t="s">
        <v>20</v>
      </c>
      <c r="L1760">
        <v>114100</v>
      </c>
      <c r="M1760">
        <v>8700</v>
      </c>
      <c r="N1760">
        <v>122800</v>
      </c>
      <c r="O1760" t="s">
        <v>57</v>
      </c>
      <c r="P1760" s="3">
        <v>43003</v>
      </c>
      <c r="Q1760" t="s">
        <v>28</v>
      </c>
    </row>
    <row r="1761" spans="1:17" x14ac:dyDescent="0.35">
      <c r="A1761" t="s">
        <v>1813</v>
      </c>
      <c r="B1761" t="s">
        <v>16</v>
      </c>
      <c r="C1761">
        <v>34</v>
      </c>
      <c r="D1761" t="s">
        <v>44</v>
      </c>
      <c r="E1761" t="s">
        <v>81</v>
      </c>
      <c r="F1761" t="s">
        <v>28</v>
      </c>
      <c r="G1761">
        <v>1.9</v>
      </c>
      <c r="H1761">
        <v>0.5</v>
      </c>
      <c r="I1761" t="str" cm="1">
        <f t="array" ref="I1761">_xlfn.IFS(G1761&lt;3, "0–2 Years", G1761&lt;6, "3–5 Years", G1761&lt;9, "6–8 Years", G1761&lt;12, "9-11 Years", G1761&gt;=12, "12-14 Years")</f>
        <v>0–2 Years</v>
      </c>
      <c r="J1761">
        <v>3</v>
      </c>
      <c r="K1761" t="s">
        <v>20</v>
      </c>
      <c r="L1761">
        <v>88000</v>
      </c>
      <c r="M1761">
        <v>4900</v>
      </c>
      <c r="N1761">
        <v>92900</v>
      </c>
      <c r="O1761" t="s">
        <v>30</v>
      </c>
      <c r="P1761" s="3">
        <v>45337</v>
      </c>
      <c r="Q1761" t="s">
        <v>28</v>
      </c>
    </row>
    <row r="1762" spans="1:17" x14ac:dyDescent="0.35">
      <c r="A1762" t="s">
        <v>1814</v>
      </c>
      <c r="B1762" t="s">
        <v>16</v>
      </c>
      <c r="C1762">
        <v>44</v>
      </c>
      <c r="D1762" t="s">
        <v>38</v>
      </c>
      <c r="E1762" t="s">
        <v>39</v>
      </c>
      <c r="F1762" t="s">
        <v>28</v>
      </c>
      <c r="G1762">
        <v>2.5</v>
      </c>
      <c r="H1762">
        <v>0</v>
      </c>
      <c r="I1762" t="str" cm="1">
        <f t="array" ref="I1762">_xlfn.IFS(G1762&lt;3, "0–2 Years", G1762&lt;6, "3–5 Years", G1762&lt;9, "6–8 Years", G1762&lt;12, "9-11 Years", G1762&gt;=12, "12-14 Years")</f>
        <v>0–2 Years</v>
      </c>
      <c r="J1762">
        <v>3</v>
      </c>
      <c r="K1762" t="s">
        <v>20</v>
      </c>
      <c r="L1762">
        <v>76200</v>
      </c>
      <c r="M1762">
        <v>5400</v>
      </c>
      <c r="N1762">
        <v>81600</v>
      </c>
      <c r="O1762" t="s">
        <v>21</v>
      </c>
      <c r="P1762" s="3">
        <v>45110</v>
      </c>
      <c r="Q1762" t="s">
        <v>28</v>
      </c>
    </row>
    <row r="1763" spans="1:17" x14ac:dyDescent="0.35">
      <c r="A1763" t="s">
        <v>1815</v>
      </c>
      <c r="B1763" t="s">
        <v>16</v>
      </c>
      <c r="C1763">
        <v>36</v>
      </c>
      <c r="D1763" t="s">
        <v>41</v>
      </c>
      <c r="E1763" t="s">
        <v>73</v>
      </c>
      <c r="F1763" t="s">
        <v>36</v>
      </c>
      <c r="G1763">
        <v>2.9</v>
      </c>
      <c r="H1763">
        <v>1.7</v>
      </c>
      <c r="I1763" t="str" cm="1">
        <f t="array" ref="I1763">_xlfn.IFS(G1763&lt;3, "0–2 Years", G1763&lt;6, "3–5 Years", G1763&lt;9, "6–8 Years", G1763&lt;12, "9-11 Years", G1763&gt;=12, "12-14 Years")</f>
        <v>0–2 Years</v>
      </c>
      <c r="J1763">
        <v>4</v>
      </c>
      <c r="K1763" t="s">
        <v>20</v>
      </c>
      <c r="L1763">
        <v>101600</v>
      </c>
      <c r="M1763">
        <v>7000</v>
      </c>
      <c r="N1763">
        <v>108600</v>
      </c>
      <c r="O1763" t="s">
        <v>57</v>
      </c>
      <c r="P1763" s="3">
        <v>44960</v>
      </c>
      <c r="Q1763" t="s">
        <v>36</v>
      </c>
    </row>
    <row r="1764" spans="1:17" x14ac:dyDescent="0.35">
      <c r="A1764" t="s">
        <v>1816</v>
      </c>
      <c r="B1764" t="s">
        <v>16</v>
      </c>
      <c r="C1764" s="7">
        <v>36</v>
      </c>
      <c r="D1764" t="s">
        <v>34</v>
      </c>
      <c r="E1764" t="s">
        <v>35</v>
      </c>
      <c r="F1764" t="s">
        <v>36</v>
      </c>
      <c r="G1764" s="9">
        <v>13.3</v>
      </c>
      <c r="H1764" s="7">
        <v>7.8</v>
      </c>
      <c r="I1764" t="str" cm="1">
        <f t="array" ref="I1764">_xlfn.IFS(G1764&lt;3, "0–2 Years", G1764&lt;6, "3–5 Years", G1764&lt;9, "6–8 Years", G1764&lt;12, "9-11 Years", G1764&gt;=12, "12-14 Years")</f>
        <v>12-14 Years</v>
      </c>
      <c r="J1764" s="7">
        <v>3</v>
      </c>
      <c r="K1764" t="s">
        <v>20</v>
      </c>
      <c r="L1764" s="7">
        <v>88300</v>
      </c>
      <c r="M1764" s="7">
        <v>7700</v>
      </c>
      <c r="N1764" s="7">
        <v>96000</v>
      </c>
      <c r="O1764" t="s">
        <v>30</v>
      </c>
      <c r="P1764" s="3">
        <v>41168</v>
      </c>
      <c r="Q1764" t="s">
        <v>36</v>
      </c>
    </row>
    <row r="1765" spans="1:17" x14ac:dyDescent="0.35">
      <c r="A1765" t="s">
        <v>1817</v>
      </c>
      <c r="B1765" t="s">
        <v>16</v>
      </c>
      <c r="C1765">
        <v>29</v>
      </c>
      <c r="D1765" t="s">
        <v>55</v>
      </c>
      <c r="E1765" t="s">
        <v>79</v>
      </c>
      <c r="F1765" t="s">
        <v>19</v>
      </c>
      <c r="G1765">
        <v>9.1</v>
      </c>
      <c r="H1765">
        <v>6.7</v>
      </c>
      <c r="I1765" t="str" cm="1">
        <f t="array" ref="I1765">_xlfn.IFS(G1765&lt;3, "0–2 Years", G1765&lt;6, "3–5 Years", G1765&lt;9, "6–8 Years", G1765&lt;12, "9-11 Years", G1765&gt;=12, "12-14 Years")</f>
        <v>9-11 Years</v>
      </c>
      <c r="J1765">
        <v>3</v>
      </c>
      <c r="K1765" t="s">
        <v>20</v>
      </c>
      <c r="L1765">
        <v>60300</v>
      </c>
      <c r="M1765">
        <v>5900</v>
      </c>
      <c r="N1765">
        <v>66200</v>
      </c>
      <c r="O1765" t="s">
        <v>25</v>
      </c>
      <c r="P1765" s="3">
        <v>42717</v>
      </c>
      <c r="Q1765" t="s">
        <v>19</v>
      </c>
    </row>
    <row r="1766" spans="1:17" x14ac:dyDescent="0.35">
      <c r="A1766" t="s">
        <v>1818</v>
      </c>
      <c r="B1766" t="s">
        <v>23</v>
      </c>
      <c r="C1766">
        <v>30</v>
      </c>
      <c r="D1766" t="s">
        <v>17</v>
      </c>
      <c r="E1766" t="s">
        <v>27</v>
      </c>
      <c r="F1766" t="s">
        <v>19</v>
      </c>
      <c r="G1766">
        <v>1.8</v>
      </c>
      <c r="H1766">
        <v>1.8</v>
      </c>
      <c r="I1766" t="str" cm="1">
        <f t="array" ref="I1766">_xlfn.IFS(G1766&lt;3, "0–2 Years", G1766&lt;6, "3–5 Years", G1766&lt;9, "6–8 Years", G1766&lt;12, "9-11 Years", G1766&gt;=12, "12-14 Years")</f>
        <v>0–2 Years</v>
      </c>
      <c r="J1766">
        <v>3</v>
      </c>
      <c r="K1766" t="s">
        <v>20</v>
      </c>
      <c r="L1766">
        <v>64000</v>
      </c>
      <c r="M1766">
        <v>6400</v>
      </c>
      <c r="N1766">
        <v>70400</v>
      </c>
      <c r="O1766" t="s">
        <v>25</v>
      </c>
      <c r="P1766" s="3">
        <v>45379</v>
      </c>
      <c r="Q1766" t="s">
        <v>19</v>
      </c>
    </row>
    <row r="1767" spans="1:17" x14ac:dyDescent="0.35">
      <c r="A1767" t="s">
        <v>1819</v>
      </c>
      <c r="B1767" t="s">
        <v>16</v>
      </c>
      <c r="C1767">
        <v>52</v>
      </c>
      <c r="D1767" t="s">
        <v>38</v>
      </c>
      <c r="E1767" t="s">
        <v>39</v>
      </c>
      <c r="F1767" t="s">
        <v>36</v>
      </c>
      <c r="G1767">
        <v>1.4</v>
      </c>
      <c r="H1767">
        <v>0.7</v>
      </c>
      <c r="I1767" t="str" cm="1">
        <f t="array" ref="I1767">_xlfn.IFS(G1767&lt;3, "0–2 Years", G1767&lt;6, "3–5 Years", G1767&lt;9, "6–8 Years", G1767&lt;12, "9-11 Years", G1767&gt;=12, "12-14 Years")</f>
        <v>0–2 Years</v>
      </c>
      <c r="J1767">
        <v>4</v>
      </c>
      <c r="K1767" t="s">
        <v>20</v>
      </c>
      <c r="L1767">
        <v>76800</v>
      </c>
      <c r="M1767">
        <v>8100</v>
      </c>
      <c r="N1767">
        <v>84900</v>
      </c>
      <c r="O1767" t="s">
        <v>21</v>
      </c>
      <c r="P1767" s="3">
        <v>45503</v>
      </c>
      <c r="Q1767" t="s">
        <v>36</v>
      </c>
    </row>
    <row r="1768" spans="1:17" x14ac:dyDescent="0.35">
      <c r="A1768" t="s">
        <v>1820</v>
      </c>
      <c r="B1768" t="s">
        <v>16</v>
      </c>
      <c r="C1768">
        <v>43</v>
      </c>
      <c r="D1768" t="s">
        <v>41</v>
      </c>
      <c r="E1768" t="s">
        <v>73</v>
      </c>
      <c r="F1768" t="s">
        <v>36</v>
      </c>
      <c r="G1768">
        <v>8.5</v>
      </c>
      <c r="H1768">
        <v>8.1</v>
      </c>
      <c r="I1768" t="str" cm="1">
        <f t="array" ref="I1768">_xlfn.IFS(G1768&lt;3, "0–2 Years", G1768&lt;6, "3–5 Years", G1768&lt;9, "6–8 Years", G1768&lt;12, "9-11 Years", G1768&gt;=12, "12-14 Years")</f>
        <v>6–8 Years</v>
      </c>
      <c r="J1768">
        <v>5</v>
      </c>
      <c r="K1768" t="s">
        <v>20</v>
      </c>
      <c r="L1768">
        <v>91800</v>
      </c>
      <c r="M1768">
        <v>3300</v>
      </c>
      <c r="N1768">
        <v>95100</v>
      </c>
      <c r="O1768" t="s">
        <v>30</v>
      </c>
      <c r="P1768" s="3">
        <v>42909</v>
      </c>
      <c r="Q1768" t="s">
        <v>36</v>
      </c>
    </row>
    <row r="1769" spans="1:17" x14ac:dyDescent="0.35">
      <c r="A1769" t="s">
        <v>1821</v>
      </c>
      <c r="B1769" t="s">
        <v>23</v>
      </c>
      <c r="C1769">
        <v>47</v>
      </c>
      <c r="D1769" t="s">
        <v>55</v>
      </c>
      <c r="E1769" t="s">
        <v>56</v>
      </c>
      <c r="F1769" t="s">
        <v>19</v>
      </c>
      <c r="G1769">
        <v>10.8</v>
      </c>
      <c r="H1769">
        <v>8.5</v>
      </c>
      <c r="I1769" t="str" cm="1">
        <f t="array" ref="I1769">_xlfn.IFS(G1769&lt;3, "0–2 Years", G1769&lt;6, "3–5 Years", G1769&lt;9, "6–8 Years", G1769&lt;12, "9-11 Years", G1769&gt;=12, "12-14 Years")</f>
        <v>9-11 Years</v>
      </c>
      <c r="J1769">
        <v>3</v>
      </c>
      <c r="K1769" t="s">
        <v>20</v>
      </c>
      <c r="L1769">
        <v>98700</v>
      </c>
      <c r="M1769">
        <v>15400</v>
      </c>
      <c r="N1769">
        <v>114100</v>
      </c>
      <c r="O1769" t="s">
        <v>30</v>
      </c>
      <c r="P1769" s="3">
        <v>42079</v>
      </c>
      <c r="Q1769" t="s">
        <v>19</v>
      </c>
    </row>
    <row r="1770" spans="1:17" x14ac:dyDescent="0.35">
      <c r="A1770" t="s">
        <v>1822</v>
      </c>
      <c r="B1770" t="s">
        <v>23</v>
      </c>
      <c r="C1770">
        <v>27</v>
      </c>
      <c r="D1770" t="s">
        <v>17</v>
      </c>
      <c r="E1770" t="s">
        <v>27</v>
      </c>
      <c r="F1770" t="s">
        <v>19</v>
      </c>
      <c r="G1770">
        <v>9.9</v>
      </c>
      <c r="H1770">
        <v>5.6</v>
      </c>
      <c r="I1770" t="str" cm="1">
        <f t="array" ref="I1770">_xlfn.IFS(G1770&lt;3, "0–2 Years", G1770&lt;6, "3–5 Years", G1770&lt;9, "6–8 Years", G1770&lt;12, "9-11 Years", G1770&gt;=12, "12-14 Years")</f>
        <v>9-11 Years</v>
      </c>
      <c r="J1770">
        <v>4</v>
      </c>
      <c r="K1770" t="s">
        <v>20</v>
      </c>
      <c r="L1770">
        <v>72100</v>
      </c>
      <c r="M1770">
        <v>7800</v>
      </c>
      <c r="N1770">
        <v>79900</v>
      </c>
      <c r="O1770" t="s">
        <v>21</v>
      </c>
      <c r="P1770" s="3">
        <v>42393</v>
      </c>
      <c r="Q1770" t="s">
        <v>19</v>
      </c>
    </row>
    <row r="1771" spans="1:17" x14ac:dyDescent="0.35">
      <c r="A1771" t="s">
        <v>1823</v>
      </c>
      <c r="B1771" t="s">
        <v>16</v>
      </c>
      <c r="C1771">
        <v>24</v>
      </c>
      <c r="D1771" t="s">
        <v>38</v>
      </c>
      <c r="E1771" t="s">
        <v>61</v>
      </c>
      <c r="F1771" t="s">
        <v>36</v>
      </c>
      <c r="G1771">
        <v>6.3</v>
      </c>
      <c r="H1771">
        <v>5.2</v>
      </c>
      <c r="I1771" t="str" cm="1">
        <f t="array" ref="I1771">_xlfn.IFS(G1771&lt;3, "0–2 Years", G1771&lt;6, "3–5 Years", G1771&lt;9, "6–8 Years", G1771&lt;12, "9-11 Years", G1771&gt;=12, "12-14 Years")</f>
        <v>6–8 Years</v>
      </c>
      <c r="J1771">
        <v>3</v>
      </c>
      <c r="K1771" t="s">
        <v>20</v>
      </c>
      <c r="L1771">
        <v>103900</v>
      </c>
      <c r="M1771">
        <v>5100</v>
      </c>
      <c r="N1771">
        <v>109000</v>
      </c>
      <c r="O1771" t="s">
        <v>57</v>
      </c>
      <c r="P1771" s="3">
        <v>43725</v>
      </c>
      <c r="Q1771" t="s">
        <v>36</v>
      </c>
    </row>
    <row r="1772" spans="1:17" x14ac:dyDescent="0.35">
      <c r="A1772" t="s">
        <v>1824</v>
      </c>
      <c r="B1772" t="s">
        <v>23</v>
      </c>
      <c r="C1772">
        <v>37</v>
      </c>
      <c r="D1772" t="s">
        <v>41</v>
      </c>
      <c r="E1772" t="s">
        <v>42</v>
      </c>
      <c r="F1772" t="s">
        <v>28</v>
      </c>
      <c r="G1772">
        <v>11.6</v>
      </c>
      <c r="H1772">
        <v>6.5</v>
      </c>
      <c r="I1772" t="str" cm="1">
        <f t="array" ref="I1772">_xlfn.IFS(G1772&lt;3, "0–2 Years", G1772&lt;6, "3–5 Years", G1772&lt;9, "6–8 Years", G1772&lt;12, "9-11 Years", G1772&gt;=12, "12-14 Years")</f>
        <v>9-11 Years</v>
      </c>
      <c r="J1772">
        <v>3</v>
      </c>
      <c r="K1772" t="s">
        <v>24</v>
      </c>
      <c r="L1772">
        <v>57200</v>
      </c>
      <c r="M1772">
        <v>3600</v>
      </c>
      <c r="N1772">
        <v>60800</v>
      </c>
      <c r="O1772" t="s">
        <v>25</v>
      </c>
      <c r="P1772" s="3">
        <v>41804</v>
      </c>
      <c r="Q1772" t="s">
        <v>28</v>
      </c>
    </row>
    <row r="1773" spans="1:17" x14ac:dyDescent="0.35">
      <c r="A1773" t="s">
        <v>1825</v>
      </c>
      <c r="B1773" t="s">
        <v>23</v>
      </c>
      <c r="C1773">
        <v>33</v>
      </c>
      <c r="D1773" t="s">
        <v>17</v>
      </c>
      <c r="E1773" t="s">
        <v>32</v>
      </c>
      <c r="F1773" t="s">
        <v>36</v>
      </c>
      <c r="G1773">
        <v>9.9</v>
      </c>
      <c r="H1773">
        <v>6.8</v>
      </c>
      <c r="I1773" t="str" cm="1">
        <f t="array" ref="I1773">_xlfn.IFS(G1773&lt;3, "0–2 Years", G1773&lt;6, "3–5 Years", G1773&lt;9, "6–8 Years", G1773&lt;12, "9-11 Years", G1773&gt;=12, "12-14 Years")</f>
        <v>9-11 Years</v>
      </c>
      <c r="J1773">
        <v>3</v>
      </c>
      <c r="K1773" t="s">
        <v>20</v>
      </c>
      <c r="L1773">
        <v>74800</v>
      </c>
      <c r="M1773">
        <v>3600</v>
      </c>
      <c r="N1773">
        <v>78400</v>
      </c>
      <c r="O1773" t="s">
        <v>21</v>
      </c>
      <c r="P1773" s="3">
        <v>42419</v>
      </c>
      <c r="Q1773" t="s">
        <v>36</v>
      </c>
    </row>
    <row r="1774" spans="1:17" x14ac:dyDescent="0.35">
      <c r="A1774" t="s">
        <v>1826</v>
      </c>
      <c r="B1774" t="s">
        <v>16</v>
      </c>
      <c r="C1774">
        <v>41</v>
      </c>
      <c r="D1774" t="s">
        <v>55</v>
      </c>
      <c r="E1774" t="s">
        <v>92</v>
      </c>
      <c r="F1774" t="s">
        <v>62</v>
      </c>
      <c r="G1774">
        <v>9.1</v>
      </c>
      <c r="H1774">
        <v>7.7</v>
      </c>
      <c r="I1774" t="str" cm="1">
        <f t="array" ref="I1774">_xlfn.IFS(G1774&lt;3, "0–2 Years", G1774&lt;6, "3–5 Years", G1774&lt;9, "6–8 Years", G1774&lt;12, "9-11 Years", G1774&gt;=12, "12-14 Years")</f>
        <v>9-11 Years</v>
      </c>
      <c r="J1774">
        <v>4</v>
      </c>
      <c r="K1774" t="s">
        <v>24</v>
      </c>
      <c r="L1774">
        <v>65900</v>
      </c>
      <c r="M1774">
        <v>13100</v>
      </c>
      <c r="N1774">
        <v>79000</v>
      </c>
      <c r="O1774" t="s">
        <v>21</v>
      </c>
      <c r="P1774" s="3">
        <v>42697</v>
      </c>
      <c r="Q1774" t="s">
        <v>62</v>
      </c>
    </row>
    <row r="1775" spans="1:17" x14ac:dyDescent="0.35">
      <c r="A1775" t="s">
        <v>1827</v>
      </c>
      <c r="B1775" t="s">
        <v>16</v>
      </c>
      <c r="C1775">
        <v>42</v>
      </c>
      <c r="D1775" t="s">
        <v>44</v>
      </c>
      <c r="E1775" t="s">
        <v>76</v>
      </c>
      <c r="F1775" t="s">
        <v>28</v>
      </c>
      <c r="G1775">
        <v>10.1</v>
      </c>
      <c r="H1775">
        <v>6.1</v>
      </c>
      <c r="I1775" t="str" cm="1">
        <f t="array" ref="I1775">_xlfn.IFS(G1775&lt;3, "0–2 Years", G1775&lt;6, "3–5 Years", G1775&lt;9, "6–8 Years", G1775&lt;12, "9-11 Years", G1775&gt;=12, "12-14 Years")</f>
        <v>9-11 Years</v>
      </c>
      <c r="J1775">
        <v>4</v>
      </c>
      <c r="K1775" t="s">
        <v>20</v>
      </c>
      <c r="L1775">
        <v>115900</v>
      </c>
      <c r="M1775">
        <v>12700</v>
      </c>
      <c r="N1775">
        <v>128600</v>
      </c>
      <c r="O1775" t="s">
        <v>57</v>
      </c>
      <c r="P1775" s="3">
        <v>42345</v>
      </c>
      <c r="Q1775" t="s">
        <v>28</v>
      </c>
    </row>
    <row r="1776" spans="1:17" x14ac:dyDescent="0.35">
      <c r="A1776" t="s">
        <v>1828</v>
      </c>
      <c r="B1776" t="s">
        <v>16</v>
      </c>
      <c r="C1776" s="7">
        <v>36</v>
      </c>
      <c r="D1776" t="s">
        <v>34</v>
      </c>
      <c r="E1776" t="s">
        <v>35</v>
      </c>
      <c r="F1776" t="s">
        <v>28</v>
      </c>
      <c r="G1776" s="9">
        <v>12.8</v>
      </c>
      <c r="H1776" s="7">
        <v>7.8</v>
      </c>
      <c r="I1776" t="str" cm="1">
        <f t="array" ref="I1776">_xlfn.IFS(G1776&lt;3, "0–2 Years", G1776&lt;6, "3–5 Years", G1776&lt;9, "6–8 Years", G1776&lt;12, "9-11 Years", G1776&gt;=12, "12-14 Years")</f>
        <v>12-14 Years</v>
      </c>
      <c r="J1776" s="7">
        <v>2</v>
      </c>
      <c r="K1776" t="s">
        <v>20</v>
      </c>
      <c r="L1776" s="7">
        <v>81800</v>
      </c>
      <c r="M1776" s="7">
        <v>3600</v>
      </c>
      <c r="N1776" s="7">
        <v>85400</v>
      </c>
      <c r="O1776" t="s">
        <v>30</v>
      </c>
      <c r="P1776" s="3">
        <v>41363</v>
      </c>
      <c r="Q1776" t="s">
        <v>28</v>
      </c>
    </row>
    <row r="1777" spans="1:17" x14ac:dyDescent="0.35">
      <c r="A1777" t="s">
        <v>1829</v>
      </c>
      <c r="B1777" t="s">
        <v>16</v>
      </c>
      <c r="C1777">
        <v>37</v>
      </c>
      <c r="D1777" t="s">
        <v>44</v>
      </c>
      <c r="E1777" t="s">
        <v>51</v>
      </c>
      <c r="F1777" t="s">
        <v>28</v>
      </c>
      <c r="G1777">
        <v>8.3000000000000007</v>
      </c>
      <c r="H1777">
        <v>5.8</v>
      </c>
      <c r="I1777" t="str" cm="1">
        <f t="array" ref="I1777">_xlfn.IFS(G1777&lt;3, "0–2 Years", G1777&lt;6, "3–5 Years", G1777&lt;9, "6–8 Years", G1777&lt;12, "9-11 Years", G1777&gt;=12, "12-14 Years")</f>
        <v>6–8 Years</v>
      </c>
      <c r="J1777">
        <v>3</v>
      </c>
      <c r="K1777" t="s">
        <v>20</v>
      </c>
      <c r="L1777">
        <v>84300</v>
      </c>
      <c r="M1777">
        <v>5600</v>
      </c>
      <c r="N1777">
        <v>89900</v>
      </c>
      <c r="O1777" t="s">
        <v>30</v>
      </c>
      <c r="P1777" s="3">
        <v>42998</v>
      </c>
      <c r="Q1777" t="s">
        <v>28</v>
      </c>
    </row>
    <row r="1778" spans="1:17" x14ac:dyDescent="0.35">
      <c r="A1778" t="s">
        <v>1830</v>
      </c>
      <c r="B1778" t="s">
        <v>16</v>
      </c>
      <c r="C1778" s="7">
        <v>42</v>
      </c>
      <c r="D1778" t="s">
        <v>34</v>
      </c>
      <c r="E1778" t="s">
        <v>35</v>
      </c>
      <c r="F1778" t="s">
        <v>36</v>
      </c>
      <c r="G1778" s="9">
        <v>13.7</v>
      </c>
      <c r="H1778" s="7">
        <v>8.9</v>
      </c>
      <c r="I1778" t="str" cm="1">
        <f t="array" ref="I1778">_xlfn.IFS(G1778&lt;3, "0–2 Years", G1778&lt;6, "3–5 Years", G1778&lt;9, "6–8 Years", G1778&lt;12, "9-11 Years", G1778&gt;=12, "12-14 Years")</f>
        <v>12-14 Years</v>
      </c>
      <c r="J1778" s="7">
        <v>3</v>
      </c>
      <c r="K1778" t="s">
        <v>20</v>
      </c>
      <c r="L1778" s="7">
        <v>96000</v>
      </c>
      <c r="M1778" s="7">
        <v>11200</v>
      </c>
      <c r="N1778" s="7">
        <v>107200</v>
      </c>
      <c r="O1778" t="s">
        <v>30</v>
      </c>
      <c r="P1778" s="3">
        <v>41019</v>
      </c>
      <c r="Q1778" t="s">
        <v>36</v>
      </c>
    </row>
    <row r="1779" spans="1:17" x14ac:dyDescent="0.35">
      <c r="A1779" t="s">
        <v>1831</v>
      </c>
      <c r="B1779" t="s">
        <v>16</v>
      </c>
      <c r="C1779">
        <v>42</v>
      </c>
      <c r="D1779" t="s">
        <v>41</v>
      </c>
      <c r="E1779" t="s">
        <v>73</v>
      </c>
      <c r="F1779" t="s">
        <v>28</v>
      </c>
      <c r="G1779">
        <v>6.6</v>
      </c>
      <c r="H1779">
        <v>3.1</v>
      </c>
      <c r="I1779" t="str" cm="1">
        <f t="array" ref="I1779">_xlfn.IFS(G1779&lt;3, "0–2 Years", G1779&lt;6, "3–5 Years", G1779&lt;9, "6–8 Years", G1779&lt;12, "9-11 Years", G1779&gt;=12, "12-14 Years")</f>
        <v>6–8 Years</v>
      </c>
      <c r="J1779">
        <v>3</v>
      </c>
      <c r="K1779" t="s">
        <v>20</v>
      </c>
      <c r="L1779">
        <v>97500</v>
      </c>
      <c r="M1779">
        <v>6300</v>
      </c>
      <c r="N1779">
        <v>103800</v>
      </c>
      <c r="O1779" t="s">
        <v>30</v>
      </c>
      <c r="P1779" s="3">
        <v>43624</v>
      </c>
      <c r="Q1779" t="s">
        <v>28</v>
      </c>
    </row>
    <row r="1780" spans="1:17" x14ac:dyDescent="0.35">
      <c r="A1780" t="s">
        <v>1832</v>
      </c>
      <c r="B1780" t="s">
        <v>16</v>
      </c>
      <c r="C1780">
        <v>33</v>
      </c>
      <c r="D1780" t="s">
        <v>17</v>
      </c>
      <c r="E1780" t="s">
        <v>32</v>
      </c>
      <c r="F1780" t="s">
        <v>62</v>
      </c>
      <c r="G1780">
        <v>7.6</v>
      </c>
      <c r="H1780">
        <v>5.0999999999999996</v>
      </c>
      <c r="I1780" t="str" cm="1">
        <f t="array" ref="I1780">_xlfn.IFS(G1780&lt;3, "0–2 Years", G1780&lt;6, "3–5 Years", G1780&lt;9, "6–8 Years", G1780&lt;12, "9-11 Years", G1780&gt;=12, "12-14 Years")</f>
        <v>6–8 Years</v>
      </c>
      <c r="J1780">
        <v>3</v>
      </c>
      <c r="K1780" t="s">
        <v>20</v>
      </c>
      <c r="L1780">
        <v>78400</v>
      </c>
      <c r="M1780">
        <v>4800</v>
      </c>
      <c r="N1780">
        <v>83200</v>
      </c>
      <c r="O1780" t="s">
        <v>21</v>
      </c>
      <c r="P1780" s="3">
        <v>43235</v>
      </c>
      <c r="Q1780" t="s">
        <v>62</v>
      </c>
    </row>
    <row r="1781" spans="1:17" x14ac:dyDescent="0.35">
      <c r="A1781" t="s">
        <v>1833</v>
      </c>
      <c r="B1781" t="s">
        <v>23</v>
      </c>
      <c r="C1781">
        <v>41</v>
      </c>
      <c r="D1781" t="s">
        <v>41</v>
      </c>
      <c r="E1781" t="s">
        <v>42</v>
      </c>
      <c r="F1781" t="s">
        <v>28</v>
      </c>
      <c r="G1781">
        <v>3.8</v>
      </c>
      <c r="H1781">
        <v>0.1</v>
      </c>
      <c r="I1781" t="str" cm="1">
        <f t="array" ref="I1781">_xlfn.IFS(G1781&lt;3, "0–2 Years", G1781&lt;6, "3–5 Years", G1781&lt;9, "6–8 Years", G1781&lt;12, "9-11 Years", G1781&gt;=12, "12-14 Years")</f>
        <v>3–5 Years</v>
      </c>
      <c r="J1781">
        <v>2</v>
      </c>
      <c r="K1781" t="s">
        <v>20</v>
      </c>
      <c r="L1781">
        <v>72200</v>
      </c>
      <c r="M1781">
        <v>4100</v>
      </c>
      <c r="N1781">
        <v>76300</v>
      </c>
      <c r="O1781" t="s">
        <v>21</v>
      </c>
      <c r="P1781" s="3">
        <v>44622</v>
      </c>
      <c r="Q1781" t="s">
        <v>28</v>
      </c>
    </row>
    <row r="1782" spans="1:17" x14ac:dyDescent="0.35">
      <c r="A1782" t="s">
        <v>1834</v>
      </c>
      <c r="B1782" t="s">
        <v>16</v>
      </c>
      <c r="C1782">
        <v>39</v>
      </c>
      <c r="D1782" t="s">
        <v>17</v>
      </c>
      <c r="E1782" t="s">
        <v>27</v>
      </c>
      <c r="F1782" t="s">
        <v>28</v>
      </c>
      <c r="G1782">
        <v>8.4</v>
      </c>
      <c r="H1782">
        <v>3.7</v>
      </c>
      <c r="I1782" t="str" cm="1">
        <f t="array" ref="I1782">_xlfn.IFS(G1782&lt;3, "0–2 Years", G1782&lt;6, "3–5 Years", G1782&lt;9, "6–8 Years", G1782&lt;12, "9-11 Years", G1782&gt;=12, "12-14 Years")</f>
        <v>6–8 Years</v>
      </c>
      <c r="J1782">
        <v>3</v>
      </c>
      <c r="K1782" t="s">
        <v>20</v>
      </c>
      <c r="L1782">
        <v>84600</v>
      </c>
      <c r="M1782">
        <v>6000</v>
      </c>
      <c r="N1782">
        <v>90600</v>
      </c>
      <c r="O1782" t="s">
        <v>30</v>
      </c>
      <c r="P1782" s="3">
        <v>42953</v>
      </c>
      <c r="Q1782" t="s">
        <v>28</v>
      </c>
    </row>
    <row r="1783" spans="1:17" x14ac:dyDescent="0.35">
      <c r="A1783" t="s">
        <v>1835</v>
      </c>
      <c r="B1783" t="s">
        <v>16</v>
      </c>
      <c r="C1783" s="7">
        <v>27</v>
      </c>
      <c r="D1783" t="s">
        <v>38</v>
      </c>
      <c r="E1783" t="s">
        <v>61</v>
      </c>
      <c r="F1783" t="s">
        <v>28</v>
      </c>
      <c r="G1783" s="9">
        <v>13.3</v>
      </c>
      <c r="H1783" s="7">
        <v>7.8</v>
      </c>
      <c r="I1783" t="str" cm="1">
        <f t="array" ref="I1783">_xlfn.IFS(G1783&lt;3, "0–2 Years", G1783&lt;6, "3–5 Years", G1783&lt;9, "6–8 Years", G1783&lt;12, "9-11 Years", G1783&gt;=12, "12-14 Years")</f>
        <v>12-14 Years</v>
      </c>
      <c r="J1783" s="7">
        <v>3</v>
      </c>
      <c r="K1783" t="s">
        <v>69</v>
      </c>
      <c r="L1783" s="7">
        <v>90300</v>
      </c>
      <c r="M1783" s="7">
        <v>8500</v>
      </c>
      <c r="N1783" s="7">
        <v>98800</v>
      </c>
      <c r="O1783" t="s">
        <v>30</v>
      </c>
      <c r="P1783" s="3">
        <v>41177</v>
      </c>
      <c r="Q1783" t="s">
        <v>28</v>
      </c>
    </row>
    <row r="1784" spans="1:17" x14ac:dyDescent="0.35">
      <c r="A1784" t="s">
        <v>1836</v>
      </c>
      <c r="B1784" t="s">
        <v>16</v>
      </c>
      <c r="C1784">
        <v>27</v>
      </c>
      <c r="D1784" t="s">
        <v>41</v>
      </c>
      <c r="E1784" t="s">
        <v>73</v>
      </c>
      <c r="F1784" t="s">
        <v>36</v>
      </c>
      <c r="G1784">
        <v>10.8</v>
      </c>
      <c r="H1784">
        <v>5</v>
      </c>
      <c r="I1784" t="str" cm="1">
        <f t="array" ref="I1784">_xlfn.IFS(G1784&lt;3, "0–2 Years", G1784&lt;6, "3–5 Years", G1784&lt;9, "6–8 Years", G1784&lt;12, "9-11 Years", G1784&gt;=12, "12-14 Years")</f>
        <v>9-11 Years</v>
      </c>
      <c r="J1784">
        <v>1</v>
      </c>
      <c r="K1784" t="s">
        <v>24</v>
      </c>
      <c r="L1784">
        <v>71700</v>
      </c>
      <c r="M1784">
        <v>4800</v>
      </c>
      <c r="N1784">
        <v>76500</v>
      </c>
      <c r="O1784" t="s">
        <v>21</v>
      </c>
      <c r="P1784" s="3">
        <v>42073</v>
      </c>
      <c r="Q1784" t="s">
        <v>36</v>
      </c>
    </row>
    <row r="1785" spans="1:17" x14ac:dyDescent="0.35">
      <c r="A1785" t="s">
        <v>1837</v>
      </c>
      <c r="B1785" t="s">
        <v>16</v>
      </c>
      <c r="C1785">
        <v>32</v>
      </c>
      <c r="D1785" t="s">
        <v>44</v>
      </c>
      <c r="E1785" t="s">
        <v>45</v>
      </c>
      <c r="F1785" t="s">
        <v>36</v>
      </c>
      <c r="G1785">
        <v>11.4</v>
      </c>
      <c r="H1785">
        <v>7.1</v>
      </c>
      <c r="I1785" t="str" cm="1">
        <f t="array" ref="I1785">_xlfn.IFS(G1785&lt;3, "0–2 Years", G1785&lt;6, "3–5 Years", G1785&lt;9, "6–8 Years", G1785&lt;12, "9-11 Years", G1785&gt;=12, "12-14 Years")</f>
        <v>9-11 Years</v>
      </c>
      <c r="J1785">
        <v>4</v>
      </c>
      <c r="K1785" t="s">
        <v>20</v>
      </c>
      <c r="L1785">
        <v>86600</v>
      </c>
      <c r="M1785">
        <v>4400</v>
      </c>
      <c r="N1785">
        <v>91000</v>
      </c>
      <c r="O1785" t="s">
        <v>30</v>
      </c>
      <c r="P1785" s="3">
        <v>41859</v>
      </c>
      <c r="Q1785" t="s">
        <v>36</v>
      </c>
    </row>
    <row r="1786" spans="1:17" x14ac:dyDescent="0.35">
      <c r="A1786" t="s">
        <v>1838</v>
      </c>
      <c r="B1786" t="s">
        <v>16</v>
      </c>
      <c r="C1786">
        <v>40</v>
      </c>
      <c r="D1786" t="s">
        <v>44</v>
      </c>
      <c r="E1786" t="s">
        <v>45</v>
      </c>
      <c r="F1786" t="s">
        <v>28</v>
      </c>
      <c r="G1786">
        <v>2.2000000000000002</v>
      </c>
      <c r="H1786">
        <v>2.2000000000000002</v>
      </c>
      <c r="I1786" t="str" cm="1">
        <f t="array" ref="I1786">_xlfn.IFS(G1786&lt;3, "0–2 Years", G1786&lt;6, "3–5 Years", G1786&lt;9, "6–8 Years", G1786&lt;12, "9-11 Years", G1786&gt;=12, "12-14 Years")</f>
        <v>0–2 Years</v>
      </c>
      <c r="J1786">
        <v>3</v>
      </c>
      <c r="K1786" t="s">
        <v>20</v>
      </c>
      <c r="L1786">
        <v>74400</v>
      </c>
      <c r="M1786">
        <v>4300</v>
      </c>
      <c r="N1786">
        <v>78700</v>
      </c>
      <c r="O1786" t="s">
        <v>21</v>
      </c>
      <c r="P1786" s="3">
        <v>45215</v>
      </c>
      <c r="Q1786" t="s">
        <v>28</v>
      </c>
    </row>
    <row r="1787" spans="1:17" x14ac:dyDescent="0.35">
      <c r="A1787" t="s">
        <v>1839</v>
      </c>
      <c r="B1787" t="s">
        <v>16</v>
      </c>
      <c r="C1787">
        <v>34</v>
      </c>
      <c r="D1787" t="s">
        <v>44</v>
      </c>
      <c r="E1787" t="s">
        <v>81</v>
      </c>
      <c r="F1787" t="s">
        <v>36</v>
      </c>
      <c r="G1787">
        <v>9.1</v>
      </c>
      <c r="H1787">
        <v>6.4</v>
      </c>
      <c r="I1787" t="str" cm="1">
        <f t="array" ref="I1787">_xlfn.IFS(G1787&lt;3, "0–2 Years", G1787&lt;6, "3–5 Years", G1787&lt;9, "6–8 Years", G1787&lt;12, "9-11 Years", G1787&gt;=12, "12-14 Years")</f>
        <v>9-11 Years</v>
      </c>
      <c r="J1787">
        <v>5</v>
      </c>
      <c r="K1787" t="s">
        <v>20</v>
      </c>
      <c r="L1787">
        <v>87500</v>
      </c>
      <c r="M1787">
        <v>6900</v>
      </c>
      <c r="N1787">
        <v>94400</v>
      </c>
      <c r="O1787" t="s">
        <v>30</v>
      </c>
      <c r="P1787" s="3">
        <v>42684</v>
      </c>
      <c r="Q1787" t="s">
        <v>36</v>
      </c>
    </row>
    <row r="1788" spans="1:17" x14ac:dyDescent="0.35">
      <c r="A1788" t="s">
        <v>1840</v>
      </c>
      <c r="B1788" t="s">
        <v>16</v>
      </c>
      <c r="C1788">
        <v>36</v>
      </c>
      <c r="D1788" t="s">
        <v>34</v>
      </c>
      <c r="E1788" t="s">
        <v>47</v>
      </c>
      <c r="F1788" t="s">
        <v>19</v>
      </c>
      <c r="G1788">
        <v>6.2</v>
      </c>
      <c r="H1788">
        <v>6.2</v>
      </c>
      <c r="I1788" t="str" cm="1">
        <f t="array" ref="I1788">_xlfn.IFS(G1788&lt;3, "0–2 Years", G1788&lt;6, "3–5 Years", G1788&lt;9, "6–8 Years", G1788&lt;12, "9-11 Years", G1788&gt;=12, "12-14 Years")</f>
        <v>6–8 Years</v>
      </c>
      <c r="J1788">
        <v>3</v>
      </c>
      <c r="K1788" t="s">
        <v>20</v>
      </c>
      <c r="L1788">
        <v>74300</v>
      </c>
      <c r="M1788">
        <v>3800</v>
      </c>
      <c r="N1788">
        <v>78100</v>
      </c>
      <c r="O1788" t="s">
        <v>21</v>
      </c>
      <c r="P1788" s="3">
        <v>43744</v>
      </c>
      <c r="Q1788" t="s">
        <v>19</v>
      </c>
    </row>
    <row r="1789" spans="1:17" x14ac:dyDescent="0.35">
      <c r="A1789" t="s">
        <v>1841</v>
      </c>
      <c r="B1789" t="s">
        <v>23</v>
      </c>
      <c r="C1789">
        <v>51</v>
      </c>
      <c r="D1789" t="s">
        <v>34</v>
      </c>
      <c r="E1789" t="s">
        <v>47</v>
      </c>
      <c r="F1789" t="s">
        <v>19</v>
      </c>
      <c r="G1789">
        <v>5.2</v>
      </c>
      <c r="H1789">
        <v>2.6</v>
      </c>
      <c r="I1789" t="str" cm="1">
        <f t="array" ref="I1789">_xlfn.IFS(G1789&lt;3, "0–2 Years", G1789&lt;6, "3–5 Years", G1789&lt;9, "6–8 Years", G1789&lt;12, "9-11 Years", G1789&gt;=12, "12-14 Years")</f>
        <v>3–5 Years</v>
      </c>
      <c r="J1789">
        <v>4</v>
      </c>
      <c r="K1789" t="s">
        <v>20</v>
      </c>
      <c r="L1789">
        <v>78700</v>
      </c>
      <c r="M1789">
        <v>6300</v>
      </c>
      <c r="N1789">
        <v>85000</v>
      </c>
      <c r="O1789" t="s">
        <v>21</v>
      </c>
      <c r="P1789" s="3">
        <v>44138</v>
      </c>
      <c r="Q1789" t="s">
        <v>19</v>
      </c>
    </row>
    <row r="1790" spans="1:17" x14ac:dyDescent="0.35">
      <c r="A1790" t="s">
        <v>1842</v>
      </c>
      <c r="B1790" t="s">
        <v>16</v>
      </c>
      <c r="C1790">
        <v>21</v>
      </c>
      <c r="D1790" t="s">
        <v>34</v>
      </c>
      <c r="E1790" t="s">
        <v>47</v>
      </c>
      <c r="F1790" t="s">
        <v>28</v>
      </c>
      <c r="G1790">
        <v>7.3</v>
      </c>
      <c r="H1790">
        <v>3.2</v>
      </c>
      <c r="I1790" t="str" cm="1">
        <f t="array" ref="I1790">_xlfn.IFS(G1790&lt;3, "0–2 Years", G1790&lt;6, "3–5 Years", G1790&lt;9, "6–8 Years", G1790&lt;12, "9-11 Years", G1790&gt;=12, "12-14 Years")</f>
        <v>6–8 Years</v>
      </c>
      <c r="J1790">
        <v>4</v>
      </c>
      <c r="K1790" t="s">
        <v>20</v>
      </c>
      <c r="L1790">
        <v>87700</v>
      </c>
      <c r="M1790">
        <v>10300</v>
      </c>
      <c r="N1790">
        <v>98000</v>
      </c>
      <c r="O1790" t="s">
        <v>30</v>
      </c>
      <c r="P1790" s="3">
        <v>43345</v>
      </c>
      <c r="Q1790" t="s">
        <v>28</v>
      </c>
    </row>
    <row r="1791" spans="1:17" x14ac:dyDescent="0.35">
      <c r="A1791" t="s">
        <v>1843</v>
      </c>
      <c r="B1791" t="s">
        <v>23</v>
      </c>
      <c r="C1791">
        <v>44</v>
      </c>
      <c r="D1791" t="s">
        <v>44</v>
      </c>
      <c r="E1791" t="s">
        <v>81</v>
      </c>
      <c r="F1791" t="s">
        <v>36</v>
      </c>
      <c r="G1791">
        <v>1.3</v>
      </c>
      <c r="H1791">
        <v>1.3</v>
      </c>
      <c r="I1791" t="str" cm="1">
        <f t="array" ref="I1791">_xlfn.IFS(G1791&lt;3, "0–2 Years", G1791&lt;6, "3–5 Years", G1791&lt;9, "6–8 Years", G1791&lt;12, "9-11 Years", G1791&gt;=12, "12-14 Years")</f>
        <v>0–2 Years</v>
      </c>
      <c r="J1791">
        <v>4</v>
      </c>
      <c r="K1791" t="s">
        <v>20</v>
      </c>
      <c r="L1791">
        <v>108400</v>
      </c>
      <c r="M1791">
        <v>15000</v>
      </c>
      <c r="N1791">
        <v>123400</v>
      </c>
      <c r="O1791" t="s">
        <v>57</v>
      </c>
      <c r="P1791" s="3">
        <v>45566</v>
      </c>
      <c r="Q1791" t="s">
        <v>36</v>
      </c>
    </row>
    <row r="1792" spans="1:17" x14ac:dyDescent="0.35">
      <c r="A1792" t="s">
        <v>1844</v>
      </c>
      <c r="B1792" t="s">
        <v>16</v>
      </c>
      <c r="C1792">
        <v>25</v>
      </c>
      <c r="D1792" t="s">
        <v>41</v>
      </c>
      <c r="E1792" t="s">
        <v>67</v>
      </c>
      <c r="F1792" t="s">
        <v>36</v>
      </c>
      <c r="G1792">
        <v>2.8</v>
      </c>
      <c r="H1792">
        <v>0</v>
      </c>
      <c r="I1792" t="str" cm="1">
        <f t="array" ref="I1792">_xlfn.IFS(G1792&lt;3, "0–2 Years", G1792&lt;6, "3–5 Years", G1792&lt;9, "6–8 Years", G1792&lt;12, "9-11 Years", G1792&gt;=12, "12-14 Years")</f>
        <v>0–2 Years</v>
      </c>
      <c r="J1792">
        <v>4</v>
      </c>
      <c r="K1792" t="s">
        <v>20</v>
      </c>
      <c r="L1792">
        <v>67900</v>
      </c>
      <c r="M1792">
        <v>5500</v>
      </c>
      <c r="N1792">
        <v>73400</v>
      </c>
      <c r="O1792" t="s">
        <v>21</v>
      </c>
      <c r="P1792" s="3">
        <v>44983</v>
      </c>
      <c r="Q1792" t="s">
        <v>36</v>
      </c>
    </row>
    <row r="1793" spans="1:17" x14ac:dyDescent="0.35">
      <c r="A1793" t="s">
        <v>1845</v>
      </c>
      <c r="B1793" t="s">
        <v>23</v>
      </c>
      <c r="C1793">
        <v>39</v>
      </c>
      <c r="D1793" t="s">
        <v>17</v>
      </c>
      <c r="E1793" t="s">
        <v>27</v>
      </c>
      <c r="F1793" t="s">
        <v>19</v>
      </c>
      <c r="G1793">
        <v>9.6999999999999993</v>
      </c>
      <c r="H1793">
        <v>7.5</v>
      </c>
      <c r="I1793" t="str" cm="1">
        <f t="array" ref="I1793">_xlfn.IFS(G1793&lt;3, "0–2 Years", G1793&lt;6, "3–5 Years", G1793&lt;9, "6–8 Years", G1793&lt;12, "9-11 Years", G1793&gt;=12, "12-14 Years")</f>
        <v>9-11 Years</v>
      </c>
      <c r="J1793">
        <v>3</v>
      </c>
      <c r="K1793" t="s">
        <v>20</v>
      </c>
      <c r="L1793">
        <v>66700</v>
      </c>
      <c r="M1793">
        <v>8100</v>
      </c>
      <c r="N1793">
        <v>74800</v>
      </c>
      <c r="O1793" t="s">
        <v>21</v>
      </c>
      <c r="P1793" s="3">
        <v>42494</v>
      </c>
      <c r="Q1793" t="s">
        <v>19</v>
      </c>
    </row>
    <row r="1794" spans="1:17" x14ac:dyDescent="0.35">
      <c r="A1794" t="s">
        <v>1846</v>
      </c>
      <c r="B1794" t="s">
        <v>16</v>
      </c>
      <c r="C1794">
        <v>30</v>
      </c>
      <c r="D1794" t="s">
        <v>44</v>
      </c>
      <c r="E1794" t="s">
        <v>81</v>
      </c>
      <c r="F1794" t="s">
        <v>28</v>
      </c>
      <c r="G1794">
        <v>10.3</v>
      </c>
      <c r="H1794">
        <v>5.6</v>
      </c>
      <c r="I1794" t="str" cm="1">
        <f t="array" ref="I1794">_xlfn.IFS(G1794&lt;3, "0–2 Years", G1794&lt;6, "3–5 Years", G1794&lt;9, "6–8 Years", G1794&lt;12, "9-11 Years", G1794&gt;=12, "12-14 Years")</f>
        <v>9-11 Years</v>
      </c>
      <c r="J1794">
        <v>2</v>
      </c>
      <c r="K1794" t="s">
        <v>20</v>
      </c>
      <c r="L1794">
        <v>97700</v>
      </c>
      <c r="M1794">
        <v>13400</v>
      </c>
      <c r="N1794">
        <v>111100</v>
      </c>
      <c r="O1794" t="s">
        <v>30</v>
      </c>
      <c r="P1794" s="3">
        <v>42271</v>
      </c>
      <c r="Q1794" t="s">
        <v>28</v>
      </c>
    </row>
    <row r="1795" spans="1:17" x14ac:dyDescent="0.35">
      <c r="A1795" t="s">
        <v>1847</v>
      </c>
      <c r="B1795" t="s">
        <v>16</v>
      </c>
      <c r="C1795">
        <v>31</v>
      </c>
      <c r="D1795" t="s">
        <v>38</v>
      </c>
      <c r="E1795" t="s">
        <v>39</v>
      </c>
      <c r="F1795" t="s">
        <v>28</v>
      </c>
      <c r="G1795">
        <v>2.1</v>
      </c>
      <c r="H1795">
        <v>1.6</v>
      </c>
      <c r="I1795" t="str" cm="1">
        <f t="array" ref="I1795">_xlfn.IFS(G1795&lt;3, "0–2 Years", G1795&lt;6, "3–5 Years", G1795&lt;9, "6–8 Years", G1795&lt;12, "9-11 Years", G1795&gt;=12, "12-14 Years")</f>
        <v>0–2 Years</v>
      </c>
      <c r="J1795">
        <v>3</v>
      </c>
      <c r="K1795" t="s">
        <v>20</v>
      </c>
      <c r="L1795">
        <v>71400</v>
      </c>
      <c r="M1795">
        <v>5900</v>
      </c>
      <c r="N1795">
        <v>77300</v>
      </c>
      <c r="O1795" t="s">
        <v>21</v>
      </c>
      <c r="P1795" s="3">
        <v>45257</v>
      </c>
      <c r="Q1795" t="s">
        <v>28</v>
      </c>
    </row>
    <row r="1796" spans="1:17" x14ac:dyDescent="0.35">
      <c r="A1796" t="s">
        <v>1848</v>
      </c>
      <c r="B1796" t="s">
        <v>16</v>
      </c>
      <c r="C1796">
        <v>34</v>
      </c>
      <c r="D1796" t="s">
        <v>44</v>
      </c>
      <c r="E1796" t="s">
        <v>81</v>
      </c>
      <c r="F1796" t="s">
        <v>36</v>
      </c>
      <c r="G1796">
        <v>4.4000000000000004</v>
      </c>
      <c r="H1796">
        <v>1.7</v>
      </c>
      <c r="I1796" t="str" cm="1">
        <f t="array" ref="I1796">_xlfn.IFS(G1796&lt;3, "0–2 Years", G1796&lt;6, "3–5 Years", G1796&lt;9, "6–8 Years", G1796&lt;12, "9-11 Years", G1796&gt;=12, "12-14 Years")</f>
        <v>3–5 Years</v>
      </c>
      <c r="J1796">
        <v>4</v>
      </c>
      <c r="K1796" t="s">
        <v>20</v>
      </c>
      <c r="L1796">
        <v>108900</v>
      </c>
      <c r="M1796">
        <v>7500</v>
      </c>
      <c r="N1796">
        <v>116400</v>
      </c>
      <c r="O1796" t="s">
        <v>57</v>
      </c>
      <c r="P1796" s="3">
        <v>44432</v>
      </c>
      <c r="Q1796" t="s">
        <v>36</v>
      </c>
    </row>
    <row r="1797" spans="1:17" x14ac:dyDescent="0.35">
      <c r="A1797" t="s">
        <v>1849</v>
      </c>
      <c r="B1797" t="s">
        <v>23</v>
      </c>
      <c r="C1797">
        <v>32</v>
      </c>
      <c r="D1797" t="s">
        <v>34</v>
      </c>
      <c r="E1797" t="s">
        <v>35</v>
      </c>
      <c r="F1797" t="s">
        <v>28</v>
      </c>
      <c r="G1797">
        <v>8.4</v>
      </c>
      <c r="H1797">
        <v>5.5</v>
      </c>
      <c r="I1797" t="str" cm="1">
        <f t="array" ref="I1797">_xlfn.IFS(G1797&lt;3, "0–2 Years", G1797&lt;6, "3–5 Years", G1797&lt;9, "6–8 Years", G1797&lt;12, "9-11 Years", G1797&gt;=12, "12-14 Years")</f>
        <v>6–8 Years</v>
      </c>
      <c r="J1797">
        <v>4</v>
      </c>
      <c r="K1797" t="s">
        <v>20</v>
      </c>
      <c r="L1797">
        <v>83300</v>
      </c>
      <c r="M1797">
        <v>4900</v>
      </c>
      <c r="N1797">
        <v>88200</v>
      </c>
      <c r="O1797" t="s">
        <v>30</v>
      </c>
      <c r="P1797" s="3">
        <v>42952</v>
      </c>
      <c r="Q1797" t="s">
        <v>28</v>
      </c>
    </row>
    <row r="1798" spans="1:17" x14ac:dyDescent="0.35">
      <c r="A1798" t="s">
        <v>1850</v>
      </c>
      <c r="B1798" t="s">
        <v>16</v>
      </c>
      <c r="C1798">
        <v>35</v>
      </c>
      <c r="D1798" t="s">
        <v>38</v>
      </c>
      <c r="E1798" t="s">
        <v>39</v>
      </c>
      <c r="F1798" t="s">
        <v>19</v>
      </c>
      <c r="G1798">
        <v>3.7</v>
      </c>
      <c r="H1798">
        <v>2.5</v>
      </c>
      <c r="I1798" t="str" cm="1">
        <f t="array" ref="I1798">_xlfn.IFS(G1798&lt;3, "0–2 Years", G1798&lt;6, "3–5 Years", G1798&lt;9, "6–8 Years", G1798&lt;12, "9-11 Years", G1798&gt;=12, "12-14 Years")</f>
        <v>3–5 Years</v>
      </c>
      <c r="J1798">
        <v>3</v>
      </c>
      <c r="K1798" t="s">
        <v>20</v>
      </c>
      <c r="L1798">
        <v>69600</v>
      </c>
      <c r="M1798">
        <v>2600</v>
      </c>
      <c r="N1798">
        <v>72200</v>
      </c>
      <c r="O1798" t="s">
        <v>21</v>
      </c>
      <c r="P1798" s="3">
        <v>44677</v>
      </c>
      <c r="Q1798" t="s">
        <v>19</v>
      </c>
    </row>
    <row r="1799" spans="1:17" x14ac:dyDescent="0.35">
      <c r="A1799" t="s">
        <v>1851</v>
      </c>
      <c r="B1799" t="s">
        <v>23</v>
      </c>
      <c r="C1799">
        <v>30</v>
      </c>
      <c r="D1799" t="s">
        <v>38</v>
      </c>
      <c r="E1799" t="s">
        <v>39</v>
      </c>
      <c r="F1799" t="s">
        <v>62</v>
      </c>
      <c r="G1799">
        <v>7.3</v>
      </c>
      <c r="H1799">
        <v>6</v>
      </c>
      <c r="I1799" t="str" cm="1">
        <f t="array" ref="I1799">_xlfn.IFS(G1799&lt;3, "0–2 Years", G1799&lt;6, "3–5 Years", G1799&lt;9, "6–8 Years", G1799&lt;12, "9-11 Years", G1799&gt;=12, "12-14 Years")</f>
        <v>6–8 Years</v>
      </c>
      <c r="J1799">
        <v>3</v>
      </c>
      <c r="K1799" t="s">
        <v>20</v>
      </c>
      <c r="L1799">
        <v>79600</v>
      </c>
      <c r="M1799">
        <v>6900</v>
      </c>
      <c r="N1799">
        <v>86500</v>
      </c>
      <c r="O1799" t="s">
        <v>21</v>
      </c>
      <c r="P1799" s="3">
        <v>43354</v>
      </c>
      <c r="Q1799" t="s">
        <v>62</v>
      </c>
    </row>
    <row r="1800" spans="1:17" x14ac:dyDescent="0.35">
      <c r="A1800" t="s">
        <v>1852</v>
      </c>
      <c r="B1800" t="s">
        <v>23</v>
      </c>
      <c r="C1800">
        <v>38</v>
      </c>
      <c r="D1800" t="s">
        <v>17</v>
      </c>
      <c r="E1800" t="s">
        <v>18</v>
      </c>
      <c r="F1800" t="s">
        <v>28</v>
      </c>
      <c r="G1800">
        <v>8.8000000000000007</v>
      </c>
      <c r="H1800">
        <v>4.9000000000000004</v>
      </c>
      <c r="I1800" t="str" cm="1">
        <f t="array" ref="I1800">_xlfn.IFS(G1800&lt;3, "0–2 Years", G1800&lt;6, "3–5 Years", G1800&lt;9, "6–8 Years", G1800&lt;12, "9-11 Years", G1800&gt;=12, "12-14 Years")</f>
        <v>6–8 Years</v>
      </c>
      <c r="J1800">
        <v>3</v>
      </c>
      <c r="K1800" t="s">
        <v>20</v>
      </c>
      <c r="L1800">
        <v>109300</v>
      </c>
      <c r="M1800">
        <v>10900</v>
      </c>
      <c r="N1800">
        <v>120200</v>
      </c>
      <c r="O1800" t="s">
        <v>57</v>
      </c>
      <c r="P1800" s="3">
        <v>42809</v>
      </c>
      <c r="Q1800" t="s">
        <v>28</v>
      </c>
    </row>
    <row r="1801" spans="1:17" x14ac:dyDescent="0.35">
      <c r="A1801" t="s">
        <v>1853</v>
      </c>
      <c r="B1801" t="s">
        <v>23</v>
      </c>
      <c r="C1801">
        <v>35</v>
      </c>
      <c r="D1801" t="s">
        <v>44</v>
      </c>
      <c r="E1801" t="s">
        <v>76</v>
      </c>
      <c r="F1801" t="s">
        <v>36</v>
      </c>
      <c r="G1801">
        <v>10.6</v>
      </c>
      <c r="H1801">
        <v>7</v>
      </c>
      <c r="I1801" t="str" cm="1">
        <f t="array" ref="I1801">_xlfn.IFS(G1801&lt;3, "0–2 Years", G1801&lt;6, "3–5 Years", G1801&lt;9, "6–8 Years", G1801&lt;12, "9-11 Years", G1801&gt;=12, "12-14 Years")</f>
        <v>9-11 Years</v>
      </c>
      <c r="J1801">
        <v>4</v>
      </c>
      <c r="K1801" t="s">
        <v>69</v>
      </c>
      <c r="L1801">
        <v>92000</v>
      </c>
      <c r="M1801">
        <v>7100</v>
      </c>
      <c r="N1801">
        <v>99100</v>
      </c>
      <c r="O1801" t="s">
        <v>30</v>
      </c>
      <c r="P1801" s="3">
        <v>42148</v>
      </c>
      <c r="Q1801" t="s">
        <v>36</v>
      </c>
    </row>
    <row r="1802" spans="1:17" x14ac:dyDescent="0.35">
      <c r="A1802" t="s">
        <v>1854</v>
      </c>
      <c r="B1802" t="s">
        <v>16</v>
      </c>
      <c r="C1802">
        <v>49</v>
      </c>
      <c r="D1802" t="s">
        <v>44</v>
      </c>
      <c r="E1802" t="s">
        <v>81</v>
      </c>
      <c r="F1802" t="s">
        <v>36</v>
      </c>
      <c r="G1802">
        <v>9.8000000000000007</v>
      </c>
      <c r="H1802">
        <v>6.8</v>
      </c>
      <c r="I1802" t="str" cm="1">
        <f t="array" ref="I1802">_xlfn.IFS(G1802&lt;3, "0–2 Years", G1802&lt;6, "3–5 Years", G1802&lt;9, "6–8 Years", G1802&lt;12, "9-11 Years", G1802&gt;=12, "12-14 Years")</f>
        <v>9-11 Years</v>
      </c>
      <c r="J1802">
        <v>1</v>
      </c>
      <c r="K1802" t="s">
        <v>20</v>
      </c>
      <c r="L1802">
        <v>85500</v>
      </c>
      <c r="M1802">
        <v>4900</v>
      </c>
      <c r="N1802">
        <v>90400</v>
      </c>
      <c r="O1802" t="s">
        <v>30</v>
      </c>
      <c r="P1802" s="3">
        <v>42445</v>
      </c>
      <c r="Q1802" t="s">
        <v>36</v>
      </c>
    </row>
    <row r="1803" spans="1:17" x14ac:dyDescent="0.35">
      <c r="A1803" t="s">
        <v>1855</v>
      </c>
      <c r="B1803" t="s">
        <v>23</v>
      </c>
      <c r="C1803">
        <v>36</v>
      </c>
      <c r="D1803" t="s">
        <v>55</v>
      </c>
      <c r="E1803" t="s">
        <v>79</v>
      </c>
      <c r="F1803" t="s">
        <v>19</v>
      </c>
      <c r="G1803">
        <v>2.9</v>
      </c>
      <c r="H1803">
        <v>0.7</v>
      </c>
      <c r="I1803" t="str" cm="1">
        <f t="array" ref="I1803">_xlfn.IFS(G1803&lt;3, "0–2 Years", G1803&lt;6, "3–5 Years", G1803&lt;9, "6–8 Years", G1803&lt;12, "9-11 Years", G1803&gt;=12, "12-14 Years")</f>
        <v>0–2 Years</v>
      </c>
      <c r="J1803">
        <v>3</v>
      </c>
      <c r="K1803" t="s">
        <v>20</v>
      </c>
      <c r="L1803">
        <v>41800</v>
      </c>
      <c r="M1803">
        <v>5100</v>
      </c>
      <c r="N1803">
        <v>46900</v>
      </c>
      <c r="O1803" t="s">
        <v>65</v>
      </c>
      <c r="P1803" s="3">
        <v>44947</v>
      </c>
      <c r="Q1803" t="s">
        <v>19</v>
      </c>
    </row>
    <row r="1804" spans="1:17" x14ac:dyDescent="0.35">
      <c r="A1804" t="s">
        <v>1856</v>
      </c>
      <c r="B1804" t="s">
        <v>23</v>
      </c>
      <c r="C1804" s="7">
        <v>24</v>
      </c>
      <c r="D1804" t="s">
        <v>34</v>
      </c>
      <c r="E1804" t="s">
        <v>47</v>
      </c>
      <c r="F1804" t="s">
        <v>28</v>
      </c>
      <c r="G1804" s="9">
        <v>13</v>
      </c>
      <c r="H1804" s="7">
        <v>8.6</v>
      </c>
      <c r="I1804" t="str" cm="1">
        <f t="array" ref="I1804">_xlfn.IFS(G1804&lt;3, "0–2 Years", G1804&lt;6, "3–5 Years", G1804&lt;9, "6–8 Years", G1804&lt;12, "9-11 Years", G1804&gt;=12, "12-14 Years")</f>
        <v>12-14 Years</v>
      </c>
      <c r="J1804" s="7">
        <v>2</v>
      </c>
      <c r="K1804" t="s">
        <v>20</v>
      </c>
      <c r="L1804" s="7">
        <v>80800</v>
      </c>
      <c r="M1804" s="7">
        <v>8700</v>
      </c>
      <c r="N1804" s="7">
        <v>89500</v>
      </c>
      <c r="O1804" t="s">
        <v>30</v>
      </c>
      <c r="P1804" s="3">
        <v>41259</v>
      </c>
      <c r="Q1804" t="s">
        <v>28</v>
      </c>
    </row>
    <row r="1805" spans="1:17" x14ac:dyDescent="0.35">
      <c r="A1805" t="s">
        <v>1857</v>
      </c>
      <c r="B1805" t="s">
        <v>16</v>
      </c>
      <c r="C1805">
        <v>41</v>
      </c>
      <c r="D1805" t="s">
        <v>34</v>
      </c>
      <c r="E1805" t="s">
        <v>47</v>
      </c>
      <c r="F1805" t="s">
        <v>36</v>
      </c>
      <c r="G1805">
        <v>8.9</v>
      </c>
      <c r="H1805">
        <v>5.6</v>
      </c>
      <c r="I1805" t="str" cm="1">
        <f t="array" ref="I1805">_xlfn.IFS(G1805&lt;3, "0–2 Years", G1805&lt;6, "3–5 Years", G1805&lt;9, "6–8 Years", G1805&lt;12, "9-11 Years", G1805&gt;=12, "12-14 Years")</f>
        <v>6–8 Years</v>
      </c>
      <c r="J1805">
        <v>3</v>
      </c>
      <c r="K1805" t="s">
        <v>69</v>
      </c>
      <c r="L1805">
        <v>70300</v>
      </c>
      <c r="M1805">
        <v>3100</v>
      </c>
      <c r="N1805">
        <v>73400</v>
      </c>
      <c r="O1805" t="s">
        <v>21</v>
      </c>
      <c r="P1805" s="3">
        <v>42765</v>
      </c>
      <c r="Q1805" t="s">
        <v>36</v>
      </c>
    </row>
    <row r="1806" spans="1:17" x14ac:dyDescent="0.35">
      <c r="A1806" t="s">
        <v>1858</v>
      </c>
      <c r="B1806" t="s">
        <v>16</v>
      </c>
      <c r="C1806">
        <v>30</v>
      </c>
      <c r="D1806" t="s">
        <v>44</v>
      </c>
      <c r="E1806" t="s">
        <v>51</v>
      </c>
      <c r="F1806" t="s">
        <v>28</v>
      </c>
      <c r="G1806">
        <v>4.9000000000000004</v>
      </c>
      <c r="H1806">
        <v>3.6</v>
      </c>
      <c r="I1806" t="str" cm="1">
        <f t="array" ref="I1806">_xlfn.IFS(G1806&lt;3, "0–2 Years", G1806&lt;6, "3–5 Years", G1806&lt;9, "6–8 Years", G1806&lt;12, "9-11 Years", G1806&gt;=12, "12-14 Years")</f>
        <v>3–5 Years</v>
      </c>
      <c r="J1806">
        <v>3</v>
      </c>
      <c r="K1806" t="s">
        <v>20</v>
      </c>
      <c r="L1806">
        <v>77200</v>
      </c>
      <c r="M1806">
        <v>5500</v>
      </c>
      <c r="N1806">
        <v>82700</v>
      </c>
      <c r="O1806" t="s">
        <v>21</v>
      </c>
      <c r="P1806" s="3">
        <v>44224</v>
      </c>
      <c r="Q1806" t="s">
        <v>28</v>
      </c>
    </row>
    <row r="1807" spans="1:17" x14ac:dyDescent="0.35">
      <c r="A1807" t="s">
        <v>1859</v>
      </c>
      <c r="B1807" t="s">
        <v>23</v>
      </c>
      <c r="C1807">
        <v>26</v>
      </c>
      <c r="D1807" t="s">
        <v>44</v>
      </c>
      <c r="E1807" t="s">
        <v>81</v>
      </c>
      <c r="F1807" t="s">
        <v>28</v>
      </c>
      <c r="G1807">
        <v>3.9</v>
      </c>
      <c r="H1807">
        <v>3.9</v>
      </c>
      <c r="I1807" t="str" cm="1">
        <f t="array" ref="I1807">_xlfn.IFS(G1807&lt;3, "0–2 Years", G1807&lt;6, "3–5 Years", G1807&lt;9, "6–8 Years", G1807&lt;12, "9-11 Years", G1807&gt;=12, "12-14 Years")</f>
        <v>3–5 Years</v>
      </c>
      <c r="J1807">
        <v>3</v>
      </c>
      <c r="K1807" t="s">
        <v>20</v>
      </c>
      <c r="L1807">
        <v>80500</v>
      </c>
      <c r="M1807">
        <v>7900</v>
      </c>
      <c r="N1807">
        <v>88400</v>
      </c>
      <c r="O1807" t="s">
        <v>30</v>
      </c>
      <c r="P1807" s="3">
        <v>44613</v>
      </c>
      <c r="Q1807" t="s">
        <v>28</v>
      </c>
    </row>
    <row r="1808" spans="1:17" x14ac:dyDescent="0.35">
      <c r="A1808" t="s">
        <v>1860</v>
      </c>
      <c r="B1808" t="s">
        <v>16</v>
      </c>
      <c r="C1808" s="7">
        <v>40</v>
      </c>
      <c r="D1808" t="s">
        <v>44</v>
      </c>
      <c r="E1808" t="s">
        <v>81</v>
      </c>
      <c r="F1808" t="s">
        <v>28</v>
      </c>
      <c r="G1808" s="9">
        <v>13.3</v>
      </c>
      <c r="H1808" s="7">
        <v>9.3000000000000007</v>
      </c>
      <c r="I1808" t="str" cm="1">
        <f t="array" ref="I1808">_xlfn.IFS(G1808&lt;3, "0–2 Years", G1808&lt;6, "3–5 Years", G1808&lt;9, "6–8 Years", G1808&lt;12, "9-11 Years", G1808&gt;=12, "12-14 Years")</f>
        <v>12-14 Years</v>
      </c>
      <c r="J1808" s="7">
        <v>3</v>
      </c>
      <c r="K1808" t="s">
        <v>20</v>
      </c>
      <c r="L1808" s="7">
        <v>101200</v>
      </c>
      <c r="M1808" s="7">
        <v>15000</v>
      </c>
      <c r="N1808" s="7">
        <v>116200</v>
      </c>
      <c r="O1808" t="s">
        <v>57</v>
      </c>
      <c r="P1808" s="3">
        <v>41163</v>
      </c>
      <c r="Q1808" t="s">
        <v>28</v>
      </c>
    </row>
    <row r="1809" spans="1:17" x14ac:dyDescent="0.35">
      <c r="A1809" t="s">
        <v>1861</v>
      </c>
      <c r="B1809" t="s">
        <v>16</v>
      </c>
      <c r="C1809">
        <v>27</v>
      </c>
      <c r="D1809" t="s">
        <v>34</v>
      </c>
      <c r="E1809" t="s">
        <v>59</v>
      </c>
      <c r="F1809" t="s">
        <v>36</v>
      </c>
      <c r="G1809">
        <v>8.4</v>
      </c>
      <c r="H1809">
        <v>5.5</v>
      </c>
      <c r="I1809" t="str" cm="1">
        <f t="array" ref="I1809">_xlfn.IFS(G1809&lt;3, "0–2 Years", G1809&lt;6, "3–5 Years", G1809&lt;9, "6–8 Years", G1809&lt;12, "9-11 Years", G1809&gt;=12, "12-14 Years")</f>
        <v>6–8 Years</v>
      </c>
      <c r="J1809">
        <v>2</v>
      </c>
      <c r="K1809" t="s">
        <v>20</v>
      </c>
      <c r="L1809">
        <v>121400</v>
      </c>
      <c r="M1809">
        <v>6300</v>
      </c>
      <c r="N1809">
        <v>127700</v>
      </c>
      <c r="O1809" t="s">
        <v>57</v>
      </c>
      <c r="P1809" s="3">
        <v>42966</v>
      </c>
      <c r="Q1809" t="s">
        <v>36</v>
      </c>
    </row>
    <row r="1810" spans="1:17" x14ac:dyDescent="0.35">
      <c r="A1810" t="s">
        <v>1862</v>
      </c>
      <c r="B1810" t="s">
        <v>23</v>
      </c>
      <c r="C1810">
        <v>35</v>
      </c>
      <c r="D1810" t="s">
        <v>55</v>
      </c>
      <c r="E1810" t="s">
        <v>92</v>
      </c>
      <c r="F1810" t="s">
        <v>36</v>
      </c>
      <c r="G1810">
        <v>1.2</v>
      </c>
      <c r="H1810">
        <v>0.2</v>
      </c>
      <c r="I1810" t="str" cm="1">
        <f t="array" ref="I1810">_xlfn.IFS(G1810&lt;3, "0–2 Years", G1810&lt;6, "3–5 Years", G1810&lt;9, "6–8 Years", G1810&lt;12, "9-11 Years", G1810&gt;=12, "12-14 Years")</f>
        <v>0–2 Years</v>
      </c>
      <c r="J1810">
        <v>3</v>
      </c>
      <c r="K1810" t="s">
        <v>20</v>
      </c>
      <c r="L1810">
        <v>89900</v>
      </c>
      <c r="M1810">
        <v>9500</v>
      </c>
      <c r="N1810">
        <v>99400</v>
      </c>
      <c r="O1810" t="s">
        <v>30</v>
      </c>
      <c r="P1810" s="3">
        <v>45590</v>
      </c>
      <c r="Q1810" t="s">
        <v>36</v>
      </c>
    </row>
    <row r="1811" spans="1:17" x14ac:dyDescent="0.35">
      <c r="A1811" t="s">
        <v>1863</v>
      </c>
      <c r="B1811" t="s">
        <v>16</v>
      </c>
      <c r="C1811">
        <v>39</v>
      </c>
      <c r="D1811" t="s">
        <v>55</v>
      </c>
      <c r="E1811" t="s">
        <v>92</v>
      </c>
      <c r="F1811" t="s">
        <v>36</v>
      </c>
      <c r="G1811">
        <v>11.3</v>
      </c>
      <c r="H1811">
        <v>7</v>
      </c>
      <c r="I1811" t="str" cm="1">
        <f t="array" ref="I1811">_xlfn.IFS(G1811&lt;3, "0–2 Years", G1811&lt;6, "3–5 Years", G1811&lt;9, "6–8 Years", G1811&lt;12, "9-11 Years", G1811&gt;=12, "12-14 Years")</f>
        <v>9-11 Years</v>
      </c>
      <c r="J1811">
        <v>3</v>
      </c>
      <c r="K1811" t="s">
        <v>20</v>
      </c>
      <c r="L1811">
        <v>101800</v>
      </c>
      <c r="M1811">
        <v>17900</v>
      </c>
      <c r="N1811">
        <v>119700</v>
      </c>
      <c r="O1811" t="s">
        <v>57</v>
      </c>
      <c r="P1811" s="3">
        <v>41879</v>
      </c>
      <c r="Q1811" t="s">
        <v>36</v>
      </c>
    </row>
    <row r="1812" spans="1:17" x14ac:dyDescent="0.35">
      <c r="A1812" t="s">
        <v>1864</v>
      </c>
      <c r="B1812" t="s">
        <v>16</v>
      </c>
      <c r="C1812">
        <v>33</v>
      </c>
      <c r="D1812" t="s">
        <v>34</v>
      </c>
      <c r="E1812" t="s">
        <v>47</v>
      </c>
      <c r="F1812" t="s">
        <v>28</v>
      </c>
      <c r="G1812">
        <v>8.3000000000000007</v>
      </c>
      <c r="H1812">
        <v>4.9000000000000004</v>
      </c>
      <c r="I1812" t="str" cm="1">
        <f t="array" ref="I1812">_xlfn.IFS(G1812&lt;3, "0–2 Years", G1812&lt;6, "3–5 Years", G1812&lt;9, "6–8 Years", G1812&lt;12, "9-11 Years", G1812&gt;=12, "12-14 Years")</f>
        <v>6–8 Years</v>
      </c>
      <c r="J1812">
        <v>4</v>
      </c>
      <c r="K1812" t="s">
        <v>20</v>
      </c>
      <c r="L1812">
        <v>89000</v>
      </c>
      <c r="M1812">
        <v>4000</v>
      </c>
      <c r="N1812">
        <v>93000</v>
      </c>
      <c r="O1812" t="s">
        <v>30</v>
      </c>
      <c r="P1812" s="3">
        <v>42974</v>
      </c>
      <c r="Q1812" t="s">
        <v>28</v>
      </c>
    </row>
    <row r="1813" spans="1:17" x14ac:dyDescent="0.35">
      <c r="A1813" t="s">
        <v>1865</v>
      </c>
      <c r="B1813" t="s">
        <v>16</v>
      </c>
      <c r="C1813">
        <v>34</v>
      </c>
      <c r="D1813" t="s">
        <v>17</v>
      </c>
      <c r="E1813" t="s">
        <v>32</v>
      </c>
      <c r="F1813" t="s">
        <v>36</v>
      </c>
      <c r="G1813">
        <v>6.8</v>
      </c>
      <c r="H1813">
        <v>6.8</v>
      </c>
      <c r="I1813" t="str" cm="1">
        <f t="array" ref="I1813">_xlfn.IFS(G1813&lt;3, "0–2 Years", G1813&lt;6, "3–5 Years", G1813&lt;9, "6–8 Years", G1813&lt;12, "9-11 Years", G1813&gt;=12, "12-14 Years")</f>
        <v>6–8 Years</v>
      </c>
      <c r="J1813">
        <v>3</v>
      </c>
      <c r="K1813" t="s">
        <v>24</v>
      </c>
      <c r="L1813">
        <v>49200</v>
      </c>
      <c r="M1813">
        <v>2900</v>
      </c>
      <c r="N1813">
        <v>52100</v>
      </c>
      <c r="O1813" t="s">
        <v>65</v>
      </c>
      <c r="P1813" s="3">
        <v>43548</v>
      </c>
      <c r="Q1813" t="s">
        <v>36</v>
      </c>
    </row>
    <row r="1814" spans="1:17" x14ac:dyDescent="0.35">
      <c r="A1814" t="s">
        <v>1866</v>
      </c>
      <c r="B1814" t="s">
        <v>16</v>
      </c>
      <c r="C1814">
        <v>51</v>
      </c>
      <c r="D1814" t="s">
        <v>44</v>
      </c>
      <c r="E1814" t="s">
        <v>51</v>
      </c>
      <c r="F1814" t="s">
        <v>28</v>
      </c>
      <c r="G1814">
        <v>4.9000000000000004</v>
      </c>
      <c r="H1814">
        <v>2.7</v>
      </c>
      <c r="I1814" t="str" cm="1">
        <f t="array" ref="I1814">_xlfn.IFS(G1814&lt;3, "0–2 Years", G1814&lt;6, "3–5 Years", G1814&lt;9, "6–8 Years", G1814&lt;12, "9-11 Years", G1814&gt;=12, "12-14 Years")</f>
        <v>3–5 Years</v>
      </c>
      <c r="J1814">
        <v>2</v>
      </c>
      <c r="K1814" t="s">
        <v>20</v>
      </c>
      <c r="L1814">
        <v>80600</v>
      </c>
      <c r="M1814">
        <v>7100</v>
      </c>
      <c r="N1814">
        <v>87700</v>
      </c>
      <c r="O1814" t="s">
        <v>30</v>
      </c>
      <c r="P1814" s="3">
        <v>44219</v>
      </c>
      <c r="Q1814" t="s">
        <v>28</v>
      </c>
    </row>
    <row r="1815" spans="1:17" x14ac:dyDescent="0.35">
      <c r="A1815" t="s">
        <v>1867</v>
      </c>
      <c r="B1815" t="s">
        <v>23</v>
      </c>
      <c r="C1815">
        <v>21</v>
      </c>
      <c r="D1815" t="s">
        <v>17</v>
      </c>
      <c r="E1815" t="s">
        <v>32</v>
      </c>
      <c r="F1815" t="s">
        <v>28</v>
      </c>
      <c r="G1815">
        <v>1.5</v>
      </c>
      <c r="H1815">
        <v>1.5</v>
      </c>
      <c r="I1815" t="str" cm="1">
        <f t="array" ref="I1815">_xlfn.IFS(G1815&lt;3, "0–2 Years", G1815&lt;6, "3–5 Years", G1815&lt;9, "6–8 Years", G1815&lt;12, "9-11 Years", G1815&gt;=12, "12-14 Years")</f>
        <v>0–2 Years</v>
      </c>
      <c r="J1815">
        <v>3</v>
      </c>
      <c r="K1815" t="s">
        <v>20</v>
      </c>
      <c r="L1815">
        <v>56400</v>
      </c>
      <c r="M1815">
        <v>5200</v>
      </c>
      <c r="N1815">
        <v>61600</v>
      </c>
      <c r="O1815" t="s">
        <v>25</v>
      </c>
      <c r="P1815" s="3">
        <v>45469</v>
      </c>
      <c r="Q1815" t="s">
        <v>28</v>
      </c>
    </row>
    <row r="1816" spans="1:17" x14ac:dyDescent="0.35">
      <c r="A1816" t="s">
        <v>1868</v>
      </c>
      <c r="B1816" t="s">
        <v>16</v>
      </c>
      <c r="C1816">
        <v>21</v>
      </c>
      <c r="D1816" t="s">
        <v>34</v>
      </c>
      <c r="E1816" t="s">
        <v>47</v>
      </c>
      <c r="F1816" t="s">
        <v>28</v>
      </c>
      <c r="G1816">
        <v>7.3</v>
      </c>
      <c r="H1816">
        <v>4.8</v>
      </c>
      <c r="I1816" t="str" cm="1">
        <f t="array" ref="I1816">_xlfn.IFS(G1816&lt;3, "0–2 Years", G1816&lt;6, "3–5 Years", G1816&lt;9, "6–8 Years", G1816&lt;12, "9-11 Years", G1816&gt;=12, "12-14 Years")</f>
        <v>6–8 Years</v>
      </c>
      <c r="J1816">
        <v>4</v>
      </c>
      <c r="K1816" t="s">
        <v>20</v>
      </c>
      <c r="L1816">
        <v>76200</v>
      </c>
      <c r="M1816">
        <v>7300</v>
      </c>
      <c r="N1816">
        <v>83500</v>
      </c>
      <c r="O1816" t="s">
        <v>21</v>
      </c>
      <c r="P1816" s="3">
        <v>43349</v>
      </c>
      <c r="Q1816" t="s">
        <v>28</v>
      </c>
    </row>
    <row r="1817" spans="1:17" x14ac:dyDescent="0.35">
      <c r="A1817" t="s">
        <v>1869</v>
      </c>
      <c r="B1817" t="s">
        <v>16</v>
      </c>
      <c r="C1817">
        <v>32</v>
      </c>
      <c r="D1817" t="s">
        <v>38</v>
      </c>
      <c r="E1817" t="s">
        <v>39</v>
      </c>
      <c r="F1817" t="s">
        <v>36</v>
      </c>
      <c r="G1817">
        <v>6.1</v>
      </c>
      <c r="H1817">
        <v>2.1</v>
      </c>
      <c r="I1817" t="str" cm="1">
        <f t="array" ref="I1817">_xlfn.IFS(G1817&lt;3, "0–2 Years", G1817&lt;6, "3–5 Years", G1817&lt;9, "6–8 Years", G1817&lt;12, "9-11 Years", G1817&gt;=12, "12-14 Years")</f>
        <v>6–8 Years</v>
      </c>
      <c r="J1817">
        <v>5</v>
      </c>
      <c r="K1817" t="s">
        <v>20</v>
      </c>
      <c r="L1817">
        <v>92200</v>
      </c>
      <c r="M1817">
        <v>9400</v>
      </c>
      <c r="N1817">
        <v>101600</v>
      </c>
      <c r="O1817" t="s">
        <v>30</v>
      </c>
      <c r="P1817" s="3">
        <v>43803</v>
      </c>
      <c r="Q1817" t="s">
        <v>36</v>
      </c>
    </row>
    <row r="1818" spans="1:17" x14ac:dyDescent="0.35">
      <c r="A1818" t="s">
        <v>1870</v>
      </c>
      <c r="B1818" t="s">
        <v>16</v>
      </c>
      <c r="C1818">
        <v>21</v>
      </c>
      <c r="D1818" t="s">
        <v>55</v>
      </c>
      <c r="E1818" t="s">
        <v>56</v>
      </c>
      <c r="F1818" t="s">
        <v>36</v>
      </c>
      <c r="G1818">
        <v>2.2999999999999998</v>
      </c>
      <c r="H1818">
        <v>0.4</v>
      </c>
      <c r="I1818" t="str" cm="1">
        <f t="array" ref="I1818">_xlfn.IFS(G1818&lt;3, "0–2 Years", G1818&lt;6, "3–5 Years", G1818&lt;9, "6–8 Years", G1818&lt;12, "9-11 Years", G1818&gt;=12, "12-14 Years")</f>
        <v>0–2 Years</v>
      </c>
      <c r="J1818">
        <v>1</v>
      </c>
      <c r="K1818" t="s">
        <v>20</v>
      </c>
      <c r="L1818">
        <v>90900</v>
      </c>
      <c r="M1818">
        <v>17300</v>
      </c>
      <c r="N1818">
        <v>108200</v>
      </c>
      <c r="O1818" t="s">
        <v>30</v>
      </c>
      <c r="P1818" s="3">
        <v>45173</v>
      </c>
      <c r="Q1818" t="s">
        <v>36</v>
      </c>
    </row>
    <row r="1819" spans="1:17" x14ac:dyDescent="0.35">
      <c r="A1819" t="s">
        <v>1871</v>
      </c>
      <c r="B1819" t="s">
        <v>23</v>
      </c>
      <c r="C1819">
        <v>35</v>
      </c>
      <c r="D1819" t="s">
        <v>38</v>
      </c>
      <c r="E1819" t="s">
        <v>39</v>
      </c>
      <c r="F1819" t="s">
        <v>28</v>
      </c>
      <c r="G1819">
        <v>3.2</v>
      </c>
      <c r="H1819">
        <v>2.5</v>
      </c>
      <c r="I1819" t="str" cm="1">
        <f t="array" ref="I1819">_xlfn.IFS(G1819&lt;3, "0–2 Years", G1819&lt;6, "3–5 Years", G1819&lt;9, "6–8 Years", G1819&lt;12, "9-11 Years", G1819&gt;=12, "12-14 Years")</f>
        <v>3–5 Years</v>
      </c>
      <c r="J1819">
        <v>2</v>
      </c>
      <c r="K1819" t="s">
        <v>20</v>
      </c>
      <c r="L1819">
        <v>66400</v>
      </c>
      <c r="M1819">
        <v>5700</v>
      </c>
      <c r="N1819">
        <v>72100</v>
      </c>
      <c r="O1819" t="s">
        <v>21</v>
      </c>
      <c r="P1819" s="3">
        <v>44839</v>
      </c>
      <c r="Q1819" t="s">
        <v>28</v>
      </c>
    </row>
    <row r="1820" spans="1:17" x14ac:dyDescent="0.35">
      <c r="A1820" t="s">
        <v>1872</v>
      </c>
      <c r="B1820" t="s">
        <v>16</v>
      </c>
      <c r="C1820">
        <v>38</v>
      </c>
      <c r="D1820" t="s">
        <v>17</v>
      </c>
      <c r="E1820" t="s">
        <v>18</v>
      </c>
      <c r="F1820" t="s">
        <v>28</v>
      </c>
      <c r="G1820">
        <v>2</v>
      </c>
      <c r="H1820">
        <v>0.3</v>
      </c>
      <c r="I1820" t="str" cm="1">
        <f t="array" ref="I1820">_xlfn.IFS(G1820&lt;3, "0–2 Years", G1820&lt;6, "3–5 Years", G1820&lt;9, "6–8 Years", G1820&lt;12, "9-11 Years", G1820&gt;=12, "12-14 Years")</f>
        <v>0–2 Years</v>
      </c>
      <c r="J1820">
        <v>3</v>
      </c>
      <c r="K1820" t="s">
        <v>20</v>
      </c>
      <c r="L1820">
        <v>92400</v>
      </c>
      <c r="M1820">
        <v>11900</v>
      </c>
      <c r="N1820">
        <v>104300</v>
      </c>
      <c r="O1820" t="s">
        <v>30</v>
      </c>
      <c r="P1820" s="3">
        <v>45291</v>
      </c>
      <c r="Q1820" t="s">
        <v>28</v>
      </c>
    </row>
    <row r="1821" spans="1:17" x14ac:dyDescent="0.35">
      <c r="A1821" t="s">
        <v>1873</v>
      </c>
      <c r="B1821" t="s">
        <v>16</v>
      </c>
      <c r="C1821" s="7">
        <v>40</v>
      </c>
      <c r="D1821" t="s">
        <v>55</v>
      </c>
      <c r="E1821" t="s">
        <v>56</v>
      </c>
      <c r="F1821" t="s">
        <v>28</v>
      </c>
      <c r="G1821" s="9">
        <v>12.4</v>
      </c>
      <c r="H1821" s="7">
        <v>7.2</v>
      </c>
      <c r="I1821" t="str" cm="1">
        <f t="array" ref="I1821">_xlfn.IFS(G1821&lt;3, "0–2 Years", G1821&lt;6, "3–5 Years", G1821&lt;9, "6–8 Years", G1821&lt;12, "9-11 Years", G1821&gt;=12, "12-14 Years")</f>
        <v>12-14 Years</v>
      </c>
      <c r="J1821" s="7">
        <v>3</v>
      </c>
      <c r="K1821" t="s">
        <v>20</v>
      </c>
      <c r="L1821" s="7">
        <v>121600</v>
      </c>
      <c r="M1821" s="7">
        <v>21400</v>
      </c>
      <c r="N1821" s="7">
        <v>143000</v>
      </c>
      <c r="O1821" t="s">
        <v>57</v>
      </c>
      <c r="P1821" s="3">
        <v>41500</v>
      </c>
      <c r="Q1821" t="s">
        <v>28</v>
      </c>
    </row>
    <row r="1822" spans="1:17" x14ac:dyDescent="0.35">
      <c r="A1822" t="s">
        <v>1874</v>
      </c>
      <c r="B1822" t="s">
        <v>23</v>
      </c>
      <c r="C1822">
        <v>41</v>
      </c>
      <c r="D1822" t="s">
        <v>38</v>
      </c>
      <c r="E1822" t="s">
        <v>61</v>
      </c>
      <c r="F1822" t="s">
        <v>28</v>
      </c>
      <c r="G1822">
        <v>10.9</v>
      </c>
      <c r="H1822">
        <v>6.5</v>
      </c>
      <c r="I1822" t="str" cm="1">
        <f t="array" ref="I1822">_xlfn.IFS(G1822&lt;3, "0–2 Years", G1822&lt;6, "3–5 Years", G1822&lt;9, "6–8 Years", G1822&lt;12, "9-11 Years", G1822&gt;=12, "12-14 Years")</f>
        <v>9-11 Years</v>
      </c>
      <c r="J1822">
        <v>3</v>
      </c>
      <c r="K1822" t="s">
        <v>20</v>
      </c>
      <c r="L1822">
        <v>100000</v>
      </c>
      <c r="M1822">
        <v>9000</v>
      </c>
      <c r="N1822">
        <v>109000</v>
      </c>
      <c r="O1822" t="s">
        <v>57</v>
      </c>
      <c r="P1822" s="3">
        <v>42039</v>
      </c>
      <c r="Q1822" t="s">
        <v>28</v>
      </c>
    </row>
    <row r="1823" spans="1:17" x14ac:dyDescent="0.35">
      <c r="A1823" t="s">
        <v>1875</v>
      </c>
      <c r="B1823" t="s">
        <v>23</v>
      </c>
      <c r="C1823">
        <v>42</v>
      </c>
      <c r="D1823" t="s">
        <v>44</v>
      </c>
      <c r="E1823" t="s">
        <v>76</v>
      </c>
      <c r="F1823" t="s">
        <v>36</v>
      </c>
      <c r="G1823">
        <v>3.9</v>
      </c>
      <c r="H1823">
        <v>3.9</v>
      </c>
      <c r="I1823" t="str" cm="1">
        <f t="array" ref="I1823">_xlfn.IFS(G1823&lt;3, "0–2 Years", G1823&lt;6, "3–5 Years", G1823&lt;9, "6–8 Years", G1823&lt;12, "9-11 Years", G1823&gt;=12, "12-14 Years")</f>
        <v>3–5 Years</v>
      </c>
      <c r="J1823">
        <v>4</v>
      </c>
      <c r="K1823" t="s">
        <v>20</v>
      </c>
      <c r="L1823">
        <v>111600</v>
      </c>
      <c r="M1823">
        <v>12500</v>
      </c>
      <c r="N1823">
        <v>124100</v>
      </c>
      <c r="O1823" t="s">
        <v>57</v>
      </c>
      <c r="P1823" s="3">
        <v>44596</v>
      </c>
      <c r="Q1823" t="s">
        <v>36</v>
      </c>
    </row>
    <row r="1824" spans="1:17" x14ac:dyDescent="0.35">
      <c r="A1824" t="s">
        <v>1876</v>
      </c>
      <c r="B1824" t="s">
        <v>16</v>
      </c>
      <c r="C1824" s="7">
        <v>39</v>
      </c>
      <c r="D1824" t="s">
        <v>17</v>
      </c>
      <c r="E1824" t="s">
        <v>32</v>
      </c>
      <c r="F1824" t="s">
        <v>36</v>
      </c>
      <c r="G1824" s="9">
        <v>13.6</v>
      </c>
      <c r="H1824" s="7">
        <v>8.6</v>
      </c>
      <c r="I1824" t="str" cm="1">
        <f t="array" ref="I1824">_xlfn.IFS(G1824&lt;3, "0–2 Years", G1824&lt;6, "3–5 Years", G1824&lt;9, "6–8 Years", G1824&lt;12, "9-11 Years", G1824&gt;=12, "12-14 Years")</f>
        <v>12-14 Years</v>
      </c>
      <c r="J1824" s="7">
        <v>3</v>
      </c>
      <c r="K1824" t="s">
        <v>20</v>
      </c>
      <c r="L1824" s="7">
        <v>73500</v>
      </c>
      <c r="M1824" s="7">
        <v>9400</v>
      </c>
      <c r="N1824" s="7">
        <v>82900</v>
      </c>
      <c r="O1824" t="s">
        <v>21</v>
      </c>
      <c r="P1824" s="3">
        <v>41049</v>
      </c>
      <c r="Q1824" t="s">
        <v>36</v>
      </c>
    </row>
    <row r="1825" spans="1:17" x14ac:dyDescent="0.35">
      <c r="A1825" t="s">
        <v>1877</v>
      </c>
      <c r="B1825" t="s">
        <v>23</v>
      </c>
      <c r="C1825" s="7">
        <v>39</v>
      </c>
      <c r="D1825" t="s">
        <v>17</v>
      </c>
      <c r="E1825" t="s">
        <v>32</v>
      </c>
      <c r="F1825" t="s">
        <v>19</v>
      </c>
      <c r="G1825" s="9">
        <v>13.2</v>
      </c>
      <c r="H1825" s="7">
        <v>7.8</v>
      </c>
      <c r="I1825" t="str" cm="1">
        <f t="array" ref="I1825">_xlfn.IFS(G1825&lt;3, "0–2 Years", G1825&lt;6, "3–5 Years", G1825&lt;9, "6–8 Years", G1825&lt;12, "9-11 Years", G1825&gt;=12, "12-14 Years")</f>
        <v>12-14 Years</v>
      </c>
      <c r="J1825" s="7">
        <v>3</v>
      </c>
      <c r="K1825" t="s">
        <v>20</v>
      </c>
      <c r="L1825" s="7">
        <v>62900</v>
      </c>
      <c r="M1825" s="7">
        <v>4900</v>
      </c>
      <c r="N1825" s="7">
        <v>67800</v>
      </c>
      <c r="O1825" t="s">
        <v>25</v>
      </c>
      <c r="P1825" s="3">
        <v>41192</v>
      </c>
      <c r="Q1825" t="s">
        <v>19</v>
      </c>
    </row>
    <row r="1826" spans="1:17" x14ac:dyDescent="0.35">
      <c r="A1826" t="s">
        <v>1878</v>
      </c>
      <c r="B1826" t="s">
        <v>16</v>
      </c>
      <c r="C1826">
        <v>44</v>
      </c>
      <c r="D1826" t="s">
        <v>17</v>
      </c>
      <c r="E1826" t="s">
        <v>18</v>
      </c>
      <c r="F1826" t="s">
        <v>36</v>
      </c>
      <c r="G1826">
        <v>3.8</v>
      </c>
      <c r="H1826">
        <v>3.3</v>
      </c>
      <c r="I1826" t="str" cm="1">
        <f t="array" ref="I1826">_xlfn.IFS(G1826&lt;3, "0–2 Years", G1826&lt;6, "3–5 Years", G1826&lt;9, "6–8 Years", G1826&lt;12, "9-11 Years", G1826&gt;=12, "12-14 Years")</f>
        <v>3–5 Years</v>
      </c>
      <c r="J1826">
        <v>3</v>
      </c>
      <c r="K1826" t="s">
        <v>20</v>
      </c>
      <c r="L1826">
        <v>96300</v>
      </c>
      <c r="M1826">
        <v>9900</v>
      </c>
      <c r="N1826">
        <v>106200</v>
      </c>
      <c r="O1826" t="s">
        <v>30</v>
      </c>
      <c r="P1826" s="3">
        <v>44620</v>
      </c>
      <c r="Q1826" t="s">
        <v>36</v>
      </c>
    </row>
    <row r="1827" spans="1:17" x14ac:dyDescent="0.35">
      <c r="A1827" t="s">
        <v>1879</v>
      </c>
      <c r="B1827" t="s">
        <v>23</v>
      </c>
      <c r="C1827" s="7">
        <v>41</v>
      </c>
      <c r="D1827" t="s">
        <v>38</v>
      </c>
      <c r="E1827" t="s">
        <v>39</v>
      </c>
      <c r="F1827" t="s">
        <v>19</v>
      </c>
      <c r="G1827" s="9">
        <v>13.3</v>
      </c>
      <c r="H1827" s="7">
        <v>9</v>
      </c>
      <c r="I1827" t="str" cm="1">
        <f t="array" ref="I1827">_xlfn.IFS(G1827&lt;3, "0–2 Years", G1827&lt;6, "3–5 Years", G1827&lt;9, "6–8 Years", G1827&lt;12, "9-11 Years", G1827&gt;=12, "12-14 Years")</f>
        <v>12-14 Years</v>
      </c>
      <c r="J1827" s="7">
        <v>2</v>
      </c>
      <c r="K1827" t="s">
        <v>20</v>
      </c>
      <c r="L1827" s="7">
        <v>85000</v>
      </c>
      <c r="M1827" s="7">
        <v>5000</v>
      </c>
      <c r="N1827" s="7">
        <v>90000</v>
      </c>
      <c r="O1827" t="s">
        <v>30</v>
      </c>
      <c r="P1827" s="3">
        <v>41161</v>
      </c>
      <c r="Q1827" t="s">
        <v>19</v>
      </c>
    </row>
    <row r="1828" spans="1:17" x14ac:dyDescent="0.35">
      <c r="A1828" t="s">
        <v>1880</v>
      </c>
      <c r="B1828" t="s">
        <v>23</v>
      </c>
      <c r="C1828">
        <v>43</v>
      </c>
      <c r="D1828" t="s">
        <v>38</v>
      </c>
      <c r="E1828" t="s">
        <v>112</v>
      </c>
      <c r="F1828" t="s">
        <v>19</v>
      </c>
      <c r="G1828">
        <v>3.7</v>
      </c>
      <c r="H1828">
        <v>2</v>
      </c>
      <c r="I1828" t="str" cm="1">
        <f t="array" ref="I1828">_xlfn.IFS(G1828&lt;3, "0–2 Years", G1828&lt;6, "3–5 Years", G1828&lt;9, "6–8 Years", G1828&lt;12, "9-11 Years", G1828&gt;=12, "12-14 Years")</f>
        <v>3–5 Years</v>
      </c>
      <c r="J1828">
        <v>3</v>
      </c>
      <c r="K1828" t="s">
        <v>20</v>
      </c>
      <c r="L1828">
        <v>68600</v>
      </c>
      <c r="M1828">
        <v>2700</v>
      </c>
      <c r="N1828">
        <v>71300</v>
      </c>
      <c r="O1828" t="s">
        <v>21</v>
      </c>
      <c r="P1828" s="3">
        <v>44655</v>
      </c>
      <c r="Q1828" t="s">
        <v>19</v>
      </c>
    </row>
    <row r="1829" spans="1:17" x14ac:dyDescent="0.35">
      <c r="A1829" t="s">
        <v>1881</v>
      </c>
      <c r="B1829" t="s">
        <v>23</v>
      </c>
      <c r="C1829" s="7">
        <v>30</v>
      </c>
      <c r="D1829" t="s">
        <v>41</v>
      </c>
      <c r="E1829" t="s">
        <v>42</v>
      </c>
      <c r="F1829" t="s">
        <v>19</v>
      </c>
      <c r="G1829" s="9">
        <v>13.3</v>
      </c>
      <c r="H1829" s="7">
        <v>9.8000000000000007</v>
      </c>
      <c r="I1829" t="str" cm="1">
        <f t="array" ref="I1829">_xlfn.IFS(G1829&lt;3, "0–2 Years", G1829&lt;6, "3–5 Years", G1829&lt;9, "6–8 Years", G1829&lt;12, "9-11 Years", G1829&gt;=12, "12-14 Years")</f>
        <v>12-14 Years</v>
      </c>
      <c r="J1829" s="7">
        <v>3</v>
      </c>
      <c r="K1829" t="s">
        <v>20</v>
      </c>
      <c r="L1829" s="7">
        <v>74500</v>
      </c>
      <c r="M1829" s="7">
        <v>5700</v>
      </c>
      <c r="N1829" s="7">
        <v>80200</v>
      </c>
      <c r="O1829" t="s">
        <v>21</v>
      </c>
      <c r="P1829" s="3">
        <v>41154</v>
      </c>
      <c r="Q1829" t="s">
        <v>19</v>
      </c>
    </row>
    <row r="1830" spans="1:17" x14ac:dyDescent="0.35">
      <c r="A1830" t="s">
        <v>1882</v>
      </c>
      <c r="B1830" t="s">
        <v>23</v>
      </c>
      <c r="C1830">
        <v>35</v>
      </c>
      <c r="D1830" t="s">
        <v>38</v>
      </c>
      <c r="E1830" t="s">
        <v>112</v>
      </c>
      <c r="F1830" t="s">
        <v>36</v>
      </c>
      <c r="G1830">
        <v>7.3</v>
      </c>
      <c r="H1830">
        <v>4.2</v>
      </c>
      <c r="I1830" t="str" cm="1">
        <f t="array" ref="I1830">_xlfn.IFS(G1830&lt;3, "0–2 Years", G1830&lt;6, "3–5 Years", G1830&lt;9, "6–8 Years", G1830&lt;12, "9-11 Years", G1830&gt;=12, "12-14 Years")</f>
        <v>6–8 Years</v>
      </c>
      <c r="J1830">
        <v>4</v>
      </c>
      <c r="K1830" t="s">
        <v>20</v>
      </c>
      <c r="L1830">
        <v>68900</v>
      </c>
      <c r="M1830">
        <v>4200</v>
      </c>
      <c r="N1830">
        <v>73100</v>
      </c>
      <c r="O1830" t="s">
        <v>21</v>
      </c>
      <c r="P1830" s="3">
        <v>43368</v>
      </c>
      <c r="Q1830" t="s">
        <v>36</v>
      </c>
    </row>
    <row r="1831" spans="1:17" x14ac:dyDescent="0.35">
      <c r="A1831" t="s">
        <v>1883</v>
      </c>
      <c r="B1831" t="s">
        <v>16</v>
      </c>
      <c r="C1831">
        <v>44</v>
      </c>
      <c r="D1831" t="s">
        <v>34</v>
      </c>
      <c r="E1831" t="s">
        <v>47</v>
      </c>
      <c r="F1831" t="s">
        <v>19</v>
      </c>
      <c r="G1831">
        <v>6.8</v>
      </c>
      <c r="H1831">
        <v>6.1</v>
      </c>
      <c r="I1831" t="str" cm="1">
        <f t="array" ref="I1831">_xlfn.IFS(G1831&lt;3, "0–2 Years", G1831&lt;6, "3–5 Years", G1831&lt;9, "6–8 Years", G1831&lt;12, "9-11 Years", G1831&gt;=12, "12-14 Years")</f>
        <v>6–8 Years</v>
      </c>
      <c r="J1831">
        <v>3</v>
      </c>
      <c r="K1831" t="s">
        <v>20</v>
      </c>
      <c r="L1831">
        <v>76700</v>
      </c>
      <c r="M1831">
        <v>7500</v>
      </c>
      <c r="N1831">
        <v>84200</v>
      </c>
      <c r="O1831" t="s">
        <v>21</v>
      </c>
      <c r="P1831" s="3">
        <v>43530</v>
      </c>
      <c r="Q1831" t="s">
        <v>19</v>
      </c>
    </row>
    <row r="1832" spans="1:17" x14ac:dyDescent="0.35">
      <c r="A1832" t="s">
        <v>1884</v>
      </c>
      <c r="B1832" t="s">
        <v>16</v>
      </c>
      <c r="C1832">
        <v>32</v>
      </c>
      <c r="D1832" t="s">
        <v>55</v>
      </c>
      <c r="E1832" t="s">
        <v>92</v>
      </c>
      <c r="F1832" t="s">
        <v>28</v>
      </c>
      <c r="G1832">
        <v>4.7</v>
      </c>
      <c r="H1832">
        <v>2.1</v>
      </c>
      <c r="I1832" t="str" cm="1">
        <f t="array" ref="I1832">_xlfn.IFS(G1832&lt;3, "0–2 Years", G1832&lt;6, "3–5 Years", G1832&lt;9, "6–8 Years", G1832&lt;12, "9-11 Years", G1832&gt;=12, "12-14 Years")</f>
        <v>3–5 Years</v>
      </c>
      <c r="J1832">
        <v>2</v>
      </c>
      <c r="K1832" t="s">
        <v>20</v>
      </c>
      <c r="L1832">
        <v>97800</v>
      </c>
      <c r="M1832">
        <v>14200</v>
      </c>
      <c r="N1832">
        <v>112000</v>
      </c>
      <c r="O1832" t="s">
        <v>30</v>
      </c>
      <c r="P1832" s="3">
        <v>44312</v>
      </c>
      <c r="Q1832" t="s">
        <v>28</v>
      </c>
    </row>
    <row r="1833" spans="1:17" x14ac:dyDescent="0.35">
      <c r="A1833" t="s">
        <v>1885</v>
      </c>
      <c r="B1833" t="s">
        <v>16</v>
      </c>
      <c r="C1833">
        <v>41</v>
      </c>
      <c r="D1833" t="s">
        <v>17</v>
      </c>
      <c r="E1833" t="s">
        <v>27</v>
      </c>
      <c r="F1833" t="s">
        <v>28</v>
      </c>
      <c r="G1833">
        <v>7.6</v>
      </c>
      <c r="H1833">
        <v>5.7</v>
      </c>
      <c r="I1833" t="str" cm="1">
        <f t="array" ref="I1833">_xlfn.IFS(G1833&lt;3, "0–2 Years", G1833&lt;6, "3–5 Years", G1833&lt;9, "6–8 Years", G1833&lt;12, "9-11 Years", G1833&gt;=12, "12-14 Years")</f>
        <v>6–8 Years</v>
      </c>
      <c r="J1833">
        <v>3</v>
      </c>
      <c r="K1833" t="s">
        <v>20</v>
      </c>
      <c r="L1833">
        <v>80800</v>
      </c>
      <c r="M1833">
        <v>7200</v>
      </c>
      <c r="N1833">
        <v>88000</v>
      </c>
      <c r="O1833" t="s">
        <v>30</v>
      </c>
      <c r="P1833" s="3">
        <v>43263</v>
      </c>
      <c r="Q1833" t="s">
        <v>28</v>
      </c>
    </row>
    <row r="1834" spans="1:17" x14ac:dyDescent="0.35">
      <c r="A1834" t="s">
        <v>1886</v>
      </c>
      <c r="B1834" t="s">
        <v>16</v>
      </c>
      <c r="C1834">
        <v>30</v>
      </c>
      <c r="D1834" t="s">
        <v>55</v>
      </c>
      <c r="E1834" t="s">
        <v>56</v>
      </c>
      <c r="F1834" t="s">
        <v>36</v>
      </c>
      <c r="G1834">
        <v>9.3000000000000007</v>
      </c>
      <c r="H1834">
        <v>7.1</v>
      </c>
      <c r="I1834" t="str" cm="1">
        <f t="array" ref="I1834">_xlfn.IFS(G1834&lt;3, "0–2 Years", G1834&lt;6, "3–5 Years", G1834&lt;9, "6–8 Years", G1834&lt;12, "9-11 Years", G1834&gt;=12, "12-14 Years")</f>
        <v>9-11 Years</v>
      </c>
      <c r="J1834">
        <v>5</v>
      </c>
      <c r="K1834" t="s">
        <v>20</v>
      </c>
      <c r="L1834">
        <v>121500</v>
      </c>
      <c r="M1834">
        <v>19700</v>
      </c>
      <c r="N1834">
        <v>141200</v>
      </c>
      <c r="O1834" t="s">
        <v>57</v>
      </c>
      <c r="P1834" s="3">
        <v>42643</v>
      </c>
      <c r="Q1834" t="s">
        <v>36</v>
      </c>
    </row>
    <row r="1835" spans="1:17" x14ac:dyDescent="0.35">
      <c r="A1835" t="s">
        <v>1887</v>
      </c>
      <c r="B1835" t="s">
        <v>23</v>
      </c>
      <c r="C1835">
        <v>32</v>
      </c>
      <c r="D1835" t="s">
        <v>55</v>
      </c>
      <c r="E1835" t="s">
        <v>79</v>
      </c>
      <c r="F1835" t="s">
        <v>28</v>
      </c>
      <c r="G1835">
        <v>7.9</v>
      </c>
      <c r="H1835">
        <v>2.8</v>
      </c>
      <c r="I1835" t="str" cm="1">
        <f t="array" ref="I1835">_xlfn.IFS(G1835&lt;3, "0–2 Years", G1835&lt;6, "3–5 Years", G1835&lt;9, "6–8 Years", G1835&lt;12, "9-11 Years", G1835&gt;=12, "12-14 Years")</f>
        <v>6–8 Years</v>
      </c>
      <c r="J1835">
        <v>3</v>
      </c>
      <c r="K1835" t="s">
        <v>20</v>
      </c>
      <c r="L1835">
        <v>54900</v>
      </c>
      <c r="M1835">
        <v>6500</v>
      </c>
      <c r="N1835">
        <v>61400</v>
      </c>
      <c r="O1835" t="s">
        <v>25</v>
      </c>
      <c r="P1835" s="3">
        <v>43152</v>
      </c>
      <c r="Q1835" t="s">
        <v>28</v>
      </c>
    </row>
    <row r="1836" spans="1:17" x14ac:dyDescent="0.35">
      <c r="A1836" t="s">
        <v>1888</v>
      </c>
      <c r="B1836" t="s">
        <v>23</v>
      </c>
      <c r="C1836">
        <v>24</v>
      </c>
      <c r="D1836" t="s">
        <v>38</v>
      </c>
      <c r="E1836" t="s">
        <v>39</v>
      </c>
      <c r="F1836" t="s">
        <v>28</v>
      </c>
      <c r="G1836">
        <v>3.4</v>
      </c>
      <c r="H1836">
        <v>1.3</v>
      </c>
      <c r="I1836" t="str" cm="1">
        <f t="array" ref="I1836">_xlfn.IFS(G1836&lt;3, "0–2 Years", G1836&lt;6, "3–5 Years", G1836&lt;9, "6–8 Years", G1836&lt;12, "9-11 Years", G1836&gt;=12, "12-14 Years")</f>
        <v>3–5 Years</v>
      </c>
      <c r="J1836">
        <v>2</v>
      </c>
      <c r="K1836" t="s">
        <v>20</v>
      </c>
      <c r="L1836">
        <v>75900</v>
      </c>
      <c r="M1836">
        <v>5900</v>
      </c>
      <c r="N1836">
        <v>81800</v>
      </c>
      <c r="O1836" t="s">
        <v>21</v>
      </c>
      <c r="P1836" s="3">
        <v>44781</v>
      </c>
      <c r="Q1836" t="s">
        <v>28</v>
      </c>
    </row>
    <row r="1837" spans="1:17" x14ac:dyDescent="0.35">
      <c r="A1837" t="s">
        <v>1889</v>
      </c>
      <c r="B1837" t="s">
        <v>23</v>
      </c>
      <c r="C1837">
        <v>27</v>
      </c>
      <c r="D1837" t="s">
        <v>44</v>
      </c>
      <c r="E1837" t="s">
        <v>45</v>
      </c>
      <c r="F1837" t="s">
        <v>36</v>
      </c>
      <c r="G1837">
        <v>2.5</v>
      </c>
      <c r="H1837">
        <v>2.2000000000000002</v>
      </c>
      <c r="I1837" t="str" cm="1">
        <f t="array" ref="I1837">_xlfn.IFS(G1837&lt;3, "0–2 Years", G1837&lt;6, "3–5 Years", G1837&lt;9, "6–8 Years", G1837&lt;12, "9-11 Years", G1837&gt;=12, "12-14 Years")</f>
        <v>0–2 Years</v>
      </c>
      <c r="J1837">
        <v>3</v>
      </c>
      <c r="K1837" t="s">
        <v>20</v>
      </c>
      <c r="L1837">
        <v>67700</v>
      </c>
      <c r="M1837">
        <v>3400</v>
      </c>
      <c r="N1837">
        <v>71100</v>
      </c>
      <c r="O1837" t="s">
        <v>21</v>
      </c>
      <c r="P1837" s="3">
        <v>45093</v>
      </c>
      <c r="Q1837" t="s">
        <v>36</v>
      </c>
    </row>
    <row r="1838" spans="1:17" x14ac:dyDescent="0.35">
      <c r="A1838" t="s">
        <v>1890</v>
      </c>
      <c r="B1838" t="s">
        <v>23</v>
      </c>
      <c r="C1838">
        <v>36</v>
      </c>
      <c r="D1838" t="s">
        <v>17</v>
      </c>
      <c r="E1838" t="s">
        <v>32</v>
      </c>
      <c r="F1838" t="s">
        <v>28</v>
      </c>
      <c r="G1838">
        <v>3.8</v>
      </c>
      <c r="H1838">
        <v>3.3</v>
      </c>
      <c r="I1838" t="str" cm="1">
        <f t="array" ref="I1838">_xlfn.IFS(G1838&lt;3, "0–2 Years", G1838&lt;6, "3–5 Years", G1838&lt;9, "6–8 Years", G1838&lt;12, "9-11 Years", G1838&gt;=12, "12-14 Years")</f>
        <v>3–5 Years</v>
      </c>
      <c r="J1838">
        <v>4</v>
      </c>
      <c r="K1838" t="s">
        <v>20</v>
      </c>
      <c r="L1838">
        <v>62100</v>
      </c>
      <c r="M1838">
        <v>4300</v>
      </c>
      <c r="N1838">
        <v>66400</v>
      </c>
      <c r="O1838" t="s">
        <v>25</v>
      </c>
      <c r="P1838" s="3">
        <v>44623</v>
      </c>
      <c r="Q1838" t="s">
        <v>28</v>
      </c>
    </row>
    <row r="1839" spans="1:17" x14ac:dyDescent="0.35">
      <c r="A1839" t="s">
        <v>1891</v>
      </c>
      <c r="B1839" t="s">
        <v>23</v>
      </c>
      <c r="C1839">
        <v>44</v>
      </c>
      <c r="D1839" t="s">
        <v>55</v>
      </c>
      <c r="E1839" t="s">
        <v>92</v>
      </c>
      <c r="F1839" t="s">
        <v>28</v>
      </c>
      <c r="G1839">
        <v>3.1</v>
      </c>
      <c r="H1839">
        <v>2</v>
      </c>
      <c r="I1839" t="str" cm="1">
        <f t="array" ref="I1839">_xlfn.IFS(G1839&lt;3, "0–2 Years", G1839&lt;6, "3–5 Years", G1839&lt;9, "6–8 Years", G1839&lt;12, "9-11 Years", G1839&gt;=12, "12-14 Years")</f>
        <v>3–5 Years</v>
      </c>
      <c r="J1839">
        <v>4</v>
      </c>
      <c r="K1839" t="s">
        <v>20</v>
      </c>
      <c r="L1839">
        <v>114200</v>
      </c>
      <c r="M1839">
        <v>15400</v>
      </c>
      <c r="N1839">
        <v>129600</v>
      </c>
      <c r="O1839" t="s">
        <v>57</v>
      </c>
      <c r="P1839" s="3">
        <v>44901</v>
      </c>
      <c r="Q1839" t="s">
        <v>28</v>
      </c>
    </row>
    <row r="1840" spans="1:17" x14ac:dyDescent="0.35">
      <c r="A1840" t="s">
        <v>1892</v>
      </c>
      <c r="B1840" t="s">
        <v>23</v>
      </c>
      <c r="C1840">
        <v>36</v>
      </c>
      <c r="D1840" t="s">
        <v>17</v>
      </c>
      <c r="E1840" t="s">
        <v>27</v>
      </c>
      <c r="F1840" t="s">
        <v>19</v>
      </c>
      <c r="G1840">
        <v>5.5</v>
      </c>
      <c r="H1840">
        <v>4.5999999999999996</v>
      </c>
      <c r="I1840" t="str" cm="1">
        <f t="array" ref="I1840">_xlfn.IFS(G1840&lt;3, "0–2 Years", G1840&lt;6, "3–5 Years", G1840&lt;9, "6–8 Years", G1840&lt;12, "9-11 Years", G1840&gt;=12, "12-14 Years")</f>
        <v>3–5 Years</v>
      </c>
      <c r="J1840">
        <v>4</v>
      </c>
      <c r="K1840" t="s">
        <v>20</v>
      </c>
      <c r="L1840">
        <v>72100</v>
      </c>
      <c r="M1840">
        <v>5000</v>
      </c>
      <c r="N1840">
        <v>77100</v>
      </c>
      <c r="O1840" t="s">
        <v>21</v>
      </c>
      <c r="P1840" s="3">
        <v>44012</v>
      </c>
      <c r="Q1840" t="s">
        <v>19</v>
      </c>
    </row>
    <row r="1841" spans="1:17" x14ac:dyDescent="0.35">
      <c r="A1841" t="s">
        <v>1893</v>
      </c>
      <c r="B1841" t="s">
        <v>23</v>
      </c>
      <c r="C1841" s="7">
        <v>48</v>
      </c>
      <c r="D1841" t="s">
        <v>41</v>
      </c>
      <c r="E1841" t="s">
        <v>42</v>
      </c>
      <c r="F1841" t="s">
        <v>36</v>
      </c>
      <c r="G1841" s="9">
        <v>12.9</v>
      </c>
      <c r="H1841" s="7">
        <v>8.1999999999999993</v>
      </c>
      <c r="I1841" t="str" cm="1">
        <f t="array" ref="I1841">_xlfn.IFS(G1841&lt;3, "0–2 Years", G1841&lt;6, "3–5 Years", G1841&lt;9, "6–8 Years", G1841&lt;12, "9-11 Years", G1841&gt;=12, "12-14 Years")</f>
        <v>12-14 Years</v>
      </c>
      <c r="J1841" s="7">
        <v>3</v>
      </c>
      <c r="K1841" t="s">
        <v>20</v>
      </c>
      <c r="L1841" s="7">
        <v>85700</v>
      </c>
      <c r="M1841" s="7">
        <v>6100</v>
      </c>
      <c r="N1841" s="7">
        <v>91800</v>
      </c>
      <c r="O1841" t="s">
        <v>30</v>
      </c>
      <c r="P1841" s="3">
        <v>41306</v>
      </c>
      <c r="Q1841" t="s">
        <v>36</v>
      </c>
    </row>
    <row r="1842" spans="1:17" x14ac:dyDescent="0.35">
      <c r="A1842" t="s">
        <v>1894</v>
      </c>
      <c r="B1842" t="s">
        <v>23</v>
      </c>
      <c r="C1842">
        <v>46</v>
      </c>
      <c r="D1842" t="s">
        <v>41</v>
      </c>
      <c r="E1842" t="s">
        <v>73</v>
      </c>
      <c r="F1842" t="s">
        <v>62</v>
      </c>
      <c r="G1842">
        <v>8.6999999999999993</v>
      </c>
      <c r="H1842">
        <v>7.7</v>
      </c>
      <c r="I1842" t="str" cm="1">
        <f t="array" ref="I1842">_xlfn.IFS(G1842&lt;3, "0–2 Years", G1842&lt;6, "3–5 Years", G1842&lt;9, "6–8 Years", G1842&lt;12, "9-11 Years", G1842&gt;=12, "12-14 Years")</f>
        <v>6–8 Years</v>
      </c>
      <c r="J1842">
        <v>4</v>
      </c>
      <c r="K1842" t="s">
        <v>20</v>
      </c>
      <c r="L1842">
        <v>104800</v>
      </c>
      <c r="M1842">
        <v>5800</v>
      </c>
      <c r="N1842">
        <v>110600</v>
      </c>
      <c r="O1842" t="s">
        <v>57</v>
      </c>
      <c r="P1842" s="3">
        <v>42859</v>
      </c>
      <c r="Q1842" t="s">
        <v>62</v>
      </c>
    </row>
    <row r="1843" spans="1:17" x14ac:dyDescent="0.35">
      <c r="A1843" t="s">
        <v>1895</v>
      </c>
      <c r="B1843" t="s">
        <v>16</v>
      </c>
      <c r="C1843">
        <v>40</v>
      </c>
      <c r="D1843" t="s">
        <v>38</v>
      </c>
      <c r="E1843" t="s">
        <v>61</v>
      </c>
      <c r="F1843" t="s">
        <v>28</v>
      </c>
      <c r="G1843">
        <v>9.3000000000000007</v>
      </c>
      <c r="H1843">
        <v>4.7</v>
      </c>
      <c r="I1843" t="str" cm="1">
        <f t="array" ref="I1843">_xlfn.IFS(G1843&lt;3, "0–2 Years", G1843&lt;6, "3–5 Years", G1843&lt;9, "6–8 Years", G1843&lt;12, "9-11 Years", G1843&gt;=12, "12-14 Years")</f>
        <v>9-11 Years</v>
      </c>
      <c r="J1843">
        <v>5</v>
      </c>
      <c r="K1843" t="s">
        <v>69</v>
      </c>
      <c r="L1843">
        <v>86000</v>
      </c>
      <c r="M1843">
        <v>8200</v>
      </c>
      <c r="N1843">
        <v>94200</v>
      </c>
      <c r="O1843" t="s">
        <v>30</v>
      </c>
      <c r="P1843" s="3">
        <v>42611</v>
      </c>
      <c r="Q1843" t="s">
        <v>28</v>
      </c>
    </row>
    <row r="1844" spans="1:17" x14ac:dyDescent="0.35">
      <c r="A1844" t="s">
        <v>1896</v>
      </c>
      <c r="B1844" t="s">
        <v>23</v>
      </c>
      <c r="C1844">
        <v>40</v>
      </c>
      <c r="D1844" t="s">
        <v>38</v>
      </c>
      <c r="E1844" t="s">
        <v>39</v>
      </c>
      <c r="F1844" t="s">
        <v>28</v>
      </c>
      <c r="G1844">
        <v>3.3</v>
      </c>
      <c r="H1844">
        <v>2.2999999999999998</v>
      </c>
      <c r="I1844" t="str" cm="1">
        <f t="array" ref="I1844">_xlfn.IFS(G1844&lt;3, "0–2 Years", G1844&lt;6, "3–5 Years", G1844&lt;9, "6–8 Years", G1844&lt;12, "9-11 Years", G1844&gt;=12, "12-14 Years")</f>
        <v>3–5 Years</v>
      </c>
      <c r="J1844">
        <v>3</v>
      </c>
      <c r="K1844" t="s">
        <v>24</v>
      </c>
      <c r="L1844">
        <v>40900</v>
      </c>
      <c r="M1844">
        <v>3600</v>
      </c>
      <c r="N1844">
        <v>44500</v>
      </c>
      <c r="O1844" t="s">
        <v>65</v>
      </c>
      <c r="P1844" s="3">
        <v>44831</v>
      </c>
      <c r="Q1844" t="s">
        <v>28</v>
      </c>
    </row>
    <row r="1845" spans="1:17" x14ac:dyDescent="0.35">
      <c r="A1845" t="s">
        <v>1897</v>
      </c>
      <c r="B1845" t="s">
        <v>16</v>
      </c>
      <c r="C1845">
        <v>42</v>
      </c>
      <c r="D1845" t="s">
        <v>41</v>
      </c>
      <c r="E1845" t="s">
        <v>42</v>
      </c>
      <c r="F1845" t="s">
        <v>19</v>
      </c>
      <c r="G1845">
        <v>5.4</v>
      </c>
      <c r="H1845">
        <v>5</v>
      </c>
      <c r="I1845" t="str" cm="1">
        <f t="array" ref="I1845">_xlfn.IFS(G1845&lt;3, "0–2 Years", G1845&lt;6, "3–5 Years", G1845&lt;9, "6–8 Years", G1845&lt;12, "9-11 Years", G1845&gt;=12, "12-14 Years")</f>
        <v>3–5 Years</v>
      </c>
      <c r="J1845">
        <v>2</v>
      </c>
      <c r="K1845" t="s">
        <v>69</v>
      </c>
      <c r="L1845">
        <v>57300</v>
      </c>
      <c r="M1845">
        <v>3800</v>
      </c>
      <c r="N1845">
        <v>61100</v>
      </c>
      <c r="O1845" t="s">
        <v>25</v>
      </c>
      <c r="P1845" s="3">
        <v>44036</v>
      </c>
      <c r="Q1845" t="s">
        <v>19</v>
      </c>
    </row>
    <row r="1846" spans="1:17" x14ac:dyDescent="0.35">
      <c r="A1846" t="s">
        <v>1898</v>
      </c>
      <c r="B1846" t="s">
        <v>16</v>
      </c>
      <c r="C1846" s="7">
        <v>25</v>
      </c>
      <c r="D1846" t="s">
        <v>17</v>
      </c>
      <c r="E1846" t="s">
        <v>32</v>
      </c>
      <c r="F1846" t="s">
        <v>36</v>
      </c>
      <c r="G1846" s="9">
        <v>13.8</v>
      </c>
      <c r="H1846" s="7">
        <v>7.2</v>
      </c>
      <c r="I1846" t="str" cm="1">
        <f t="array" ref="I1846">_xlfn.IFS(G1846&lt;3, "0–2 Years", G1846&lt;6, "3–5 Years", G1846&lt;9, "6–8 Years", G1846&lt;12, "9-11 Years", G1846&gt;=12, "12-14 Years")</f>
        <v>12-14 Years</v>
      </c>
      <c r="J1846" s="7">
        <v>3</v>
      </c>
      <c r="K1846" t="s">
        <v>24</v>
      </c>
      <c r="L1846" s="7">
        <v>47600</v>
      </c>
      <c r="M1846" s="7">
        <v>3900</v>
      </c>
      <c r="N1846" s="7">
        <v>51500</v>
      </c>
      <c r="O1846" t="s">
        <v>65</v>
      </c>
      <c r="P1846" s="3">
        <v>40999</v>
      </c>
      <c r="Q1846" t="s">
        <v>36</v>
      </c>
    </row>
    <row r="1847" spans="1:17" x14ac:dyDescent="0.35">
      <c r="A1847" t="s">
        <v>1899</v>
      </c>
      <c r="B1847" t="s">
        <v>23</v>
      </c>
      <c r="C1847">
        <v>33</v>
      </c>
      <c r="D1847" t="s">
        <v>41</v>
      </c>
      <c r="E1847" t="s">
        <v>42</v>
      </c>
      <c r="F1847" t="s">
        <v>36</v>
      </c>
      <c r="G1847">
        <v>8.3000000000000007</v>
      </c>
      <c r="H1847">
        <v>6.1</v>
      </c>
      <c r="I1847" t="str" cm="1">
        <f t="array" ref="I1847">_xlfn.IFS(G1847&lt;3, "0–2 Years", G1847&lt;6, "3–5 Years", G1847&lt;9, "6–8 Years", G1847&lt;12, "9-11 Years", G1847&gt;=12, "12-14 Years")</f>
        <v>6–8 Years</v>
      </c>
      <c r="J1847">
        <v>4</v>
      </c>
      <c r="K1847" t="s">
        <v>20</v>
      </c>
      <c r="L1847">
        <v>80400</v>
      </c>
      <c r="M1847">
        <v>3800</v>
      </c>
      <c r="N1847">
        <v>84200</v>
      </c>
      <c r="O1847" t="s">
        <v>30</v>
      </c>
      <c r="P1847" s="3">
        <v>42998</v>
      </c>
      <c r="Q1847" t="s">
        <v>36</v>
      </c>
    </row>
    <row r="1848" spans="1:17" x14ac:dyDescent="0.35">
      <c r="A1848" t="s">
        <v>1900</v>
      </c>
      <c r="B1848" t="s">
        <v>23</v>
      </c>
      <c r="C1848">
        <v>32</v>
      </c>
      <c r="D1848" t="s">
        <v>55</v>
      </c>
      <c r="E1848" t="s">
        <v>79</v>
      </c>
      <c r="F1848" t="s">
        <v>28</v>
      </c>
      <c r="G1848">
        <v>6.2</v>
      </c>
      <c r="H1848">
        <v>4.8</v>
      </c>
      <c r="I1848" t="str" cm="1">
        <f t="array" ref="I1848">_xlfn.IFS(G1848&lt;3, "0–2 Years", G1848&lt;6, "3–5 Years", G1848&lt;9, "6–8 Years", G1848&lt;12, "9-11 Years", G1848&gt;=12, "12-14 Years")</f>
        <v>6–8 Years</v>
      </c>
      <c r="J1848">
        <v>2</v>
      </c>
      <c r="K1848" t="s">
        <v>20</v>
      </c>
      <c r="L1848">
        <v>61700</v>
      </c>
      <c r="M1848">
        <v>5500</v>
      </c>
      <c r="N1848">
        <v>67200</v>
      </c>
      <c r="O1848" t="s">
        <v>25</v>
      </c>
      <c r="P1848" s="3">
        <v>43772</v>
      </c>
      <c r="Q1848" t="s">
        <v>28</v>
      </c>
    </row>
    <row r="1849" spans="1:17" x14ac:dyDescent="0.35">
      <c r="A1849" t="s">
        <v>1901</v>
      </c>
      <c r="B1849" t="s">
        <v>23</v>
      </c>
      <c r="C1849">
        <v>29</v>
      </c>
      <c r="D1849" t="s">
        <v>38</v>
      </c>
      <c r="E1849" t="s">
        <v>112</v>
      </c>
      <c r="F1849" t="s">
        <v>36</v>
      </c>
      <c r="G1849">
        <v>6.1</v>
      </c>
      <c r="H1849">
        <v>6.1</v>
      </c>
      <c r="I1849" t="str" cm="1">
        <f t="array" ref="I1849">_xlfn.IFS(G1849&lt;3, "0–2 Years", G1849&lt;6, "3–5 Years", G1849&lt;9, "6–8 Years", G1849&lt;12, "9-11 Years", G1849&gt;=12, "12-14 Years")</f>
        <v>6–8 Years</v>
      </c>
      <c r="J1849">
        <v>3</v>
      </c>
      <c r="K1849" t="s">
        <v>20</v>
      </c>
      <c r="L1849">
        <v>74200</v>
      </c>
      <c r="M1849">
        <v>6100</v>
      </c>
      <c r="N1849">
        <v>80300</v>
      </c>
      <c r="O1849" t="s">
        <v>21</v>
      </c>
      <c r="P1849" s="3">
        <v>43813</v>
      </c>
      <c r="Q1849" t="s">
        <v>36</v>
      </c>
    </row>
    <row r="1850" spans="1:17" x14ac:dyDescent="0.35">
      <c r="A1850" t="s">
        <v>1902</v>
      </c>
      <c r="B1850" t="s">
        <v>16</v>
      </c>
      <c r="C1850" s="7">
        <v>45</v>
      </c>
      <c r="D1850" t="s">
        <v>38</v>
      </c>
      <c r="E1850" t="s">
        <v>112</v>
      </c>
      <c r="F1850" t="s">
        <v>28</v>
      </c>
      <c r="G1850" s="9">
        <v>12.7</v>
      </c>
      <c r="H1850" s="7">
        <v>7</v>
      </c>
      <c r="I1850" t="str" cm="1">
        <f t="array" ref="I1850">_xlfn.IFS(G1850&lt;3, "0–2 Years", G1850&lt;6, "3–5 Years", G1850&lt;9, "6–8 Years", G1850&lt;12, "9-11 Years", G1850&gt;=12, "12-14 Years")</f>
        <v>12-14 Years</v>
      </c>
      <c r="J1850" s="7">
        <v>4</v>
      </c>
      <c r="K1850" t="s">
        <v>20</v>
      </c>
      <c r="L1850" s="7">
        <v>82100</v>
      </c>
      <c r="M1850" s="7">
        <v>3300</v>
      </c>
      <c r="N1850" s="7">
        <v>85400</v>
      </c>
      <c r="O1850" t="s">
        <v>30</v>
      </c>
      <c r="P1850" s="3">
        <v>41383</v>
      </c>
      <c r="Q1850" t="s">
        <v>28</v>
      </c>
    </row>
    <row r="1851" spans="1:17" x14ac:dyDescent="0.35">
      <c r="A1851" t="s">
        <v>1903</v>
      </c>
      <c r="B1851" t="s">
        <v>16</v>
      </c>
      <c r="C1851">
        <v>28</v>
      </c>
      <c r="D1851" t="s">
        <v>38</v>
      </c>
      <c r="E1851" t="s">
        <v>61</v>
      </c>
      <c r="F1851" t="s">
        <v>28</v>
      </c>
      <c r="G1851">
        <v>6</v>
      </c>
      <c r="H1851">
        <v>2.1</v>
      </c>
      <c r="I1851" t="str" cm="1">
        <f t="array" ref="I1851">_xlfn.IFS(G1851&lt;3, "0–2 Years", G1851&lt;6, "3–5 Years", G1851&lt;9, "6–8 Years", G1851&lt;12, "9-11 Years", G1851&gt;=12, "12-14 Years")</f>
        <v>6–8 Years</v>
      </c>
      <c r="J1851">
        <v>2</v>
      </c>
      <c r="K1851" t="s">
        <v>20</v>
      </c>
      <c r="L1851">
        <v>95500</v>
      </c>
      <c r="M1851">
        <v>8500</v>
      </c>
      <c r="N1851">
        <v>104000</v>
      </c>
      <c r="O1851" t="s">
        <v>30</v>
      </c>
      <c r="P1851" s="3">
        <v>43844</v>
      </c>
      <c r="Q1851" t="s">
        <v>28</v>
      </c>
    </row>
    <row r="1852" spans="1:17" x14ac:dyDescent="0.35">
      <c r="A1852" t="s">
        <v>1904</v>
      </c>
      <c r="B1852" t="s">
        <v>16</v>
      </c>
      <c r="C1852" s="7">
        <v>25</v>
      </c>
      <c r="D1852" t="s">
        <v>44</v>
      </c>
      <c r="E1852" t="s">
        <v>45</v>
      </c>
      <c r="F1852" t="s">
        <v>19</v>
      </c>
      <c r="G1852" s="9">
        <v>13.4</v>
      </c>
      <c r="H1852" s="7">
        <v>9.3000000000000007</v>
      </c>
      <c r="I1852" t="str" cm="1">
        <f t="array" ref="I1852">_xlfn.IFS(G1852&lt;3, "0–2 Years", G1852&lt;6, "3–5 Years", G1852&lt;9, "6–8 Years", G1852&lt;12, "9-11 Years", G1852&gt;=12, "12-14 Years")</f>
        <v>12-14 Years</v>
      </c>
      <c r="J1852" s="7">
        <v>3</v>
      </c>
      <c r="K1852" t="s">
        <v>20</v>
      </c>
      <c r="L1852" s="7">
        <v>80600</v>
      </c>
      <c r="M1852" s="7">
        <v>6100</v>
      </c>
      <c r="N1852" s="7">
        <v>86700</v>
      </c>
      <c r="O1852" t="s">
        <v>30</v>
      </c>
      <c r="P1852" s="3">
        <v>41137</v>
      </c>
      <c r="Q1852" t="s">
        <v>19</v>
      </c>
    </row>
    <row r="1853" spans="1:17" x14ac:dyDescent="0.35">
      <c r="A1853" t="s">
        <v>1905</v>
      </c>
      <c r="B1853" t="s">
        <v>16</v>
      </c>
      <c r="C1853">
        <v>33</v>
      </c>
      <c r="D1853" t="s">
        <v>38</v>
      </c>
      <c r="E1853" t="s">
        <v>39</v>
      </c>
      <c r="F1853" t="s">
        <v>36</v>
      </c>
      <c r="G1853">
        <v>8.5</v>
      </c>
      <c r="H1853">
        <v>5</v>
      </c>
      <c r="I1853" t="str" cm="1">
        <f t="array" ref="I1853">_xlfn.IFS(G1853&lt;3, "0–2 Years", G1853&lt;6, "3–5 Years", G1853&lt;9, "6–8 Years", G1853&lt;12, "9-11 Years", G1853&gt;=12, "12-14 Years")</f>
        <v>6–8 Years</v>
      </c>
      <c r="J1853">
        <v>2</v>
      </c>
      <c r="K1853" t="s">
        <v>20</v>
      </c>
      <c r="L1853">
        <v>84900</v>
      </c>
      <c r="M1853">
        <v>3200</v>
      </c>
      <c r="N1853">
        <v>88100</v>
      </c>
      <c r="O1853" t="s">
        <v>30</v>
      </c>
      <c r="P1853" s="3">
        <v>42910</v>
      </c>
      <c r="Q1853" t="s">
        <v>36</v>
      </c>
    </row>
    <row r="1854" spans="1:17" x14ac:dyDescent="0.35">
      <c r="A1854" t="s">
        <v>1906</v>
      </c>
      <c r="B1854" t="s">
        <v>16</v>
      </c>
      <c r="C1854">
        <v>38</v>
      </c>
      <c r="D1854" t="s">
        <v>17</v>
      </c>
      <c r="E1854" t="s">
        <v>18</v>
      </c>
      <c r="F1854" t="s">
        <v>62</v>
      </c>
      <c r="G1854">
        <v>7.1</v>
      </c>
      <c r="H1854">
        <v>4.0999999999999996</v>
      </c>
      <c r="I1854" t="str" cm="1">
        <f t="array" ref="I1854">_xlfn.IFS(G1854&lt;3, "0–2 Years", G1854&lt;6, "3–5 Years", G1854&lt;9, "6–8 Years", G1854&lt;12, "9-11 Years", G1854&gt;=12, "12-14 Years")</f>
        <v>6–8 Years</v>
      </c>
      <c r="J1854">
        <v>3</v>
      </c>
      <c r="K1854" t="s">
        <v>24</v>
      </c>
      <c r="L1854">
        <v>71300</v>
      </c>
      <c r="M1854">
        <v>6800</v>
      </c>
      <c r="N1854">
        <v>78100</v>
      </c>
      <c r="O1854" t="s">
        <v>21</v>
      </c>
      <c r="P1854" s="3">
        <v>43444</v>
      </c>
      <c r="Q1854" t="s">
        <v>62</v>
      </c>
    </row>
    <row r="1855" spans="1:17" x14ac:dyDescent="0.35">
      <c r="A1855" t="s">
        <v>1907</v>
      </c>
      <c r="B1855" t="s">
        <v>23</v>
      </c>
      <c r="C1855">
        <v>32</v>
      </c>
      <c r="D1855" t="s">
        <v>34</v>
      </c>
      <c r="E1855" t="s">
        <v>47</v>
      </c>
      <c r="F1855" t="s">
        <v>62</v>
      </c>
      <c r="G1855">
        <v>2.9</v>
      </c>
      <c r="H1855">
        <v>1.1000000000000001</v>
      </c>
      <c r="I1855" t="str" cm="1">
        <f t="array" ref="I1855">_xlfn.IFS(G1855&lt;3, "0–2 Years", G1855&lt;6, "3–5 Years", G1855&lt;9, "6–8 Years", G1855&lt;12, "9-11 Years", G1855&gt;=12, "12-14 Years")</f>
        <v>0–2 Years</v>
      </c>
      <c r="J1855">
        <v>3</v>
      </c>
      <c r="K1855" t="s">
        <v>20</v>
      </c>
      <c r="L1855">
        <v>79400</v>
      </c>
      <c r="M1855">
        <v>9300</v>
      </c>
      <c r="N1855">
        <v>88700</v>
      </c>
      <c r="O1855" t="s">
        <v>21</v>
      </c>
      <c r="P1855" s="3">
        <v>44963</v>
      </c>
      <c r="Q1855" t="s">
        <v>62</v>
      </c>
    </row>
    <row r="1856" spans="1:17" x14ac:dyDescent="0.35">
      <c r="A1856" t="s">
        <v>1908</v>
      </c>
      <c r="B1856" t="s">
        <v>16</v>
      </c>
      <c r="C1856">
        <v>42</v>
      </c>
      <c r="D1856" t="s">
        <v>34</v>
      </c>
      <c r="E1856" t="s">
        <v>47</v>
      </c>
      <c r="F1856" t="s">
        <v>62</v>
      </c>
      <c r="G1856">
        <v>8.4</v>
      </c>
      <c r="I1856" t="str" cm="1">
        <f t="array" ref="I1856">_xlfn.IFS(G1856&lt;3, "0–2 Years", G1856&lt;6, "3–5 Years", G1856&lt;9, "6–8 Years", G1856&lt;12, "9-11 Years", G1856&gt;=12, "12-14 Years")</f>
        <v>6–8 Years</v>
      </c>
      <c r="J1856">
        <v>4</v>
      </c>
      <c r="K1856" t="s">
        <v>20</v>
      </c>
      <c r="L1856">
        <v>92100</v>
      </c>
      <c r="M1856">
        <v>10300</v>
      </c>
      <c r="N1856">
        <v>102400</v>
      </c>
      <c r="O1856" t="s">
        <v>30</v>
      </c>
      <c r="P1856" s="3">
        <v>42945</v>
      </c>
      <c r="Q1856" t="s">
        <v>62</v>
      </c>
    </row>
    <row r="1857" spans="1:17" x14ac:dyDescent="0.35">
      <c r="A1857" t="s">
        <v>1909</v>
      </c>
      <c r="B1857" t="s">
        <v>23</v>
      </c>
      <c r="C1857">
        <v>33</v>
      </c>
      <c r="D1857" t="s">
        <v>55</v>
      </c>
      <c r="E1857" t="s">
        <v>56</v>
      </c>
      <c r="F1857" t="s">
        <v>28</v>
      </c>
      <c r="G1857">
        <v>10</v>
      </c>
      <c r="H1857">
        <v>7.4</v>
      </c>
      <c r="I1857" t="str" cm="1">
        <f t="array" ref="I1857">_xlfn.IFS(G1857&lt;3, "0–2 Years", G1857&lt;6, "3–5 Years", G1857&lt;9, "6–8 Years", G1857&lt;12, "9-11 Years", G1857&gt;=12, "12-14 Years")</f>
        <v>9-11 Years</v>
      </c>
      <c r="J1857">
        <v>3</v>
      </c>
      <c r="K1857" t="s">
        <v>20</v>
      </c>
      <c r="L1857">
        <v>102000</v>
      </c>
      <c r="M1857">
        <v>9000</v>
      </c>
      <c r="N1857">
        <v>111000</v>
      </c>
      <c r="O1857" t="s">
        <v>57</v>
      </c>
      <c r="P1857" s="3">
        <v>42382</v>
      </c>
      <c r="Q1857" t="s">
        <v>28</v>
      </c>
    </row>
    <row r="1858" spans="1:17" x14ac:dyDescent="0.35">
      <c r="A1858" t="s">
        <v>1910</v>
      </c>
      <c r="B1858" t="s">
        <v>23</v>
      </c>
      <c r="C1858">
        <v>33</v>
      </c>
      <c r="D1858" t="s">
        <v>34</v>
      </c>
      <c r="E1858" t="s">
        <v>47</v>
      </c>
      <c r="F1858" t="s">
        <v>19</v>
      </c>
      <c r="G1858">
        <v>6.1</v>
      </c>
      <c r="H1858">
        <v>5.8</v>
      </c>
      <c r="I1858" t="str" cm="1">
        <f t="array" ref="I1858">_xlfn.IFS(G1858&lt;3, "0–2 Years", G1858&lt;6, "3–5 Years", G1858&lt;9, "6–8 Years", G1858&lt;12, "9-11 Years", G1858&gt;=12, "12-14 Years")</f>
        <v>6–8 Years</v>
      </c>
      <c r="J1858">
        <v>4</v>
      </c>
      <c r="K1858" t="s">
        <v>20</v>
      </c>
      <c r="L1858">
        <v>74000</v>
      </c>
      <c r="M1858">
        <v>7600</v>
      </c>
      <c r="N1858">
        <v>81600</v>
      </c>
      <c r="O1858" t="s">
        <v>21</v>
      </c>
      <c r="P1858" s="3">
        <v>43789</v>
      </c>
      <c r="Q1858" t="s">
        <v>19</v>
      </c>
    </row>
    <row r="1859" spans="1:17" x14ac:dyDescent="0.35">
      <c r="A1859" t="s">
        <v>1911</v>
      </c>
      <c r="B1859" t="s">
        <v>16</v>
      </c>
      <c r="C1859">
        <v>50</v>
      </c>
      <c r="D1859" t="s">
        <v>38</v>
      </c>
      <c r="E1859" t="s">
        <v>39</v>
      </c>
      <c r="F1859" t="s">
        <v>28</v>
      </c>
      <c r="G1859">
        <v>3.2</v>
      </c>
      <c r="H1859">
        <v>2.2999999999999998</v>
      </c>
      <c r="I1859" t="str" cm="1">
        <f t="array" ref="I1859">_xlfn.IFS(G1859&lt;3, "0–2 Years", G1859&lt;6, "3–5 Years", G1859&lt;9, "6–8 Years", G1859&lt;12, "9-11 Years", G1859&gt;=12, "12-14 Years")</f>
        <v>3–5 Years</v>
      </c>
      <c r="J1859">
        <v>4</v>
      </c>
      <c r="K1859" t="s">
        <v>24</v>
      </c>
      <c r="L1859">
        <v>48600</v>
      </c>
      <c r="M1859">
        <v>2300</v>
      </c>
      <c r="N1859">
        <v>50900</v>
      </c>
      <c r="O1859" t="s">
        <v>65</v>
      </c>
      <c r="P1859" s="3">
        <v>44837</v>
      </c>
      <c r="Q1859" t="s">
        <v>28</v>
      </c>
    </row>
    <row r="1860" spans="1:17" x14ac:dyDescent="0.35">
      <c r="A1860" t="s">
        <v>1912</v>
      </c>
      <c r="B1860" t="s">
        <v>23</v>
      </c>
      <c r="C1860">
        <v>31</v>
      </c>
      <c r="D1860" t="s">
        <v>55</v>
      </c>
      <c r="E1860" t="s">
        <v>79</v>
      </c>
      <c r="F1860" t="s">
        <v>19</v>
      </c>
      <c r="G1860">
        <v>3.9</v>
      </c>
      <c r="H1860">
        <v>0.4</v>
      </c>
      <c r="I1860" t="str" cm="1">
        <f t="array" ref="I1860">_xlfn.IFS(G1860&lt;3, "0–2 Years", G1860&lt;6, "3–5 Years", G1860&lt;9, "6–8 Years", G1860&lt;12, "9-11 Years", G1860&gt;=12, "12-14 Years")</f>
        <v>3–5 Years</v>
      </c>
      <c r="J1860">
        <v>4</v>
      </c>
      <c r="K1860" t="s">
        <v>20</v>
      </c>
      <c r="L1860">
        <v>53500</v>
      </c>
      <c r="M1860">
        <v>4000</v>
      </c>
      <c r="N1860">
        <v>57500</v>
      </c>
      <c r="O1860" t="s">
        <v>25</v>
      </c>
      <c r="P1860" s="3">
        <v>44592</v>
      </c>
      <c r="Q1860" t="s">
        <v>19</v>
      </c>
    </row>
    <row r="1861" spans="1:17" x14ac:dyDescent="0.35">
      <c r="A1861" t="s">
        <v>1913</v>
      </c>
      <c r="B1861" t="s">
        <v>23</v>
      </c>
      <c r="C1861">
        <v>43</v>
      </c>
      <c r="D1861" t="s">
        <v>44</v>
      </c>
      <c r="E1861" t="s">
        <v>51</v>
      </c>
      <c r="F1861" t="s">
        <v>28</v>
      </c>
      <c r="G1861">
        <v>8.4</v>
      </c>
      <c r="H1861">
        <v>7.9</v>
      </c>
      <c r="I1861" t="str" cm="1">
        <f t="array" ref="I1861">_xlfn.IFS(G1861&lt;3, "0–2 Years", G1861&lt;6, "3–5 Years", G1861&lt;9, "6–8 Years", G1861&lt;12, "9-11 Years", G1861&gt;=12, "12-14 Years")</f>
        <v>6–8 Years</v>
      </c>
      <c r="J1861">
        <v>4</v>
      </c>
      <c r="K1861" t="s">
        <v>24</v>
      </c>
      <c r="L1861">
        <v>50800</v>
      </c>
      <c r="M1861">
        <v>3300</v>
      </c>
      <c r="N1861">
        <v>54100</v>
      </c>
      <c r="O1861" t="s">
        <v>25</v>
      </c>
      <c r="P1861" s="3">
        <v>42939</v>
      </c>
      <c r="Q1861" t="s">
        <v>28</v>
      </c>
    </row>
    <row r="1862" spans="1:17" x14ac:dyDescent="0.35">
      <c r="A1862" t="s">
        <v>1914</v>
      </c>
      <c r="B1862" t="s">
        <v>23</v>
      </c>
      <c r="C1862">
        <v>30</v>
      </c>
      <c r="D1862" t="s">
        <v>44</v>
      </c>
      <c r="E1862" t="s">
        <v>76</v>
      </c>
      <c r="F1862" t="s">
        <v>19</v>
      </c>
      <c r="G1862">
        <v>7.2</v>
      </c>
      <c r="H1862">
        <v>5.4</v>
      </c>
      <c r="I1862" t="str" cm="1">
        <f t="array" ref="I1862">_xlfn.IFS(G1862&lt;3, "0–2 Years", G1862&lt;6, "3–5 Years", G1862&lt;9, "6–8 Years", G1862&lt;12, "9-11 Years", G1862&gt;=12, "12-14 Years")</f>
        <v>6–8 Years</v>
      </c>
      <c r="J1862">
        <v>4</v>
      </c>
      <c r="K1862" t="s">
        <v>20</v>
      </c>
      <c r="L1862">
        <v>100600</v>
      </c>
      <c r="M1862">
        <v>14300</v>
      </c>
      <c r="N1862">
        <v>114900</v>
      </c>
      <c r="O1862" t="s">
        <v>57</v>
      </c>
      <c r="P1862" s="3">
        <v>43382</v>
      </c>
      <c r="Q1862" t="s">
        <v>19</v>
      </c>
    </row>
    <row r="1863" spans="1:17" x14ac:dyDescent="0.35">
      <c r="A1863" t="s">
        <v>1915</v>
      </c>
      <c r="B1863" t="s">
        <v>23</v>
      </c>
      <c r="C1863" s="7">
        <v>38</v>
      </c>
      <c r="D1863" t="s">
        <v>41</v>
      </c>
      <c r="E1863" t="s">
        <v>73</v>
      </c>
      <c r="F1863" t="s">
        <v>36</v>
      </c>
      <c r="G1863" s="9">
        <v>13.8</v>
      </c>
      <c r="H1863" s="7">
        <v>11.4</v>
      </c>
      <c r="I1863" t="str" cm="1">
        <f t="array" ref="I1863">_xlfn.IFS(G1863&lt;3, "0–2 Years", G1863&lt;6, "3–5 Years", G1863&lt;9, "6–8 Years", G1863&lt;12, "9-11 Years", G1863&gt;=12, "12-14 Years")</f>
        <v>12-14 Years</v>
      </c>
      <c r="J1863" s="7">
        <v>4</v>
      </c>
      <c r="K1863" t="s">
        <v>20</v>
      </c>
      <c r="L1863" s="7">
        <v>119400</v>
      </c>
      <c r="M1863" s="7">
        <v>10700</v>
      </c>
      <c r="N1863" s="7">
        <v>130100</v>
      </c>
      <c r="O1863" t="s">
        <v>57</v>
      </c>
      <c r="P1863" s="3">
        <v>40985</v>
      </c>
      <c r="Q1863" t="s">
        <v>36</v>
      </c>
    </row>
    <row r="1864" spans="1:17" x14ac:dyDescent="0.35">
      <c r="A1864" t="s">
        <v>1916</v>
      </c>
      <c r="B1864" t="s">
        <v>23</v>
      </c>
      <c r="C1864" s="7">
        <v>34</v>
      </c>
      <c r="D1864" t="s">
        <v>55</v>
      </c>
      <c r="E1864" t="s">
        <v>79</v>
      </c>
      <c r="F1864" t="s">
        <v>19</v>
      </c>
      <c r="G1864" s="9">
        <v>13.2</v>
      </c>
      <c r="H1864" s="7">
        <v>8.1999999999999993</v>
      </c>
      <c r="I1864" t="str" cm="1">
        <f t="array" ref="I1864">_xlfn.IFS(G1864&lt;3, "0–2 Years", G1864&lt;6, "3–5 Years", G1864&lt;9, "6–8 Years", G1864&lt;12, "9-11 Years", G1864&gt;=12, "12-14 Years")</f>
        <v>12-14 Years</v>
      </c>
      <c r="J1864" s="7">
        <v>3</v>
      </c>
      <c r="K1864" t="s">
        <v>20</v>
      </c>
      <c r="L1864" s="7">
        <v>75800</v>
      </c>
      <c r="M1864" s="7">
        <v>14300</v>
      </c>
      <c r="N1864" s="7">
        <v>90100</v>
      </c>
      <c r="O1864" t="s">
        <v>21</v>
      </c>
      <c r="P1864" s="3">
        <v>41197</v>
      </c>
      <c r="Q1864" t="s">
        <v>19</v>
      </c>
    </row>
    <row r="1865" spans="1:17" x14ac:dyDescent="0.35">
      <c r="A1865" t="s">
        <v>1917</v>
      </c>
      <c r="B1865" t="s">
        <v>16</v>
      </c>
      <c r="C1865">
        <v>21</v>
      </c>
      <c r="D1865" t="s">
        <v>41</v>
      </c>
      <c r="E1865" t="s">
        <v>73</v>
      </c>
      <c r="F1865" t="s">
        <v>36</v>
      </c>
      <c r="G1865">
        <v>7.7</v>
      </c>
      <c r="H1865">
        <v>4.5</v>
      </c>
      <c r="I1865" t="str" cm="1">
        <f t="array" ref="I1865">_xlfn.IFS(G1865&lt;3, "0–2 Years", G1865&lt;6, "3–5 Years", G1865&lt;9, "6–8 Years", G1865&lt;12, "9-11 Years", G1865&gt;=12, "12-14 Years")</f>
        <v>6–8 Years</v>
      </c>
      <c r="J1865">
        <v>3</v>
      </c>
      <c r="K1865" t="s">
        <v>20</v>
      </c>
      <c r="L1865">
        <v>118200</v>
      </c>
      <c r="M1865">
        <v>7500</v>
      </c>
      <c r="N1865">
        <v>125700</v>
      </c>
      <c r="O1865" t="s">
        <v>57</v>
      </c>
      <c r="P1865" s="3">
        <v>43222</v>
      </c>
      <c r="Q1865" t="s">
        <v>36</v>
      </c>
    </row>
    <row r="1866" spans="1:17" x14ac:dyDescent="0.35">
      <c r="A1866" t="s">
        <v>1918</v>
      </c>
      <c r="B1866" t="s">
        <v>16</v>
      </c>
      <c r="C1866">
        <v>43</v>
      </c>
      <c r="D1866" t="s">
        <v>38</v>
      </c>
      <c r="E1866" t="s">
        <v>61</v>
      </c>
      <c r="F1866" t="s">
        <v>36</v>
      </c>
      <c r="G1866">
        <v>3.4</v>
      </c>
      <c r="H1866">
        <v>1.7</v>
      </c>
      <c r="I1866" t="str" cm="1">
        <f t="array" ref="I1866">_xlfn.IFS(G1866&lt;3, "0–2 Years", G1866&lt;6, "3–5 Years", G1866&lt;9, "6–8 Years", G1866&lt;12, "9-11 Years", G1866&gt;=12, "12-14 Years")</f>
        <v>3–5 Years</v>
      </c>
      <c r="J1866">
        <v>3</v>
      </c>
      <c r="K1866" t="s">
        <v>20</v>
      </c>
      <c r="L1866">
        <v>91600</v>
      </c>
      <c r="M1866">
        <v>7300</v>
      </c>
      <c r="N1866">
        <v>98900</v>
      </c>
      <c r="O1866" t="s">
        <v>30</v>
      </c>
      <c r="P1866" s="3">
        <v>44779</v>
      </c>
      <c r="Q1866" t="s">
        <v>36</v>
      </c>
    </row>
    <row r="1867" spans="1:17" x14ac:dyDescent="0.35">
      <c r="A1867" t="s">
        <v>1919</v>
      </c>
      <c r="B1867" t="s">
        <v>16</v>
      </c>
      <c r="C1867">
        <v>36</v>
      </c>
      <c r="D1867" t="s">
        <v>38</v>
      </c>
      <c r="E1867" t="s">
        <v>39</v>
      </c>
      <c r="F1867" t="s">
        <v>28</v>
      </c>
      <c r="G1867">
        <v>8.6</v>
      </c>
      <c r="H1867">
        <v>6.3</v>
      </c>
      <c r="I1867" t="str" cm="1">
        <f t="array" ref="I1867">_xlfn.IFS(G1867&lt;3, "0–2 Years", G1867&lt;6, "3–5 Years", G1867&lt;9, "6–8 Years", G1867&lt;12, "9-11 Years", G1867&gt;=12, "12-14 Years")</f>
        <v>6–8 Years</v>
      </c>
      <c r="J1867">
        <v>4</v>
      </c>
      <c r="K1867" t="s">
        <v>20</v>
      </c>
      <c r="L1867">
        <v>83100</v>
      </c>
      <c r="M1867">
        <v>5700</v>
      </c>
      <c r="N1867">
        <v>88800</v>
      </c>
      <c r="O1867" t="s">
        <v>30</v>
      </c>
      <c r="P1867" s="3">
        <v>42894</v>
      </c>
      <c r="Q1867" t="s">
        <v>28</v>
      </c>
    </row>
    <row r="1868" spans="1:17" x14ac:dyDescent="0.35">
      <c r="A1868" t="s">
        <v>1920</v>
      </c>
      <c r="B1868" t="s">
        <v>23</v>
      </c>
      <c r="C1868">
        <v>38</v>
      </c>
      <c r="D1868" t="s">
        <v>38</v>
      </c>
      <c r="E1868" t="s">
        <v>112</v>
      </c>
      <c r="F1868" t="s">
        <v>28</v>
      </c>
      <c r="G1868">
        <v>1.9</v>
      </c>
      <c r="H1868">
        <v>1.9</v>
      </c>
      <c r="I1868" t="str" cm="1">
        <f t="array" ref="I1868">_xlfn.IFS(G1868&lt;3, "0–2 Years", G1868&lt;6, "3–5 Years", G1868&lt;9, "6–8 Years", G1868&lt;12, "9-11 Years", G1868&gt;=12, "12-14 Years")</f>
        <v>0–2 Years</v>
      </c>
      <c r="J1868">
        <v>3</v>
      </c>
      <c r="K1868" t="s">
        <v>20</v>
      </c>
      <c r="L1868">
        <v>65900</v>
      </c>
      <c r="M1868">
        <v>4200</v>
      </c>
      <c r="N1868">
        <v>70100</v>
      </c>
      <c r="O1868" t="s">
        <v>21</v>
      </c>
      <c r="P1868" s="3">
        <v>45315</v>
      </c>
      <c r="Q1868" t="s">
        <v>28</v>
      </c>
    </row>
    <row r="1869" spans="1:17" x14ac:dyDescent="0.35">
      <c r="A1869" t="s">
        <v>1921</v>
      </c>
      <c r="B1869" t="s">
        <v>23</v>
      </c>
      <c r="C1869" s="7">
        <v>38</v>
      </c>
      <c r="D1869" t="s">
        <v>55</v>
      </c>
      <c r="E1869" t="s">
        <v>79</v>
      </c>
      <c r="F1869" t="s">
        <v>28</v>
      </c>
      <c r="G1869" s="9">
        <v>12.1</v>
      </c>
      <c r="H1869" s="7">
        <v>7.8</v>
      </c>
      <c r="I1869" t="str" cm="1">
        <f t="array" ref="I1869">_xlfn.IFS(G1869&lt;3, "0–2 Years", G1869&lt;6, "3–5 Years", G1869&lt;9, "6–8 Years", G1869&lt;12, "9-11 Years", G1869&gt;=12, "12-14 Years")</f>
        <v>12-14 Years</v>
      </c>
      <c r="J1869" s="7">
        <v>4</v>
      </c>
      <c r="K1869" t="s">
        <v>20</v>
      </c>
      <c r="L1869" s="7">
        <v>64400</v>
      </c>
      <c r="M1869" s="7">
        <v>12900</v>
      </c>
      <c r="N1869" s="7">
        <v>77300</v>
      </c>
      <c r="O1869" t="s">
        <v>25</v>
      </c>
      <c r="P1869" s="3">
        <v>41601</v>
      </c>
      <c r="Q1869" t="s">
        <v>28</v>
      </c>
    </row>
    <row r="1870" spans="1:17" x14ac:dyDescent="0.35">
      <c r="A1870" t="s">
        <v>1922</v>
      </c>
      <c r="B1870" t="s">
        <v>23</v>
      </c>
      <c r="C1870" s="7">
        <v>40</v>
      </c>
      <c r="D1870" t="s">
        <v>55</v>
      </c>
      <c r="E1870" t="s">
        <v>79</v>
      </c>
      <c r="F1870" t="s">
        <v>62</v>
      </c>
      <c r="G1870" s="9">
        <v>13.3</v>
      </c>
      <c r="H1870" s="7">
        <v>4.8</v>
      </c>
      <c r="I1870" t="str" cm="1">
        <f t="array" ref="I1870">_xlfn.IFS(G1870&lt;3, "0–2 Years", G1870&lt;6, "3–5 Years", G1870&lt;9, "6–8 Years", G1870&lt;12, "9-11 Years", G1870&gt;=12, "12-14 Years")</f>
        <v>12-14 Years</v>
      </c>
      <c r="J1870" s="7">
        <v>3</v>
      </c>
      <c r="K1870" t="s">
        <v>20</v>
      </c>
      <c r="L1870" s="7">
        <v>72200</v>
      </c>
      <c r="M1870" s="7">
        <v>13500</v>
      </c>
      <c r="N1870" s="7">
        <v>85700</v>
      </c>
      <c r="O1870" t="s">
        <v>21</v>
      </c>
      <c r="P1870" s="3">
        <v>41182</v>
      </c>
      <c r="Q1870" t="s">
        <v>62</v>
      </c>
    </row>
    <row r="1871" spans="1:17" x14ac:dyDescent="0.35">
      <c r="A1871" t="s">
        <v>1923</v>
      </c>
      <c r="B1871" t="s">
        <v>23</v>
      </c>
      <c r="C1871">
        <v>30</v>
      </c>
      <c r="D1871" t="s">
        <v>55</v>
      </c>
      <c r="E1871" t="s">
        <v>56</v>
      </c>
      <c r="F1871" t="s">
        <v>36</v>
      </c>
      <c r="G1871">
        <v>11.8</v>
      </c>
      <c r="H1871">
        <v>6.7</v>
      </c>
      <c r="I1871" t="str" cm="1">
        <f t="array" ref="I1871">_xlfn.IFS(G1871&lt;3, "0–2 Years", G1871&lt;6, "3–5 Years", G1871&lt;9, "6–8 Years", G1871&lt;12, "9-11 Years", G1871&gt;=12, "12-14 Years")</f>
        <v>9-11 Years</v>
      </c>
      <c r="J1871">
        <v>2</v>
      </c>
      <c r="K1871" t="s">
        <v>20</v>
      </c>
      <c r="L1871">
        <v>105300</v>
      </c>
      <c r="M1871">
        <v>10100</v>
      </c>
      <c r="N1871">
        <v>115400</v>
      </c>
      <c r="O1871" t="s">
        <v>57</v>
      </c>
      <c r="P1871" s="3">
        <v>41729</v>
      </c>
      <c r="Q1871" t="s">
        <v>36</v>
      </c>
    </row>
    <row r="1872" spans="1:17" x14ac:dyDescent="0.35">
      <c r="A1872" t="s">
        <v>1924</v>
      </c>
      <c r="B1872" t="s">
        <v>23</v>
      </c>
      <c r="C1872">
        <v>32</v>
      </c>
      <c r="D1872" t="s">
        <v>41</v>
      </c>
      <c r="E1872" t="s">
        <v>73</v>
      </c>
      <c r="F1872" t="s">
        <v>28</v>
      </c>
      <c r="G1872">
        <v>2.2999999999999998</v>
      </c>
      <c r="H1872">
        <v>2.2999999999999998</v>
      </c>
      <c r="I1872" t="str" cm="1">
        <f t="array" ref="I1872">_xlfn.IFS(G1872&lt;3, "0–2 Years", G1872&lt;6, "3–5 Years", G1872&lt;9, "6–8 Years", G1872&lt;12, "9-11 Years", G1872&gt;=12, "12-14 Years")</f>
        <v>0–2 Years</v>
      </c>
      <c r="J1872">
        <v>3</v>
      </c>
      <c r="K1872" t="s">
        <v>20</v>
      </c>
      <c r="L1872">
        <v>96100</v>
      </c>
      <c r="M1872">
        <v>4300</v>
      </c>
      <c r="N1872">
        <v>100400</v>
      </c>
      <c r="O1872" t="s">
        <v>30</v>
      </c>
      <c r="P1872" s="3">
        <v>45200</v>
      </c>
      <c r="Q1872" t="s">
        <v>28</v>
      </c>
    </row>
    <row r="1873" spans="1:17" x14ac:dyDescent="0.35">
      <c r="A1873" t="s">
        <v>1925</v>
      </c>
      <c r="B1873" t="s">
        <v>16</v>
      </c>
      <c r="C1873">
        <v>51</v>
      </c>
      <c r="D1873" t="s">
        <v>38</v>
      </c>
      <c r="E1873" t="s">
        <v>39</v>
      </c>
      <c r="F1873" t="s">
        <v>28</v>
      </c>
      <c r="G1873">
        <v>4.5999999999999996</v>
      </c>
      <c r="H1873">
        <v>4.5999999999999996</v>
      </c>
      <c r="I1873" t="str" cm="1">
        <f t="array" ref="I1873">_xlfn.IFS(G1873&lt;3, "0–2 Years", G1873&lt;6, "3–5 Years", G1873&lt;9, "6–8 Years", G1873&lt;12, "9-11 Years", G1873&gt;=12, "12-14 Years")</f>
        <v>3–5 Years</v>
      </c>
      <c r="J1873">
        <v>2</v>
      </c>
      <c r="K1873" t="s">
        <v>20</v>
      </c>
      <c r="L1873">
        <v>69500</v>
      </c>
      <c r="M1873">
        <v>5000</v>
      </c>
      <c r="N1873">
        <v>74500</v>
      </c>
      <c r="O1873" t="s">
        <v>21</v>
      </c>
      <c r="P1873" s="3">
        <v>44336</v>
      </c>
      <c r="Q1873" t="s">
        <v>28</v>
      </c>
    </row>
    <row r="1874" spans="1:17" x14ac:dyDescent="0.35">
      <c r="A1874" t="s">
        <v>1926</v>
      </c>
      <c r="B1874" t="s">
        <v>23</v>
      </c>
      <c r="C1874" s="7">
        <v>46</v>
      </c>
      <c r="D1874" t="s">
        <v>44</v>
      </c>
      <c r="E1874" t="s">
        <v>51</v>
      </c>
      <c r="F1874" t="s">
        <v>28</v>
      </c>
      <c r="G1874" s="9">
        <v>12.6</v>
      </c>
      <c r="H1874" s="7">
        <v>8.5</v>
      </c>
      <c r="I1874" t="str" cm="1">
        <f t="array" ref="I1874">_xlfn.IFS(G1874&lt;3, "0–2 Years", G1874&lt;6, "3–5 Years", G1874&lt;9, "6–8 Years", G1874&lt;12, "9-11 Years", G1874&gt;=12, "12-14 Years")</f>
        <v>12-14 Years</v>
      </c>
      <c r="J1874" s="7">
        <v>2</v>
      </c>
      <c r="K1874" t="s">
        <v>20</v>
      </c>
      <c r="L1874" s="7">
        <v>80200</v>
      </c>
      <c r="M1874" s="7">
        <v>6400</v>
      </c>
      <c r="N1874" s="7">
        <v>86600</v>
      </c>
      <c r="O1874" t="s">
        <v>30</v>
      </c>
      <c r="P1874" s="3">
        <v>41431</v>
      </c>
      <c r="Q1874" t="s">
        <v>28</v>
      </c>
    </row>
    <row r="1875" spans="1:17" x14ac:dyDescent="0.35">
      <c r="A1875" t="s">
        <v>1927</v>
      </c>
      <c r="B1875" t="s">
        <v>16</v>
      </c>
      <c r="C1875">
        <v>31</v>
      </c>
      <c r="D1875" t="s">
        <v>17</v>
      </c>
      <c r="E1875" t="s">
        <v>18</v>
      </c>
      <c r="F1875" t="s">
        <v>19</v>
      </c>
      <c r="G1875">
        <v>2.5</v>
      </c>
      <c r="H1875">
        <v>2.2000000000000002</v>
      </c>
      <c r="I1875" t="str" cm="1">
        <f t="array" ref="I1875">_xlfn.IFS(G1875&lt;3, "0–2 Years", G1875&lt;6, "3–5 Years", G1875&lt;9, "6–8 Years", G1875&lt;12, "9-11 Years", G1875&gt;=12, "12-14 Years")</f>
        <v>0–2 Years</v>
      </c>
      <c r="J1875">
        <v>3</v>
      </c>
      <c r="K1875" t="s">
        <v>20</v>
      </c>
      <c r="L1875">
        <v>87400</v>
      </c>
      <c r="M1875">
        <v>9200</v>
      </c>
      <c r="N1875">
        <v>96600</v>
      </c>
      <c r="O1875" t="s">
        <v>30</v>
      </c>
      <c r="P1875" s="3">
        <v>45125</v>
      </c>
      <c r="Q1875" t="s">
        <v>19</v>
      </c>
    </row>
    <row r="1876" spans="1:17" x14ac:dyDescent="0.35">
      <c r="A1876" t="s">
        <v>1928</v>
      </c>
      <c r="B1876" t="s">
        <v>23</v>
      </c>
      <c r="C1876" s="7">
        <v>21</v>
      </c>
      <c r="D1876" t="s">
        <v>55</v>
      </c>
      <c r="E1876" t="s">
        <v>56</v>
      </c>
      <c r="F1876" t="s">
        <v>28</v>
      </c>
      <c r="G1876" s="9">
        <v>12.7</v>
      </c>
      <c r="H1876" s="7">
        <v>8.1</v>
      </c>
      <c r="I1876" t="str" cm="1">
        <f t="array" ref="I1876">_xlfn.IFS(G1876&lt;3, "0–2 Years", G1876&lt;6, "3–5 Years", G1876&lt;9, "6–8 Years", G1876&lt;12, "9-11 Years", G1876&gt;=12, "12-14 Years")</f>
        <v>12-14 Years</v>
      </c>
      <c r="J1876" s="7">
        <v>3</v>
      </c>
      <c r="K1876" t="s">
        <v>20</v>
      </c>
      <c r="L1876" s="7">
        <v>118500</v>
      </c>
      <c r="M1876" s="7">
        <v>16100</v>
      </c>
      <c r="N1876" s="7">
        <v>134600</v>
      </c>
      <c r="O1876" t="s">
        <v>57</v>
      </c>
      <c r="P1876" s="3">
        <v>41385</v>
      </c>
      <c r="Q1876" t="s">
        <v>28</v>
      </c>
    </row>
    <row r="1877" spans="1:17" x14ac:dyDescent="0.35">
      <c r="A1877" t="s">
        <v>1929</v>
      </c>
      <c r="B1877" t="s">
        <v>23</v>
      </c>
      <c r="C1877">
        <v>38</v>
      </c>
      <c r="D1877" t="s">
        <v>17</v>
      </c>
      <c r="E1877" t="s">
        <v>27</v>
      </c>
      <c r="F1877" t="s">
        <v>36</v>
      </c>
      <c r="G1877">
        <v>5.9</v>
      </c>
      <c r="H1877">
        <v>3.5</v>
      </c>
      <c r="I1877" t="str" cm="1">
        <f t="array" ref="I1877">_xlfn.IFS(G1877&lt;3, "0–2 Years", G1877&lt;6, "3–5 Years", G1877&lt;9, "6–8 Years", G1877&lt;12, "9-11 Years", G1877&gt;=12, "12-14 Years")</f>
        <v>3–5 Years</v>
      </c>
      <c r="J1877">
        <v>3</v>
      </c>
      <c r="K1877" t="s">
        <v>20</v>
      </c>
      <c r="L1877">
        <v>73300</v>
      </c>
      <c r="M1877">
        <v>5800</v>
      </c>
      <c r="N1877">
        <v>79100</v>
      </c>
      <c r="O1877" t="s">
        <v>21</v>
      </c>
      <c r="P1877" s="3">
        <v>43863</v>
      </c>
      <c r="Q1877" t="s">
        <v>36</v>
      </c>
    </row>
    <row r="1878" spans="1:17" x14ac:dyDescent="0.35">
      <c r="A1878" t="s">
        <v>1930</v>
      </c>
      <c r="B1878" t="s">
        <v>23</v>
      </c>
      <c r="C1878">
        <v>26</v>
      </c>
      <c r="D1878" t="s">
        <v>17</v>
      </c>
      <c r="E1878" t="s">
        <v>18</v>
      </c>
      <c r="F1878" t="s">
        <v>36</v>
      </c>
      <c r="G1878">
        <v>1.3</v>
      </c>
      <c r="H1878">
        <v>1</v>
      </c>
      <c r="I1878" t="str" cm="1">
        <f t="array" ref="I1878">_xlfn.IFS(G1878&lt;3, "0–2 Years", G1878&lt;6, "3–5 Years", G1878&lt;9, "6–8 Years", G1878&lt;12, "9-11 Years", G1878&gt;=12, "12-14 Years")</f>
        <v>0–2 Years</v>
      </c>
      <c r="J1878">
        <v>4</v>
      </c>
      <c r="K1878" t="s">
        <v>20</v>
      </c>
      <c r="L1878">
        <v>108600</v>
      </c>
      <c r="M1878">
        <v>8300</v>
      </c>
      <c r="N1878">
        <v>116900</v>
      </c>
      <c r="O1878" t="s">
        <v>57</v>
      </c>
      <c r="P1878" s="3">
        <v>45560</v>
      </c>
      <c r="Q1878" t="s">
        <v>36</v>
      </c>
    </row>
    <row r="1879" spans="1:17" x14ac:dyDescent="0.35">
      <c r="A1879" t="s">
        <v>1931</v>
      </c>
      <c r="B1879" t="s">
        <v>16</v>
      </c>
      <c r="C1879">
        <v>35</v>
      </c>
      <c r="D1879" t="s">
        <v>44</v>
      </c>
      <c r="E1879" t="s">
        <v>51</v>
      </c>
      <c r="F1879" t="s">
        <v>36</v>
      </c>
      <c r="G1879">
        <v>2.9</v>
      </c>
      <c r="H1879">
        <v>2.1</v>
      </c>
      <c r="I1879" t="str" cm="1">
        <f t="array" ref="I1879">_xlfn.IFS(G1879&lt;3, "0–2 Years", G1879&lt;6, "3–5 Years", G1879&lt;9, "6–8 Years", G1879&lt;12, "9-11 Years", G1879&gt;=12, "12-14 Years")</f>
        <v>0–2 Years</v>
      </c>
      <c r="J1879">
        <v>3</v>
      </c>
      <c r="K1879" t="s">
        <v>24</v>
      </c>
      <c r="L1879">
        <v>54200</v>
      </c>
      <c r="M1879">
        <v>7200</v>
      </c>
      <c r="N1879">
        <v>61400</v>
      </c>
      <c r="O1879" t="s">
        <v>25</v>
      </c>
      <c r="P1879" s="3">
        <v>44955</v>
      </c>
      <c r="Q1879" t="s">
        <v>36</v>
      </c>
    </row>
    <row r="1880" spans="1:17" x14ac:dyDescent="0.35">
      <c r="A1880" t="s">
        <v>1932</v>
      </c>
      <c r="B1880" t="s">
        <v>23</v>
      </c>
      <c r="C1880" s="7">
        <v>41</v>
      </c>
      <c r="D1880" t="s">
        <v>41</v>
      </c>
      <c r="E1880" t="s">
        <v>73</v>
      </c>
      <c r="F1880" t="s">
        <v>28</v>
      </c>
      <c r="G1880" s="9">
        <v>13.4</v>
      </c>
      <c r="H1880" s="7">
        <v>9.8000000000000007</v>
      </c>
      <c r="I1880" t="str" cm="1">
        <f t="array" ref="I1880">_xlfn.IFS(G1880&lt;3, "0–2 Years", G1880&lt;6, "3–5 Years", G1880&lt;9, "6–8 Years", G1880&lt;12, "9-11 Years", G1880&gt;=12, "12-14 Years")</f>
        <v>12-14 Years</v>
      </c>
      <c r="J1880" s="7">
        <v>4</v>
      </c>
      <c r="K1880" t="s">
        <v>20</v>
      </c>
      <c r="L1880" s="7">
        <v>102200</v>
      </c>
      <c r="M1880" s="7">
        <v>6100</v>
      </c>
      <c r="N1880" s="7">
        <v>108300</v>
      </c>
      <c r="O1880" t="s">
        <v>57</v>
      </c>
      <c r="P1880" s="3">
        <v>41127</v>
      </c>
      <c r="Q1880" t="s">
        <v>28</v>
      </c>
    </row>
    <row r="1881" spans="1:17" x14ac:dyDescent="0.35">
      <c r="A1881" t="s">
        <v>1933</v>
      </c>
      <c r="B1881" t="s">
        <v>16</v>
      </c>
      <c r="C1881">
        <v>31</v>
      </c>
      <c r="D1881" t="s">
        <v>44</v>
      </c>
      <c r="E1881" t="s">
        <v>76</v>
      </c>
      <c r="F1881" t="s">
        <v>19</v>
      </c>
      <c r="G1881">
        <v>7.1</v>
      </c>
      <c r="H1881">
        <v>4.9000000000000004</v>
      </c>
      <c r="I1881" t="str" cm="1">
        <f t="array" ref="I1881">_xlfn.IFS(G1881&lt;3, "0–2 Years", G1881&lt;6, "3–5 Years", G1881&lt;9, "6–8 Years", G1881&lt;12, "9-11 Years", G1881&gt;=12, "12-14 Years")</f>
        <v>6–8 Years</v>
      </c>
      <c r="J1881">
        <v>3</v>
      </c>
      <c r="K1881" t="s">
        <v>20</v>
      </c>
      <c r="L1881">
        <v>101400</v>
      </c>
      <c r="M1881">
        <v>11800</v>
      </c>
      <c r="N1881">
        <v>113200</v>
      </c>
      <c r="O1881" t="s">
        <v>57</v>
      </c>
      <c r="P1881" s="3">
        <v>43443</v>
      </c>
      <c r="Q1881" t="s">
        <v>19</v>
      </c>
    </row>
    <row r="1882" spans="1:17" x14ac:dyDescent="0.35">
      <c r="A1882" t="s">
        <v>1934</v>
      </c>
      <c r="B1882" t="s">
        <v>23</v>
      </c>
      <c r="C1882">
        <v>37</v>
      </c>
      <c r="D1882" t="s">
        <v>34</v>
      </c>
      <c r="E1882" t="s">
        <v>47</v>
      </c>
      <c r="F1882" t="s">
        <v>28</v>
      </c>
      <c r="G1882">
        <v>10.7</v>
      </c>
      <c r="H1882">
        <v>8.9</v>
      </c>
      <c r="I1882" t="str" cm="1">
        <f t="array" ref="I1882">_xlfn.IFS(G1882&lt;3, "0–2 Years", G1882&lt;6, "3–5 Years", G1882&lt;9, "6–8 Years", G1882&lt;12, "9-11 Years", G1882&gt;=12, "12-14 Years")</f>
        <v>9-11 Years</v>
      </c>
      <c r="J1882">
        <v>3</v>
      </c>
      <c r="K1882" t="s">
        <v>20</v>
      </c>
      <c r="L1882">
        <v>90200</v>
      </c>
      <c r="M1882">
        <v>4300</v>
      </c>
      <c r="N1882">
        <v>94500</v>
      </c>
      <c r="O1882" t="s">
        <v>30</v>
      </c>
      <c r="P1882" s="3">
        <v>42129</v>
      </c>
      <c r="Q1882" t="s">
        <v>28</v>
      </c>
    </row>
    <row r="1883" spans="1:17" x14ac:dyDescent="0.35">
      <c r="A1883" t="s">
        <v>1935</v>
      </c>
      <c r="B1883" t="s">
        <v>16</v>
      </c>
      <c r="C1883">
        <v>34</v>
      </c>
      <c r="D1883" t="s">
        <v>38</v>
      </c>
      <c r="E1883" t="s">
        <v>61</v>
      </c>
      <c r="F1883" t="s">
        <v>28</v>
      </c>
      <c r="G1883">
        <v>7.1</v>
      </c>
      <c r="H1883">
        <v>2.7</v>
      </c>
      <c r="I1883" t="str" cm="1">
        <f t="array" ref="I1883">_xlfn.IFS(G1883&lt;3, "0–2 Years", G1883&lt;6, "3–5 Years", G1883&lt;9, "6–8 Years", G1883&lt;12, "9-11 Years", G1883&gt;=12, "12-14 Years")</f>
        <v>6–8 Years</v>
      </c>
      <c r="J1883">
        <v>4</v>
      </c>
      <c r="K1883" t="s">
        <v>20</v>
      </c>
      <c r="L1883">
        <v>125200</v>
      </c>
      <c r="M1883">
        <v>8500</v>
      </c>
      <c r="N1883">
        <v>133700</v>
      </c>
      <c r="O1883" t="s">
        <v>57</v>
      </c>
      <c r="P1883" s="3">
        <v>43417</v>
      </c>
      <c r="Q1883" t="s">
        <v>28</v>
      </c>
    </row>
    <row r="1884" spans="1:17" x14ac:dyDescent="0.35">
      <c r="A1884" t="s">
        <v>1936</v>
      </c>
      <c r="B1884" t="s">
        <v>16</v>
      </c>
      <c r="C1884">
        <v>29</v>
      </c>
      <c r="D1884" t="s">
        <v>44</v>
      </c>
      <c r="E1884" t="s">
        <v>51</v>
      </c>
      <c r="F1884" t="s">
        <v>36</v>
      </c>
      <c r="G1884">
        <v>7.8</v>
      </c>
      <c r="H1884">
        <v>3.9</v>
      </c>
      <c r="I1884" t="str" cm="1">
        <f t="array" ref="I1884">_xlfn.IFS(G1884&lt;3, "0–2 Years", G1884&lt;6, "3–5 Years", G1884&lt;9, "6–8 Years", G1884&lt;12, "9-11 Years", G1884&gt;=12, "12-14 Years")</f>
        <v>6–8 Years</v>
      </c>
      <c r="J1884">
        <v>2</v>
      </c>
      <c r="K1884" t="s">
        <v>20</v>
      </c>
      <c r="L1884">
        <v>86500</v>
      </c>
      <c r="M1884">
        <v>9600</v>
      </c>
      <c r="N1884">
        <v>96100</v>
      </c>
      <c r="O1884" t="s">
        <v>30</v>
      </c>
      <c r="P1884" s="3">
        <v>43186</v>
      </c>
      <c r="Q1884" t="s">
        <v>36</v>
      </c>
    </row>
    <row r="1885" spans="1:17" x14ac:dyDescent="0.35">
      <c r="A1885" t="s">
        <v>1937</v>
      </c>
      <c r="B1885" t="s">
        <v>23</v>
      </c>
      <c r="C1885">
        <v>26</v>
      </c>
      <c r="D1885" t="s">
        <v>41</v>
      </c>
      <c r="E1885" t="s">
        <v>42</v>
      </c>
      <c r="F1885" t="s">
        <v>36</v>
      </c>
      <c r="G1885">
        <v>4.2</v>
      </c>
      <c r="H1885">
        <v>2.2999999999999998</v>
      </c>
      <c r="I1885" t="str" cm="1">
        <f t="array" ref="I1885">_xlfn.IFS(G1885&lt;3, "0–2 Years", G1885&lt;6, "3–5 Years", G1885&lt;9, "6–8 Years", G1885&lt;12, "9-11 Years", G1885&gt;=12, "12-14 Years")</f>
        <v>3–5 Years</v>
      </c>
      <c r="J1885">
        <v>5</v>
      </c>
      <c r="K1885" t="s">
        <v>20</v>
      </c>
      <c r="L1885">
        <v>85800</v>
      </c>
      <c r="M1885">
        <v>5100</v>
      </c>
      <c r="N1885">
        <v>90900</v>
      </c>
      <c r="O1885" t="s">
        <v>30</v>
      </c>
      <c r="P1885" s="3">
        <v>44487</v>
      </c>
      <c r="Q1885" t="s">
        <v>36</v>
      </c>
    </row>
    <row r="1886" spans="1:17" x14ac:dyDescent="0.35">
      <c r="A1886" t="s">
        <v>1938</v>
      </c>
      <c r="B1886" t="s">
        <v>16</v>
      </c>
      <c r="C1886" s="7">
        <v>41</v>
      </c>
      <c r="D1886" t="s">
        <v>34</v>
      </c>
      <c r="E1886" t="s">
        <v>47</v>
      </c>
      <c r="F1886" t="s">
        <v>28</v>
      </c>
      <c r="G1886" s="9">
        <v>12.6</v>
      </c>
      <c r="H1886" s="7">
        <v>9.9</v>
      </c>
      <c r="I1886" t="str" cm="1">
        <f t="array" ref="I1886">_xlfn.IFS(G1886&lt;3, "0–2 Years", G1886&lt;6, "3–5 Years", G1886&lt;9, "6–8 Years", G1886&lt;12, "9-11 Years", G1886&gt;=12, "12-14 Years")</f>
        <v>12-14 Years</v>
      </c>
      <c r="J1886" s="7">
        <v>4</v>
      </c>
      <c r="K1886" t="s">
        <v>69</v>
      </c>
      <c r="L1886" s="7">
        <v>65600</v>
      </c>
      <c r="M1886" s="7">
        <v>6900</v>
      </c>
      <c r="N1886" s="7">
        <v>72500</v>
      </c>
      <c r="O1886" t="s">
        <v>21</v>
      </c>
      <c r="P1886" s="3">
        <v>41417</v>
      </c>
      <c r="Q1886" t="s">
        <v>28</v>
      </c>
    </row>
    <row r="1887" spans="1:17" x14ac:dyDescent="0.35">
      <c r="A1887" t="s">
        <v>1939</v>
      </c>
      <c r="B1887" t="s">
        <v>23</v>
      </c>
      <c r="C1887">
        <v>33</v>
      </c>
      <c r="D1887" t="s">
        <v>38</v>
      </c>
      <c r="E1887" t="s">
        <v>112</v>
      </c>
      <c r="F1887" t="s">
        <v>28</v>
      </c>
      <c r="G1887">
        <v>3.2</v>
      </c>
      <c r="H1887">
        <v>0.8</v>
      </c>
      <c r="I1887" t="str" cm="1">
        <f t="array" ref="I1887">_xlfn.IFS(G1887&lt;3, "0–2 Years", G1887&lt;6, "3–5 Years", G1887&lt;9, "6–8 Years", G1887&lt;12, "9-11 Years", G1887&gt;=12, "12-14 Years")</f>
        <v>3–5 Years</v>
      </c>
      <c r="J1887">
        <v>3</v>
      </c>
      <c r="K1887" t="s">
        <v>20</v>
      </c>
      <c r="L1887">
        <v>59000</v>
      </c>
      <c r="M1887">
        <v>4200</v>
      </c>
      <c r="N1887">
        <v>63200</v>
      </c>
      <c r="O1887" t="s">
        <v>25</v>
      </c>
      <c r="P1887" s="3">
        <v>44861</v>
      </c>
      <c r="Q1887" t="s">
        <v>28</v>
      </c>
    </row>
    <row r="1888" spans="1:17" x14ac:dyDescent="0.35">
      <c r="A1888" t="s">
        <v>1940</v>
      </c>
      <c r="B1888" t="s">
        <v>23</v>
      </c>
      <c r="C1888">
        <v>26</v>
      </c>
      <c r="D1888" t="s">
        <v>17</v>
      </c>
      <c r="E1888" t="s">
        <v>18</v>
      </c>
      <c r="F1888" t="s">
        <v>28</v>
      </c>
      <c r="G1888">
        <v>1</v>
      </c>
      <c r="H1888">
        <v>0.3</v>
      </c>
      <c r="I1888" t="str" cm="1">
        <f t="array" ref="I1888">_xlfn.IFS(G1888&lt;3, "0–2 Years", G1888&lt;6, "3–5 Years", G1888&lt;9, "6–8 Years", G1888&lt;12, "9-11 Years", G1888&gt;=12, "12-14 Years")</f>
        <v>0–2 Years</v>
      </c>
      <c r="J1888">
        <v>3</v>
      </c>
      <c r="K1888" t="s">
        <v>20</v>
      </c>
      <c r="L1888">
        <v>95800</v>
      </c>
      <c r="M1888">
        <v>8100</v>
      </c>
      <c r="N1888">
        <v>103900</v>
      </c>
      <c r="O1888" t="s">
        <v>30</v>
      </c>
      <c r="P1888" s="3">
        <v>45651</v>
      </c>
      <c r="Q1888" t="s">
        <v>28</v>
      </c>
    </row>
    <row r="1889" spans="1:17" x14ac:dyDescent="0.35">
      <c r="A1889" t="s">
        <v>1941</v>
      </c>
      <c r="B1889" t="s">
        <v>16</v>
      </c>
      <c r="C1889">
        <v>33</v>
      </c>
      <c r="D1889" t="s">
        <v>34</v>
      </c>
      <c r="E1889" t="s">
        <v>47</v>
      </c>
      <c r="F1889" t="s">
        <v>19</v>
      </c>
      <c r="G1889">
        <v>6.4</v>
      </c>
      <c r="H1889">
        <v>4.2</v>
      </c>
      <c r="I1889" t="str" cm="1">
        <f t="array" ref="I1889">_xlfn.IFS(G1889&lt;3, "0–2 Years", G1889&lt;6, "3–5 Years", G1889&lt;9, "6–8 Years", G1889&lt;12, "9-11 Years", G1889&gt;=12, "12-14 Years")</f>
        <v>6–8 Years</v>
      </c>
      <c r="J1889">
        <v>3</v>
      </c>
      <c r="K1889" t="s">
        <v>20</v>
      </c>
      <c r="L1889">
        <v>61800</v>
      </c>
      <c r="M1889">
        <v>4900</v>
      </c>
      <c r="N1889">
        <v>66700</v>
      </c>
      <c r="O1889" t="s">
        <v>25</v>
      </c>
      <c r="P1889" s="3">
        <v>43685</v>
      </c>
      <c r="Q1889" t="s">
        <v>19</v>
      </c>
    </row>
    <row r="1890" spans="1:17" x14ac:dyDescent="0.35">
      <c r="A1890" t="s">
        <v>1942</v>
      </c>
      <c r="B1890" t="s">
        <v>16</v>
      </c>
      <c r="C1890">
        <v>37</v>
      </c>
      <c r="D1890" t="s">
        <v>44</v>
      </c>
      <c r="E1890" t="s">
        <v>51</v>
      </c>
      <c r="F1890" t="s">
        <v>36</v>
      </c>
      <c r="G1890">
        <v>7.1</v>
      </c>
      <c r="H1890">
        <v>4.0999999999999996</v>
      </c>
      <c r="I1890" t="str" cm="1">
        <f t="array" ref="I1890">_xlfn.IFS(G1890&lt;3, "0–2 Years", G1890&lt;6, "3–5 Years", G1890&lt;9, "6–8 Years", G1890&lt;12, "9-11 Years", G1890&gt;=12, "12-14 Years")</f>
        <v>6–8 Years</v>
      </c>
      <c r="J1890">
        <v>3</v>
      </c>
      <c r="K1890" t="s">
        <v>20</v>
      </c>
      <c r="L1890">
        <v>81800</v>
      </c>
      <c r="M1890">
        <v>7100</v>
      </c>
      <c r="N1890">
        <v>88900</v>
      </c>
      <c r="O1890" t="s">
        <v>30</v>
      </c>
      <c r="P1890" s="3">
        <v>43435</v>
      </c>
      <c r="Q1890" t="s">
        <v>36</v>
      </c>
    </row>
    <row r="1891" spans="1:17" x14ac:dyDescent="0.35">
      <c r="A1891" t="s">
        <v>1943</v>
      </c>
      <c r="B1891" t="s">
        <v>23</v>
      </c>
      <c r="C1891">
        <v>45</v>
      </c>
      <c r="D1891" t="s">
        <v>41</v>
      </c>
      <c r="E1891" t="s">
        <v>73</v>
      </c>
      <c r="F1891" t="s">
        <v>36</v>
      </c>
      <c r="G1891">
        <v>7.3</v>
      </c>
      <c r="H1891">
        <v>5.6</v>
      </c>
      <c r="I1891" t="str" cm="1">
        <f t="array" ref="I1891">_xlfn.IFS(G1891&lt;3, "0–2 Years", G1891&lt;6, "3–5 Years", G1891&lt;9, "6–8 Years", G1891&lt;12, "9-11 Years", G1891&gt;=12, "12-14 Years")</f>
        <v>6–8 Years</v>
      </c>
      <c r="J1891">
        <v>3</v>
      </c>
      <c r="K1891" t="s">
        <v>69</v>
      </c>
      <c r="L1891">
        <v>77400</v>
      </c>
      <c r="M1891">
        <v>3200</v>
      </c>
      <c r="N1891">
        <v>80600</v>
      </c>
      <c r="O1891" t="s">
        <v>21</v>
      </c>
      <c r="P1891" s="3">
        <v>43363</v>
      </c>
      <c r="Q1891" t="s">
        <v>36</v>
      </c>
    </row>
    <row r="1892" spans="1:17" x14ac:dyDescent="0.35">
      <c r="A1892" t="s">
        <v>1944</v>
      </c>
      <c r="B1892" t="s">
        <v>16</v>
      </c>
      <c r="C1892">
        <v>35</v>
      </c>
      <c r="D1892" t="s">
        <v>55</v>
      </c>
      <c r="E1892" t="s">
        <v>92</v>
      </c>
      <c r="F1892" t="s">
        <v>19</v>
      </c>
      <c r="G1892">
        <v>3.1</v>
      </c>
      <c r="H1892">
        <v>2.6</v>
      </c>
      <c r="I1892" t="str" cm="1">
        <f t="array" ref="I1892">_xlfn.IFS(G1892&lt;3, "0–2 Years", G1892&lt;6, "3–5 Years", G1892&lt;9, "6–8 Years", G1892&lt;12, "9-11 Years", G1892&gt;=12, "12-14 Years")</f>
        <v>3–5 Years</v>
      </c>
      <c r="J1892">
        <v>2</v>
      </c>
      <c r="K1892" t="s">
        <v>24</v>
      </c>
      <c r="L1892">
        <v>48800</v>
      </c>
      <c r="M1892">
        <v>5800</v>
      </c>
      <c r="N1892">
        <v>54600</v>
      </c>
      <c r="O1892" t="s">
        <v>65</v>
      </c>
      <c r="P1892" s="3">
        <v>44896</v>
      </c>
      <c r="Q1892" t="s">
        <v>19</v>
      </c>
    </row>
    <row r="1893" spans="1:17" x14ac:dyDescent="0.35">
      <c r="A1893" t="s">
        <v>1945</v>
      </c>
      <c r="B1893" t="s">
        <v>23</v>
      </c>
      <c r="C1893">
        <v>34</v>
      </c>
      <c r="D1893" t="s">
        <v>41</v>
      </c>
      <c r="E1893" t="s">
        <v>42</v>
      </c>
      <c r="F1893" t="s">
        <v>36</v>
      </c>
      <c r="G1893">
        <v>2.4</v>
      </c>
      <c r="H1893">
        <v>1.4</v>
      </c>
      <c r="I1893" t="str" cm="1">
        <f t="array" ref="I1893">_xlfn.IFS(G1893&lt;3, "0–2 Years", G1893&lt;6, "3–5 Years", G1893&lt;9, "6–8 Years", G1893&lt;12, "9-11 Years", G1893&gt;=12, "12-14 Years")</f>
        <v>0–2 Years</v>
      </c>
      <c r="J1893">
        <v>3</v>
      </c>
      <c r="K1893" t="s">
        <v>20</v>
      </c>
      <c r="L1893">
        <v>88200</v>
      </c>
      <c r="M1893">
        <v>4500</v>
      </c>
      <c r="N1893">
        <v>92700</v>
      </c>
      <c r="O1893" t="s">
        <v>30</v>
      </c>
      <c r="P1893" s="3">
        <v>45150</v>
      </c>
      <c r="Q1893" t="s">
        <v>36</v>
      </c>
    </row>
    <row r="1894" spans="1:17" x14ac:dyDescent="0.35">
      <c r="A1894" t="s">
        <v>1946</v>
      </c>
      <c r="B1894" t="s">
        <v>23</v>
      </c>
      <c r="C1894">
        <v>26</v>
      </c>
      <c r="D1894" t="s">
        <v>44</v>
      </c>
      <c r="E1894" t="s">
        <v>76</v>
      </c>
      <c r="F1894" t="s">
        <v>19</v>
      </c>
      <c r="G1894">
        <v>4.8</v>
      </c>
      <c r="H1894">
        <v>4.8</v>
      </c>
      <c r="I1894" t="str" cm="1">
        <f t="array" ref="I1894">_xlfn.IFS(G1894&lt;3, "0–2 Years", G1894&lt;6, "3–5 Years", G1894&lt;9, "6–8 Years", G1894&lt;12, "9-11 Years", G1894&gt;=12, "12-14 Years")</f>
        <v>3–5 Years</v>
      </c>
      <c r="J1894">
        <v>3</v>
      </c>
      <c r="K1894" t="s">
        <v>20</v>
      </c>
      <c r="L1894">
        <v>98300</v>
      </c>
      <c r="M1894">
        <v>12500</v>
      </c>
      <c r="N1894">
        <v>110800</v>
      </c>
      <c r="O1894" t="s">
        <v>30</v>
      </c>
      <c r="P1894" s="3">
        <v>44281</v>
      </c>
      <c r="Q1894" t="s">
        <v>19</v>
      </c>
    </row>
    <row r="1895" spans="1:17" x14ac:dyDescent="0.35">
      <c r="A1895" t="s">
        <v>1947</v>
      </c>
      <c r="B1895" t="s">
        <v>16</v>
      </c>
      <c r="C1895">
        <v>31</v>
      </c>
      <c r="D1895" t="s">
        <v>41</v>
      </c>
      <c r="E1895" t="s">
        <v>42</v>
      </c>
      <c r="F1895" t="s">
        <v>28</v>
      </c>
      <c r="G1895">
        <v>6.9</v>
      </c>
      <c r="H1895">
        <v>1.9</v>
      </c>
      <c r="I1895" t="str" cm="1">
        <f t="array" ref="I1895">_xlfn.IFS(G1895&lt;3, "0–2 Years", G1895&lt;6, "3–5 Years", G1895&lt;9, "6–8 Years", G1895&lt;12, "9-11 Years", G1895&gt;=12, "12-14 Years")</f>
        <v>6–8 Years</v>
      </c>
      <c r="J1895">
        <v>3</v>
      </c>
      <c r="K1895" t="s">
        <v>20</v>
      </c>
      <c r="L1895">
        <v>79300</v>
      </c>
      <c r="M1895">
        <v>5500</v>
      </c>
      <c r="N1895">
        <v>84800</v>
      </c>
      <c r="O1895" t="s">
        <v>21</v>
      </c>
      <c r="P1895" s="3">
        <v>43503</v>
      </c>
      <c r="Q1895" t="s">
        <v>28</v>
      </c>
    </row>
    <row r="1896" spans="1:17" x14ac:dyDescent="0.35">
      <c r="A1896" t="s">
        <v>1948</v>
      </c>
      <c r="B1896" t="s">
        <v>16</v>
      </c>
      <c r="C1896" s="7">
        <v>30</v>
      </c>
      <c r="D1896" t="s">
        <v>38</v>
      </c>
      <c r="E1896" t="s">
        <v>112</v>
      </c>
      <c r="F1896" t="s">
        <v>19</v>
      </c>
      <c r="G1896" s="9">
        <v>13.2</v>
      </c>
      <c r="H1896" s="7">
        <v>7.7</v>
      </c>
      <c r="I1896" t="str" cm="1">
        <f t="array" ref="I1896">_xlfn.IFS(G1896&lt;3, "0–2 Years", G1896&lt;6, "3–5 Years", G1896&lt;9, "6–8 Years", G1896&lt;12, "9-11 Years", G1896&gt;=12, "12-14 Years")</f>
        <v>12-14 Years</v>
      </c>
      <c r="J1896" s="7">
        <v>5</v>
      </c>
      <c r="K1896" t="s">
        <v>20</v>
      </c>
      <c r="L1896" s="7">
        <v>79100</v>
      </c>
      <c r="M1896" s="7">
        <v>7600</v>
      </c>
      <c r="N1896" s="7">
        <v>86700</v>
      </c>
      <c r="O1896" t="s">
        <v>21</v>
      </c>
      <c r="P1896" s="3">
        <v>41207</v>
      </c>
      <c r="Q1896" t="s">
        <v>19</v>
      </c>
    </row>
    <row r="1897" spans="1:17" x14ac:dyDescent="0.35">
      <c r="A1897" t="s">
        <v>1949</v>
      </c>
      <c r="B1897" t="s">
        <v>23</v>
      </c>
      <c r="C1897" s="7">
        <v>29</v>
      </c>
      <c r="D1897" t="s">
        <v>34</v>
      </c>
      <c r="E1897" t="s">
        <v>35</v>
      </c>
      <c r="F1897" t="s">
        <v>36</v>
      </c>
      <c r="G1897" s="9">
        <v>12.8</v>
      </c>
      <c r="H1897" s="7">
        <v>8.1</v>
      </c>
      <c r="I1897" t="str" cm="1">
        <f t="array" ref="I1897">_xlfn.IFS(G1897&lt;3, "0–2 Years", G1897&lt;6, "3–5 Years", G1897&lt;9, "6–8 Years", G1897&lt;12, "9-11 Years", G1897&gt;=12, "12-14 Years")</f>
        <v>12-14 Years</v>
      </c>
      <c r="J1897" s="7">
        <v>3</v>
      </c>
      <c r="K1897" t="s">
        <v>20</v>
      </c>
      <c r="L1897" s="7">
        <v>85600</v>
      </c>
      <c r="M1897" s="7">
        <v>5800</v>
      </c>
      <c r="N1897" s="7">
        <v>91400</v>
      </c>
      <c r="O1897" t="s">
        <v>30</v>
      </c>
      <c r="P1897" s="3">
        <v>41365</v>
      </c>
      <c r="Q1897" t="s">
        <v>36</v>
      </c>
    </row>
    <row r="1898" spans="1:17" x14ac:dyDescent="0.35">
      <c r="A1898" t="s">
        <v>1950</v>
      </c>
      <c r="B1898" t="s">
        <v>16</v>
      </c>
      <c r="C1898" s="7">
        <v>45</v>
      </c>
      <c r="D1898" t="s">
        <v>38</v>
      </c>
      <c r="E1898" t="s">
        <v>112</v>
      </c>
      <c r="F1898" t="s">
        <v>28</v>
      </c>
      <c r="G1898" s="9">
        <v>12.3</v>
      </c>
      <c r="H1898" s="7">
        <v>9</v>
      </c>
      <c r="I1898" t="str" cm="1">
        <f t="array" ref="I1898">_xlfn.IFS(G1898&lt;3, "0–2 Years", G1898&lt;6, "3–5 Years", G1898&lt;9, "6–8 Years", G1898&lt;12, "9-11 Years", G1898&gt;=12, "12-14 Years")</f>
        <v>12-14 Years</v>
      </c>
      <c r="J1898" s="7">
        <v>2</v>
      </c>
      <c r="K1898" t="s">
        <v>20</v>
      </c>
      <c r="L1898" s="7">
        <v>81600</v>
      </c>
      <c r="M1898" s="7">
        <v>7600</v>
      </c>
      <c r="N1898" s="7">
        <v>89200</v>
      </c>
      <c r="O1898" t="s">
        <v>30</v>
      </c>
      <c r="P1898" s="3">
        <v>41513</v>
      </c>
      <c r="Q1898" t="s">
        <v>28</v>
      </c>
    </row>
    <row r="1899" spans="1:17" x14ac:dyDescent="0.35">
      <c r="A1899" t="s">
        <v>1951</v>
      </c>
      <c r="B1899" t="s">
        <v>16</v>
      </c>
      <c r="C1899">
        <v>37</v>
      </c>
      <c r="D1899" t="s">
        <v>17</v>
      </c>
      <c r="E1899" t="s">
        <v>27</v>
      </c>
      <c r="F1899" t="s">
        <v>36</v>
      </c>
      <c r="G1899">
        <v>9</v>
      </c>
      <c r="H1899">
        <v>7.3</v>
      </c>
      <c r="I1899" t="str" cm="1">
        <f t="array" ref="I1899">_xlfn.IFS(G1899&lt;3, "0–2 Years", G1899&lt;6, "3–5 Years", G1899&lt;9, "6–8 Years", G1899&lt;12, "9-11 Years", G1899&gt;=12, "12-14 Years")</f>
        <v>9-11 Years</v>
      </c>
      <c r="J1899">
        <v>2</v>
      </c>
      <c r="K1899" t="s">
        <v>20</v>
      </c>
      <c r="L1899">
        <v>76500</v>
      </c>
      <c r="M1899">
        <v>6000</v>
      </c>
      <c r="N1899">
        <v>82500</v>
      </c>
      <c r="O1899" t="s">
        <v>21</v>
      </c>
      <c r="P1899" s="3">
        <v>42719</v>
      </c>
      <c r="Q1899" t="s">
        <v>36</v>
      </c>
    </row>
    <row r="1900" spans="1:17" x14ac:dyDescent="0.35">
      <c r="A1900" t="s">
        <v>1952</v>
      </c>
      <c r="B1900" t="s">
        <v>16</v>
      </c>
      <c r="C1900">
        <v>26</v>
      </c>
      <c r="D1900" t="s">
        <v>41</v>
      </c>
      <c r="E1900" t="s">
        <v>42</v>
      </c>
      <c r="F1900" t="s">
        <v>36</v>
      </c>
      <c r="G1900">
        <v>1.6</v>
      </c>
      <c r="H1900">
        <v>1</v>
      </c>
      <c r="I1900" t="str" cm="1">
        <f t="array" ref="I1900">_xlfn.IFS(G1900&lt;3, "0–2 Years", G1900&lt;6, "3–5 Years", G1900&lt;9, "6–8 Years", G1900&lt;12, "9-11 Years", G1900&gt;=12, "12-14 Years")</f>
        <v>0–2 Years</v>
      </c>
      <c r="J1900">
        <v>3</v>
      </c>
      <c r="K1900" t="s">
        <v>20</v>
      </c>
      <c r="L1900">
        <v>86000</v>
      </c>
      <c r="M1900">
        <v>2700</v>
      </c>
      <c r="N1900">
        <v>88700</v>
      </c>
      <c r="O1900" t="s">
        <v>30</v>
      </c>
      <c r="P1900" s="3">
        <v>45428</v>
      </c>
      <c r="Q1900" t="s">
        <v>36</v>
      </c>
    </row>
    <row r="1901" spans="1:17" x14ac:dyDescent="0.35">
      <c r="A1901" t="s">
        <v>1953</v>
      </c>
      <c r="B1901" t="s">
        <v>16</v>
      </c>
      <c r="C1901">
        <v>30</v>
      </c>
      <c r="D1901" t="s">
        <v>17</v>
      </c>
      <c r="E1901" t="s">
        <v>18</v>
      </c>
      <c r="F1901" t="s">
        <v>28</v>
      </c>
      <c r="G1901">
        <v>5.4</v>
      </c>
      <c r="H1901">
        <v>4.5</v>
      </c>
      <c r="I1901" t="str" cm="1">
        <f t="array" ref="I1901">_xlfn.IFS(G1901&lt;3, "0–2 Years", G1901&lt;6, "3–5 Years", G1901&lt;9, "6–8 Years", G1901&lt;12, "9-11 Years", G1901&gt;=12, "12-14 Years")</f>
        <v>3–5 Years</v>
      </c>
      <c r="J1901">
        <v>1</v>
      </c>
      <c r="K1901" t="s">
        <v>20</v>
      </c>
      <c r="L1901">
        <v>94400</v>
      </c>
      <c r="M1901">
        <v>12700</v>
      </c>
      <c r="N1901">
        <v>107100</v>
      </c>
      <c r="O1901" t="s">
        <v>30</v>
      </c>
      <c r="P1901" s="3">
        <v>44033</v>
      </c>
      <c r="Q1901" t="s">
        <v>28</v>
      </c>
    </row>
    <row r="1902" spans="1:17" x14ac:dyDescent="0.35">
      <c r="A1902" t="s">
        <v>1954</v>
      </c>
      <c r="B1902" t="s">
        <v>23</v>
      </c>
      <c r="C1902">
        <v>21</v>
      </c>
      <c r="D1902" t="s">
        <v>44</v>
      </c>
      <c r="E1902" t="s">
        <v>76</v>
      </c>
      <c r="F1902" t="s">
        <v>19</v>
      </c>
      <c r="G1902">
        <v>8.1</v>
      </c>
      <c r="H1902">
        <v>4.2</v>
      </c>
      <c r="I1902" t="str" cm="1">
        <f t="array" ref="I1902">_xlfn.IFS(G1902&lt;3, "0–2 Years", G1902&lt;6, "3–5 Years", G1902&lt;9, "6–8 Years", G1902&lt;12, "9-11 Years", G1902&gt;=12, "12-14 Years")</f>
        <v>6–8 Years</v>
      </c>
      <c r="J1902">
        <v>4</v>
      </c>
      <c r="K1902" t="s">
        <v>20</v>
      </c>
      <c r="L1902">
        <v>113000</v>
      </c>
      <c r="M1902">
        <v>12300</v>
      </c>
      <c r="N1902">
        <v>125300</v>
      </c>
      <c r="O1902" t="s">
        <v>57</v>
      </c>
      <c r="P1902" s="3">
        <v>43061</v>
      </c>
      <c r="Q1902" t="s">
        <v>19</v>
      </c>
    </row>
    <row r="1903" spans="1:17" x14ac:dyDescent="0.35">
      <c r="A1903" t="s">
        <v>1955</v>
      </c>
      <c r="B1903" t="s">
        <v>16</v>
      </c>
      <c r="C1903" s="7">
        <v>24</v>
      </c>
      <c r="D1903" t="s">
        <v>44</v>
      </c>
      <c r="E1903" t="s">
        <v>45</v>
      </c>
      <c r="F1903" t="s">
        <v>28</v>
      </c>
      <c r="G1903" s="9">
        <v>12.2</v>
      </c>
      <c r="H1903" s="7">
        <v>6.2</v>
      </c>
      <c r="I1903" t="str" cm="1">
        <f t="array" ref="I1903">_xlfn.IFS(G1903&lt;3, "0–2 Years", G1903&lt;6, "3–5 Years", G1903&lt;9, "6–8 Years", G1903&lt;12, "9-11 Years", G1903&gt;=12, "12-14 Years")</f>
        <v>12-14 Years</v>
      </c>
      <c r="J1903" s="7">
        <v>4</v>
      </c>
      <c r="K1903" t="s">
        <v>20</v>
      </c>
      <c r="L1903" s="7">
        <v>88900</v>
      </c>
      <c r="M1903" s="7">
        <v>9600</v>
      </c>
      <c r="N1903" s="7">
        <v>98500</v>
      </c>
      <c r="O1903" t="s">
        <v>30</v>
      </c>
      <c r="P1903" s="3">
        <v>41566</v>
      </c>
      <c r="Q1903" t="s">
        <v>28</v>
      </c>
    </row>
    <row r="1904" spans="1:17" x14ac:dyDescent="0.35">
      <c r="A1904" t="s">
        <v>1956</v>
      </c>
      <c r="B1904" t="s">
        <v>23</v>
      </c>
      <c r="C1904">
        <v>34</v>
      </c>
      <c r="D1904" t="s">
        <v>44</v>
      </c>
      <c r="E1904" t="s">
        <v>81</v>
      </c>
      <c r="F1904" t="s">
        <v>36</v>
      </c>
      <c r="G1904">
        <v>8.1</v>
      </c>
      <c r="H1904">
        <v>3.6</v>
      </c>
      <c r="I1904" t="str" cm="1">
        <f t="array" ref="I1904">_xlfn.IFS(G1904&lt;3, "0–2 Years", G1904&lt;6, "3–5 Years", G1904&lt;9, "6–8 Years", G1904&lt;12, "9-11 Years", G1904&gt;=12, "12-14 Years")</f>
        <v>6–8 Years</v>
      </c>
      <c r="J1904">
        <v>3</v>
      </c>
      <c r="K1904" t="s">
        <v>24</v>
      </c>
      <c r="L1904">
        <v>62000</v>
      </c>
      <c r="M1904">
        <v>7200</v>
      </c>
      <c r="N1904">
        <v>69200</v>
      </c>
      <c r="O1904" t="s">
        <v>25</v>
      </c>
      <c r="P1904" s="3">
        <v>43077</v>
      </c>
      <c r="Q1904" t="s">
        <v>36</v>
      </c>
    </row>
    <row r="1905" spans="1:17" x14ac:dyDescent="0.35">
      <c r="A1905" t="s">
        <v>1957</v>
      </c>
      <c r="B1905" t="s">
        <v>16</v>
      </c>
      <c r="C1905">
        <v>28</v>
      </c>
      <c r="D1905" t="s">
        <v>34</v>
      </c>
      <c r="E1905" t="s">
        <v>47</v>
      </c>
      <c r="F1905" t="s">
        <v>36</v>
      </c>
      <c r="G1905">
        <v>5.7</v>
      </c>
      <c r="H1905">
        <v>4.5</v>
      </c>
      <c r="I1905" t="str" cm="1">
        <f t="array" ref="I1905">_xlfn.IFS(G1905&lt;3, "0–2 Years", G1905&lt;6, "3–5 Years", G1905&lt;9, "6–8 Years", G1905&lt;12, "9-11 Years", G1905&gt;=12, "12-14 Years")</f>
        <v>3–5 Years</v>
      </c>
      <c r="J1905">
        <v>3</v>
      </c>
      <c r="K1905" t="s">
        <v>20</v>
      </c>
      <c r="L1905">
        <v>87500</v>
      </c>
      <c r="M1905">
        <v>7700</v>
      </c>
      <c r="N1905">
        <v>95200</v>
      </c>
      <c r="O1905" t="s">
        <v>30</v>
      </c>
      <c r="P1905" s="3">
        <v>43931</v>
      </c>
      <c r="Q1905" t="s">
        <v>36</v>
      </c>
    </row>
    <row r="1906" spans="1:17" x14ac:dyDescent="0.35">
      <c r="A1906" t="s">
        <v>1958</v>
      </c>
      <c r="B1906" t="s">
        <v>23</v>
      </c>
      <c r="C1906">
        <v>38</v>
      </c>
      <c r="D1906" t="s">
        <v>38</v>
      </c>
      <c r="E1906" t="s">
        <v>39</v>
      </c>
      <c r="F1906" t="s">
        <v>36</v>
      </c>
      <c r="G1906">
        <v>8.6</v>
      </c>
      <c r="H1906">
        <v>4.3</v>
      </c>
      <c r="I1906" t="str" cm="1">
        <f t="array" ref="I1906">_xlfn.IFS(G1906&lt;3, "0–2 Years", G1906&lt;6, "3–5 Years", G1906&lt;9, "6–8 Years", G1906&lt;12, "9-11 Years", G1906&gt;=12, "12-14 Years")</f>
        <v>6–8 Years</v>
      </c>
      <c r="J1906">
        <v>3</v>
      </c>
      <c r="K1906" t="s">
        <v>20</v>
      </c>
      <c r="L1906">
        <v>85700</v>
      </c>
      <c r="M1906">
        <v>8000</v>
      </c>
      <c r="N1906">
        <v>93700</v>
      </c>
      <c r="O1906" t="s">
        <v>30</v>
      </c>
      <c r="P1906" s="3">
        <v>42888</v>
      </c>
      <c r="Q1906" t="s">
        <v>36</v>
      </c>
    </row>
    <row r="1907" spans="1:17" x14ac:dyDescent="0.35">
      <c r="A1907" t="s">
        <v>1959</v>
      </c>
      <c r="B1907" t="s">
        <v>16</v>
      </c>
      <c r="C1907">
        <v>22</v>
      </c>
      <c r="D1907" t="s">
        <v>44</v>
      </c>
      <c r="E1907" t="s">
        <v>81</v>
      </c>
      <c r="F1907" t="s">
        <v>19</v>
      </c>
      <c r="G1907">
        <v>10.7</v>
      </c>
      <c r="H1907">
        <v>7.3</v>
      </c>
      <c r="I1907" t="str" cm="1">
        <f t="array" ref="I1907">_xlfn.IFS(G1907&lt;3, "0–2 Years", G1907&lt;6, "3–5 Years", G1907&lt;9, "6–8 Years", G1907&lt;12, "9-11 Years", G1907&gt;=12, "12-14 Years")</f>
        <v>9-11 Years</v>
      </c>
      <c r="J1907">
        <v>4</v>
      </c>
      <c r="K1907" t="s">
        <v>69</v>
      </c>
      <c r="L1907">
        <v>71200</v>
      </c>
      <c r="M1907">
        <v>4900</v>
      </c>
      <c r="N1907">
        <v>76100</v>
      </c>
      <c r="O1907" t="s">
        <v>21</v>
      </c>
      <c r="P1907" s="3">
        <v>42122</v>
      </c>
      <c r="Q1907" t="s">
        <v>19</v>
      </c>
    </row>
    <row r="1908" spans="1:17" x14ac:dyDescent="0.35">
      <c r="A1908" t="s">
        <v>1960</v>
      </c>
      <c r="B1908" t="s">
        <v>23</v>
      </c>
      <c r="C1908">
        <v>28</v>
      </c>
      <c r="D1908" t="s">
        <v>55</v>
      </c>
      <c r="E1908" t="s">
        <v>92</v>
      </c>
      <c r="F1908" t="s">
        <v>36</v>
      </c>
      <c r="G1908">
        <v>2.6</v>
      </c>
      <c r="H1908">
        <v>1.6</v>
      </c>
      <c r="I1908" t="str" cm="1">
        <f t="array" ref="I1908">_xlfn.IFS(G1908&lt;3, "0–2 Years", G1908&lt;6, "3–5 Years", G1908&lt;9, "6–8 Years", G1908&lt;12, "9-11 Years", G1908&gt;=12, "12-14 Years")</f>
        <v>0–2 Years</v>
      </c>
      <c r="J1908">
        <v>3</v>
      </c>
      <c r="K1908" t="s">
        <v>20</v>
      </c>
      <c r="L1908">
        <v>89000</v>
      </c>
      <c r="M1908">
        <v>7500</v>
      </c>
      <c r="N1908">
        <v>96500</v>
      </c>
      <c r="O1908" t="s">
        <v>30</v>
      </c>
      <c r="P1908" s="3">
        <v>45075</v>
      </c>
      <c r="Q1908" t="s">
        <v>36</v>
      </c>
    </row>
    <row r="1909" spans="1:17" x14ac:dyDescent="0.35">
      <c r="A1909" t="s">
        <v>1961</v>
      </c>
      <c r="B1909" t="s">
        <v>23</v>
      </c>
      <c r="C1909">
        <v>37</v>
      </c>
      <c r="D1909" t="s">
        <v>41</v>
      </c>
      <c r="E1909" t="s">
        <v>73</v>
      </c>
      <c r="F1909" t="s">
        <v>36</v>
      </c>
      <c r="G1909">
        <v>1</v>
      </c>
      <c r="H1909">
        <v>1</v>
      </c>
      <c r="I1909" t="str" cm="1">
        <f t="array" ref="I1909">_xlfn.IFS(G1909&lt;3, "0–2 Years", G1909&lt;6, "3–5 Years", G1909&lt;9, "6–8 Years", G1909&lt;12, "9-11 Years", G1909&gt;=12, "12-14 Years")</f>
        <v>0–2 Years</v>
      </c>
      <c r="J1909">
        <v>4</v>
      </c>
      <c r="K1909" t="s">
        <v>69</v>
      </c>
      <c r="L1909">
        <v>82700</v>
      </c>
      <c r="M1909">
        <v>4700</v>
      </c>
      <c r="N1909">
        <v>87400</v>
      </c>
      <c r="O1909" t="s">
        <v>30</v>
      </c>
      <c r="P1909" s="3">
        <v>45651</v>
      </c>
      <c r="Q1909" t="s">
        <v>36</v>
      </c>
    </row>
    <row r="1910" spans="1:17" x14ac:dyDescent="0.35">
      <c r="A1910" t="s">
        <v>1962</v>
      </c>
      <c r="B1910" t="s">
        <v>23</v>
      </c>
      <c r="C1910">
        <v>40</v>
      </c>
      <c r="D1910" t="s">
        <v>34</v>
      </c>
      <c r="E1910" t="s">
        <v>35</v>
      </c>
      <c r="F1910" t="s">
        <v>36</v>
      </c>
      <c r="G1910">
        <v>6.5</v>
      </c>
      <c r="H1910">
        <v>5.0999999999999996</v>
      </c>
      <c r="I1910" t="str" cm="1">
        <f t="array" ref="I1910">_xlfn.IFS(G1910&lt;3, "0–2 Years", G1910&lt;6, "3–5 Years", G1910&lt;9, "6–8 Years", G1910&lt;12, "9-11 Years", G1910&gt;=12, "12-14 Years")</f>
        <v>6–8 Years</v>
      </c>
      <c r="J1910">
        <v>4</v>
      </c>
      <c r="K1910" t="s">
        <v>20</v>
      </c>
      <c r="L1910">
        <v>89600</v>
      </c>
      <c r="M1910">
        <v>8500</v>
      </c>
      <c r="N1910">
        <v>98100</v>
      </c>
      <c r="O1910" t="s">
        <v>30</v>
      </c>
      <c r="P1910" s="3">
        <v>43647</v>
      </c>
      <c r="Q1910" t="s">
        <v>36</v>
      </c>
    </row>
    <row r="1911" spans="1:17" x14ac:dyDescent="0.35">
      <c r="A1911" t="s">
        <v>1963</v>
      </c>
      <c r="B1911" t="s">
        <v>16</v>
      </c>
      <c r="C1911">
        <v>42</v>
      </c>
      <c r="D1911" t="s">
        <v>41</v>
      </c>
      <c r="E1911" t="s">
        <v>42</v>
      </c>
      <c r="F1911" t="s">
        <v>28</v>
      </c>
      <c r="G1911">
        <v>8.5</v>
      </c>
      <c r="H1911">
        <v>5.2</v>
      </c>
      <c r="I1911" t="str" cm="1">
        <f t="array" ref="I1911">_xlfn.IFS(G1911&lt;3, "0–2 Years", G1911&lt;6, "3–5 Years", G1911&lt;9, "6–8 Years", G1911&lt;12, "9-11 Years", G1911&gt;=12, "12-14 Years")</f>
        <v>6–8 Years</v>
      </c>
      <c r="J1911">
        <v>4</v>
      </c>
      <c r="K1911" t="s">
        <v>69</v>
      </c>
      <c r="L1911">
        <v>57200</v>
      </c>
      <c r="M1911">
        <v>4000</v>
      </c>
      <c r="N1911">
        <v>61200</v>
      </c>
      <c r="O1911" t="s">
        <v>25</v>
      </c>
      <c r="P1911" s="3">
        <v>42905</v>
      </c>
      <c r="Q1911" t="s">
        <v>28</v>
      </c>
    </row>
    <row r="1912" spans="1:17" x14ac:dyDescent="0.35">
      <c r="A1912" t="s">
        <v>1964</v>
      </c>
      <c r="B1912" t="s">
        <v>23</v>
      </c>
      <c r="C1912">
        <v>39</v>
      </c>
      <c r="D1912" t="s">
        <v>55</v>
      </c>
      <c r="E1912" t="s">
        <v>92</v>
      </c>
      <c r="F1912" t="s">
        <v>28</v>
      </c>
      <c r="G1912">
        <v>7.9</v>
      </c>
      <c r="H1912">
        <v>3.2</v>
      </c>
      <c r="I1912" t="str" cm="1">
        <f t="array" ref="I1912">_xlfn.IFS(G1912&lt;3, "0–2 Years", G1912&lt;6, "3–5 Years", G1912&lt;9, "6–8 Years", G1912&lt;12, "9-11 Years", G1912&gt;=12, "12-14 Years")</f>
        <v>6–8 Years</v>
      </c>
      <c r="J1912">
        <v>5</v>
      </c>
      <c r="K1912" t="s">
        <v>20</v>
      </c>
      <c r="L1912">
        <v>101800</v>
      </c>
      <c r="M1912">
        <v>19100</v>
      </c>
      <c r="N1912">
        <v>120900</v>
      </c>
      <c r="O1912" t="s">
        <v>57</v>
      </c>
      <c r="P1912" s="3">
        <v>43153</v>
      </c>
      <c r="Q1912" t="s">
        <v>28</v>
      </c>
    </row>
    <row r="1913" spans="1:17" x14ac:dyDescent="0.35">
      <c r="A1913" t="s">
        <v>1965</v>
      </c>
      <c r="B1913" t="s">
        <v>16</v>
      </c>
      <c r="C1913">
        <v>31</v>
      </c>
      <c r="D1913" t="s">
        <v>41</v>
      </c>
      <c r="E1913" t="s">
        <v>73</v>
      </c>
      <c r="F1913" t="s">
        <v>28</v>
      </c>
      <c r="G1913">
        <v>6.2</v>
      </c>
      <c r="H1913">
        <v>3.7</v>
      </c>
      <c r="I1913" t="str" cm="1">
        <f t="array" ref="I1913">_xlfn.IFS(G1913&lt;3, "0–2 Years", G1913&lt;6, "3–5 Years", G1913&lt;9, "6–8 Years", G1913&lt;12, "9-11 Years", G1913&gt;=12, "12-14 Years")</f>
        <v>6–8 Years</v>
      </c>
      <c r="J1913">
        <v>1</v>
      </c>
      <c r="K1913" t="s">
        <v>20</v>
      </c>
      <c r="L1913">
        <v>104700</v>
      </c>
      <c r="M1913">
        <v>4500</v>
      </c>
      <c r="N1913">
        <v>109200</v>
      </c>
      <c r="O1913" t="s">
        <v>57</v>
      </c>
      <c r="P1913" s="3">
        <v>43771</v>
      </c>
      <c r="Q1913" t="s">
        <v>28</v>
      </c>
    </row>
    <row r="1914" spans="1:17" x14ac:dyDescent="0.35">
      <c r="A1914" t="s">
        <v>1966</v>
      </c>
      <c r="B1914" t="s">
        <v>23</v>
      </c>
      <c r="C1914">
        <v>35</v>
      </c>
      <c r="D1914" t="s">
        <v>38</v>
      </c>
      <c r="E1914" t="s">
        <v>39</v>
      </c>
      <c r="F1914" t="s">
        <v>28</v>
      </c>
      <c r="G1914">
        <v>6.9</v>
      </c>
      <c r="H1914">
        <v>6.6</v>
      </c>
      <c r="I1914" t="str" cm="1">
        <f t="array" ref="I1914">_xlfn.IFS(G1914&lt;3, "0–2 Years", G1914&lt;6, "3–5 Years", G1914&lt;9, "6–8 Years", G1914&lt;12, "9-11 Years", G1914&gt;=12, "12-14 Years")</f>
        <v>6–8 Years</v>
      </c>
      <c r="J1914">
        <v>4</v>
      </c>
      <c r="K1914" t="s">
        <v>20</v>
      </c>
      <c r="L1914">
        <v>75600</v>
      </c>
      <c r="M1914">
        <v>4000</v>
      </c>
      <c r="N1914">
        <v>79600</v>
      </c>
      <c r="O1914" t="s">
        <v>21</v>
      </c>
      <c r="P1914" s="3">
        <v>43509</v>
      </c>
      <c r="Q1914" t="s">
        <v>28</v>
      </c>
    </row>
    <row r="1915" spans="1:17" x14ac:dyDescent="0.35">
      <c r="A1915" t="s">
        <v>1967</v>
      </c>
      <c r="B1915" t="s">
        <v>16</v>
      </c>
      <c r="C1915">
        <v>45</v>
      </c>
      <c r="D1915" t="s">
        <v>41</v>
      </c>
      <c r="E1915" t="s">
        <v>73</v>
      </c>
      <c r="F1915" t="s">
        <v>28</v>
      </c>
      <c r="G1915">
        <v>1.2</v>
      </c>
      <c r="H1915">
        <v>1.2</v>
      </c>
      <c r="I1915" t="str" cm="1">
        <f t="array" ref="I1915">_xlfn.IFS(G1915&lt;3, "0–2 Years", G1915&lt;6, "3–5 Years", G1915&lt;9, "6–8 Years", G1915&lt;12, "9-11 Years", G1915&gt;=12, "12-14 Years")</f>
        <v>0–2 Years</v>
      </c>
      <c r="J1915">
        <v>3</v>
      </c>
      <c r="K1915" t="s">
        <v>20</v>
      </c>
      <c r="L1915">
        <v>84600</v>
      </c>
      <c r="M1915">
        <v>5300</v>
      </c>
      <c r="N1915">
        <v>89900</v>
      </c>
      <c r="O1915" t="s">
        <v>30</v>
      </c>
      <c r="P1915" s="3">
        <v>45598</v>
      </c>
      <c r="Q1915" t="s">
        <v>28</v>
      </c>
    </row>
    <row r="1916" spans="1:17" x14ac:dyDescent="0.35">
      <c r="A1916" t="s">
        <v>1968</v>
      </c>
      <c r="B1916" t="s">
        <v>16</v>
      </c>
      <c r="C1916">
        <v>30</v>
      </c>
      <c r="D1916" t="s">
        <v>44</v>
      </c>
      <c r="E1916" t="s">
        <v>51</v>
      </c>
      <c r="F1916" t="s">
        <v>36</v>
      </c>
      <c r="G1916">
        <v>9.5</v>
      </c>
      <c r="H1916">
        <v>5.0999999999999996</v>
      </c>
      <c r="I1916" t="str" cm="1">
        <f t="array" ref="I1916">_xlfn.IFS(G1916&lt;3, "0–2 Years", G1916&lt;6, "3–5 Years", G1916&lt;9, "6–8 Years", G1916&lt;12, "9-11 Years", G1916&gt;=12, "12-14 Years")</f>
        <v>9-11 Years</v>
      </c>
      <c r="J1916">
        <v>2</v>
      </c>
      <c r="K1916" t="s">
        <v>20</v>
      </c>
      <c r="L1916">
        <v>94300</v>
      </c>
      <c r="M1916">
        <v>5000</v>
      </c>
      <c r="N1916">
        <v>99300</v>
      </c>
      <c r="O1916" t="s">
        <v>30</v>
      </c>
      <c r="P1916" s="3">
        <v>42563</v>
      </c>
      <c r="Q1916" t="s">
        <v>36</v>
      </c>
    </row>
    <row r="1917" spans="1:17" x14ac:dyDescent="0.35">
      <c r="A1917" t="s">
        <v>1969</v>
      </c>
      <c r="B1917" t="s">
        <v>23</v>
      </c>
      <c r="C1917">
        <v>29</v>
      </c>
      <c r="D1917" t="s">
        <v>44</v>
      </c>
      <c r="E1917" t="s">
        <v>51</v>
      </c>
      <c r="F1917" t="s">
        <v>28</v>
      </c>
      <c r="G1917">
        <v>9.9</v>
      </c>
      <c r="H1917">
        <v>6.4</v>
      </c>
      <c r="I1917" t="str" cm="1">
        <f t="array" ref="I1917">_xlfn.IFS(G1917&lt;3, "0–2 Years", G1917&lt;6, "3–5 Years", G1917&lt;9, "6–8 Years", G1917&lt;12, "9-11 Years", G1917&gt;=12, "12-14 Years")</f>
        <v>9-11 Years</v>
      </c>
      <c r="J1917">
        <v>3</v>
      </c>
      <c r="K1917" t="s">
        <v>20</v>
      </c>
      <c r="L1917">
        <v>91500</v>
      </c>
      <c r="M1917">
        <v>6700</v>
      </c>
      <c r="N1917">
        <v>98200</v>
      </c>
      <c r="O1917" t="s">
        <v>30</v>
      </c>
      <c r="P1917" s="3">
        <v>42401</v>
      </c>
      <c r="Q1917" t="s">
        <v>28</v>
      </c>
    </row>
    <row r="1918" spans="1:17" x14ac:dyDescent="0.35">
      <c r="A1918" t="s">
        <v>1970</v>
      </c>
      <c r="B1918" t="s">
        <v>23</v>
      </c>
      <c r="C1918">
        <v>35</v>
      </c>
      <c r="D1918" t="s">
        <v>44</v>
      </c>
      <c r="E1918" t="s">
        <v>45</v>
      </c>
      <c r="F1918" t="s">
        <v>28</v>
      </c>
      <c r="G1918">
        <v>9.1999999999999993</v>
      </c>
      <c r="H1918">
        <v>6.8</v>
      </c>
      <c r="I1918" t="str" cm="1">
        <f t="array" ref="I1918">_xlfn.IFS(G1918&lt;3, "0–2 Years", G1918&lt;6, "3–5 Years", G1918&lt;9, "6–8 Years", G1918&lt;12, "9-11 Years", G1918&gt;=12, "12-14 Years")</f>
        <v>9-11 Years</v>
      </c>
      <c r="J1918">
        <v>3</v>
      </c>
      <c r="K1918" t="s">
        <v>20</v>
      </c>
      <c r="L1918">
        <v>69900</v>
      </c>
      <c r="M1918">
        <v>4100</v>
      </c>
      <c r="N1918">
        <v>74000</v>
      </c>
      <c r="O1918" t="s">
        <v>21</v>
      </c>
      <c r="P1918" s="3">
        <v>42654</v>
      </c>
      <c r="Q1918" t="s">
        <v>28</v>
      </c>
    </row>
    <row r="1919" spans="1:17" x14ac:dyDescent="0.35">
      <c r="A1919" t="s">
        <v>1971</v>
      </c>
      <c r="B1919" t="s">
        <v>16</v>
      </c>
      <c r="C1919">
        <v>43</v>
      </c>
      <c r="D1919" t="s">
        <v>17</v>
      </c>
      <c r="E1919" t="s">
        <v>32</v>
      </c>
      <c r="F1919" t="s">
        <v>28</v>
      </c>
      <c r="G1919">
        <v>2.9</v>
      </c>
      <c r="H1919">
        <v>1.9</v>
      </c>
      <c r="I1919" t="str" cm="1">
        <f t="array" ref="I1919">_xlfn.IFS(G1919&lt;3, "0–2 Years", G1919&lt;6, "3–5 Years", G1919&lt;9, "6–8 Years", G1919&lt;12, "9-11 Years", G1919&gt;=12, "12-14 Years")</f>
        <v>0–2 Years</v>
      </c>
      <c r="J1919">
        <v>1</v>
      </c>
      <c r="K1919" t="s">
        <v>20</v>
      </c>
      <c r="L1919">
        <v>57000</v>
      </c>
      <c r="M1919">
        <v>3700</v>
      </c>
      <c r="N1919">
        <v>60700</v>
      </c>
      <c r="O1919" t="s">
        <v>25</v>
      </c>
      <c r="P1919" s="3">
        <v>44981</v>
      </c>
      <c r="Q1919" t="s">
        <v>28</v>
      </c>
    </row>
    <row r="1920" spans="1:17" x14ac:dyDescent="0.35">
      <c r="A1920" t="s">
        <v>1972</v>
      </c>
      <c r="B1920" t="s">
        <v>23</v>
      </c>
      <c r="C1920" s="7">
        <v>34</v>
      </c>
      <c r="D1920" t="s">
        <v>34</v>
      </c>
      <c r="E1920" t="s">
        <v>59</v>
      </c>
      <c r="F1920" t="s">
        <v>36</v>
      </c>
      <c r="G1920" s="9">
        <v>12.8</v>
      </c>
      <c r="H1920" s="7">
        <v>10.1</v>
      </c>
      <c r="I1920" t="str" cm="1">
        <f t="array" ref="I1920">_xlfn.IFS(G1920&lt;3, "0–2 Years", G1920&lt;6, "3–5 Years", G1920&lt;9, "6–8 Years", G1920&lt;12, "9-11 Years", G1920&gt;=12, "12-14 Years")</f>
        <v>12-14 Years</v>
      </c>
      <c r="J1920" s="7">
        <v>1</v>
      </c>
      <c r="K1920" t="s">
        <v>20</v>
      </c>
      <c r="L1920" s="7">
        <v>99600</v>
      </c>
      <c r="M1920" s="7">
        <v>10500</v>
      </c>
      <c r="N1920" s="7">
        <v>110100</v>
      </c>
      <c r="O1920" t="s">
        <v>30</v>
      </c>
      <c r="P1920" s="3">
        <v>41330</v>
      </c>
      <c r="Q1920" t="s">
        <v>36</v>
      </c>
    </row>
    <row r="1921" spans="1:17" x14ac:dyDescent="0.35">
      <c r="A1921" t="s">
        <v>1973</v>
      </c>
      <c r="B1921" t="s">
        <v>23</v>
      </c>
      <c r="C1921">
        <v>33</v>
      </c>
      <c r="D1921" t="s">
        <v>17</v>
      </c>
      <c r="E1921" t="s">
        <v>32</v>
      </c>
      <c r="F1921" t="s">
        <v>36</v>
      </c>
      <c r="G1921">
        <v>4</v>
      </c>
      <c r="H1921">
        <v>0.9</v>
      </c>
      <c r="I1921" t="str" cm="1">
        <f t="array" ref="I1921">_xlfn.IFS(G1921&lt;3, "0–2 Years", G1921&lt;6, "3–5 Years", G1921&lt;9, "6–8 Years", G1921&lt;12, "9-11 Years", G1921&gt;=12, "12-14 Years")</f>
        <v>3–5 Years</v>
      </c>
      <c r="J1921">
        <v>3</v>
      </c>
      <c r="K1921" t="s">
        <v>20</v>
      </c>
      <c r="L1921">
        <v>82600</v>
      </c>
      <c r="M1921">
        <v>10900</v>
      </c>
      <c r="N1921">
        <v>93500</v>
      </c>
      <c r="O1921" t="s">
        <v>30</v>
      </c>
      <c r="P1921" s="3">
        <v>44570</v>
      </c>
      <c r="Q1921" t="s">
        <v>36</v>
      </c>
    </row>
    <row r="1922" spans="1:17" x14ac:dyDescent="0.35">
      <c r="A1922" t="s">
        <v>1974</v>
      </c>
      <c r="B1922" t="s">
        <v>16</v>
      </c>
      <c r="C1922">
        <v>41</v>
      </c>
      <c r="D1922" t="s">
        <v>55</v>
      </c>
      <c r="E1922" t="s">
        <v>56</v>
      </c>
      <c r="F1922" t="s">
        <v>36</v>
      </c>
      <c r="G1922">
        <v>10.5</v>
      </c>
      <c r="H1922">
        <v>5.6</v>
      </c>
      <c r="I1922" t="str" cm="1">
        <f t="array" ref="I1922">_xlfn.IFS(G1922&lt;3, "0–2 Years", G1922&lt;6, "3–5 Years", G1922&lt;9, "6–8 Years", G1922&lt;12, "9-11 Years", G1922&gt;=12, "12-14 Years")</f>
        <v>9-11 Years</v>
      </c>
      <c r="J1922">
        <v>3</v>
      </c>
      <c r="K1922" t="s">
        <v>24</v>
      </c>
      <c r="L1922">
        <v>67500</v>
      </c>
      <c r="M1922">
        <v>10300</v>
      </c>
      <c r="N1922">
        <v>77800</v>
      </c>
      <c r="O1922" t="s">
        <v>21</v>
      </c>
      <c r="P1922" s="3">
        <v>42199</v>
      </c>
      <c r="Q1922" t="s">
        <v>36</v>
      </c>
    </row>
    <row r="1923" spans="1:17" x14ac:dyDescent="0.35">
      <c r="A1923" t="s">
        <v>1975</v>
      </c>
      <c r="B1923" t="s">
        <v>16</v>
      </c>
      <c r="C1923">
        <v>27</v>
      </c>
      <c r="D1923" t="s">
        <v>38</v>
      </c>
      <c r="E1923" t="s">
        <v>112</v>
      </c>
      <c r="F1923" t="s">
        <v>36</v>
      </c>
      <c r="G1923">
        <v>7.3</v>
      </c>
      <c r="H1923">
        <v>3.4</v>
      </c>
      <c r="I1923" t="str" cm="1">
        <f t="array" ref="I1923">_xlfn.IFS(G1923&lt;3, "0–2 Years", G1923&lt;6, "3–5 Years", G1923&lt;9, "6–8 Years", G1923&lt;12, "9-11 Years", G1923&gt;=12, "12-14 Years")</f>
        <v>6–8 Years</v>
      </c>
      <c r="J1923">
        <v>3</v>
      </c>
      <c r="K1923" t="s">
        <v>20</v>
      </c>
      <c r="L1923">
        <v>74500</v>
      </c>
      <c r="M1923">
        <v>6700</v>
      </c>
      <c r="N1923">
        <v>81200</v>
      </c>
      <c r="O1923" t="s">
        <v>21</v>
      </c>
      <c r="P1923" s="3">
        <v>43354</v>
      </c>
      <c r="Q1923" t="s">
        <v>36</v>
      </c>
    </row>
    <row r="1924" spans="1:17" x14ac:dyDescent="0.35">
      <c r="A1924" t="s">
        <v>1976</v>
      </c>
      <c r="B1924" t="s">
        <v>23</v>
      </c>
      <c r="C1924">
        <v>40</v>
      </c>
      <c r="D1924" t="s">
        <v>44</v>
      </c>
      <c r="E1924" t="s">
        <v>45</v>
      </c>
      <c r="F1924" t="s">
        <v>19</v>
      </c>
      <c r="G1924">
        <v>7</v>
      </c>
      <c r="H1924">
        <v>4.8</v>
      </c>
      <c r="I1924" t="str" cm="1">
        <f t="array" ref="I1924">_xlfn.IFS(G1924&lt;3, "0–2 Years", G1924&lt;6, "3–5 Years", G1924&lt;9, "6–8 Years", G1924&lt;12, "9-11 Years", G1924&gt;=12, "12-14 Years")</f>
        <v>6–8 Years</v>
      </c>
      <c r="J1924">
        <v>3</v>
      </c>
      <c r="K1924" t="s">
        <v>20</v>
      </c>
      <c r="L1924">
        <v>67300</v>
      </c>
      <c r="M1924">
        <v>9500</v>
      </c>
      <c r="N1924">
        <v>76800</v>
      </c>
      <c r="O1924" t="s">
        <v>21</v>
      </c>
      <c r="P1924" s="3">
        <v>43460</v>
      </c>
      <c r="Q1924" t="s">
        <v>19</v>
      </c>
    </row>
    <row r="1925" spans="1:17" x14ac:dyDescent="0.35">
      <c r="A1925" t="s">
        <v>1977</v>
      </c>
      <c r="B1925" t="s">
        <v>16</v>
      </c>
      <c r="C1925">
        <v>25</v>
      </c>
      <c r="D1925" t="s">
        <v>41</v>
      </c>
      <c r="E1925" t="s">
        <v>42</v>
      </c>
      <c r="F1925" t="s">
        <v>28</v>
      </c>
      <c r="G1925">
        <v>10.8</v>
      </c>
      <c r="H1925">
        <v>6.2</v>
      </c>
      <c r="I1925" t="str" cm="1">
        <f t="array" ref="I1925">_xlfn.IFS(G1925&lt;3, "0–2 Years", G1925&lt;6, "3–5 Years", G1925&lt;9, "6–8 Years", G1925&lt;12, "9-11 Years", G1925&gt;=12, "12-14 Years")</f>
        <v>9-11 Years</v>
      </c>
      <c r="J1925">
        <v>4</v>
      </c>
      <c r="K1925" t="s">
        <v>20</v>
      </c>
      <c r="L1925">
        <v>80200</v>
      </c>
      <c r="M1925">
        <v>6700</v>
      </c>
      <c r="N1925">
        <v>86900</v>
      </c>
      <c r="O1925" t="s">
        <v>30</v>
      </c>
      <c r="P1925" s="3">
        <v>42063</v>
      </c>
      <c r="Q1925" t="s">
        <v>28</v>
      </c>
    </row>
    <row r="1926" spans="1:17" x14ac:dyDescent="0.35">
      <c r="A1926" t="s">
        <v>1978</v>
      </c>
      <c r="B1926" t="s">
        <v>23</v>
      </c>
      <c r="C1926">
        <v>36</v>
      </c>
      <c r="D1926" t="s">
        <v>17</v>
      </c>
      <c r="E1926" t="s">
        <v>27</v>
      </c>
      <c r="F1926" t="s">
        <v>28</v>
      </c>
      <c r="G1926">
        <v>7.3</v>
      </c>
      <c r="H1926">
        <v>5.9</v>
      </c>
      <c r="I1926" t="str" cm="1">
        <f t="array" ref="I1926">_xlfn.IFS(G1926&lt;3, "0–2 Years", G1926&lt;6, "3–5 Years", G1926&lt;9, "6–8 Years", G1926&lt;12, "9-11 Years", G1926&gt;=12, "12-14 Years")</f>
        <v>6–8 Years</v>
      </c>
      <c r="J1926">
        <v>3</v>
      </c>
      <c r="K1926" t="s">
        <v>69</v>
      </c>
      <c r="L1926">
        <v>55500</v>
      </c>
      <c r="M1926">
        <v>2900</v>
      </c>
      <c r="N1926">
        <v>58400</v>
      </c>
      <c r="O1926" t="s">
        <v>25</v>
      </c>
      <c r="P1926" s="3">
        <v>43358</v>
      </c>
      <c r="Q1926" t="s">
        <v>28</v>
      </c>
    </row>
    <row r="1927" spans="1:17" x14ac:dyDescent="0.35">
      <c r="A1927" t="s">
        <v>1979</v>
      </c>
      <c r="B1927" t="s">
        <v>23</v>
      </c>
      <c r="C1927">
        <v>31</v>
      </c>
      <c r="D1927" t="s">
        <v>55</v>
      </c>
      <c r="E1927" t="s">
        <v>92</v>
      </c>
      <c r="F1927" t="s">
        <v>62</v>
      </c>
      <c r="G1927">
        <v>3.7</v>
      </c>
      <c r="H1927">
        <v>0.1</v>
      </c>
      <c r="I1927" t="str" cm="1">
        <f t="array" ref="I1927">_xlfn.IFS(G1927&lt;3, "0–2 Years", G1927&lt;6, "3–5 Years", G1927&lt;9, "6–8 Years", G1927&lt;12, "9-11 Years", G1927&gt;=12, "12-14 Years")</f>
        <v>3–5 Years</v>
      </c>
      <c r="J1927">
        <v>3</v>
      </c>
      <c r="K1927" t="s">
        <v>24</v>
      </c>
      <c r="L1927">
        <v>58300</v>
      </c>
      <c r="M1927">
        <v>11100</v>
      </c>
      <c r="N1927">
        <v>69400</v>
      </c>
      <c r="O1927" t="s">
        <v>25</v>
      </c>
      <c r="P1927" s="3">
        <v>44663</v>
      </c>
      <c r="Q1927" t="s">
        <v>62</v>
      </c>
    </row>
    <row r="1928" spans="1:17" x14ac:dyDescent="0.35">
      <c r="A1928" t="s">
        <v>1980</v>
      </c>
      <c r="B1928" t="s">
        <v>16</v>
      </c>
      <c r="C1928">
        <v>30</v>
      </c>
      <c r="D1928" t="s">
        <v>55</v>
      </c>
      <c r="E1928" t="s">
        <v>79</v>
      </c>
      <c r="F1928" t="s">
        <v>28</v>
      </c>
      <c r="G1928">
        <v>6.3</v>
      </c>
      <c r="H1928">
        <v>5.7</v>
      </c>
      <c r="I1928" t="str" cm="1">
        <f t="array" ref="I1928">_xlfn.IFS(G1928&lt;3, "0–2 Years", G1928&lt;6, "3–5 Years", G1928&lt;9, "6–8 Years", G1928&lt;12, "9-11 Years", G1928&gt;=12, "12-14 Years")</f>
        <v>6–8 Years</v>
      </c>
      <c r="J1928">
        <v>4</v>
      </c>
      <c r="K1928" t="s">
        <v>20</v>
      </c>
      <c r="L1928">
        <v>63800</v>
      </c>
      <c r="M1928">
        <v>13100</v>
      </c>
      <c r="N1928">
        <v>76900</v>
      </c>
      <c r="O1928" t="s">
        <v>25</v>
      </c>
      <c r="P1928" s="3">
        <v>43707</v>
      </c>
      <c r="Q1928" t="s">
        <v>28</v>
      </c>
    </row>
    <row r="1929" spans="1:17" x14ac:dyDescent="0.35">
      <c r="A1929" t="s">
        <v>1981</v>
      </c>
      <c r="B1929" t="s">
        <v>23</v>
      </c>
      <c r="C1929">
        <v>37</v>
      </c>
      <c r="D1929" t="s">
        <v>44</v>
      </c>
      <c r="E1929" t="s">
        <v>51</v>
      </c>
      <c r="F1929" t="s">
        <v>28</v>
      </c>
      <c r="G1929">
        <v>8.5</v>
      </c>
      <c r="I1929" t="str" cm="1">
        <f t="array" ref="I1929">_xlfn.IFS(G1929&lt;3, "0–2 Years", G1929&lt;6, "3–5 Years", G1929&lt;9, "6–8 Years", G1929&lt;12, "9-11 Years", G1929&gt;=12, "12-14 Years")</f>
        <v>6–8 Years</v>
      </c>
      <c r="J1929">
        <v>5</v>
      </c>
      <c r="K1929" t="s">
        <v>20</v>
      </c>
      <c r="L1929">
        <v>91300</v>
      </c>
      <c r="M1929">
        <v>10700</v>
      </c>
      <c r="N1929">
        <v>102000</v>
      </c>
      <c r="O1929" t="s">
        <v>30</v>
      </c>
      <c r="P1929" s="3">
        <v>42934</v>
      </c>
      <c r="Q1929" t="s">
        <v>28</v>
      </c>
    </row>
    <row r="1930" spans="1:17" x14ac:dyDescent="0.35">
      <c r="A1930" t="s">
        <v>1982</v>
      </c>
      <c r="B1930" t="s">
        <v>23</v>
      </c>
      <c r="C1930" s="7">
        <v>33</v>
      </c>
      <c r="D1930" t="s">
        <v>55</v>
      </c>
      <c r="E1930" t="s">
        <v>56</v>
      </c>
      <c r="F1930" t="s">
        <v>36</v>
      </c>
      <c r="G1930" s="9">
        <v>13.7</v>
      </c>
      <c r="H1930" s="7">
        <v>8.5</v>
      </c>
      <c r="I1930" t="str" cm="1">
        <f t="array" ref="I1930">_xlfn.IFS(G1930&lt;3, "0–2 Years", G1930&lt;6, "3–5 Years", G1930&lt;9, "6–8 Years", G1930&lt;12, "9-11 Years", G1930&gt;=12, "12-14 Years")</f>
        <v>12-14 Years</v>
      </c>
      <c r="J1930" s="7">
        <v>5</v>
      </c>
      <c r="K1930" t="s">
        <v>20</v>
      </c>
      <c r="L1930" s="7">
        <v>117700</v>
      </c>
      <c r="M1930" s="7">
        <v>8600</v>
      </c>
      <c r="N1930" s="7">
        <v>126300</v>
      </c>
      <c r="O1930" t="s">
        <v>57</v>
      </c>
      <c r="P1930" s="3">
        <v>41028</v>
      </c>
      <c r="Q1930" t="s">
        <v>36</v>
      </c>
    </row>
    <row r="1931" spans="1:17" x14ac:dyDescent="0.35">
      <c r="A1931" t="s">
        <v>1983</v>
      </c>
      <c r="B1931" t="s">
        <v>23</v>
      </c>
      <c r="C1931">
        <v>37</v>
      </c>
      <c r="D1931" t="s">
        <v>17</v>
      </c>
      <c r="E1931" t="s">
        <v>27</v>
      </c>
      <c r="F1931" t="s">
        <v>36</v>
      </c>
      <c r="G1931">
        <v>9</v>
      </c>
      <c r="H1931">
        <v>4.5999999999999996</v>
      </c>
      <c r="I1931" t="str" cm="1">
        <f t="array" ref="I1931">_xlfn.IFS(G1931&lt;3, "0–2 Years", G1931&lt;6, "3–5 Years", G1931&lt;9, "6–8 Years", G1931&lt;12, "9-11 Years", G1931&gt;=12, "12-14 Years")</f>
        <v>9-11 Years</v>
      </c>
      <c r="J1931">
        <v>4</v>
      </c>
      <c r="K1931" t="s">
        <v>24</v>
      </c>
      <c r="L1931">
        <v>48800</v>
      </c>
      <c r="M1931">
        <v>5700</v>
      </c>
      <c r="N1931">
        <v>54500</v>
      </c>
      <c r="O1931" t="s">
        <v>65</v>
      </c>
      <c r="P1931" s="3">
        <v>42731</v>
      </c>
      <c r="Q1931" t="s">
        <v>36</v>
      </c>
    </row>
    <row r="1932" spans="1:17" x14ac:dyDescent="0.35">
      <c r="A1932" t="s">
        <v>1984</v>
      </c>
      <c r="B1932" t="s">
        <v>16</v>
      </c>
      <c r="C1932">
        <v>32</v>
      </c>
      <c r="D1932" t="s">
        <v>44</v>
      </c>
      <c r="E1932" t="s">
        <v>76</v>
      </c>
      <c r="F1932" t="s">
        <v>28</v>
      </c>
      <c r="G1932">
        <v>11.3</v>
      </c>
      <c r="H1932">
        <v>8.3000000000000007</v>
      </c>
      <c r="I1932" t="str" cm="1">
        <f t="array" ref="I1932">_xlfn.IFS(G1932&lt;3, "0–2 Years", G1932&lt;6, "3–5 Years", G1932&lt;9, "6–8 Years", G1932&lt;12, "9-11 Years", G1932&gt;=12, "12-14 Years")</f>
        <v>9-11 Years</v>
      </c>
      <c r="J1932">
        <v>3</v>
      </c>
      <c r="K1932" t="s">
        <v>20</v>
      </c>
      <c r="L1932">
        <v>111300</v>
      </c>
      <c r="M1932">
        <v>16200</v>
      </c>
      <c r="N1932">
        <v>127500</v>
      </c>
      <c r="O1932" t="s">
        <v>57</v>
      </c>
      <c r="P1932" s="3">
        <v>41901</v>
      </c>
      <c r="Q1932" t="s">
        <v>28</v>
      </c>
    </row>
    <row r="1933" spans="1:17" x14ac:dyDescent="0.35">
      <c r="A1933" t="s">
        <v>1985</v>
      </c>
      <c r="B1933" t="s">
        <v>23</v>
      </c>
      <c r="C1933">
        <v>36</v>
      </c>
      <c r="D1933" t="s">
        <v>44</v>
      </c>
      <c r="E1933" t="s">
        <v>45</v>
      </c>
      <c r="F1933" t="s">
        <v>28</v>
      </c>
      <c r="G1933">
        <v>7.1</v>
      </c>
      <c r="H1933">
        <v>3.9</v>
      </c>
      <c r="I1933" t="str" cm="1">
        <f t="array" ref="I1933">_xlfn.IFS(G1933&lt;3, "0–2 Years", G1933&lt;6, "3–5 Years", G1933&lt;9, "6–8 Years", G1933&lt;12, "9-11 Years", G1933&gt;=12, "12-14 Years")</f>
        <v>6–8 Years</v>
      </c>
      <c r="J1933">
        <v>5</v>
      </c>
      <c r="K1933" t="s">
        <v>20</v>
      </c>
      <c r="L1933">
        <v>79600</v>
      </c>
      <c r="M1933">
        <v>10800</v>
      </c>
      <c r="N1933">
        <v>90400</v>
      </c>
      <c r="O1933" t="s">
        <v>21</v>
      </c>
      <c r="P1933" s="3">
        <v>43443</v>
      </c>
      <c r="Q1933" t="s">
        <v>28</v>
      </c>
    </row>
    <row r="1934" spans="1:17" x14ac:dyDescent="0.35">
      <c r="A1934" t="s">
        <v>1986</v>
      </c>
      <c r="B1934" t="s">
        <v>16</v>
      </c>
      <c r="C1934">
        <v>35</v>
      </c>
      <c r="D1934" t="s">
        <v>38</v>
      </c>
      <c r="E1934" t="s">
        <v>61</v>
      </c>
      <c r="F1934" t="s">
        <v>36</v>
      </c>
      <c r="G1934">
        <v>7</v>
      </c>
      <c r="H1934">
        <v>6.5</v>
      </c>
      <c r="I1934" t="str" cm="1">
        <f t="array" ref="I1934">_xlfn.IFS(G1934&lt;3, "0–2 Years", G1934&lt;6, "3–5 Years", G1934&lt;9, "6–8 Years", G1934&lt;12, "9-11 Years", G1934&gt;=12, "12-14 Years")</f>
        <v>6–8 Years</v>
      </c>
      <c r="J1934">
        <v>5</v>
      </c>
      <c r="K1934" t="s">
        <v>20</v>
      </c>
      <c r="L1934">
        <v>111600</v>
      </c>
      <c r="M1934">
        <v>7100</v>
      </c>
      <c r="N1934">
        <v>118700</v>
      </c>
      <c r="O1934" t="s">
        <v>57</v>
      </c>
      <c r="P1934" s="3">
        <v>43462</v>
      </c>
      <c r="Q1934" t="s">
        <v>36</v>
      </c>
    </row>
    <row r="1935" spans="1:17" x14ac:dyDescent="0.35">
      <c r="A1935" t="s">
        <v>1987</v>
      </c>
      <c r="B1935" t="s">
        <v>23</v>
      </c>
      <c r="C1935">
        <v>43</v>
      </c>
      <c r="D1935" t="s">
        <v>44</v>
      </c>
      <c r="E1935" t="s">
        <v>45</v>
      </c>
      <c r="F1935" t="s">
        <v>36</v>
      </c>
      <c r="G1935">
        <v>4.0999999999999996</v>
      </c>
      <c r="H1935">
        <v>1.2</v>
      </c>
      <c r="I1935" t="str" cm="1">
        <f t="array" ref="I1935">_xlfn.IFS(G1935&lt;3, "0–2 Years", G1935&lt;6, "3–5 Years", G1935&lt;9, "6–8 Years", G1935&lt;12, "9-11 Years", G1935&gt;=12, "12-14 Years")</f>
        <v>3–5 Years</v>
      </c>
      <c r="J1935">
        <v>2</v>
      </c>
      <c r="K1935" t="s">
        <v>20</v>
      </c>
      <c r="L1935">
        <v>60700</v>
      </c>
      <c r="M1935">
        <v>7100</v>
      </c>
      <c r="N1935">
        <v>67800</v>
      </c>
      <c r="O1935" t="s">
        <v>25</v>
      </c>
      <c r="P1935" s="3">
        <v>44523</v>
      </c>
      <c r="Q1935" t="s">
        <v>36</v>
      </c>
    </row>
    <row r="1936" spans="1:17" x14ac:dyDescent="0.35">
      <c r="A1936" t="s">
        <v>1988</v>
      </c>
      <c r="B1936" t="s">
        <v>16</v>
      </c>
      <c r="C1936" s="7">
        <v>31</v>
      </c>
      <c r="D1936" t="s">
        <v>38</v>
      </c>
      <c r="E1936" t="s">
        <v>61</v>
      </c>
      <c r="F1936" t="s">
        <v>28</v>
      </c>
      <c r="G1936" s="9">
        <v>12.9</v>
      </c>
      <c r="H1936" s="7">
        <v>8.3000000000000007</v>
      </c>
      <c r="I1936" t="str" cm="1">
        <f t="array" ref="I1936">_xlfn.IFS(G1936&lt;3, "0–2 Years", G1936&lt;6, "3–5 Years", G1936&lt;9, "6–8 Years", G1936&lt;12, "9-11 Years", G1936&gt;=12, "12-14 Years")</f>
        <v>12-14 Years</v>
      </c>
      <c r="J1936" s="7">
        <v>2</v>
      </c>
      <c r="K1936" t="s">
        <v>69</v>
      </c>
      <c r="L1936" s="7">
        <v>83600</v>
      </c>
      <c r="M1936" s="7">
        <v>5500</v>
      </c>
      <c r="N1936" s="7">
        <v>89100</v>
      </c>
      <c r="O1936" t="s">
        <v>30</v>
      </c>
      <c r="P1936" s="3">
        <v>41321</v>
      </c>
      <c r="Q1936" t="s">
        <v>28</v>
      </c>
    </row>
    <row r="1937" spans="1:17" x14ac:dyDescent="0.35">
      <c r="A1937" t="s">
        <v>1989</v>
      </c>
      <c r="B1937" t="s">
        <v>23</v>
      </c>
      <c r="C1937">
        <v>48</v>
      </c>
      <c r="D1937" t="s">
        <v>34</v>
      </c>
      <c r="E1937" t="s">
        <v>35</v>
      </c>
      <c r="F1937" t="s">
        <v>28</v>
      </c>
      <c r="G1937">
        <v>6.1</v>
      </c>
      <c r="H1937">
        <v>2.7</v>
      </c>
      <c r="I1937" t="str" cm="1">
        <f t="array" ref="I1937">_xlfn.IFS(G1937&lt;3, "0–2 Years", G1937&lt;6, "3–5 Years", G1937&lt;9, "6–8 Years", G1937&lt;12, "9-11 Years", G1937&gt;=12, "12-14 Years")</f>
        <v>6–8 Years</v>
      </c>
      <c r="J1937">
        <v>5</v>
      </c>
      <c r="K1937" t="s">
        <v>20</v>
      </c>
      <c r="L1937">
        <v>77400</v>
      </c>
      <c r="M1937">
        <v>3700</v>
      </c>
      <c r="N1937">
        <v>81100</v>
      </c>
      <c r="O1937" t="s">
        <v>21</v>
      </c>
      <c r="P1937" s="3">
        <v>43778</v>
      </c>
      <c r="Q1937" t="s">
        <v>28</v>
      </c>
    </row>
    <row r="1938" spans="1:17" x14ac:dyDescent="0.35">
      <c r="A1938" t="s">
        <v>1990</v>
      </c>
      <c r="B1938" t="s">
        <v>23</v>
      </c>
      <c r="C1938">
        <v>46</v>
      </c>
      <c r="D1938" t="s">
        <v>44</v>
      </c>
      <c r="E1938" t="s">
        <v>81</v>
      </c>
      <c r="F1938" t="s">
        <v>36</v>
      </c>
      <c r="G1938">
        <v>6.8</v>
      </c>
      <c r="H1938">
        <v>5.2</v>
      </c>
      <c r="I1938" t="str" cm="1">
        <f t="array" ref="I1938">_xlfn.IFS(G1938&lt;3, "0–2 Years", G1938&lt;6, "3–5 Years", G1938&lt;9, "6–8 Years", G1938&lt;12, "9-11 Years", G1938&gt;=12, "12-14 Years")</f>
        <v>6–8 Years</v>
      </c>
      <c r="J1938">
        <v>3</v>
      </c>
      <c r="K1938" t="s">
        <v>20</v>
      </c>
      <c r="L1938">
        <v>103000</v>
      </c>
      <c r="M1938">
        <v>5800</v>
      </c>
      <c r="N1938">
        <v>108800</v>
      </c>
      <c r="O1938" t="s">
        <v>57</v>
      </c>
      <c r="P1938" s="3">
        <v>43523</v>
      </c>
      <c r="Q1938" t="s">
        <v>36</v>
      </c>
    </row>
    <row r="1939" spans="1:17" x14ac:dyDescent="0.35">
      <c r="A1939" t="s">
        <v>1991</v>
      </c>
      <c r="B1939" t="s">
        <v>23</v>
      </c>
      <c r="C1939">
        <v>42</v>
      </c>
      <c r="D1939" t="s">
        <v>55</v>
      </c>
      <c r="E1939" t="s">
        <v>79</v>
      </c>
      <c r="F1939" t="s">
        <v>28</v>
      </c>
      <c r="G1939">
        <v>3.2</v>
      </c>
      <c r="H1939">
        <v>1</v>
      </c>
      <c r="I1939" t="str" cm="1">
        <f t="array" ref="I1939">_xlfn.IFS(G1939&lt;3, "0–2 Years", G1939&lt;6, "3–5 Years", G1939&lt;9, "6–8 Years", G1939&lt;12, "9-11 Years", G1939&gt;=12, "12-14 Years")</f>
        <v>3–5 Years</v>
      </c>
      <c r="J1939">
        <v>4</v>
      </c>
      <c r="K1939" t="s">
        <v>24</v>
      </c>
      <c r="L1939">
        <v>41800</v>
      </c>
      <c r="M1939">
        <v>7100</v>
      </c>
      <c r="N1939">
        <v>48900</v>
      </c>
      <c r="O1939" t="s">
        <v>65</v>
      </c>
      <c r="P1939" s="3">
        <v>44838</v>
      </c>
      <c r="Q1939" t="s">
        <v>28</v>
      </c>
    </row>
    <row r="1940" spans="1:17" x14ac:dyDescent="0.35">
      <c r="A1940" t="s">
        <v>1992</v>
      </c>
      <c r="B1940" t="s">
        <v>23</v>
      </c>
      <c r="C1940">
        <v>45</v>
      </c>
      <c r="D1940" t="s">
        <v>44</v>
      </c>
      <c r="E1940" t="s">
        <v>81</v>
      </c>
      <c r="F1940" t="s">
        <v>28</v>
      </c>
      <c r="G1940">
        <v>5.6</v>
      </c>
      <c r="H1940">
        <v>0.8</v>
      </c>
      <c r="I1940" t="str" cm="1">
        <f t="array" ref="I1940">_xlfn.IFS(G1940&lt;3, "0–2 Years", G1940&lt;6, "3–5 Years", G1940&lt;9, "6–8 Years", G1940&lt;12, "9-11 Years", G1940&gt;=12, "12-14 Years")</f>
        <v>3–5 Years</v>
      </c>
      <c r="J1940">
        <v>4</v>
      </c>
      <c r="K1940" t="s">
        <v>20</v>
      </c>
      <c r="L1940">
        <v>106300</v>
      </c>
      <c r="M1940">
        <v>5400</v>
      </c>
      <c r="N1940">
        <v>111700</v>
      </c>
      <c r="O1940" t="s">
        <v>57</v>
      </c>
      <c r="P1940" s="3">
        <v>43965</v>
      </c>
      <c r="Q1940" t="s">
        <v>28</v>
      </c>
    </row>
    <row r="1941" spans="1:17" x14ac:dyDescent="0.35">
      <c r="A1941" t="s">
        <v>1993</v>
      </c>
      <c r="B1941" t="s">
        <v>16</v>
      </c>
      <c r="C1941">
        <v>29</v>
      </c>
      <c r="D1941" t="s">
        <v>38</v>
      </c>
      <c r="E1941" t="s">
        <v>61</v>
      </c>
      <c r="F1941" t="s">
        <v>28</v>
      </c>
      <c r="G1941">
        <v>9.9</v>
      </c>
      <c r="H1941">
        <v>4.8</v>
      </c>
      <c r="I1941" t="str" cm="1">
        <f t="array" ref="I1941">_xlfn.IFS(G1941&lt;3, "0–2 Years", G1941&lt;6, "3–5 Years", G1941&lt;9, "6–8 Years", G1941&lt;12, "9-11 Years", G1941&gt;=12, "12-14 Years")</f>
        <v>9-11 Years</v>
      </c>
      <c r="J1941">
        <v>4</v>
      </c>
      <c r="K1941" t="s">
        <v>20</v>
      </c>
      <c r="L1941">
        <v>99500</v>
      </c>
      <c r="M1941">
        <v>5900</v>
      </c>
      <c r="N1941">
        <v>105400</v>
      </c>
      <c r="O1941" t="s">
        <v>30</v>
      </c>
      <c r="P1941" s="3">
        <v>42410</v>
      </c>
      <c r="Q1941" t="s">
        <v>28</v>
      </c>
    </row>
    <row r="1942" spans="1:17" x14ac:dyDescent="0.35">
      <c r="A1942" t="s">
        <v>1994</v>
      </c>
      <c r="B1942" t="s">
        <v>23</v>
      </c>
      <c r="C1942">
        <v>31</v>
      </c>
      <c r="D1942" t="s">
        <v>41</v>
      </c>
      <c r="E1942" t="s">
        <v>73</v>
      </c>
      <c r="F1942" t="s">
        <v>36</v>
      </c>
      <c r="G1942">
        <v>11.3</v>
      </c>
      <c r="H1942">
        <v>9.1</v>
      </c>
      <c r="I1942" t="str" cm="1">
        <f t="array" ref="I1942">_xlfn.IFS(G1942&lt;3, "0–2 Years", G1942&lt;6, "3–5 Years", G1942&lt;9, "6–8 Years", G1942&lt;12, "9-11 Years", G1942&gt;=12, "12-14 Years")</f>
        <v>9-11 Years</v>
      </c>
      <c r="J1942">
        <v>1</v>
      </c>
      <c r="K1942" t="s">
        <v>20</v>
      </c>
      <c r="L1942">
        <v>124900</v>
      </c>
      <c r="M1942">
        <v>5100</v>
      </c>
      <c r="N1942">
        <v>130000</v>
      </c>
      <c r="O1942" t="s">
        <v>57</v>
      </c>
      <c r="P1942" s="3">
        <v>41893</v>
      </c>
      <c r="Q1942" t="s">
        <v>36</v>
      </c>
    </row>
    <row r="1943" spans="1:17" x14ac:dyDescent="0.35">
      <c r="A1943" t="s">
        <v>1995</v>
      </c>
      <c r="B1943" t="s">
        <v>23</v>
      </c>
      <c r="C1943">
        <v>36</v>
      </c>
      <c r="D1943" t="s">
        <v>38</v>
      </c>
      <c r="E1943" t="s">
        <v>61</v>
      </c>
      <c r="F1943" t="s">
        <v>19</v>
      </c>
      <c r="G1943">
        <v>2.6</v>
      </c>
      <c r="H1943">
        <v>0</v>
      </c>
      <c r="I1943" t="str" cm="1">
        <f t="array" ref="I1943">_xlfn.IFS(G1943&lt;3, "0–2 Years", G1943&lt;6, "3–5 Years", G1943&lt;9, "6–8 Years", G1943&lt;12, "9-11 Years", G1943&gt;=12, "12-14 Years")</f>
        <v>0–2 Years</v>
      </c>
      <c r="J1943">
        <v>3</v>
      </c>
      <c r="K1943" t="s">
        <v>69</v>
      </c>
      <c r="L1943">
        <v>79900</v>
      </c>
      <c r="M1943">
        <v>3600</v>
      </c>
      <c r="N1943">
        <v>83500</v>
      </c>
      <c r="O1943" t="s">
        <v>21</v>
      </c>
      <c r="P1943" s="3">
        <v>45067</v>
      </c>
      <c r="Q1943" t="s">
        <v>19</v>
      </c>
    </row>
    <row r="1944" spans="1:17" x14ac:dyDescent="0.35">
      <c r="A1944" t="s">
        <v>1996</v>
      </c>
      <c r="B1944" t="s">
        <v>23</v>
      </c>
      <c r="C1944">
        <v>28</v>
      </c>
      <c r="D1944" t="s">
        <v>34</v>
      </c>
      <c r="E1944" t="s">
        <v>47</v>
      </c>
      <c r="F1944" t="s">
        <v>28</v>
      </c>
      <c r="G1944">
        <v>6.2</v>
      </c>
      <c r="H1944">
        <v>2.7</v>
      </c>
      <c r="I1944" t="str" cm="1">
        <f t="array" ref="I1944">_xlfn.IFS(G1944&lt;3, "0–2 Years", G1944&lt;6, "3–5 Years", G1944&lt;9, "6–8 Years", G1944&lt;12, "9-11 Years", G1944&gt;=12, "12-14 Years")</f>
        <v>6–8 Years</v>
      </c>
      <c r="J1944">
        <v>3</v>
      </c>
      <c r="K1944" t="s">
        <v>24</v>
      </c>
      <c r="L1944">
        <v>55300</v>
      </c>
      <c r="M1944">
        <v>5100</v>
      </c>
      <c r="N1944">
        <v>60400</v>
      </c>
      <c r="O1944" t="s">
        <v>25</v>
      </c>
      <c r="P1944" s="3">
        <v>43744</v>
      </c>
      <c r="Q1944" t="s">
        <v>28</v>
      </c>
    </row>
    <row r="1945" spans="1:17" x14ac:dyDescent="0.35">
      <c r="A1945" t="s">
        <v>1997</v>
      </c>
      <c r="B1945" t="s">
        <v>16</v>
      </c>
      <c r="C1945">
        <v>30</v>
      </c>
      <c r="D1945" t="s">
        <v>41</v>
      </c>
      <c r="E1945" t="s">
        <v>42</v>
      </c>
      <c r="F1945" t="s">
        <v>36</v>
      </c>
      <c r="G1945">
        <v>7.4</v>
      </c>
      <c r="H1945">
        <v>3.5</v>
      </c>
      <c r="I1945" t="str" cm="1">
        <f t="array" ref="I1945">_xlfn.IFS(G1945&lt;3, "0–2 Years", G1945&lt;6, "3–5 Years", G1945&lt;9, "6–8 Years", G1945&lt;12, "9-11 Years", G1945&gt;=12, "12-14 Years")</f>
        <v>6–8 Years</v>
      </c>
      <c r="J1945">
        <v>3</v>
      </c>
      <c r="K1945" t="s">
        <v>20</v>
      </c>
      <c r="L1945">
        <v>84400</v>
      </c>
      <c r="M1945">
        <v>6000</v>
      </c>
      <c r="N1945">
        <v>90400</v>
      </c>
      <c r="O1945" t="s">
        <v>30</v>
      </c>
      <c r="P1945" s="3">
        <v>43320</v>
      </c>
      <c r="Q1945" t="s">
        <v>36</v>
      </c>
    </row>
    <row r="1946" spans="1:17" x14ac:dyDescent="0.35">
      <c r="A1946" t="s">
        <v>1998</v>
      </c>
      <c r="B1946" t="s">
        <v>16</v>
      </c>
      <c r="C1946">
        <v>43</v>
      </c>
      <c r="D1946" t="s">
        <v>34</v>
      </c>
      <c r="E1946" t="s">
        <v>47</v>
      </c>
      <c r="F1946" t="s">
        <v>36</v>
      </c>
      <c r="G1946">
        <v>7.1</v>
      </c>
      <c r="H1946">
        <v>3.4</v>
      </c>
      <c r="I1946" t="str" cm="1">
        <f t="array" ref="I1946">_xlfn.IFS(G1946&lt;3, "0–2 Years", G1946&lt;6, "3–5 Years", G1946&lt;9, "6–8 Years", G1946&lt;12, "9-11 Years", G1946&gt;=12, "12-14 Years")</f>
        <v>6–8 Years</v>
      </c>
      <c r="J1946">
        <v>3</v>
      </c>
      <c r="K1946" t="s">
        <v>20</v>
      </c>
      <c r="L1946">
        <v>75900</v>
      </c>
      <c r="M1946">
        <v>4000</v>
      </c>
      <c r="N1946">
        <v>79900</v>
      </c>
      <c r="O1946" t="s">
        <v>21</v>
      </c>
      <c r="P1946" s="3">
        <v>43439</v>
      </c>
      <c r="Q1946" t="s">
        <v>36</v>
      </c>
    </row>
    <row r="1947" spans="1:17" x14ac:dyDescent="0.35">
      <c r="A1947" t="s">
        <v>1999</v>
      </c>
      <c r="B1947" t="s">
        <v>23</v>
      </c>
      <c r="C1947">
        <v>28</v>
      </c>
      <c r="D1947" t="s">
        <v>55</v>
      </c>
      <c r="E1947" t="s">
        <v>92</v>
      </c>
      <c r="F1947" t="s">
        <v>62</v>
      </c>
      <c r="G1947">
        <v>3.4</v>
      </c>
      <c r="H1947">
        <v>2.8</v>
      </c>
      <c r="I1947" t="str" cm="1">
        <f t="array" ref="I1947">_xlfn.IFS(G1947&lt;3, "0–2 Years", G1947&lt;6, "3–5 Years", G1947&lt;9, "6–8 Years", G1947&lt;12, "9-11 Years", G1947&gt;=12, "12-14 Years")</f>
        <v>3–5 Years</v>
      </c>
      <c r="J1947">
        <v>4</v>
      </c>
      <c r="K1947" t="s">
        <v>20</v>
      </c>
      <c r="L1947">
        <v>109300</v>
      </c>
      <c r="M1947">
        <v>12100</v>
      </c>
      <c r="N1947">
        <v>121400</v>
      </c>
      <c r="O1947" t="s">
        <v>57</v>
      </c>
      <c r="P1947" s="3">
        <v>44794</v>
      </c>
      <c r="Q1947" t="s">
        <v>62</v>
      </c>
    </row>
    <row r="1948" spans="1:17" x14ac:dyDescent="0.35">
      <c r="A1948" t="s">
        <v>2000</v>
      </c>
      <c r="B1948" t="s">
        <v>16</v>
      </c>
      <c r="C1948">
        <v>30</v>
      </c>
      <c r="D1948" t="s">
        <v>38</v>
      </c>
      <c r="E1948" t="s">
        <v>39</v>
      </c>
      <c r="F1948" t="s">
        <v>19</v>
      </c>
      <c r="G1948">
        <v>3.4</v>
      </c>
      <c r="H1948">
        <v>2.9</v>
      </c>
      <c r="I1948" t="str" cm="1">
        <f t="array" ref="I1948">_xlfn.IFS(G1948&lt;3, "0–2 Years", G1948&lt;6, "3–5 Years", G1948&lt;9, "6–8 Years", G1948&lt;12, "9-11 Years", G1948&gt;=12, "12-14 Years")</f>
        <v>3–5 Years</v>
      </c>
      <c r="J1948">
        <v>3</v>
      </c>
      <c r="K1948" t="s">
        <v>24</v>
      </c>
      <c r="L1948">
        <v>41000</v>
      </c>
      <c r="M1948">
        <v>2600</v>
      </c>
      <c r="N1948">
        <v>43600</v>
      </c>
      <c r="O1948" t="s">
        <v>65</v>
      </c>
      <c r="P1948" s="3">
        <v>44785</v>
      </c>
      <c r="Q1948" t="s">
        <v>19</v>
      </c>
    </row>
    <row r="1949" spans="1:17" x14ac:dyDescent="0.35">
      <c r="A1949" t="s">
        <v>2001</v>
      </c>
      <c r="B1949" t="s">
        <v>23</v>
      </c>
      <c r="C1949">
        <v>35</v>
      </c>
      <c r="D1949" t="s">
        <v>34</v>
      </c>
      <c r="E1949" t="s">
        <v>47</v>
      </c>
      <c r="F1949" t="s">
        <v>28</v>
      </c>
      <c r="G1949">
        <v>4</v>
      </c>
      <c r="H1949">
        <v>3.6</v>
      </c>
      <c r="I1949" t="str" cm="1">
        <f t="array" ref="I1949">_xlfn.IFS(G1949&lt;3, "0–2 Years", G1949&lt;6, "3–5 Years", G1949&lt;9, "6–8 Years", G1949&lt;12, "9-11 Years", G1949&gt;=12, "12-14 Years")</f>
        <v>3–5 Years</v>
      </c>
      <c r="J1949">
        <v>4</v>
      </c>
      <c r="K1949" t="s">
        <v>20</v>
      </c>
      <c r="L1949">
        <v>80600</v>
      </c>
      <c r="M1949">
        <v>8900</v>
      </c>
      <c r="N1949">
        <v>89500</v>
      </c>
      <c r="O1949" t="s">
        <v>30</v>
      </c>
      <c r="P1949" s="3">
        <v>44569</v>
      </c>
      <c r="Q1949" t="s">
        <v>28</v>
      </c>
    </row>
    <row r="1950" spans="1:17" x14ac:dyDescent="0.35">
      <c r="A1950" t="s">
        <v>2002</v>
      </c>
      <c r="B1950" t="s">
        <v>23</v>
      </c>
      <c r="C1950">
        <v>30</v>
      </c>
      <c r="D1950" t="s">
        <v>38</v>
      </c>
      <c r="E1950" t="s">
        <v>112</v>
      </c>
      <c r="F1950" t="s">
        <v>36</v>
      </c>
      <c r="G1950">
        <v>9.1999999999999993</v>
      </c>
      <c r="H1950">
        <v>3.8</v>
      </c>
      <c r="I1950" t="str" cm="1">
        <f t="array" ref="I1950">_xlfn.IFS(G1950&lt;3, "0–2 Years", G1950&lt;6, "3–5 Years", G1950&lt;9, "6–8 Years", G1950&lt;12, "9-11 Years", G1950&gt;=12, "12-14 Years")</f>
        <v>9-11 Years</v>
      </c>
      <c r="J1950">
        <v>5</v>
      </c>
      <c r="K1950" t="s">
        <v>20</v>
      </c>
      <c r="L1950">
        <v>77900</v>
      </c>
      <c r="M1950">
        <v>6400</v>
      </c>
      <c r="N1950">
        <v>84300</v>
      </c>
      <c r="O1950" t="s">
        <v>21</v>
      </c>
      <c r="P1950" s="3">
        <v>42655</v>
      </c>
      <c r="Q1950" t="s">
        <v>36</v>
      </c>
    </row>
    <row r="1951" spans="1:17" x14ac:dyDescent="0.35">
      <c r="A1951" t="s">
        <v>2003</v>
      </c>
      <c r="B1951" t="s">
        <v>16</v>
      </c>
      <c r="C1951" s="7">
        <v>49</v>
      </c>
      <c r="D1951" t="s">
        <v>41</v>
      </c>
      <c r="E1951" t="s">
        <v>67</v>
      </c>
      <c r="F1951" t="s">
        <v>19</v>
      </c>
      <c r="G1951" s="9">
        <v>12.7</v>
      </c>
      <c r="H1951" s="7">
        <v>6.9</v>
      </c>
      <c r="I1951" t="str" cm="1">
        <f t="array" ref="I1951">_xlfn.IFS(G1951&lt;3, "0–2 Years", G1951&lt;6, "3–5 Years", G1951&lt;9, "6–8 Years", G1951&lt;12, "9-11 Years", G1951&gt;=12, "12-14 Years")</f>
        <v>12-14 Years</v>
      </c>
      <c r="J1951" s="7">
        <v>3</v>
      </c>
      <c r="K1951" t="s">
        <v>20</v>
      </c>
      <c r="L1951" s="7">
        <v>80300</v>
      </c>
      <c r="M1951" s="7">
        <v>5600</v>
      </c>
      <c r="N1951" s="7">
        <v>85900</v>
      </c>
      <c r="O1951" t="s">
        <v>30</v>
      </c>
      <c r="P1951" s="3">
        <v>41392</v>
      </c>
      <c r="Q1951" t="s">
        <v>19</v>
      </c>
    </row>
    <row r="1952" spans="1:17" x14ac:dyDescent="0.35">
      <c r="A1952" t="s">
        <v>2004</v>
      </c>
      <c r="B1952" t="s">
        <v>23</v>
      </c>
      <c r="C1952">
        <v>39</v>
      </c>
      <c r="D1952" t="s">
        <v>17</v>
      </c>
      <c r="E1952" t="s">
        <v>27</v>
      </c>
      <c r="F1952" t="s">
        <v>28</v>
      </c>
      <c r="G1952">
        <v>3.6</v>
      </c>
      <c r="H1952">
        <v>3</v>
      </c>
      <c r="I1952" t="str" cm="1">
        <f t="array" ref="I1952">_xlfn.IFS(G1952&lt;3, "0–2 Years", G1952&lt;6, "3–5 Years", G1952&lt;9, "6–8 Years", G1952&lt;12, "9-11 Years", G1952&gt;=12, "12-14 Years")</f>
        <v>3–5 Years</v>
      </c>
      <c r="J1952">
        <v>4</v>
      </c>
      <c r="K1952" t="s">
        <v>20</v>
      </c>
      <c r="L1952">
        <v>69300</v>
      </c>
      <c r="M1952">
        <v>4700</v>
      </c>
      <c r="N1952">
        <v>74000</v>
      </c>
      <c r="O1952" t="s">
        <v>21</v>
      </c>
      <c r="P1952" s="3">
        <v>44718</v>
      </c>
      <c r="Q1952" t="s">
        <v>28</v>
      </c>
    </row>
    <row r="1953" spans="1:17" x14ac:dyDescent="0.35">
      <c r="A1953" t="s">
        <v>2005</v>
      </c>
      <c r="B1953" t="s">
        <v>23</v>
      </c>
      <c r="C1953">
        <v>41</v>
      </c>
      <c r="D1953" t="s">
        <v>41</v>
      </c>
      <c r="E1953" t="s">
        <v>67</v>
      </c>
      <c r="F1953" t="s">
        <v>19</v>
      </c>
      <c r="G1953">
        <v>2.8</v>
      </c>
      <c r="H1953">
        <v>1.8</v>
      </c>
      <c r="I1953" t="str" cm="1">
        <f t="array" ref="I1953">_xlfn.IFS(G1953&lt;3, "0–2 Years", G1953&lt;6, "3–5 Years", G1953&lt;9, "6–8 Years", G1953&lt;12, "9-11 Years", G1953&gt;=12, "12-14 Years")</f>
        <v>0–2 Years</v>
      </c>
      <c r="J1953">
        <v>3</v>
      </c>
      <c r="K1953" t="s">
        <v>20</v>
      </c>
      <c r="L1953">
        <v>54200</v>
      </c>
      <c r="M1953">
        <v>4500</v>
      </c>
      <c r="N1953">
        <v>58700</v>
      </c>
      <c r="O1953" t="s">
        <v>25</v>
      </c>
      <c r="P1953" s="3">
        <v>45009</v>
      </c>
      <c r="Q1953" t="s">
        <v>19</v>
      </c>
    </row>
    <row r="1954" spans="1:17" x14ac:dyDescent="0.35">
      <c r="A1954" t="s">
        <v>2006</v>
      </c>
      <c r="B1954" t="s">
        <v>23</v>
      </c>
      <c r="C1954">
        <v>41</v>
      </c>
      <c r="D1954" t="s">
        <v>44</v>
      </c>
      <c r="E1954" t="s">
        <v>45</v>
      </c>
      <c r="F1954" t="s">
        <v>62</v>
      </c>
      <c r="G1954">
        <v>3.6</v>
      </c>
      <c r="H1954">
        <v>1.8</v>
      </c>
      <c r="I1954" t="str" cm="1">
        <f t="array" ref="I1954">_xlfn.IFS(G1954&lt;3, "0–2 Years", G1954&lt;6, "3–5 Years", G1954&lt;9, "6–8 Years", G1954&lt;12, "9-11 Years", G1954&gt;=12, "12-14 Years")</f>
        <v>3–5 Years</v>
      </c>
      <c r="J1954">
        <v>4</v>
      </c>
      <c r="K1954" t="s">
        <v>20</v>
      </c>
      <c r="L1954">
        <v>69800</v>
      </c>
      <c r="M1954">
        <v>9000</v>
      </c>
      <c r="N1954">
        <v>78800</v>
      </c>
      <c r="O1954" t="s">
        <v>21</v>
      </c>
      <c r="P1954" s="3">
        <v>44697</v>
      </c>
      <c r="Q1954" t="s">
        <v>62</v>
      </c>
    </row>
    <row r="1955" spans="1:17" x14ac:dyDescent="0.35">
      <c r="A1955" t="s">
        <v>2007</v>
      </c>
      <c r="B1955" t="s">
        <v>23</v>
      </c>
      <c r="C1955">
        <v>30</v>
      </c>
      <c r="D1955" t="s">
        <v>17</v>
      </c>
      <c r="E1955" t="s">
        <v>32</v>
      </c>
      <c r="F1955" t="s">
        <v>36</v>
      </c>
      <c r="G1955">
        <v>6.8</v>
      </c>
      <c r="H1955">
        <v>1.8</v>
      </c>
      <c r="I1955" t="str" cm="1">
        <f t="array" ref="I1955">_xlfn.IFS(G1955&lt;3, "0–2 Years", G1955&lt;6, "3–5 Years", G1955&lt;9, "6–8 Years", G1955&lt;12, "9-11 Years", G1955&gt;=12, "12-14 Years")</f>
        <v>6–8 Years</v>
      </c>
      <c r="J1955">
        <v>5</v>
      </c>
      <c r="K1955" t="s">
        <v>20</v>
      </c>
      <c r="L1955">
        <v>69200</v>
      </c>
      <c r="M1955">
        <v>7400</v>
      </c>
      <c r="N1955">
        <v>76600</v>
      </c>
      <c r="O1955" t="s">
        <v>21</v>
      </c>
      <c r="P1955" s="3">
        <v>43523</v>
      </c>
      <c r="Q1955" t="s">
        <v>36</v>
      </c>
    </row>
    <row r="1956" spans="1:17" x14ac:dyDescent="0.35">
      <c r="A1956" t="s">
        <v>2008</v>
      </c>
      <c r="B1956" t="s">
        <v>16</v>
      </c>
      <c r="C1956" s="7">
        <v>42</v>
      </c>
      <c r="D1956" t="s">
        <v>38</v>
      </c>
      <c r="E1956" t="s">
        <v>61</v>
      </c>
      <c r="F1956" t="s">
        <v>36</v>
      </c>
      <c r="G1956" s="9">
        <v>13.7</v>
      </c>
      <c r="H1956" s="7">
        <v>8.1999999999999993</v>
      </c>
      <c r="I1956" t="str" cm="1">
        <f t="array" ref="I1956">_xlfn.IFS(G1956&lt;3, "0–2 Years", G1956&lt;6, "3–5 Years", G1956&lt;9, "6–8 Years", G1956&lt;12, "9-11 Years", G1956&gt;=12, "12-14 Years")</f>
        <v>12-14 Years</v>
      </c>
      <c r="J1956" s="7">
        <v>3</v>
      </c>
      <c r="K1956" t="s">
        <v>20</v>
      </c>
      <c r="L1956" s="7">
        <v>120200</v>
      </c>
      <c r="M1956" s="7">
        <v>7900</v>
      </c>
      <c r="N1956" s="7">
        <v>128100</v>
      </c>
      <c r="O1956" t="s">
        <v>57</v>
      </c>
      <c r="P1956" s="3">
        <v>41030</v>
      </c>
      <c r="Q1956" t="s">
        <v>36</v>
      </c>
    </row>
    <row r="1957" spans="1:17" x14ac:dyDescent="0.35">
      <c r="A1957" t="s">
        <v>2009</v>
      </c>
      <c r="B1957" t="s">
        <v>16</v>
      </c>
      <c r="C1957">
        <v>43</v>
      </c>
      <c r="D1957" t="s">
        <v>44</v>
      </c>
      <c r="E1957" t="s">
        <v>81</v>
      </c>
      <c r="F1957" t="s">
        <v>19</v>
      </c>
      <c r="G1957">
        <v>7.8</v>
      </c>
      <c r="H1957">
        <v>5.7</v>
      </c>
      <c r="I1957" t="str" cm="1">
        <f t="array" ref="I1957">_xlfn.IFS(G1957&lt;3, "0–2 Years", G1957&lt;6, "3–5 Years", G1957&lt;9, "6–8 Years", G1957&lt;12, "9-11 Years", G1957&gt;=12, "12-14 Years")</f>
        <v>6–8 Years</v>
      </c>
      <c r="J1957">
        <v>4</v>
      </c>
      <c r="K1957" t="s">
        <v>20</v>
      </c>
      <c r="L1957">
        <v>87100</v>
      </c>
      <c r="M1957">
        <v>6900</v>
      </c>
      <c r="N1957">
        <v>94000</v>
      </c>
      <c r="O1957" t="s">
        <v>30</v>
      </c>
      <c r="P1957" s="3">
        <v>43189</v>
      </c>
      <c r="Q1957" t="s">
        <v>19</v>
      </c>
    </row>
    <row r="1958" spans="1:17" x14ac:dyDescent="0.35">
      <c r="A1958" t="s">
        <v>2010</v>
      </c>
      <c r="B1958" t="s">
        <v>16</v>
      </c>
      <c r="C1958">
        <v>39</v>
      </c>
      <c r="D1958" t="s">
        <v>34</v>
      </c>
      <c r="E1958" t="s">
        <v>59</v>
      </c>
      <c r="F1958" t="s">
        <v>62</v>
      </c>
      <c r="G1958">
        <v>1.7</v>
      </c>
      <c r="H1958">
        <v>0</v>
      </c>
      <c r="I1958" t="str" cm="1">
        <f t="array" ref="I1958">_xlfn.IFS(G1958&lt;3, "0–2 Years", G1958&lt;6, "3–5 Years", G1958&lt;9, "6–8 Years", G1958&lt;12, "9-11 Years", G1958&gt;=12, "12-14 Years")</f>
        <v>0–2 Years</v>
      </c>
      <c r="J1958">
        <v>4</v>
      </c>
      <c r="K1958" t="s">
        <v>20</v>
      </c>
      <c r="L1958">
        <v>102400</v>
      </c>
      <c r="M1958">
        <v>6800</v>
      </c>
      <c r="N1958">
        <v>109200</v>
      </c>
      <c r="O1958" t="s">
        <v>57</v>
      </c>
      <c r="P1958" s="3">
        <v>45405</v>
      </c>
      <c r="Q1958" t="s">
        <v>62</v>
      </c>
    </row>
    <row r="1959" spans="1:17" x14ac:dyDescent="0.35">
      <c r="A1959" t="s">
        <v>2011</v>
      </c>
      <c r="B1959" t="s">
        <v>23</v>
      </c>
      <c r="C1959">
        <v>32</v>
      </c>
      <c r="D1959" t="s">
        <v>17</v>
      </c>
      <c r="E1959" t="s">
        <v>18</v>
      </c>
      <c r="F1959" t="s">
        <v>28</v>
      </c>
      <c r="G1959">
        <v>2.7</v>
      </c>
      <c r="H1959">
        <v>2</v>
      </c>
      <c r="I1959" t="str" cm="1">
        <f t="array" ref="I1959">_xlfn.IFS(G1959&lt;3, "0–2 Years", G1959&lt;6, "3–5 Years", G1959&lt;9, "6–8 Years", G1959&lt;12, "9-11 Years", G1959&gt;=12, "12-14 Years")</f>
        <v>0–2 Years</v>
      </c>
      <c r="J1959">
        <v>3</v>
      </c>
      <c r="K1959" t="s">
        <v>20</v>
      </c>
      <c r="L1959">
        <v>97200</v>
      </c>
      <c r="M1959">
        <v>11200</v>
      </c>
      <c r="N1959">
        <v>108400</v>
      </c>
      <c r="O1959" t="s">
        <v>30</v>
      </c>
      <c r="P1959" s="3">
        <v>45052</v>
      </c>
      <c r="Q1959" t="s">
        <v>28</v>
      </c>
    </row>
    <row r="1960" spans="1:17" x14ac:dyDescent="0.35">
      <c r="A1960" t="s">
        <v>2012</v>
      </c>
      <c r="B1960" t="s">
        <v>16</v>
      </c>
      <c r="C1960">
        <v>42</v>
      </c>
      <c r="D1960" t="s">
        <v>55</v>
      </c>
      <c r="E1960" t="s">
        <v>92</v>
      </c>
      <c r="F1960" t="s">
        <v>28</v>
      </c>
      <c r="G1960">
        <v>10.9</v>
      </c>
      <c r="H1960">
        <v>10.7</v>
      </c>
      <c r="I1960" t="str" cm="1">
        <f t="array" ref="I1960">_xlfn.IFS(G1960&lt;3, "0–2 Years", G1960&lt;6, "3–5 Years", G1960&lt;9, "6–8 Years", G1960&lt;12, "9-11 Years", G1960&gt;=12, "12-14 Years")</f>
        <v>9-11 Years</v>
      </c>
      <c r="J1960">
        <v>1</v>
      </c>
      <c r="K1960" t="s">
        <v>20</v>
      </c>
      <c r="L1960">
        <v>98200</v>
      </c>
      <c r="M1960">
        <v>10300</v>
      </c>
      <c r="N1960">
        <v>108500</v>
      </c>
      <c r="O1960" t="s">
        <v>30</v>
      </c>
      <c r="P1960" s="3">
        <v>42048</v>
      </c>
      <c r="Q1960" t="s">
        <v>28</v>
      </c>
    </row>
    <row r="1961" spans="1:17" x14ac:dyDescent="0.35">
      <c r="A1961" t="s">
        <v>2013</v>
      </c>
      <c r="B1961" t="s">
        <v>23</v>
      </c>
      <c r="C1961">
        <v>33</v>
      </c>
      <c r="D1961" t="s">
        <v>38</v>
      </c>
      <c r="E1961" t="s">
        <v>112</v>
      </c>
      <c r="F1961" t="s">
        <v>28</v>
      </c>
      <c r="G1961">
        <v>3.9</v>
      </c>
      <c r="H1961">
        <v>3.9</v>
      </c>
      <c r="I1961" t="str" cm="1">
        <f t="array" ref="I1961">_xlfn.IFS(G1961&lt;3, "0–2 Years", G1961&lt;6, "3–5 Years", G1961&lt;9, "6–8 Years", G1961&lt;12, "9-11 Years", G1961&gt;=12, "12-14 Years")</f>
        <v>3–5 Years</v>
      </c>
      <c r="J1961">
        <v>5</v>
      </c>
      <c r="K1961" t="s">
        <v>20</v>
      </c>
      <c r="L1961">
        <v>70600</v>
      </c>
      <c r="M1961">
        <v>5200</v>
      </c>
      <c r="N1961">
        <v>75800</v>
      </c>
      <c r="O1961" t="s">
        <v>21</v>
      </c>
      <c r="P1961" s="3">
        <v>44613</v>
      </c>
      <c r="Q1961" t="s">
        <v>28</v>
      </c>
    </row>
    <row r="1962" spans="1:17" x14ac:dyDescent="0.35">
      <c r="A1962" t="s">
        <v>2014</v>
      </c>
      <c r="B1962" t="s">
        <v>23</v>
      </c>
      <c r="C1962">
        <v>33</v>
      </c>
      <c r="D1962" t="s">
        <v>41</v>
      </c>
      <c r="E1962" t="s">
        <v>42</v>
      </c>
      <c r="F1962" t="s">
        <v>28</v>
      </c>
      <c r="G1962">
        <v>10.8</v>
      </c>
      <c r="H1962">
        <v>7.2</v>
      </c>
      <c r="I1962" t="str" cm="1">
        <f t="array" ref="I1962">_xlfn.IFS(G1962&lt;3, "0–2 Years", G1962&lt;6, "3–5 Years", G1962&lt;9, "6–8 Years", G1962&lt;12, "9-11 Years", G1962&gt;=12, "12-14 Years")</f>
        <v>9-11 Years</v>
      </c>
      <c r="J1962">
        <v>5</v>
      </c>
      <c r="K1962" t="s">
        <v>20</v>
      </c>
      <c r="L1962">
        <v>83000</v>
      </c>
      <c r="M1962">
        <v>6200</v>
      </c>
      <c r="N1962">
        <v>89200</v>
      </c>
      <c r="O1962" t="s">
        <v>30</v>
      </c>
      <c r="P1962" s="3">
        <v>42067</v>
      </c>
      <c r="Q1962" t="s">
        <v>28</v>
      </c>
    </row>
    <row r="1963" spans="1:17" x14ac:dyDescent="0.35">
      <c r="A1963" t="s">
        <v>2015</v>
      </c>
      <c r="B1963" t="s">
        <v>16</v>
      </c>
      <c r="C1963">
        <v>43</v>
      </c>
      <c r="D1963" t="s">
        <v>44</v>
      </c>
      <c r="E1963" t="s">
        <v>81</v>
      </c>
      <c r="F1963" t="s">
        <v>28</v>
      </c>
      <c r="G1963">
        <v>3.8</v>
      </c>
      <c r="H1963">
        <v>3.8</v>
      </c>
      <c r="I1963" t="str" cm="1">
        <f t="array" ref="I1963">_xlfn.IFS(G1963&lt;3, "0–2 Years", G1963&lt;6, "3–5 Years", G1963&lt;9, "6–8 Years", G1963&lt;12, "9-11 Years", G1963&gt;=12, "12-14 Years")</f>
        <v>3–5 Years</v>
      </c>
      <c r="J1963">
        <v>2</v>
      </c>
      <c r="K1963" t="s">
        <v>20</v>
      </c>
      <c r="L1963">
        <v>103200</v>
      </c>
      <c r="M1963">
        <v>9200</v>
      </c>
      <c r="N1963">
        <v>112400</v>
      </c>
      <c r="O1963" t="s">
        <v>57</v>
      </c>
      <c r="P1963" s="3">
        <v>44651</v>
      </c>
      <c r="Q1963" t="s">
        <v>28</v>
      </c>
    </row>
    <row r="1964" spans="1:17" x14ac:dyDescent="0.35">
      <c r="A1964" t="s">
        <v>2016</v>
      </c>
      <c r="B1964" t="s">
        <v>16</v>
      </c>
      <c r="C1964">
        <v>47</v>
      </c>
      <c r="D1964" t="s">
        <v>38</v>
      </c>
      <c r="E1964" t="s">
        <v>61</v>
      </c>
      <c r="F1964" t="s">
        <v>28</v>
      </c>
      <c r="G1964">
        <v>5.4</v>
      </c>
      <c r="H1964">
        <v>2.1</v>
      </c>
      <c r="I1964" t="str" cm="1">
        <f t="array" ref="I1964">_xlfn.IFS(G1964&lt;3, "0–2 Years", G1964&lt;6, "3–5 Years", G1964&lt;9, "6–8 Years", G1964&lt;12, "9-11 Years", G1964&gt;=12, "12-14 Years")</f>
        <v>3–5 Years</v>
      </c>
      <c r="J1964">
        <v>3</v>
      </c>
      <c r="K1964" t="s">
        <v>20</v>
      </c>
      <c r="L1964">
        <v>103800</v>
      </c>
      <c r="M1964">
        <v>8100</v>
      </c>
      <c r="N1964">
        <v>111900</v>
      </c>
      <c r="O1964" t="s">
        <v>57</v>
      </c>
      <c r="P1964" s="3">
        <v>44034</v>
      </c>
      <c r="Q1964" t="s">
        <v>28</v>
      </c>
    </row>
    <row r="1965" spans="1:17" x14ac:dyDescent="0.35">
      <c r="A1965" t="s">
        <v>2017</v>
      </c>
      <c r="B1965" t="s">
        <v>16</v>
      </c>
      <c r="C1965" s="7">
        <v>34</v>
      </c>
      <c r="D1965" t="s">
        <v>17</v>
      </c>
      <c r="E1965" t="s">
        <v>27</v>
      </c>
      <c r="F1965" t="s">
        <v>28</v>
      </c>
      <c r="G1965" s="9">
        <v>13.3</v>
      </c>
      <c r="H1965" s="7">
        <v>9.6999999999999993</v>
      </c>
      <c r="I1965" t="str" cm="1">
        <f t="array" ref="I1965">_xlfn.IFS(G1965&lt;3, "0–2 Years", G1965&lt;6, "3–5 Years", G1965&lt;9, "6–8 Years", G1965&lt;12, "9-11 Years", G1965&gt;=12, "12-14 Years")</f>
        <v>12-14 Years</v>
      </c>
      <c r="J1965" s="7">
        <v>1</v>
      </c>
      <c r="K1965" t="s">
        <v>20</v>
      </c>
      <c r="L1965" s="7">
        <v>79500</v>
      </c>
      <c r="M1965" s="7">
        <v>5500</v>
      </c>
      <c r="N1965" s="7">
        <v>85000</v>
      </c>
      <c r="O1965" t="s">
        <v>21</v>
      </c>
      <c r="P1965" s="3">
        <v>41148</v>
      </c>
      <c r="Q1965" t="s">
        <v>28</v>
      </c>
    </row>
    <row r="1966" spans="1:17" x14ac:dyDescent="0.35">
      <c r="A1966" t="s">
        <v>2018</v>
      </c>
      <c r="B1966" t="s">
        <v>16</v>
      </c>
      <c r="C1966" s="7">
        <v>38</v>
      </c>
      <c r="D1966" t="s">
        <v>41</v>
      </c>
      <c r="E1966" t="s">
        <v>42</v>
      </c>
      <c r="F1966" t="s">
        <v>36</v>
      </c>
      <c r="G1966" s="9">
        <v>12.2</v>
      </c>
      <c r="H1966" s="7">
        <v>9</v>
      </c>
      <c r="I1966" t="str" cm="1">
        <f t="array" ref="I1966">_xlfn.IFS(G1966&lt;3, "0–2 Years", G1966&lt;6, "3–5 Years", G1966&lt;9, "6–8 Years", G1966&lt;12, "9-11 Years", G1966&gt;=12, "12-14 Years")</f>
        <v>12-14 Years</v>
      </c>
      <c r="J1966" s="7">
        <v>4</v>
      </c>
      <c r="K1966" t="s">
        <v>69</v>
      </c>
      <c r="L1966" s="7">
        <v>76900</v>
      </c>
      <c r="M1966" s="7">
        <v>3100</v>
      </c>
      <c r="N1966" s="7">
        <v>80000</v>
      </c>
      <c r="O1966" t="s">
        <v>21</v>
      </c>
      <c r="P1966" s="3">
        <v>41550</v>
      </c>
      <c r="Q1966" t="s">
        <v>36</v>
      </c>
    </row>
    <row r="1967" spans="1:17" x14ac:dyDescent="0.35">
      <c r="A1967" t="s">
        <v>2019</v>
      </c>
      <c r="B1967" t="s">
        <v>16</v>
      </c>
      <c r="C1967">
        <v>34</v>
      </c>
      <c r="D1967" t="s">
        <v>34</v>
      </c>
      <c r="E1967" t="s">
        <v>59</v>
      </c>
      <c r="F1967" t="s">
        <v>28</v>
      </c>
      <c r="G1967">
        <v>9.1</v>
      </c>
      <c r="H1967">
        <v>7.8</v>
      </c>
      <c r="I1967" t="str" cm="1">
        <f t="array" ref="I1967">_xlfn.IFS(G1967&lt;3, "0–2 Years", G1967&lt;6, "3–5 Years", G1967&lt;9, "6–8 Years", G1967&lt;12, "9-11 Years", G1967&gt;=12, "12-14 Years")</f>
        <v>9-11 Years</v>
      </c>
      <c r="J1967">
        <v>2</v>
      </c>
      <c r="K1967" t="s">
        <v>20</v>
      </c>
      <c r="L1967">
        <v>112000</v>
      </c>
      <c r="M1967">
        <v>7800</v>
      </c>
      <c r="N1967">
        <v>119800</v>
      </c>
      <c r="O1967" t="s">
        <v>57</v>
      </c>
      <c r="P1967" s="3">
        <v>42688</v>
      </c>
      <c r="Q1967" t="s">
        <v>28</v>
      </c>
    </row>
    <row r="1968" spans="1:17" x14ac:dyDescent="0.35">
      <c r="A1968" t="s">
        <v>2020</v>
      </c>
      <c r="B1968" t="s">
        <v>23</v>
      </c>
      <c r="C1968">
        <v>36</v>
      </c>
      <c r="D1968" t="s">
        <v>34</v>
      </c>
      <c r="E1968" t="s">
        <v>47</v>
      </c>
      <c r="F1968" t="s">
        <v>28</v>
      </c>
      <c r="G1968">
        <v>9.6</v>
      </c>
      <c r="H1968">
        <v>5.4</v>
      </c>
      <c r="I1968" t="str" cm="1">
        <f t="array" ref="I1968">_xlfn.IFS(G1968&lt;3, "0–2 Years", G1968&lt;6, "3–5 Years", G1968&lt;9, "6–8 Years", G1968&lt;12, "9-11 Years", G1968&gt;=12, "12-14 Years")</f>
        <v>9-11 Years</v>
      </c>
      <c r="J1968">
        <v>4</v>
      </c>
      <c r="K1968" t="s">
        <v>20</v>
      </c>
      <c r="L1968">
        <v>87600</v>
      </c>
      <c r="M1968">
        <v>8300</v>
      </c>
      <c r="N1968">
        <v>95900</v>
      </c>
      <c r="O1968" t="s">
        <v>30</v>
      </c>
      <c r="P1968" s="3">
        <v>42510</v>
      </c>
      <c r="Q1968" t="s">
        <v>28</v>
      </c>
    </row>
    <row r="1969" spans="1:17" x14ac:dyDescent="0.35">
      <c r="A1969" t="s">
        <v>2021</v>
      </c>
      <c r="B1969" t="s">
        <v>16</v>
      </c>
      <c r="C1969">
        <v>38</v>
      </c>
      <c r="D1969" t="s">
        <v>38</v>
      </c>
      <c r="E1969" t="s">
        <v>39</v>
      </c>
      <c r="F1969" t="s">
        <v>19</v>
      </c>
      <c r="G1969">
        <v>10.7</v>
      </c>
      <c r="H1969">
        <v>8.8000000000000007</v>
      </c>
      <c r="I1969" t="str" cm="1">
        <f t="array" ref="I1969">_xlfn.IFS(G1969&lt;3, "0–2 Years", G1969&lt;6, "3–5 Years", G1969&lt;9, "6–8 Years", G1969&lt;12, "9-11 Years", G1969&gt;=12, "12-14 Years")</f>
        <v>9-11 Years</v>
      </c>
      <c r="J1969">
        <v>4</v>
      </c>
      <c r="K1969" t="s">
        <v>20</v>
      </c>
      <c r="L1969">
        <v>76000</v>
      </c>
      <c r="M1969">
        <v>6100</v>
      </c>
      <c r="N1969">
        <v>82100</v>
      </c>
      <c r="O1969" t="s">
        <v>21</v>
      </c>
      <c r="P1969" s="3">
        <v>42118</v>
      </c>
      <c r="Q1969" t="s">
        <v>19</v>
      </c>
    </row>
    <row r="1970" spans="1:17" x14ac:dyDescent="0.35">
      <c r="A1970" t="s">
        <v>2022</v>
      </c>
      <c r="B1970" t="s">
        <v>23</v>
      </c>
      <c r="C1970">
        <v>31</v>
      </c>
      <c r="D1970" t="s">
        <v>44</v>
      </c>
      <c r="E1970" t="s">
        <v>45</v>
      </c>
      <c r="F1970" t="s">
        <v>28</v>
      </c>
      <c r="G1970">
        <v>2.6</v>
      </c>
      <c r="H1970">
        <v>0</v>
      </c>
      <c r="I1970" t="str" cm="1">
        <f t="array" ref="I1970">_xlfn.IFS(G1970&lt;3, "0–2 Years", G1970&lt;6, "3–5 Years", G1970&lt;9, "6–8 Years", G1970&lt;12, "9-11 Years", G1970&gt;=12, "12-14 Years")</f>
        <v>0–2 Years</v>
      </c>
      <c r="J1970">
        <v>2</v>
      </c>
      <c r="K1970" t="s">
        <v>20</v>
      </c>
      <c r="L1970">
        <v>64400</v>
      </c>
      <c r="M1970">
        <v>7200</v>
      </c>
      <c r="N1970">
        <v>71600</v>
      </c>
      <c r="O1970" t="s">
        <v>25</v>
      </c>
      <c r="P1970" s="3">
        <v>45076</v>
      </c>
      <c r="Q1970" t="s">
        <v>28</v>
      </c>
    </row>
    <row r="1971" spans="1:17" x14ac:dyDescent="0.35">
      <c r="A1971" t="s">
        <v>2023</v>
      </c>
      <c r="B1971" t="s">
        <v>23</v>
      </c>
      <c r="C1971" s="7">
        <v>42</v>
      </c>
      <c r="D1971" t="s">
        <v>34</v>
      </c>
      <c r="E1971" t="s">
        <v>47</v>
      </c>
      <c r="F1971" t="s">
        <v>19</v>
      </c>
      <c r="G1971" s="9">
        <v>12.3</v>
      </c>
      <c r="H1971" s="7">
        <v>6.7</v>
      </c>
      <c r="I1971" t="str" cm="1">
        <f t="array" ref="I1971">_xlfn.IFS(G1971&lt;3, "0–2 Years", G1971&lt;6, "3–5 Years", G1971&lt;9, "6–8 Years", G1971&lt;12, "9-11 Years", G1971&gt;=12, "12-14 Years")</f>
        <v>12-14 Years</v>
      </c>
      <c r="J1971" s="7">
        <v>4</v>
      </c>
      <c r="K1971" t="s">
        <v>20</v>
      </c>
      <c r="L1971" s="7">
        <v>81500</v>
      </c>
      <c r="M1971" s="7">
        <v>5900</v>
      </c>
      <c r="N1971" s="7">
        <v>87400</v>
      </c>
      <c r="O1971" t="s">
        <v>30</v>
      </c>
      <c r="P1971" s="3">
        <v>41548</v>
      </c>
      <c r="Q1971" t="s">
        <v>19</v>
      </c>
    </row>
    <row r="1972" spans="1:17" x14ac:dyDescent="0.35">
      <c r="A1972" t="s">
        <v>2024</v>
      </c>
      <c r="B1972" t="s">
        <v>16</v>
      </c>
      <c r="C1972">
        <v>28</v>
      </c>
      <c r="D1972" t="s">
        <v>55</v>
      </c>
      <c r="E1972" t="s">
        <v>79</v>
      </c>
      <c r="F1972" t="s">
        <v>36</v>
      </c>
      <c r="G1972">
        <v>9.8000000000000007</v>
      </c>
      <c r="H1972">
        <v>3.9</v>
      </c>
      <c r="I1972" t="str" cm="1">
        <f t="array" ref="I1972">_xlfn.IFS(G1972&lt;3, "0–2 Years", G1972&lt;6, "3–5 Years", G1972&lt;9, "6–8 Years", G1972&lt;12, "9-11 Years", G1972&gt;=12, "12-14 Years")</f>
        <v>9-11 Years</v>
      </c>
      <c r="J1972">
        <v>3</v>
      </c>
      <c r="K1972" t="s">
        <v>20</v>
      </c>
      <c r="L1972">
        <v>74700</v>
      </c>
      <c r="M1972">
        <v>8100</v>
      </c>
      <c r="N1972">
        <v>82800</v>
      </c>
      <c r="O1972" t="s">
        <v>21</v>
      </c>
      <c r="P1972" s="3">
        <v>42427</v>
      </c>
      <c r="Q1972" t="s">
        <v>36</v>
      </c>
    </row>
    <row r="1973" spans="1:17" x14ac:dyDescent="0.35">
      <c r="A1973" t="s">
        <v>2025</v>
      </c>
      <c r="B1973" t="s">
        <v>23</v>
      </c>
      <c r="C1973">
        <v>40</v>
      </c>
      <c r="D1973" t="s">
        <v>34</v>
      </c>
      <c r="E1973" t="s">
        <v>47</v>
      </c>
      <c r="F1973" t="s">
        <v>62</v>
      </c>
      <c r="G1973">
        <v>10.1</v>
      </c>
      <c r="H1973">
        <v>7.2</v>
      </c>
      <c r="I1973" t="str" cm="1">
        <f t="array" ref="I1973">_xlfn.IFS(G1973&lt;3, "0–2 Years", G1973&lt;6, "3–5 Years", G1973&lt;9, "6–8 Years", G1973&lt;12, "9-11 Years", G1973&gt;=12, "12-14 Years")</f>
        <v>9-11 Years</v>
      </c>
      <c r="J1973">
        <v>5</v>
      </c>
      <c r="K1973" t="s">
        <v>24</v>
      </c>
      <c r="L1973">
        <v>59000</v>
      </c>
      <c r="M1973">
        <v>3000</v>
      </c>
      <c r="N1973">
        <v>62000</v>
      </c>
      <c r="O1973" t="s">
        <v>25</v>
      </c>
      <c r="P1973" s="3">
        <v>42350</v>
      </c>
      <c r="Q1973" t="s">
        <v>62</v>
      </c>
    </row>
    <row r="1974" spans="1:17" x14ac:dyDescent="0.35">
      <c r="A1974" t="s">
        <v>2026</v>
      </c>
      <c r="B1974" t="s">
        <v>16</v>
      </c>
      <c r="C1974">
        <v>43</v>
      </c>
      <c r="D1974" t="s">
        <v>38</v>
      </c>
      <c r="E1974" t="s">
        <v>61</v>
      </c>
      <c r="F1974" t="s">
        <v>28</v>
      </c>
      <c r="G1974">
        <v>1.6</v>
      </c>
      <c r="H1974">
        <v>1.6</v>
      </c>
      <c r="I1974" t="str" cm="1">
        <f t="array" ref="I1974">_xlfn.IFS(G1974&lt;3, "0–2 Years", G1974&lt;6, "3–5 Years", G1974&lt;9, "6–8 Years", G1974&lt;12, "9-11 Years", G1974&gt;=12, "12-14 Years")</f>
        <v>0–2 Years</v>
      </c>
      <c r="J1974">
        <v>4</v>
      </c>
      <c r="K1974" t="s">
        <v>20</v>
      </c>
      <c r="L1974">
        <v>113200</v>
      </c>
      <c r="M1974">
        <v>10300</v>
      </c>
      <c r="N1974">
        <v>123500</v>
      </c>
      <c r="O1974" t="s">
        <v>57</v>
      </c>
      <c r="P1974" s="3">
        <v>45426</v>
      </c>
      <c r="Q1974" t="s">
        <v>28</v>
      </c>
    </row>
    <row r="1975" spans="1:17" x14ac:dyDescent="0.35">
      <c r="A1975" t="s">
        <v>2027</v>
      </c>
      <c r="B1975" t="s">
        <v>23</v>
      </c>
      <c r="C1975">
        <v>38</v>
      </c>
      <c r="D1975" t="s">
        <v>55</v>
      </c>
      <c r="E1975" t="s">
        <v>79</v>
      </c>
      <c r="F1975" t="s">
        <v>36</v>
      </c>
      <c r="G1975">
        <v>4.9000000000000004</v>
      </c>
      <c r="H1975">
        <v>1.9</v>
      </c>
      <c r="I1975" t="str" cm="1">
        <f t="array" ref="I1975">_xlfn.IFS(G1975&lt;3, "0–2 Years", G1975&lt;6, "3–5 Years", G1975&lt;9, "6–8 Years", G1975&lt;12, "9-11 Years", G1975&gt;=12, "12-14 Years")</f>
        <v>3–5 Years</v>
      </c>
      <c r="J1975">
        <v>3</v>
      </c>
      <c r="K1975" t="s">
        <v>24</v>
      </c>
      <c r="L1975">
        <v>38900</v>
      </c>
      <c r="M1975">
        <v>6100</v>
      </c>
      <c r="N1975">
        <v>45000</v>
      </c>
      <c r="O1975" t="s">
        <v>65</v>
      </c>
      <c r="P1975" s="3">
        <v>44226</v>
      </c>
      <c r="Q1975" t="s">
        <v>36</v>
      </c>
    </row>
    <row r="1976" spans="1:17" x14ac:dyDescent="0.35">
      <c r="A1976" t="s">
        <v>2028</v>
      </c>
      <c r="B1976" t="s">
        <v>23</v>
      </c>
      <c r="C1976">
        <v>30</v>
      </c>
      <c r="D1976" t="s">
        <v>34</v>
      </c>
      <c r="E1976" t="s">
        <v>47</v>
      </c>
      <c r="F1976" t="s">
        <v>28</v>
      </c>
      <c r="G1976">
        <v>7</v>
      </c>
      <c r="H1976">
        <v>3.1</v>
      </c>
      <c r="I1976" t="str" cm="1">
        <f t="array" ref="I1976">_xlfn.IFS(G1976&lt;3, "0–2 Years", G1976&lt;6, "3–5 Years", G1976&lt;9, "6–8 Years", G1976&lt;12, "9-11 Years", G1976&gt;=12, "12-14 Years")</f>
        <v>6–8 Years</v>
      </c>
      <c r="J1976">
        <v>3</v>
      </c>
      <c r="K1976" t="s">
        <v>20</v>
      </c>
      <c r="L1976">
        <v>87700</v>
      </c>
      <c r="M1976">
        <v>4700</v>
      </c>
      <c r="N1976">
        <v>92400</v>
      </c>
      <c r="O1976" t="s">
        <v>30</v>
      </c>
      <c r="P1976" s="3">
        <v>43451</v>
      </c>
      <c r="Q1976" t="s">
        <v>28</v>
      </c>
    </row>
    <row r="1977" spans="1:17" x14ac:dyDescent="0.35">
      <c r="A1977" t="s">
        <v>2029</v>
      </c>
      <c r="B1977" t="s">
        <v>23</v>
      </c>
      <c r="C1977" s="7">
        <v>33</v>
      </c>
      <c r="D1977" t="s">
        <v>41</v>
      </c>
      <c r="E1977" t="s">
        <v>67</v>
      </c>
      <c r="F1977" t="s">
        <v>28</v>
      </c>
      <c r="G1977" s="9">
        <v>13.1</v>
      </c>
      <c r="H1977" s="7">
        <v>7.4</v>
      </c>
      <c r="I1977" t="str" cm="1">
        <f t="array" ref="I1977">_xlfn.IFS(G1977&lt;3, "0–2 Years", G1977&lt;6, "3–5 Years", G1977&lt;9, "6–8 Years", G1977&lt;12, "9-11 Years", G1977&gt;=12, "12-14 Years")</f>
        <v>12-14 Years</v>
      </c>
      <c r="J1977" s="7">
        <v>3</v>
      </c>
      <c r="K1977" t="s">
        <v>20</v>
      </c>
      <c r="L1977" s="7">
        <v>86200</v>
      </c>
      <c r="M1977" s="7">
        <v>5000</v>
      </c>
      <c r="N1977" s="7">
        <v>91200</v>
      </c>
      <c r="O1977" t="s">
        <v>30</v>
      </c>
      <c r="P1977" s="3">
        <v>41250</v>
      </c>
      <c r="Q1977" t="s">
        <v>28</v>
      </c>
    </row>
    <row r="1978" spans="1:17" x14ac:dyDescent="0.35">
      <c r="A1978" t="s">
        <v>2030</v>
      </c>
      <c r="B1978" t="s">
        <v>16</v>
      </c>
      <c r="C1978" s="7">
        <v>31</v>
      </c>
      <c r="D1978" t="s">
        <v>55</v>
      </c>
      <c r="E1978" t="s">
        <v>56</v>
      </c>
      <c r="F1978" t="s">
        <v>62</v>
      </c>
      <c r="G1978" s="9">
        <v>12.1</v>
      </c>
      <c r="H1978" s="7">
        <v>8.1</v>
      </c>
      <c r="I1978" t="str" cm="1">
        <f t="array" ref="I1978">_xlfn.IFS(G1978&lt;3, "0–2 Years", G1978&lt;6, "3–5 Years", G1978&lt;9, "6–8 Years", G1978&lt;12, "9-11 Years", G1978&gt;=12, "12-14 Years")</f>
        <v>12-14 Years</v>
      </c>
      <c r="J1978" s="7">
        <v>4</v>
      </c>
      <c r="K1978" t="s">
        <v>69</v>
      </c>
      <c r="L1978" s="7">
        <v>108000</v>
      </c>
      <c r="M1978" s="7">
        <v>14900</v>
      </c>
      <c r="N1978" s="7">
        <v>122900</v>
      </c>
      <c r="O1978" t="s">
        <v>57</v>
      </c>
      <c r="P1978" s="3">
        <v>41604</v>
      </c>
      <c r="Q1978" t="s">
        <v>62</v>
      </c>
    </row>
    <row r="1979" spans="1:17" x14ac:dyDescent="0.35">
      <c r="A1979" t="s">
        <v>2031</v>
      </c>
      <c r="B1979" t="s">
        <v>16</v>
      </c>
      <c r="C1979">
        <v>36</v>
      </c>
      <c r="D1979" t="s">
        <v>41</v>
      </c>
      <c r="E1979" t="s">
        <v>67</v>
      </c>
      <c r="F1979" t="s">
        <v>28</v>
      </c>
      <c r="G1979">
        <v>6.9</v>
      </c>
      <c r="H1979">
        <v>3.7</v>
      </c>
      <c r="I1979" t="str" cm="1">
        <f t="array" ref="I1979">_xlfn.IFS(G1979&lt;3, "0–2 Years", G1979&lt;6, "3–5 Years", G1979&lt;9, "6–8 Years", G1979&lt;12, "9-11 Years", G1979&gt;=12, "12-14 Years")</f>
        <v>6–8 Years</v>
      </c>
      <c r="J1979">
        <v>4</v>
      </c>
      <c r="K1979" t="s">
        <v>69</v>
      </c>
      <c r="L1979">
        <v>61500</v>
      </c>
      <c r="M1979">
        <v>4100</v>
      </c>
      <c r="N1979">
        <v>65600</v>
      </c>
      <c r="O1979" t="s">
        <v>25</v>
      </c>
      <c r="P1979" s="3">
        <v>43491</v>
      </c>
      <c r="Q1979" t="s">
        <v>28</v>
      </c>
    </row>
    <row r="1980" spans="1:17" x14ac:dyDescent="0.35">
      <c r="A1980" t="s">
        <v>2032</v>
      </c>
      <c r="B1980" t="s">
        <v>16</v>
      </c>
      <c r="C1980">
        <v>22</v>
      </c>
      <c r="D1980" t="s">
        <v>41</v>
      </c>
      <c r="E1980" t="s">
        <v>73</v>
      </c>
      <c r="F1980" t="s">
        <v>28</v>
      </c>
      <c r="G1980">
        <v>7.5</v>
      </c>
      <c r="H1980">
        <v>4.4000000000000004</v>
      </c>
      <c r="I1980" t="str" cm="1">
        <f t="array" ref="I1980">_xlfn.IFS(G1980&lt;3, "0–2 Years", G1980&lt;6, "3–5 Years", G1980&lt;9, "6–8 Years", G1980&lt;12, "9-11 Years", G1980&gt;=12, "12-14 Years")</f>
        <v>6–8 Years</v>
      </c>
      <c r="J1980">
        <v>3</v>
      </c>
      <c r="K1980" t="s">
        <v>24</v>
      </c>
      <c r="L1980">
        <v>53700</v>
      </c>
      <c r="M1980">
        <v>4600</v>
      </c>
      <c r="N1980">
        <v>58300</v>
      </c>
      <c r="O1980" t="s">
        <v>25</v>
      </c>
      <c r="P1980" s="3">
        <v>43287</v>
      </c>
      <c r="Q1980" t="s">
        <v>28</v>
      </c>
    </row>
    <row r="1981" spans="1:17" x14ac:dyDescent="0.35">
      <c r="A1981" t="s">
        <v>2033</v>
      </c>
      <c r="B1981" t="s">
        <v>23</v>
      </c>
      <c r="C1981">
        <v>28</v>
      </c>
      <c r="D1981" t="s">
        <v>44</v>
      </c>
      <c r="E1981" t="s">
        <v>81</v>
      </c>
      <c r="F1981" t="s">
        <v>19</v>
      </c>
      <c r="G1981">
        <v>10.3</v>
      </c>
      <c r="H1981">
        <v>7</v>
      </c>
      <c r="I1981" t="str" cm="1">
        <f t="array" ref="I1981">_xlfn.IFS(G1981&lt;3, "0–2 Years", G1981&lt;6, "3–5 Years", G1981&lt;9, "6–8 Years", G1981&lt;12, "9-11 Years", G1981&gt;=12, "12-14 Years")</f>
        <v>9-11 Years</v>
      </c>
      <c r="J1981">
        <v>4</v>
      </c>
      <c r="K1981" t="s">
        <v>20</v>
      </c>
      <c r="L1981">
        <v>110800</v>
      </c>
      <c r="M1981">
        <v>8200</v>
      </c>
      <c r="N1981">
        <v>119000</v>
      </c>
      <c r="O1981" t="s">
        <v>57</v>
      </c>
      <c r="P1981" s="3">
        <v>42244</v>
      </c>
      <c r="Q1981" t="s">
        <v>19</v>
      </c>
    </row>
    <row r="1982" spans="1:17" x14ac:dyDescent="0.35">
      <c r="A1982" t="s">
        <v>2034</v>
      </c>
      <c r="B1982" t="s">
        <v>23</v>
      </c>
      <c r="C1982">
        <v>50</v>
      </c>
      <c r="D1982" t="s">
        <v>41</v>
      </c>
      <c r="E1982" t="s">
        <v>73</v>
      </c>
      <c r="F1982" t="s">
        <v>28</v>
      </c>
      <c r="G1982">
        <v>2.9</v>
      </c>
      <c r="H1982">
        <v>2.5</v>
      </c>
      <c r="I1982" t="str" cm="1">
        <f t="array" ref="I1982">_xlfn.IFS(G1982&lt;3, "0–2 Years", G1982&lt;6, "3–5 Years", G1982&lt;9, "6–8 Years", G1982&lt;12, "9-11 Years", G1982&gt;=12, "12-14 Years")</f>
        <v>0–2 Years</v>
      </c>
      <c r="J1982">
        <v>4</v>
      </c>
      <c r="K1982" t="s">
        <v>20</v>
      </c>
      <c r="L1982">
        <v>90800</v>
      </c>
      <c r="M1982">
        <v>3300</v>
      </c>
      <c r="N1982">
        <v>94100</v>
      </c>
      <c r="O1982" t="s">
        <v>30</v>
      </c>
      <c r="P1982" s="3">
        <v>44963</v>
      </c>
      <c r="Q1982" t="s">
        <v>28</v>
      </c>
    </row>
    <row r="1983" spans="1:17" x14ac:dyDescent="0.35">
      <c r="A1983" t="s">
        <v>2035</v>
      </c>
      <c r="B1983" t="s">
        <v>23</v>
      </c>
      <c r="C1983">
        <v>38</v>
      </c>
      <c r="D1983" t="s">
        <v>55</v>
      </c>
      <c r="E1983" t="s">
        <v>56</v>
      </c>
      <c r="F1983" t="s">
        <v>62</v>
      </c>
      <c r="G1983">
        <v>7</v>
      </c>
      <c r="H1983">
        <v>4.5</v>
      </c>
      <c r="I1983" t="str" cm="1">
        <f t="array" ref="I1983">_xlfn.IFS(G1983&lt;3, "0–2 Years", G1983&lt;6, "3–5 Years", G1983&lt;9, "6–8 Years", G1983&lt;12, "9-11 Years", G1983&gt;=12, "12-14 Years")</f>
        <v>6–8 Years</v>
      </c>
      <c r="J1983">
        <v>3</v>
      </c>
      <c r="K1983" t="s">
        <v>20</v>
      </c>
      <c r="L1983">
        <v>113700</v>
      </c>
      <c r="M1983">
        <v>15400</v>
      </c>
      <c r="N1983">
        <v>129100</v>
      </c>
      <c r="O1983" t="s">
        <v>57</v>
      </c>
      <c r="P1983" s="3">
        <v>43452</v>
      </c>
      <c r="Q1983" t="s">
        <v>62</v>
      </c>
    </row>
    <row r="1984" spans="1:17" x14ac:dyDescent="0.35">
      <c r="A1984" t="s">
        <v>2036</v>
      </c>
      <c r="B1984" t="s">
        <v>23</v>
      </c>
      <c r="C1984" s="7">
        <v>24</v>
      </c>
      <c r="D1984" t="s">
        <v>17</v>
      </c>
      <c r="E1984" t="s">
        <v>18</v>
      </c>
      <c r="F1984" t="s">
        <v>28</v>
      </c>
      <c r="G1984" s="9">
        <v>13.2</v>
      </c>
      <c r="H1984" s="7">
        <v>8.5</v>
      </c>
      <c r="I1984" t="str" cm="1">
        <f t="array" ref="I1984">_xlfn.IFS(G1984&lt;3, "0–2 Years", G1984&lt;6, "3–5 Years", G1984&lt;9, "6–8 Years", G1984&lt;12, "9-11 Years", G1984&gt;=12, "12-14 Years")</f>
        <v>12-14 Years</v>
      </c>
      <c r="J1984" s="7">
        <v>2</v>
      </c>
      <c r="K1984" t="s">
        <v>24</v>
      </c>
      <c r="L1984" s="7">
        <v>67600</v>
      </c>
      <c r="M1984" s="7">
        <v>5700</v>
      </c>
      <c r="N1984" s="7">
        <v>73300</v>
      </c>
      <c r="O1984" t="s">
        <v>21</v>
      </c>
      <c r="P1984" s="3">
        <v>41184</v>
      </c>
      <c r="Q1984" t="s">
        <v>28</v>
      </c>
    </row>
    <row r="1985" spans="1:17" x14ac:dyDescent="0.35">
      <c r="A1985" t="s">
        <v>2037</v>
      </c>
      <c r="B1985" t="s">
        <v>23</v>
      </c>
      <c r="C1985">
        <v>42</v>
      </c>
      <c r="D1985" t="s">
        <v>41</v>
      </c>
      <c r="E1985" t="s">
        <v>67</v>
      </c>
      <c r="F1985" t="s">
        <v>28</v>
      </c>
      <c r="G1985">
        <v>2.4</v>
      </c>
      <c r="H1985">
        <v>2.4</v>
      </c>
      <c r="I1985" t="str" cm="1">
        <f t="array" ref="I1985">_xlfn.IFS(G1985&lt;3, "0–2 Years", G1985&lt;6, "3–5 Years", G1985&lt;9, "6–8 Years", G1985&lt;12, "9-11 Years", G1985&gt;=12, "12-14 Years")</f>
        <v>0–2 Years</v>
      </c>
      <c r="J1985">
        <v>2</v>
      </c>
      <c r="K1985" t="s">
        <v>20</v>
      </c>
      <c r="L1985">
        <v>53900</v>
      </c>
      <c r="M1985">
        <v>2800</v>
      </c>
      <c r="N1985">
        <v>56700</v>
      </c>
      <c r="O1985" t="s">
        <v>25</v>
      </c>
      <c r="P1985" s="3">
        <v>45143</v>
      </c>
      <c r="Q1985" t="s">
        <v>28</v>
      </c>
    </row>
    <row r="1986" spans="1:17" x14ac:dyDescent="0.35">
      <c r="A1986" t="s">
        <v>2038</v>
      </c>
      <c r="B1986" t="s">
        <v>16</v>
      </c>
      <c r="C1986">
        <v>33</v>
      </c>
      <c r="D1986" t="s">
        <v>44</v>
      </c>
      <c r="E1986" t="s">
        <v>51</v>
      </c>
      <c r="F1986" t="s">
        <v>28</v>
      </c>
      <c r="G1986">
        <v>8.5</v>
      </c>
      <c r="H1986">
        <v>7.1</v>
      </c>
      <c r="I1986" t="str" cm="1">
        <f t="array" ref="I1986">_xlfn.IFS(G1986&lt;3, "0–2 Years", G1986&lt;6, "3–5 Years", G1986&lt;9, "6–8 Years", G1986&lt;12, "9-11 Years", G1986&gt;=12, "12-14 Years")</f>
        <v>6–8 Years</v>
      </c>
      <c r="J1986">
        <v>3</v>
      </c>
      <c r="K1986" t="s">
        <v>20</v>
      </c>
      <c r="L1986">
        <v>82900</v>
      </c>
      <c r="M1986">
        <v>10000</v>
      </c>
      <c r="N1986">
        <v>92900</v>
      </c>
      <c r="O1986" t="s">
        <v>30</v>
      </c>
      <c r="P1986" s="3">
        <v>42926</v>
      </c>
      <c r="Q1986" t="s">
        <v>28</v>
      </c>
    </row>
    <row r="1987" spans="1:17" x14ac:dyDescent="0.35">
      <c r="A1987" t="s">
        <v>2039</v>
      </c>
      <c r="B1987" t="s">
        <v>23</v>
      </c>
      <c r="C1987">
        <v>50</v>
      </c>
      <c r="D1987" t="s">
        <v>38</v>
      </c>
      <c r="E1987" t="s">
        <v>112</v>
      </c>
      <c r="F1987" t="s">
        <v>28</v>
      </c>
      <c r="G1987">
        <v>1.1000000000000001</v>
      </c>
      <c r="H1987">
        <v>0.5</v>
      </c>
      <c r="I1987" t="str" cm="1">
        <f t="array" ref="I1987">_xlfn.IFS(G1987&lt;3, "0–2 Years", G1987&lt;6, "3–5 Years", G1987&lt;9, "6–8 Years", G1987&lt;12, "9-11 Years", G1987&gt;=12, "12-14 Years")</f>
        <v>0–2 Years</v>
      </c>
      <c r="J1987">
        <v>3</v>
      </c>
      <c r="K1987" t="s">
        <v>20</v>
      </c>
      <c r="L1987">
        <v>65500</v>
      </c>
      <c r="M1987">
        <v>4900</v>
      </c>
      <c r="N1987">
        <v>70400</v>
      </c>
      <c r="O1987" t="s">
        <v>21</v>
      </c>
      <c r="P1987" s="3">
        <v>45613</v>
      </c>
      <c r="Q1987" t="s">
        <v>28</v>
      </c>
    </row>
    <row r="1988" spans="1:17" x14ac:dyDescent="0.35">
      <c r="A1988" t="s">
        <v>2040</v>
      </c>
      <c r="B1988" t="s">
        <v>16</v>
      </c>
      <c r="C1988">
        <v>36</v>
      </c>
      <c r="D1988" t="s">
        <v>44</v>
      </c>
      <c r="E1988" t="s">
        <v>51</v>
      </c>
      <c r="F1988" t="s">
        <v>36</v>
      </c>
      <c r="G1988">
        <v>6.1</v>
      </c>
      <c r="H1988">
        <v>5</v>
      </c>
      <c r="I1988" t="str" cm="1">
        <f t="array" ref="I1988">_xlfn.IFS(G1988&lt;3, "0–2 Years", G1988&lt;6, "3–5 Years", G1988&lt;9, "6–8 Years", G1988&lt;12, "9-11 Years", G1988&gt;=12, "12-14 Years")</f>
        <v>6–8 Years</v>
      </c>
      <c r="J1988">
        <v>4</v>
      </c>
      <c r="K1988" t="s">
        <v>20</v>
      </c>
      <c r="L1988">
        <v>86000</v>
      </c>
      <c r="M1988">
        <v>11000</v>
      </c>
      <c r="N1988">
        <v>97000</v>
      </c>
      <c r="O1988" t="s">
        <v>30</v>
      </c>
      <c r="P1988" s="3">
        <v>43805</v>
      </c>
      <c r="Q1988" t="s">
        <v>36</v>
      </c>
    </row>
    <row r="1989" spans="1:17" x14ac:dyDescent="0.35">
      <c r="A1989" t="s">
        <v>2041</v>
      </c>
      <c r="B1989" t="s">
        <v>16</v>
      </c>
      <c r="C1989">
        <v>37</v>
      </c>
      <c r="D1989" t="s">
        <v>17</v>
      </c>
      <c r="E1989" t="s">
        <v>27</v>
      </c>
      <c r="F1989" t="s">
        <v>62</v>
      </c>
      <c r="G1989">
        <v>11.6</v>
      </c>
      <c r="H1989">
        <v>6</v>
      </c>
      <c r="I1989" t="str" cm="1">
        <f t="array" ref="I1989">_xlfn.IFS(G1989&lt;3, "0–2 Years", G1989&lt;6, "3–5 Years", G1989&lt;9, "6–8 Years", G1989&lt;12, "9-11 Years", G1989&gt;=12, "12-14 Years")</f>
        <v>9-11 Years</v>
      </c>
      <c r="J1989">
        <v>3</v>
      </c>
      <c r="K1989" t="s">
        <v>20</v>
      </c>
      <c r="L1989">
        <v>90400</v>
      </c>
      <c r="M1989">
        <v>10600</v>
      </c>
      <c r="N1989">
        <v>101000</v>
      </c>
      <c r="O1989" t="s">
        <v>30</v>
      </c>
      <c r="P1989" s="3">
        <v>41801</v>
      </c>
      <c r="Q1989" t="s">
        <v>62</v>
      </c>
    </row>
    <row r="1990" spans="1:17" x14ac:dyDescent="0.35">
      <c r="A1990" t="s">
        <v>2042</v>
      </c>
      <c r="B1990" t="s">
        <v>23</v>
      </c>
      <c r="C1990">
        <v>38</v>
      </c>
      <c r="D1990" t="s">
        <v>55</v>
      </c>
      <c r="E1990" t="s">
        <v>79</v>
      </c>
      <c r="F1990" t="s">
        <v>36</v>
      </c>
      <c r="G1990">
        <v>5.8</v>
      </c>
      <c r="H1990">
        <v>2.6</v>
      </c>
      <c r="I1990" t="str" cm="1">
        <f t="array" ref="I1990">_xlfn.IFS(G1990&lt;3, "0–2 Years", G1990&lt;6, "3–5 Years", G1990&lt;9, "6–8 Years", G1990&lt;12, "9-11 Years", G1990&gt;=12, "12-14 Years")</f>
        <v>3–5 Years</v>
      </c>
      <c r="J1990">
        <v>3</v>
      </c>
      <c r="K1990" t="s">
        <v>20</v>
      </c>
      <c r="L1990">
        <v>61100</v>
      </c>
      <c r="M1990">
        <v>6600</v>
      </c>
      <c r="N1990">
        <v>67700</v>
      </c>
      <c r="O1990" t="s">
        <v>25</v>
      </c>
      <c r="P1990" s="3">
        <v>43905</v>
      </c>
      <c r="Q1990" t="s">
        <v>36</v>
      </c>
    </row>
    <row r="1991" spans="1:17" x14ac:dyDescent="0.35">
      <c r="A1991" t="s">
        <v>2043</v>
      </c>
      <c r="B1991" t="s">
        <v>23</v>
      </c>
      <c r="C1991">
        <v>39</v>
      </c>
      <c r="D1991" t="s">
        <v>55</v>
      </c>
      <c r="E1991" t="s">
        <v>79</v>
      </c>
      <c r="F1991" t="s">
        <v>36</v>
      </c>
      <c r="G1991">
        <v>3.2</v>
      </c>
      <c r="H1991">
        <v>2.6</v>
      </c>
      <c r="I1991" t="str" cm="1">
        <f t="array" ref="I1991">_xlfn.IFS(G1991&lt;3, "0–2 Years", G1991&lt;6, "3–5 Years", G1991&lt;9, "6–8 Years", G1991&lt;12, "9-11 Years", G1991&gt;=12, "12-14 Years")</f>
        <v>3–5 Years</v>
      </c>
      <c r="J1991">
        <v>3</v>
      </c>
      <c r="K1991" t="s">
        <v>20</v>
      </c>
      <c r="L1991">
        <v>62800</v>
      </c>
      <c r="M1991">
        <v>5700</v>
      </c>
      <c r="N1991">
        <v>68500</v>
      </c>
      <c r="O1991" t="s">
        <v>25</v>
      </c>
      <c r="P1991" s="3">
        <v>44855</v>
      </c>
      <c r="Q1991" t="s">
        <v>36</v>
      </c>
    </row>
    <row r="1992" spans="1:17" x14ac:dyDescent="0.35">
      <c r="A1992" t="s">
        <v>2044</v>
      </c>
      <c r="B1992" t="s">
        <v>23</v>
      </c>
      <c r="C1992">
        <v>43</v>
      </c>
      <c r="D1992" t="s">
        <v>38</v>
      </c>
      <c r="E1992" t="s">
        <v>39</v>
      </c>
      <c r="F1992" t="s">
        <v>28</v>
      </c>
      <c r="G1992">
        <v>8.8000000000000007</v>
      </c>
      <c r="H1992">
        <v>7.2</v>
      </c>
      <c r="I1992" t="str" cm="1">
        <f t="array" ref="I1992">_xlfn.IFS(G1992&lt;3, "0–2 Years", G1992&lt;6, "3–5 Years", G1992&lt;9, "6–8 Years", G1992&lt;12, "9-11 Years", G1992&gt;=12, "12-14 Years")</f>
        <v>6–8 Years</v>
      </c>
      <c r="J1992">
        <v>3</v>
      </c>
      <c r="K1992" t="s">
        <v>24</v>
      </c>
      <c r="L1992">
        <v>49700</v>
      </c>
      <c r="M1992">
        <v>3100</v>
      </c>
      <c r="N1992">
        <v>52800</v>
      </c>
      <c r="O1992" t="s">
        <v>65</v>
      </c>
      <c r="P1992" s="3">
        <v>42821</v>
      </c>
      <c r="Q1992" t="s">
        <v>28</v>
      </c>
    </row>
    <row r="1993" spans="1:17" x14ac:dyDescent="0.35">
      <c r="A1993" t="s">
        <v>2045</v>
      </c>
      <c r="B1993" t="s">
        <v>16</v>
      </c>
      <c r="C1993" s="7">
        <v>24</v>
      </c>
      <c r="D1993" t="s">
        <v>38</v>
      </c>
      <c r="E1993" t="s">
        <v>112</v>
      </c>
      <c r="F1993" t="s">
        <v>28</v>
      </c>
      <c r="G1993" s="9">
        <v>12.1</v>
      </c>
      <c r="H1993" s="7">
        <v>7.1</v>
      </c>
      <c r="I1993" t="str" cm="1">
        <f t="array" ref="I1993">_xlfn.IFS(G1993&lt;3, "0–2 Years", G1993&lt;6, "3–5 Years", G1993&lt;9, "6–8 Years", G1993&lt;12, "9-11 Years", G1993&gt;=12, "12-14 Years")</f>
        <v>12-14 Years</v>
      </c>
      <c r="J1993" s="7">
        <v>2</v>
      </c>
      <c r="K1993" t="s">
        <v>20</v>
      </c>
      <c r="L1993" s="7">
        <v>57200</v>
      </c>
      <c r="M1993" s="7">
        <v>2200</v>
      </c>
      <c r="N1993" s="7">
        <v>59400</v>
      </c>
      <c r="O1993" t="s">
        <v>25</v>
      </c>
      <c r="P1993" s="3">
        <v>41614</v>
      </c>
      <c r="Q1993" t="s">
        <v>28</v>
      </c>
    </row>
    <row r="1994" spans="1:17" x14ac:dyDescent="0.35">
      <c r="A1994" t="s">
        <v>2046</v>
      </c>
      <c r="B1994" t="s">
        <v>16</v>
      </c>
      <c r="C1994">
        <v>40</v>
      </c>
      <c r="D1994" t="s">
        <v>55</v>
      </c>
      <c r="E1994" t="s">
        <v>56</v>
      </c>
      <c r="F1994" t="s">
        <v>28</v>
      </c>
      <c r="G1994">
        <v>6.7</v>
      </c>
      <c r="H1994">
        <v>3.8</v>
      </c>
      <c r="I1994" t="str" cm="1">
        <f t="array" ref="I1994">_xlfn.IFS(G1994&lt;3, "0–2 Years", G1994&lt;6, "3–5 Years", G1994&lt;9, "6–8 Years", G1994&lt;12, "9-11 Years", G1994&gt;=12, "12-14 Years")</f>
        <v>6–8 Years</v>
      </c>
      <c r="J1994">
        <v>4</v>
      </c>
      <c r="K1994" t="s">
        <v>24</v>
      </c>
      <c r="L1994">
        <v>62000</v>
      </c>
      <c r="M1994">
        <v>4400</v>
      </c>
      <c r="N1994">
        <v>66400</v>
      </c>
      <c r="O1994" t="s">
        <v>25</v>
      </c>
      <c r="P1994" s="3">
        <v>43558</v>
      </c>
      <c r="Q1994" t="s">
        <v>28</v>
      </c>
    </row>
    <row r="1995" spans="1:17" x14ac:dyDescent="0.35">
      <c r="A1995" t="s">
        <v>2047</v>
      </c>
      <c r="B1995" t="s">
        <v>16</v>
      </c>
      <c r="C1995">
        <v>41</v>
      </c>
      <c r="D1995" t="s">
        <v>55</v>
      </c>
      <c r="E1995" t="s">
        <v>92</v>
      </c>
      <c r="F1995" t="s">
        <v>36</v>
      </c>
      <c r="G1995">
        <v>10.8</v>
      </c>
      <c r="H1995">
        <v>6.1</v>
      </c>
      <c r="I1995" t="str" cm="1">
        <f t="array" ref="I1995">_xlfn.IFS(G1995&lt;3, "0–2 Years", G1995&lt;6, "3–5 Years", G1995&lt;9, "6–8 Years", G1995&lt;12, "9-11 Years", G1995&gt;=12, "12-14 Years")</f>
        <v>9-11 Years</v>
      </c>
      <c r="J1995">
        <v>2</v>
      </c>
      <c r="K1995" t="s">
        <v>69</v>
      </c>
      <c r="L1995">
        <v>85000</v>
      </c>
      <c r="M1995">
        <v>7200</v>
      </c>
      <c r="N1995">
        <v>92200</v>
      </c>
      <c r="O1995" t="s">
        <v>30</v>
      </c>
      <c r="P1995" s="3">
        <v>42067</v>
      </c>
      <c r="Q1995" t="s">
        <v>36</v>
      </c>
    </row>
    <row r="1996" spans="1:17" x14ac:dyDescent="0.35">
      <c r="A1996" t="s">
        <v>2048</v>
      </c>
      <c r="B1996" t="s">
        <v>23</v>
      </c>
      <c r="C1996">
        <v>25</v>
      </c>
      <c r="D1996" t="s">
        <v>55</v>
      </c>
      <c r="E1996" t="s">
        <v>56</v>
      </c>
      <c r="F1996" t="s">
        <v>28</v>
      </c>
      <c r="G1996">
        <v>10.5</v>
      </c>
      <c r="H1996">
        <v>8.9</v>
      </c>
      <c r="I1996" t="str" cm="1">
        <f t="array" ref="I1996">_xlfn.IFS(G1996&lt;3, "0–2 Years", G1996&lt;6, "3–5 Years", G1996&lt;9, "6–8 Years", G1996&lt;12, "9-11 Years", G1996&gt;=12, "12-14 Years")</f>
        <v>9-11 Years</v>
      </c>
      <c r="J1996">
        <v>4</v>
      </c>
      <c r="K1996" t="s">
        <v>20</v>
      </c>
      <c r="L1996">
        <v>116800</v>
      </c>
      <c r="M1996">
        <v>24500</v>
      </c>
      <c r="N1996">
        <v>141300</v>
      </c>
      <c r="O1996" t="s">
        <v>57</v>
      </c>
      <c r="P1996" s="3">
        <v>42196</v>
      </c>
      <c r="Q1996" t="s">
        <v>28</v>
      </c>
    </row>
    <row r="1997" spans="1:17" x14ac:dyDescent="0.35">
      <c r="A1997" t="s">
        <v>2049</v>
      </c>
      <c r="B1997" t="s">
        <v>16</v>
      </c>
      <c r="C1997">
        <v>36</v>
      </c>
      <c r="D1997" t="s">
        <v>34</v>
      </c>
      <c r="E1997" t="s">
        <v>59</v>
      </c>
      <c r="F1997" t="s">
        <v>19</v>
      </c>
      <c r="G1997">
        <v>6.9</v>
      </c>
      <c r="H1997">
        <v>5.2</v>
      </c>
      <c r="I1997" t="str" cm="1">
        <f t="array" ref="I1997">_xlfn.IFS(G1997&lt;3, "0–2 Years", G1997&lt;6, "3–5 Years", G1997&lt;9, "6–8 Years", G1997&lt;12, "9-11 Years", G1997&gt;=12, "12-14 Years")</f>
        <v>6–8 Years</v>
      </c>
      <c r="J1997">
        <v>1</v>
      </c>
      <c r="K1997" t="s">
        <v>20</v>
      </c>
      <c r="L1997">
        <v>114000</v>
      </c>
      <c r="M1997">
        <v>8900</v>
      </c>
      <c r="N1997">
        <v>122900</v>
      </c>
      <c r="O1997" t="s">
        <v>57</v>
      </c>
      <c r="P1997" s="3">
        <v>43506</v>
      </c>
      <c r="Q1997" t="s">
        <v>19</v>
      </c>
    </row>
    <row r="1998" spans="1:17" x14ac:dyDescent="0.35">
      <c r="A1998" t="s">
        <v>2050</v>
      </c>
      <c r="B1998" t="s">
        <v>16</v>
      </c>
      <c r="C1998">
        <v>33</v>
      </c>
      <c r="D1998" t="s">
        <v>17</v>
      </c>
      <c r="E1998" t="s">
        <v>32</v>
      </c>
      <c r="F1998" t="s">
        <v>36</v>
      </c>
      <c r="G1998">
        <v>10.7</v>
      </c>
      <c r="H1998">
        <v>9.6999999999999993</v>
      </c>
      <c r="I1998" t="str" cm="1">
        <f t="array" ref="I1998">_xlfn.IFS(G1998&lt;3, "0–2 Years", G1998&lt;6, "3–5 Years", G1998&lt;9, "6–8 Years", G1998&lt;12, "9-11 Years", G1998&gt;=12, "12-14 Years")</f>
        <v>9-11 Years</v>
      </c>
      <c r="J1998">
        <v>4</v>
      </c>
      <c r="K1998" t="s">
        <v>20</v>
      </c>
      <c r="L1998">
        <v>75400</v>
      </c>
      <c r="M1998">
        <v>8900</v>
      </c>
      <c r="N1998">
        <v>84300</v>
      </c>
      <c r="O1998" t="s">
        <v>21</v>
      </c>
      <c r="P1998" s="3">
        <v>42101</v>
      </c>
      <c r="Q1998" t="s">
        <v>36</v>
      </c>
    </row>
    <row r="1999" spans="1:17" x14ac:dyDescent="0.35">
      <c r="A1999" t="s">
        <v>2051</v>
      </c>
      <c r="B1999" t="s">
        <v>23</v>
      </c>
      <c r="C1999">
        <v>41</v>
      </c>
      <c r="D1999" t="s">
        <v>41</v>
      </c>
      <c r="E1999" t="s">
        <v>42</v>
      </c>
      <c r="F1999" t="s">
        <v>28</v>
      </c>
      <c r="G1999">
        <v>11.1</v>
      </c>
      <c r="H1999">
        <v>7.1</v>
      </c>
      <c r="I1999" t="str" cm="1">
        <f t="array" ref="I1999">_xlfn.IFS(G1999&lt;3, "0–2 Years", G1999&lt;6, "3–5 Years", G1999&lt;9, "6–8 Years", G1999&lt;12, "9-11 Years", G1999&gt;=12, "12-14 Years")</f>
        <v>9-11 Years</v>
      </c>
      <c r="J1999">
        <v>4</v>
      </c>
      <c r="K1999" t="s">
        <v>20</v>
      </c>
      <c r="L1999">
        <v>84700</v>
      </c>
      <c r="M1999">
        <v>5800</v>
      </c>
      <c r="N1999">
        <v>90500</v>
      </c>
      <c r="O1999" t="s">
        <v>30</v>
      </c>
      <c r="P1999" s="3">
        <v>41959</v>
      </c>
      <c r="Q1999" t="s">
        <v>28</v>
      </c>
    </row>
    <row r="2000" spans="1:17" x14ac:dyDescent="0.35">
      <c r="A2000" t="s">
        <v>2052</v>
      </c>
      <c r="B2000" t="s">
        <v>16</v>
      </c>
      <c r="C2000">
        <v>35</v>
      </c>
      <c r="D2000" t="s">
        <v>41</v>
      </c>
      <c r="E2000" t="s">
        <v>42</v>
      </c>
      <c r="F2000" t="s">
        <v>28</v>
      </c>
      <c r="G2000">
        <v>5.3</v>
      </c>
      <c r="H2000">
        <v>4.2</v>
      </c>
      <c r="I2000" t="str" cm="1">
        <f t="array" ref="I2000">_xlfn.IFS(G2000&lt;3, "0–2 Years", G2000&lt;6, "3–5 Years", G2000&lt;9, "6–8 Years", G2000&lt;12, "9-11 Years", G2000&gt;=12, "12-14 Years")</f>
        <v>3–5 Years</v>
      </c>
      <c r="J2000">
        <v>4</v>
      </c>
      <c r="K2000" t="s">
        <v>20</v>
      </c>
      <c r="L2000">
        <v>76000</v>
      </c>
      <c r="M2000">
        <v>5400</v>
      </c>
      <c r="N2000">
        <v>81400</v>
      </c>
      <c r="O2000" t="s">
        <v>21</v>
      </c>
      <c r="P2000" s="3">
        <v>44096</v>
      </c>
      <c r="Q2000" t="s">
        <v>28</v>
      </c>
    </row>
    <row r="2001" spans="1:17" x14ac:dyDescent="0.35">
      <c r="A2001" t="s">
        <v>2053</v>
      </c>
      <c r="B2001" t="s">
        <v>16</v>
      </c>
      <c r="C2001">
        <v>32</v>
      </c>
      <c r="D2001" t="s">
        <v>34</v>
      </c>
      <c r="E2001" t="s">
        <v>47</v>
      </c>
      <c r="F2001" t="s">
        <v>28</v>
      </c>
      <c r="G2001">
        <v>5.5</v>
      </c>
      <c r="H2001">
        <v>3.1</v>
      </c>
      <c r="I2001" t="str" cm="1">
        <f t="array" ref="I2001">_xlfn.IFS(G2001&lt;3, "0–2 Years", G2001&lt;6, "3–5 Years", G2001&lt;9, "6–8 Years", G2001&lt;12, "9-11 Years", G2001&gt;=12, "12-14 Years")</f>
        <v>3–5 Years</v>
      </c>
      <c r="J2001">
        <v>4</v>
      </c>
      <c r="K2001" t="s">
        <v>20</v>
      </c>
      <c r="L2001">
        <v>80300</v>
      </c>
      <c r="M2001">
        <v>4600</v>
      </c>
      <c r="N2001">
        <v>84900</v>
      </c>
      <c r="O2001" t="s">
        <v>30</v>
      </c>
      <c r="P2001" s="3">
        <v>43997</v>
      </c>
      <c r="Q2001" t="s">
        <v>28</v>
      </c>
    </row>
    <row r="2002" spans="1:17" x14ac:dyDescent="0.35">
      <c r="A2002" t="s">
        <v>2054</v>
      </c>
      <c r="B2002" t="s">
        <v>16</v>
      </c>
      <c r="C2002">
        <v>34</v>
      </c>
      <c r="D2002" t="s">
        <v>55</v>
      </c>
      <c r="E2002" t="s">
        <v>79</v>
      </c>
      <c r="F2002" t="s">
        <v>28</v>
      </c>
      <c r="G2002">
        <v>7.5</v>
      </c>
      <c r="H2002">
        <v>4.3</v>
      </c>
      <c r="I2002" t="str" cm="1">
        <f t="array" ref="I2002">_xlfn.IFS(G2002&lt;3, "0–2 Years", G2002&lt;6, "3–5 Years", G2002&lt;9, "6–8 Years", G2002&lt;12, "9-11 Years", G2002&gt;=12, "12-14 Years")</f>
        <v>6–8 Years</v>
      </c>
      <c r="J2002">
        <v>4</v>
      </c>
      <c r="K2002" t="s">
        <v>20</v>
      </c>
      <c r="L2002">
        <v>79200</v>
      </c>
      <c r="M2002">
        <v>10700</v>
      </c>
      <c r="N2002">
        <v>89900</v>
      </c>
      <c r="O2002" t="s">
        <v>21</v>
      </c>
      <c r="P2002" s="3">
        <v>43271</v>
      </c>
      <c r="Q2002" t="s">
        <v>28</v>
      </c>
    </row>
    <row r="2003" spans="1:17" x14ac:dyDescent="0.35">
      <c r="A2003" t="s">
        <v>2055</v>
      </c>
      <c r="B2003" t="s">
        <v>23</v>
      </c>
      <c r="C2003">
        <v>34</v>
      </c>
      <c r="D2003" t="s">
        <v>44</v>
      </c>
      <c r="E2003" t="s">
        <v>81</v>
      </c>
      <c r="F2003" t="s">
        <v>36</v>
      </c>
      <c r="G2003">
        <v>4.9000000000000004</v>
      </c>
      <c r="H2003">
        <v>2.4</v>
      </c>
      <c r="I2003" t="str" cm="1">
        <f t="array" ref="I2003">_xlfn.IFS(G2003&lt;3, "0–2 Years", G2003&lt;6, "3–5 Years", G2003&lt;9, "6–8 Years", G2003&lt;12, "9-11 Years", G2003&gt;=12, "12-14 Years")</f>
        <v>3–5 Years</v>
      </c>
      <c r="J2003">
        <v>2</v>
      </c>
      <c r="K2003" t="s">
        <v>20</v>
      </c>
      <c r="L2003">
        <v>93000</v>
      </c>
      <c r="M2003">
        <v>12900</v>
      </c>
      <c r="N2003">
        <v>105900</v>
      </c>
      <c r="O2003" t="s">
        <v>30</v>
      </c>
      <c r="P2003" s="3">
        <v>44245</v>
      </c>
      <c r="Q2003" t="s">
        <v>36</v>
      </c>
    </row>
    <row r="2004" spans="1:17" x14ac:dyDescent="0.35">
      <c r="A2004" t="s">
        <v>2056</v>
      </c>
      <c r="B2004" t="s">
        <v>16</v>
      </c>
      <c r="C2004" s="7">
        <v>37</v>
      </c>
      <c r="D2004" t="s">
        <v>55</v>
      </c>
      <c r="E2004" t="s">
        <v>92</v>
      </c>
      <c r="F2004" t="s">
        <v>36</v>
      </c>
      <c r="G2004" s="9">
        <v>12.6</v>
      </c>
      <c r="H2004" s="7">
        <v>9</v>
      </c>
      <c r="I2004" t="str" cm="1">
        <f t="array" ref="I2004">_xlfn.IFS(G2004&lt;3, "0–2 Years", G2004&lt;6, "3–5 Years", G2004&lt;9, "6–8 Years", G2004&lt;12, "9-11 Years", G2004&gt;=12, "12-14 Years")</f>
        <v>12-14 Years</v>
      </c>
      <c r="J2004" s="7">
        <v>2</v>
      </c>
      <c r="K2004" t="s">
        <v>20</v>
      </c>
      <c r="L2004" s="7">
        <v>112400</v>
      </c>
      <c r="M2004" s="7">
        <v>21400</v>
      </c>
      <c r="N2004" s="7">
        <v>133800</v>
      </c>
      <c r="O2004" t="s">
        <v>57</v>
      </c>
      <c r="P2004" s="3">
        <v>41407</v>
      </c>
      <c r="Q2004" t="s">
        <v>36</v>
      </c>
    </row>
    <row r="2005" spans="1:17" x14ac:dyDescent="0.35">
      <c r="A2005" t="s">
        <v>2057</v>
      </c>
      <c r="B2005" t="s">
        <v>23</v>
      </c>
      <c r="C2005">
        <v>41</v>
      </c>
      <c r="D2005" t="s">
        <v>38</v>
      </c>
      <c r="E2005" t="s">
        <v>39</v>
      </c>
      <c r="F2005" t="s">
        <v>36</v>
      </c>
      <c r="G2005">
        <v>2.2999999999999998</v>
      </c>
      <c r="H2005">
        <v>2.2999999999999998</v>
      </c>
      <c r="I2005" t="str" cm="1">
        <f t="array" ref="I2005">_xlfn.IFS(G2005&lt;3, "0–2 Years", G2005&lt;6, "3–5 Years", G2005&lt;9, "6–8 Years", G2005&lt;12, "9-11 Years", G2005&gt;=12, "12-14 Years")</f>
        <v>0–2 Years</v>
      </c>
      <c r="J2005">
        <v>4</v>
      </c>
      <c r="K2005" t="s">
        <v>20</v>
      </c>
      <c r="L2005">
        <v>73200</v>
      </c>
      <c r="M2005">
        <v>3500</v>
      </c>
      <c r="N2005">
        <v>76700</v>
      </c>
      <c r="O2005" t="s">
        <v>21</v>
      </c>
      <c r="P2005" s="3">
        <v>45168</v>
      </c>
      <c r="Q2005" t="s">
        <v>36</v>
      </c>
    </row>
    <row r="2006" spans="1:17" x14ac:dyDescent="0.35">
      <c r="A2006" t="s">
        <v>2058</v>
      </c>
      <c r="B2006" t="s">
        <v>16</v>
      </c>
      <c r="C2006" s="7">
        <v>46</v>
      </c>
      <c r="D2006" t="s">
        <v>55</v>
      </c>
      <c r="E2006" t="s">
        <v>92</v>
      </c>
      <c r="F2006" t="s">
        <v>28</v>
      </c>
      <c r="G2006" s="9">
        <v>13.8</v>
      </c>
      <c r="H2006" s="7">
        <v>9.6</v>
      </c>
      <c r="I2006" t="str" cm="1">
        <f t="array" ref="I2006">_xlfn.IFS(G2006&lt;3, "0–2 Years", G2006&lt;6, "3–5 Years", G2006&lt;9, "6–8 Years", G2006&lt;12, "9-11 Years", G2006&gt;=12, "12-14 Years")</f>
        <v>12-14 Years</v>
      </c>
      <c r="J2006" s="7">
        <v>2</v>
      </c>
      <c r="K2006" t="s">
        <v>20</v>
      </c>
      <c r="L2006" s="7">
        <v>97000</v>
      </c>
      <c r="M2006" s="7">
        <v>14500</v>
      </c>
      <c r="N2006" s="7">
        <v>111500</v>
      </c>
      <c r="O2006" t="s">
        <v>30</v>
      </c>
      <c r="P2006" s="3">
        <v>40975</v>
      </c>
      <c r="Q2006" t="s">
        <v>28</v>
      </c>
    </row>
    <row r="2007" spans="1:17" x14ac:dyDescent="0.35">
      <c r="A2007" t="s">
        <v>2059</v>
      </c>
      <c r="B2007" t="s">
        <v>23</v>
      </c>
      <c r="C2007" s="7">
        <v>41</v>
      </c>
      <c r="D2007" t="s">
        <v>34</v>
      </c>
      <c r="E2007" t="s">
        <v>35</v>
      </c>
      <c r="F2007" t="s">
        <v>36</v>
      </c>
      <c r="G2007" s="9">
        <v>12.7</v>
      </c>
      <c r="H2007" s="7">
        <v>9</v>
      </c>
      <c r="I2007" t="str" cm="1">
        <f t="array" ref="I2007">_xlfn.IFS(G2007&lt;3, "0–2 Years", G2007&lt;6, "3–5 Years", G2007&lt;9, "6–8 Years", G2007&lt;12, "9-11 Years", G2007&gt;=12, "12-14 Years")</f>
        <v>12-14 Years</v>
      </c>
      <c r="J2007" s="7">
        <v>3</v>
      </c>
      <c r="K2007" t="s">
        <v>20</v>
      </c>
      <c r="L2007" s="7">
        <v>88300</v>
      </c>
      <c r="M2007" s="7">
        <v>7800</v>
      </c>
      <c r="N2007" s="7">
        <v>96100</v>
      </c>
      <c r="O2007" t="s">
        <v>30</v>
      </c>
      <c r="P2007" s="3">
        <v>41373</v>
      </c>
      <c r="Q2007" t="s">
        <v>36</v>
      </c>
    </row>
    <row r="2008" spans="1:17" x14ac:dyDescent="0.35">
      <c r="A2008" t="s">
        <v>2060</v>
      </c>
      <c r="B2008" t="s">
        <v>16</v>
      </c>
      <c r="C2008">
        <v>21</v>
      </c>
      <c r="D2008" t="s">
        <v>55</v>
      </c>
      <c r="E2008" t="s">
        <v>92</v>
      </c>
      <c r="F2008" t="s">
        <v>28</v>
      </c>
      <c r="G2008">
        <v>2.5</v>
      </c>
      <c r="H2008">
        <v>2.1</v>
      </c>
      <c r="I2008" t="str" cm="1">
        <f t="array" ref="I2008">_xlfn.IFS(G2008&lt;3, "0–2 Years", G2008&lt;6, "3–5 Years", G2008&lt;9, "6–8 Years", G2008&lt;12, "9-11 Years", G2008&gt;=12, "12-14 Years")</f>
        <v>0–2 Years</v>
      </c>
      <c r="J2008">
        <v>4</v>
      </c>
      <c r="K2008" t="s">
        <v>69</v>
      </c>
      <c r="L2008">
        <v>70400</v>
      </c>
      <c r="M2008">
        <v>9300</v>
      </c>
      <c r="N2008">
        <v>79700</v>
      </c>
      <c r="O2008" t="s">
        <v>21</v>
      </c>
      <c r="P2008" s="3">
        <v>45112</v>
      </c>
      <c r="Q2008" t="s">
        <v>28</v>
      </c>
    </row>
    <row r="2009" spans="1:17" x14ac:dyDescent="0.35">
      <c r="A2009" t="s">
        <v>2061</v>
      </c>
      <c r="B2009" t="s">
        <v>23</v>
      </c>
      <c r="C2009">
        <v>33</v>
      </c>
      <c r="D2009" t="s">
        <v>34</v>
      </c>
      <c r="E2009" t="s">
        <v>59</v>
      </c>
      <c r="F2009" t="s">
        <v>28</v>
      </c>
      <c r="G2009">
        <v>4.3</v>
      </c>
      <c r="H2009">
        <v>4.3</v>
      </c>
      <c r="I2009" t="str" cm="1">
        <f t="array" ref="I2009">_xlfn.IFS(G2009&lt;3, "0–2 Years", G2009&lt;6, "3–5 Years", G2009&lt;9, "6–8 Years", G2009&lt;12, "9-11 Years", G2009&gt;=12, "12-14 Years")</f>
        <v>3–5 Years</v>
      </c>
      <c r="J2009">
        <v>4</v>
      </c>
      <c r="K2009" t="s">
        <v>20</v>
      </c>
      <c r="L2009">
        <v>109300</v>
      </c>
      <c r="M2009">
        <v>10600</v>
      </c>
      <c r="N2009">
        <v>119900</v>
      </c>
      <c r="O2009" t="s">
        <v>57</v>
      </c>
      <c r="P2009" s="3">
        <v>44464</v>
      </c>
      <c r="Q2009" t="s">
        <v>28</v>
      </c>
    </row>
    <row r="2010" spans="1:17" x14ac:dyDescent="0.35">
      <c r="A2010" t="s">
        <v>2062</v>
      </c>
      <c r="B2010" t="s">
        <v>16</v>
      </c>
      <c r="C2010">
        <v>46</v>
      </c>
      <c r="D2010" t="s">
        <v>34</v>
      </c>
      <c r="E2010" t="s">
        <v>47</v>
      </c>
      <c r="F2010" t="s">
        <v>28</v>
      </c>
      <c r="G2010">
        <v>11.4</v>
      </c>
      <c r="H2010">
        <v>7.8</v>
      </c>
      <c r="I2010" t="str" cm="1">
        <f t="array" ref="I2010">_xlfn.IFS(G2010&lt;3, "0–2 Years", G2010&lt;6, "3–5 Years", G2010&lt;9, "6–8 Years", G2010&lt;12, "9-11 Years", G2010&gt;=12, "12-14 Years")</f>
        <v>9-11 Years</v>
      </c>
      <c r="J2010">
        <v>1</v>
      </c>
      <c r="K2010" t="s">
        <v>20</v>
      </c>
      <c r="L2010">
        <v>85100</v>
      </c>
      <c r="M2010">
        <v>6500</v>
      </c>
      <c r="N2010">
        <v>91600</v>
      </c>
      <c r="O2010" t="s">
        <v>30</v>
      </c>
      <c r="P2010" s="3">
        <v>41855</v>
      </c>
      <c r="Q2010" t="s">
        <v>28</v>
      </c>
    </row>
    <row r="2011" spans="1:17" x14ac:dyDescent="0.35">
      <c r="A2011" t="s">
        <v>2063</v>
      </c>
      <c r="B2011" t="s">
        <v>16</v>
      </c>
      <c r="C2011">
        <v>28</v>
      </c>
      <c r="D2011" t="s">
        <v>38</v>
      </c>
      <c r="E2011" t="s">
        <v>39</v>
      </c>
      <c r="F2011" t="s">
        <v>36</v>
      </c>
      <c r="G2011">
        <v>4.2</v>
      </c>
      <c r="H2011">
        <v>2.8</v>
      </c>
      <c r="I2011" t="str" cm="1">
        <f t="array" ref="I2011">_xlfn.IFS(G2011&lt;3, "0–2 Years", G2011&lt;6, "3–5 Years", G2011&lt;9, "6–8 Years", G2011&lt;12, "9-11 Years", G2011&gt;=12, "12-14 Years")</f>
        <v>3–5 Years</v>
      </c>
      <c r="J2011">
        <v>5</v>
      </c>
      <c r="K2011" t="s">
        <v>20</v>
      </c>
      <c r="L2011">
        <v>81000</v>
      </c>
      <c r="M2011">
        <v>3800</v>
      </c>
      <c r="N2011">
        <v>84800</v>
      </c>
      <c r="O2011" t="s">
        <v>30</v>
      </c>
      <c r="P2011" s="3">
        <v>44483</v>
      </c>
      <c r="Q2011" t="s">
        <v>36</v>
      </c>
    </row>
    <row r="2012" spans="1:17" x14ac:dyDescent="0.35">
      <c r="A2012" t="s">
        <v>2064</v>
      </c>
      <c r="B2012" t="s">
        <v>23</v>
      </c>
      <c r="C2012" s="7">
        <v>47</v>
      </c>
      <c r="D2012" t="s">
        <v>34</v>
      </c>
      <c r="E2012" t="s">
        <v>35</v>
      </c>
      <c r="F2012" t="s">
        <v>36</v>
      </c>
      <c r="G2012" s="9">
        <v>13</v>
      </c>
      <c r="H2012" s="7">
        <v>9.6</v>
      </c>
      <c r="I2012" t="str" cm="1">
        <f t="array" ref="I2012">_xlfn.IFS(G2012&lt;3, "0–2 Years", G2012&lt;6, "3–5 Years", G2012&lt;9, "6–8 Years", G2012&lt;12, "9-11 Years", G2012&gt;=12, "12-14 Years")</f>
        <v>12-14 Years</v>
      </c>
      <c r="J2012" s="7">
        <v>3</v>
      </c>
      <c r="K2012" t="s">
        <v>20</v>
      </c>
      <c r="L2012" s="7">
        <v>91800</v>
      </c>
      <c r="M2012" s="7">
        <v>7500</v>
      </c>
      <c r="N2012" s="7">
        <v>99300</v>
      </c>
      <c r="O2012" t="s">
        <v>30</v>
      </c>
      <c r="P2012" s="3">
        <v>41268</v>
      </c>
      <c r="Q2012" t="s">
        <v>36</v>
      </c>
    </row>
    <row r="2013" spans="1:17" x14ac:dyDescent="0.35">
      <c r="A2013" t="s">
        <v>2065</v>
      </c>
      <c r="B2013" t="s">
        <v>16</v>
      </c>
      <c r="C2013">
        <v>21</v>
      </c>
      <c r="D2013" t="s">
        <v>34</v>
      </c>
      <c r="E2013" t="s">
        <v>47</v>
      </c>
      <c r="F2013" t="s">
        <v>19</v>
      </c>
      <c r="G2013">
        <v>7.8</v>
      </c>
      <c r="H2013">
        <v>6</v>
      </c>
      <c r="I2013" t="str" cm="1">
        <f t="array" ref="I2013">_xlfn.IFS(G2013&lt;3, "0–2 Years", G2013&lt;6, "3–5 Years", G2013&lt;9, "6–8 Years", G2013&lt;12, "9-11 Years", G2013&gt;=12, "12-14 Years")</f>
        <v>6–8 Years</v>
      </c>
      <c r="J2013">
        <v>3</v>
      </c>
      <c r="K2013" t="s">
        <v>20</v>
      </c>
      <c r="L2013">
        <v>77000</v>
      </c>
      <c r="M2013">
        <v>6500</v>
      </c>
      <c r="N2013">
        <v>83500</v>
      </c>
      <c r="O2013" t="s">
        <v>21</v>
      </c>
      <c r="P2013" s="3">
        <v>43169</v>
      </c>
      <c r="Q2013" t="s">
        <v>19</v>
      </c>
    </row>
    <row r="2014" spans="1:17" x14ac:dyDescent="0.35">
      <c r="A2014" t="s">
        <v>2066</v>
      </c>
      <c r="B2014" t="s">
        <v>23</v>
      </c>
      <c r="C2014" s="7">
        <v>47</v>
      </c>
      <c r="D2014" t="s">
        <v>44</v>
      </c>
      <c r="E2014" t="s">
        <v>45</v>
      </c>
      <c r="F2014" t="s">
        <v>36</v>
      </c>
      <c r="G2014" s="9">
        <v>13.2</v>
      </c>
      <c r="H2014" s="7">
        <v>8.4</v>
      </c>
      <c r="I2014" t="str" cm="1">
        <f t="array" ref="I2014">_xlfn.IFS(G2014&lt;3, "0–2 Years", G2014&lt;6, "3–5 Years", G2014&lt;9, "6–8 Years", G2014&lt;12, "9-11 Years", G2014&gt;=12, "12-14 Years")</f>
        <v>12-14 Years</v>
      </c>
      <c r="J2014" s="7">
        <v>3</v>
      </c>
      <c r="K2014" t="s">
        <v>20</v>
      </c>
      <c r="L2014" s="7">
        <v>84900</v>
      </c>
      <c r="M2014" s="7">
        <v>7900</v>
      </c>
      <c r="N2014" s="7">
        <v>92800</v>
      </c>
      <c r="O2014" t="s">
        <v>30</v>
      </c>
      <c r="P2014" s="3">
        <v>41215</v>
      </c>
      <c r="Q2014" t="s">
        <v>36</v>
      </c>
    </row>
    <row r="2015" spans="1:17" x14ac:dyDescent="0.35">
      <c r="A2015" t="s">
        <v>2067</v>
      </c>
      <c r="B2015" t="s">
        <v>23</v>
      </c>
      <c r="C2015">
        <v>33</v>
      </c>
      <c r="D2015" t="s">
        <v>17</v>
      </c>
      <c r="E2015" t="s">
        <v>32</v>
      </c>
      <c r="F2015" t="s">
        <v>19</v>
      </c>
      <c r="G2015">
        <v>3.5</v>
      </c>
      <c r="H2015">
        <v>2.6</v>
      </c>
      <c r="I2015" t="str" cm="1">
        <f t="array" ref="I2015">_xlfn.IFS(G2015&lt;3, "0–2 Years", G2015&lt;6, "3–5 Years", G2015&lt;9, "6–8 Years", G2015&lt;12, "9-11 Years", G2015&gt;=12, "12-14 Years")</f>
        <v>3–5 Years</v>
      </c>
      <c r="J2015">
        <v>4</v>
      </c>
      <c r="K2015" t="s">
        <v>20</v>
      </c>
      <c r="L2015">
        <v>58600</v>
      </c>
      <c r="M2015">
        <v>4200</v>
      </c>
      <c r="N2015">
        <v>62800</v>
      </c>
      <c r="O2015" t="s">
        <v>25</v>
      </c>
      <c r="P2015" s="3">
        <v>44757</v>
      </c>
      <c r="Q2015" t="s">
        <v>19</v>
      </c>
    </row>
    <row r="2016" spans="1:17" x14ac:dyDescent="0.35">
      <c r="A2016" t="s">
        <v>2068</v>
      </c>
      <c r="B2016" t="s">
        <v>16</v>
      </c>
      <c r="C2016">
        <v>45</v>
      </c>
      <c r="D2016" t="s">
        <v>38</v>
      </c>
      <c r="E2016" t="s">
        <v>112</v>
      </c>
      <c r="F2016" t="s">
        <v>36</v>
      </c>
      <c r="G2016">
        <v>11.8</v>
      </c>
      <c r="H2016">
        <v>7</v>
      </c>
      <c r="I2016" t="str" cm="1">
        <f t="array" ref="I2016">_xlfn.IFS(G2016&lt;3, "0–2 Years", G2016&lt;6, "3–5 Years", G2016&lt;9, "6–8 Years", G2016&lt;12, "9-11 Years", G2016&gt;=12, "12-14 Years")</f>
        <v>9-11 Years</v>
      </c>
      <c r="J2016">
        <v>2</v>
      </c>
      <c r="K2016" t="s">
        <v>20</v>
      </c>
      <c r="L2016">
        <v>86600</v>
      </c>
      <c r="M2016">
        <v>8100</v>
      </c>
      <c r="N2016">
        <v>94700</v>
      </c>
      <c r="O2016" t="s">
        <v>30</v>
      </c>
      <c r="P2016" s="3">
        <v>41704</v>
      </c>
      <c r="Q2016" t="s">
        <v>36</v>
      </c>
    </row>
    <row r="2017" spans="1:17" x14ac:dyDescent="0.35">
      <c r="A2017" t="s">
        <v>2069</v>
      </c>
      <c r="B2017" t="s">
        <v>23</v>
      </c>
      <c r="C2017" s="7">
        <v>43</v>
      </c>
      <c r="D2017" t="s">
        <v>44</v>
      </c>
      <c r="E2017" t="s">
        <v>76</v>
      </c>
      <c r="F2017" t="s">
        <v>19</v>
      </c>
      <c r="G2017" s="9">
        <v>13.9</v>
      </c>
      <c r="H2017" s="7">
        <v>10.8</v>
      </c>
      <c r="I2017" t="str" cm="1">
        <f t="array" ref="I2017">_xlfn.IFS(G2017&lt;3, "0–2 Years", G2017&lt;6, "3–5 Years", G2017&lt;9, "6–8 Years", G2017&lt;12, "9-11 Years", G2017&gt;=12, "12-14 Years")</f>
        <v>12-14 Years</v>
      </c>
      <c r="J2017" s="7">
        <v>5</v>
      </c>
      <c r="K2017" t="s">
        <v>20</v>
      </c>
      <c r="L2017" s="7">
        <v>119800</v>
      </c>
      <c r="M2017" s="7">
        <v>13500</v>
      </c>
      <c r="N2017" s="7">
        <v>133300</v>
      </c>
      <c r="O2017" t="s">
        <v>57</v>
      </c>
      <c r="P2017" s="3">
        <v>40956</v>
      </c>
      <c r="Q2017" t="s">
        <v>19</v>
      </c>
    </row>
    <row r="2018" spans="1:17" x14ac:dyDescent="0.35">
      <c r="A2018" t="s">
        <v>2070</v>
      </c>
      <c r="B2018" t="s">
        <v>16</v>
      </c>
      <c r="C2018">
        <v>30</v>
      </c>
      <c r="D2018" t="s">
        <v>55</v>
      </c>
      <c r="E2018" t="s">
        <v>56</v>
      </c>
      <c r="F2018" t="s">
        <v>28</v>
      </c>
      <c r="G2018">
        <v>11.9</v>
      </c>
      <c r="H2018">
        <v>6.7</v>
      </c>
      <c r="I2018" t="str" cm="1">
        <f t="array" ref="I2018">_xlfn.IFS(G2018&lt;3, "0–2 Years", G2018&lt;6, "3–5 Years", G2018&lt;9, "6–8 Years", G2018&lt;12, "9-11 Years", G2018&gt;=12, "12-14 Years")</f>
        <v>9-11 Years</v>
      </c>
      <c r="J2018">
        <v>1</v>
      </c>
      <c r="K2018" t="s">
        <v>20</v>
      </c>
      <c r="L2018">
        <v>114600</v>
      </c>
      <c r="M2018">
        <v>18000</v>
      </c>
      <c r="N2018">
        <v>132600</v>
      </c>
      <c r="O2018" t="s">
        <v>57</v>
      </c>
      <c r="P2018" s="3">
        <v>41667</v>
      </c>
      <c r="Q2018" t="s">
        <v>28</v>
      </c>
    </row>
    <row r="2019" spans="1:17" x14ac:dyDescent="0.35">
      <c r="A2019" t="s">
        <v>2071</v>
      </c>
      <c r="B2019" t="s">
        <v>16</v>
      </c>
      <c r="C2019">
        <v>26</v>
      </c>
      <c r="D2019" t="s">
        <v>44</v>
      </c>
      <c r="E2019" t="s">
        <v>76</v>
      </c>
      <c r="F2019" t="s">
        <v>28</v>
      </c>
      <c r="G2019">
        <v>11.9</v>
      </c>
      <c r="H2019">
        <v>8.6</v>
      </c>
      <c r="I2019" t="str" cm="1">
        <f t="array" ref="I2019">_xlfn.IFS(G2019&lt;3, "0–2 Years", G2019&lt;6, "3–5 Years", G2019&lt;9, "6–8 Years", G2019&lt;12, "9-11 Years", G2019&gt;=12, "12-14 Years")</f>
        <v>9-11 Years</v>
      </c>
      <c r="J2019">
        <v>3</v>
      </c>
      <c r="K2019" t="s">
        <v>20</v>
      </c>
      <c r="L2019">
        <v>124300</v>
      </c>
      <c r="M2019">
        <v>8000</v>
      </c>
      <c r="N2019">
        <v>132300</v>
      </c>
      <c r="O2019" t="s">
        <v>57</v>
      </c>
      <c r="P2019" s="3">
        <v>41691</v>
      </c>
      <c r="Q2019" t="s">
        <v>28</v>
      </c>
    </row>
    <row r="2020" spans="1:17" x14ac:dyDescent="0.35">
      <c r="A2020" t="s">
        <v>2072</v>
      </c>
      <c r="B2020" t="s">
        <v>16</v>
      </c>
      <c r="C2020" s="7">
        <v>33</v>
      </c>
      <c r="D2020" t="s">
        <v>41</v>
      </c>
      <c r="E2020" t="s">
        <v>42</v>
      </c>
      <c r="F2020" t="s">
        <v>28</v>
      </c>
      <c r="G2020" s="9">
        <v>12.1</v>
      </c>
      <c r="H2020" s="7">
        <v>7.3</v>
      </c>
      <c r="I2020" t="str" cm="1">
        <f t="array" ref="I2020">_xlfn.IFS(G2020&lt;3, "0–2 Years", G2020&lt;6, "3–5 Years", G2020&lt;9, "6–8 Years", G2020&lt;12, "9-11 Years", G2020&gt;=12, "12-14 Years")</f>
        <v>12-14 Years</v>
      </c>
      <c r="J2020" s="7">
        <v>3</v>
      </c>
      <c r="K2020" t="s">
        <v>20</v>
      </c>
      <c r="L2020" s="7">
        <v>88000</v>
      </c>
      <c r="M2020" s="7">
        <v>4900</v>
      </c>
      <c r="N2020" s="7">
        <v>92900</v>
      </c>
      <c r="O2020" t="s">
        <v>30</v>
      </c>
      <c r="P2020" s="3">
        <v>41618</v>
      </c>
      <c r="Q2020" t="s">
        <v>28</v>
      </c>
    </row>
    <row r="2021" spans="1:17" x14ac:dyDescent="0.35">
      <c r="A2021" t="s">
        <v>2073</v>
      </c>
      <c r="B2021" t="s">
        <v>16</v>
      </c>
      <c r="C2021">
        <v>33</v>
      </c>
      <c r="D2021" t="s">
        <v>44</v>
      </c>
      <c r="E2021" t="s">
        <v>45</v>
      </c>
      <c r="F2021" t="s">
        <v>36</v>
      </c>
      <c r="G2021">
        <v>4.8</v>
      </c>
      <c r="H2021">
        <v>1.5</v>
      </c>
      <c r="I2021" t="str" cm="1">
        <f t="array" ref="I2021">_xlfn.IFS(G2021&lt;3, "0–2 Years", G2021&lt;6, "3–5 Years", G2021&lt;9, "6–8 Years", G2021&lt;12, "9-11 Years", G2021&gt;=12, "12-14 Years")</f>
        <v>3–5 Years</v>
      </c>
      <c r="J2021">
        <v>4</v>
      </c>
      <c r="K2021" t="s">
        <v>20</v>
      </c>
      <c r="L2021">
        <v>76600</v>
      </c>
      <c r="M2021">
        <v>7800</v>
      </c>
      <c r="N2021">
        <v>84400</v>
      </c>
      <c r="O2021" t="s">
        <v>21</v>
      </c>
      <c r="P2021" s="3">
        <v>44253</v>
      </c>
      <c r="Q2021" t="s">
        <v>36</v>
      </c>
    </row>
    <row r="2022" spans="1:17" x14ac:dyDescent="0.35">
      <c r="A2022" t="s">
        <v>2074</v>
      </c>
      <c r="B2022" t="s">
        <v>23</v>
      </c>
      <c r="C2022">
        <v>41</v>
      </c>
      <c r="D2022" t="s">
        <v>17</v>
      </c>
      <c r="E2022" t="s">
        <v>27</v>
      </c>
      <c r="F2022" t="s">
        <v>36</v>
      </c>
      <c r="G2022">
        <v>10.6</v>
      </c>
      <c r="H2022">
        <v>9.3000000000000007</v>
      </c>
      <c r="I2022" t="str" cm="1">
        <f t="array" ref="I2022">_xlfn.IFS(G2022&lt;3, "0–2 Years", G2022&lt;6, "3–5 Years", G2022&lt;9, "6–8 Years", G2022&lt;12, "9-11 Years", G2022&gt;=12, "12-14 Years")</f>
        <v>9-11 Years</v>
      </c>
      <c r="J2022">
        <v>3</v>
      </c>
      <c r="K2022" t="s">
        <v>20</v>
      </c>
      <c r="L2022">
        <v>70600</v>
      </c>
      <c r="M2022">
        <v>3800</v>
      </c>
      <c r="N2022">
        <v>74400</v>
      </c>
      <c r="O2022" t="s">
        <v>21</v>
      </c>
      <c r="P2022" s="3">
        <v>42139</v>
      </c>
      <c r="Q2022" t="s">
        <v>36</v>
      </c>
    </row>
    <row r="2023" spans="1:17" x14ac:dyDescent="0.35">
      <c r="A2023" t="s">
        <v>2075</v>
      </c>
      <c r="B2023" t="s">
        <v>16</v>
      </c>
      <c r="C2023" s="7">
        <v>47</v>
      </c>
      <c r="D2023" t="s">
        <v>44</v>
      </c>
      <c r="E2023" t="s">
        <v>51</v>
      </c>
      <c r="F2023" t="s">
        <v>36</v>
      </c>
      <c r="G2023" s="9">
        <v>12.9</v>
      </c>
      <c r="H2023" s="7">
        <v>9</v>
      </c>
      <c r="I2023" t="str" cm="1">
        <f t="array" ref="I2023">_xlfn.IFS(G2023&lt;3, "0–2 Years", G2023&lt;6, "3–5 Years", G2023&lt;9, "6–8 Years", G2023&lt;12, "9-11 Years", G2023&gt;=12, "12-14 Years")</f>
        <v>12-14 Years</v>
      </c>
      <c r="J2023" s="7">
        <v>3</v>
      </c>
      <c r="K2023" t="s">
        <v>20</v>
      </c>
      <c r="L2023" s="7">
        <v>100300</v>
      </c>
      <c r="M2023" s="7">
        <v>5200</v>
      </c>
      <c r="N2023" s="7">
        <v>105500</v>
      </c>
      <c r="O2023" t="s">
        <v>57</v>
      </c>
      <c r="P2023" s="3">
        <v>41317</v>
      </c>
      <c r="Q2023" t="s">
        <v>36</v>
      </c>
    </row>
    <row r="2024" spans="1:17" x14ac:dyDescent="0.35">
      <c r="A2024" t="s">
        <v>2076</v>
      </c>
      <c r="B2024" t="s">
        <v>23</v>
      </c>
      <c r="C2024">
        <v>33</v>
      </c>
      <c r="D2024" t="s">
        <v>38</v>
      </c>
      <c r="E2024" t="s">
        <v>61</v>
      </c>
      <c r="F2024" t="s">
        <v>36</v>
      </c>
      <c r="G2024">
        <v>9.6</v>
      </c>
      <c r="H2024">
        <v>6.8</v>
      </c>
      <c r="I2024" t="str" cm="1">
        <f t="array" ref="I2024">_xlfn.IFS(G2024&lt;3, "0–2 Years", G2024&lt;6, "3–5 Years", G2024&lt;9, "6–8 Years", G2024&lt;12, "9-11 Years", G2024&gt;=12, "12-14 Years")</f>
        <v>9-11 Years</v>
      </c>
      <c r="J2024">
        <v>4</v>
      </c>
      <c r="K2024" t="s">
        <v>20</v>
      </c>
      <c r="L2024">
        <v>101500</v>
      </c>
      <c r="M2024">
        <v>4300</v>
      </c>
      <c r="N2024">
        <v>105800</v>
      </c>
      <c r="O2024" t="s">
        <v>57</v>
      </c>
      <c r="P2024" s="3">
        <v>42503</v>
      </c>
      <c r="Q2024" t="s">
        <v>36</v>
      </c>
    </row>
    <row r="2025" spans="1:17" x14ac:dyDescent="0.35">
      <c r="A2025" t="s">
        <v>2077</v>
      </c>
      <c r="B2025" t="s">
        <v>23</v>
      </c>
      <c r="C2025">
        <v>34</v>
      </c>
      <c r="D2025" t="s">
        <v>38</v>
      </c>
      <c r="E2025" t="s">
        <v>112</v>
      </c>
      <c r="F2025" t="s">
        <v>19</v>
      </c>
      <c r="G2025">
        <v>3.7</v>
      </c>
      <c r="H2025">
        <v>0.7</v>
      </c>
      <c r="I2025" t="str" cm="1">
        <f t="array" ref="I2025">_xlfn.IFS(G2025&lt;3, "0–2 Years", G2025&lt;6, "3–5 Years", G2025&lt;9, "6–8 Years", G2025&lt;12, "9-11 Years", G2025&gt;=12, "12-14 Years")</f>
        <v>3–5 Years</v>
      </c>
      <c r="J2025">
        <v>4</v>
      </c>
      <c r="K2025" t="s">
        <v>20</v>
      </c>
      <c r="L2025">
        <v>59500</v>
      </c>
      <c r="M2025">
        <v>4800</v>
      </c>
      <c r="N2025">
        <v>64300</v>
      </c>
      <c r="O2025" t="s">
        <v>25</v>
      </c>
      <c r="P2025" s="3">
        <v>44659</v>
      </c>
      <c r="Q2025" t="s">
        <v>19</v>
      </c>
    </row>
    <row r="2026" spans="1:17" x14ac:dyDescent="0.35">
      <c r="A2026" t="s">
        <v>2078</v>
      </c>
      <c r="B2026" t="s">
        <v>23</v>
      </c>
      <c r="C2026">
        <v>36</v>
      </c>
      <c r="D2026" t="s">
        <v>38</v>
      </c>
      <c r="E2026" t="s">
        <v>112</v>
      </c>
      <c r="F2026" t="s">
        <v>36</v>
      </c>
      <c r="G2026">
        <v>10.1</v>
      </c>
      <c r="H2026">
        <v>4.9000000000000004</v>
      </c>
      <c r="I2026" t="str" cm="1">
        <f t="array" ref="I2026">_xlfn.IFS(G2026&lt;3, "0–2 Years", G2026&lt;6, "3–5 Years", G2026&lt;9, "6–8 Years", G2026&lt;12, "9-11 Years", G2026&gt;=12, "12-14 Years")</f>
        <v>9-11 Years</v>
      </c>
      <c r="J2026">
        <v>5</v>
      </c>
      <c r="K2026" t="s">
        <v>20</v>
      </c>
      <c r="L2026">
        <v>80200</v>
      </c>
      <c r="M2026">
        <v>7800</v>
      </c>
      <c r="N2026">
        <v>88000</v>
      </c>
      <c r="O2026" t="s">
        <v>30</v>
      </c>
      <c r="P2026" s="3">
        <v>42340</v>
      </c>
      <c r="Q2026" t="s">
        <v>36</v>
      </c>
    </row>
    <row r="2027" spans="1:17" x14ac:dyDescent="0.35">
      <c r="A2027" t="s">
        <v>2079</v>
      </c>
      <c r="B2027" t="s">
        <v>16</v>
      </c>
      <c r="C2027">
        <v>43</v>
      </c>
      <c r="D2027" t="s">
        <v>17</v>
      </c>
      <c r="E2027" t="s">
        <v>27</v>
      </c>
      <c r="F2027" t="s">
        <v>36</v>
      </c>
      <c r="G2027">
        <v>7.6</v>
      </c>
      <c r="H2027">
        <v>6.5</v>
      </c>
      <c r="I2027" t="str" cm="1">
        <f t="array" ref="I2027">_xlfn.IFS(G2027&lt;3, "0–2 Years", G2027&lt;6, "3–5 Years", G2027&lt;9, "6–8 Years", G2027&lt;12, "9-11 Years", G2027&gt;=12, "12-14 Years")</f>
        <v>6–8 Years</v>
      </c>
      <c r="J2027">
        <v>3</v>
      </c>
      <c r="K2027" t="s">
        <v>20</v>
      </c>
      <c r="L2027">
        <v>95700</v>
      </c>
      <c r="M2027">
        <v>5700</v>
      </c>
      <c r="N2027">
        <v>101400</v>
      </c>
      <c r="O2027" t="s">
        <v>30</v>
      </c>
      <c r="P2027" s="3">
        <v>43237</v>
      </c>
      <c r="Q2027" t="s">
        <v>36</v>
      </c>
    </row>
    <row r="2028" spans="1:17" x14ac:dyDescent="0.35">
      <c r="A2028" t="s">
        <v>2080</v>
      </c>
      <c r="B2028" t="s">
        <v>23</v>
      </c>
      <c r="C2028">
        <v>31</v>
      </c>
      <c r="D2028" t="s">
        <v>17</v>
      </c>
      <c r="E2028" t="s">
        <v>32</v>
      </c>
      <c r="F2028" t="s">
        <v>28</v>
      </c>
      <c r="G2028">
        <v>11.6</v>
      </c>
      <c r="H2028">
        <v>5.2</v>
      </c>
      <c r="I2028" t="str" cm="1">
        <f t="array" ref="I2028">_xlfn.IFS(G2028&lt;3, "0–2 Years", G2028&lt;6, "3–5 Years", G2028&lt;9, "6–8 Years", G2028&lt;12, "9-11 Years", G2028&gt;=12, "12-14 Years")</f>
        <v>9-11 Years</v>
      </c>
      <c r="J2028">
        <v>4</v>
      </c>
      <c r="K2028" t="s">
        <v>20</v>
      </c>
      <c r="L2028">
        <v>76800</v>
      </c>
      <c r="M2028">
        <v>5100</v>
      </c>
      <c r="N2028">
        <v>81900</v>
      </c>
      <c r="O2028" t="s">
        <v>21</v>
      </c>
      <c r="P2028" s="3">
        <v>41796</v>
      </c>
      <c r="Q2028" t="s">
        <v>28</v>
      </c>
    </row>
    <row r="2029" spans="1:17" x14ac:dyDescent="0.35">
      <c r="A2029" t="s">
        <v>2081</v>
      </c>
      <c r="B2029" t="s">
        <v>16</v>
      </c>
      <c r="C2029">
        <v>28</v>
      </c>
      <c r="D2029" t="s">
        <v>34</v>
      </c>
      <c r="E2029" t="s">
        <v>59</v>
      </c>
      <c r="F2029" t="s">
        <v>62</v>
      </c>
      <c r="G2029">
        <v>8.3000000000000007</v>
      </c>
      <c r="H2029">
        <v>4.8</v>
      </c>
      <c r="I2029" t="str" cm="1">
        <f t="array" ref="I2029">_xlfn.IFS(G2029&lt;3, "0–2 Years", G2029&lt;6, "3–5 Years", G2029&lt;9, "6–8 Years", G2029&lt;12, "9-11 Years", G2029&gt;=12, "12-14 Years")</f>
        <v>6–8 Years</v>
      </c>
      <c r="J2029">
        <v>4</v>
      </c>
      <c r="K2029" t="s">
        <v>20</v>
      </c>
      <c r="L2029">
        <v>121500</v>
      </c>
      <c r="M2029">
        <v>14500</v>
      </c>
      <c r="N2029">
        <v>136000</v>
      </c>
      <c r="O2029" t="s">
        <v>57</v>
      </c>
      <c r="P2029" s="3">
        <v>42992</v>
      </c>
      <c r="Q2029" t="s">
        <v>62</v>
      </c>
    </row>
    <row r="2030" spans="1:17" x14ac:dyDescent="0.35">
      <c r="A2030" t="s">
        <v>2082</v>
      </c>
      <c r="B2030" t="s">
        <v>16</v>
      </c>
      <c r="C2030">
        <v>46</v>
      </c>
      <c r="D2030" t="s">
        <v>55</v>
      </c>
      <c r="E2030" t="s">
        <v>92</v>
      </c>
      <c r="F2030" t="s">
        <v>36</v>
      </c>
      <c r="G2030">
        <v>5.0999999999999996</v>
      </c>
      <c r="H2030">
        <v>1.8</v>
      </c>
      <c r="I2030" t="str" cm="1">
        <f t="array" ref="I2030">_xlfn.IFS(G2030&lt;3, "0–2 Years", G2030&lt;6, "3–5 Years", G2030&lt;9, "6–8 Years", G2030&lt;12, "9-11 Years", G2030&gt;=12, "12-14 Years")</f>
        <v>3–5 Years</v>
      </c>
      <c r="J2030">
        <v>2</v>
      </c>
      <c r="K2030" t="s">
        <v>20</v>
      </c>
      <c r="L2030">
        <v>104100</v>
      </c>
      <c r="M2030">
        <v>20200</v>
      </c>
      <c r="N2030">
        <v>124300</v>
      </c>
      <c r="O2030" t="s">
        <v>57</v>
      </c>
      <c r="P2030" s="3">
        <v>44151</v>
      </c>
      <c r="Q2030" t="s">
        <v>36</v>
      </c>
    </row>
    <row r="2031" spans="1:17" x14ac:dyDescent="0.35">
      <c r="A2031" t="s">
        <v>2083</v>
      </c>
      <c r="B2031" t="s">
        <v>23</v>
      </c>
      <c r="C2031">
        <v>30</v>
      </c>
      <c r="D2031" t="s">
        <v>44</v>
      </c>
      <c r="E2031" t="s">
        <v>81</v>
      </c>
      <c r="F2031" t="s">
        <v>36</v>
      </c>
      <c r="G2031">
        <v>6.1</v>
      </c>
      <c r="H2031">
        <v>3.8</v>
      </c>
      <c r="I2031" t="str" cm="1">
        <f t="array" ref="I2031">_xlfn.IFS(G2031&lt;3, "0–2 Years", G2031&lt;6, "3–5 Years", G2031&lt;9, "6–8 Years", G2031&lt;12, "9-11 Years", G2031&gt;=12, "12-14 Years")</f>
        <v>6–8 Years</v>
      </c>
      <c r="J2031">
        <v>1</v>
      </c>
      <c r="K2031" t="s">
        <v>24</v>
      </c>
      <c r="L2031">
        <v>62400</v>
      </c>
      <c r="M2031">
        <v>8200</v>
      </c>
      <c r="N2031">
        <v>70600</v>
      </c>
      <c r="O2031" t="s">
        <v>25</v>
      </c>
      <c r="P2031" s="3">
        <v>43785</v>
      </c>
      <c r="Q2031" t="s">
        <v>36</v>
      </c>
    </row>
    <row r="2032" spans="1:17" x14ac:dyDescent="0.35">
      <c r="A2032" t="s">
        <v>2084</v>
      </c>
      <c r="B2032" t="s">
        <v>23</v>
      </c>
      <c r="C2032">
        <v>37</v>
      </c>
      <c r="D2032" t="s">
        <v>55</v>
      </c>
      <c r="E2032" t="s">
        <v>92</v>
      </c>
      <c r="F2032" t="s">
        <v>36</v>
      </c>
      <c r="G2032">
        <v>5.6</v>
      </c>
      <c r="H2032">
        <v>1.2</v>
      </c>
      <c r="I2032" t="str" cm="1">
        <f t="array" ref="I2032">_xlfn.IFS(G2032&lt;3, "0–2 Years", G2032&lt;6, "3–5 Years", G2032&lt;9, "6–8 Years", G2032&lt;12, "9-11 Years", G2032&gt;=12, "12-14 Years")</f>
        <v>3–5 Years</v>
      </c>
      <c r="J2032">
        <v>4</v>
      </c>
      <c r="K2032" t="s">
        <v>24</v>
      </c>
      <c r="L2032">
        <v>65900</v>
      </c>
      <c r="M2032">
        <v>13600</v>
      </c>
      <c r="N2032">
        <v>79500</v>
      </c>
      <c r="O2032" t="s">
        <v>21</v>
      </c>
      <c r="P2032" s="3">
        <v>43992</v>
      </c>
      <c r="Q2032" t="s">
        <v>36</v>
      </c>
    </row>
    <row r="2033" spans="1:17" x14ac:dyDescent="0.35">
      <c r="A2033" t="s">
        <v>2085</v>
      </c>
      <c r="B2033" t="s">
        <v>16</v>
      </c>
      <c r="C2033">
        <v>41</v>
      </c>
      <c r="D2033" t="s">
        <v>17</v>
      </c>
      <c r="E2033" t="s">
        <v>27</v>
      </c>
      <c r="F2033" t="s">
        <v>36</v>
      </c>
      <c r="G2033">
        <v>10.8</v>
      </c>
      <c r="H2033">
        <v>8.8000000000000007</v>
      </c>
      <c r="I2033" t="str" cm="1">
        <f t="array" ref="I2033">_xlfn.IFS(G2033&lt;3, "0–2 Years", G2033&lt;6, "3–5 Years", G2033&lt;9, "6–8 Years", G2033&lt;12, "9-11 Years", G2033&gt;=12, "12-14 Years")</f>
        <v>9-11 Years</v>
      </c>
      <c r="J2033">
        <v>4</v>
      </c>
      <c r="K2033" t="s">
        <v>69</v>
      </c>
      <c r="L2033">
        <v>68800</v>
      </c>
      <c r="M2033">
        <v>5800</v>
      </c>
      <c r="N2033">
        <v>74600</v>
      </c>
      <c r="O2033" t="s">
        <v>21</v>
      </c>
      <c r="P2033" s="3">
        <v>42083</v>
      </c>
      <c r="Q2033" t="s">
        <v>36</v>
      </c>
    </row>
    <row r="2034" spans="1:17" x14ac:dyDescent="0.35">
      <c r="A2034" t="s">
        <v>2086</v>
      </c>
      <c r="B2034" t="s">
        <v>16</v>
      </c>
      <c r="C2034" s="7">
        <v>31</v>
      </c>
      <c r="D2034" t="s">
        <v>17</v>
      </c>
      <c r="E2034" t="s">
        <v>18</v>
      </c>
      <c r="F2034" t="s">
        <v>28</v>
      </c>
      <c r="G2034" s="9">
        <v>12.6</v>
      </c>
      <c r="H2034" s="7">
        <v>9.3000000000000007</v>
      </c>
      <c r="I2034" t="str" cm="1">
        <f t="array" ref="I2034">_xlfn.IFS(G2034&lt;3, "0–2 Years", G2034&lt;6, "3–5 Years", G2034&lt;9, "6–8 Years", G2034&lt;12, "9-11 Years", G2034&gt;=12, "12-14 Years")</f>
        <v>12-14 Years</v>
      </c>
      <c r="J2034" s="7">
        <v>4</v>
      </c>
      <c r="K2034" t="s">
        <v>20</v>
      </c>
      <c r="L2034" s="7">
        <v>99500</v>
      </c>
      <c r="M2034" s="7">
        <v>8800</v>
      </c>
      <c r="N2034" s="7">
        <v>108300</v>
      </c>
      <c r="O2034" t="s">
        <v>30</v>
      </c>
      <c r="P2034" s="3">
        <v>41437</v>
      </c>
      <c r="Q2034" t="s">
        <v>28</v>
      </c>
    </row>
    <row r="2035" spans="1:17" x14ac:dyDescent="0.35">
      <c r="A2035" t="s">
        <v>2087</v>
      </c>
      <c r="B2035" t="s">
        <v>23</v>
      </c>
      <c r="C2035">
        <v>21</v>
      </c>
      <c r="D2035" t="s">
        <v>17</v>
      </c>
      <c r="E2035" t="s">
        <v>18</v>
      </c>
      <c r="F2035" t="s">
        <v>28</v>
      </c>
      <c r="G2035">
        <v>9.6</v>
      </c>
      <c r="H2035">
        <v>6.6</v>
      </c>
      <c r="I2035" t="str" cm="1">
        <f t="array" ref="I2035">_xlfn.IFS(G2035&lt;3, "0–2 Years", G2035&lt;6, "3–5 Years", G2035&lt;9, "6–8 Years", G2035&lt;12, "9-11 Years", G2035&gt;=12, "12-14 Years")</f>
        <v>9-11 Years</v>
      </c>
      <c r="J2035">
        <v>1</v>
      </c>
      <c r="K2035" t="s">
        <v>20</v>
      </c>
      <c r="L2035">
        <v>101100</v>
      </c>
      <c r="M2035">
        <v>4700</v>
      </c>
      <c r="N2035">
        <v>105800</v>
      </c>
      <c r="O2035" t="s">
        <v>57</v>
      </c>
      <c r="P2035" s="3">
        <v>42517</v>
      </c>
      <c r="Q2035" t="s">
        <v>28</v>
      </c>
    </row>
    <row r="2036" spans="1:17" x14ac:dyDescent="0.35">
      <c r="A2036" t="s">
        <v>2088</v>
      </c>
      <c r="B2036" t="s">
        <v>23</v>
      </c>
      <c r="C2036">
        <v>43</v>
      </c>
      <c r="D2036" t="s">
        <v>55</v>
      </c>
      <c r="E2036" t="s">
        <v>92</v>
      </c>
      <c r="F2036" t="s">
        <v>36</v>
      </c>
      <c r="G2036">
        <v>9.6</v>
      </c>
      <c r="H2036">
        <v>9.1</v>
      </c>
      <c r="I2036" t="str" cm="1">
        <f t="array" ref="I2036">_xlfn.IFS(G2036&lt;3, "0–2 Years", G2036&lt;6, "3–5 Years", G2036&lt;9, "6–8 Years", G2036&lt;12, "9-11 Years", G2036&gt;=12, "12-14 Years")</f>
        <v>9-11 Years</v>
      </c>
      <c r="J2036">
        <v>5</v>
      </c>
      <c r="K2036" t="s">
        <v>20</v>
      </c>
      <c r="L2036">
        <v>138400</v>
      </c>
      <c r="M2036">
        <v>15100</v>
      </c>
      <c r="N2036">
        <v>153500</v>
      </c>
      <c r="O2036" t="s">
        <v>57</v>
      </c>
      <c r="P2036" s="3">
        <v>42505</v>
      </c>
      <c r="Q2036" t="s">
        <v>36</v>
      </c>
    </row>
    <row r="2037" spans="1:17" x14ac:dyDescent="0.35">
      <c r="A2037" t="s">
        <v>2089</v>
      </c>
      <c r="B2037" t="s">
        <v>23</v>
      </c>
      <c r="C2037">
        <v>21</v>
      </c>
      <c r="D2037" t="s">
        <v>34</v>
      </c>
      <c r="E2037" t="s">
        <v>47</v>
      </c>
      <c r="F2037" t="s">
        <v>36</v>
      </c>
      <c r="G2037">
        <v>11.8</v>
      </c>
      <c r="H2037">
        <v>7.8</v>
      </c>
      <c r="I2037" t="str" cm="1">
        <f t="array" ref="I2037">_xlfn.IFS(G2037&lt;3, "0–2 Years", G2037&lt;6, "3–5 Years", G2037&lt;9, "6–8 Years", G2037&lt;12, "9-11 Years", G2037&gt;=12, "12-14 Years")</f>
        <v>9-11 Years</v>
      </c>
      <c r="J2037">
        <v>4</v>
      </c>
      <c r="K2037" t="s">
        <v>20</v>
      </c>
      <c r="L2037">
        <v>85500</v>
      </c>
      <c r="M2037">
        <v>8500</v>
      </c>
      <c r="N2037">
        <v>94000</v>
      </c>
      <c r="O2037" t="s">
        <v>30</v>
      </c>
      <c r="P2037" s="3">
        <v>41699</v>
      </c>
      <c r="Q2037" t="s">
        <v>36</v>
      </c>
    </row>
    <row r="2038" spans="1:17" x14ac:dyDescent="0.35">
      <c r="A2038" t="s">
        <v>2090</v>
      </c>
      <c r="B2038" t="s">
        <v>23</v>
      </c>
      <c r="C2038" s="7">
        <v>44</v>
      </c>
      <c r="D2038" t="s">
        <v>44</v>
      </c>
      <c r="E2038" t="s">
        <v>76</v>
      </c>
      <c r="F2038" t="s">
        <v>28</v>
      </c>
      <c r="G2038" s="9">
        <v>12.7</v>
      </c>
      <c r="H2038" s="7">
        <v>7.7</v>
      </c>
      <c r="I2038" t="str" cm="1">
        <f t="array" ref="I2038">_xlfn.IFS(G2038&lt;3, "0–2 Years", G2038&lt;6, "3–5 Years", G2038&lt;9, "6–8 Years", G2038&lt;12, "9-11 Years", G2038&gt;=12, "12-14 Years")</f>
        <v>12-14 Years</v>
      </c>
      <c r="J2038" s="7">
        <v>4</v>
      </c>
      <c r="K2038" t="s">
        <v>24</v>
      </c>
      <c r="L2038" s="7">
        <v>75100</v>
      </c>
      <c r="M2038" s="7">
        <v>3900</v>
      </c>
      <c r="N2038" s="7">
        <v>79000</v>
      </c>
      <c r="O2038" t="s">
        <v>21</v>
      </c>
      <c r="P2038" s="3">
        <v>41396</v>
      </c>
      <c r="Q2038" t="s">
        <v>28</v>
      </c>
    </row>
    <row r="2039" spans="1:17" x14ac:dyDescent="0.35">
      <c r="A2039" t="s">
        <v>2091</v>
      </c>
      <c r="B2039" t="s">
        <v>23</v>
      </c>
      <c r="C2039">
        <v>45</v>
      </c>
      <c r="D2039" t="s">
        <v>38</v>
      </c>
      <c r="E2039" t="s">
        <v>61</v>
      </c>
      <c r="F2039" t="s">
        <v>28</v>
      </c>
      <c r="G2039">
        <v>5</v>
      </c>
      <c r="H2039">
        <v>4</v>
      </c>
      <c r="I2039" t="str" cm="1">
        <f t="array" ref="I2039">_xlfn.IFS(G2039&lt;3, "0–2 Years", G2039&lt;6, "3–5 Years", G2039&lt;9, "6–8 Years", G2039&lt;12, "9-11 Years", G2039&gt;=12, "12-14 Years")</f>
        <v>3–5 Years</v>
      </c>
      <c r="J2039">
        <v>3</v>
      </c>
      <c r="K2039" t="s">
        <v>24</v>
      </c>
      <c r="L2039">
        <v>70700</v>
      </c>
      <c r="M2039">
        <v>3500</v>
      </c>
      <c r="N2039">
        <v>74200</v>
      </c>
      <c r="O2039" t="s">
        <v>21</v>
      </c>
      <c r="P2039" s="3">
        <v>44200</v>
      </c>
      <c r="Q2039" t="s">
        <v>28</v>
      </c>
    </row>
    <row r="2040" spans="1:17" x14ac:dyDescent="0.35">
      <c r="A2040" t="s">
        <v>2092</v>
      </c>
      <c r="B2040" t="s">
        <v>23</v>
      </c>
      <c r="C2040">
        <v>31</v>
      </c>
      <c r="D2040" t="s">
        <v>55</v>
      </c>
      <c r="E2040" t="s">
        <v>56</v>
      </c>
      <c r="F2040" t="s">
        <v>28</v>
      </c>
      <c r="G2040">
        <v>10.3</v>
      </c>
      <c r="H2040">
        <v>7.8</v>
      </c>
      <c r="I2040" t="str" cm="1">
        <f t="array" ref="I2040">_xlfn.IFS(G2040&lt;3, "0–2 Years", G2040&lt;6, "3–5 Years", G2040&lt;9, "6–8 Years", G2040&lt;12, "9-11 Years", G2040&gt;=12, "12-14 Years")</f>
        <v>9-11 Years</v>
      </c>
      <c r="J2040">
        <v>4</v>
      </c>
      <c r="K2040" t="s">
        <v>69</v>
      </c>
      <c r="L2040">
        <v>95800</v>
      </c>
      <c r="M2040">
        <v>10000</v>
      </c>
      <c r="N2040">
        <v>105800</v>
      </c>
      <c r="O2040" t="s">
        <v>30</v>
      </c>
      <c r="P2040" s="3">
        <v>42279</v>
      </c>
      <c r="Q2040" t="s">
        <v>28</v>
      </c>
    </row>
    <row r="2041" spans="1:17" x14ac:dyDescent="0.35">
      <c r="A2041" t="s">
        <v>2093</v>
      </c>
      <c r="B2041" t="s">
        <v>23</v>
      </c>
      <c r="C2041">
        <v>30</v>
      </c>
      <c r="D2041" t="s">
        <v>55</v>
      </c>
      <c r="E2041" t="s">
        <v>79</v>
      </c>
      <c r="F2041" t="s">
        <v>19</v>
      </c>
      <c r="G2041">
        <v>8.3000000000000007</v>
      </c>
      <c r="H2041">
        <v>4.8</v>
      </c>
      <c r="I2041" t="str" cm="1">
        <f t="array" ref="I2041">_xlfn.IFS(G2041&lt;3, "0–2 Years", G2041&lt;6, "3–5 Years", G2041&lt;9, "6–8 Years", G2041&lt;12, "9-11 Years", G2041&gt;=12, "12-14 Years")</f>
        <v>6–8 Years</v>
      </c>
      <c r="J2041">
        <v>1</v>
      </c>
      <c r="K2041" t="s">
        <v>20</v>
      </c>
      <c r="L2041">
        <v>61300</v>
      </c>
      <c r="M2041">
        <v>6300</v>
      </c>
      <c r="N2041">
        <v>67600</v>
      </c>
      <c r="O2041" t="s">
        <v>25</v>
      </c>
      <c r="P2041" s="3">
        <v>42978</v>
      </c>
      <c r="Q2041" t="s">
        <v>19</v>
      </c>
    </row>
    <row r="2042" spans="1:17" x14ac:dyDescent="0.35">
      <c r="A2042" t="s">
        <v>2094</v>
      </c>
      <c r="B2042" t="s">
        <v>16</v>
      </c>
      <c r="C2042" s="7">
        <v>38</v>
      </c>
      <c r="D2042" t="s">
        <v>17</v>
      </c>
      <c r="E2042" t="s">
        <v>32</v>
      </c>
      <c r="F2042" t="s">
        <v>19</v>
      </c>
      <c r="G2042" s="9">
        <v>13.4</v>
      </c>
      <c r="H2042" s="7">
        <v>8.4</v>
      </c>
      <c r="I2042" t="str" cm="1">
        <f t="array" ref="I2042">_xlfn.IFS(G2042&lt;3, "0–2 Years", G2042&lt;6, "3–5 Years", G2042&lt;9, "6–8 Years", G2042&lt;12, "9-11 Years", G2042&gt;=12, "12-14 Years")</f>
        <v>12-14 Years</v>
      </c>
      <c r="J2042" s="7">
        <v>3</v>
      </c>
      <c r="K2042" t="s">
        <v>69</v>
      </c>
      <c r="L2042" s="7">
        <v>66100</v>
      </c>
      <c r="M2042" s="7">
        <v>4100</v>
      </c>
      <c r="N2042" s="7">
        <v>70200</v>
      </c>
      <c r="O2042" t="s">
        <v>21</v>
      </c>
      <c r="P2042" s="3">
        <v>41118</v>
      </c>
      <c r="Q2042" t="s">
        <v>19</v>
      </c>
    </row>
    <row r="2043" spans="1:17" x14ac:dyDescent="0.35">
      <c r="A2043" t="s">
        <v>2095</v>
      </c>
      <c r="B2043" t="s">
        <v>16</v>
      </c>
      <c r="C2043">
        <v>30</v>
      </c>
      <c r="D2043" t="s">
        <v>17</v>
      </c>
      <c r="E2043" t="s">
        <v>18</v>
      </c>
      <c r="F2043" t="s">
        <v>36</v>
      </c>
      <c r="G2043">
        <v>11.2</v>
      </c>
      <c r="H2043">
        <v>6.1</v>
      </c>
      <c r="I2043" t="str" cm="1">
        <f t="array" ref="I2043">_xlfn.IFS(G2043&lt;3, "0–2 Years", G2043&lt;6, "3–5 Years", G2043&lt;9, "6–8 Years", G2043&lt;12, "9-11 Years", G2043&gt;=12, "12-14 Years")</f>
        <v>9-11 Years</v>
      </c>
      <c r="J2043">
        <v>3</v>
      </c>
      <c r="K2043" t="s">
        <v>20</v>
      </c>
      <c r="L2043">
        <v>102600</v>
      </c>
      <c r="M2043">
        <v>10500</v>
      </c>
      <c r="N2043">
        <v>113100</v>
      </c>
      <c r="O2043" t="s">
        <v>57</v>
      </c>
      <c r="P2043" s="3">
        <v>41948</v>
      </c>
      <c r="Q2043" t="s">
        <v>36</v>
      </c>
    </row>
    <row r="2044" spans="1:17" x14ac:dyDescent="0.35">
      <c r="A2044" t="s">
        <v>2096</v>
      </c>
      <c r="B2044" t="s">
        <v>23</v>
      </c>
      <c r="C2044" s="7">
        <v>29</v>
      </c>
      <c r="D2044" t="s">
        <v>55</v>
      </c>
      <c r="E2044" t="s">
        <v>79</v>
      </c>
      <c r="F2044" t="s">
        <v>36</v>
      </c>
      <c r="G2044" s="9">
        <v>12.2</v>
      </c>
      <c r="H2044" s="7">
        <v>9.1</v>
      </c>
      <c r="I2044" t="str" cm="1">
        <f t="array" ref="I2044">_xlfn.IFS(G2044&lt;3, "0–2 Years", G2044&lt;6, "3–5 Years", G2044&lt;9, "6–8 Years", G2044&lt;12, "9-11 Years", G2044&gt;=12, "12-14 Years")</f>
        <v>12-14 Years</v>
      </c>
      <c r="J2044" s="7">
        <v>3</v>
      </c>
      <c r="K2044" t="s">
        <v>24</v>
      </c>
      <c r="L2044" s="7">
        <v>42100</v>
      </c>
      <c r="M2044" s="7">
        <v>7300</v>
      </c>
      <c r="N2044" s="7">
        <v>49400</v>
      </c>
      <c r="O2044" t="s">
        <v>65</v>
      </c>
      <c r="P2044" s="3">
        <v>41561</v>
      </c>
      <c r="Q2044" t="s">
        <v>36</v>
      </c>
    </row>
    <row r="2045" spans="1:17" x14ac:dyDescent="0.35">
      <c r="A2045" t="s">
        <v>2097</v>
      </c>
      <c r="B2045" t="s">
        <v>23</v>
      </c>
      <c r="C2045">
        <v>40</v>
      </c>
      <c r="D2045" t="s">
        <v>38</v>
      </c>
      <c r="E2045" t="s">
        <v>61</v>
      </c>
      <c r="F2045" t="s">
        <v>28</v>
      </c>
      <c r="G2045">
        <v>7.4</v>
      </c>
      <c r="H2045">
        <v>6</v>
      </c>
      <c r="I2045" t="str" cm="1">
        <f t="array" ref="I2045">_xlfn.IFS(G2045&lt;3, "0–2 Years", G2045&lt;6, "3–5 Years", G2045&lt;9, "6–8 Years", G2045&lt;12, "9-11 Years", G2045&gt;=12, "12-14 Years")</f>
        <v>6–8 Years</v>
      </c>
      <c r="J2045">
        <v>2</v>
      </c>
      <c r="K2045" t="s">
        <v>20</v>
      </c>
      <c r="L2045">
        <v>101700</v>
      </c>
      <c r="M2045">
        <v>6200</v>
      </c>
      <c r="N2045">
        <v>107900</v>
      </c>
      <c r="O2045" t="s">
        <v>57</v>
      </c>
      <c r="P2045" s="3">
        <v>43308</v>
      </c>
      <c r="Q2045" t="s">
        <v>28</v>
      </c>
    </row>
    <row r="2046" spans="1:17" x14ac:dyDescent="0.35">
      <c r="A2046" t="s">
        <v>2098</v>
      </c>
      <c r="B2046" t="s">
        <v>23</v>
      </c>
      <c r="C2046">
        <v>47</v>
      </c>
      <c r="D2046" t="s">
        <v>17</v>
      </c>
      <c r="E2046" t="s">
        <v>32</v>
      </c>
      <c r="F2046" t="s">
        <v>28</v>
      </c>
      <c r="G2046">
        <v>9.1999999999999993</v>
      </c>
      <c r="H2046">
        <v>6.4</v>
      </c>
      <c r="I2046" t="str" cm="1">
        <f t="array" ref="I2046">_xlfn.IFS(G2046&lt;3, "0–2 Years", G2046&lt;6, "3–5 Years", G2046&lt;9, "6–8 Years", G2046&lt;12, "9-11 Years", G2046&gt;=12, "12-14 Years")</f>
        <v>9-11 Years</v>
      </c>
      <c r="J2046">
        <v>3</v>
      </c>
      <c r="K2046" t="s">
        <v>20</v>
      </c>
      <c r="L2046">
        <v>74000</v>
      </c>
      <c r="M2046">
        <v>6200</v>
      </c>
      <c r="N2046">
        <v>80200</v>
      </c>
      <c r="O2046" t="s">
        <v>21</v>
      </c>
      <c r="P2046" s="3">
        <v>42646</v>
      </c>
      <c r="Q2046" t="s">
        <v>28</v>
      </c>
    </row>
    <row r="2047" spans="1:17" x14ac:dyDescent="0.35">
      <c r="A2047" t="s">
        <v>2099</v>
      </c>
      <c r="B2047" t="s">
        <v>23</v>
      </c>
      <c r="C2047" s="7">
        <v>39</v>
      </c>
      <c r="D2047" t="s">
        <v>41</v>
      </c>
      <c r="E2047" t="s">
        <v>67</v>
      </c>
      <c r="F2047" t="s">
        <v>36</v>
      </c>
      <c r="G2047" s="9">
        <v>13.1</v>
      </c>
      <c r="H2047" s="7">
        <v>10.4</v>
      </c>
      <c r="I2047" t="str" cm="1">
        <f t="array" ref="I2047">_xlfn.IFS(G2047&lt;3, "0–2 Years", G2047&lt;6, "3–5 Years", G2047&lt;9, "6–8 Years", G2047&lt;12, "9-11 Years", G2047&gt;=12, "12-14 Years")</f>
        <v>12-14 Years</v>
      </c>
      <c r="J2047" s="7">
        <v>4</v>
      </c>
      <c r="K2047" t="s">
        <v>20</v>
      </c>
      <c r="L2047" s="7">
        <v>84300</v>
      </c>
      <c r="M2047" s="7">
        <v>7500</v>
      </c>
      <c r="N2047" s="7">
        <v>91800</v>
      </c>
      <c r="O2047" t="s">
        <v>30</v>
      </c>
      <c r="P2047" s="3">
        <v>41245</v>
      </c>
      <c r="Q2047" t="s">
        <v>36</v>
      </c>
    </row>
    <row r="2048" spans="1:17" x14ac:dyDescent="0.35">
      <c r="A2048" t="s">
        <v>2100</v>
      </c>
      <c r="B2048" t="s">
        <v>16</v>
      </c>
      <c r="C2048">
        <v>32</v>
      </c>
      <c r="D2048" t="s">
        <v>41</v>
      </c>
      <c r="E2048" t="s">
        <v>73</v>
      </c>
      <c r="F2048" t="s">
        <v>28</v>
      </c>
      <c r="G2048">
        <v>7.7</v>
      </c>
      <c r="H2048">
        <v>5.6</v>
      </c>
      <c r="I2048" t="str" cm="1">
        <f t="array" ref="I2048">_xlfn.IFS(G2048&lt;3, "0–2 Years", G2048&lt;6, "3–5 Years", G2048&lt;9, "6–8 Years", G2048&lt;12, "9-11 Years", G2048&gt;=12, "12-14 Years")</f>
        <v>6–8 Years</v>
      </c>
      <c r="J2048">
        <v>4</v>
      </c>
      <c r="K2048" t="s">
        <v>20</v>
      </c>
      <c r="L2048">
        <v>97400</v>
      </c>
      <c r="M2048">
        <v>4300</v>
      </c>
      <c r="N2048">
        <v>101700</v>
      </c>
      <c r="O2048" t="s">
        <v>30</v>
      </c>
      <c r="P2048" s="3">
        <v>43206</v>
      </c>
      <c r="Q2048" t="s">
        <v>28</v>
      </c>
    </row>
    <row r="2049" spans="1:17" x14ac:dyDescent="0.35">
      <c r="A2049" t="s">
        <v>2101</v>
      </c>
      <c r="B2049" t="s">
        <v>16</v>
      </c>
      <c r="C2049">
        <v>25</v>
      </c>
      <c r="D2049" t="s">
        <v>44</v>
      </c>
      <c r="E2049" t="s">
        <v>51</v>
      </c>
      <c r="F2049" t="s">
        <v>36</v>
      </c>
      <c r="G2049">
        <v>1.1000000000000001</v>
      </c>
      <c r="H2049">
        <v>0</v>
      </c>
      <c r="I2049" t="str" cm="1">
        <f t="array" ref="I2049">_xlfn.IFS(G2049&lt;3, "0–2 Years", G2049&lt;6, "3–5 Years", G2049&lt;9, "6–8 Years", G2049&lt;12, "9-11 Years", G2049&gt;=12, "12-14 Years")</f>
        <v>0–2 Years</v>
      </c>
      <c r="J2049">
        <v>3</v>
      </c>
      <c r="K2049" t="s">
        <v>20</v>
      </c>
      <c r="L2049">
        <v>72500</v>
      </c>
      <c r="M2049">
        <v>7400</v>
      </c>
      <c r="N2049">
        <v>79900</v>
      </c>
      <c r="O2049" t="s">
        <v>21</v>
      </c>
      <c r="P2049" s="3">
        <v>45627</v>
      </c>
      <c r="Q2049" t="s">
        <v>36</v>
      </c>
    </row>
    <row r="2050" spans="1:17" x14ac:dyDescent="0.35">
      <c r="A2050" t="s">
        <v>2102</v>
      </c>
      <c r="B2050" t="s">
        <v>16</v>
      </c>
      <c r="C2050">
        <v>38</v>
      </c>
      <c r="D2050" t="s">
        <v>38</v>
      </c>
      <c r="E2050" t="s">
        <v>39</v>
      </c>
      <c r="F2050" t="s">
        <v>19</v>
      </c>
      <c r="G2050">
        <v>10.199999999999999</v>
      </c>
      <c r="H2050">
        <v>8.1999999999999993</v>
      </c>
      <c r="I2050" t="str" cm="1">
        <f t="array" ref="I2050">_xlfn.IFS(G2050&lt;3, "0–2 Years", G2050&lt;6, "3–5 Years", G2050&lt;9, "6–8 Years", G2050&lt;12, "9-11 Years", G2050&gt;=12, "12-14 Years")</f>
        <v>9-11 Years</v>
      </c>
      <c r="J2050">
        <v>3</v>
      </c>
      <c r="K2050" t="s">
        <v>20</v>
      </c>
      <c r="L2050">
        <v>83700</v>
      </c>
      <c r="M2050">
        <v>3500</v>
      </c>
      <c r="N2050">
        <v>87200</v>
      </c>
      <c r="O2050" t="s">
        <v>30</v>
      </c>
      <c r="P2050" s="3">
        <v>42282</v>
      </c>
      <c r="Q2050" t="s">
        <v>19</v>
      </c>
    </row>
    <row r="2051" spans="1:17" x14ac:dyDescent="0.35">
      <c r="A2051" t="s">
        <v>2103</v>
      </c>
      <c r="B2051" t="s">
        <v>16</v>
      </c>
      <c r="C2051" s="7">
        <v>35</v>
      </c>
      <c r="D2051" t="s">
        <v>41</v>
      </c>
      <c r="E2051" t="s">
        <v>42</v>
      </c>
      <c r="F2051" t="s">
        <v>36</v>
      </c>
      <c r="G2051" s="9">
        <v>13.6</v>
      </c>
      <c r="H2051" s="7">
        <v>8.3000000000000007</v>
      </c>
      <c r="I2051" t="str" cm="1">
        <f t="array" ref="I2051">_xlfn.IFS(G2051&lt;3, "0–2 Years", G2051&lt;6, "3–5 Years", G2051&lt;9, "6–8 Years", G2051&lt;12, "9-11 Years", G2051&gt;=12, "12-14 Years")</f>
        <v>12-14 Years</v>
      </c>
      <c r="J2051" s="7">
        <v>3</v>
      </c>
      <c r="K2051" t="s">
        <v>20</v>
      </c>
      <c r="L2051" s="7">
        <v>77900</v>
      </c>
      <c r="M2051" s="7">
        <v>2600</v>
      </c>
      <c r="N2051" s="7">
        <v>80500</v>
      </c>
      <c r="O2051" t="s">
        <v>21</v>
      </c>
      <c r="P2051" s="3">
        <v>41038</v>
      </c>
      <c r="Q2051" t="s">
        <v>36</v>
      </c>
    </row>
    <row r="2052" spans="1:17" x14ac:dyDescent="0.35">
      <c r="A2052" t="s">
        <v>2104</v>
      </c>
      <c r="B2052" t="s">
        <v>23</v>
      </c>
      <c r="C2052">
        <v>39</v>
      </c>
      <c r="D2052" t="s">
        <v>41</v>
      </c>
      <c r="E2052" t="s">
        <v>67</v>
      </c>
      <c r="F2052" t="s">
        <v>28</v>
      </c>
      <c r="G2052">
        <v>2.5</v>
      </c>
      <c r="H2052">
        <v>1.7</v>
      </c>
      <c r="I2052" t="str" cm="1">
        <f t="array" ref="I2052">_xlfn.IFS(G2052&lt;3, "0–2 Years", G2052&lt;6, "3–5 Years", G2052&lt;9, "6–8 Years", G2052&lt;12, "9-11 Years", G2052&gt;=12, "12-14 Years")</f>
        <v>0–2 Years</v>
      </c>
      <c r="J2052">
        <v>4</v>
      </c>
      <c r="K2052" t="s">
        <v>20</v>
      </c>
      <c r="L2052">
        <v>72800</v>
      </c>
      <c r="M2052">
        <v>5000</v>
      </c>
      <c r="N2052">
        <v>77800</v>
      </c>
      <c r="O2052" t="s">
        <v>21</v>
      </c>
      <c r="P2052" s="3">
        <v>45123</v>
      </c>
      <c r="Q2052" t="s">
        <v>28</v>
      </c>
    </row>
    <row r="2053" spans="1:17" x14ac:dyDescent="0.35">
      <c r="A2053" t="s">
        <v>2105</v>
      </c>
      <c r="B2053" t="s">
        <v>16</v>
      </c>
      <c r="C2053">
        <v>26</v>
      </c>
      <c r="D2053" t="s">
        <v>41</v>
      </c>
      <c r="E2053" t="s">
        <v>42</v>
      </c>
      <c r="F2053" t="s">
        <v>36</v>
      </c>
      <c r="G2053">
        <v>11.8</v>
      </c>
      <c r="H2053">
        <v>6.5</v>
      </c>
      <c r="I2053" t="str" cm="1">
        <f t="array" ref="I2053">_xlfn.IFS(G2053&lt;3, "0–2 Years", G2053&lt;6, "3–5 Years", G2053&lt;9, "6–8 Years", G2053&lt;12, "9-11 Years", G2053&gt;=12, "12-14 Years")</f>
        <v>9-11 Years</v>
      </c>
      <c r="J2053">
        <v>3</v>
      </c>
      <c r="K2053" t="s">
        <v>20</v>
      </c>
      <c r="L2053">
        <v>84700</v>
      </c>
      <c r="M2053">
        <v>2800</v>
      </c>
      <c r="N2053">
        <v>87500</v>
      </c>
      <c r="O2053" t="s">
        <v>30</v>
      </c>
      <c r="P2053" s="3">
        <v>41727</v>
      </c>
      <c r="Q2053" t="s">
        <v>36</v>
      </c>
    </row>
    <row r="2054" spans="1:17" x14ac:dyDescent="0.35">
      <c r="A2054" t="s">
        <v>2106</v>
      </c>
      <c r="B2054" t="s">
        <v>23</v>
      </c>
      <c r="C2054">
        <v>38</v>
      </c>
      <c r="D2054" t="s">
        <v>17</v>
      </c>
      <c r="E2054" t="s">
        <v>18</v>
      </c>
      <c r="F2054" t="s">
        <v>28</v>
      </c>
      <c r="G2054">
        <v>10.8</v>
      </c>
      <c r="H2054">
        <v>7.8</v>
      </c>
      <c r="I2054" t="str" cm="1">
        <f t="array" ref="I2054">_xlfn.IFS(G2054&lt;3, "0–2 Years", G2054&lt;6, "3–5 Years", G2054&lt;9, "6–8 Years", G2054&lt;12, "9-11 Years", G2054&gt;=12, "12-14 Years")</f>
        <v>9-11 Years</v>
      </c>
      <c r="J2054">
        <v>3</v>
      </c>
      <c r="K2054" t="s">
        <v>20</v>
      </c>
      <c r="L2054">
        <v>103400</v>
      </c>
      <c r="M2054">
        <v>7600</v>
      </c>
      <c r="N2054">
        <v>111000</v>
      </c>
      <c r="O2054" t="s">
        <v>57</v>
      </c>
      <c r="P2054" s="3">
        <v>42093</v>
      </c>
      <c r="Q2054" t="s">
        <v>28</v>
      </c>
    </row>
    <row r="2055" spans="1:17" x14ac:dyDescent="0.35">
      <c r="A2055" t="s">
        <v>2107</v>
      </c>
      <c r="B2055" t="s">
        <v>16</v>
      </c>
      <c r="C2055">
        <v>33</v>
      </c>
      <c r="D2055" t="s">
        <v>38</v>
      </c>
      <c r="E2055" t="s">
        <v>39</v>
      </c>
      <c r="F2055" t="s">
        <v>36</v>
      </c>
      <c r="G2055">
        <v>8.3000000000000007</v>
      </c>
      <c r="H2055">
        <v>7.1</v>
      </c>
      <c r="I2055" t="str" cm="1">
        <f t="array" ref="I2055">_xlfn.IFS(G2055&lt;3, "0–2 Years", G2055&lt;6, "3–5 Years", G2055&lt;9, "6–8 Years", G2055&lt;12, "9-11 Years", G2055&gt;=12, "12-14 Years")</f>
        <v>6–8 Years</v>
      </c>
      <c r="J2055">
        <v>2</v>
      </c>
      <c r="K2055" t="s">
        <v>24</v>
      </c>
      <c r="L2055">
        <v>57100</v>
      </c>
      <c r="M2055">
        <v>3700</v>
      </c>
      <c r="N2055">
        <v>60800</v>
      </c>
      <c r="O2055" t="s">
        <v>25</v>
      </c>
      <c r="P2055" s="3">
        <v>42998</v>
      </c>
      <c r="Q2055" t="s">
        <v>36</v>
      </c>
    </row>
    <row r="2056" spans="1:17" x14ac:dyDescent="0.35">
      <c r="A2056" t="s">
        <v>2108</v>
      </c>
      <c r="B2056" t="s">
        <v>23</v>
      </c>
      <c r="C2056">
        <v>34</v>
      </c>
      <c r="D2056" t="s">
        <v>41</v>
      </c>
      <c r="E2056" t="s">
        <v>73</v>
      </c>
      <c r="F2056" t="s">
        <v>19</v>
      </c>
      <c r="G2056">
        <v>9.8000000000000007</v>
      </c>
      <c r="H2056">
        <v>6.8</v>
      </c>
      <c r="I2056" t="str" cm="1">
        <f t="array" ref="I2056">_xlfn.IFS(G2056&lt;3, "0–2 Years", G2056&lt;6, "3–5 Years", G2056&lt;9, "6–8 Years", G2056&lt;12, "9-11 Years", G2056&gt;=12, "12-14 Years")</f>
        <v>9-11 Years</v>
      </c>
      <c r="J2056">
        <v>3</v>
      </c>
      <c r="K2056" t="s">
        <v>20</v>
      </c>
      <c r="L2056">
        <v>113100</v>
      </c>
      <c r="M2056">
        <v>6600</v>
      </c>
      <c r="N2056">
        <v>119700</v>
      </c>
      <c r="O2056" t="s">
        <v>57</v>
      </c>
      <c r="P2056" s="3">
        <v>42427</v>
      </c>
      <c r="Q2056" t="s">
        <v>19</v>
      </c>
    </row>
    <row r="2057" spans="1:17" x14ac:dyDescent="0.35">
      <c r="A2057" t="s">
        <v>2109</v>
      </c>
      <c r="B2057" t="s">
        <v>23</v>
      </c>
      <c r="C2057" s="7">
        <v>32</v>
      </c>
      <c r="D2057" t="s">
        <v>41</v>
      </c>
      <c r="E2057" t="s">
        <v>67</v>
      </c>
      <c r="F2057" t="s">
        <v>28</v>
      </c>
      <c r="G2057" s="9">
        <v>12.9</v>
      </c>
      <c r="H2057" s="7">
        <v>7.5</v>
      </c>
      <c r="I2057" t="str" cm="1">
        <f t="array" ref="I2057">_xlfn.IFS(G2057&lt;3, "0–2 Years", G2057&lt;6, "3–5 Years", G2057&lt;9, "6–8 Years", G2057&lt;12, "9-11 Years", G2057&gt;=12, "12-14 Years")</f>
        <v>12-14 Years</v>
      </c>
      <c r="J2057" s="7">
        <v>4</v>
      </c>
      <c r="K2057" t="s">
        <v>69</v>
      </c>
      <c r="L2057" s="7">
        <v>65200</v>
      </c>
      <c r="M2057" s="7">
        <v>3800</v>
      </c>
      <c r="N2057" s="7">
        <v>69000</v>
      </c>
      <c r="O2057" t="s">
        <v>21</v>
      </c>
      <c r="P2057" s="3">
        <v>41328</v>
      </c>
      <c r="Q2057" t="s">
        <v>28</v>
      </c>
    </row>
    <row r="2058" spans="1:17" x14ac:dyDescent="0.35">
      <c r="A2058" t="s">
        <v>2110</v>
      </c>
      <c r="B2058" t="s">
        <v>16</v>
      </c>
      <c r="C2058">
        <v>45</v>
      </c>
      <c r="D2058" t="s">
        <v>55</v>
      </c>
      <c r="E2058" t="s">
        <v>56</v>
      </c>
      <c r="F2058" t="s">
        <v>28</v>
      </c>
      <c r="G2058">
        <v>9.3000000000000007</v>
      </c>
      <c r="H2058">
        <v>8.6</v>
      </c>
      <c r="I2058" t="str" cm="1">
        <f t="array" ref="I2058">_xlfn.IFS(G2058&lt;3, "0–2 Years", G2058&lt;6, "3–5 Years", G2058&lt;9, "6–8 Years", G2058&lt;12, "9-11 Years", G2058&gt;=12, "12-14 Years")</f>
        <v>9-11 Years</v>
      </c>
      <c r="J2058">
        <v>3</v>
      </c>
      <c r="K2058" t="s">
        <v>20</v>
      </c>
      <c r="L2058">
        <v>101700</v>
      </c>
      <c r="M2058">
        <v>17900</v>
      </c>
      <c r="N2058">
        <v>119600</v>
      </c>
      <c r="O2058" t="s">
        <v>57</v>
      </c>
      <c r="P2058" s="3">
        <v>42630</v>
      </c>
      <c r="Q2058" t="s">
        <v>28</v>
      </c>
    </row>
    <row r="2059" spans="1:17" x14ac:dyDescent="0.35">
      <c r="A2059" t="s">
        <v>2111</v>
      </c>
      <c r="B2059" t="s">
        <v>23</v>
      </c>
      <c r="C2059">
        <v>58</v>
      </c>
      <c r="D2059" t="s">
        <v>44</v>
      </c>
      <c r="E2059" t="s">
        <v>76</v>
      </c>
      <c r="F2059" t="s">
        <v>28</v>
      </c>
      <c r="G2059">
        <v>8.1</v>
      </c>
      <c r="H2059">
        <v>4.8</v>
      </c>
      <c r="I2059" t="str" cm="1">
        <f t="array" ref="I2059">_xlfn.IFS(G2059&lt;3, "0–2 Years", G2059&lt;6, "3–5 Years", G2059&lt;9, "6–8 Years", G2059&lt;12, "9-11 Years", G2059&gt;=12, "12-14 Years")</f>
        <v>6–8 Years</v>
      </c>
      <c r="J2059">
        <v>3</v>
      </c>
      <c r="K2059" t="s">
        <v>20</v>
      </c>
      <c r="L2059">
        <v>113800</v>
      </c>
      <c r="M2059">
        <v>13500</v>
      </c>
      <c r="N2059">
        <v>127300</v>
      </c>
      <c r="O2059" t="s">
        <v>57</v>
      </c>
      <c r="P2059" s="3">
        <v>43081</v>
      </c>
      <c r="Q2059" t="s">
        <v>28</v>
      </c>
    </row>
    <row r="2060" spans="1:17" x14ac:dyDescent="0.35">
      <c r="A2060" t="s">
        <v>2112</v>
      </c>
      <c r="B2060" t="s">
        <v>23</v>
      </c>
      <c r="C2060">
        <v>30</v>
      </c>
      <c r="D2060" t="s">
        <v>17</v>
      </c>
      <c r="E2060" t="s">
        <v>18</v>
      </c>
      <c r="F2060" t="s">
        <v>36</v>
      </c>
      <c r="G2060">
        <v>11.4</v>
      </c>
      <c r="H2060">
        <v>7.3</v>
      </c>
      <c r="I2060" t="str" cm="1">
        <f t="array" ref="I2060">_xlfn.IFS(G2060&lt;3, "0–2 Years", G2060&lt;6, "3–5 Years", G2060&lt;9, "6–8 Years", G2060&lt;12, "9-11 Years", G2060&gt;=12, "12-14 Years")</f>
        <v>9-11 Years</v>
      </c>
      <c r="J2060">
        <v>3</v>
      </c>
      <c r="K2060" t="s">
        <v>20</v>
      </c>
      <c r="L2060">
        <v>101500</v>
      </c>
      <c r="M2060">
        <v>9800</v>
      </c>
      <c r="N2060">
        <v>111300</v>
      </c>
      <c r="O2060" t="s">
        <v>57</v>
      </c>
      <c r="P2060" s="3">
        <v>41852</v>
      </c>
      <c r="Q2060" t="s">
        <v>36</v>
      </c>
    </row>
    <row r="2061" spans="1:17" x14ac:dyDescent="0.35">
      <c r="A2061" t="s">
        <v>2113</v>
      </c>
      <c r="B2061" t="s">
        <v>16</v>
      </c>
      <c r="C2061">
        <v>41</v>
      </c>
      <c r="D2061" t="s">
        <v>34</v>
      </c>
      <c r="E2061" t="s">
        <v>35</v>
      </c>
      <c r="F2061" t="s">
        <v>28</v>
      </c>
      <c r="G2061">
        <v>1.9</v>
      </c>
      <c r="H2061">
        <v>1.9</v>
      </c>
      <c r="I2061" t="str" cm="1">
        <f t="array" ref="I2061">_xlfn.IFS(G2061&lt;3, "0–2 Years", G2061&lt;6, "3–5 Years", G2061&lt;9, "6–8 Years", G2061&lt;12, "9-11 Years", G2061&gt;=12, "12-14 Years")</f>
        <v>0–2 Years</v>
      </c>
      <c r="J2061">
        <v>2</v>
      </c>
      <c r="K2061" t="s">
        <v>24</v>
      </c>
      <c r="L2061">
        <v>44800</v>
      </c>
      <c r="M2061">
        <v>1900</v>
      </c>
      <c r="N2061">
        <v>46700</v>
      </c>
      <c r="O2061" t="s">
        <v>65</v>
      </c>
      <c r="P2061" s="3">
        <v>45330</v>
      </c>
      <c r="Q2061" t="s">
        <v>28</v>
      </c>
    </row>
    <row r="2062" spans="1:17" x14ac:dyDescent="0.35">
      <c r="A2062" t="s">
        <v>2114</v>
      </c>
      <c r="B2062" t="s">
        <v>16</v>
      </c>
      <c r="C2062">
        <v>27</v>
      </c>
      <c r="D2062" t="s">
        <v>17</v>
      </c>
      <c r="E2062" t="s">
        <v>27</v>
      </c>
      <c r="F2062" t="s">
        <v>36</v>
      </c>
      <c r="G2062">
        <v>11.9</v>
      </c>
      <c r="H2062">
        <v>8.3000000000000007</v>
      </c>
      <c r="I2062" t="str" cm="1">
        <f t="array" ref="I2062">_xlfn.IFS(G2062&lt;3, "0–2 Years", G2062&lt;6, "3–5 Years", G2062&lt;9, "6–8 Years", G2062&lt;12, "9-11 Years", G2062&gt;=12, "12-14 Years")</f>
        <v>9-11 Years</v>
      </c>
      <c r="J2062">
        <v>3</v>
      </c>
      <c r="K2062" t="s">
        <v>20</v>
      </c>
      <c r="L2062">
        <v>86100</v>
      </c>
      <c r="M2062">
        <v>8500</v>
      </c>
      <c r="N2062">
        <v>94600</v>
      </c>
      <c r="O2062" t="s">
        <v>30</v>
      </c>
      <c r="P2062" s="3">
        <v>41664</v>
      </c>
      <c r="Q2062" t="s">
        <v>36</v>
      </c>
    </row>
    <row r="2063" spans="1:17" x14ac:dyDescent="0.35">
      <c r="A2063" t="s">
        <v>2115</v>
      </c>
      <c r="B2063" t="s">
        <v>23</v>
      </c>
      <c r="C2063">
        <v>24</v>
      </c>
      <c r="D2063" t="s">
        <v>44</v>
      </c>
      <c r="E2063" t="s">
        <v>51</v>
      </c>
      <c r="F2063" t="s">
        <v>19</v>
      </c>
      <c r="G2063">
        <v>11.9</v>
      </c>
      <c r="H2063">
        <v>7.4</v>
      </c>
      <c r="I2063" t="str" cm="1">
        <f t="array" ref="I2063">_xlfn.IFS(G2063&lt;3, "0–2 Years", G2063&lt;6, "3–5 Years", G2063&lt;9, "6–8 Years", G2063&lt;12, "9-11 Years", G2063&gt;=12, "12-14 Years")</f>
        <v>9-11 Years</v>
      </c>
      <c r="J2063">
        <v>3</v>
      </c>
      <c r="K2063" t="s">
        <v>20</v>
      </c>
      <c r="L2063">
        <v>75200</v>
      </c>
      <c r="M2063">
        <v>10300</v>
      </c>
      <c r="N2063">
        <v>85500</v>
      </c>
      <c r="O2063" t="s">
        <v>21</v>
      </c>
      <c r="P2063" s="3">
        <v>41676</v>
      </c>
      <c r="Q2063" t="s">
        <v>19</v>
      </c>
    </row>
    <row r="2064" spans="1:17" x14ac:dyDescent="0.35">
      <c r="A2064" t="s">
        <v>2116</v>
      </c>
      <c r="B2064" t="s">
        <v>16</v>
      </c>
      <c r="C2064">
        <v>33</v>
      </c>
      <c r="D2064" t="s">
        <v>44</v>
      </c>
      <c r="E2064" t="s">
        <v>76</v>
      </c>
      <c r="F2064" t="s">
        <v>19</v>
      </c>
      <c r="G2064">
        <v>9.3000000000000007</v>
      </c>
      <c r="H2064">
        <v>8.8000000000000007</v>
      </c>
      <c r="I2064" t="str" cm="1">
        <f t="array" ref="I2064">_xlfn.IFS(G2064&lt;3, "0–2 Years", G2064&lt;6, "3–5 Years", G2064&lt;9, "6–8 Years", G2064&lt;12, "9-11 Years", G2064&gt;=12, "12-14 Years")</f>
        <v>9-11 Years</v>
      </c>
      <c r="J2064">
        <v>4</v>
      </c>
      <c r="K2064" t="s">
        <v>20</v>
      </c>
      <c r="L2064">
        <v>105400</v>
      </c>
      <c r="M2064">
        <v>10100</v>
      </c>
      <c r="N2064">
        <v>115500</v>
      </c>
      <c r="O2064" t="s">
        <v>57</v>
      </c>
      <c r="P2064" s="3">
        <v>42629</v>
      </c>
      <c r="Q2064" t="s">
        <v>19</v>
      </c>
    </row>
    <row r="2065" spans="1:17" x14ac:dyDescent="0.35">
      <c r="A2065" t="s">
        <v>2117</v>
      </c>
      <c r="B2065" t="s">
        <v>23</v>
      </c>
      <c r="C2065" s="7">
        <v>49</v>
      </c>
      <c r="D2065" t="s">
        <v>44</v>
      </c>
      <c r="E2065" t="s">
        <v>76</v>
      </c>
      <c r="F2065" t="s">
        <v>28</v>
      </c>
      <c r="G2065" s="9">
        <v>13.4</v>
      </c>
      <c r="H2065" s="7">
        <v>9</v>
      </c>
      <c r="I2065" t="str" cm="1">
        <f t="array" ref="I2065">_xlfn.IFS(G2065&lt;3, "0–2 Years", G2065&lt;6, "3–5 Years", G2065&lt;9, "6–8 Years", G2065&lt;12, "9-11 Years", G2065&gt;=12, "12-14 Years")</f>
        <v>12-14 Years</v>
      </c>
      <c r="J2065" s="7">
        <v>3</v>
      </c>
      <c r="K2065" t="s">
        <v>20</v>
      </c>
      <c r="L2065" s="7">
        <v>117100</v>
      </c>
      <c r="M2065" s="7">
        <v>17000</v>
      </c>
      <c r="N2065" s="7">
        <v>134100</v>
      </c>
      <c r="O2065" t="s">
        <v>57</v>
      </c>
      <c r="P2065" s="3">
        <v>41132</v>
      </c>
      <c r="Q2065" t="s">
        <v>28</v>
      </c>
    </row>
    <row r="2066" spans="1:17" x14ac:dyDescent="0.35">
      <c r="A2066" t="s">
        <v>2118</v>
      </c>
      <c r="B2066" t="s">
        <v>16</v>
      </c>
      <c r="C2066">
        <v>46</v>
      </c>
      <c r="D2066" t="s">
        <v>17</v>
      </c>
      <c r="E2066" t="s">
        <v>18</v>
      </c>
      <c r="F2066" t="s">
        <v>28</v>
      </c>
      <c r="G2066">
        <v>5.7</v>
      </c>
      <c r="H2066">
        <v>4.2</v>
      </c>
      <c r="I2066" t="str" cm="1">
        <f t="array" ref="I2066">_xlfn.IFS(G2066&lt;3, "0–2 Years", G2066&lt;6, "3–5 Years", G2066&lt;9, "6–8 Years", G2066&lt;12, "9-11 Years", G2066&gt;=12, "12-14 Years")</f>
        <v>3–5 Years</v>
      </c>
      <c r="J2066">
        <v>3</v>
      </c>
      <c r="K2066" t="s">
        <v>20</v>
      </c>
      <c r="L2066">
        <v>109200</v>
      </c>
      <c r="M2066">
        <v>9900</v>
      </c>
      <c r="N2066">
        <v>119100</v>
      </c>
      <c r="O2066" t="s">
        <v>57</v>
      </c>
      <c r="P2066" s="3">
        <v>43954</v>
      </c>
      <c r="Q2066" t="s">
        <v>28</v>
      </c>
    </row>
    <row r="2067" spans="1:17" x14ac:dyDescent="0.35">
      <c r="A2067" t="s">
        <v>2119</v>
      </c>
      <c r="B2067" t="s">
        <v>16</v>
      </c>
      <c r="C2067" s="7">
        <v>34</v>
      </c>
      <c r="D2067" t="s">
        <v>41</v>
      </c>
      <c r="E2067" t="s">
        <v>73</v>
      </c>
      <c r="F2067" t="s">
        <v>28</v>
      </c>
      <c r="G2067" s="9">
        <v>12.9</v>
      </c>
      <c r="H2067" s="7">
        <v>8.1</v>
      </c>
      <c r="I2067" t="str" cm="1">
        <f t="array" ref="I2067">_xlfn.IFS(G2067&lt;3, "0–2 Years", G2067&lt;6, "3–5 Years", G2067&lt;9, "6–8 Years", G2067&lt;12, "9-11 Years", G2067&gt;=12, "12-14 Years")</f>
        <v>12-14 Years</v>
      </c>
      <c r="J2067" s="7">
        <v>2</v>
      </c>
      <c r="K2067" t="s">
        <v>24</v>
      </c>
      <c r="L2067" s="7">
        <v>62300</v>
      </c>
      <c r="M2067" s="7">
        <v>2800</v>
      </c>
      <c r="N2067" s="7">
        <v>65100</v>
      </c>
      <c r="O2067" t="s">
        <v>25</v>
      </c>
      <c r="P2067" s="3">
        <v>41301</v>
      </c>
      <c r="Q2067" t="s">
        <v>28</v>
      </c>
    </row>
    <row r="2068" spans="1:17" x14ac:dyDescent="0.35">
      <c r="A2068" t="s">
        <v>2120</v>
      </c>
      <c r="B2068" t="s">
        <v>23</v>
      </c>
      <c r="C2068">
        <v>44</v>
      </c>
      <c r="D2068" t="s">
        <v>17</v>
      </c>
      <c r="E2068" t="s">
        <v>32</v>
      </c>
      <c r="F2068" t="s">
        <v>28</v>
      </c>
      <c r="G2068">
        <v>4.7</v>
      </c>
      <c r="H2068">
        <v>3.2</v>
      </c>
      <c r="I2068" t="str" cm="1">
        <f t="array" ref="I2068">_xlfn.IFS(G2068&lt;3, "0–2 Years", G2068&lt;6, "3–5 Years", G2068&lt;9, "6–8 Years", G2068&lt;12, "9-11 Years", G2068&gt;=12, "12-14 Years")</f>
        <v>3–5 Years</v>
      </c>
      <c r="J2068">
        <v>2</v>
      </c>
      <c r="K2068" t="s">
        <v>20</v>
      </c>
      <c r="L2068">
        <v>69700</v>
      </c>
      <c r="M2068">
        <v>5600</v>
      </c>
      <c r="N2068">
        <v>75300</v>
      </c>
      <c r="O2068" t="s">
        <v>21</v>
      </c>
      <c r="P2068" s="3">
        <v>44306</v>
      </c>
      <c r="Q2068" t="s">
        <v>28</v>
      </c>
    </row>
    <row r="2069" spans="1:17" x14ac:dyDescent="0.35">
      <c r="A2069" t="s">
        <v>2121</v>
      </c>
      <c r="B2069" t="s">
        <v>16</v>
      </c>
      <c r="C2069">
        <v>35</v>
      </c>
      <c r="D2069" t="s">
        <v>55</v>
      </c>
      <c r="E2069" t="s">
        <v>79</v>
      </c>
      <c r="F2069" t="s">
        <v>28</v>
      </c>
      <c r="G2069">
        <v>3</v>
      </c>
      <c r="H2069">
        <v>2.9</v>
      </c>
      <c r="I2069" t="str" cm="1">
        <f t="array" ref="I2069">_xlfn.IFS(G2069&lt;3, "0–2 Years", G2069&lt;6, "3–5 Years", G2069&lt;9, "6–8 Years", G2069&lt;12, "9-11 Years", G2069&gt;=12, "12-14 Years")</f>
        <v>3–5 Years</v>
      </c>
      <c r="J2069">
        <v>4</v>
      </c>
      <c r="K2069" t="s">
        <v>69</v>
      </c>
      <c r="L2069">
        <v>51900</v>
      </c>
      <c r="M2069">
        <v>5200</v>
      </c>
      <c r="N2069">
        <v>57100</v>
      </c>
      <c r="O2069" t="s">
        <v>25</v>
      </c>
      <c r="P2069" s="3">
        <v>44937</v>
      </c>
      <c r="Q2069" t="s">
        <v>28</v>
      </c>
    </row>
    <row r="2070" spans="1:17" x14ac:dyDescent="0.35">
      <c r="A2070" t="s">
        <v>2122</v>
      </c>
      <c r="B2070" t="s">
        <v>23</v>
      </c>
      <c r="C2070">
        <v>29</v>
      </c>
      <c r="D2070" t="s">
        <v>55</v>
      </c>
      <c r="E2070" t="s">
        <v>92</v>
      </c>
      <c r="F2070" t="s">
        <v>36</v>
      </c>
      <c r="G2070">
        <v>7.3</v>
      </c>
      <c r="H2070">
        <v>1.7</v>
      </c>
      <c r="I2070" t="str" cm="1">
        <f t="array" ref="I2070">_xlfn.IFS(G2070&lt;3, "0–2 Years", G2070&lt;6, "3–5 Years", G2070&lt;9, "6–8 Years", G2070&lt;12, "9-11 Years", G2070&gt;=12, "12-14 Years")</f>
        <v>6–8 Years</v>
      </c>
      <c r="J2070">
        <v>3</v>
      </c>
      <c r="K2070" t="s">
        <v>20</v>
      </c>
      <c r="L2070">
        <v>90500</v>
      </c>
      <c r="M2070">
        <v>13000</v>
      </c>
      <c r="N2070">
        <v>103500</v>
      </c>
      <c r="O2070" t="s">
        <v>30</v>
      </c>
      <c r="P2070" s="3">
        <v>43367</v>
      </c>
      <c r="Q2070" t="s">
        <v>36</v>
      </c>
    </row>
    <row r="2071" spans="1:17" x14ac:dyDescent="0.35">
      <c r="A2071" t="s">
        <v>2123</v>
      </c>
      <c r="B2071" t="s">
        <v>23</v>
      </c>
      <c r="C2071" s="7">
        <v>44</v>
      </c>
      <c r="D2071" t="s">
        <v>55</v>
      </c>
      <c r="E2071" t="s">
        <v>92</v>
      </c>
      <c r="F2071" t="s">
        <v>28</v>
      </c>
      <c r="G2071" s="9">
        <v>12.3</v>
      </c>
      <c r="H2071" s="7">
        <v>9.1999999999999993</v>
      </c>
      <c r="I2071" t="str" cm="1">
        <f t="array" ref="I2071">_xlfn.IFS(G2071&lt;3, "0–2 Years", G2071&lt;6, "3–5 Years", G2071&lt;9, "6–8 Years", G2071&lt;12, "9-11 Years", G2071&gt;=12, "12-14 Years")</f>
        <v>12-14 Years</v>
      </c>
      <c r="J2071" s="7">
        <v>2</v>
      </c>
      <c r="K2071" t="s">
        <v>24</v>
      </c>
      <c r="L2071" s="7">
        <v>63800</v>
      </c>
      <c r="M2071" s="7">
        <v>6900</v>
      </c>
      <c r="N2071" s="7">
        <v>70700</v>
      </c>
      <c r="O2071" t="s">
        <v>25</v>
      </c>
      <c r="P2071" s="3">
        <v>41529</v>
      </c>
      <c r="Q2071" t="s">
        <v>28</v>
      </c>
    </row>
    <row r="2072" spans="1:17" x14ac:dyDescent="0.35">
      <c r="A2072" t="s">
        <v>2124</v>
      </c>
      <c r="B2072" t="s">
        <v>23</v>
      </c>
      <c r="C2072">
        <v>39</v>
      </c>
      <c r="D2072" t="s">
        <v>17</v>
      </c>
      <c r="E2072" t="s">
        <v>27</v>
      </c>
      <c r="F2072" t="s">
        <v>36</v>
      </c>
      <c r="G2072">
        <v>7.7</v>
      </c>
      <c r="H2072">
        <v>3.6</v>
      </c>
      <c r="I2072" t="str" cm="1">
        <f t="array" ref="I2072">_xlfn.IFS(G2072&lt;3, "0–2 Years", G2072&lt;6, "3–5 Years", G2072&lt;9, "6–8 Years", G2072&lt;12, "9-11 Years", G2072&gt;=12, "12-14 Years")</f>
        <v>6–8 Years</v>
      </c>
      <c r="J2072">
        <v>3</v>
      </c>
      <c r="K2072" t="s">
        <v>20</v>
      </c>
      <c r="L2072">
        <v>87200</v>
      </c>
      <c r="M2072">
        <v>4800</v>
      </c>
      <c r="N2072">
        <v>92000</v>
      </c>
      <c r="O2072" t="s">
        <v>30</v>
      </c>
      <c r="P2072" s="3">
        <v>43223</v>
      </c>
      <c r="Q2072" t="s">
        <v>36</v>
      </c>
    </row>
    <row r="2073" spans="1:17" x14ac:dyDescent="0.35">
      <c r="A2073" t="s">
        <v>2125</v>
      </c>
      <c r="B2073" t="s">
        <v>16</v>
      </c>
      <c r="C2073">
        <v>53</v>
      </c>
      <c r="D2073" t="s">
        <v>44</v>
      </c>
      <c r="E2073" t="s">
        <v>81</v>
      </c>
      <c r="F2073" t="s">
        <v>36</v>
      </c>
      <c r="G2073">
        <v>11.9</v>
      </c>
      <c r="H2073">
        <v>7</v>
      </c>
      <c r="I2073" t="str" cm="1">
        <f t="array" ref="I2073">_xlfn.IFS(G2073&lt;3, "0–2 Years", G2073&lt;6, "3–5 Years", G2073&lt;9, "6–8 Years", G2073&lt;12, "9-11 Years", G2073&gt;=12, "12-14 Years")</f>
        <v>9-11 Years</v>
      </c>
      <c r="J2073">
        <v>3</v>
      </c>
      <c r="K2073" t="s">
        <v>20</v>
      </c>
      <c r="L2073">
        <v>112000</v>
      </c>
      <c r="M2073">
        <v>15400</v>
      </c>
      <c r="N2073">
        <v>127400</v>
      </c>
      <c r="O2073" t="s">
        <v>57</v>
      </c>
      <c r="P2073" s="3">
        <v>41663</v>
      </c>
      <c r="Q2073" t="s">
        <v>36</v>
      </c>
    </row>
    <row r="2074" spans="1:17" x14ac:dyDescent="0.35">
      <c r="A2074" t="s">
        <v>2126</v>
      </c>
      <c r="B2074" t="s">
        <v>23</v>
      </c>
      <c r="C2074">
        <v>28</v>
      </c>
      <c r="D2074" t="s">
        <v>44</v>
      </c>
      <c r="E2074" t="s">
        <v>51</v>
      </c>
      <c r="F2074" t="s">
        <v>36</v>
      </c>
      <c r="G2074">
        <v>9.1999999999999993</v>
      </c>
      <c r="H2074">
        <v>7.9</v>
      </c>
      <c r="I2074" t="str" cm="1">
        <f t="array" ref="I2074">_xlfn.IFS(G2074&lt;3, "0–2 Years", G2074&lt;6, "3–5 Years", G2074&lt;9, "6–8 Years", G2074&lt;12, "9-11 Years", G2074&gt;=12, "12-14 Years")</f>
        <v>9-11 Years</v>
      </c>
      <c r="J2074">
        <v>2</v>
      </c>
      <c r="K2074" t="s">
        <v>20</v>
      </c>
      <c r="L2074">
        <v>90800</v>
      </c>
      <c r="M2074">
        <v>9800</v>
      </c>
      <c r="N2074">
        <v>100600</v>
      </c>
      <c r="O2074" t="s">
        <v>30</v>
      </c>
      <c r="P2074" s="3">
        <v>42673</v>
      </c>
      <c r="Q2074" t="s">
        <v>36</v>
      </c>
    </row>
    <row r="2075" spans="1:17" x14ac:dyDescent="0.35">
      <c r="A2075" t="s">
        <v>2127</v>
      </c>
      <c r="B2075" t="s">
        <v>23</v>
      </c>
      <c r="C2075" s="7">
        <v>38</v>
      </c>
      <c r="D2075" t="s">
        <v>44</v>
      </c>
      <c r="E2075" t="s">
        <v>76</v>
      </c>
      <c r="F2075" t="s">
        <v>28</v>
      </c>
      <c r="G2075" s="9">
        <v>12.1</v>
      </c>
      <c r="H2075" s="7">
        <v>8.1</v>
      </c>
      <c r="I2075" t="str" cm="1">
        <f t="array" ref="I2075">_xlfn.IFS(G2075&lt;3, "0–2 Years", G2075&lt;6, "3–5 Years", G2075&lt;9, "6–8 Years", G2075&lt;12, "9-11 Years", G2075&gt;=12, "12-14 Years")</f>
        <v>12-14 Years</v>
      </c>
      <c r="J2075" s="7">
        <v>4</v>
      </c>
      <c r="K2075" t="s">
        <v>20</v>
      </c>
      <c r="L2075" s="7">
        <v>113700</v>
      </c>
      <c r="M2075" s="7">
        <v>9800</v>
      </c>
      <c r="N2075" s="7">
        <v>123500</v>
      </c>
      <c r="O2075" t="s">
        <v>57</v>
      </c>
      <c r="P2075" s="3">
        <v>41604</v>
      </c>
      <c r="Q2075" t="s">
        <v>28</v>
      </c>
    </row>
    <row r="2076" spans="1:17" x14ac:dyDescent="0.35">
      <c r="A2076" t="s">
        <v>2128</v>
      </c>
      <c r="B2076" t="s">
        <v>23</v>
      </c>
      <c r="C2076" s="7">
        <v>49</v>
      </c>
      <c r="D2076" t="s">
        <v>41</v>
      </c>
      <c r="E2076" t="s">
        <v>67</v>
      </c>
      <c r="F2076" t="s">
        <v>36</v>
      </c>
      <c r="G2076" s="9">
        <v>12.8</v>
      </c>
      <c r="H2076" s="7">
        <v>9.6</v>
      </c>
      <c r="I2076" t="str" cm="1">
        <f t="array" ref="I2076">_xlfn.IFS(G2076&lt;3, "0–2 Years", G2076&lt;6, "3–5 Years", G2076&lt;9, "6–8 Years", G2076&lt;12, "9-11 Years", G2076&gt;=12, "12-14 Years")</f>
        <v>12-14 Years</v>
      </c>
      <c r="J2076" s="7">
        <v>3</v>
      </c>
      <c r="K2076" t="s">
        <v>20</v>
      </c>
      <c r="L2076" s="7">
        <v>93500</v>
      </c>
      <c r="M2076" s="7">
        <v>5800</v>
      </c>
      <c r="N2076" s="7">
        <v>99300</v>
      </c>
      <c r="O2076" t="s">
        <v>30</v>
      </c>
      <c r="P2076" s="3">
        <v>41354</v>
      </c>
      <c r="Q2076" t="s">
        <v>36</v>
      </c>
    </row>
    <row r="2077" spans="1:17" x14ac:dyDescent="0.35">
      <c r="A2077" t="s">
        <v>2129</v>
      </c>
      <c r="B2077" t="s">
        <v>23</v>
      </c>
      <c r="C2077">
        <v>35</v>
      </c>
      <c r="D2077" t="s">
        <v>38</v>
      </c>
      <c r="E2077" t="s">
        <v>39</v>
      </c>
      <c r="F2077" t="s">
        <v>62</v>
      </c>
      <c r="G2077">
        <v>8.6</v>
      </c>
      <c r="H2077">
        <v>4.5999999999999996</v>
      </c>
      <c r="I2077" t="str" cm="1">
        <f t="array" ref="I2077">_xlfn.IFS(G2077&lt;3, "0–2 Years", G2077&lt;6, "3–5 Years", G2077&lt;9, "6–8 Years", G2077&lt;12, "9-11 Years", G2077&gt;=12, "12-14 Years")</f>
        <v>6–8 Years</v>
      </c>
      <c r="J2077">
        <v>3</v>
      </c>
      <c r="K2077" t="s">
        <v>20</v>
      </c>
      <c r="L2077">
        <v>96300</v>
      </c>
      <c r="M2077">
        <v>9100</v>
      </c>
      <c r="N2077">
        <v>105400</v>
      </c>
      <c r="O2077" t="s">
        <v>30</v>
      </c>
      <c r="P2077" s="3">
        <v>42877</v>
      </c>
      <c r="Q2077" t="s">
        <v>62</v>
      </c>
    </row>
    <row r="2078" spans="1:17" x14ac:dyDescent="0.35">
      <c r="A2078" t="s">
        <v>2130</v>
      </c>
      <c r="B2078" t="s">
        <v>23</v>
      </c>
      <c r="C2078" s="7">
        <v>39</v>
      </c>
      <c r="D2078" t="s">
        <v>34</v>
      </c>
      <c r="E2078" t="s">
        <v>35</v>
      </c>
      <c r="F2078" t="s">
        <v>36</v>
      </c>
      <c r="G2078" s="9">
        <v>13.3</v>
      </c>
      <c r="H2078" s="7">
        <v>8.9</v>
      </c>
      <c r="I2078" t="str" cm="1">
        <f t="array" ref="I2078">_xlfn.IFS(G2078&lt;3, "0–2 Years", G2078&lt;6, "3–5 Years", G2078&lt;9, "6–8 Years", G2078&lt;12, "9-11 Years", G2078&gt;=12, "12-14 Years")</f>
        <v>12-14 Years</v>
      </c>
      <c r="J2078" s="7">
        <v>2</v>
      </c>
      <c r="K2078" t="s">
        <v>24</v>
      </c>
      <c r="L2078" s="7">
        <v>52000</v>
      </c>
      <c r="M2078" s="7">
        <v>4000</v>
      </c>
      <c r="N2078" s="7">
        <v>56000</v>
      </c>
      <c r="O2078" t="s">
        <v>25</v>
      </c>
      <c r="P2078" s="3">
        <v>41177</v>
      </c>
      <c r="Q2078" t="s">
        <v>36</v>
      </c>
    </row>
    <row r="2079" spans="1:17" x14ac:dyDescent="0.35">
      <c r="A2079" t="s">
        <v>2131</v>
      </c>
      <c r="B2079" t="s">
        <v>16</v>
      </c>
      <c r="C2079">
        <v>33</v>
      </c>
      <c r="D2079" t="s">
        <v>55</v>
      </c>
      <c r="E2079" t="s">
        <v>56</v>
      </c>
      <c r="F2079" t="s">
        <v>28</v>
      </c>
      <c r="G2079">
        <v>5.6</v>
      </c>
      <c r="H2079">
        <v>2</v>
      </c>
      <c r="I2079" t="str" cm="1">
        <f t="array" ref="I2079">_xlfn.IFS(G2079&lt;3, "0–2 Years", G2079&lt;6, "3–5 Years", G2079&lt;9, "6–8 Years", G2079&lt;12, "9-11 Years", G2079&gt;=12, "12-14 Years")</f>
        <v>3–5 Years</v>
      </c>
      <c r="J2079">
        <v>3</v>
      </c>
      <c r="K2079" t="s">
        <v>69</v>
      </c>
      <c r="L2079">
        <v>67700</v>
      </c>
      <c r="M2079">
        <v>12300</v>
      </c>
      <c r="N2079">
        <v>80000</v>
      </c>
      <c r="O2079" t="s">
        <v>21</v>
      </c>
      <c r="P2079" s="3">
        <v>43975</v>
      </c>
      <c r="Q2079" t="s">
        <v>28</v>
      </c>
    </row>
    <row r="2080" spans="1:17" x14ac:dyDescent="0.35">
      <c r="A2080" t="s">
        <v>2132</v>
      </c>
      <c r="B2080" t="s">
        <v>23</v>
      </c>
      <c r="C2080">
        <v>48</v>
      </c>
      <c r="D2080" t="s">
        <v>55</v>
      </c>
      <c r="E2080" t="s">
        <v>79</v>
      </c>
      <c r="F2080" t="s">
        <v>19</v>
      </c>
      <c r="G2080">
        <v>2.2999999999999998</v>
      </c>
      <c r="H2080">
        <v>2.1</v>
      </c>
      <c r="I2080" t="str" cm="1">
        <f t="array" ref="I2080">_xlfn.IFS(G2080&lt;3, "0–2 Years", G2080&lt;6, "3–5 Years", G2080&lt;9, "6–8 Years", G2080&lt;12, "9-11 Years", G2080&gt;=12, "12-14 Years")</f>
        <v>0–2 Years</v>
      </c>
      <c r="J2080">
        <v>3</v>
      </c>
      <c r="K2080" t="s">
        <v>20</v>
      </c>
      <c r="L2080">
        <v>53300</v>
      </c>
      <c r="M2080">
        <v>7500</v>
      </c>
      <c r="N2080">
        <v>60800</v>
      </c>
      <c r="O2080" t="s">
        <v>25</v>
      </c>
      <c r="P2080" s="3">
        <v>45193</v>
      </c>
      <c r="Q2080" t="s">
        <v>19</v>
      </c>
    </row>
    <row r="2081" spans="1:17" x14ac:dyDescent="0.35">
      <c r="A2081" t="s">
        <v>2133</v>
      </c>
      <c r="B2081" t="s">
        <v>23</v>
      </c>
      <c r="C2081">
        <v>42</v>
      </c>
      <c r="D2081" t="s">
        <v>17</v>
      </c>
      <c r="E2081" t="s">
        <v>27</v>
      </c>
      <c r="F2081" t="s">
        <v>36</v>
      </c>
      <c r="G2081">
        <v>8.6999999999999993</v>
      </c>
      <c r="H2081">
        <v>4.5999999999999996</v>
      </c>
      <c r="I2081" t="str" cm="1">
        <f t="array" ref="I2081">_xlfn.IFS(G2081&lt;3, "0–2 Years", G2081&lt;6, "3–5 Years", G2081&lt;9, "6–8 Years", G2081&lt;12, "9-11 Years", G2081&gt;=12, "12-14 Years")</f>
        <v>6–8 Years</v>
      </c>
      <c r="J2081">
        <v>3</v>
      </c>
      <c r="K2081" t="s">
        <v>20</v>
      </c>
      <c r="L2081">
        <v>74500</v>
      </c>
      <c r="M2081">
        <v>4400</v>
      </c>
      <c r="N2081">
        <v>78900</v>
      </c>
      <c r="O2081" t="s">
        <v>21</v>
      </c>
      <c r="P2081" s="3">
        <v>42842</v>
      </c>
      <c r="Q2081" t="s">
        <v>36</v>
      </c>
    </row>
    <row r="2082" spans="1:17" x14ac:dyDescent="0.35">
      <c r="A2082" t="s">
        <v>2134</v>
      </c>
      <c r="B2082" t="s">
        <v>23</v>
      </c>
      <c r="C2082">
        <v>29</v>
      </c>
      <c r="D2082" t="s">
        <v>41</v>
      </c>
      <c r="E2082" t="s">
        <v>42</v>
      </c>
      <c r="F2082" t="s">
        <v>28</v>
      </c>
      <c r="G2082">
        <v>6.9</v>
      </c>
      <c r="H2082">
        <v>4</v>
      </c>
      <c r="I2082" t="str" cm="1">
        <f t="array" ref="I2082">_xlfn.IFS(G2082&lt;3, "0–2 Years", G2082&lt;6, "3–5 Years", G2082&lt;9, "6–8 Years", G2082&lt;12, "9-11 Years", G2082&gt;=12, "12-14 Years")</f>
        <v>6–8 Years</v>
      </c>
      <c r="J2082">
        <v>4</v>
      </c>
      <c r="K2082" t="s">
        <v>20</v>
      </c>
      <c r="L2082">
        <v>89600</v>
      </c>
      <c r="M2082">
        <v>3100</v>
      </c>
      <c r="N2082">
        <v>92700</v>
      </c>
      <c r="O2082" t="s">
        <v>30</v>
      </c>
      <c r="P2082" s="3">
        <v>43488</v>
      </c>
      <c r="Q2082" t="s">
        <v>28</v>
      </c>
    </row>
    <row r="2083" spans="1:17" x14ac:dyDescent="0.35">
      <c r="A2083" t="s">
        <v>2135</v>
      </c>
      <c r="B2083" t="s">
        <v>16</v>
      </c>
      <c r="C2083">
        <v>36</v>
      </c>
      <c r="D2083" t="s">
        <v>38</v>
      </c>
      <c r="E2083" t="s">
        <v>39</v>
      </c>
      <c r="F2083" t="s">
        <v>28</v>
      </c>
      <c r="G2083">
        <v>7.1</v>
      </c>
      <c r="H2083">
        <v>7</v>
      </c>
      <c r="I2083" t="str" cm="1">
        <f t="array" ref="I2083">_xlfn.IFS(G2083&lt;3, "0–2 Years", G2083&lt;6, "3–5 Years", G2083&lt;9, "6–8 Years", G2083&lt;12, "9-11 Years", G2083&gt;=12, "12-14 Years")</f>
        <v>6–8 Years</v>
      </c>
      <c r="J2083">
        <v>3</v>
      </c>
      <c r="K2083" t="s">
        <v>20</v>
      </c>
      <c r="L2083">
        <v>91500</v>
      </c>
      <c r="M2083">
        <v>9200</v>
      </c>
      <c r="N2083">
        <v>100700</v>
      </c>
      <c r="O2083" t="s">
        <v>30</v>
      </c>
      <c r="P2083" s="3">
        <v>43415</v>
      </c>
      <c r="Q2083" t="s">
        <v>28</v>
      </c>
    </row>
    <row r="2084" spans="1:17" x14ac:dyDescent="0.35">
      <c r="A2084" t="s">
        <v>2136</v>
      </c>
      <c r="B2084" t="s">
        <v>23</v>
      </c>
      <c r="C2084">
        <v>36</v>
      </c>
      <c r="D2084" t="s">
        <v>41</v>
      </c>
      <c r="E2084" t="s">
        <v>42</v>
      </c>
      <c r="F2084" t="s">
        <v>36</v>
      </c>
      <c r="G2084">
        <v>11.2</v>
      </c>
      <c r="H2084">
        <v>8</v>
      </c>
      <c r="I2084" t="str" cm="1">
        <f t="array" ref="I2084">_xlfn.IFS(G2084&lt;3, "0–2 Years", G2084&lt;6, "3–5 Years", G2084&lt;9, "6–8 Years", G2084&lt;12, "9-11 Years", G2084&gt;=12, "12-14 Years")</f>
        <v>9-11 Years</v>
      </c>
      <c r="J2084">
        <v>3</v>
      </c>
      <c r="K2084" t="s">
        <v>20</v>
      </c>
      <c r="L2084">
        <v>84100</v>
      </c>
      <c r="M2084">
        <v>3600</v>
      </c>
      <c r="N2084">
        <v>87700</v>
      </c>
      <c r="O2084" t="s">
        <v>30</v>
      </c>
      <c r="P2084" s="3">
        <v>41925</v>
      </c>
      <c r="Q2084" t="s">
        <v>36</v>
      </c>
    </row>
    <row r="2085" spans="1:17" x14ac:dyDescent="0.35">
      <c r="A2085" t="s">
        <v>2137</v>
      </c>
      <c r="B2085" t="s">
        <v>23</v>
      </c>
      <c r="C2085">
        <v>40</v>
      </c>
      <c r="D2085" t="s">
        <v>55</v>
      </c>
      <c r="E2085" t="s">
        <v>92</v>
      </c>
      <c r="F2085" t="s">
        <v>36</v>
      </c>
      <c r="G2085">
        <v>4.8</v>
      </c>
      <c r="H2085">
        <v>2.4</v>
      </c>
      <c r="I2085" t="str" cm="1">
        <f t="array" ref="I2085">_xlfn.IFS(G2085&lt;3, "0–2 Years", G2085&lt;6, "3–5 Years", G2085&lt;9, "6–8 Years", G2085&lt;12, "9-11 Years", G2085&gt;=12, "12-14 Years")</f>
        <v>3–5 Years</v>
      </c>
      <c r="J2085">
        <v>4</v>
      </c>
      <c r="K2085" t="s">
        <v>20</v>
      </c>
      <c r="L2085">
        <v>96600</v>
      </c>
      <c r="M2085">
        <v>19600</v>
      </c>
      <c r="N2085">
        <v>116200</v>
      </c>
      <c r="O2085" t="s">
        <v>30</v>
      </c>
      <c r="P2085" s="3">
        <v>44266</v>
      </c>
      <c r="Q2085" t="s">
        <v>36</v>
      </c>
    </row>
    <row r="2086" spans="1:17" x14ac:dyDescent="0.35">
      <c r="A2086" t="s">
        <v>2138</v>
      </c>
      <c r="B2086" t="s">
        <v>23</v>
      </c>
      <c r="C2086">
        <v>49</v>
      </c>
      <c r="D2086" t="s">
        <v>17</v>
      </c>
      <c r="E2086" t="s">
        <v>18</v>
      </c>
      <c r="F2086" t="s">
        <v>28</v>
      </c>
      <c r="G2086">
        <v>9.6</v>
      </c>
      <c r="H2086">
        <v>7.4</v>
      </c>
      <c r="I2086" t="str" cm="1">
        <f t="array" ref="I2086">_xlfn.IFS(G2086&lt;3, "0–2 Years", G2086&lt;6, "3–5 Years", G2086&lt;9, "6–8 Years", G2086&lt;12, "9-11 Years", G2086&gt;=12, "12-14 Years")</f>
        <v>9-11 Years</v>
      </c>
      <c r="J2086">
        <v>3</v>
      </c>
      <c r="K2086" t="s">
        <v>24</v>
      </c>
      <c r="L2086">
        <v>57500</v>
      </c>
      <c r="M2086">
        <v>3200</v>
      </c>
      <c r="N2086">
        <v>60700</v>
      </c>
      <c r="O2086" t="s">
        <v>25</v>
      </c>
      <c r="P2086" s="3">
        <v>42503</v>
      </c>
      <c r="Q2086" t="s">
        <v>28</v>
      </c>
    </row>
    <row r="2087" spans="1:17" x14ac:dyDescent="0.35">
      <c r="A2087" t="s">
        <v>2139</v>
      </c>
      <c r="B2087" t="s">
        <v>23</v>
      </c>
      <c r="C2087">
        <v>27</v>
      </c>
      <c r="D2087" t="s">
        <v>44</v>
      </c>
      <c r="E2087" t="s">
        <v>51</v>
      </c>
      <c r="F2087" t="s">
        <v>36</v>
      </c>
      <c r="G2087">
        <v>7</v>
      </c>
      <c r="H2087">
        <v>5.4</v>
      </c>
      <c r="I2087" t="str" cm="1">
        <f t="array" ref="I2087">_xlfn.IFS(G2087&lt;3, "0–2 Years", G2087&lt;6, "3–5 Years", G2087&lt;9, "6–8 Years", G2087&lt;12, "9-11 Years", G2087&gt;=12, "12-14 Years")</f>
        <v>6–8 Years</v>
      </c>
      <c r="J2087">
        <v>4</v>
      </c>
      <c r="K2087" t="s">
        <v>24</v>
      </c>
      <c r="L2087">
        <v>63500</v>
      </c>
      <c r="M2087">
        <v>3300</v>
      </c>
      <c r="N2087">
        <v>66800</v>
      </c>
      <c r="O2087" t="s">
        <v>25</v>
      </c>
      <c r="P2087" s="3">
        <v>43483</v>
      </c>
      <c r="Q2087" t="s">
        <v>36</v>
      </c>
    </row>
    <row r="2088" spans="1:17" x14ac:dyDescent="0.35">
      <c r="A2088" t="s">
        <v>2140</v>
      </c>
      <c r="B2088" t="s">
        <v>16</v>
      </c>
      <c r="C2088" s="7">
        <v>49</v>
      </c>
      <c r="D2088" t="s">
        <v>34</v>
      </c>
      <c r="E2088" t="s">
        <v>59</v>
      </c>
      <c r="F2088" t="s">
        <v>28</v>
      </c>
      <c r="G2088" s="9">
        <v>13.9</v>
      </c>
      <c r="H2088" s="7">
        <v>7.8</v>
      </c>
      <c r="I2088" t="str" cm="1">
        <f t="array" ref="I2088">_xlfn.IFS(G2088&lt;3, "0–2 Years", G2088&lt;6, "3–5 Years", G2088&lt;9, "6–8 Years", G2088&lt;12, "9-11 Years", G2088&gt;=12, "12-14 Years")</f>
        <v>12-14 Years</v>
      </c>
      <c r="J2088" s="7">
        <v>3</v>
      </c>
      <c r="K2088" t="s">
        <v>20</v>
      </c>
      <c r="L2088" s="7">
        <v>115400</v>
      </c>
      <c r="M2088" s="7">
        <v>8500</v>
      </c>
      <c r="N2088" s="7">
        <v>123900</v>
      </c>
      <c r="O2088" t="s">
        <v>57</v>
      </c>
      <c r="P2088" s="3">
        <v>40958</v>
      </c>
      <c r="Q2088" t="s">
        <v>28</v>
      </c>
    </row>
    <row r="2089" spans="1:17" x14ac:dyDescent="0.35">
      <c r="A2089" t="s">
        <v>2141</v>
      </c>
      <c r="B2089" t="s">
        <v>23</v>
      </c>
      <c r="C2089">
        <v>21</v>
      </c>
      <c r="D2089" t="s">
        <v>17</v>
      </c>
      <c r="E2089" t="s">
        <v>32</v>
      </c>
      <c r="F2089" t="s">
        <v>19</v>
      </c>
      <c r="G2089">
        <v>1.2</v>
      </c>
      <c r="H2089">
        <v>1.1000000000000001</v>
      </c>
      <c r="I2089" t="str" cm="1">
        <f t="array" ref="I2089">_xlfn.IFS(G2089&lt;3, "0–2 Years", G2089&lt;6, "3–5 Years", G2089&lt;9, "6–8 Years", G2089&lt;12, "9-11 Years", G2089&gt;=12, "12-14 Years")</f>
        <v>0–2 Years</v>
      </c>
      <c r="J2089">
        <v>4</v>
      </c>
      <c r="K2089" t="s">
        <v>20</v>
      </c>
      <c r="L2089">
        <v>69700</v>
      </c>
      <c r="M2089">
        <v>7400</v>
      </c>
      <c r="N2089">
        <v>77100</v>
      </c>
      <c r="O2089" t="s">
        <v>21</v>
      </c>
      <c r="P2089" s="3">
        <v>45582</v>
      </c>
      <c r="Q2089" t="s">
        <v>19</v>
      </c>
    </row>
    <row r="2090" spans="1:17" x14ac:dyDescent="0.35">
      <c r="A2090" t="s">
        <v>2142</v>
      </c>
      <c r="B2090" t="s">
        <v>23</v>
      </c>
      <c r="C2090">
        <v>31</v>
      </c>
      <c r="D2090" t="s">
        <v>17</v>
      </c>
      <c r="E2090" t="s">
        <v>18</v>
      </c>
      <c r="F2090" t="s">
        <v>28</v>
      </c>
      <c r="G2090">
        <v>8</v>
      </c>
      <c r="H2090">
        <v>6.2</v>
      </c>
      <c r="I2090" t="str" cm="1">
        <f t="array" ref="I2090">_xlfn.IFS(G2090&lt;3, "0–2 Years", G2090&lt;6, "3–5 Years", G2090&lt;9, "6–8 Years", G2090&lt;12, "9-11 Years", G2090&gt;=12, "12-14 Years")</f>
        <v>6–8 Years</v>
      </c>
      <c r="J2090">
        <v>3</v>
      </c>
      <c r="K2090" t="s">
        <v>20</v>
      </c>
      <c r="L2090">
        <v>107200</v>
      </c>
      <c r="M2090">
        <v>13200</v>
      </c>
      <c r="N2090">
        <v>120400</v>
      </c>
      <c r="O2090" t="s">
        <v>57</v>
      </c>
      <c r="P2090" s="3">
        <v>43102</v>
      </c>
      <c r="Q2090" t="s">
        <v>28</v>
      </c>
    </row>
    <row r="2091" spans="1:17" x14ac:dyDescent="0.35">
      <c r="A2091" t="s">
        <v>2143</v>
      </c>
      <c r="B2091" t="s">
        <v>16</v>
      </c>
      <c r="C2091">
        <v>30</v>
      </c>
      <c r="D2091" t="s">
        <v>38</v>
      </c>
      <c r="E2091" t="s">
        <v>61</v>
      </c>
      <c r="F2091" t="s">
        <v>19</v>
      </c>
      <c r="G2091">
        <v>8.6</v>
      </c>
      <c r="H2091">
        <v>3.8</v>
      </c>
      <c r="I2091" t="str" cm="1">
        <f t="array" ref="I2091">_xlfn.IFS(G2091&lt;3, "0–2 Years", G2091&lt;6, "3–5 Years", G2091&lt;9, "6–8 Years", G2091&lt;12, "9-11 Years", G2091&gt;=12, "12-14 Years")</f>
        <v>6–8 Years</v>
      </c>
      <c r="J2091">
        <v>3</v>
      </c>
      <c r="K2091" t="s">
        <v>20</v>
      </c>
      <c r="L2091">
        <v>93600</v>
      </c>
      <c r="M2091">
        <v>5400</v>
      </c>
      <c r="N2091">
        <v>99000</v>
      </c>
      <c r="O2091" t="s">
        <v>30</v>
      </c>
      <c r="P2091" s="3">
        <v>42889</v>
      </c>
      <c r="Q2091" t="s">
        <v>19</v>
      </c>
    </row>
    <row r="2092" spans="1:17" x14ac:dyDescent="0.35">
      <c r="A2092" t="s">
        <v>2144</v>
      </c>
      <c r="B2092" t="s">
        <v>16</v>
      </c>
      <c r="C2092">
        <v>43</v>
      </c>
      <c r="D2092" t="s">
        <v>41</v>
      </c>
      <c r="E2092" t="s">
        <v>67</v>
      </c>
      <c r="F2092" t="s">
        <v>28</v>
      </c>
      <c r="G2092">
        <v>9</v>
      </c>
      <c r="H2092">
        <v>4.5999999999999996</v>
      </c>
      <c r="I2092" t="str" cm="1">
        <f t="array" ref="I2092">_xlfn.IFS(G2092&lt;3, "0–2 Years", G2092&lt;6, "3–5 Years", G2092&lt;9, "6–8 Years", G2092&lt;12, "9-11 Years", G2092&gt;=12, "12-14 Years")</f>
        <v>9-11 Years</v>
      </c>
      <c r="J2092">
        <v>4</v>
      </c>
      <c r="K2092" t="s">
        <v>20</v>
      </c>
      <c r="L2092">
        <v>65600</v>
      </c>
      <c r="M2092">
        <v>3700</v>
      </c>
      <c r="N2092">
        <v>69300</v>
      </c>
      <c r="O2092" t="s">
        <v>21</v>
      </c>
      <c r="P2092" s="3">
        <v>42742</v>
      </c>
      <c r="Q2092" t="s">
        <v>28</v>
      </c>
    </row>
    <row r="2093" spans="1:17" x14ac:dyDescent="0.35">
      <c r="A2093" t="s">
        <v>2145</v>
      </c>
      <c r="B2093" t="s">
        <v>16</v>
      </c>
      <c r="C2093" s="7">
        <v>35</v>
      </c>
      <c r="D2093" t="s">
        <v>34</v>
      </c>
      <c r="E2093" t="s">
        <v>35</v>
      </c>
      <c r="F2093" t="s">
        <v>36</v>
      </c>
      <c r="G2093" s="9">
        <v>12.9</v>
      </c>
      <c r="H2093" s="7">
        <v>8.1999999999999993</v>
      </c>
      <c r="I2093" t="str" cm="1">
        <f t="array" ref="I2093">_xlfn.IFS(G2093&lt;3, "0–2 Years", G2093&lt;6, "3–5 Years", G2093&lt;9, "6–8 Years", G2093&lt;12, "9-11 Years", G2093&gt;=12, "12-14 Years")</f>
        <v>12-14 Years</v>
      </c>
      <c r="J2093" s="7">
        <v>3</v>
      </c>
      <c r="K2093" t="s">
        <v>20</v>
      </c>
      <c r="L2093" s="7">
        <v>91600</v>
      </c>
      <c r="M2093" s="7">
        <v>3700</v>
      </c>
      <c r="N2093" s="7">
        <v>95300</v>
      </c>
      <c r="O2093" t="s">
        <v>30</v>
      </c>
      <c r="P2093" s="3">
        <v>41320</v>
      </c>
      <c r="Q2093" t="s">
        <v>36</v>
      </c>
    </row>
    <row r="2094" spans="1:17" x14ac:dyDescent="0.35">
      <c r="A2094" t="s">
        <v>2146</v>
      </c>
      <c r="B2094" t="s">
        <v>23</v>
      </c>
      <c r="C2094">
        <v>27</v>
      </c>
      <c r="D2094" t="s">
        <v>34</v>
      </c>
      <c r="E2094" t="s">
        <v>47</v>
      </c>
      <c r="F2094" t="s">
        <v>28</v>
      </c>
      <c r="G2094">
        <v>11.1</v>
      </c>
      <c r="H2094">
        <v>8.5</v>
      </c>
      <c r="I2094" t="str" cm="1">
        <f t="array" ref="I2094">_xlfn.IFS(G2094&lt;3, "0–2 Years", G2094&lt;6, "3–5 Years", G2094&lt;9, "6–8 Years", G2094&lt;12, "9-11 Years", G2094&gt;=12, "12-14 Years")</f>
        <v>9-11 Years</v>
      </c>
      <c r="J2094">
        <v>4</v>
      </c>
      <c r="K2094" t="s">
        <v>20</v>
      </c>
      <c r="L2094">
        <v>82400</v>
      </c>
      <c r="M2094">
        <v>8200</v>
      </c>
      <c r="N2094">
        <v>90600</v>
      </c>
      <c r="O2094" t="s">
        <v>30</v>
      </c>
      <c r="P2094" s="3">
        <v>41977</v>
      </c>
      <c r="Q2094" t="s">
        <v>28</v>
      </c>
    </row>
    <row r="2095" spans="1:17" x14ac:dyDescent="0.35">
      <c r="A2095" t="s">
        <v>2147</v>
      </c>
      <c r="B2095" t="s">
        <v>23</v>
      </c>
      <c r="C2095">
        <v>38</v>
      </c>
      <c r="D2095" t="s">
        <v>44</v>
      </c>
      <c r="E2095" t="s">
        <v>51</v>
      </c>
      <c r="F2095" t="s">
        <v>28</v>
      </c>
      <c r="G2095">
        <v>10.6</v>
      </c>
      <c r="H2095">
        <v>6.4</v>
      </c>
      <c r="I2095" t="str" cm="1">
        <f t="array" ref="I2095">_xlfn.IFS(G2095&lt;3, "0–2 Years", G2095&lt;6, "3–5 Years", G2095&lt;9, "6–8 Years", G2095&lt;12, "9-11 Years", G2095&gt;=12, "12-14 Years")</f>
        <v>9-11 Years</v>
      </c>
      <c r="J2095">
        <v>3</v>
      </c>
      <c r="K2095" t="s">
        <v>20</v>
      </c>
      <c r="L2095">
        <v>83400</v>
      </c>
      <c r="M2095">
        <v>5400</v>
      </c>
      <c r="N2095">
        <v>88800</v>
      </c>
      <c r="O2095" t="s">
        <v>30</v>
      </c>
      <c r="P2095" s="3">
        <v>42147</v>
      </c>
      <c r="Q2095" t="s">
        <v>28</v>
      </c>
    </row>
    <row r="2096" spans="1:17" x14ac:dyDescent="0.35">
      <c r="A2096" t="s">
        <v>2148</v>
      </c>
      <c r="B2096" t="s">
        <v>16</v>
      </c>
      <c r="C2096">
        <v>32</v>
      </c>
      <c r="D2096" t="s">
        <v>34</v>
      </c>
      <c r="E2096" t="s">
        <v>47</v>
      </c>
      <c r="F2096" t="s">
        <v>62</v>
      </c>
      <c r="G2096">
        <v>7.9</v>
      </c>
      <c r="H2096">
        <v>4.5999999999999996</v>
      </c>
      <c r="I2096" t="str" cm="1">
        <f t="array" ref="I2096">_xlfn.IFS(G2096&lt;3, "0–2 Years", G2096&lt;6, "3–5 Years", G2096&lt;9, "6–8 Years", G2096&lt;12, "9-11 Years", G2096&gt;=12, "12-14 Years")</f>
        <v>6–8 Years</v>
      </c>
      <c r="J2096">
        <v>4</v>
      </c>
      <c r="K2096" t="s">
        <v>20</v>
      </c>
      <c r="L2096">
        <v>95700</v>
      </c>
      <c r="M2096">
        <v>7500</v>
      </c>
      <c r="N2096">
        <v>103200</v>
      </c>
      <c r="O2096" t="s">
        <v>30</v>
      </c>
      <c r="P2096" s="3">
        <v>43133</v>
      </c>
      <c r="Q2096" t="s">
        <v>62</v>
      </c>
    </row>
    <row r="2097" spans="1:17" x14ac:dyDescent="0.35">
      <c r="A2097" t="s">
        <v>2149</v>
      </c>
      <c r="B2097" t="s">
        <v>16</v>
      </c>
      <c r="C2097">
        <v>37</v>
      </c>
      <c r="D2097" t="s">
        <v>41</v>
      </c>
      <c r="E2097" t="s">
        <v>67</v>
      </c>
      <c r="F2097" t="s">
        <v>28</v>
      </c>
      <c r="G2097">
        <v>9.5</v>
      </c>
      <c r="H2097">
        <v>7</v>
      </c>
      <c r="I2097" t="str" cm="1">
        <f t="array" ref="I2097">_xlfn.IFS(G2097&lt;3, "0–2 Years", G2097&lt;6, "3–5 Years", G2097&lt;9, "6–8 Years", G2097&lt;12, "9-11 Years", G2097&gt;=12, "12-14 Years")</f>
        <v>9-11 Years</v>
      </c>
      <c r="J2097">
        <v>3</v>
      </c>
      <c r="K2097" t="s">
        <v>20</v>
      </c>
      <c r="L2097">
        <v>75900</v>
      </c>
      <c r="M2097">
        <v>5700</v>
      </c>
      <c r="N2097">
        <v>81600</v>
      </c>
      <c r="O2097" t="s">
        <v>21</v>
      </c>
      <c r="P2097" s="3">
        <v>42567</v>
      </c>
      <c r="Q2097" t="s">
        <v>28</v>
      </c>
    </row>
    <row r="2098" spans="1:17" x14ac:dyDescent="0.35">
      <c r="A2098" t="s">
        <v>2150</v>
      </c>
      <c r="B2098" t="s">
        <v>16</v>
      </c>
      <c r="C2098">
        <v>37</v>
      </c>
      <c r="D2098" t="s">
        <v>44</v>
      </c>
      <c r="E2098" t="s">
        <v>51</v>
      </c>
      <c r="F2098" t="s">
        <v>19</v>
      </c>
      <c r="G2098">
        <v>5.3</v>
      </c>
      <c r="H2098">
        <v>3.1</v>
      </c>
      <c r="I2098" t="str" cm="1">
        <f t="array" ref="I2098">_xlfn.IFS(G2098&lt;3, "0–2 Years", G2098&lt;6, "3–5 Years", G2098&lt;9, "6–8 Years", G2098&lt;12, "9-11 Years", G2098&gt;=12, "12-14 Years")</f>
        <v>3–5 Years</v>
      </c>
      <c r="J2098">
        <v>4</v>
      </c>
      <c r="K2098" t="s">
        <v>20</v>
      </c>
      <c r="L2098">
        <v>79100</v>
      </c>
      <c r="M2098">
        <v>7900</v>
      </c>
      <c r="N2098">
        <v>87000</v>
      </c>
      <c r="O2098" t="s">
        <v>21</v>
      </c>
      <c r="P2098" s="3">
        <v>44094</v>
      </c>
      <c r="Q2098" t="s">
        <v>19</v>
      </c>
    </row>
    <row r="2099" spans="1:17" x14ac:dyDescent="0.35">
      <c r="A2099" t="s">
        <v>2151</v>
      </c>
      <c r="B2099" t="s">
        <v>23</v>
      </c>
      <c r="C2099">
        <v>30</v>
      </c>
      <c r="D2099" t="s">
        <v>41</v>
      </c>
      <c r="E2099" t="s">
        <v>42</v>
      </c>
      <c r="F2099" t="s">
        <v>28</v>
      </c>
      <c r="G2099">
        <v>7.2</v>
      </c>
      <c r="H2099">
        <v>2.5</v>
      </c>
      <c r="I2099" t="str" cm="1">
        <f t="array" ref="I2099">_xlfn.IFS(G2099&lt;3, "0–2 Years", G2099&lt;6, "3–5 Years", G2099&lt;9, "6–8 Years", G2099&lt;12, "9-11 Years", G2099&gt;=12, "12-14 Years")</f>
        <v>6–8 Years</v>
      </c>
      <c r="J2099">
        <v>2</v>
      </c>
      <c r="K2099" t="s">
        <v>24</v>
      </c>
      <c r="L2099">
        <v>50000</v>
      </c>
      <c r="M2099">
        <v>4200</v>
      </c>
      <c r="N2099">
        <v>54200</v>
      </c>
      <c r="O2099" t="s">
        <v>25</v>
      </c>
      <c r="P2099" s="3">
        <v>43402</v>
      </c>
      <c r="Q2099" t="s">
        <v>28</v>
      </c>
    </row>
    <row r="2100" spans="1:17" x14ac:dyDescent="0.35">
      <c r="A2100" t="s">
        <v>2152</v>
      </c>
      <c r="B2100" t="s">
        <v>16</v>
      </c>
      <c r="C2100">
        <v>30</v>
      </c>
      <c r="D2100" t="s">
        <v>34</v>
      </c>
      <c r="E2100" t="s">
        <v>35</v>
      </c>
      <c r="F2100" t="s">
        <v>28</v>
      </c>
      <c r="G2100">
        <v>3.5</v>
      </c>
      <c r="H2100">
        <v>3.5</v>
      </c>
      <c r="I2100" t="str" cm="1">
        <f t="array" ref="I2100">_xlfn.IFS(G2100&lt;3, "0–2 Years", G2100&lt;6, "3–5 Years", G2100&lt;9, "6–8 Years", G2100&lt;12, "9-11 Years", G2100&gt;=12, "12-14 Years")</f>
        <v>3–5 Years</v>
      </c>
      <c r="J2100">
        <v>4</v>
      </c>
      <c r="K2100" t="s">
        <v>20</v>
      </c>
      <c r="L2100">
        <v>66900</v>
      </c>
      <c r="M2100">
        <v>6000</v>
      </c>
      <c r="N2100">
        <v>72900</v>
      </c>
      <c r="O2100" t="s">
        <v>21</v>
      </c>
      <c r="P2100" s="3">
        <v>44748</v>
      </c>
      <c r="Q2100" t="s">
        <v>28</v>
      </c>
    </row>
    <row r="2101" spans="1:17" x14ac:dyDescent="0.35">
      <c r="A2101" t="s">
        <v>2153</v>
      </c>
      <c r="B2101" t="s">
        <v>16</v>
      </c>
      <c r="C2101">
        <v>33</v>
      </c>
      <c r="D2101" t="s">
        <v>17</v>
      </c>
      <c r="E2101" t="s">
        <v>32</v>
      </c>
      <c r="F2101" t="s">
        <v>28</v>
      </c>
      <c r="G2101">
        <v>5.8</v>
      </c>
      <c r="H2101">
        <v>2.4</v>
      </c>
      <c r="I2101" t="str" cm="1">
        <f t="array" ref="I2101">_xlfn.IFS(G2101&lt;3, "0–2 Years", G2101&lt;6, "3–5 Years", G2101&lt;9, "6–8 Years", G2101&lt;12, "9-11 Years", G2101&gt;=12, "12-14 Years")</f>
        <v>3–5 Years</v>
      </c>
      <c r="J2101">
        <v>3</v>
      </c>
      <c r="K2101" t="s">
        <v>20</v>
      </c>
      <c r="L2101">
        <v>71100</v>
      </c>
      <c r="M2101">
        <v>3800</v>
      </c>
      <c r="N2101">
        <v>74900</v>
      </c>
      <c r="O2101" t="s">
        <v>21</v>
      </c>
      <c r="P2101" s="3">
        <v>43912</v>
      </c>
      <c r="Q2101" t="s">
        <v>28</v>
      </c>
    </row>
    <row r="2102" spans="1:17" x14ac:dyDescent="0.35">
      <c r="A2102" t="s">
        <v>2154</v>
      </c>
      <c r="B2102" t="s">
        <v>16</v>
      </c>
      <c r="C2102">
        <v>33</v>
      </c>
      <c r="D2102" t="s">
        <v>34</v>
      </c>
      <c r="E2102" t="s">
        <v>35</v>
      </c>
      <c r="F2102" t="s">
        <v>28</v>
      </c>
      <c r="G2102">
        <v>11.8</v>
      </c>
      <c r="H2102">
        <v>6.1</v>
      </c>
      <c r="I2102" t="str" cm="1">
        <f t="array" ref="I2102">_xlfn.IFS(G2102&lt;3, "0–2 Years", G2102&lt;6, "3–5 Years", G2102&lt;9, "6–8 Years", G2102&lt;12, "9-11 Years", G2102&gt;=12, "12-14 Years")</f>
        <v>9-11 Years</v>
      </c>
      <c r="J2102">
        <v>4</v>
      </c>
      <c r="K2102" t="s">
        <v>24</v>
      </c>
      <c r="L2102">
        <v>53700</v>
      </c>
      <c r="M2102">
        <v>4600</v>
      </c>
      <c r="N2102">
        <v>58300</v>
      </c>
      <c r="O2102" t="s">
        <v>25</v>
      </c>
      <c r="P2102" s="3">
        <v>41706</v>
      </c>
      <c r="Q2102" t="s">
        <v>28</v>
      </c>
    </row>
    <row r="2103" spans="1:17" x14ac:dyDescent="0.35">
      <c r="A2103" t="s">
        <v>2155</v>
      </c>
      <c r="B2103" t="s">
        <v>16</v>
      </c>
      <c r="C2103">
        <v>27</v>
      </c>
      <c r="D2103" t="s">
        <v>41</v>
      </c>
      <c r="E2103" t="s">
        <v>73</v>
      </c>
      <c r="F2103" t="s">
        <v>36</v>
      </c>
      <c r="G2103">
        <v>8.9</v>
      </c>
      <c r="H2103">
        <v>4.3</v>
      </c>
      <c r="I2103" t="str" cm="1">
        <f t="array" ref="I2103">_xlfn.IFS(G2103&lt;3, "0–2 Years", G2103&lt;6, "3–5 Years", G2103&lt;9, "6–8 Years", G2103&lt;12, "9-11 Years", G2103&gt;=12, "12-14 Years")</f>
        <v>6–8 Years</v>
      </c>
      <c r="J2103">
        <v>3</v>
      </c>
      <c r="K2103" t="s">
        <v>20</v>
      </c>
      <c r="L2103">
        <v>117500</v>
      </c>
      <c r="M2103">
        <v>3800</v>
      </c>
      <c r="N2103">
        <v>121300</v>
      </c>
      <c r="O2103" t="s">
        <v>57</v>
      </c>
      <c r="P2103" s="3">
        <v>42755</v>
      </c>
      <c r="Q2103" t="s">
        <v>36</v>
      </c>
    </row>
    <row r="2104" spans="1:17" x14ac:dyDescent="0.35">
      <c r="A2104" t="s">
        <v>2156</v>
      </c>
      <c r="B2104" t="s">
        <v>16</v>
      </c>
      <c r="C2104">
        <v>31</v>
      </c>
      <c r="D2104" t="s">
        <v>38</v>
      </c>
      <c r="E2104" t="s">
        <v>112</v>
      </c>
      <c r="F2104" t="s">
        <v>36</v>
      </c>
      <c r="G2104">
        <v>10.6</v>
      </c>
      <c r="H2104">
        <v>8.6</v>
      </c>
      <c r="I2104" t="str" cm="1">
        <f t="array" ref="I2104">_xlfn.IFS(G2104&lt;3, "0–2 Years", G2104&lt;6, "3–5 Years", G2104&lt;9, "6–8 Years", G2104&lt;12, "9-11 Years", G2104&gt;=12, "12-14 Years")</f>
        <v>9-11 Years</v>
      </c>
      <c r="J2104">
        <v>3</v>
      </c>
      <c r="K2104" t="s">
        <v>20</v>
      </c>
      <c r="L2104">
        <v>85700</v>
      </c>
      <c r="M2104">
        <v>3400</v>
      </c>
      <c r="N2104">
        <v>89100</v>
      </c>
      <c r="O2104" t="s">
        <v>30</v>
      </c>
      <c r="P2104" s="3">
        <v>42153</v>
      </c>
      <c r="Q2104" t="s">
        <v>36</v>
      </c>
    </row>
    <row r="2105" spans="1:17" x14ac:dyDescent="0.35">
      <c r="A2105" t="s">
        <v>2157</v>
      </c>
      <c r="B2105" t="s">
        <v>16</v>
      </c>
      <c r="C2105">
        <v>38</v>
      </c>
      <c r="D2105" t="s">
        <v>41</v>
      </c>
      <c r="E2105" t="s">
        <v>42</v>
      </c>
      <c r="F2105" t="s">
        <v>28</v>
      </c>
      <c r="G2105">
        <v>11.6</v>
      </c>
      <c r="H2105">
        <v>8.6</v>
      </c>
      <c r="I2105" t="str" cm="1">
        <f t="array" ref="I2105">_xlfn.IFS(G2105&lt;3, "0–2 Years", G2105&lt;6, "3–5 Years", G2105&lt;9, "6–8 Years", G2105&lt;12, "9-11 Years", G2105&gt;=12, "12-14 Years")</f>
        <v>9-11 Years</v>
      </c>
      <c r="J2105">
        <v>4</v>
      </c>
      <c r="K2105" t="s">
        <v>20</v>
      </c>
      <c r="L2105">
        <v>86700</v>
      </c>
      <c r="M2105">
        <v>5800</v>
      </c>
      <c r="N2105">
        <v>92500</v>
      </c>
      <c r="O2105" t="s">
        <v>30</v>
      </c>
      <c r="P2105" s="3">
        <v>41788</v>
      </c>
      <c r="Q2105" t="s">
        <v>28</v>
      </c>
    </row>
    <row r="2106" spans="1:17" x14ac:dyDescent="0.35">
      <c r="A2106" t="s">
        <v>2158</v>
      </c>
      <c r="B2106" t="s">
        <v>23</v>
      </c>
      <c r="C2106">
        <v>23</v>
      </c>
      <c r="D2106" t="s">
        <v>41</v>
      </c>
      <c r="E2106" t="s">
        <v>73</v>
      </c>
      <c r="F2106" t="s">
        <v>28</v>
      </c>
      <c r="G2106">
        <v>3.8</v>
      </c>
      <c r="H2106">
        <v>2.7</v>
      </c>
      <c r="I2106" t="str" cm="1">
        <f t="array" ref="I2106">_xlfn.IFS(G2106&lt;3, "0–2 Years", G2106&lt;6, "3–5 Years", G2106&lt;9, "6–8 Years", G2106&lt;12, "9-11 Years", G2106&gt;=12, "12-14 Years")</f>
        <v>3–5 Years</v>
      </c>
      <c r="J2106">
        <v>3</v>
      </c>
      <c r="K2106" t="s">
        <v>20</v>
      </c>
      <c r="L2106">
        <v>96100</v>
      </c>
      <c r="M2106">
        <v>7600</v>
      </c>
      <c r="N2106">
        <v>103700</v>
      </c>
      <c r="O2106" t="s">
        <v>30</v>
      </c>
      <c r="P2106" s="3">
        <v>44646</v>
      </c>
      <c r="Q2106" t="s">
        <v>28</v>
      </c>
    </row>
    <row r="2107" spans="1:17" x14ac:dyDescent="0.35">
      <c r="A2107" t="s">
        <v>2159</v>
      </c>
      <c r="B2107" t="s">
        <v>16</v>
      </c>
      <c r="C2107">
        <v>45</v>
      </c>
      <c r="D2107" t="s">
        <v>17</v>
      </c>
      <c r="E2107" t="s">
        <v>32</v>
      </c>
      <c r="F2107" t="s">
        <v>28</v>
      </c>
      <c r="G2107">
        <v>10.7</v>
      </c>
      <c r="H2107">
        <v>4.8</v>
      </c>
      <c r="I2107" t="str" cm="1">
        <f t="array" ref="I2107">_xlfn.IFS(G2107&lt;3, "0–2 Years", G2107&lt;6, "3–5 Years", G2107&lt;9, "6–8 Years", G2107&lt;12, "9-11 Years", G2107&gt;=12, "12-14 Years")</f>
        <v>9-11 Years</v>
      </c>
      <c r="J2107">
        <v>3</v>
      </c>
      <c r="K2107" t="s">
        <v>24</v>
      </c>
      <c r="L2107">
        <v>43500</v>
      </c>
      <c r="M2107">
        <v>4000</v>
      </c>
      <c r="N2107">
        <v>47500</v>
      </c>
      <c r="O2107" t="s">
        <v>65</v>
      </c>
      <c r="P2107" s="3">
        <v>42105</v>
      </c>
      <c r="Q2107" t="s">
        <v>28</v>
      </c>
    </row>
    <row r="2108" spans="1:17" x14ac:dyDescent="0.35">
      <c r="A2108" t="s">
        <v>2160</v>
      </c>
      <c r="B2108" t="s">
        <v>16</v>
      </c>
      <c r="C2108">
        <v>44</v>
      </c>
      <c r="D2108" t="s">
        <v>44</v>
      </c>
      <c r="E2108" t="s">
        <v>76</v>
      </c>
      <c r="F2108" t="s">
        <v>28</v>
      </c>
      <c r="G2108">
        <v>11.9</v>
      </c>
      <c r="H2108">
        <v>6.8</v>
      </c>
      <c r="I2108" t="str" cm="1">
        <f t="array" ref="I2108">_xlfn.IFS(G2108&lt;3, "0–2 Years", G2108&lt;6, "3–5 Years", G2108&lt;9, "6–8 Years", G2108&lt;12, "9-11 Years", G2108&gt;=12, "12-14 Years")</f>
        <v>9-11 Years</v>
      </c>
      <c r="J2108">
        <v>3</v>
      </c>
      <c r="K2108" t="s">
        <v>20</v>
      </c>
      <c r="L2108">
        <v>123700</v>
      </c>
      <c r="M2108">
        <v>9700</v>
      </c>
      <c r="N2108">
        <v>133400</v>
      </c>
      <c r="O2108" t="s">
        <v>57</v>
      </c>
      <c r="P2108" s="3">
        <v>41671</v>
      </c>
      <c r="Q2108" t="s">
        <v>28</v>
      </c>
    </row>
    <row r="2109" spans="1:17" x14ac:dyDescent="0.35">
      <c r="A2109" t="s">
        <v>2161</v>
      </c>
      <c r="B2109" t="s">
        <v>23</v>
      </c>
      <c r="C2109">
        <v>34</v>
      </c>
      <c r="D2109" t="s">
        <v>38</v>
      </c>
      <c r="E2109" t="s">
        <v>61</v>
      </c>
      <c r="F2109" t="s">
        <v>36</v>
      </c>
      <c r="G2109">
        <v>10.1</v>
      </c>
      <c r="H2109">
        <v>4.7</v>
      </c>
      <c r="I2109" t="str" cm="1">
        <f t="array" ref="I2109">_xlfn.IFS(G2109&lt;3, "0–2 Years", G2109&lt;6, "3–5 Years", G2109&lt;9, "6–8 Years", G2109&lt;12, "9-11 Years", G2109&gt;=12, "12-14 Years")</f>
        <v>9-11 Years</v>
      </c>
      <c r="J2109">
        <v>4</v>
      </c>
      <c r="K2109" t="s">
        <v>20</v>
      </c>
      <c r="L2109">
        <v>119500</v>
      </c>
      <c r="M2109">
        <v>7600</v>
      </c>
      <c r="N2109">
        <v>127100</v>
      </c>
      <c r="O2109" t="s">
        <v>57</v>
      </c>
      <c r="P2109" s="3">
        <v>42333</v>
      </c>
      <c r="Q2109" t="s">
        <v>36</v>
      </c>
    </row>
    <row r="2110" spans="1:17" x14ac:dyDescent="0.35">
      <c r="A2110" t="s">
        <v>2162</v>
      </c>
      <c r="B2110" t="s">
        <v>16</v>
      </c>
      <c r="C2110">
        <v>22</v>
      </c>
      <c r="D2110" t="s">
        <v>55</v>
      </c>
      <c r="E2110" t="s">
        <v>56</v>
      </c>
      <c r="F2110" t="s">
        <v>28</v>
      </c>
      <c r="G2110">
        <v>10.4</v>
      </c>
      <c r="H2110">
        <v>8</v>
      </c>
      <c r="I2110" t="str" cm="1">
        <f t="array" ref="I2110">_xlfn.IFS(G2110&lt;3, "0–2 Years", G2110&lt;6, "3–5 Years", G2110&lt;9, "6–8 Years", G2110&lt;12, "9-11 Years", G2110&gt;=12, "12-14 Years")</f>
        <v>9-11 Years</v>
      </c>
      <c r="J2110">
        <v>3</v>
      </c>
      <c r="K2110" t="s">
        <v>20</v>
      </c>
      <c r="L2110">
        <v>101700</v>
      </c>
      <c r="M2110">
        <v>7600</v>
      </c>
      <c r="N2110">
        <v>109300</v>
      </c>
      <c r="O2110" t="s">
        <v>57</v>
      </c>
      <c r="P2110" s="3">
        <v>42207</v>
      </c>
      <c r="Q2110" t="s">
        <v>28</v>
      </c>
    </row>
    <row r="2111" spans="1:17" x14ac:dyDescent="0.35">
      <c r="A2111" t="s">
        <v>2163</v>
      </c>
      <c r="B2111" t="s">
        <v>16</v>
      </c>
      <c r="C2111" s="7">
        <v>32</v>
      </c>
      <c r="D2111" t="s">
        <v>17</v>
      </c>
      <c r="E2111" t="s">
        <v>32</v>
      </c>
      <c r="F2111" t="s">
        <v>28</v>
      </c>
      <c r="G2111" s="9">
        <v>12</v>
      </c>
      <c r="H2111" s="7">
        <v>8.3000000000000007</v>
      </c>
      <c r="I2111" t="str" cm="1">
        <f t="array" ref="I2111">_xlfn.IFS(G2111&lt;3, "0–2 Years", G2111&lt;6, "3–5 Years", G2111&lt;9, "6–8 Years", G2111&lt;12, "9-11 Years", G2111&gt;=12, "12-14 Years")</f>
        <v>12-14 Years</v>
      </c>
      <c r="J2111" s="7">
        <v>4</v>
      </c>
      <c r="K2111" t="s">
        <v>24</v>
      </c>
      <c r="L2111" s="7">
        <v>47700</v>
      </c>
      <c r="M2111" s="7">
        <v>6400</v>
      </c>
      <c r="N2111" s="7">
        <v>54100</v>
      </c>
      <c r="O2111" t="s">
        <v>65</v>
      </c>
      <c r="P2111" s="3">
        <v>41645</v>
      </c>
      <c r="Q2111" t="s">
        <v>28</v>
      </c>
    </row>
    <row r="2112" spans="1:17" x14ac:dyDescent="0.35">
      <c r="A2112" t="s">
        <v>2164</v>
      </c>
      <c r="B2112" t="s">
        <v>23</v>
      </c>
      <c r="C2112">
        <v>39</v>
      </c>
      <c r="D2112" t="s">
        <v>44</v>
      </c>
      <c r="E2112" t="s">
        <v>81</v>
      </c>
      <c r="F2112" t="s">
        <v>36</v>
      </c>
      <c r="G2112">
        <v>4.5999999999999996</v>
      </c>
      <c r="H2112">
        <v>2.6</v>
      </c>
      <c r="I2112" t="str" cm="1">
        <f t="array" ref="I2112">_xlfn.IFS(G2112&lt;3, "0–2 Years", G2112&lt;6, "3–5 Years", G2112&lt;9, "6–8 Years", G2112&lt;12, "9-11 Years", G2112&gt;=12, "12-14 Years")</f>
        <v>3–5 Years</v>
      </c>
      <c r="J2112">
        <v>4</v>
      </c>
      <c r="K2112" t="s">
        <v>20</v>
      </c>
      <c r="L2112">
        <v>110000</v>
      </c>
      <c r="M2112">
        <v>14600</v>
      </c>
      <c r="N2112">
        <v>124600</v>
      </c>
      <c r="O2112" t="s">
        <v>57</v>
      </c>
      <c r="P2112" s="3">
        <v>44332</v>
      </c>
      <c r="Q2112" t="s">
        <v>36</v>
      </c>
    </row>
    <row r="2113" spans="1:17" x14ac:dyDescent="0.35">
      <c r="A2113" t="s">
        <v>2165</v>
      </c>
      <c r="B2113" t="s">
        <v>23</v>
      </c>
      <c r="C2113">
        <v>29</v>
      </c>
      <c r="D2113" t="s">
        <v>55</v>
      </c>
      <c r="E2113" t="s">
        <v>56</v>
      </c>
      <c r="F2113" t="s">
        <v>19</v>
      </c>
      <c r="G2113">
        <v>11.8</v>
      </c>
      <c r="H2113">
        <v>7.2</v>
      </c>
      <c r="I2113" t="str" cm="1">
        <f t="array" ref="I2113">_xlfn.IFS(G2113&lt;3, "0–2 Years", G2113&lt;6, "3–5 Years", G2113&lt;9, "6–8 Years", G2113&lt;12, "9-11 Years", G2113&gt;=12, "12-14 Years")</f>
        <v>9-11 Years</v>
      </c>
      <c r="J2113">
        <v>2</v>
      </c>
      <c r="K2113" t="s">
        <v>20</v>
      </c>
      <c r="L2113">
        <v>101600</v>
      </c>
      <c r="M2113">
        <v>12700</v>
      </c>
      <c r="N2113">
        <v>114300</v>
      </c>
      <c r="O2113" t="s">
        <v>57</v>
      </c>
      <c r="P2113" s="3">
        <v>41702</v>
      </c>
      <c r="Q2113" t="s">
        <v>19</v>
      </c>
    </row>
    <row r="2114" spans="1:17" x14ac:dyDescent="0.35">
      <c r="A2114" t="s">
        <v>2166</v>
      </c>
      <c r="B2114" t="s">
        <v>23</v>
      </c>
      <c r="C2114">
        <v>41</v>
      </c>
      <c r="D2114" t="s">
        <v>55</v>
      </c>
      <c r="E2114" t="s">
        <v>92</v>
      </c>
      <c r="F2114" t="s">
        <v>36</v>
      </c>
      <c r="G2114">
        <v>6.6</v>
      </c>
      <c r="H2114">
        <v>4.7</v>
      </c>
      <c r="I2114" t="str" cm="1">
        <f t="array" ref="I2114">_xlfn.IFS(G2114&lt;3, "0–2 Years", G2114&lt;6, "3–5 Years", G2114&lt;9, "6–8 Years", G2114&lt;12, "9-11 Years", G2114&gt;=12, "12-14 Years")</f>
        <v>6–8 Years</v>
      </c>
      <c r="J2114">
        <v>2</v>
      </c>
      <c r="K2114" t="s">
        <v>69</v>
      </c>
      <c r="L2114">
        <v>89000</v>
      </c>
      <c r="M2114">
        <v>7000</v>
      </c>
      <c r="N2114">
        <v>96000</v>
      </c>
      <c r="O2114" t="s">
        <v>30</v>
      </c>
      <c r="P2114" s="3">
        <v>43625</v>
      </c>
      <c r="Q2114" t="s">
        <v>36</v>
      </c>
    </row>
    <row r="2115" spans="1:17" x14ac:dyDescent="0.35">
      <c r="A2115" t="s">
        <v>2167</v>
      </c>
      <c r="B2115" t="s">
        <v>16</v>
      </c>
      <c r="C2115" s="7">
        <v>34</v>
      </c>
      <c r="D2115" t="s">
        <v>38</v>
      </c>
      <c r="E2115" t="s">
        <v>39</v>
      </c>
      <c r="F2115" t="s">
        <v>36</v>
      </c>
      <c r="G2115" s="9">
        <v>12.8</v>
      </c>
      <c r="H2115" s="7">
        <v>8</v>
      </c>
      <c r="I2115" t="str" cm="1">
        <f t="array" ref="I2115">_xlfn.IFS(G2115&lt;3, "0–2 Years", G2115&lt;6, "3–5 Years", G2115&lt;9, "6–8 Years", G2115&lt;12, "9-11 Years", G2115&gt;=12, "12-14 Years")</f>
        <v>12-14 Years</v>
      </c>
      <c r="J2115" s="7">
        <v>4</v>
      </c>
      <c r="K2115" t="s">
        <v>20</v>
      </c>
      <c r="L2115" s="7">
        <v>97600</v>
      </c>
      <c r="M2115" s="7">
        <v>8700</v>
      </c>
      <c r="N2115" s="7">
        <v>106300</v>
      </c>
      <c r="O2115" t="s">
        <v>30</v>
      </c>
      <c r="P2115" s="3">
        <v>41349</v>
      </c>
      <c r="Q2115" t="s">
        <v>36</v>
      </c>
    </row>
    <row r="2116" spans="1:17" x14ac:dyDescent="0.35">
      <c r="A2116" t="s">
        <v>2168</v>
      </c>
      <c r="B2116" t="s">
        <v>23</v>
      </c>
      <c r="C2116" s="7">
        <v>37</v>
      </c>
      <c r="D2116" t="s">
        <v>41</v>
      </c>
      <c r="E2116" t="s">
        <v>73</v>
      </c>
      <c r="F2116" t="s">
        <v>28</v>
      </c>
      <c r="G2116" s="9">
        <v>13.3</v>
      </c>
      <c r="H2116" s="7">
        <v>9.4</v>
      </c>
      <c r="I2116" t="str" cm="1">
        <f t="array" ref="I2116">_xlfn.IFS(G2116&lt;3, "0–2 Years", G2116&lt;6, "3–5 Years", G2116&lt;9, "6–8 Years", G2116&lt;12, "9-11 Years", G2116&gt;=12, "12-14 Years")</f>
        <v>12-14 Years</v>
      </c>
      <c r="J2116" s="7">
        <v>4</v>
      </c>
      <c r="K2116" t="s">
        <v>20</v>
      </c>
      <c r="L2116" s="7">
        <v>106600</v>
      </c>
      <c r="M2116" s="7">
        <v>8400</v>
      </c>
      <c r="N2116" s="7">
        <v>115000</v>
      </c>
      <c r="O2116" t="s">
        <v>57</v>
      </c>
      <c r="P2116" s="3">
        <v>41181</v>
      </c>
      <c r="Q2116" t="s">
        <v>28</v>
      </c>
    </row>
    <row r="2117" spans="1:17" x14ac:dyDescent="0.35">
      <c r="A2117" t="s">
        <v>2169</v>
      </c>
      <c r="B2117" t="s">
        <v>16</v>
      </c>
      <c r="C2117">
        <v>24</v>
      </c>
      <c r="D2117" t="s">
        <v>38</v>
      </c>
      <c r="E2117" t="s">
        <v>61</v>
      </c>
      <c r="F2117" t="s">
        <v>28</v>
      </c>
      <c r="G2117">
        <v>10.7</v>
      </c>
      <c r="H2117">
        <v>6.2</v>
      </c>
      <c r="I2117" t="str" cm="1">
        <f t="array" ref="I2117">_xlfn.IFS(G2117&lt;3, "0–2 Years", G2117&lt;6, "3–5 Years", G2117&lt;9, "6–8 Years", G2117&lt;12, "9-11 Years", G2117&gt;=12, "12-14 Years")</f>
        <v>9-11 Years</v>
      </c>
      <c r="J2117">
        <v>2</v>
      </c>
      <c r="K2117" t="s">
        <v>20</v>
      </c>
      <c r="L2117">
        <v>108600</v>
      </c>
      <c r="M2117">
        <v>6900</v>
      </c>
      <c r="N2117">
        <v>115500</v>
      </c>
      <c r="O2117" t="s">
        <v>57</v>
      </c>
      <c r="P2117" s="3">
        <v>42105</v>
      </c>
      <c r="Q2117" t="s">
        <v>28</v>
      </c>
    </row>
    <row r="2118" spans="1:17" x14ac:dyDescent="0.35">
      <c r="A2118" t="s">
        <v>2170</v>
      </c>
      <c r="B2118" t="s">
        <v>23</v>
      </c>
      <c r="C2118">
        <v>24</v>
      </c>
      <c r="D2118" t="s">
        <v>44</v>
      </c>
      <c r="E2118" t="s">
        <v>51</v>
      </c>
      <c r="F2118" t="s">
        <v>36</v>
      </c>
      <c r="G2118">
        <v>9.9</v>
      </c>
      <c r="H2118">
        <v>8.4</v>
      </c>
      <c r="I2118" t="str" cm="1">
        <f t="array" ref="I2118">_xlfn.IFS(G2118&lt;3, "0–2 Years", G2118&lt;6, "3–5 Years", G2118&lt;9, "6–8 Years", G2118&lt;12, "9-11 Years", G2118&gt;=12, "12-14 Years")</f>
        <v>9-11 Years</v>
      </c>
      <c r="J2118">
        <v>3</v>
      </c>
      <c r="K2118" t="s">
        <v>69</v>
      </c>
      <c r="L2118">
        <v>69800</v>
      </c>
      <c r="M2118">
        <v>5900</v>
      </c>
      <c r="N2118">
        <v>75700</v>
      </c>
      <c r="O2118" t="s">
        <v>21</v>
      </c>
      <c r="P2118" s="3">
        <v>42389</v>
      </c>
      <c r="Q2118" t="s">
        <v>36</v>
      </c>
    </row>
    <row r="2119" spans="1:17" x14ac:dyDescent="0.35">
      <c r="A2119" t="s">
        <v>2171</v>
      </c>
      <c r="B2119" t="s">
        <v>23</v>
      </c>
      <c r="C2119">
        <v>26</v>
      </c>
      <c r="D2119" t="s">
        <v>44</v>
      </c>
      <c r="E2119" t="s">
        <v>45</v>
      </c>
      <c r="F2119" t="s">
        <v>28</v>
      </c>
      <c r="G2119">
        <v>8.8000000000000007</v>
      </c>
      <c r="H2119">
        <v>6.6</v>
      </c>
      <c r="I2119" t="str" cm="1">
        <f t="array" ref="I2119">_xlfn.IFS(G2119&lt;3, "0–2 Years", G2119&lt;6, "3–5 Years", G2119&lt;9, "6–8 Years", G2119&lt;12, "9-11 Years", G2119&gt;=12, "12-14 Years")</f>
        <v>6–8 Years</v>
      </c>
      <c r="J2119">
        <v>4</v>
      </c>
      <c r="K2119" t="s">
        <v>20</v>
      </c>
      <c r="L2119">
        <v>77900</v>
      </c>
      <c r="M2119">
        <v>4100</v>
      </c>
      <c r="N2119">
        <v>82000</v>
      </c>
      <c r="O2119" t="s">
        <v>21</v>
      </c>
      <c r="P2119" s="3">
        <v>42792</v>
      </c>
      <c r="Q2119" t="s">
        <v>28</v>
      </c>
    </row>
    <row r="2120" spans="1:17" x14ac:dyDescent="0.35">
      <c r="A2120" t="s">
        <v>2172</v>
      </c>
      <c r="B2120" t="s">
        <v>23</v>
      </c>
      <c r="C2120">
        <v>39</v>
      </c>
      <c r="D2120" t="s">
        <v>38</v>
      </c>
      <c r="E2120" t="s">
        <v>61</v>
      </c>
      <c r="F2120" t="s">
        <v>28</v>
      </c>
      <c r="G2120">
        <v>7.8</v>
      </c>
      <c r="H2120">
        <v>6</v>
      </c>
      <c r="I2120" t="str" cm="1">
        <f t="array" ref="I2120">_xlfn.IFS(G2120&lt;3, "0–2 Years", G2120&lt;6, "3–5 Years", G2120&lt;9, "6–8 Years", G2120&lt;12, "9-11 Years", G2120&gt;=12, "12-14 Years")</f>
        <v>6–8 Years</v>
      </c>
      <c r="J2120">
        <v>3</v>
      </c>
      <c r="K2120" t="s">
        <v>20</v>
      </c>
      <c r="L2120">
        <v>109200</v>
      </c>
      <c r="M2120">
        <v>11200</v>
      </c>
      <c r="N2120">
        <v>120400</v>
      </c>
      <c r="O2120" t="s">
        <v>57</v>
      </c>
      <c r="P2120" s="3">
        <v>43156</v>
      </c>
      <c r="Q2120" t="s">
        <v>28</v>
      </c>
    </row>
    <row r="2121" spans="1:17" x14ac:dyDescent="0.35">
      <c r="A2121" t="s">
        <v>2173</v>
      </c>
      <c r="B2121" t="s">
        <v>16</v>
      </c>
      <c r="C2121">
        <v>24</v>
      </c>
      <c r="D2121" t="s">
        <v>55</v>
      </c>
      <c r="E2121" t="s">
        <v>56</v>
      </c>
      <c r="F2121" t="s">
        <v>28</v>
      </c>
      <c r="G2121">
        <v>8.6</v>
      </c>
      <c r="H2121">
        <v>5.3</v>
      </c>
      <c r="I2121" t="str" cm="1">
        <f t="array" ref="I2121">_xlfn.IFS(G2121&lt;3, "0–2 Years", G2121&lt;6, "3–5 Years", G2121&lt;9, "6–8 Years", G2121&lt;12, "9-11 Years", G2121&gt;=12, "12-14 Years")</f>
        <v>6–8 Years</v>
      </c>
      <c r="J2121">
        <v>3</v>
      </c>
      <c r="K2121" t="s">
        <v>20</v>
      </c>
      <c r="L2121">
        <v>90900</v>
      </c>
      <c r="M2121">
        <v>7600</v>
      </c>
      <c r="N2121">
        <v>98500</v>
      </c>
      <c r="O2121" t="s">
        <v>30</v>
      </c>
      <c r="P2121" s="3">
        <v>42876</v>
      </c>
      <c r="Q2121" t="s">
        <v>28</v>
      </c>
    </row>
    <row r="2122" spans="1:17" x14ac:dyDescent="0.35">
      <c r="A2122" t="s">
        <v>2174</v>
      </c>
      <c r="B2122" t="s">
        <v>23</v>
      </c>
      <c r="C2122">
        <v>28</v>
      </c>
      <c r="D2122" t="s">
        <v>41</v>
      </c>
      <c r="E2122" t="s">
        <v>67</v>
      </c>
      <c r="F2122" t="s">
        <v>28</v>
      </c>
      <c r="G2122">
        <v>9.1999999999999993</v>
      </c>
      <c r="H2122">
        <v>6.9</v>
      </c>
      <c r="I2122" t="str" cm="1">
        <f t="array" ref="I2122">_xlfn.IFS(G2122&lt;3, "0–2 Years", G2122&lt;6, "3–5 Years", G2122&lt;9, "6–8 Years", G2122&lt;12, "9-11 Years", G2122&gt;=12, "12-14 Years")</f>
        <v>9-11 Years</v>
      </c>
      <c r="J2122">
        <v>4</v>
      </c>
      <c r="K2122" t="s">
        <v>20</v>
      </c>
      <c r="L2122">
        <v>76700</v>
      </c>
      <c r="M2122">
        <v>6800</v>
      </c>
      <c r="N2122">
        <v>83500</v>
      </c>
      <c r="O2122" t="s">
        <v>21</v>
      </c>
      <c r="P2122" s="3">
        <v>42659</v>
      </c>
      <c r="Q2122" t="s">
        <v>28</v>
      </c>
    </row>
    <row r="2123" spans="1:17" x14ac:dyDescent="0.35">
      <c r="A2123" t="s">
        <v>2175</v>
      </c>
      <c r="B2123" t="s">
        <v>16</v>
      </c>
      <c r="C2123">
        <v>25</v>
      </c>
      <c r="D2123" t="s">
        <v>44</v>
      </c>
      <c r="E2123" t="s">
        <v>51</v>
      </c>
      <c r="F2123" t="s">
        <v>36</v>
      </c>
      <c r="G2123">
        <v>4.2</v>
      </c>
      <c r="H2123">
        <v>1.6</v>
      </c>
      <c r="I2123" t="str" cm="1">
        <f t="array" ref="I2123">_xlfn.IFS(G2123&lt;3, "0–2 Years", G2123&lt;6, "3–5 Years", G2123&lt;9, "6–8 Years", G2123&lt;12, "9-11 Years", G2123&gt;=12, "12-14 Years")</f>
        <v>3–5 Years</v>
      </c>
      <c r="J2123">
        <v>5</v>
      </c>
      <c r="K2123" t="s">
        <v>20</v>
      </c>
      <c r="L2123">
        <v>90100</v>
      </c>
      <c r="M2123">
        <v>12700</v>
      </c>
      <c r="N2123">
        <v>102800</v>
      </c>
      <c r="O2123" t="s">
        <v>30</v>
      </c>
      <c r="P2123" s="3">
        <v>44506</v>
      </c>
      <c r="Q2123" t="s">
        <v>36</v>
      </c>
    </row>
    <row r="2124" spans="1:17" x14ac:dyDescent="0.35">
      <c r="A2124" t="s">
        <v>2176</v>
      </c>
      <c r="B2124" t="s">
        <v>23</v>
      </c>
      <c r="C2124">
        <v>33</v>
      </c>
      <c r="D2124" t="s">
        <v>17</v>
      </c>
      <c r="E2124" t="s">
        <v>18</v>
      </c>
      <c r="F2124" t="s">
        <v>36</v>
      </c>
      <c r="G2124">
        <v>5.6</v>
      </c>
      <c r="H2124">
        <v>1.9</v>
      </c>
      <c r="I2124" t="str" cm="1">
        <f t="array" ref="I2124">_xlfn.IFS(G2124&lt;3, "0–2 Years", G2124&lt;6, "3–5 Years", G2124&lt;9, "6–8 Years", G2124&lt;12, "9-11 Years", G2124&gt;=12, "12-14 Years")</f>
        <v>3–5 Years</v>
      </c>
      <c r="J2124">
        <v>3</v>
      </c>
      <c r="K2124" t="s">
        <v>69</v>
      </c>
      <c r="L2124">
        <v>75500</v>
      </c>
      <c r="M2124">
        <v>10000</v>
      </c>
      <c r="N2124">
        <v>85500</v>
      </c>
      <c r="O2124" t="s">
        <v>21</v>
      </c>
      <c r="P2124" s="3">
        <v>43966</v>
      </c>
      <c r="Q2124" t="s">
        <v>36</v>
      </c>
    </row>
    <row r="2125" spans="1:17" x14ac:dyDescent="0.35">
      <c r="A2125" t="s">
        <v>2177</v>
      </c>
      <c r="B2125" t="s">
        <v>16</v>
      </c>
      <c r="C2125">
        <v>29</v>
      </c>
      <c r="D2125" t="s">
        <v>34</v>
      </c>
      <c r="E2125" t="s">
        <v>59</v>
      </c>
      <c r="F2125" t="s">
        <v>36</v>
      </c>
      <c r="G2125">
        <v>9.3000000000000007</v>
      </c>
      <c r="H2125">
        <v>6</v>
      </c>
      <c r="I2125" t="str" cm="1">
        <f t="array" ref="I2125">_xlfn.IFS(G2125&lt;3, "0–2 Years", G2125&lt;6, "3–5 Years", G2125&lt;9, "6–8 Years", G2125&lt;12, "9-11 Years", G2125&gt;=12, "12-14 Years")</f>
        <v>9-11 Years</v>
      </c>
      <c r="J2125">
        <v>3</v>
      </c>
      <c r="K2125" t="s">
        <v>20</v>
      </c>
      <c r="L2125">
        <v>111100</v>
      </c>
      <c r="M2125">
        <v>10700</v>
      </c>
      <c r="N2125">
        <v>121800</v>
      </c>
      <c r="O2125" t="s">
        <v>57</v>
      </c>
      <c r="P2125" s="3">
        <v>42619</v>
      </c>
      <c r="Q2125" t="s">
        <v>36</v>
      </c>
    </row>
    <row r="2126" spans="1:17" x14ac:dyDescent="0.35">
      <c r="A2126" t="s">
        <v>2178</v>
      </c>
      <c r="B2126" t="s">
        <v>23</v>
      </c>
      <c r="C2126">
        <v>42</v>
      </c>
      <c r="D2126" t="s">
        <v>17</v>
      </c>
      <c r="E2126" t="s">
        <v>18</v>
      </c>
      <c r="F2126" t="s">
        <v>28</v>
      </c>
      <c r="G2126">
        <v>3.8</v>
      </c>
      <c r="H2126">
        <v>3.8</v>
      </c>
      <c r="I2126" t="str" cm="1">
        <f t="array" ref="I2126">_xlfn.IFS(G2126&lt;3, "0–2 Years", G2126&lt;6, "3–5 Years", G2126&lt;9, "6–8 Years", G2126&lt;12, "9-11 Years", G2126&gt;=12, "12-14 Years")</f>
        <v>3–5 Years</v>
      </c>
      <c r="J2126">
        <v>3</v>
      </c>
      <c r="K2126" t="s">
        <v>24</v>
      </c>
      <c r="L2126">
        <v>64500</v>
      </c>
      <c r="M2126">
        <v>7700</v>
      </c>
      <c r="N2126">
        <v>72200</v>
      </c>
      <c r="O2126" t="s">
        <v>25</v>
      </c>
      <c r="P2126" s="3">
        <v>44629</v>
      </c>
      <c r="Q2126" t="s">
        <v>28</v>
      </c>
    </row>
    <row r="2127" spans="1:17" x14ac:dyDescent="0.35">
      <c r="A2127" t="s">
        <v>2179</v>
      </c>
      <c r="B2127" t="s">
        <v>23</v>
      </c>
      <c r="C2127">
        <v>45</v>
      </c>
      <c r="D2127" t="s">
        <v>44</v>
      </c>
      <c r="E2127" t="s">
        <v>76</v>
      </c>
      <c r="F2127" t="s">
        <v>28</v>
      </c>
      <c r="G2127">
        <v>9</v>
      </c>
      <c r="H2127">
        <v>4.9000000000000004</v>
      </c>
      <c r="I2127" t="str" cm="1">
        <f t="array" ref="I2127">_xlfn.IFS(G2127&lt;3, "0–2 Years", G2127&lt;6, "3–5 Years", G2127&lt;9, "6–8 Years", G2127&lt;12, "9-11 Years", G2127&gt;=12, "12-14 Years")</f>
        <v>9-11 Years</v>
      </c>
      <c r="J2127">
        <v>3</v>
      </c>
      <c r="K2127" t="s">
        <v>20</v>
      </c>
      <c r="L2127">
        <v>118800</v>
      </c>
      <c r="M2127">
        <v>9200</v>
      </c>
      <c r="N2127">
        <v>128000</v>
      </c>
      <c r="O2127" t="s">
        <v>57</v>
      </c>
      <c r="P2127" s="3">
        <v>42730</v>
      </c>
      <c r="Q2127" t="s">
        <v>28</v>
      </c>
    </row>
    <row r="2128" spans="1:17" x14ac:dyDescent="0.35">
      <c r="A2128" t="s">
        <v>2180</v>
      </c>
      <c r="B2128" t="s">
        <v>23</v>
      </c>
      <c r="C2128">
        <v>34</v>
      </c>
      <c r="D2128" t="s">
        <v>17</v>
      </c>
      <c r="E2128" t="s">
        <v>27</v>
      </c>
      <c r="F2128" t="s">
        <v>28</v>
      </c>
      <c r="G2128">
        <v>9.4</v>
      </c>
      <c r="H2128">
        <v>6.9</v>
      </c>
      <c r="I2128" t="str" cm="1">
        <f t="array" ref="I2128">_xlfn.IFS(G2128&lt;3, "0–2 Years", G2128&lt;6, "3–5 Years", G2128&lt;9, "6–8 Years", G2128&lt;12, "9-11 Years", G2128&gt;=12, "12-14 Years")</f>
        <v>9-11 Years</v>
      </c>
      <c r="J2128">
        <v>3</v>
      </c>
      <c r="K2128" t="s">
        <v>20</v>
      </c>
      <c r="L2128">
        <v>78100</v>
      </c>
      <c r="M2128">
        <v>8900</v>
      </c>
      <c r="N2128">
        <v>87000</v>
      </c>
      <c r="O2128" t="s">
        <v>21</v>
      </c>
      <c r="P2128" s="3">
        <v>42592</v>
      </c>
      <c r="Q2128" t="s">
        <v>28</v>
      </c>
    </row>
    <row r="2129" spans="1:17" x14ac:dyDescent="0.35">
      <c r="A2129" t="s">
        <v>2181</v>
      </c>
      <c r="B2129" t="s">
        <v>23</v>
      </c>
      <c r="C2129">
        <v>52</v>
      </c>
      <c r="D2129" t="s">
        <v>38</v>
      </c>
      <c r="E2129" t="s">
        <v>39</v>
      </c>
      <c r="F2129" t="s">
        <v>19</v>
      </c>
      <c r="G2129">
        <v>9</v>
      </c>
      <c r="H2129">
        <v>5.9</v>
      </c>
      <c r="I2129" t="str" cm="1">
        <f t="array" ref="I2129">_xlfn.IFS(G2129&lt;3, "0–2 Years", G2129&lt;6, "3–5 Years", G2129&lt;9, "6–8 Years", G2129&lt;12, "9-11 Years", G2129&gt;=12, "12-14 Years")</f>
        <v>9-11 Years</v>
      </c>
      <c r="J2129">
        <v>2</v>
      </c>
      <c r="K2129" t="s">
        <v>20</v>
      </c>
      <c r="L2129">
        <v>67200</v>
      </c>
      <c r="M2129">
        <v>6100</v>
      </c>
      <c r="N2129">
        <v>73300</v>
      </c>
      <c r="O2129" t="s">
        <v>21</v>
      </c>
      <c r="P2129" s="3">
        <v>42722</v>
      </c>
      <c r="Q2129" t="s">
        <v>19</v>
      </c>
    </row>
    <row r="2130" spans="1:17" x14ac:dyDescent="0.35">
      <c r="A2130" t="s">
        <v>2182</v>
      </c>
      <c r="B2130" t="s">
        <v>23</v>
      </c>
      <c r="C2130">
        <v>41</v>
      </c>
      <c r="D2130" t="s">
        <v>34</v>
      </c>
      <c r="E2130" t="s">
        <v>47</v>
      </c>
      <c r="F2130" t="s">
        <v>28</v>
      </c>
      <c r="G2130">
        <v>4</v>
      </c>
      <c r="H2130">
        <v>1.2</v>
      </c>
      <c r="I2130" t="str" cm="1">
        <f t="array" ref="I2130">_xlfn.IFS(G2130&lt;3, "0–2 Years", G2130&lt;6, "3–5 Years", G2130&lt;9, "6–8 Years", G2130&lt;12, "9-11 Years", G2130&gt;=12, "12-14 Years")</f>
        <v>3–5 Years</v>
      </c>
      <c r="J2130">
        <v>3</v>
      </c>
      <c r="K2130" t="s">
        <v>20</v>
      </c>
      <c r="L2130">
        <v>76700</v>
      </c>
      <c r="M2130">
        <v>4900</v>
      </c>
      <c r="N2130">
        <v>81600</v>
      </c>
      <c r="O2130" t="s">
        <v>21</v>
      </c>
      <c r="P2130" s="3">
        <v>44575</v>
      </c>
      <c r="Q2130" t="s">
        <v>28</v>
      </c>
    </row>
    <row r="2131" spans="1:17" x14ac:dyDescent="0.35">
      <c r="A2131" t="s">
        <v>2183</v>
      </c>
      <c r="B2131" t="s">
        <v>16</v>
      </c>
      <c r="C2131">
        <v>47</v>
      </c>
      <c r="D2131" t="s">
        <v>38</v>
      </c>
      <c r="E2131" t="s">
        <v>39</v>
      </c>
      <c r="F2131" t="s">
        <v>36</v>
      </c>
      <c r="G2131">
        <v>11.6</v>
      </c>
      <c r="H2131">
        <v>8.3000000000000007</v>
      </c>
      <c r="I2131" t="str" cm="1">
        <f t="array" ref="I2131">_xlfn.IFS(G2131&lt;3, "0–2 Years", G2131&lt;6, "3–5 Years", G2131&lt;9, "6–8 Years", G2131&lt;12, "9-11 Years", G2131&gt;=12, "12-14 Years")</f>
        <v>9-11 Years</v>
      </c>
      <c r="J2131">
        <v>3</v>
      </c>
      <c r="K2131" t="s">
        <v>24</v>
      </c>
      <c r="L2131">
        <v>61100</v>
      </c>
      <c r="M2131">
        <v>4700</v>
      </c>
      <c r="N2131">
        <v>65800</v>
      </c>
      <c r="O2131" t="s">
        <v>25</v>
      </c>
      <c r="P2131" s="3">
        <v>41804</v>
      </c>
      <c r="Q2131" t="s">
        <v>36</v>
      </c>
    </row>
    <row r="2132" spans="1:17" x14ac:dyDescent="0.35">
      <c r="A2132" t="s">
        <v>2184</v>
      </c>
      <c r="B2132" t="s">
        <v>23</v>
      </c>
      <c r="C2132" s="7">
        <v>47</v>
      </c>
      <c r="D2132" t="s">
        <v>17</v>
      </c>
      <c r="E2132" t="s">
        <v>18</v>
      </c>
      <c r="F2132" t="s">
        <v>36</v>
      </c>
      <c r="G2132" s="9">
        <v>13.8</v>
      </c>
      <c r="H2132" s="7">
        <v>8.5</v>
      </c>
      <c r="I2132" t="str" cm="1">
        <f t="array" ref="I2132">_xlfn.IFS(G2132&lt;3, "0–2 Years", G2132&lt;6, "3–5 Years", G2132&lt;9, "6–8 Years", G2132&lt;12, "9-11 Years", G2132&gt;=12, "12-14 Years")</f>
        <v>12-14 Years</v>
      </c>
      <c r="J2132" s="7">
        <v>5</v>
      </c>
      <c r="K2132" t="s">
        <v>20</v>
      </c>
      <c r="L2132" s="7">
        <v>106600</v>
      </c>
      <c r="M2132" s="7">
        <v>11200</v>
      </c>
      <c r="N2132" s="7">
        <v>117800</v>
      </c>
      <c r="O2132" t="s">
        <v>57</v>
      </c>
      <c r="P2132" s="3">
        <v>40986</v>
      </c>
      <c r="Q2132" t="s">
        <v>36</v>
      </c>
    </row>
    <row r="2133" spans="1:17" x14ac:dyDescent="0.35">
      <c r="A2133" t="s">
        <v>2185</v>
      </c>
      <c r="B2133" t="s">
        <v>23</v>
      </c>
      <c r="C2133">
        <v>29</v>
      </c>
      <c r="D2133" t="s">
        <v>55</v>
      </c>
      <c r="E2133" t="s">
        <v>92</v>
      </c>
      <c r="F2133" t="s">
        <v>36</v>
      </c>
      <c r="G2133">
        <v>10.4</v>
      </c>
      <c r="H2133">
        <v>7.7</v>
      </c>
      <c r="I2133" t="str" cm="1">
        <f t="array" ref="I2133">_xlfn.IFS(G2133&lt;3, "0–2 Years", G2133&lt;6, "3–5 Years", G2133&lt;9, "6–8 Years", G2133&lt;12, "9-11 Years", G2133&gt;=12, "12-14 Years")</f>
        <v>9-11 Years</v>
      </c>
      <c r="J2133">
        <v>3</v>
      </c>
      <c r="K2133" t="s">
        <v>20</v>
      </c>
      <c r="L2133">
        <v>123100</v>
      </c>
      <c r="M2133">
        <v>14800</v>
      </c>
      <c r="N2133">
        <v>137900</v>
      </c>
      <c r="O2133" t="s">
        <v>57</v>
      </c>
      <c r="P2133" s="3">
        <v>42241</v>
      </c>
      <c r="Q2133" t="s">
        <v>36</v>
      </c>
    </row>
    <row r="2134" spans="1:17" x14ac:dyDescent="0.35">
      <c r="A2134" t="s">
        <v>2186</v>
      </c>
      <c r="B2134" t="s">
        <v>23</v>
      </c>
      <c r="C2134">
        <v>42</v>
      </c>
      <c r="D2134" t="s">
        <v>55</v>
      </c>
      <c r="E2134" t="s">
        <v>79</v>
      </c>
      <c r="F2134" t="s">
        <v>36</v>
      </c>
      <c r="G2134">
        <v>5.5</v>
      </c>
      <c r="H2134">
        <v>4.0999999999999996</v>
      </c>
      <c r="I2134" t="str" cm="1">
        <f t="array" ref="I2134">_xlfn.IFS(G2134&lt;3, "0–2 Years", G2134&lt;6, "3–5 Years", G2134&lt;9, "6–8 Years", G2134&lt;12, "9-11 Years", G2134&gt;=12, "12-14 Years")</f>
        <v>3–5 Years</v>
      </c>
      <c r="J2134">
        <v>4</v>
      </c>
      <c r="K2134" t="s">
        <v>24</v>
      </c>
      <c r="L2134">
        <v>42300</v>
      </c>
      <c r="M2134">
        <v>7800</v>
      </c>
      <c r="N2134">
        <v>50100</v>
      </c>
      <c r="O2134" t="s">
        <v>65</v>
      </c>
      <c r="P2134" s="3">
        <v>44009</v>
      </c>
      <c r="Q2134" t="s">
        <v>36</v>
      </c>
    </row>
    <row r="2135" spans="1:17" x14ac:dyDescent="0.35">
      <c r="A2135" t="s">
        <v>2187</v>
      </c>
      <c r="B2135" t="s">
        <v>23</v>
      </c>
      <c r="C2135">
        <v>23</v>
      </c>
      <c r="D2135" t="s">
        <v>38</v>
      </c>
      <c r="E2135" t="s">
        <v>112</v>
      </c>
      <c r="F2135" t="s">
        <v>36</v>
      </c>
      <c r="G2135">
        <v>7.4</v>
      </c>
      <c r="H2135">
        <v>5.2</v>
      </c>
      <c r="I2135" t="str" cm="1">
        <f t="array" ref="I2135">_xlfn.IFS(G2135&lt;3, "0–2 Years", G2135&lt;6, "3–5 Years", G2135&lt;9, "6–8 Years", G2135&lt;12, "9-11 Years", G2135&gt;=12, "12-14 Years")</f>
        <v>6–8 Years</v>
      </c>
      <c r="J2135">
        <v>2</v>
      </c>
      <c r="K2135" t="s">
        <v>20</v>
      </c>
      <c r="L2135">
        <v>71000</v>
      </c>
      <c r="M2135">
        <v>5000</v>
      </c>
      <c r="N2135">
        <v>76000</v>
      </c>
      <c r="O2135" t="s">
        <v>21</v>
      </c>
      <c r="P2135" s="3">
        <v>43329</v>
      </c>
      <c r="Q2135" t="s">
        <v>36</v>
      </c>
    </row>
    <row r="2136" spans="1:17" x14ac:dyDescent="0.35">
      <c r="A2136" t="s">
        <v>2188</v>
      </c>
      <c r="B2136" t="s">
        <v>16</v>
      </c>
      <c r="C2136" s="7">
        <v>28</v>
      </c>
      <c r="D2136" t="s">
        <v>38</v>
      </c>
      <c r="E2136" t="s">
        <v>61</v>
      </c>
      <c r="F2136" t="s">
        <v>36</v>
      </c>
      <c r="G2136" s="9">
        <v>13.2</v>
      </c>
      <c r="H2136" s="7">
        <v>6.2</v>
      </c>
      <c r="I2136" t="str" cm="1">
        <f t="array" ref="I2136">_xlfn.IFS(G2136&lt;3, "0–2 Years", G2136&lt;6, "3–5 Years", G2136&lt;9, "6–8 Years", G2136&lt;12, "9-11 Years", G2136&gt;=12, "12-14 Years")</f>
        <v>12-14 Years</v>
      </c>
      <c r="J2136" s="7">
        <v>3</v>
      </c>
      <c r="K2136" t="s">
        <v>20</v>
      </c>
      <c r="L2136" s="7">
        <v>106400</v>
      </c>
      <c r="M2136" s="7">
        <v>4400</v>
      </c>
      <c r="N2136" s="7">
        <v>110800</v>
      </c>
      <c r="O2136" t="s">
        <v>57</v>
      </c>
      <c r="P2136" s="3">
        <v>41195</v>
      </c>
      <c r="Q2136" t="s">
        <v>36</v>
      </c>
    </row>
    <row r="2137" spans="1:17" x14ac:dyDescent="0.35">
      <c r="A2137" t="s">
        <v>2189</v>
      </c>
      <c r="B2137" t="s">
        <v>16</v>
      </c>
      <c r="C2137">
        <v>33</v>
      </c>
      <c r="D2137" t="s">
        <v>41</v>
      </c>
      <c r="E2137" t="s">
        <v>67</v>
      </c>
      <c r="F2137" t="s">
        <v>36</v>
      </c>
      <c r="G2137">
        <v>2.7</v>
      </c>
      <c r="H2137">
        <v>0.9</v>
      </c>
      <c r="I2137" t="str" cm="1">
        <f t="array" ref="I2137">_xlfn.IFS(G2137&lt;3, "0–2 Years", G2137&lt;6, "3–5 Years", G2137&lt;9, "6–8 Years", G2137&lt;12, "9-11 Years", G2137&gt;=12, "12-14 Years")</f>
        <v>0–2 Years</v>
      </c>
      <c r="J2137">
        <v>4</v>
      </c>
      <c r="K2137" t="s">
        <v>20</v>
      </c>
      <c r="L2137">
        <v>59400</v>
      </c>
      <c r="M2137">
        <v>3500</v>
      </c>
      <c r="N2137">
        <v>62900</v>
      </c>
      <c r="O2137" t="s">
        <v>25</v>
      </c>
      <c r="P2137" s="3">
        <v>45052</v>
      </c>
      <c r="Q2137" t="s">
        <v>36</v>
      </c>
    </row>
    <row r="2138" spans="1:17" x14ac:dyDescent="0.35">
      <c r="A2138" t="s">
        <v>2190</v>
      </c>
      <c r="B2138" t="s">
        <v>16</v>
      </c>
      <c r="C2138">
        <v>36</v>
      </c>
      <c r="D2138" t="s">
        <v>55</v>
      </c>
      <c r="E2138" t="s">
        <v>79</v>
      </c>
      <c r="F2138" t="s">
        <v>28</v>
      </c>
      <c r="G2138">
        <v>4.9000000000000004</v>
      </c>
      <c r="H2138">
        <v>3.7</v>
      </c>
      <c r="I2138" t="str" cm="1">
        <f t="array" ref="I2138">_xlfn.IFS(G2138&lt;3, "0–2 Years", G2138&lt;6, "3–5 Years", G2138&lt;9, "6–8 Years", G2138&lt;12, "9-11 Years", G2138&gt;=12, "12-14 Years")</f>
        <v>3–5 Years</v>
      </c>
      <c r="J2138">
        <v>3</v>
      </c>
      <c r="K2138" t="s">
        <v>20</v>
      </c>
      <c r="L2138">
        <v>62700</v>
      </c>
      <c r="M2138">
        <v>5600</v>
      </c>
      <c r="N2138">
        <v>68300</v>
      </c>
      <c r="O2138" t="s">
        <v>25</v>
      </c>
      <c r="P2138" s="3">
        <v>44250</v>
      </c>
      <c r="Q2138" t="s">
        <v>28</v>
      </c>
    </row>
    <row r="2139" spans="1:17" x14ac:dyDescent="0.35">
      <c r="A2139" t="s">
        <v>2191</v>
      </c>
      <c r="B2139" t="s">
        <v>16</v>
      </c>
      <c r="C2139">
        <v>34</v>
      </c>
      <c r="D2139" t="s">
        <v>38</v>
      </c>
      <c r="E2139" t="s">
        <v>39</v>
      </c>
      <c r="F2139" t="s">
        <v>28</v>
      </c>
      <c r="G2139">
        <v>10.5</v>
      </c>
      <c r="H2139">
        <v>6.6</v>
      </c>
      <c r="I2139" t="str" cm="1">
        <f t="array" ref="I2139">_xlfn.IFS(G2139&lt;3, "0–2 Years", G2139&lt;6, "3–5 Years", G2139&lt;9, "6–8 Years", G2139&lt;12, "9-11 Years", G2139&gt;=12, "12-14 Years")</f>
        <v>9-11 Years</v>
      </c>
      <c r="J2139">
        <v>3</v>
      </c>
      <c r="K2139" t="s">
        <v>20</v>
      </c>
      <c r="L2139">
        <v>85500</v>
      </c>
      <c r="M2139">
        <v>8000</v>
      </c>
      <c r="N2139">
        <v>93500</v>
      </c>
      <c r="O2139" t="s">
        <v>30</v>
      </c>
      <c r="P2139" s="3">
        <v>42193</v>
      </c>
      <c r="Q2139" t="s">
        <v>28</v>
      </c>
    </row>
    <row r="2140" spans="1:17" x14ac:dyDescent="0.35">
      <c r="A2140" t="s">
        <v>2192</v>
      </c>
      <c r="B2140" t="s">
        <v>23</v>
      </c>
      <c r="C2140">
        <v>51</v>
      </c>
      <c r="D2140" t="s">
        <v>34</v>
      </c>
      <c r="E2140" t="s">
        <v>35</v>
      </c>
      <c r="F2140" t="s">
        <v>28</v>
      </c>
      <c r="G2140">
        <v>6.7</v>
      </c>
      <c r="H2140">
        <v>5.0999999999999996</v>
      </c>
      <c r="I2140" t="str" cm="1">
        <f t="array" ref="I2140">_xlfn.IFS(G2140&lt;3, "0–2 Years", G2140&lt;6, "3–5 Years", G2140&lt;9, "6–8 Years", G2140&lt;12, "9-11 Years", G2140&gt;=12, "12-14 Years")</f>
        <v>6–8 Years</v>
      </c>
      <c r="J2140">
        <v>3</v>
      </c>
      <c r="K2140" t="s">
        <v>69</v>
      </c>
      <c r="L2140">
        <v>61300</v>
      </c>
      <c r="M2140">
        <v>2700</v>
      </c>
      <c r="N2140">
        <v>64000</v>
      </c>
      <c r="O2140" t="s">
        <v>25</v>
      </c>
      <c r="P2140" s="3">
        <v>43591</v>
      </c>
      <c r="Q2140" t="s">
        <v>28</v>
      </c>
    </row>
    <row r="2141" spans="1:17" x14ac:dyDescent="0.35">
      <c r="A2141" t="s">
        <v>2193</v>
      </c>
      <c r="B2141" t="s">
        <v>23</v>
      </c>
      <c r="C2141">
        <v>29</v>
      </c>
      <c r="D2141" t="s">
        <v>41</v>
      </c>
      <c r="E2141" t="s">
        <v>73</v>
      </c>
      <c r="F2141" t="s">
        <v>28</v>
      </c>
      <c r="G2141">
        <v>5.2</v>
      </c>
      <c r="H2141">
        <v>2.4</v>
      </c>
      <c r="I2141" t="str" cm="1">
        <f t="array" ref="I2141">_xlfn.IFS(G2141&lt;3, "0–2 Years", G2141&lt;6, "3–5 Years", G2141&lt;9, "6–8 Years", G2141&lt;12, "9-11 Years", G2141&gt;=12, "12-14 Years")</f>
        <v>3–5 Years</v>
      </c>
      <c r="J2141">
        <v>3</v>
      </c>
      <c r="K2141" t="s">
        <v>20</v>
      </c>
      <c r="L2141">
        <v>100300</v>
      </c>
      <c r="M2141">
        <v>6000</v>
      </c>
      <c r="N2141">
        <v>106300</v>
      </c>
      <c r="O2141" t="s">
        <v>57</v>
      </c>
      <c r="P2141" s="3">
        <v>44108</v>
      </c>
      <c r="Q2141" t="s">
        <v>28</v>
      </c>
    </row>
    <row r="2142" spans="1:17" x14ac:dyDescent="0.35">
      <c r="A2142" t="s">
        <v>2194</v>
      </c>
      <c r="B2142" t="s">
        <v>23</v>
      </c>
      <c r="C2142">
        <v>28</v>
      </c>
      <c r="D2142" t="s">
        <v>55</v>
      </c>
      <c r="E2142" t="s">
        <v>92</v>
      </c>
      <c r="F2142" t="s">
        <v>28</v>
      </c>
      <c r="G2142">
        <v>9.1</v>
      </c>
      <c r="H2142">
        <v>5.8</v>
      </c>
      <c r="I2142" t="str" cm="1">
        <f t="array" ref="I2142">_xlfn.IFS(G2142&lt;3, "0–2 Years", G2142&lt;6, "3–5 Years", G2142&lt;9, "6–8 Years", G2142&lt;12, "9-11 Years", G2142&gt;=12, "12-14 Years")</f>
        <v>9-11 Years</v>
      </c>
      <c r="J2142">
        <v>3</v>
      </c>
      <c r="K2142" t="s">
        <v>20</v>
      </c>
      <c r="L2142">
        <v>101200</v>
      </c>
      <c r="M2142">
        <v>19700</v>
      </c>
      <c r="N2142">
        <v>120900</v>
      </c>
      <c r="O2142" t="s">
        <v>57</v>
      </c>
      <c r="P2142" s="3">
        <v>42710</v>
      </c>
      <c r="Q2142" t="s">
        <v>28</v>
      </c>
    </row>
    <row r="2143" spans="1:17" x14ac:dyDescent="0.35">
      <c r="A2143" t="s">
        <v>2195</v>
      </c>
      <c r="B2143" t="s">
        <v>23</v>
      </c>
      <c r="C2143">
        <v>23</v>
      </c>
      <c r="D2143" t="s">
        <v>34</v>
      </c>
      <c r="E2143" t="s">
        <v>35</v>
      </c>
      <c r="F2143" t="s">
        <v>28</v>
      </c>
      <c r="G2143">
        <v>4.9000000000000004</v>
      </c>
      <c r="H2143">
        <v>3.8</v>
      </c>
      <c r="I2143" t="str" cm="1">
        <f t="array" ref="I2143">_xlfn.IFS(G2143&lt;3, "0–2 Years", G2143&lt;6, "3–5 Years", G2143&lt;9, "6–8 Years", G2143&lt;12, "9-11 Years", G2143&gt;=12, "12-14 Years")</f>
        <v>3–5 Years</v>
      </c>
      <c r="J2143">
        <v>3</v>
      </c>
      <c r="K2143" t="s">
        <v>69</v>
      </c>
      <c r="L2143">
        <v>63600</v>
      </c>
      <c r="M2143">
        <v>5200</v>
      </c>
      <c r="N2143">
        <v>68800</v>
      </c>
      <c r="O2143" t="s">
        <v>25</v>
      </c>
      <c r="P2143" s="3">
        <v>44224</v>
      </c>
      <c r="Q2143" t="s">
        <v>28</v>
      </c>
    </row>
    <row r="2144" spans="1:17" x14ac:dyDescent="0.35">
      <c r="A2144" t="s">
        <v>2196</v>
      </c>
      <c r="B2144" t="s">
        <v>23</v>
      </c>
      <c r="C2144">
        <v>24</v>
      </c>
      <c r="D2144" t="s">
        <v>38</v>
      </c>
      <c r="E2144" t="s">
        <v>39</v>
      </c>
      <c r="F2144" t="s">
        <v>19</v>
      </c>
      <c r="G2144">
        <v>1.7</v>
      </c>
      <c r="H2144">
        <v>1.2</v>
      </c>
      <c r="I2144" t="str" cm="1">
        <f t="array" ref="I2144">_xlfn.IFS(G2144&lt;3, "0–2 Years", G2144&lt;6, "3–5 Years", G2144&lt;9, "6–8 Years", G2144&lt;12, "9-11 Years", G2144&gt;=12, "12-14 Years")</f>
        <v>0–2 Years</v>
      </c>
      <c r="J2144">
        <v>4</v>
      </c>
      <c r="K2144" t="s">
        <v>20</v>
      </c>
      <c r="L2144">
        <v>66600</v>
      </c>
      <c r="M2144">
        <v>3900</v>
      </c>
      <c r="N2144">
        <v>70500</v>
      </c>
      <c r="O2144" t="s">
        <v>21</v>
      </c>
      <c r="P2144" s="3">
        <v>45414</v>
      </c>
      <c r="Q2144" t="s">
        <v>19</v>
      </c>
    </row>
    <row r="2145" spans="1:17" x14ac:dyDescent="0.35">
      <c r="A2145" t="s">
        <v>2197</v>
      </c>
      <c r="B2145" t="s">
        <v>23</v>
      </c>
      <c r="C2145">
        <v>34</v>
      </c>
      <c r="D2145" t="s">
        <v>34</v>
      </c>
      <c r="E2145" t="s">
        <v>35</v>
      </c>
      <c r="F2145" t="s">
        <v>36</v>
      </c>
      <c r="G2145">
        <v>6.6</v>
      </c>
      <c r="H2145">
        <v>3.7</v>
      </c>
      <c r="I2145" t="str" cm="1">
        <f t="array" ref="I2145">_xlfn.IFS(G2145&lt;3, "0–2 Years", G2145&lt;6, "3–5 Years", G2145&lt;9, "6–8 Years", G2145&lt;12, "9-11 Years", G2145&gt;=12, "12-14 Years")</f>
        <v>6–8 Years</v>
      </c>
      <c r="J2145">
        <v>4</v>
      </c>
      <c r="K2145" t="s">
        <v>69</v>
      </c>
      <c r="L2145">
        <v>66100</v>
      </c>
      <c r="M2145">
        <v>5100</v>
      </c>
      <c r="N2145">
        <v>71200</v>
      </c>
      <c r="O2145" t="s">
        <v>21</v>
      </c>
      <c r="P2145" s="3">
        <v>43615</v>
      </c>
      <c r="Q2145" t="s">
        <v>36</v>
      </c>
    </row>
    <row r="2146" spans="1:17" x14ac:dyDescent="0.35">
      <c r="A2146" t="s">
        <v>2198</v>
      </c>
      <c r="B2146" t="s">
        <v>23</v>
      </c>
      <c r="C2146">
        <v>37</v>
      </c>
      <c r="D2146" t="s">
        <v>41</v>
      </c>
      <c r="E2146" t="s">
        <v>73</v>
      </c>
      <c r="F2146" t="s">
        <v>28</v>
      </c>
      <c r="G2146">
        <v>5.3</v>
      </c>
      <c r="H2146">
        <v>2.6</v>
      </c>
      <c r="I2146" t="str" cm="1">
        <f t="array" ref="I2146">_xlfn.IFS(G2146&lt;3, "0–2 Years", G2146&lt;6, "3–5 Years", G2146&lt;9, "6–8 Years", G2146&lt;12, "9-11 Years", G2146&gt;=12, "12-14 Years")</f>
        <v>3–5 Years</v>
      </c>
      <c r="J2146">
        <v>3</v>
      </c>
      <c r="K2146" t="s">
        <v>20</v>
      </c>
      <c r="L2146">
        <v>101500</v>
      </c>
      <c r="M2146">
        <v>9000</v>
      </c>
      <c r="N2146">
        <v>110500</v>
      </c>
      <c r="O2146" t="s">
        <v>57</v>
      </c>
      <c r="P2146" s="3">
        <v>44083</v>
      </c>
      <c r="Q2146" t="s">
        <v>28</v>
      </c>
    </row>
    <row r="2147" spans="1:17" x14ac:dyDescent="0.35">
      <c r="A2147" t="s">
        <v>2199</v>
      </c>
      <c r="B2147" t="s">
        <v>23</v>
      </c>
      <c r="C2147">
        <v>40</v>
      </c>
      <c r="D2147" t="s">
        <v>44</v>
      </c>
      <c r="E2147" t="s">
        <v>51</v>
      </c>
      <c r="F2147" t="s">
        <v>62</v>
      </c>
      <c r="G2147">
        <v>1.6</v>
      </c>
      <c r="H2147">
        <v>1.1000000000000001</v>
      </c>
      <c r="I2147" t="str" cm="1">
        <f t="array" ref="I2147">_xlfn.IFS(G2147&lt;3, "0–2 Years", G2147&lt;6, "3–5 Years", G2147&lt;9, "6–8 Years", G2147&lt;12, "9-11 Years", G2147&gt;=12, "12-14 Years")</f>
        <v>0–2 Years</v>
      </c>
      <c r="J2147">
        <v>2</v>
      </c>
      <c r="K2147" t="s">
        <v>20</v>
      </c>
      <c r="L2147">
        <v>93000</v>
      </c>
      <c r="M2147">
        <v>12800</v>
      </c>
      <c r="N2147">
        <v>105800</v>
      </c>
      <c r="O2147" t="s">
        <v>30</v>
      </c>
      <c r="P2147" s="3">
        <v>45437</v>
      </c>
      <c r="Q2147" t="s">
        <v>62</v>
      </c>
    </row>
    <row r="2148" spans="1:17" x14ac:dyDescent="0.35">
      <c r="A2148" t="s">
        <v>2200</v>
      </c>
      <c r="B2148" t="s">
        <v>23</v>
      </c>
      <c r="C2148">
        <v>45</v>
      </c>
      <c r="D2148" t="s">
        <v>34</v>
      </c>
      <c r="E2148" t="s">
        <v>35</v>
      </c>
      <c r="F2148" t="s">
        <v>28</v>
      </c>
      <c r="G2148">
        <v>4.5</v>
      </c>
      <c r="H2148">
        <v>3.6</v>
      </c>
      <c r="I2148" t="str" cm="1">
        <f t="array" ref="I2148">_xlfn.IFS(G2148&lt;3, "0–2 Years", G2148&lt;6, "3–5 Years", G2148&lt;9, "6–8 Years", G2148&lt;12, "9-11 Years", G2148&gt;=12, "12-14 Years")</f>
        <v>3–5 Years</v>
      </c>
      <c r="J2148">
        <v>4</v>
      </c>
      <c r="K2148" t="s">
        <v>20</v>
      </c>
      <c r="L2148">
        <v>69100</v>
      </c>
      <c r="M2148">
        <v>4600</v>
      </c>
      <c r="N2148">
        <v>73700</v>
      </c>
      <c r="O2148" t="s">
        <v>21</v>
      </c>
      <c r="P2148" s="3">
        <v>44362</v>
      </c>
      <c r="Q2148" t="s">
        <v>28</v>
      </c>
    </row>
    <row r="2149" spans="1:17" x14ac:dyDescent="0.35">
      <c r="A2149" t="s">
        <v>2201</v>
      </c>
      <c r="B2149" t="s">
        <v>16</v>
      </c>
      <c r="C2149">
        <v>33</v>
      </c>
      <c r="D2149" t="s">
        <v>38</v>
      </c>
      <c r="E2149" t="s">
        <v>112</v>
      </c>
      <c r="F2149" t="s">
        <v>19</v>
      </c>
      <c r="G2149">
        <v>5</v>
      </c>
      <c r="H2149">
        <v>3</v>
      </c>
      <c r="I2149" t="str" cm="1">
        <f t="array" ref="I2149">_xlfn.IFS(G2149&lt;3, "0–2 Years", G2149&lt;6, "3–5 Years", G2149&lt;9, "6–8 Years", G2149&lt;12, "9-11 Years", G2149&gt;=12, "12-14 Years")</f>
        <v>3–5 Years</v>
      </c>
      <c r="J2149">
        <v>4</v>
      </c>
      <c r="K2149" t="s">
        <v>20</v>
      </c>
      <c r="L2149">
        <v>65100</v>
      </c>
      <c r="M2149">
        <v>6500</v>
      </c>
      <c r="N2149">
        <v>71600</v>
      </c>
      <c r="O2149" t="s">
        <v>21</v>
      </c>
      <c r="P2149" s="3">
        <v>44199</v>
      </c>
      <c r="Q2149" t="s">
        <v>19</v>
      </c>
    </row>
    <row r="2150" spans="1:17" x14ac:dyDescent="0.35">
      <c r="A2150" t="s">
        <v>2202</v>
      </c>
      <c r="B2150" t="s">
        <v>23</v>
      </c>
      <c r="C2150">
        <v>27</v>
      </c>
      <c r="D2150" t="s">
        <v>55</v>
      </c>
      <c r="E2150" t="s">
        <v>92</v>
      </c>
      <c r="F2150" t="s">
        <v>28</v>
      </c>
      <c r="G2150">
        <v>6.7</v>
      </c>
      <c r="H2150">
        <v>3.9</v>
      </c>
      <c r="I2150" t="str" cm="1">
        <f t="array" ref="I2150">_xlfn.IFS(G2150&lt;3, "0–2 Years", G2150&lt;6, "3–5 Years", G2150&lt;9, "6–8 Years", G2150&lt;12, "9-11 Years", G2150&gt;=12, "12-14 Years")</f>
        <v>6–8 Years</v>
      </c>
      <c r="J2150">
        <v>4</v>
      </c>
      <c r="K2150" t="s">
        <v>24</v>
      </c>
      <c r="L2150">
        <v>55800</v>
      </c>
      <c r="M2150">
        <v>10800</v>
      </c>
      <c r="N2150">
        <v>66600</v>
      </c>
      <c r="O2150" t="s">
        <v>25</v>
      </c>
      <c r="P2150" s="3">
        <v>43581</v>
      </c>
      <c r="Q2150" t="s">
        <v>28</v>
      </c>
    </row>
    <row r="2151" spans="1:17" x14ac:dyDescent="0.35">
      <c r="A2151" t="s">
        <v>2203</v>
      </c>
      <c r="B2151" t="s">
        <v>16</v>
      </c>
      <c r="C2151">
        <v>37</v>
      </c>
      <c r="D2151" t="s">
        <v>34</v>
      </c>
      <c r="E2151" t="s">
        <v>47</v>
      </c>
      <c r="F2151" t="s">
        <v>62</v>
      </c>
      <c r="G2151">
        <v>5.8</v>
      </c>
      <c r="H2151">
        <v>4</v>
      </c>
      <c r="I2151" t="str" cm="1">
        <f t="array" ref="I2151">_xlfn.IFS(G2151&lt;3, "0–2 Years", G2151&lt;6, "3–5 Years", G2151&lt;9, "6–8 Years", G2151&lt;12, "9-11 Years", G2151&gt;=12, "12-14 Years")</f>
        <v>3–5 Years</v>
      </c>
      <c r="J2151">
        <v>3</v>
      </c>
      <c r="K2151" t="s">
        <v>20</v>
      </c>
      <c r="L2151">
        <v>76800</v>
      </c>
      <c r="M2151">
        <v>7000</v>
      </c>
      <c r="N2151">
        <v>83800</v>
      </c>
      <c r="O2151" t="s">
        <v>21</v>
      </c>
      <c r="P2151" s="3">
        <v>43899</v>
      </c>
      <c r="Q2151" t="s">
        <v>62</v>
      </c>
    </row>
    <row r="2152" spans="1:17" x14ac:dyDescent="0.35">
      <c r="A2152" t="s">
        <v>2204</v>
      </c>
      <c r="B2152" t="s">
        <v>23</v>
      </c>
      <c r="C2152">
        <v>33</v>
      </c>
      <c r="D2152" t="s">
        <v>44</v>
      </c>
      <c r="E2152" t="s">
        <v>51</v>
      </c>
      <c r="F2152" t="s">
        <v>36</v>
      </c>
      <c r="G2152">
        <v>2.9</v>
      </c>
      <c r="H2152">
        <v>1.7</v>
      </c>
      <c r="I2152" t="str" cm="1">
        <f t="array" ref="I2152">_xlfn.IFS(G2152&lt;3, "0–2 Years", G2152&lt;6, "3–5 Years", G2152&lt;9, "6–8 Years", G2152&lt;12, "9-11 Years", G2152&gt;=12, "12-14 Years")</f>
        <v>0–2 Years</v>
      </c>
      <c r="J2152">
        <v>4</v>
      </c>
      <c r="K2152" t="s">
        <v>20</v>
      </c>
      <c r="L2152">
        <v>80200</v>
      </c>
      <c r="M2152">
        <v>10800</v>
      </c>
      <c r="N2152">
        <v>91000</v>
      </c>
      <c r="O2152" t="s">
        <v>30</v>
      </c>
      <c r="P2152" s="3">
        <v>44948</v>
      </c>
      <c r="Q2152" t="s">
        <v>36</v>
      </c>
    </row>
    <row r="2153" spans="1:17" x14ac:dyDescent="0.35">
      <c r="A2153" t="s">
        <v>2205</v>
      </c>
      <c r="B2153" t="s">
        <v>23</v>
      </c>
      <c r="C2153">
        <v>24</v>
      </c>
      <c r="D2153" t="s">
        <v>55</v>
      </c>
      <c r="E2153" t="s">
        <v>79</v>
      </c>
      <c r="F2153" t="s">
        <v>19</v>
      </c>
      <c r="G2153">
        <v>9.6999999999999993</v>
      </c>
      <c r="H2153">
        <v>7.2</v>
      </c>
      <c r="I2153" t="str" cm="1">
        <f t="array" ref="I2153">_xlfn.IFS(G2153&lt;3, "0–2 Years", G2153&lt;6, "3–5 Years", G2153&lt;9, "6–8 Years", G2153&lt;12, "9-11 Years", G2153&gt;=12, "12-14 Years")</f>
        <v>9-11 Years</v>
      </c>
      <c r="J2153">
        <v>4</v>
      </c>
      <c r="K2153" t="s">
        <v>20</v>
      </c>
      <c r="L2153">
        <v>68300</v>
      </c>
      <c r="M2153">
        <v>6200</v>
      </c>
      <c r="N2153">
        <v>74500</v>
      </c>
      <c r="O2153" t="s">
        <v>21</v>
      </c>
      <c r="P2153" s="3">
        <v>42486</v>
      </c>
      <c r="Q2153" t="s">
        <v>19</v>
      </c>
    </row>
    <row r="2154" spans="1:17" x14ac:dyDescent="0.35">
      <c r="A2154" t="s">
        <v>2206</v>
      </c>
      <c r="B2154" t="s">
        <v>16</v>
      </c>
      <c r="C2154">
        <v>38</v>
      </c>
      <c r="D2154" t="s">
        <v>44</v>
      </c>
      <c r="E2154" t="s">
        <v>51</v>
      </c>
      <c r="F2154" t="s">
        <v>28</v>
      </c>
      <c r="G2154">
        <v>4.9000000000000004</v>
      </c>
      <c r="H2154">
        <v>3.5</v>
      </c>
      <c r="I2154" t="str" cm="1">
        <f t="array" ref="I2154">_xlfn.IFS(G2154&lt;3, "0–2 Years", G2154&lt;6, "3–5 Years", G2154&lt;9, "6–8 Years", G2154&lt;12, "9-11 Years", G2154&gt;=12, "12-14 Years")</f>
        <v>3–5 Years</v>
      </c>
      <c r="J2154">
        <v>4</v>
      </c>
      <c r="K2154" t="s">
        <v>20</v>
      </c>
      <c r="L2154">
        <v>86400</v>
      </c>
      <c r="M2154">
        <v>6700</v>
      </c>
      <c r="N2154">
        <v>93100</v>
      </c>
      <c r="O2154" t="s">
        <v>30</v>
      </c>
      <c r="P2154" s="3">
        <v>44218</v>
      </c>
      <c r="Q2154" t="s">
        <v>28</v>
      </c>
    </row>
    <row r="2155" spans="1:17" x14ac:dyDescent="0.35">
      <c r="A2155" t="s">
        <v>2207</v>
      </c>
      <c r="B2155" t="s">
        <v>23</v>
      </c>
      <c r="C2155">
        <v>32</v>
      </c>
      <c r="D2155" t="s">
        <v>44</v>
      </c>
      <c r="E2155" t="s">
        <v>76</v>
      </c>
      <c r="F2155" t="s">
        <v>36</v>
      </c>
      <c r="G2155">
        <v>9.9</v>
      </c>
      <c r="H2155">
        <v>7.6</v>
      </c>
      <c r="I2155" t="str" cm="1">
        <f t="array" ref="I2155">_xlfn.IFS(G2155&lt;3, "0–2 Years", G2155&lt;6, "3–5 Years", G2155&lt;9, "6–8 Years", G2155&lt;12, "9-11 Years", G2155&gt;=12, "12-14 Years")</f>
        <v>9-11 Years</v>
      </c>
      <c r="J2155">
        <v>3</v>
      </c>
      <c r="K2155" t="s">
        <v>20</v>
      </c>
      <c r="L2155">
        <v>121200</v>
      </c>
      <c r="M2155">
        <v>13000</v>
      </c>
      <c r="N2155">
        <v>134200</v>
      </c>
      <c r="O2155" t="s">
        <v>57</v>
      </c>
      <c r="P2155" s="3">
        <v>42403</v>
      </c>
      <c r="Q2155" t="s">
        <v>36</v>
      </c>
    </row>
    <row r="2156" spans="1:17" x14ac:dyDescent="0.35">
      <c r="A2156" t="s">
        <v>2208</v>
      </c>
      <c r="B2156" t="s">
        <v>16</v>
      </c>
      <c r="C2156" s="7">
        <v>48</v>
      </c>
      <c r="D2156" t="s">
        <v>38</v>
      </c>
      <c r="E2156" t="s">
        <v>61</v>
      </c>
      <c r="F2156" t="s">
        <v>36</v>
      </c>
      <c r="G2156" s="9">
        <v>12.1</v>
      </c>
      <c r="H2156" s="7">
        <v>8</v>
      </c>
      <c r="I2156" t="str" cm="1">
        <f t="array" ref="I2156">_xlfn.IFS(G2156&lt;3, "0–2 Years", G2156&lt;6, "3–5 Years", G2156&lt;9, "6–8 Years", G2156&lt;12, "9-11 Years", G2156&gt;=12, "12-14 Years")</f>
        <v>12-14 Years</v>
      </c>
      <c r="J2156" s="7">
        <v>3</v>
      </c>
      <c r="K2156" t="s">
        <v>24</v>
      </c>
      <c r="L2156" s="7">
        <v>75500</v>
      </c>
      <c r="M2156" s="7">
        <v>4000</v>
      </c>
      <c r="N2156" s="7">
        <v>79500</v>
      </c>
      <c r="O2156" t="s">
        <v>21</v>
      </c>
      <c r="P2156" s="3">
        <v>41617</v>
      </c>
      <c r="Q2156" t="s">
        <v>36</v>
      </c>
    </row>
    <row r="2157" spans="1:17" x14ac:dyDescent="0.35">
      <c r="A2157" t="s">
        <v>2209</v>
      </c>
      <c r="B2157" t="s">
        <v>16</v>
      </c>
      <c r="C2157">
        <v>35</v>
      </c>
      <c r="D2157" t="s">
        <v>38</v>
      </c>
      <c r="E2157" t="s">
        <v>112</v>
      </c>
      <c r="F2157" t="s">
        <v>36</v>
      </c>
      <c r="G2157">
        <v>7.5</v>
      </c>
      <c r="H2157">
        <v>6.8</v>
      </c>
      <c r="I2157" t="str" cm="1">
        <f t="array" ref="I2157">_xlfn.IFS(G2157&lt;3, "0–2 Years", G2157&lt;6, "3–5 Years", G2157&lt;9, "6–8 Years", G2157&lt;12, "9-11 Years", G2157&gt;=12, "12-14 Years")</f>
        <v>6–8 Years</v>
      </c>
      <c r="J2157">
        <v>3</v>
      </c>
      <c r="K2157" t="s">
        <v>20</v>
      </c>
      <c r="L2157">
        <v>57700</v>
      </c>
      <c r="M2157">
        <v>5900</v>
      </c>
      <c r="N2157">
        <v>63600</v>
      </c>
      <c r="O2157" t="s">
        <v>25</v>
      </c>
      <c r="P2157" s="3">
        <v>43268</v>
      </c>
      <c r="Q2157" t="s">
        <v>36</v>
      </c>
    </row>
    <row r="2158" spans="1:17" x14ac:dyDescent="0.35">
      <c r="A2158" t="s">
        <v>2210</v>
      </c>
      <c r="B2158" t="s">
        <v>16</v>
      </c>
      <c r="C2158">
        <v>30</v>
      </c>
      <c r="D2158" t="s">
        <v>44</v>
      </c>
      <c r="E2158" t="s">
        <v>76</v>
      </c>
      <c r="F2158" t="s">
        <v>28</v>
      </c>
      <c r="G2158">
        <v>11.1</v>
      </c>
      <c r="H2158">
        <v>5.9</v>
      </c>
      <c r="I2158" t="str" cm="1">
        <f t="array" ref="I2158">_xlfn.IFS(G2158&lt;3, "0–2 Years", G2158&lt;6, "3–5 Years", G2158&lt;9, "6–8 Years", G2158&lt;12, "9-11 Years", G2158&gt;=12, "12-14 Years")</f>
        <v>9-11 Years</v>
      </c>
      <c r="J2158">
        <v>3</v>
      </c>
      <c r="K2158" t="s">
        <v>20</v>
      </c>
      <c r="L2158">
        <v>119000</v>
      </c>
      <c r="M2158">
        <v>11700</v>
      </c>
      <c r="N2158">
        <v>130700</v>
      </c>
      <c r="O2158" t="s">
        <v>57</v>
      </c>
      <c r="P2158" s="3">
        <v>41961</v>
      </c>
      <c r="Q2158" t="s">
        <v>28</v>
      </c>
    </row>
    <row r="2159" spans="1:17" x14ac:dyDescent="0.35">
      <c r="A2159" t="s">
        <v>2211</v>
      </c>
      <c r="B2159" t="s">
        <v>23</v>
      </c>
      <c r="C2159">
        <v>29</v>
      </c>
      <c r="D2159" t="s">
        <v>44</v>
      </c>
      <c r="E2159" t="s">
        <v>81</v>
      </c>
      <c r="F2159" t="s">
        <v>19</v>
      </c>
      <c r="G2159">
        <v>8.6</v>
      </c>
      <c r="H2159">
        <v>6</v>
      </c>
      <c r="I2159" t="str" cm="1">
        <f t="array" ref="I2159">_xlfn.IFS(G2159&lt;3, "0–2 Years", G2159&lt;6, "3–5 Years", G2159&lt;9, "6–8 Years", G2159&lt;12, "9-11 Years", G2159&gt;=12, "12-14 Years")</f>
        <v>6–8 Years</v>
      </c>
      <c r="J2159">
        <v>1</v>
      </c>
      <c r="K2159" t="s">
        <v>20</v>
      </c>
      <c r="L2159">
        <v>99800</v>
      </c>
      <c r="M2159">
        <v>8300</v>
      </c>
      <c r="N2159">
        <v>108100</v>
      </c>
      <c r="O2159" t="s">
        <v>30</v>
      </c>
      <c r="P2159" s="3">
        <v>42874</v>
      </c>
      <c r="Q2159" t="s">
        <v>19</v>
      </c>
    </row>
    <row r="2160" spans="1:17" x14ac:dyDescent="0.35">
      <c r="A2160" t="s">
        <v>2212</v>
      </c>
      <c r="B2160" t="s">
        <v>23</v>
      </c>
      <c r="C2160">
        <v>53</v>
      </c>
      <c r="D2160" t="s">
        <v>55</v>
      </c>
      <c r="E2160" t="s">
        <v>56</v>
      </c>
      <c r="F2160" t="s">
        <v>19</v>
      </c>
      <c r="G2160">
        <v>5.2</v>
      </c>
      <c r="H2160">
        <v>3.4</v>
      </c>
      <c r="I2160" t="str" cm="1">
        <f t="array" ref="I2160">_xlfn.IFS(G2160&lt;3, "0–2 Years", G2160&lt;6, "3–5 Years", G2160&lt;9, "6–8 Years", G2160&lt;12, "9-11 Years", G2160&gt;=12, "12-14 Years")</f>
        <v>3–5 Years</v>
      </c>
      <c r="J2160">
        <v>3</v>
      </c>
      <c r="K2160" t="s">
        <v>20</v>
      </c>
      <c r="L2160">
        <v>95500</v>
      </c>
      <c r="M2160">
        <v>11200</v>
      </c>
      <c r="N2160">
        <v>106700</v>
      </c>
      <c r="O2160" t="s">
        <v>30</v>
      </c>
      <c r="P2160" s="3">
        <v>44127</v>
      </c>
      <c r="Q2160" t="s">
        <v>19</v>
      </c>
    </row>
    <row r="2161" spans="1:17" x14ac:dyDescent="0.35">
      <c r="A2161" t="s">
        <v>2213</v>
      </c>
      <c r="B2161" t="s">
        <v>23</v>
      </c>
      <c r="C2161">
        <v>39</v>
      </c>
      <c r="D2161" t="s">
        <v>17</v>
      </c>
      <c r="E2161" t="s">
        <v>18</v>
      </c>
      <c r="F2161" t="s">
        <v>36</v>
      </c>
      <c r="G2161">
        <v>7.6</v>
      </c>
      <c r="H2161">
        <v>2.8</v>
      </c>
      <c r="I2161" t="str" cm="1">
        <f t="array" ref="I2161">_xlfn.IFS(G2161&lt;3, "0–2 Years", G2161&lt;6, "3–5 Years", G2161&lt;9, "6–8 Years", G2161&lt;12, "9-11 Years", G2161&gt;=12, "12-14 Years")</f>
        <v>6–8 Years</v>
      </c>
      <c r="J2161">
        <v>3</v>
      </c>
      <c r="K2161" t="s">
        <v>20</v>
      </c>
      <c r="L2161">
        <v>114900</v>
      </c>
      <c r="M2161">
        <v>9400</v>
      </c>
      <c r="N2161">
        <v>124300</v>
      </c>
      <c r="O2161" t="s">
        <v>57</v>
      </c>
      <c r="P2161" s="3">
        <v>43261</v>
      </c>
      <c r="Q2161" t="s">
        <v>36</v>
      </c>
    </row>
    <row r="2162" spans="1:17" x14ac:dyDescent="0.35">
      <c r="A2162" t="s">
        <v>2214</v>
      </c>
      <c r="B2162" t="s">
        <v>16</v>
      </c>
      <c r="C2162">
        <v>31</v>
      </c>
      <c r="D2162" t="s">
        <v>44</v>
      </c>
      <c r="E2162" t="s">
        <v>76</v>
      </c>
      <c r="F2162" t="s">
        <v>36</v>
      </c>
      <c r="G2162">
        <v>10.8</v>
      </c>
      <c r="H2162">
        <v>7.5</v>
      </c>
      <c r="I2162" t="str" cm="1">
        <f t="array" ref="I2162">_xlfn.IFS(G2162&lt;3, "0–2 Years", G2162&lt;6, "3–5 Years", G2162&lt;9, "6–8 Years", G2162&lt;12, "9-11 Years", G2162&gt;=12, "12-14 Years")</f>
        <v>9-11 Years</v>
      </c>
      <c r="J2162">
        <v>4</v>
      </c>
      <c r="K2162" t="s">
        <v>20</v>
      </c>
      <c r="L2162">
        <v>134600</v>
      </c>
      <c r="M2162">
        <v>8400</v>
      </c>
      <c r="N2162">
        <v>143000</v>
      </c>
      <c r="O2162" t="s">
        <v>57</v>
      </c>
      <c r="P2162" s="3">
        <v>42067</v>
      </c>
      <c r="Q2162" t="s">
        <v>36</v>
      </c>
    </row>
    <row r="2163" spans="1:17" x14ac:dyDescent="0.35">
      <c r="A2163" t="s">
        <v>2215</v>
      </c>
      <c r="B2163" t="s">
        <v>16</v>
      </c>
      <c r="C2163">
        <v>28</v>
      </c>
      <c r="D2163" t="s">
        <v>34</v>
      </c>
      <c r="E2163" t="s">
        <v>47</v>
      </c>
      <c r="F2163" t="s">
        <v>28</v>
      </c>
      <c r="G2163">
        <v>7.1</v>
      </c>
      <c r="H2163">
        <v>4.7</v>
      </c>
      <c r="I2163" t="str" cm="1">
        <f t="array" ref="I2163">_xlfn.IFS(G2163&lt;3, "0–2 Years", G2163&lt;6, "3–5 Years", G2163&lt;9, "6–8 Years", G2163&lt;12, "9-11 Years", G2163&gt;=12, "12-14 Years")</f>
        <v>6–8 Years</v>
      </c>
      <c r="J2163">
        <v>4</v>
      </c>
      <c r="K2163" t="s">
        <v>20</v>
      </c>
      <c r="L2163">
        <v>98200</v>
      </c>
      <c r="M2163">
        <v>6600</v>
      </c>
      <c r="N2163">
        <v>104800</v>
      </c>
      <c r="O2163" t="s">
        <v>30</v>
      </c>
      <c r="P2163" s="3">
        <v>43413</v>
      </c>
      <c r="Q2163" t="s">
        <v>28</v>
      </c>
    </row>
    <row r="2164" spans="1:17" x14ac:dyDescent="0.35">
      <c r="A2164" t="s">
        <v>2216</v>
      </c>
      <c r="B2164" t="s">
        <v>23</v>
      </c>
      <c r="C2164">
        <v>26</v>
      </c>
      <c r="D2164" t="s">
        <v>17</v>
      </c>
      <c r="E2164" t="s">
        <v>32</v>
      </c>
      <c r="F2164" t="s">
        <v>28</v>
      </c>
      <c r="G2164">
        <v>4.8</v>
      </c>
      <c r="H2164">
        <v>2.6</v>
      </c>
      <c r="I2164" t="str" cm="1">
        <f t="array" ref="I2164">_xlfn.IFS(G2164&lt;3, "0–2 Years", G2164&lt;6, "3–5 Years", G2164&lt;9, "6–8 Years", G2164&lt;12, "9-11 Years", G2164&gt;=12, "12-14 Years")</f>
        <v>3–5 Years</v>
      </c>
      <c r="J2164">
        <v>5</v>
      </c>
      <c r="K2164" t="s">
        <v>20</v>
      </c>
      <c r="L2164">
        <v>71200</v>
      </c>
      <c r="M2164">
        <v>9200</v>
      </c>
      <c r="N2164">
        <v>80400</v>
      </c>
      <c r="O2164" t="s">
        <v>21</v>
      </c>
      <c r="P2164" s="3">
        <v>44287</v>
      </c>
      <c r="Q2164" t="s">
        <v>28</v>
      </c>
    </row>
    <row r="2165" spans="1:17" x14ac:dyDescent="0.35">
      <c r="A2165" t="s">
        <v>2217</v>
      </c>
      <c r="B2165" t="s">
        <v>23</v>
      </c>
      <c r="C2165" s="7">
        <v>51</v>
      </c>
      <c r="D2165" t="s">
        <v>44</v>
      </c>
      <c r="E2165" t="s">
        <v>81</v>
      </c>
      <c r="F2165" t="s">
        <v>19</v>
      </c>
      <c r="G2165" s="9">
        <v>13.9</v>
      </c>
      <c r="H2165" s="7">
        <v>8.6</v>
      </c>
      <c r="I2165" t="str" cm="1">
        <f t="array" ref="I2165">_xlfn.IFS(G2165&lt;3, "0–2 Years", G2165&lt;6, "3–5 Years", G2165&lt;9, "6–8 Years", G2165&lt;12, "9-11 Years", G2165&gt;=12, "12-14 Years")</f>
        <v>12-14 Years</v>
      </c>
      <c r="J2165" s="7">
        <v>3</v>
      </c>
      <c r="K2165" t="s">
        <v>20</v>
      </c>
      <c r="L2165" s="7">
        <v>102200</v>
      </c>
      <c r="M2165" s="7">
        <v>13800</v>
      </c>
      <c r="N2165" s="7">
        <v>116000</v>
      </c>
      <c r="O2165" t="s">
        <v>57</v>
      </c>
      <c r="P2165" s="3">
        <v>40955</v>
      </c>
      <c r="Q2165" t="s">
        <v>19</v>
      </c>
    </row>
    <row r="2166" spans="1:17" x14ac:dyDescent="0.35">
      <c r="A2166" t="s">
        <v>2218</v>
      </c>
      <c r="B2166" t="s">
        <v>16</v>
      </c>
      <c r="C2166">
        <v>47</v>
      </c>
      <c r="D2166" t="s">
        <v>44</v>
      </c>
      <c r="E2166" t="s">
        <v>45</v>
      </c>
      <c r="F2166" t="s">
        <v>28</v>
      </c>
      <c r="G2166">
        <v>11.8</v>
      </c>
      <c r="H2166">
        <v>9</v>
      </c>
      <c r="I2166" t="str" cm="1">
        <f t="array" ref="I2166">_xlfn.IFS(G2166&lt;3, "0–2 Years", G2166&lt;6, "3–5 Years", G2166&lt;9, "6–8 Years", G2166&lt;12, "9-11 Years", G2166&gt;=12, "12-14 Years")</f>
        <v>9-11 Years</v>
      </c>
      <c r="J2166">
        <v>3</v>
      </c>
      <c r="K2166" t="s">
        <v>69</v>
      </c>
      <c r="L2166">
        <v>49100</v>
      </c>
      <c r="M2166">
        <v>6600</v>
      </c>
      <c r="N2166">
        <v>55700</v>
      </c>
      <c r="O2166" t="s">
        <v>65</v>
      </c>
      <c r="P2166" s="3">
        <v>41716</v>
      </c>
      <c r="Q2166" t="s">
        <v>28</v>
      </c>
    </row>
    <row r="2167" spans="1:17" x14ac:dyDescent="0.35">
      <c r="A2167" t="s">
        <v>2219</v>
      </c>
      <c r="B2167" t="s">
        <v>23</v>
      </c>
      <c r="C2167">
        <v>33</v>
      </c>
      <c r="D2167" t="s">
        <v>34</v>
      </c>
      <c r="E2167" t="s">
        <v>59</v>
      </c>
      <c r="F2167" t="s">
        <v>28</v>
      </c>
      <c r="G2167">
        <v>1</v>
      </c>
      <c r="H2167">
        <v>1</v>
      </c>
      <c r="I2167" t="str" cm="1">
        <f t="array" ref="I2167">_xlfn.IFS(G2167&lt;3, "0–2 Years", G2167&lt;6, "3–5 Years", G2167&lt;9, "6–8 Years", G2167&lt;12, "9-11 Years", G2167&gt;=12, "12-14 Years")</f>
        <v>0–2 Years</v>
      </c>
      <c r="J2167">
        <v>3</v>
      </c>
      <c r="K2167" t="s">
        <v>20</v>
      </c>
      <c r="L2167">
        <v>101200</v>
      </c>
      <c r="M2167">
        <v>6200</v>
      </c>
      <c r="N2167">
        <v>107400</v>
      </c>
      <c r="O2167" t="s">
        <v>57</v>
      </c>
      <c r="P2167" s="3">
        <v>45643</v>
      </c>
      <c r="Q2167" t="s">
        <v>28</v>
      </c>
    </row>
    <row r="2168" spans="1:17" x14ac:dyDescent="0.35">
      <c r="A2168" t="s">
        <v>2220</v>
      </c>
      <c r="B2168" t="s">
        <v>16</v>
      </c>
      <c r="C2168">
        <v>28</v>
      </c>
      <c r="D2168" t="s">
        <v>44</v>
      </c>
      <c r="E2168" t="s">
        <v>76</v>
      </c>
      <c r="F2168" t="s">
        <v>28</v>
      </c>
      <c r="G2168">
        <v>1.2</v>
      </c>
      <c r="H2168">
        <v>0.2</v>
      </c>
      <c r="I2168" t="str" cm="1">
        <f t="array" ref="I2168">_xlfn.IFS(G2168&lt;3, "0–2 Years", G2168&lt;6, "3–5 Years", G2168&lt;9, "6–8 Years", G2168&lt;12, "9-11 Years", G2168&gt;=12, "12-14 Years")</f>
        <v>0–2 Years</v>
      </c>
      <c r="J2168">
        <v>3</v>
      </c>
      <c r="K2168" t="s">
        <v>20</v>
      </c>
      <c r="L2168">
        <v>95000</v>
      </c>
      <c r="M2168">
        <v>13200</v>
      </c>
      <c r="N2168">
        <v>108200</v>
      </c>
      <c r="O2168" t="s">
        <v>30</v>
      </c>
      <c r="P2168" s="3">
        <v>45595</v>
      </c>
      <c r="Q2168" t="s">
        <v>28</v>
      </c>
    </row>
    <row r="2169" spans="1:17" x14ac:dyDescent="0.35">
      <c r="A2169" t="s">
        <v>2221</v>
      </c>
      <c r="B2169" t="s">
        <v>16</v>
      </c>
      <c r="C2169">
        <v>43</v>
      </c>
      <c r="D2169" t="s">
        <v>34</v>
      </c>
      <c r="E2169" t="s">
        <v>59</v>
      </c>
      <c r="F2169" t="s">
        <v>19</v>
      </c>
      <c r="G2169">
        <v>11.6</v>
      </c>
      <c r="H2169">
        <v>5.4</v>
      </c>
      <c r="I2169" t="str" cm="1">
        <f t="array" ref="I2169">_xlfn.IFS(G2169&lt;3, "0–2 Years", G2169&lt;6, "3–5 Years", G2169&lt;9, "6–8 Years", G2169&lt;12, "9-11 Years", G2169&gt;=12, "12-14 Years")</f>
        <v>9-11 Years</v>
      </c>
      <c r="J2169">
        <v>3</v>
      </c>
      <c r="K2169" t="s">
        <v>24</v>
      </c>
      <c r="L2169">
        <v>63000</v>
      </c>
      <c r="M2169">
        <v>5900</v>
      </c>
      <c r="N2169">
        <v>68900</v>
      </c>
      <c r="O2169" t="s">
        <v>25</v>
      </c>
      <c r="P2169" s="3">
        <v>41777</v>
      </c>
      <c r="Q2169" t="s">
        <v>19</v>
      </c>
    </row>
    <row r="2170" spans="1:17" x14ac:dyDescent="0.35">
      <c r="A2170" t="s">
        <v>2222</v>
      </c>
      <c r="B2170" t="s">
        <v>16</v>
      </c>
      <c r="C2170">
        <v>37</v>
      </c>
      <c r="D2170" t="s">
        <v>38</v>
      </c>
      <c r="E2170" t="s">
        <v>61</v>
      </c>
      <c r="F2170" t="s">
        <v>28</v>
      </c>
      <c r="G2170">
        <v>2.8</v>
      </c>
      <c r="H2170">
        <v>2.8</v>
      </c>
      <c r="I2170" t="str" cm="1">
        <f t="array" ref="I2170">_xlfn.IFS(G2170&lt;3, "0–2 Years", G2170&lt;6, "3–5 Years", G2170&lt;9, "6–8 Years", G2170&lt;12, "9-11 Years", G2170&gt;=12, "12-14 Years")</f>
        <v>0–2 Years</v>
      </c>
      <c r="J2170">
        <v>3</v>
      </c>
      <c r="K2170" t="s">
        <v>20</v>
      </c>
      <c r="L2170">
        <v>101000</v>
      </c>
      <c r="M2170">
        <v>9000</v>
      </c>
      <c r="N2170">
        <v>110000</v>
      </c>
      <c r="O2170" t="s">
        <v>57</v>
      </c>
      <c r="P2170" s="3">
        <v>45009</v>
      </c>
      <c r="Q2170" t="s">
        <v>28</v>
      </c>
    </row>
    <row r="2171" spans="1:17" x14ac:dyDescent="0.35">
      <c r="A2171" t="s">
        <v>2223</v>
      </c>
      <c r="B2171" t="s">
        <v>23</v>
      </c>
      <c r="C2171">
        <v>30</v>
      </c>
      <c r="D2171" t="s">
        <v>44</v>
      </c>
      <c r="E2171" t="s">
        <v>76</v>
      </c>
      <c r="F2171" t="s">
        <v>28</v>
      </c>
      <c r="G2171">
        <v>9.9</v>
      </c>
      <c r="H2171">
        <v>7</v>
      </c>
      <c r="I2171" t="str" cm="1">
        <f t="array" ref="I2171">_xlfn.IFS(G2171&lt;3, "0–2 Years", G2171&lt;6, "3–5 Years", G2171&lt;9, "6–8 Years", G2171&lt;12, "9-11 Years", G2171&gt;=12, "12-14 Years")</f>
        <v>9-11 Years</v>
      </c>
      <c r="J2171">
        <v>2</v>
      </c>
      <c r="K2171" t="s">
        <v>24</v>
      </c>
      <c r="L2171">
        <v>67200</v>
      </c>
      <c r="M2171">
        <v>7900</v>
      </c>
      <c r="N2171">
        <v>75100</v>
      </c>
      <c r="O2171" t="s">
        <v>21</v>
      </c>
      <c r="P2171" s="3">
        <v>42410</v>
      </c>
      <c r="Q2171" t="s">
        <v>28</v>
      </c>
    </row>
    <row r="2172" spans="1:17" x14ac:dyDescent="0.35">
      <c r="A2172" t="s">
        <v>2224</v>
      </c>
      <c r="B2172" t="s">
        <v>23</v>
      </c>
      <c r="C2172">
        <v>41</v>
      </c>
      <c r="D2172" t="s">
        <v>55</v>
      </c>
      <c r="E2172" t="s">
        <v>92</v>
      </c>
      <c r="F2172" t="s">
        <v>28</v>
      </c>
      <c r="G2172">
        <v>7.9</v>
      </c>
      <c r="I2172" t="str" cm="1">
        <f t="array" ref="I2172">_xlfn.IFS(G2172&lt;3, "0–2 Years", G2172&lt;6, "3–5 Years", G2172&lt;9, "6–8 Years", G2172&lt;12, "9-11 Years", G2172&gt;=12, "12-14 Years")</f>
        <v>6–8 Years</v>
      </c>
      <c r="J2172">
        <v>3</v>
      </c>
      <c r="K2172" t="s">
        <v>20</v>
      </c>
      <c r="L2172">
        <v>87300</v>
      </c>
      <c r="M2172">
        <v>15400</v>
      </c>
      <c r="N2172">
        <v>102700</v>
      </c>
      <c r="O2172" t="s">
        <v>30</v>
      </c>
      <c r="P2172" s="3">
        <v>43129</v>
      </c>
      <c r="Q2172" t="s">
        <v>28</v>
      </c>
    </row>
    <row r="2173" spans="1:17" x14ac:dyDescent="0.35">
      <c r="A2173" t="s">
        <v>2225</v>
      </c>
      <c r="B2173" t="s">
        <v>16</v>
      </c>
      <c r="C2173">
        <v>35</v>
      </c>
      <c r="D2173" t="s">
        <v>34</v>
      </c>
      <c r="E2173" t="s">
        <v>35</v>
      </c>
      <c r="F2173" t="s">
        <v>36</v>
      </c>
      <c r="G2173">
        <v>4.8</v>
      </c>
      <c r="H2173">
        <v>3</v>
      </c>
      <c r="I2173" t="str" cm="1">
        <f t="array" ref="I2173">_xlfn.IFS(G2173&lt;3, "0–2 Years", G2173&lt;6, "3–5 Years", G2173&lt;9, "6–8 Years", G2173&lt;12, "9-11 Years", G2173&gt;=12, "12-14 Years")</f>
        <v>3–5 Years</v>
      </c>
      <c r="J2173">
        <v>3</v>
      </c>
      <c r="K2173" t="s">
        <v>20</v>
      </c>
      <c r="L2173">
        <v>83300</v>
      </c>
      <c r="M2173">
        <v>9100</v>
      </c>
      <c r="N2173">
        <v>92400</v>
      </c>
      <c r="O2173" t="s">
        <v>30</v>
      </c>
      <c r="P2173" s="3">
        <v>44286</v>
      </c>
      <c r="Q2173" t="s">
        <v>36</v>
      </c>
    </row>
    <row r="2174" spans="1:17" x14ac:dyDescent="0.35">
      <c r="A2174" t="s">
        <v>2226</v>
      </c>
      <c r="B2174" t="s">
        <v>16</v>
      </c>
      <c r="C2174">
        <v>33</v>
      </c>
      <c r="D2174" t="s">
        <v>55</v>
      </c>
      <c r="E2174" t="s">
        <v>79</v>
      </c>
      <c r="F2174" t="s">
        <v>36</v>
      </c>
      <c r="G2174">
        <v>5.0999999999999996</v>
      </c>
      <c r="H2174">
        <v>4.5</v>
      </c>
      <c r="I2174" t="str" cm="1">
        <f t="array" ref="I2174">_xlfn.IFS(G2174&lt;3, "0–2 Years", G2174&lt;6, "3–5 Years", G2174&lt;9, "6–8 Years", G2174&lt;12, "9-11 Years", G2174&gt;=12, "12-14 Years")</f>
        <v>3–5 Years</v>
      </c>
      <c r="J2174">
        <v>3</v>
      </c>
      <c r="K2174" t="s">
        <v>20</v>
      </c>
      <c r="L2174">
        <v>63800</v>
      </c>
      <c r="M2174">
        <v>6400</v>
      </c>
      <c r="N2174">
        <v>70200</v>
      </c>
      <c r="O2174" t="s">
        <v>25</v>
      </c>
      <c r="P2174" s="3">
        <v>44167</v>
      </c>
      <c r="Q2174" t="s">
        <v>36</v>
      </c>
    </row>
    <row r="2175" spans="1:17" x14ac:dyDescent="0.35">
      <c r="A2175" t="s">
        <v>2227</v>
      </c>
      <c r="B2175" t="s">
        <v>23</v>
      </c>
      <c r="C2175">
        <v>21</v>
      </c>
      <c r="D2175" t="s">
        <v>55</v>
      </c>
      <c r="E2175" t="s">
        <v>92</v>
      </c>
      <c r="F2175" t="s">
        <v>28</v>
      </c>
      <c r="G2175">
        <v>11.2</v>
      </c>
      <c r="H2175">
        <v>5.7</v>
      </c>
      <c r="I2175" t="str" cm="1">
        <f t="array" ref="I2175">_xlfn.IFS(G2175&lt;3, "0–2 Years", G2175&lt;6, "3–5 Years", G2175&lt;9, "6–8 Years", G2175&lt;12, "9-11 Years", G2175&gt;=12, "12-14 Years")</f>
        <v>9-11 Years</v>
      </c>
      <c r="J2175">
        <v>3</v>
      </c>
      <c r="K2175" t="s">
        <v>20</v>
      </c>
      <c r="L2175">
        <v>97900</v>
      </c>
      <c r="M2175">
        <v>8600</v>
      </c>
      <c r="N2175">
        <v>106500</v>
      </c>
      <c r="O2175" t="s">
        <v>30</v>
      </c>
      <c r="P2175" s="3">
        <v>41940</v>
      </c>
      <c r="Q2175" t="s">
        <v>28</v>
      </c>
    </row>
    <row r="2176" spans="1:17" x14ac:dyDescent="0.35">
      <c r="A2176" t="s">
        <v>2228</v>
      </c>
      <c r="B2176" t="s">
        <v>16</v>
      </c>
      <c r="C2176">
        <v>26</v>
      </c>
      <c r="D2176" t="s">
        <v>34</v>
      </c>
      <c r="E2176" t="s">
        <v>47</v>
      </c>
      <c r="F2176" t="s">
        <v>28</v>
      </c>
      <c r="G2176">
        <v>1.9</v>
      </c>
      <c r="H2176">
        <v>0.2</v>
      </c>
      <c r="I2176" t="str" cm="1">
        <f t="array" ref="I2176">_xlfn.IFS(G2176&lt;3, "0–2 Years", G2176&lt;6, "3–5 Years", G2176&lt;9, "6–8 Years", G2176&lt;12, "9-11 Years", G2176&gt;=12, "12-14 Years")</f>
        <v>0–2 Years</v>
      </c>
      <c r="J2176">
        <v>3</v>
      </c>
      <c r="K2176" t="s">
        <v>20</v>
      </c>
      <c r="L2176">
        <v>66700</v>
      </c>
      <c r="M2176">
        <v>3900</v>
      </c>
      <c r="N2176">
        <v>70600</v>
      </c>
      <c r="O2176" t="s">
        <v>21</v>
      </c>
      <c r="P2176" s="3">
        <v>45320</v>
      </c>
      <c r="Q2176" t="s">
        <v>28</v>
      </c>
    </row>
    <row r="2177" spans="1:17" x14ac:dyDescent="0.35">
      <c r="A2177" t="s">
        <v>2229</v>
      </c>
      <c r="B2177" t="s">
        <v>16</v>
      </c>
      <c r="C2177">
        <v>25</v>
      </c>
      <c r="D2177" t="s">
        <v>41</v>
      </c>
      <c r="E2177" t="s">
        <v>42</v>
      </c>
      <c r="F2177" t="s">
        <v>28</v>
      </c>
      <c r="G2177">
        <v>6.9</v>
      </c>
      <c r="H2177">
        <v>5.5</v>
      </c>
      <c r="I2177" t="str" cm="1">
        <f t="array" ref="I2177">_xlfn.IFS(G2177&lt;3, "0–2 Years", G2177&lt;6, "3–5 Years", G2177&lt;9, "6–8 Years", G2177&lt;12, "9-11 Years", G2177&gt;=12, "12-14 Years")</f>
        <v>6–8 Years</v>
      </c>
      <c r="J2177">
        <v>4</v>
      </c>
      <c r="K2177" t="s">
        <v>20</v>
      </c>
      <c r="L2177">
        <v>78700</v>
      </c>
      <c r="M2177">
        <v>4600</v>
      </c>
      <c r="N2177">
        <v>83300</v>
      </c>
      <c r="O2177" t="s">
        <v>21</v>
      </c>
      <c r="P2177" s="3">
        <v>43519</v>
      </c>
      <c r="Q2177" t="s">
        <v>28</v>
      </c>
    </row>
    <row r="2178" spans="1:17" x14ac:dyDescent="0.35">
      <c r="A2178" t="s">
        <v>2230</v>
      </c>
      <c r="B2178" t="s">
        <v>23</v>
      </c>
      <c r="C2178" s="7">
        <v>24</v>
      </c>
      <c r="D2178" t="s">
        <v>34</v>
      </c>
      <c r="E2178" t="s">
        <v>35</v>
      </c>
      <c r="F2178" t="s">
        <v>28</v>
      </c>
      <c r="G2178" s="9">
        <v>14</v>
      </c>
      <c r="H2178" s="7">
        <v>8.5</v>
      </c>
      <c r="I2178" t="str" cm="1">
        <f t="array" ref="I2178">_xlfn.IFS(G2178&lt;3, "0–2 Years", G2178&lt;6, "3–5 Years", G2178&lt;9, "6–8 Years", G2178&lt;12, "9-11 Years", G2178&gt;=12, "12-14 Years")</f>
        <v>12-14 Years</v>
      </c>
      <c r="J2178" s="7">
        <v>3</v>
      </c>
      <c r="K2178" t="s">
        <v>24</v>
      </c>
      <c r="L2178" s="7">
        <v>50600</v>
      </c>
      <c r="M2178" s="7">
        <v>4800</v>
      </c>
      <c r="N2178" s="7">
        <v>55400</v>
      </c>
      <c r="O2178" t="s">
        <v>25</v>
      </c>
      <c r="P2178" s="3">
        <v>40922</v>
      </c>
      <c r="Q2178" t="s">
        <v>28</v>
      </c>
    </row>
    <row r="2179" spans="1:17" x14ac:dyDescent="0.35">
      <c r="A2179" t="s">
        <v>2231</v>
      </c>
      <c r="B2179" t="s">
        <v>23</v>
      </c>
      <c r="C2179">
        <v>36</v>
      </c>
      <c r="D2179" t="s">
        <v>38</v>
      </c>
      <c r="E2179" t="s">
        <v>112</v>
      </c>
      <c r="F2179" t="s">
        <v>28</v>
      </c>
      <c r="G2179">
        <v>6</v>
      </c>
      <c r="H2179">
        <v>2.7</v>
      </c>
      <c r="I2179" t="str" cm="1">
        <f t="array" ref="I2179">_xlfn.IFS(G2179&lt;3, "0–2 Years", G2179&lt;6, "3–5 Years", G2179&lt;9, "6–8 Years", G2179&lt;12, "9-11 Years", G2179&gt;=12, "12-14 Years")</f>
        <v>6–8 Years</v>
      </c>
      <c r="J2179">
        <v>4</v>
      </c>
      <c r="K2179" t="s">
        <v>20</v>
      </c>
      <c r="L2179">
        <v>77800</v>
      </c>
      <c r="M2179">
        <v>7600</v>
      </c>
      <c r="N2179">
        <v>85400</v>
      </c>
      <c r="O2179" t="s">
        <v>21</v>
      </c>
      <c r="P2179" s="3">
        <v>43819</v>
      </c>
      <c r="Q2179" t="s">
        <v>28</v>
      </c>
    </row>
    <row r="2180" spans="1:17" x14ac:dyDescent="0.35">
      <c r="A2180" t="s">
        <v>2232</v>
      </c>
      <c r="B2180" t="s">
        <v>23</v>
      </c>
      <c r="C2180">
        <v>30</v>
      </c>
      <c r="D2180" t="s">
        <v>17</v>
      </c>
      <c r="E2180" t="s">
        <v>18</v>
      </c>
      <c r="F2180" t="s">
        <v>28</v>
      </c>
      <c r="G2180">
        <v>7</v>
      </c>
      <c r="H2180">
        <v>5.5</v>
      </c>
      <c r="I2180" t="str" cm="1">
        <f t="array" ref="I2180">_xlfn.IFS(G2180&lt;3, "0–2 Years", G2180&lt;6, "3–5 Years", G2180&lt;9, "6–8 Years", G2180&lt;12, "9-11 Years", G2180&gt;=12, "12-14 Years")</f>
        <v>6–8 Years</v>
      </c>
      <c r="J2180">
        <v>3</v>
      </c>
      <c r="K2180" t="s">
        <v>20</v>
      </c>
      <c r="L2180">
        <v>108900</v>
      </c>
      <c r="M2180">
        <v>9800</v>
      </c>
      <c r="N2180">
        <v>118700</v>
      </c>
      <c r="O2180" t="s">
        <v>57</v>
      </c>
      <c r="P2180" s="3">
        <v>43453</v>
      </c>
      <c r="Q2180" t="s">
        <v>28</v>
      </c>
    </row>
    <row r="2181" spans="1:17" x14ac:dyDescent="0.35">
      <c r="A2181" t="s">
        <v>2233</v>
      </c>
      <c r="B2181" t="s">
        <v>23</v>
      </c>
      <c r="C2181">
        <v>27</v>
      </c>
      <c r="D2181" t="s">
        <v>41</v>
      </c>
      <c r="E2181" t="s">
        <v>73</v>
      </c>
      <c r="F2181" t="s">
        <v>36</v>
      </c>
      <c r="G2181">
        <v>11.1</v>
      </c>
      <c r="H2181">
        <v>6.6</v>
      </c>
      <c r="I2181" t="str" cm="1">
        <f t="array" ref="I2181">_xlfn.IFS(G2181&lt;3, "0–2 Years", G2181&lt;6, "3–5 Years", G2181&lt;9, "6–8 Years", G2181&lt;12, "9-11 Years", G2181&gt;=12, "12-14 Years")</f>
        <v>9-11 Years</v>
      </c>
      <c r="J2181">
        <v>5</v>
      </c>
      <c r="K2181" t="s">
        <v>69</v>
      </c>
      <c r="L2181">
        <v>93000</v>
      </c>
      <c r="M2181">
        <v>7400</v>
      </c>
      <c r="N2181">
        <v>100400</v>
      </c>
      <c r="O2181" t="s">
        <v>30</v>
      </c>
      <c r="P2181" s="3">
        <v>41982</v>
      </c>
      <c r="Q2181" t="s">
        <v>36</v>
      </c>
    </row>
    <row r="2182" spans="1:17" x14ac:dyDescent="0.35">
      <c r="A2182" t="s">
        <v>2234</v>
      </c>
      <c r="B2182" t="s">
        <v>16</v>
      </c>
      <c r="C2182" s="7">
        <v>34</v>
      </c>
      <c r="D2182" t="s">
        <v>41</v>
      </c>
      <c r="E2182" t="s">
        <v>73</v>
      </c>
      <c r="F2182" t="s">
        <v>36</v>
      </c>
      <c r="G2182" s="9">
        <v>13.7</v>
      </c>
      <c r="H2182" s="7">
        <v>10.3</v>
      </c>
      <c r="I2182" t="str" cm="1">
        <f t="array" ref="I2182">_xlfn.IFS(G2182&lt;3, "0–2 Years", G2182&lt;6, "3–5 Years", G2182&lt;9, "6–8 Years", G2182&lt;12, "9-11 Years", G2182&gt;=12, "12-14 Years")</f>
        <v>12-14 Years</v>
      </c>
      <c r="J2182" s="7">
        <v>3</v>
      </c>
      <c r="K2182" t="s">
        <v>20</v>
      </c>
      <c r="L2182" s="7">
        <v>133700</v>
      </c>
      <c r="M2182" s="7">
        <v>7900</v>
      </c>
      <c r="N2182" s="7">
        <v>141600</v>
      </c>
      <c r="O2182" t="s">
        <v>57</v>
      </c>
      <c r="P2182" s="3">
        <v>41026</v>
      </c>
      <c r="Q2182" t="s">
        <v>36</v>
      </c>
    </row>
    <row r="2183" spans="1:17" x14ac:dyDescent="0.35">
      <c r="A2183" t="s">
        <v>2235</v>
      </c>
      <c r="B2183" t="s">
        <v>23</v>
      </c>
      <c r="C2183">
        <v>34</v>
      </c>
      <c r="D2183" t="s">
        <v>17</v>
      </c>
      <c r="E2183" t="s">
        <v>27</v>
      </c>
      <c r="F2183" t="s">
        <v>36</v>
      </c>
      <c r="G2183">
        <v>8</v>
      </c>
      <c r="H2183">
        <v>4.5999999999999996</v>
      </c>
      <c r="I2183" t="str" cm="1">
        <f t="array" ref="I2183">_xlfn.IFS(G2183&lt;3, "0–2 Years", G2183&lt;6, "3–5 Years", G2183&lt;9, "6–8 Years", G2183&lt;12, "9-11 Years", G2183&gt;=12, "12-14 Years")</f>
        <v>6–8 Years</v>
      </c>
      <c r="J2183">
        <v>3</v>
      </c>
      <c r="K2183" t="s">
        <v>24</v>
      </c>
      <c r="L2183">
        <v>47700</v>
      </c>
      <c r="M2183">
        <v>3600</v>
      </c>
      <c r="N2183">
        <v>51300</v>
      </c>
      <c r="O2183" t="s">
        <v>65</v>
      </c>
      <c r="P2183" s="3">
        <v>43113</v>
      </c>
      <c r="Q2183" t="s">
        <v>36</v>
      </c>
    </row>
    <row r="2184" spans="1:17" x14ac:dyDescent="0.35">
      <c r="A2184" t="s">
        <v>2236</v>
      </c>
      <c r="B2184" t="s">
        <v>23</v>
      </c>
      <c r="C2184">
        <v>33</v>
      </c>
      <c r="D2184" t="s">
        <v>55</v>
      </c>
      <c r="E2184" t="s">
        <v>56</v>
      </c>
      <c r="F2184" t="s">
        <v>36</v>
      </c>
      <c r="G2184">
        <v>2.2000000000000002</v>
      </c>
      <c r="H2184">
        <v>2.2000000000000002</v>
      </c>
      <c r="I2184" t="str" cm="1">
        <f t="array" ref="I2184">_xlfn.IFS(G2184&lt;3, "0–2 Years", G2184&lt;6, "3–5 Years", G2184&lt;9, "6–8 Years", G2184&lt;12, "9-11 Years", G2184&gt;=12, "12-14 Years")</f>
        <v>0–2 Years</v>
      </c>
      <c r="J2184">
        <v>3</v>
      </c>
      <c r="K2184" t="s">
        <v>20</v>
      </c>
      <c r="L2184">
        <v>92800</v>
      </c>
      <c r="M2184">
        <v>16500</v>
      </c>
      <c r="N2184">
        <v>109300</v>
      </c>
      <c r="O2184" t="s">
        <v>30</v>
      </c>
      <c r="P2184" s="3">
        <v>45236</v>
      </c>
      <c r="Q2184" t="s">
        <v>36</v>
      </c>
    </row>
    <row r="2185" spans="1:17" x14ac:dyDescent="0.35">
      <c r="A2185" t="s">
        <v>2237</v>
      </c>
      <c r="B2185" t="s">
        <v>16</v>
      </c>
      <c r="C2185">
        <v>37</v>
      </c>
      <c r="D2185" t="s">
        <v>34</v>
      </c>
      <c r="E2185" t="s">
        <v>35</v>
      </c>
      <c r="F2185" t="s">
        <v>36</v>
      </c>
      <c r="G2185">
        <v>4</v>
      </c>
      <c r="H2185">
        <v>3.5</v>
      </c>
      <c r="I2185" t="str" cm="1">
        <f t="array" ref="I2185">_xlfn.IFS(G2185&lt;3, "0–2 Years", G2185&lt;6, "3–5 Years", G2185&lt;9, "6–8 Years", G2185&lt;12, "9-11 Years", G2185&gt;=12, "12-14 Years")</f>
        <v>3–5 Years</v>
      </c>
      <c r="J2185">
        <v>4</v>
      </c>
      <c r="K2185" t="s">
        <v>20</v>
      </c>
      <c r="L2185">
        <v>87600</v>
      </c>
      <c r="M2185">
        <v>5900</v>
      </c>
      <c r="N2185">
        <v>93500</v>
      </c>
      <c r="O2185" t="s">
        <v>30</v>
      </c>
      <c r="P2185" s="3">
        <v>44561</v>
      </c>
      <c r="Q2185" t="s">
        <v>36</v>
      </c>
    </row>
    <row r="2186" spans="1:17" x14ac:dyDescent="0.35">
      <c r="A2186" t="s">
        <v>2238</v>
      </c>
      <c r="B2186" t="s">
        <v>23</v>
      </c>
      <c r="C2186" s="7">
        <v>33</v>
      </c>
      <c r="D2186" t="s">
        <v>34</v>
      </c>
      <c r="E2186" t="s">
        <v>59</v>
      </c>
      <c r="F2186" t="s">
        <v>28</v>
      </c>
      <c r="G2186" s="9">
        <v>12.7</v>
      </c>
      <c r="H2186" s="7">
        <v>6.5</v>
      </c>
      <c r="I2186" t="str" cm="1">
        <f t="array" ref="I2186">_xlfn.IFS(G2186&lt;3, "0–2 Years", G2186&lt;6, "3–5 Years", G2186&lt;9, "6–8 Years", G2186&lt;12, "9-11 Years", G2186&gt;=12, "12-14 Years")</f>
        <v>12-14 Years</v>
      </c>
      <c r="J2186" s="7">
        <v>4</v>
      </c>
      <c r="K2186" t="s">
        <v>20</v>
      </c>
      <c r="L2186" s="7">
        <v>99700</v>
      </c>
      <c r="M2186" s="7">
        <v>8100</v>
      </c>
      <c r="N2186" s="7">
        <v>107800</v>
      </c>
      <c r="O2186" t="s">
        <v>30</v>
      </c>
      <c r="P2186" s="3">
        <v>41396</v>
      </c>
      <c r="Q2186" t="s">
        <v>28</v>
      </c>
    </row>
    <row r="2187" spans="1:17" x14ac:dyDescent="0.35">
      <c r="A2187" t="s">
        <v>2239</v>
      </c>
      <c r="B2187" t="s">
        <v>23</v>
      </c>
      <c r="C2187">
        <v>41</v>
      </c>
      <c r="D2187" t="s">
        <v>38</v>
      </c>
      <c r="E2187" t="s">
        <v>39</v>
      </c>
      <c r="F2187" t="s">
        <v>28</v>
      </c>
      <c r="G2187">
        <v>6.4</v>
      </c>
      <c r="H2187">
        <v>4.2</v>
      </c>
      <c r="I2187" t="str" cm="1">
        <f t="array" ref="I2187">_xlfn.IFS(G2187&lt;3, "0–2 Years", G2187&lt;6, "3–5 Years", G2187&lt;9, "6–8 Years", G2187&lt;12, "9-11 Years", G2187&gt;=12, "12-14 Years")</f>
        <v>6–8 Years</v>
      </c>
      <c r="J2187">
        <v>3</v>
      </c>
      <c r="K2187" t="s">
        <v>20</v>
      </c>
      <c r="L2187">
        <v>67400</v>
      </c>
      <c r="M2187">
        <v>6200</v>
      </c>
      <c r="N2187">
        <v>73600</v>
      </c>
      <c r="O2187" t="s">
        <v>21</v>
      </c>
      <c r="P2187" s="3">
        <v>43669</v>
      </c>
      <c r="Q2187" t="s">
        <v>28</v>
      </c>
    </row>
    <row r="2188" spans="1:17" x14ac:dyDescent="0.35">
      <c r="A2188" t="s">
        <v>2240</v>
      </c>
      <c r="B2188" t="s">
        <v>23</v>
      </c>
      <c r="C2188">
        <v>21</v>
      </c>
      <c r="D2188" t="s">
        <v>34</v>
      </c>
      <c r="E2188" t="s">
        <v>47</v>
      </c>
      <c r="F2188" t="s">
        <v>36</v>
      </c>
      <c r="G2188">
        <v>3.9</v>
      </c>
      <c r="H2188">
        <v>3.1</v>
      </c>
      <c r="I2188" t="str" cm="1">
        <f t="array" ref="I2188">_xlfn.IFS(G2188&lt;3, "0–2 Years", G2188&lt;6, "3–5 Years", G2188&lt;9, "6–8 Years", G2188&lt;12, "9-11 Years", G2188&gt;=12, "12-14 Years")</f>
        <v>3–5 Years</v>
      </c>
      <c r="J2188">
        <v>3</v>
      </c>
      <c r="K2188" t="s">
        <v>20</v>
      </c>
      <c r="L2188">
        <v>72600</v>
      </c>
      <c r="M2188">
        <v>3000</v>
      </c>
      <c r="N2188">
        <v>75600</v>
      </c>
      <c r="O2188" t="s">
        <v>21</v>
      </c>
      <c r="P2188" s="3">
        <v>44604</v>
      </c>
      <c r="Q2188" t="s">
        <v>36</v>
      </c>
    </row>
    <row r="2189" spans="1:17" x14ac:dyDescent="0.35">
      <c r="A2189" t="s">
        <v>2241</v>
      </c>
      <c r="B2189" t="s">
        <v>23</v>
      </c>
      <c r="C2189" s="7">
        <v>26</v>
      </c>
      <c r="D2189" t="s">
        <v>41</v>
      </c>
      <c r="E2189" t="s">
        <v>67</v>
      </c>
      <c r="F2189" t="s">
        <v>62</v>
      </c>
      <c r="G2189" s="9">
        <v>13.5</v>
      </c>
      <c r="H2189" s="7">
        <v>7.7</v>
      </c>
      <c r="I2189" t="str" cm="1">
        <f t="array" ref="I2189">_xlfn.IFS(G2189&lt;3, "0–2 Years", G2189&lt;6, "3–5 Years", G2189&lt;9, "6–8 Years", G2189&lt;12, "9-11 Years", G2189&gt;=12, "12-14 Years")</f>
        <v>12-14 Years</v>
      </c>
      <c r="J2189" s="7">
        <v>3</v>
      </c>
      <c r="K2189" t="s">
        <v>24</v>
      </c>
      <c r="L2189" s="7">
        <v>52800</v>
      </c>
      <c r="M2189" s="7">
        <v>1600</v>
      </c>
      <c r="N2189" s="7">
        <v>54400</v>
      </c>
      <c r="O2189" t="s">
        <v>25</v>
      </c>
      <c r="P2189" s="3">
        <v>41109</v>
      </c>
      <c r="Q2189" t="s">
        <v>62</v>
      </c>
    </row>
    <row r="2190" spans="1:17" x14ac:dyDescent="0.35">
      <c r="A2190" t="s">
        <v>2242</v>
      </c>
      <c r="B2190" t="s">
        <v>16</v>
      </c>
      <c r="C2190">
        <v>26</v>
      </c>
      <c r="D2190" t="s">
        <v>34</v>
      </c>
      <c r="E2190" t="s">
        <v>35</v>
      </c>
      <c r="F2190" t="s">
        <v>28</v>
      </c>
      <c r="G2190">
        <v>4.0999999999999996</v>
      </c>
      <c r="H2190">
        <v>1.5</v>
      </c>
      <c r="I2190" t="str" cm="1">
        <f t="array" ref="I2190">_xlfn.IFS(G2190&lt;3, "0–2 Years", G2190&lt;6, "3–5 Years", G2190&lt;9, "6–8 Years", G2190&lt;12, "9-11 Years", G2190&gt;=12, "12-14 Years")</f>
        <v>3–5 Years</v>
      </c>
      <c r="J2190">
        <v>2</v>
      </c>
      <c r="K2190" t="s">
        <v>20</v>
      </c>
      <c r="L2190">
        <v>66700</v>
      </c>
      <c r="M2190">
        <v>5800</v>
      </c>
      <c r="N2190">
        <v>72500</v>
      </c>
      <c r="O2190" t="s">
        <v>21</v>
      </c>
      <c r="P2190" s="3">
        <v>44527</v>
      </c>
      <c r="Q2190" t="s">
        <v>28</v>
      </c>
    </row>
    <row r="2191" spans="1:17" x14ac:dyDescent="0.35">
      <c r="A2191" t="s">
        <v>2243</v>
      </c>
      <c r="B2191" t="s">
        <v>23</v>
      </c>
      <c r="C2191">
        <v>35</v>
      </c>
      <c r="D2191" t="s">
        <v>55</v>
      </c>
      <c r="E2191" t="s">
        <v>56</v>
      </c>
      <c r="F2191" t="s">
        <v>28</v>
      </c>
      <c r="G2191">
        <v>8.5</v>
      </c>
      <c r="H2191">
        <v>5.7</v>
      </c>
      <c r="I2191" t="str" cm="1">
        <f t="array" ref="I2191">_xlfn.IFS(G2191&lt;3, "0–2 Years", G2191&lt;6, "3–5 Years", G2191&lt;9, "6–8 Years", G2191&lt;12, "9-11 Years", G2191&gt;=12, "12-14 Years")</f>
        <v>6–8 Years</v>
      </c>
      <c r="J2191">
        <v>3</v>
      </c>
      <c r="K2191" t="s">
        <v>20</v>
      </c>
      <c r="L2191">
        <v>101800</v>
      </c>
      <c r="M2191">
        <v>16400</v>
      </c>
      <c r="N2191">
        <v>118200</v>
      </c>
      <c r="O2191" t="s">
        <v>57</v>
      </c>
      <c r="P2191" s="3">
        <v>42906</v>
      </c>
      <c r="Q2191" t="s">
        <v>28</v>
      </c>
    </row>
    <row r="2192" spans="1:17" x14ac:dyDescent="0.35">
      <c r="A2192" t="s">
        <v>2244</v>
      </c>
      <c r="B2192" t="s">
        <v>16</v>
      </c>
      <c r="C2192">
        <v>27</v>
      </c>
      <c r="D2192" t="s">
        <v>34</v>
      </c>
      <c r="E2192" t="s">
        <v>47</v>
      </c>
      <c r="F2192" t="s">
        <v>36</v>
      </c>
      <c r="G2192">
        <v>8.1999999999999993</v>
      </c>
      <c r="H2192">
        <v>3.7</v>
      </c>
      <c r="I2192" t="str" cm="1">
        <f t="array" ref="I2192">_xlfn.IFS(G2192&lt;3, "0–2 Years", G2192&lt;6, "3–5 Years", G2192&lt;9, "6–8 Years", G2192&lt;12, "9-11 Years", G2192&gt;=12, "12-14 Years")</f>
        <v>6–8 Years</v>
      </c>
      <c r="J2192">
        <v>3</v>
      </c>
      <c r="K2192" t="s">
        <v>20</v>
      </c>
      <c r="L2192">
        <v>90400</v>
      </c>
      <c r="M2192">
        <v>4200</v>
      </c>
      <c r="N2192">
        <v>94600</v>
      </c>
      <c r="O2192" t="s">
        <v>30</v>
      </c>
      <c r="P2192" s="3">
        <v>43031</v>
      </c>
      <c r="Q2192" t="s">
        <v>36</v>
      </c>
    </row>
    <row r="2193" spans="1:17" x14ac:dyDescent="0.35">
      <c r="A2193" t="s">
        <v>2245</v>
      </c>
      <c r="B2193" t="s">
        <v>16</v>
      </c>
      <c r="C2193">
        <v>28</v>
      </c>
      <c r="D2193" t="s">
        <v>38</v>
      </c>
      <c r="E2193" t="s">
        <v>39</v>
      </c>
      <c r="F2193" t="s">
        <v>36</v>
      </c>
      <c r="G2193">
        <v>7.1</v>
      </c>
      <c r="H2193">
        <v>4.7</v>
      </c>
      <c r="I2193" t="str" cm="1">
        <f t="array" ref="I2193">_xlfn.IFS(G2193&lt;3, "0–2 Years", G2193&lt;6, "3–5 Years", G2193&lt;9, "6–8 Years", G2193&lt;12, "9-11 Years", G2193&gt;=12, "12-14 Years")</f>
        <v>6–8 Years</v>
      </c>
      <c r="J2193">
        <v>2</v>
      </c>
      <c r="K2193" t="s">
        <v>20</v>
      </c>
      <c r="L2193">
        <v>74800</v>
      </c>
      <c r="M2193">
        <v>5700</v>
      </c>
      <c r="N2193">
        <v>80500</v>
      </c>
      <c r="O2193" t="s">
        <v>21</v>
      </c>
      <c r="P2193" s="3">
        <v>43415</v>
      </c>
      <c r="Q2193" t="s">
        <v>36</v>
      </c>
    </row>
    <row r="2194" spans="1:17" x14ac:dyDescent="0.35">
      <c r="A2194" t="s">
        <v>2246</v>
      </c>
      <c r="B2194" t="s">
        <v>23</v>
      </c>
      <c r="C2194">
        <v>43</v>
      </c>
      <c r="D2194" t="s">
        <v>44</v>
      </c>
      <c r="E2194" t="s">
        <v>76</v>
      </c>
      <c r="F2194" t="s">
        <v>36</v>
      </c>
      <c r="G2194">
        <v>3.6</v>
      </c>
      <c r="H2194">
        <v>3.6</v>
      </c>
      <c r="I2194" t="str" cm="1">
        <f t="array" ref="I2194">_xlfn.IFS(G2194&lt;3, "0–2 Years", G2194&lt;6, "3–5 Years", G2194&lt;9, "6–8 Years", G2194&lt;12, "9-11 Years", G2194&gt;=12, "12-14 Years")</f>
        <v>3–5 Years</v>
      </c>
      <c r="J2194">
        <v>4</v>
      </c>
      <c r="K2194" t="s">
        <v>24</v>
      </c>
      <c r="L2194">
        <v>73800</v>
      </c>
      <c r="M2194">
        <v>8500</v>
      </c>
      <c r="N2194">
        <v>82300</v>
      </c>
      <c r="O2194" t="s">
        <v>21</v>
      </c>
      <c r="P2194" s="3">
        <v>44710</v>
      </c>
      <c r="Q2194" t="s">
        <v>36</v>
      </c>
    </row>
    <row r="2195" spans="1:17" x14ac:dyDescent="0.35">
      <c r="A2195" t="s">
        <v>2247</v>
      </c>
      <c r="B2195" t="s">
        <v>23</v>
      </c>
      <c r="C2195" s="7">
        <v>32</v>
      </c>
      <c r="D2195" t="s">
        <v>55</v>
      </c>
      <c r="E2195" t="s">
        <v>92</v>
      </c>
      <c r="F2195" t="s">
        <v>28</v>
      </c>
      <c r="G2195" s="9">
        <v>12.6</v>
      </c>
      <c r="H2195" s="7">
        <v>7.4</v>
      </c>
      <c r="I2195" t="str" cm="1">
        <f t="array" ref="I2195">_xlfn.IFS(G2195&lt;3, "0–2 Years", G2195&lt;6, "3–5 Years", G2195&lt;9, "6–8 Years", G2195&lt;12, "9-11 Years", G2195&gt;=12, "12-14 Years")</f>
        <v>12-14 Years</v>
      </c>
      <c r="J2195" s="7">
        <v>3</v>
      </c>
      <c r="K2195" t="s">
        <v>20</v>
      </c>
      <c r="L2195" s="7">
        <v>103700</v>
      </c>
      <c r="M2195" s="7">
        <v>15400</v>
      </c>
      <c r="N2195" s="7">
        <v>119100</v>
      </c>
      <c r="O2195" t="s">
        <v>57</v>
      </c>
      <c r="P2195" s="3">
        <v>41438</v>
      </c>
      <c r="Q2195" t="s">
        <v>28</v>
      </c>
    </row>
    <row r="2196" spans="1:17" x14ac:dyDescent="0.35">
      <c r="A2196" t="s">
        <v>2248</v>
      </c>
      <c r="B2196" t="s">
        <v>23</v>
      </c>
      <c r="C2196">
        <v>31</v>
      </c>
      <c r="D2196" t="s">
        <v>41</v>
      </c>
      <c r="E2196" t="s">
        <v>42</v>
      </c>
      <c r="F2196" t="s">
        <v>36</v>
      </c>
      <c r="G2196">
        <v>6</v>
      </c>
      <c r="H2196">
        <v>3.9</v>
      </c>
      <c r="I2196" t="str" cm="1">
        <f t="array" ref="I2196">_xlfn.IFS(G2196&lt;3, "0–2 Years", G2196&lt;6, "3–5 Years", G2196&lt;9, "6–8 Years", G2196&lt;12, "9-11 Years", G2196&gt;=12, "12-14 Years")</f>
        <v>6–8 Years</v>
      </c>
      <c r="J2196">
        <v>3</v>
      </c>
      <c r="K2196" t="s">
        <v>20</v>
      </c>
      <c r="L2196">
        <v>97500</v>
      </c>
      <c r="M2196">
        <v>6600</v>
      </c>
      <c r="N2196">
        <v>104100</v>
      </c>
      <c r="O2196" t="s">
        <v>30</v>
      </c>
      <c r="P2196" s="3">
        <v>43848</v>
      </c>
      <c r="Q2196" t="s">
        <v>36</v>
      </c>
    </row>
    <row r="2197" spans="1:17" x14ac:dyDescent="0.35">
      <c r="A2197" t="s">
        <v>2249</v>
      </c>
      <c r="B2197" t="s">
        <v>23</v>
      </c>
      <c r="C2197">
        <v>53</v>
      </c>
      <c r="D2197" t="s">
        <v>38</v>
      </c>
      <c r="E2197" t="s">
        <v>61</v>
      </c>
      <c r="F2197" t="s">
        <v>36</v>
      </c>
      <c r="G2197">
        <v>10</v>
      </c>
      <c r="H2197">
        <v>8</v>
      </c>
      <c r="I2197" t="str" cm="1">
        <f t="array" ref="I2197">_xlfn.IFS(G2197&lt;3, "0–2 Years", G2197&lt;6, "3–5 Years", G2197&lt;9, "6–8 Years", G2197&lt;12, "9-11 Years", G2197&gt;=12, "12-14 Years")</f>
        <v>9-11 Years</v>
      </c>
      <c r="J2197">
        <v>1</v>
      </c>
      <c r="K2197" t="s">
        <v>20</v>
      </c>
      <c r="L2197">
        <v>107600</v>
      </c>
      <c r="M2197">
        <v>7700</v>
      </c>
      <c r="N2197">
        <v>115300</v>
      </c>
      <c r="O2197" t="s">
        <v>57</v>
      </c>
      <c r="P2197" s="3">
        <v>42372</v>
      </c>
      <c r="Q2197" t="s">
        <v>36</v>
      </c>
    </row>
    <row r="2198" spans="1:17" x14ac:dyDescent="0.35">
      <c r="A2198" t="s">
        <v>2250</v>
      </c>
      <c r="B2198" t="s">
        <v>23</v>
      </c>
      <c r="C2198">
        <v>40</v>
      </c>
      <c r="D2198" t="s">
        <v>34</v>
      </c>
      <c r="E2198" t="s">
        <v>35</v>
      </c>
      <c r="F2198" t="s">
        <v>28</v>
      </c>
      <c r="G2198">
        <v>7.3</v>
      </c>
      <c r="H2198">
        <v>5</v>
      </c>
      <c r="I2198" t="str" cm="1">
        <f t="array" ref="I2198">_xlfn.IFS(G2198&lt;3, "0–2 Years", G2198&lt;6, "3–5 Years", G2198&lt;9, "6–8 Years", G2198&lt;12, "9-11 Years", G2198&gt;=12, "12-14 Years")</f>
        <v>6–8 Years</v>
      </c>
      <c r="J2198">
        <v>3</v>
      </c>
      <c r="K2198" t="s">
        <v>20</v>
      </c>
      <c r="L2198">
        <v>67400</v>
      </c>
      <c r="M2198">
        <v>7400</v>
      </c>
      <c r="N2198">
        <v>74800</v>
      </c>
      <c r="O2198" t="s">
        <v>21</v>
      </c>
      <c r="P2198" s="3">
        <v>43342</v>
      </c>
      <c r="Q2198" t="s">
        <v>28</v>
      </c>
    </row>
    <row r="2199" spans="1:17" x14ac:dyDescent="0.35">
      <c r="A2199" t="s">
        <v>2251</v>
      </c>
      <c r="B2199" t="s">
        <v>23</v>
      </c>
      <c r="C2199">
        <v>33</v>
      </c>
      <c r="D2199" t="s">
        <v>17</v>
      </c>
      <c r="E2199" t="s">
        <v>27</v>
      </c>
      <c r="F2199" t="s">
        <v>28</v>
      </c>
      <c r="G2199">
        <v>3.5</v>
      </c>
      <c r="H2199">
        <v>2.1</v>
      </c>
      <c r="I2199" t="str" cm="1">
        <f t="array" ref="I2199">_xlfn.IFS(G2199&lt;3, "0–2 Years", G2199&lt;6, "3–5 Years", G2199&lt;9, "6–8 Years", G2199&lt;12, "9-11 Years", G2199&gt;=12, "12-14 Years")</f>
        <v>3–5 Years</v>
      </c>
      <c r="J2199">
        <v>3</v>
      </c>
      <c r="K2199" t="s">
        <v>20</v>
      </c>
      <c r="L2199">
        <v>72200</v>
      </c>
      <c r="M2199">
        <v>8600</v>
      </c>
      <c r="N2199">
        <v>80800</v>
      </c>
      <c r="O2199" t="s">
        <v>21</v>
      </c>
      <c r="P2199" s="3">
        <v>44737</v>
      </c>
      <c r="Q2199" t="s">
        <v>28</v>
      </c>
    </row>
    <row r="2200" spans="1:17" x14ac:dyDescent="0.35">
      <c r="A2200" t="s">
        <v>2252</v>
      </c>
      <c r="B2200" t="s">
        <v>23</v>
      </c>
      <c r="C2200">
        <v>44</v>
      </c>
      <c r="D2200" t="s">
        <v>41</v>
      </c>
      <c r="E2200" t="s">
        <v>73</v>
      </c>
      <c r="F2200" t="s">
        <v>19</v>
      </c>
      <c r="G2200">
        <v>1.1000000000000001</v>
      </c>
      <c r="H2200">
        <v>1.1000000000000001</v>
      </c>
      <c r="I2200" t="str" cm="1">
        <f t="array" ref="I2200">_xlfn.IFS(G2200&lt;3, "0–2 Years", G2200&lt;6, "3–5 Years", G2200&lt;9, "6–8 Years", G2200&lt;12, "9-11 Years", G2200&gt;=12, "12-14 Years")</f>
        <v>0–2 Years</v>
      </c>
      <c r="J2200">
        <v>3</v>
      </c>
      <c r="K2200" t="s">
        <v>20</v>
      </c>
      <c r="L2200">
        <v>88700</v>
      </c>
      <c r="M2200">
        <v>3300</v>
      </c>
      <c r="N2200">
        <v>92000</v>
      </c>
      <c r="O2200" t="s">
        <v>30</v>
      </c>
      <c r="P2200" s="3">
        <v>45635</v>
      </c>
      <c r="Q2200" t="s">
        <v>19</v>
      </c>
    </row>
    <row r="2201" spans="1:17" x14ac:dyDescent="0.35">
      <c r="A2201" t="s">
        <v>2253</v>
      </c>
      <c r="B2201" t="s">
        <v>16</v>
      </c>
      <c r="C2201">
        <v>36</v>
      </c>
      <c r="D2201" t="s">
        <v>34</v>
      </c>
      <c r="E2201" t="s">
        <v>35</v>
      </c>
      <c r="G2201">
        <v>4.4000000000000004</v>
      </c>
      <c r="I2201" t="str" cm="1">
        <f t="array" ref="I2201">_xlfn.IFS(G2201&lt;3, "0–2 Years", G2201&lt;6, "3–5 Years", G2201&lt;9, "6–8 Years", G2201&lt;12, "9-11 Years", G2201&gt;=12, "12-14 Years")</f>
        <v>3–5 Years</v>
      </c>
      <c r="J2201">
        <v>4</v>
      </c>
      <c r="K2201" t="s">
        <v>69</v>
      </c>
      <c r="L2201">
        <v>67800</v>
      </c>
      <c r="M2201">
        <v>3100</v>
      </c>
      <c r="N2201">
        <v>70900</v>
      </c>
      <c r="O2201" t="s">
        <v>21</v>
      </c>
      <c r="P2201" s="3">
        <v>44410</v>
      </c>
      <c r="Q2201" t="s">
        <v>5104</v>
      </c>
    </row>
    <row r="2202" spans="1:17" x14ac:dyDescent="0.35">
      <c r="A2202" t="s">
        <v>2254</v>
      </c>
      <c r="B2202" t="s">
        <v>16</v>
      </c>
      <c r="C2202">
        <v>49</v>
      </c>
      <c r="D2202" t="s">
        <v>41</v>
      </c>
      <c r="E2202" t="s">
        <v>73</v>
      </c>
      <c r="F2202" t="s">
        <v>19</v>
      </c>
      <c r="G2202">
        <v>8.8000000000000007</v>
      </c>
      <c r="H2202">
        <v>5.2</v>
      </c>
      <c r="I2202" t="str" cm="1">
        <f t="array" ref="I2202">_xlfn.IFS(G2202&lt;3, "0–2 Years", G2202&lt;6, "3–5 Years", G2202&lt;9, "6–8 Years", G2202&lt;12, "9-11 Years", G2202&gt;=12, "12-14 Years")</f>
        <v>6–8 Years</v>
      </c>
      <c r="J2202">
        <v>2</v>
      </c>
      <c r="K2202" t="s">
        <v>24</v>
      </c>
      <c r="L2202">
        <v>58300</v>
      </c>
      <c r="M2202">
        <v>4300</v>
      </c>
      <c r="N2202">
        <v>62600</v>
      </c>
      <c r="O2202" t="s">
        <v>25</v>
      </c>
      <c r="P2202" s="3">
        <v>42822</v>
      </c>
      <c r="Q2202" t="s">
        <v>19</v>
      </c>
    </row>
    <row r="2203" spans="1:17" x14ac:dyDescent="0.35">
      <c r="A2203" t="s">
        <v>2255</v>
      </c>
      <c r="B2203" t="s">
        <v>16</v>
      </c>
      <c r="C2203" s="7">
        <v>21</v>
      </c>
      <c r="D2203" t="s">
        <v>17</v>
      </c>
      <c r="E2203" t="s">
        <v>18</v>
      </c>
      <c r="F2203" t="s">
        <v>19</v>
      </c>
      <c r="G2203" s="9">
        <v>12.7</v>
      </c>
      <c r="H2203" s="7">
        <v>8.8000000000000007</v>
      </c>
      <c r="I2203" t="str" cm="1">
        <f t="array" ref="I2203">_xlfn.IFS(G2203&lt;3, "0–2 Years", G2203&lt;6, "3–5 Years", G2203&lt;9, "6–8 Years", G2203&lt;12, "9-11 Years", G2203&gt;=12, "12-14 Years")</f>
        <v>12-14 Years</v>
      </c>
      <c r="J2203" s="7">
        <v>4</v>
      </c>
      <c r="K2203" t="s">
        <v>20</v>
      </c>
      <c r="L2203" s="7">
        <v>116300</v>
      </c>
      <c r="M2203" s="7">
        <v>14800</v>
      </c>
      <c r="N2203" s="7">
        <v>131100</v>
      </c>
      <c r="O2203" t="s">
        <v>57</v>
      </c>
      <c r="P2203" s="3">
        <v>41396</v>
      </c>
      <c r="Q2203" t="s">
        <v>19</v>
      </c>
    </row>
    <row r="2204" spans="1:17" x14ac:dyDescent="0.35">
      <c r="A2204" t="s">
        <v>2256</v>
      </c>
      <c r="B2204" t="s">
        <v>16</v>
      </c>
      <c r="C2204">
        <v>28</v>
      </c>
      <c r="D2204" t="s">
        <v>38</v>
      </c>
      <c r="E2204" t="s">
        <v>39</v>
      </c>
      <c r="F2204" t="s">
        <v>28</v>
      </c>
      <c r="G2204">
        <v>7.7</v>
      </c>
      <c r="H2204">
        <v>5.0999999999999996</v>
      </c>
      <c r="I2204" t="str" cm="1">
        <f t="array" ref="I2204">_xlfn.IFS(G2204&lt;3, "0–2 Years", G2204&lt;6, "3–5 Years", G2204&lt;9, "6–8 Years", G2204&lt;12, "9-11 Years", G2204&gt;=12, "12-14 Years")</f>
        <v>6–8 Years</v>
      </c>
      <c r="J2204">
        <v>3</v>
      </c>
      <c r="K2204" t="s">
        <v>20</v>
      </c>
      <c r="L2204">
        <v>76700</v>
      </c>
      <c r="M2204">
        <v>3400</v>
      </c>
      <c r="N2204">
        <v>80100</v>
      </c>
      <c r="O2204" t="s">
        <v>21</v>
      </c>
      <c r="P2204" s="3">
        <v>43222</v>
      </c>
      <c r="Q2204" t="s">
        <v>28</v>
      </c>
    </row>
    <row r="2205" spans="1:17" x14ac:dyDescent="0.35">
      <c r="A2205" t="s">
        <v>2257</v>
      </c>
      <c r="B2205" t="s">
        <v>23</v>
      </c>
      <c r="C2205">
        <v>38</v>
      </c>
      <c r="D2205" t="s">
        <v>41</v>
      </c>
      <c r="E2205" t="s">
        <v>67</v>
      </c>
      <c r="F2205" t="s">
        <v>36</v>
      </c>
      <c r="G2205">
        <v>3.9</v>
      </c>
      <c r="H2205">
        <v>2.9</v>
      </c>
      <c r="I2205" t="str" cm="1">
        <f t="array" ref="I2205">_xlfn.IFS(G2205&lt;3, "0–2 Years", G2205&lt;6, "3–5 Years", G2205&lt;9, "6–8 Years", G2205&lt;12, "9-11 Years", G2205&gt;=12, "12-14 Years")</f>
        <v>3–5 Years</v>
      </c>
      <c r="J2205">
        <v>1</v>
      </c>
      <c r="K2205" t="s">
        <v>24</v>
      </c>
      <c r="L2205">
        <v>46100</v>
      </c>
      <c r="M2205">
        <v>4100</v>
      </c>
      <c r="N2205">
        <v>50200</v>
      </c>
      <c r="O2205" t="s">
        <v>65</v>
      </c>
      <c r="P2205" s="3">
        <v>44610</v>
      </c>
      <c r="Q2205" t="s">
        <v>36</v>
      </c>
    </row>
    <row r="2206" spans="1:17" x14ac:dyDescent="0.35">
      <c r="A2206" t="s">
        <v>2258</v>
      </c>
      <c r="B2206" t="s">
        <v>23</v>
      </c>
      <c r="C2206">
        <v>27</v>
      </c>
      <c r="D2206" t="s">
        <v>41</v>
      </c>
      <c r="E2206" t="s">
        <v>73</v>
      </c>
      <c r="F2206" t="s">
        <v>28</v>
      </c>
      <c r="G2206">
        <v>6.1</v>
      </c>
      <c r="H2206">
        <v>4.5</v>
      </c>
      <c r="I2206" t="str" cm="1">
        <f t="array" ref="I2206">_xlfn.IFS(G2206&lt;3, "0–2 Years", G2206&lt;6, "3–5 Years", G2206&lt;9, "6–8 Years", G2206&lt;12, "9-11 Years", G2206&gt;=12, "12-14 Years")</f>
        <v>6–8 Years</v>
      </c>
      <c r="J2206">
        <v>5</v>
      </c>
      <c r="K2206" t="s">
        <v>20</v>
      </c>
      <c r="L2206">
        <v>87800</v>
      </c>
      <c r="M2206">
        <v>4300</v>
      </c>
      <c r="N2206">
        <v>92100</v>
      </c>
      <c r="O2206" t="s">
        <v>30</v>
      </c>
      <c r="P2206" s="3">
        <v>43799</v>
      </c>
      <c r="Q2206" t="s">
        <v>28</v>
      </c>
    </row>
    <row r="2207" spans="1:17" x14ac:dyDescent="0.35">
      <c r="A2207" t="s">
        <v>2259</v>
      </c>
      <c r="B2207" t="s">
        <v>23</v>
      </c>
      <c r="C2207">
        <v>23</v>
      </c>
      <c r="D2207" t="s">
        <v>38</v>
      </c>
      <c r="E2207" t="s">
        <v>112</v>
      </c>
      <c r="F2207" t="s">
        <v>28</v>
      </c>
      <c r="G2207">
        <v>3.5</v>
      </c>
      <c r="H2207">
        <v>1.8</v>
      </c>
      <c r="I2207" t="str" cm="1">
        <f t="array" ref="I2207">_xlfn.IFS(G2207&lt;3, "0–2 Years", G2207&lt;6, "3–5 Years", G2207&lt;9, "6–8 Years", G2207&lt;12, "9-11 Years", G2207&gt;=12, "12-14 Years")</f>
        <v>3–5 Years</v>
      </c>
      <c r="J2207">
        <v>3</v>
      </c>
      <c r="K2207" t="s">
        <v>20</v>
      </c>
      <c r="L2207">
        <v>64900</v>
      </c>
      <c r="M2207">
        <v>5600</v>
      </c>
      <c r="N2207">
        <v>70500</v>
      </c>
      <c r="O2207" t="s">
        <v>25</v>
      </c>
      <c r="P2207" s="3">
        <v>44751</v>
      </c>
      <c r="Q2207" t="s">
        <v>28</v>
      </c>
    </row>
    <row r="2208" spans="1:17" x14ac:dyDescent="0.35">
      <c r="A2208" t="s">
        <v>2260</v>
      </c>
      <c r="B2208" t="s">
        <v>23</v>
      </c>
      <c r="C2208">
        <v>44</v>
      </c>
      <c r="D2208" t="s">
        <v>38</v>
      </c>
      <c r="E2208" t="s">
        <v>112</v>
      </c>
      <c r="F2208" t="s">
        <v>28</v>
      </c>
      <c r="G2208">
        <v>8.5</v>
      </c>
      <c r="H2208">
        <v>3.4</v>
      </c>
      <c r="I2208" t="str" cm="1">
        <f t="array" ref="I2208">_xlfn.IFS(G2208&lt;3, "0–2 Years", G2208&lt;6, "3–5 Years", G2208&lt;9, "6–8 Years", G2208&lt;12, "9-11 Years", G2208&gt;=12, "12-14 Years")</f>
        <v>6–8 Years</v>
      </c>
      <c r="J2208">
        <v>3</v>
      </c>
      <c r="K2208" t="s">
        <v>20</v>
      </c>
      <c r="L2208">
        <v>76600</v>
      </c>
      <c r="M2208">
        <v>3800</v>
      </c>
      <c r="N2208">
        <v>80400</v>
      </c>
      <c r="O2208" t="s">
        <v>21</v>
      </c>
      <c r="P2208" s="3">
        <v>42903</v>
      </c>
      <c r="Q2208" t="s">
        <v>28</v>
      </c>
    </row>
    <row r="2209" spans="1:17" x14ac:dyDescent="0.35">
      <c r="A2209" t="s">
        <v>2261</v>
      </c>
      <c r="B2209" t="s">
        <v>16</v>
      </c>
      <c r="C2209">
        <v>44</v>
      </c>
      <c r="D2209" t="s">
        <v>55</v>
      </c>
      <c r="E2209" t="s">
        <v>92</v>
      </c>
      <c r="F2209" t="s">
        <v>28</v>
      </c>
      <c r="G2209">
        <v>11.7</v>
      </c>
      <c r="H2209">
        <v>7</v>
      </c>
      <c r="I2209" t="str" cm="1">
        <f t="array" ref="I2209">_xlfn.IFS(G2209&lt;3, "0–2 Years", G2209&lt;6, "3–5 Years", G2209&lt;9, "6–8 Years", G2209&lt;12, "9-11 Years", G2209&gt;=12, "12-14 Years")</f>
        <v>9-11 Years</v>
      </c>
      <c r="J2209">
        <v>1</v>
      </c>
      <c r="K2209" t="s">
        <v>20</v>
      </c>
      <c r="L2209">
        <v>105100</v>
      </c>
      <c r="M2209">
        <v>16400</v>
      </c>
      <c r="N2209">
        <v>121500</v>
      </c>
      <c r="O2209" t="s">
        <v>57</v>
      </c>
      <c r="P2209" s="3">
        <v>41751</v>
      </c>
      <c r="Q2209" t="s">
        <v>28</v>
      </c>
    </row>
    <row r="2210" spans="1:17" x14ac:dyDescent="0.35">
      <c r="A2210" t="s">
        <v>2262</v>
      </c>
      <c r="B2210" t="s">
        <v>16</v>
      </c>
      <c r="C2210">
        <v>38</v>
      </c>
      <c r="D2210" t="s">
        <v>41</v>
      </c>
      <c r="E2210" t="s">
        <v>73</v>
      </c>
      <c r="F2210" t="s">
        <v>19</v>
      </c>
      <c r="G2210">
        <v>5.7</v>
      </c>
      <c r="H2210">
        <v>2.7</v>
      </c>
      <c r="I2210" t="str" cm="1">
        <f t="array" ref="I2210">_xlfn.IFS(G2210&lt;3, "0–2 Years", G2210&lt;6, "3–5 Years", G2210&lt;9, "6–8 Years", G2210&lt;12, "9-11 Years", G2210&gt;=12, "12-14 Years")</f>
        <v>3–5 Years</v>
      </c>
      <c r="J2210">
        <v>3</v>
      </c>
      <c r="K2210" t="s">
        <v>20</v>
      </c>
      <c r="L2210">
        <v>98000</v>
      </c>
      <c r="M2210">
        <v>7300</v>
      </c>
      <c r="N2210">
        <v>105300</v>
      </c>
      <c r="O2210" t="s">
        <v>30</v>
      </c>
      <c r="P2210" s="3">
        <v>43943</v>
      </c>
      <c r="Q2210" t="s">
        <v>19</v>
      </c>
    </row>
    <row r="2211" spans="1:17" x14ac:dyDescent="0.35">
      <c r="A2211" t="s">
        <v>2263</v>
      </c>
      <c r="B2211" t="s">
        <v>16</v>
      </c>
      <c r="C2211">
        <v>27</v>
      </c>
      <c r="D2211" t="s">
        <v>38</v>
      </c>
      <c r="E2211" t="s">
        <v>39</v>
      </c>
      <c r="F2211" t="s">
        <v>28</v>
      </c>
      <c r="G2211">
        <v>2.6</v>
      </c>
      <c r="H2211">
        <v>2.4</v>
      </c>
      <c r="I2211" t="str" cm="1">
        <f t="array" ref="I2211">_xlfn.IFS(G2211&lt;3, "0–2 Years", G2211&lt;6, "3–5 Years", G2211&lt;9, "6–8 Years", G2211&lt;12, "9-11 Years", G2211&gt;=12, "12-14 Years")</f>
        <v>0–2 Years</v>
      </c>
      <c r="J2211">
        <v>3</v>
      </c>
      <c r="K2211" t="s">
        <v>20</v>
      </c>
      <c r="L2211">
        <v>81700</v>
      </c>
      <c r="M2211">
        <v>5400</v>
      </c>
      <c r="N2211">
        <v>87100</v>
      </c>
      <c r="O2211" t="s">
        <v>30</v>
      </c>
      <c r="P2211" s="3">
        <v>45080</v>
      </c>
      <c r="Q2211" t="s">
        <v>28</v>
      </c>
    </row>
    <row r="2212" spans="1:17" x14ac:dyDescent="0.35">
      <c r="A2212" t="s">
        <v>2264</v>
      </c>
      <c r="B2212" t="s">
        <v>23</v>
      </c>
      <c r="C2212" s="7">
        <v>40</v>
      </c>
      <c r="D2212" t="s">
        <v>17</v>
      </c>
      <c r="E2212" t="s">
        <v>18</v>
      </c>
      <c r="F2212" t="s">
        <v>62</v>
      </c>
      <c r="G2212" s="9">
        <v>12</v>
      </c>
      <c r="H2212" s="7">
        <v>8.6</v>
      </c>
      <c r="I2212" t="str" cm="1">
        <f t="array" ref="I2212">_xlfn.IFS(G2212&lt;3, "0–2 Years", G2212&lt;6, "3–5 Years", G2212&lt;9, "6–8 Years", G2212&lt;12, "9-11 Years", G2212&gt;=12, "12-14 Years")</f>
        <v>12-14 Years</v>
      </c>
      <c r="J2212" s="7">
        <v>4</v>
      </c>
      <c r="K2212" t="s">
        <v>20</v>
      </c>
      <c r="L2212" s="7">
        <v>104300</v>
      </c>
      <c r="M2212" s="7">
        <v>8400</v>
      </c>
      <c r="N2212" s="7">
        <v>112700</v>
      </c>
      <c r="O2212" t="s">
        <v>57</v>
      </c>
      <c r="P2212" s="3">
        <v>41655</v>
      </c>
      <c r="Q2212" t="s">
        <v>62</v>
      </c>
    </row>
    <row r="2213" spans="1:17" x14ac:dyDescent="0.35">
      <c r="A2213" t="s">
        <v>2265</v>
      </c>
      <c r="B2213" t="s">
        <v>16</v>
      </c>
      <c r="C2213">
        <v>33</v>
      </c>
      <c r="D2213" t="s">
        <v>41</v>
      </c>
      <c r="E2213" t="s">
        <v>73</v>
      </c>
      <c r="F2213" t="s">
        <v>28</v>
      </c>
      <c r="G2213">
        <v>7.9</v>
      </c>
      <c r="H2213">
        <v>4.2</v>
      </c>
      <c r="I2213" t="str" cm="1">
        <f t="array" ref="I2213">_xlfn.IFS(G2213&lt;3, "0–2 Years", G2213&lt;6, "3–5 Years", G2213&lt;9, "6–8 Years", G2213&lt;12, "9-11 Years", G2213&gt;=12, "12-14 Years")</f>
        <v>6–8 Years</v>
      </c>
      <c r="J2213">
        <v>4</v>
      </c>
      <c r="K2213" t="s">
        <v>20</v>
      </c>
      <c r="L2213">
        <v>100900</v>
      </c>
      <c r="M2213">
        <v>8300</v>
      </c>
      <c r="N2213">
        <v>109200</v>
      </c>
      <c r="O2213" t="s">
        <v>57</v>
      </c>
      <c r="P2213" s="3">
        <v>43151</v>
      </c>
      <c r="Q2213" t="s">
        <v>28</v>
      </c>
    </row>
    <row r="2214" spans="1:17" x14ac:dyDescent="0.35">
      <c r="A2214" t="s">
        <v>2266</v>
      </c>
      <c r="B2214" t="s">
        <v>23</v>
      </c>
      <c r="C2214">
        <v>42</v>
      </c>
      <c r="D2214" t="s">
        <v>55</v>
      </c>
      <c r="E2214" t="s">
        <v>56</v>
      </c>
      <c r="F2214" t="s">
        <v>36</v>
      </c>
      <c r="G2214">
        <v>2.7</v>
      </c>
      <c r="H2214">
        <v>1.6</v>
      </c>
      <c r="I2214" t="str" cm="1">
        <f t="array" ref="I2214">_xlfn.IFS(G2214&lt;3, "0–2 Years", G2214&lt;6, "3–5 Years", G2214&lt;9, "6–8 Years", G2214&lt;12, "9-11 Years", G2214&gt;=12, "12-14 Years")</f>
        <v>0–2 Years</v>
      </c>
      <c r="J2214">
        <v>2</v>
      </c>
      <c r="K2214" t="s">
        <v>20</v>
      </c>
      <c r="L2214">
        <v>97500</v>
      </c>
      <c r="M2214">
        <v>8800</v>
      </c>
      <c r="N2214">
        <v>106300</v>
      </c>
      <c r="O2214" t="s">
        <v>30</v>
      </c>
      <c r="P2214" s="3">
        <v>45038</v>
      </c>
      <c r="Q2214" t="s">
        <v>36</v>
      </c>
    </row>
    <row r="2215" spans="1:17" x14ac:dyDescent="0.35">
      <c r="A2215" t="s">
        <v>2267</v>
      </c>
      <c r="B2215" t="s">
        <v>23</v>
      </c>
      <c r="C2215">
        <v>21</v>
      </c>
      <c r="D2215" t="s">
        <v>17</v>
      </c>
      <c r="E2215" t="s">
        <v>32</v>
      </c>
      <c r="F2215" t="s">
        <v>28</v>
      </c>
      <c r="G2215">
        <v>7.5</v>
      </c>
      <c r="H2215">
        <v>5.3</v>
      </c>
      <c r="I2215" t="str" cm="1">
        <f t="array" ref="I2215">_xlfn.IFS(G2215&lt;3, "0–2 Years", G2215&lt;6, "3–5 Years", G2215&lt;9, "6–8 Years", G2215&lt;12, "9-11 Years", G2215&gt;=12, "12-14 Years")</f>
        <v>6–8 Years</v>
      </c>
      <c r="J2215">
        <v>3</v>
      </c>
      <c r="K2215" t="s">
        <v>24</v>
      </c>
      <c r="L2215">
        <v>38600</v>
      </c>
      <c r="M2215">
        <v>5100</v>
      </c>
      <c r="N2215">
        <v>43700</v>
      </c>
      <c r="O2215" t="s">
        <v>65</v>
      </c>
      <c r="P2215" s="3">
        <v>43267</v>
      </c>
      <c r="Q2215" t="s">
        <v>28</v>
      </c>
    </row>
    <row r="2216" spans="1:17" x14ac:dyDescent="0.35">
      <c r="A2216" t="s">
        <v>2268</v>
      </c>
      <c r="B2216" t="s">
        <v>23</v>
      </c>
      <c r="C2216">
        <v>28</v>
      </c>
      <c r="D2216" t="s">
        <v>17</v>
      </c>
      <c r="E2216" t="s">
        <v>18</v>
      </c>
      <c r="F2216" t="s">
        <v>62</v>
      </c>
      <c r="G2216">
        <v>3.9</v>
      </c>
      <c r="H2216">
        <v>2.4</v>
      </c>
      <c r="I2216" t="str" cm="1">
        <f t="array" ref="I2216">_xlfn.IFS(G2216&lt;3, "0–2 Years", G2216&lt;6, "3–5 Years", G2216&lt;9, "6–8 Years", G2216&lt;12, "9-11 Years", G2216&gt;=12, "12-14 Years")</f>
        <v>3–5 Years</v>
      </c>
      <c r="J2216">
        <v>3</v>
      </c>
      <c r="K2216" t="s">
        <v>20</v>
      </c>
      <c r="L2216">
        <v>106100</v>
      </c>
      <c r="M2216">
        <v>6000</v>
      </c>
      <c r="N2216">
        <v>112100</v>
      </c>
      <c r="O2216" t="s">
        <v>57</v>
      </c>
      <c r="P2216" s="3">
        <v>44594</v>
      </c>
      <c r="Q2216" t="s">
        <v>62</v>
      </c>
    </row>
    <row r="2217" spans="1:17" x14ac:dyDescent="0.35">
      <c r="A2217" t="s">
        <v>2269</v>
      </c>
      <c r="B2217" t="s">
        <v>16</v>
      </c>
      <c r="C2217" s="7">
        <v>40</v>
      </c>
      <c r="D2217" t="s">
        <v>34</v>
      </c>
      <c r="E2217" t="s">
        <v>47</v>
      </c>
      <c r="F2217" t="s">
        <v>19</v>
      </c>
      <c r="G2217" s="9">
        <v>13</v>
      </c>
      <c r="H2217" s="7">
        <v>6.7</v>
      </c>
      <c r="I2217" t="str" cm="1">
        <f t="array" ref="I2217">_xlfn.IFS(G2217&lt;3, "0–2 Years", G2217&lt;6, "3–5 Years", G2217&lt;9, "6–8 Years", G2217&lt;12, "9-11 Years", G2217&gt;=12, "12-14 Years")</f>
        <v>12-14 Years</v>
      </c>
      <c r="J2217" s="7">
        <v>2</v>
      </c>
      <c r="K2217" t="s">
        <v>20</v>
      </c>
      <c r="L2217" s="7">
        <v>85000</v>
      </c>
      <c r="M2217" s="7">
        <v>7300</v>
      </c>
      <c r="N2217" s="7">
        <v>92300</v>
      </c>
      <c r="O2217" t="s">
        <v>30</v>
      </c>
      <c r="P2217" s="3">
        <v>41292</v>
      </c>
      <c r="Q2217" t="s">
        <v>19</v>
      </c>
    </row>
    <row r="2218" spans="1:17" x14ac:dyDescent="0.35">
      <c r="A2218" t="s">
        <v>2270</v>
      </c>
      <c r="B2218" t="s">
        <v>23</v>
      </c>
      <c r="C2218">
        <v>47</v>
      </c>
      <c r="D2218" t="s">
        <v>34</v>
      </c>
      <c r="E2218" t="s">
        <v>59</v>
      </c>
      <c r="F2218" t="s">
        <v>28</v>
      </c>
      <c r="G2218">
        <v>3.7</v>
      </c>
      <c r="H2218">
        <v>1.8</v>
      </c>
      <c r="I2218" t="str" cm="1">
        <f t="array" ref="I2218">_xlfn.IFS(G2218&lt;3, "0–2 Years", G2218&lt;6, "3–5 Years", G2218&lt;9, "6–8 Years", G2218&lt;12, "9-11 Years", G2218&gt;=12, "12-14 Years")</f>
        <v>3–5 Years</v>
      </c>
      <c r="J2218">
        <v>3</v>
      </c>
      <c r="K2218" t="s">
        <v>20</v>
      </c>
      <c r="L2218">
        <v>89200</v>
      </c>
      <c r="M2218">
        <v>4800</v>
      </c>
      <c r="N2218">
        <v>94000</v>
      </c>
      <c r="O2218" t="s">
        <v>30</v>
      </c>
      <c r="P2218" s="3">
        <v>44686</v>
      </c>
      <c r="Q2218" t="s">
        <v>28</v>
      </c>
    </row>
    <row r="2219" spans="1:17" x14ac:dyDescent="0.35">
      <c r="A2219" t="s">
        <v>2271</v>
      </c>
      <c r="B2219" t="s">
        <v>16</v>
      </c>
      <c r="C2219">
        <v>21</v>
      </c>
      <c r="D2219" t="s">
        <v>17</v>
      </c>
      <c r="E2219" t="s">
        <v>32</v>
      </c>
      <c r="F2219" t="s">
        <v>19</v>
      </c>
      <c r="G2219">
        <v>9.8000000000000007</v>
      </c>
      <c r="H2219">
        <v>7.8</v>
      </c>
      <c r="I2219" t="str" cm="1">
        <f t="array" ref="I2219">_xlfn.IFS(G2219&lt;3, "0–2 Years", G2219&lt;6, "3–5 Years", G2219&lt;9, "6–8 Years", G2219&lt;12, "9-11 Years", G2219&gt;=12, "12-14 Years")</f>
        <v>9-11 Years</v>
      </c>
      <c r="J2219">
        <v>4</v>
      </c>
      <c r="K2219" t="s">
        <v>20</v>
      </c>
      <c r="L2219">
        <v>76800</v>
      </c>
      <c r="M2219">
        <v>7300</v>
      </c>
      <c r="N2219">
        <v>84100</v>
      </c>
      <c r="O2219" t="s">
        <v>21</v>
      </c>
      <c r="P2219" s="3">
        <v>42446</v>
      </c>
      <c r="Q2219" t="s">
        <v>19</v>
      </c>
    </row>
    <row r="2220" spans="1:17" x14ac:dyDescent="0.35">
      <c r="A2220" t="s">
        <v>2272</v>
      </c>
      <c r="B2220" t="s">
        <v>23</v>
      </c>
      <c r="C2220">
        <v>28</v>
      </c>
      <c r="D2220" t="s">
        <v>38</v>
      </c>
      <c r="E2220" t="s">
        <v>112</v>
      </c>
      <c r="F2220" t="s">
        <v>62</v>
      </c>
      <c r="G2220">
        <v>7.2</v>
      </c>
      <c r="H2220">
        <v>6</v>
      </c>
      <c r="I2220" t="str" cm="1">
        <f t="array" ref="I2220">_xlfn.IFS(G2220&lt;3, "0–2 Years", G2220&lt;6, "3–5 Years", G2220&lt;9, "6–8 Years", G2220&lt;12, "9-11 Years", G2220&gt;=12, "12-14 Years")</f>
        <v>6–8 Years</v>
      </c>
      <c r="J2220">
        <v>3</v>
      </c>
      <c r="K2220" t="s">
        <v>20</v>
      </c>
      <c r="L2220">
        <v>72800</v>
      </c>
      <c r="M2220">
        <v>4700</v>
      </c>
      <c r="N2220">
        <v>77500</v>
      </c>
      <c r="O2220" t="s">
        <v>21</v>
      </c>
      <c r="P2220" s="3">
        <v>43399</v>
      </c>
      <c r="Q2220" t="s">
        <v>62</v>
      </c>
    </row>
    <row r="2221" spans="1:17" x14ac:dyDescent="0.35">
      <c r="A2221" t="s">
        <v>2273</v>
      </c>
      <c r="B2221" t="s">
        <v>16</v>
      </c>
      <c r="C2221">
        <v>30</v>
      </c>
      <c r="D2221" t="s">
        <v>44</v>
      </c>
      <c r="E2221" t="s">
        <v>51</v>
      </c>
      <c r="F2221" t="s">
        <v>28</v>
      </c>
      <c r="G2221">
        <v>10.6</v>
      </c>
      <c r="H2221">
        <v>6.3</v>
      </c>
      <c r="I2221" t="str" cm="1">
        <f t="array" ref="I2221">_xlfn.IFS(G2221&lt;3, "0–2 Years", G2221&lt;6, "3–5 Years", G2221&lt;9, "6–8 Years", G2221&lt;12, "9-11 Years", G2221&gt;=12, "12-14 Years")</f>
        <v>9-11 Years</v>
      </c>
      <c r="J2221">
        <v>3</v>
      </c>
      <c r="K2221" t="s">
        <v>20</v>
      </c>
      <c r="L2221">
        <v>89100</v>
      </c>
      <c r="M2221">
        <v>8700</v>
      </c>
      <c r="N2221">
        <v>97800</v>
      </c>
      <c r="O2221" t="s">
        <v>30</v>
      </c>
      <c r="P2221" s="3">
        <v>42151</v>
      </c>
      <c r="Q2221" t="s">
        <v>28</v>
      </c>
    </row>
    <row r="2222" spans="1:17" x14ac:dyDescent="0.35">
      <c r="A2222" t="s">
        <v>2274</v>
      </c>
      <c r="B2222" t="s">
        <v>23</v>
      </c>
      <c r="C2222">
        <v>29</v>
      </c>
      <c r="D2222" t="s">
        <v>41</v>
      </c>
      <c r="E2222" t="s">
        <v>42</v>
      </c>
      <c r="F2222" t="s">
        <v>28</v>
      </c>
      <c r="G2222">
        <v>11.4</v>
      </c>
      <c r="H2222">
        <v>9.1</v>
      </c>
      <c r="I2222" t="str" cm="1">
        <f t="array" ref="I2222">_xlfn.IFS(G2222&lt;3, "0–2 Years", G2222&lt;6, "3–5 Years", G2222&lt;9, "6–8 Years", G2222&lt;12, "9-11 Years", G2222&gt;=12, "12-14 Years")</f>
        <v>9-11 Years</v>
      </c>
      <c r="J2222">
        <v>3</v>
      </c>
      <c r="K2222" t="s">
        <v>20</v>
      </c>
      <c r="L2222">
        <v>81600</v>
      </c>
      <c r="M2222">
        <v>6700</v>
      </c>
      <c r="N2222">
        <v>88300</v>
      </c>
      <c r="O2222" t="s">
        <v>30</v>
      </c>
      <c r="P2222" s="3">
        <v>41859</v>
      </c>
      <c r="Q2222" t="s">
        <v>28</v>
      </c>
    </row>
    <row r="2223" spans="1:17" x14ac:dyDescent="0.35">
      <c r="A2223" t="s">
        <v>2275</v>
      </c>
      <c r="B2223" t="s">
        <v>16</v>
      </c>
      <c r="C2223">
        <v>45</v>
      </c>
      <c r="D2223" t="s">
        <v>17</v>
      </c>
      <c r="E2223" t="s">
        <v>18</v>
      </c>
      <c r="F2223" t="s">
        <v>36</v>
      </c>
      <c r="G2223">
        <v>5.7</v>
      </c>
      <c r="H2223">
        <v>2</v>
      </c>
      <c r="I2223" t="str" cm="1">
        <f t="array" ref="I2223">_xlfn.IFS(G2223&lt;3, "0–2 Years", G2223&lt;6, "3–5 Years", G2223&lt;9, "6–8 Years", G2223&lt;12, "9-11 Years", G2223&gt;=12, "12-14 Years")</f>
        <v>3–5 Years</v>
      </c>
      <c r="J2223">
        <v>3</v>
      </c>
      <c r="K2223" t="s">
        <v>20</v>
      </c>
      <c r="L2223">
        <v>103700</v>
      </c>
      <c r="M2223">
        <v>5400</v>
      </c>
      <c r="N2223">
        <v>109100</v>
      </c>
      <c r="O2223" t="s">
        <v>57</v>
      </c>
      <c r="P2223" s="3">
        <v>43931</v>
      </c>
      <c r="Q2223" t="s">
        <v>36</v>
      </c>
    </row>
    <row r="2224" spans="1:17" x14ac:dyDescent="0.35">
      <c r="A2224" t="s">
        <v>2276</v>
      </c>
      <c r="B2224" t="s">
        <v>16</v>
      </c>
      <c r="C2224" s="7">
        <v>29</v>
      </c>
      <c r="D2224" t="s">
        <v>41</v>
      </c>
      <c r="E2224" t="s">
        <v>67</v>
      </c>
      <c r="F2224" t="s">
        <v>28</v>
      </c>
      <c r="G2224" s="9">
        <v>12.4</v>
      </c>
      <c r="H2224" s="7">
        <v>6.6</v>
      </c>
      <c r="I2224" t="str" cm="1">
        <f t="array" ref="I2224">_xlfn.IFS(G2224&lt;3, "0–2 Years", G2224&lt;6, "3–5 Years", G2224&lt;9, "6–8 Years", G2224&lt;12, "9-11 Years", G2224&gt;=12, "12-14 Years")</f>
        <v>12-14 Years</v>
      </c>
      <c r="J2224" s="7">
        <v>4</v>
      </c>
      <c r="K2224" t="s">
        <v>20</v>
      </c>
      <c r="L2224" s="7">
        <v>89900</v>
      </c>
      <c r="M2224" s="7">
        <v>6400</v>
      </c>
      <c r="N2224" s="7">
        <v>96300</v>
      </c>
      <c r="O2224" t="s">
        <v>30</v>
      </c>
      <c r="P2224" s="3">
        <v>41482</v>
      </c>
      <c r="Q2224" t="s">
        <v>28</v>
      </c>
    </row>
    <row r="2225" spans="1:17" x14ac:dyDescent="0.35">
      <c r="A2225" t="s">
        <v>2277</v>
      </c>
      <c r="B2225" t="s">
        <v>23</v>
      </c>
      <c r="C2225">
        <v>34</v>
      </c>
      <c r="D2225" t="s">
        <v>34</v>
      </c>
      <c r="E2225" t="s">
        <v>35</v>
      </c>
      <c r="F2225" t="s">
        <v>19</v>
      </c>
      <c r="G2225">
        <v>4.2</v>
      </c>
      <c r="H2225">
        <v>4.2</v>
      </c>
      <c r="I2225" t="str" cm="1">
        <f t="array" ref="I2225">_xlfn.IFS(G2225&lt;3, "0–2 Years", G2225&lt;6, "3–5 Years", G2225&lt;9, "6–8 Years", G2225&lt;12, "9-11 Years", G2225&gt;=12, "12-14 Years")</f>
        <v>3–5 Years</v>
      </c>
      <c r="J2225">
        <v>3</v>
      </c>
      <c r="K2225" t="s">
        <v>20</v>
      </c>
      <c r="L2225">
        <v>80600</v>
      </c>
      <c r="M2225">
        <v>4000</v>
      </c>
      <c r="N2225">
        <v>84600</v>
      </c>
      <c r="O2225" t="s">
        <v>30</v>
      </c>
      <c r="P2225" s="3">
        <v>44507</v>
      </c>
      <c r="Q2225" t="s">
        <v>19</v>
      </c>
    </row>
    <row r="2226" spans="1:17" x14ac:dyDescent="0.35">
      <c r="A2226" t="s">
        <v>2278</v>
      </c>
      <c r="B2226" t="s">
        <v>16</v>
      </c>
      <c r="C2226">
        <v>31</v>
      </c>
      <c r="D2226" t="s">
        <v>17</v>
      </c>
      <c r="E2226" t="s">
        <v>18</v>
      </c>
      <c r="F2226" t="s">
        <v>28</v>
      </c>
      <c r="G2226">
        <v>3.7</v>
      </c>
      <c r="H2226">
        <v>1.8</v>
      </c>
      <c r="I2226" t="str" cm="1">
        <f t="array" ref="I2226">_xlfn.IFS(G2226&lt;3, "0–2 Years", G2226&lt;6, "3–5 Years", G2226&lt;9, "6–8 Years", G2226&lt;12, "9-11 Years", G2226&gt;=12, "12-14 Years")</f>
        <v>3–5 Years</v>
      </c>
      <c r="J2226">
        <v>3</v>
      </c>
      <c r="K2226" t="s">
        <v>20</v>
      </c>
      <c r="L2226">
        <v>99800</v>
      </c>
      <c r="M2226">
        <v>11700</v>
      </c>
      <c r="N2226">
        <v>111500</v>
      </c>
      <c r="O2226" t="s">
        <v>30</v>
      </c>
      <c r="P2226" s="3">
        <v>44661</v>
      </c>
      <c r="Q2226" t="s">
        <v>28</v>
      </c>
    </row>
    <row r="2227" spans="1:17" x14ac:dyDescent="0.35">
      <c r="A2227" t="s">
        <v>2279</v>
      </c>
      <c r="B2227" t="s">
        <v>23</v>
      </c>
      <c r="C2227">
        <v>38</v>
      </c>
      <c r="D2227" t="s">
        <v>34</v>
      </c>
      <c r="E2227" t="s">
        <v>59</v>
      </c>
      <c r="F2227" t="s">
        <v>19</v>
      </c>
      <c r="G2227">
        <v>11.3</v>
      </c>
      <c r="H2227">
        <v>7.8</v>
      </c>
      <c r="I2227" t="str" cm="1">
        <f t="array" ref="I2227">_xlfn.IFS(G2227&lt;3, "0–2 Years", G2227&lt;6, "3–5 Years", G2227&lt;9, "6–8 Years", G2227&lt;12, "9-11 Years", G2227&gt;=12, "12-14 Years")</f>
        <v>9-11 Years</v>
      </c>
      <c r="J2227">
        <v>2</v>
      </c>
      <c r="K2227" t="s">
        <v>20</v>
      </c>
      <c r="L2227">
        <v>106300</v>
      </c>
      <c r="M2227">
        <v>11900</v>
      </c>
      <c r="N2227">
        <v>118200</v>
      </c>
      <c r="O2227" t="s">
        <v>57</v>
      </c>
      <c r="P2227" s="3">
        <v>41898</v>
      </c>
      <c r="Q2227" t="s">
        <v>19</v>
      </c>
    </row>
    <row r="2228" spans="1:17" x14ac:dyDescent="0.35">
      <c r="A2228" t="s">
        <v>2280</v>
      </c>
      <c r="B2228" t="s">
        <v>16</v>
      </c>
      <c r="C2228">
        <v>39</v>
      </c>
      <c r="D2228" t="s">
        <v>55</v>
      </c>
      <c r="E2228" t="s">
        <v>56</v>
      </c>
      <c r="F2228" t="s">
        <v>28</v>
      </c>
      <c r="G2228">
        <v>9.8000000000000007</v>
      </c>
      <c r="H2228">
        <v>6.3</v>
      </c>
      <c r="I2228" t="str" cm="1">
        <f t="array" ref="I2228">_xlfn.IFS(G2228&lt;3, "0–2 Years", G2228&lt;6, "3–5 Years", G2228&lt;9, "6–8 Years", G2228&lt;12, "9-11 Years", G2228&gt;=12, "12-14 Years")</f>
        <v>9-11 Years</v>
      </c>
      <c r="J2228">
        <v>3</v>
      </c>
      <c r="K2228" t="s">
        <v>20</v>
      </c>
      <c r="L2228">
        <v>110900</v>
      </c>
      <c r="M2228">
        <v>9200</v>
      </c>
      <c r="N2228">
        <v>120100</v>
      </c>
      <c r="O2228" t="s">
        <v>57</v>
      </c>
      <c r="P2228" s="3">
        <v>42426</v>
      </c>
      <c r="Q2228" t="s">
        <v>28</v>
      </c>
    </row>
    <row r="2229" spans="1:17" x14ac:dyDescent="0.35">
      <c r="A2229" t="s">
        <v>2281</v>
      </c>
      <c r="B2229" t="s">
        <v>23</v>
      </c>
      <c r="C2229">
        <v>31</v>
      </c>
      <c r="D2229" t="s">
        <v>17</v>
      </c>
      <c r="E2229" t="s">
        <v>18</v>
      </c>
      <c r="F2229" t="s">
        <v>28</v>
      </c>
      <c r="G2229">
        <v>4.7</v>
      </c>
      <c r="H2229">
        <v>0.9</v>
      </c>
      <c r="I2229" t="str" cm="1">
        <f t="array" ref="I2229">_xlfn.IFS(G2229&lt;3, "0–2 Years", G2229&lt;6, "3–5 Years", G2229&lt;9, "6–8 Years", G2229&lt;12, "9-11 Years", G2229&gt;=12, "12-14 Years")</f>
        <v>3–5 Years</v>
      </c>
      <c r="J2229">
        <v>4</v>
      </c>
      <c r="K2229" t="s">
        <v>20</v>
      </c>
      <c r="L2229">
        <v>108300</v>
      </c>
      <c r="M2229">
        <v>5100</v>
      </c>
      <c r="N2229">
        <v>113400</v>
      </c>
      <c r="O2229" t="s">
        <v>57</v>
      </c>
      <c r="P2229" s="3">
        <v>44301</v>
      </c>
      <c r="Q2229" t="s">
        <v>28</v>
      </c>
    </row>
    <row r="2230" spans="1:17" x14ac:dyDescent="0.35">
      <c r="A2230" t="s">
        <v>2282</v>
      </c>
      <c r="B2230" t="s">
        <v>16</v>
      </c>
      <c r="C2230">
        <v>31</v>
      </c>
      <c r="D2230" t="s">
        <v>38</v>
      </c>
      <c r="E2230" t="s">
        <v>112</v>
      </c>
      <c r="F2230" t="s">
        <v>28</v>
      </c>
      <c r="G2230">
        <v>8.6</v>
      </c>
      <c r="H2230">
        <v>5</v>
      </c>
      <c r="I2230" t="str" cm="1">
        <f t="array" ref="I2230">_xlfn.IFS(G2230&lt;3, "0–2 Years", G2230&lt;6, "3–5 Years", G2230&lt;9, "6–8 Years", G2230&lt;12, "9-11 Years", G2230&gt;=12, "12-14 Years")</f>
        <v>6–8 Years</v>
      </c>
      <c r="J2230">
        <v>1</v>
      </c>
      <c r="K2230" t="s">
        <v>20</v>
      </c>
      <c r="L2230">
        <v>73900</v>
      </c>
      <c r="M2230">
        <v>5100</v>
      </c>
      <c r="N2230">
        <v>79000</v>
      </c>
      <c r="O2230" t="s">
        <v>21</v>
      </c>
      <c r="P2230" s="3">
        <v>42889</v>
      </c>
      <c r="Q2230" t="s">
        <v>28</v>
      </c>
    </row>
    <row r="2231" spans="1:17" x14ac:dyDescent="0.35">
      <c r="A2231" t="s">
        <v>2283</v>
      </c>
      <c r="B2231" t="s">
        <v>16</v>
      </c>
      <c r="C2231">
        <v>37</v>
      </c>
      <c r="D2231" t="s">
        <v>55</v>
      </c>
      <c r="E2231" t="s">
        <v>92</v>
      </c>
      <c r="F2231" t="s">
        <v>62</v>
      </c>
      <c r="G2231">
        <v>4.0999999999999996</v>
      </c>
      <c r="H2231">
        <v>2.7</v>
      </c>
      <c r="I2231" t="str" cm="1">
        <f t="array" ref="I2231">_xlfn.IFS(G2231&lt;3, "0–2 Years", G2231&lt;6, "3–5 Years", G2231&lt;9, "6–8 Years", G2231&lt;12, "9-11 Years", G2231&gt;=12, "12-14 Years")</f>
        <v>3–5 Years</v>
      </c>
      <c r="J2231">
        <v>3</v>
      </c>
      <c r="K2231" t="s">
        <v>20</v>
      </c>
      <c r="L2231">
        <v>92200</v>
      </c>
      <c r="M2231">
        <v>14200</v>
      </c>
      <c r="N2231">
        <v>106400</v>
      </c>
      <c r="O2231" t="s">
        <v>30</v>
      </c>
      <c r="P2231" s="3">
        <v>44535</v>
      </c>
      <c r="Q2231" t="s">
        <v>62</v>
      </c>
    </row>
    <row r="2232" spans="1:17" x14ac:dyDescent="0.35">
      <c r="A2232" t="s">
        <v>2284</v>
      </c>
      <c r="B2232" t="s">
        <v>23</v>
      </c>
      <c r="C2232">
        <v>49</v>
      </c>
      <c r="D2232" t="s">
        <v>55</v>
      </c>
      <c r="E2232" t="s">
        <v>92</v>
      </c>
      <c r="F2232" t="s">
        <v>28</v>
      </c>
      <c r="G2232">
        <v>3.8</v>
      </c>
      <c r="H2232">
        <v>1</v>
      </c>
      <c r="I2232" t="str" cm="1">
        <f t="array" ref="I2232">_xlfn.IFS(G2232&lt;3, "0–2 Years", G2232&lt;6, "3–5 Years", G2232&lt;9, "6–8 Years", G2232&lt;12, "9-11 Years", G2232&gt;=12, "12-14 Years")</f>
        <v>3–5 Years</v>
      </c>
      <c r="J2232">
        <v>2</v>
      </c>
      <c r="K2232" t="s">
        <v>24</v>
      </c>
      <c r="L2232">
        <v>56200</v>
      </c>
      <c r="M2232">
        <v>4500</v>
      </c>
      <c r="N2232">
        <v>60700</v>
      </c>
      <c r="O2232" t="s">
        <v>25</v>
      </c>
      <c r="P2232" s="3">
        <v>44621</v>
      </c>
      <c r="Q2232" t="s">
        <v>28</v>
      </c>
    </row>
    <row r="2233" spans="1:17" x14ac:dyDescent="0.35">
      <c r="A2233" t="s">
        <v>2285</v>
      </c>
      <c r="B2233" t="s">
        <v>23</v>
      </c>
      <c r="C2233">
        <v>39</v>
      </c>
      <c r="D2233" t="s">
        <v>34</v>
      </c>
      <c r="E2233" t="s">
        <v>47</v>
      </c>
      <c r="F2233" t="s">
        <v>28</v>
      </c>
      <c r="G2233">
        <v>5.8</v>
      </c>
      <c r="H2233">
        <v>4.2</v>
      </c>
      <c r="I2233" t="str" cm="1">
        <f t="array" ref="I2233">_xlfn.IFS(G2233&lt;3, "0–2 Years", G2233&lt;6, "3–5 Years", G2233&lt;9, "6–8 Years", G2233&lt;12, "9-11 Years", G2233&gt;=12, "12-14 Years")</f>
        <v>3–5 Years</v>
      </c>
      <c r="J2233">
        <v>3</v>
      </c>
      <c r="K2233" t="s">
        <v>20</v>
      </c>
      <c r="L2233">
        <v>81300</v>
      </c>
      <c r="M2233">
        <v>9000</v>
      </c>
      <c r="N2233">
        <v>90300</v>
      </c>
      <c r="O2233" t="s">
        <v>30</v>
      </c>
      <c r="P2233" s="3">
        <v>43887</v>
      </c>
      <c r="Q2233" t="s">
        <v>28</v>
      </c>
    </row>
    <row r="2234" spans="1:17" x14ac:dyDescent="0.35">
      <c r="A2234" t="s">
        <v>2286</v>
      </c>
      <c r="B2234" t="s">
        <v>16</v>
      </c>
      <c r="C2234">
        <v>21</v>
      </c>
      <c r="D2234" t="s">
        <v>44</v>
      </c>
      <c r="E2234" t="s">
        <v>51</v>
      </c>
      <c r="F2234" t="s">
        <v>28</v>
      </c>
      <c r="G2234">
        <v>9.5</v>
      </c>
      <c r="H2234">
        <v>5.6</v>
      </c>
      <c r="I2234" t="str" cm="1">
        <f t="array" ref="I2234">_xlfn.IFS(G2234&lt;3, "0–2 Years", G2234&lt;6, "3–5 Years", G2234&lt;9, "6–8 Years", G2234&lt;12, "9-11 Years", G2234&gt;=12, "12-14 Years")</f>
        <v>9-11 Years</v>
      </c>
      <c r="J2234">
        <v>3</v>
      </c>
      <c r="K2234" t="s">
        <v>20</v>
      </c>
      <c r="L2234">
        <v>95800</v>
      </c>
      <c r="M2234">
        <v>6100</v>
      </c>
      <c r="N2234">
        <v>101900</v>
      </c>
      <c r="O2234" t="s">
        <v>30</v>
      </c>
      <c r="P2234" s="3">
        <v>42537</v>
      </c>
      <c r="Q2234" t="s">
        <v>28</v>
      </c>
    </row>
    <row r="2235" spans="1:17" x14ac:dyDescent="0.35">
      <c r="A2235" t="s">
        <v>2287</v>
      </c>
      <c r="B2235" t="s">
        <v>23</v>
      </c>
      <c r="C2235">
        <v>50</v>
      </c>
      <c r="D2235" t="s">
        <v>38</v>
      </c>
      <c r="E2235" t="s">
        <v>61</v>
      </c>
      <c r="F2235" t="s">
        <v>36</v>
      </c>
      <c r="G2235">
        <v>8.3000000000000007</v>
      </c>
      <c r="H2235">
        <v>5.6</v>
      </c>
      <c r="I2235" t="str" cm="1">
        <f t="array" ref="I2235">_xlfn.IFS(G2235&lt;3, "0–2 Years", G2235&lt;6, "3–5 Years", G2235&lt;9, "6–8 Years", G2235&lt;12, "9-11 Years", G2235&gt;=12, "12-14 Years")</f>
        <v>6–8 Years</v>
      </c>
      <c r="J2235">
        <v>3</v>
      </c>
      <c r="K2235" t="s">
        <v>20</v>
      </c>
      <c r="L2235">
        <v>102400</v>
      </c>
      <c r="M2235">
        <v>5100</v>
      </c>
      <c r="N2235">
        <v>107500</v>
      </c>
      <c r="O2235" t="s">
        <v>57</v>
      </c>
      <c r="P2235" s="3">
        <v>42997</v>
      </c>
      <c r="Q2235" t="s">
        <v>36</v>
      </c>
    </row>
    <row r="2236" spans="1:17" x14ac:dyDescent="0.35">
      <c r="A2236" t="s">
        <v>2288</v>
      </c>
      <c r="B2236" t="s">
        <v>16</v>
      </c>
      <c r="C2236">
        <v>27</v>
      </c>
      <c r="D2236" t="s">
        <v>38</v>
      </c>
      <c r="E2236" t="s">
        <v>112</v>
      </c>
      <c r="F2236" t="s">
        <v>36</v>
      </c>
      <c r="G2236">
        <v>10.7</v>
      </c>
      <c r="H2236">
        <v>6.3</v>
      </c>
      <c r="I2236" t="str" cm="1">
        <f t="array" ref="I2236">_xlfn.IFS(G2236&lt;3, "0–2 Years", G2236&lt;6, "3–5 Years", G2236&lt;9, "6–8 Years", G2236&lt;12, "9-11 Years", G2236&gt;=12, "12-14 Years")</f>
        <v>9-11 Years</v>
      </c>
      <c r="J2236">
        <v>4</v>
      </c>
      <c r="K2236" t="s">
        <v>20</v>
      </c>
      <c r="L2236">
        <v>78200</v>
      </c>
      <c r="M2236">
        <v>7000</v>
      </c>
      <c r="N2236">
        <v>85200</v>
      </c>
      <c r="O2236" t="s">
        <v>21</v>
      </c>
      <c r="P2236" s="3">
        <v>42120</v>
      </c>
      <c r="Q2236" t="s">
        <v>36</v>
      </c>
    </row>
    <row r="2237" spans="1:17" x14ac:dyDescent="0.35">
      <c r="A2237" t="s">
        <v>2289</v>
      </c>
      <c r="B2237" t="s">
        <v>23</v>
      </c>
      <c r="C2237">
        <v>45</v>
      </c>
      <c r="D2237" t="s">
        <v>38</v>
      </c>
      <c r="E2237" t="s">
        <v>61</v>
      </c>
      <c r="F2237" t="s">
        <v>36</v>
      </c>
      <c r="G2237">
        <v>9.1</v>
      </c>
      <c r="H2237">
        <v>4.5</v>
      </c>
      <c r="I2237" t="str" cm="1">
        <f t="array" ref="I2237">_xlfn.IFS(G2237&lt;3, "0–2 Years", G2237&lt;6, "3–5 Years", G2237&lt;9, "6–8 Years", G2237&lt;12, "9-11 Years", G2237&gt;=12, "12-14 Years")</f>
        <v>9-11 Years</v>
      </c>
      <c r="J2237">
        <v>4</v>
      </c>
      <c r="K2237" t="s">
        <v>20</v>
      </c>
      <c r="L2237">
        <v>106100</v>
      </c>
      <c r="M2237">
        <v>9800</v>
      </c>
      <c r="N2237">
        <v>115900</v>
      </c>
      <c r="O2237" t="s">
        <v>57</v>
      </c>
      <c r="P2237" s="3">
        <v>42696</v>
      </c>
      <c r="Q2237" t="s">
        <v>36</v>
      </c>
    </row>
    <row r="2238" spans="1:17" x14ac:dyDescent="0.35">
      <c r="A2238" t="s">
        <v>2290</v>
      </c>
      <c r="B2238" t="s">
        <v>23</v>
      </c>
      <c r="C2238">
        <v>33</v>
      </c>
      <c r="D2238" t="s">
        <v>41</v>
      </c>
      <c r="E2238" t="s">
        <v>73</v>
      </c>
      <c r="F2238" t="s">
        <v>28</v>
      </c>
      <c r="G2238">
        <v>3.9</v>
      </c>
      <c r="H2238">
        <v>1.7</v>
      </c>
      <c r="I2238" t="str" cm="1">
        <f t="array" ref="I2238">_xlfn.IFS(G2238&lt;3, "0–2 Years", G2238&lt;6, "3–5 Years", G2238&lt;9, "6–8 Years", G2238&lt;12, "9-11 Years", G2238&gt;=12, "12-14 Years")</f>
        <v>3–5 Years</v>
      </c>
      <c r="J2238">
        <v>2</v>
      </c>
      <c r="K2238" t="s">
        <v>69</v>
      </c>
      <c r="L2238">
        <v>70300</v>
      </c>
      <c r="M2238">
        <v>3400</v>
      </c>
      <c r="N2238">
        <v>73700</v>
      </c>
      <c r="O2238" t="s">
        <v>21</v>
      </c>
      <c r="P2238" s="3">
        <v>44606</v>
      </c>
      <c r="Q2238" t="s">
        <v>28</v>
      </c>
    </row>
    <row r="2239" spans="1:17" x14ac:dyDescent="0.35">
      <c r="A2239" t="s">
        <v>2291</v>
      </c>
      <c r="B2239" t="s">
        <v>16</v>
      </c>
      <c r="C2239">
        <v>36</v>
      </c>
      <c r="D2239" t="s">
        <v>34</v>
      </c>
      <c r="E2239" t="s">
        <v>35</v>
      </c>
      <c r="F2239" t="s">
        <v>36</v>
      </c>
      <c r="G2239">
        <v>10.8</v>
      </c>
      <c r="H2239">
        <v>6.1</v>
      </c>
      <c r="I2239" t="str" cm="1">
        <f t="array" ref="I2239">_xlfn.IFS(G2239&lt;3, "0–2 Years", G2239&lt;6, "3–5 Years", G2239&lt;9, "6–8 Years", G2239&lt;12, "9-11 Years", G2239&gt;=12, "12-14 Years")</f>
        <v>9-11 Years</v>
      </c>
      <c r="J2239">
        <v>3</v>
      </c>
      <c r="K2239" t="s">
        <v>20</v>
      </c>
      <c r="L2239">
        <v>90200</v>
      </c>
      <c r="M2239">
        <v>8800</v>
      </c>
      <c r="N2239">
        <v>99000</v>
      </c>
      <c r="O2239" t="s">
        <v>30</v>
      </c>
      <c r="P2239" s="3">
        <v>42067</v>
      </c>
      <c r="Q2239" t="s">
        <v>36</v>
      </c>
    </row>
    <row r="2240" spans="1:17" x14ac:dyDescent="0.35">
      <c r="A2240" t="s">
        <v>2292</v>
      </c>
      <c r="B2240" t="s">
        <v>16</v>
      </c>
      <c r="C2240">
        <v>50</v>
      </c>
      <c r="D2240" t="s">
        <v>55</v>
      </c>
      <c r="E2240" t="s">
        <v>56</v>
      </c>
      <c r="F2240" t="s">
        <v>36</v>
      </c>
      <c r="G2240">
        <v>1</v>
      </c>
      <c r="H2240">
        <v>0</v>
      </c>
      <c r="I2240" t="str" cm="1">
        <f t="array" ref="I2240">_xlfn.IFS(G2240&lt;3, "0–2 Years", G2240&lt;6, "3–5 Years", G2240&lt;9, "6–8 Years", G2240&lt;12, "9-11 Years", G2240&gt;=12, "12-14 Years")</f>
        <v>0–2 Years</v>
      </c>
      <c r="J2240">
        <v>3</v>
      </c>
      <c r="K2240" t="s">
        <v>24</v>
      </c>
      <c r="L2240">
        <v>51800</v>
      </c>
      <c r="M2240">
        <v>3600</v>
      </c>
      <c r="N2240">
        <v>55400</v>
      </c>
      <c r="O2240" t="s">
        <v>25</v>
      </c>
      <c r="P2240" s="3">
        <v>45644</v>
      </c>
      <c r="Q2240" t="s">
        <v>36</v>
      </c>
    </row>
    <row r="2241" spans="1:17" x14ac:dyDescent="0.35">
      <c r="A2241" t="s">
        <v>2293</v>
      </c>
      <c r="B2241" t="s">
        <v>16</v>
      </c>
      <c r="C2241">
        <v>43</v>
      </c>
      <c r="D2241" t="s">
        <v>38</v>
      </c>
      <c r="E2241" t="s">
        <v>39</v>
      </c>
      <c r="F2241" t="s">
        <v>36</v>
      </c>
      <c r="G2241">
        <v>9.1</v>
      </c>
      <c r="H2241">
        <v>4.7</v>
      </c>
      <c r="I2241" t="str" cm="1">
        <f t="array" ref="I2241">_xlfn.IFS(G2241&lt;3, "0–2 Years", G2241&lt;6, "3–5 Years", G2241&lt;9, "6–8 Years", G2241&lt;12, "9-11 Years", G2241&gt;=12, "12-14 Years")</f>
        <v>9-11 Years</v>
      </c>
      <c r="J2241">
        <v>3</v>
      </c>
      <c r="K2241" t="s">
        <v>20</v>
      </c>
      <c r="L2241">
        <v>75100</v>
      </c>
      <c r="M2241">
        <v>6100</v>
      </c>
      <c r="N2241">
        <v>81200</v>
      </c>
      <c r="O2241" t="s">
        <v>21</v>
      </c>
      <c r="P2241" s="3">
        <v>42700</v>
      </c>
      <c r="Q2241" t="s">
        <v>36</v>
      </c>
    </row>
    <row r="2242" spans="1:17" x14ac:dyDescent="0.35">
      <c r="A2242" t="s">
        <v>2294</v>
      </c>
      <c r="B2242" t="s">
        <v>23</v>
      </c>
      <c r="C2242">
        <v>32</v>
      </c>
      <c r="D2242" t="s">
        <v>44</v>
      </c>
      <c r="E2242" t="s">
        <v>81</v>
      </c>
      <c r="F2242" t="s">
        <v>36</v>
      </c>
      <c r="G2242">
        <v>3.6</v>
      </c>
      <c r="H2242">
        <v>1.8</v>
      </c>
      <c r="I2242" t="str" cm="1">
        <f t="array" ref="I2242">_xlfn.IFS(G2242&lt;3, "0–2 Years", G2242&lt;6, "3–5 Years", G2242&lt;9, "6–8 Years", G2242&lt;12, "9-11 Years", G2242&gt;=12, "12-14 Years")</f>
        <v>3–5 Years</v>
      </c>
      <c r="J2242">
        <v>3</v>
      </c>
      <c r="K2242" t="s">
        <v>20</v>
      </c>
      <c r="L2242">
        <v>95800</v>
      </c>
      <c r="M2242">
        <v>8600</v>
      </c>
      <c r="N2242">
        <v>104400</v>
      </c>
      <c r="O2242" t="s">
        <v>30</v>
      </c>
      <c r="P2242" s="3">
        <v>44706</v>
      </c>
      <c r="Q2242" t="s">
        <v>36</v>
      </c>
    </row>
    <row r="2243" spans="1:17" x14ac:dyDescent="0.35">
      <c r="A2243" t="s">
        <v>2295</v>
      </c>
      <c r="B2243" t="s">
        <v>23</v>
      </c>
      <c r="C2243">
        <v>44</v>
      </c>
      <c r="D2243" t="s">
        <v>41</v>
      </c>
      <c r="E2243" t="s">
        <v>67</v>
      </c>
      <c r="F2243" t="s">
        <v>36</v>
      </c>
      <c r="G2243">
        <v>9.6</v>
      </c>
      <c r="H2243">
        <v>7.1</v>
      </c>
      <c r="I2243" t="str" cm="1">
        <f t="array" ref="I2243">_xlfn.IFS(G2243&lt;3, "0–2 Years", G2243&lt;6, "3–5 Years", G2243&lt;9, "6–8 Years", G2243&lt;12, "9-11 Years", G2243&gt;=12, "12-14 Years")</f>
        <v>9-11 Years</v>
      </c>
      <c r="J2243">
        <v>3</v>
      </c>
      <c r="K2243" t="s">
        <v>24</v>
      </c>
      <c r="L2243">
        <v>47200</v>
      </c>
      <c r="M2243">
        <v>1800</v>
      </c>
      <c r="N2243">
        <v>49000</v>
      </c>
      <c r="O2243" t="s">
        <v>65</v>
      </c>
      <c r="P2243" s="3">
        <v>42518</v>
      </c>
      <c r="Q2243" t="s">
        <v>36</v>
      </c>
    </row>
    <row r="2244" spans="1:17" x14ac:dyDescent="0.35">
      <c r="A2244" t="s">
        <v>2296</v>
      </c>
      <c r="B2244" t="s">
        <v>16</v>
      </c>
      <c r="C2244">
        <v>33</v>
      </c>
      <c r="D2244" t="s">
        <v>55</v>
      </c>
      <c r="E2244" t="s">
        <v>56</v>
      </c>
      <c r="F2244" t="s">
        <v>36</v>
      </c>
      <c r="G2244">
        <v>4.9000000000000004</v>
      </c>
      <c r="H2244">
        <v>2.5</v>
      </c>
      <c r="I2244" t="str" cm="1">
        <f t="array" ref="I2244">_xlfn.IFS(G2244&lt;3, "0–2 Years", G2244&lt;6, "3–5 Years", G2244&lt;9, "6–8 Years", G2244&lt;12, "9-11 Years", G2244&gt;=12, "12-14 Years")</f>
        <v>3–5 Years</v>
      </c>
      <c r="J2244">
        <v>4</v>
      </c>
      <c r="K2244" t="s">
        <v>69</v>
      </c>
      <c r="L2244">
        <v>73900</v>
      </c>
      <c r="M2244">
        <v>8500</v>
      </c>
      <c r="N2244">
        <v>82400</v>
      </c>
      <c r="O2244" t="s">
        <v>21</v>
      </c>
      <c r="P2244" s="3">
        <v>44222</v>
      </c>
      <c r="Q2244" t="s">
        <v>36</v>
      </c>
    </row>
    <row r="2245" spans="1:17" x14ac:dyDescent="0.35">
      <c r="A2245" t="s">
        <v>2297</v>
      </c>
      <c r="B2245" t="s">
        <v>16</v>
      </c>
      <c r="C2245">
        <v>37</v>
      </c>
      <c r="D2245" t="s">
        <v>44</v>
      </c>
      <c r="E2245" t="s">
        <v>45</v>
      </c>
      <c r="F2245" t="s">
        <v>28</v>
      </c>
      <c r="G2245">
        <v>7.6</v>
      </c>
      <c r="H2245">
        <v>5.3</v>
      </c>
      <c r="I2245" t="str" cm="1">
        <f t="array" ref="I2245">_xlfn.IFS(G2245&lt;3, "0–2 Years", G2245&lt;6, "3–5 Years", G2245&lt;9, "6–8 Years", G2245&lt;12, "9-11 Years", G2245&gt;=12, "12-14 Years")</f>
        <v>6–8 Years</v>
      </c>
      <c r="J2245">
        <v>4</v>
      </c>
      <c r="K2245" t="s">
        <v>20</v>
      </c>
      <c r="L2245">
        <v>61600</v>
      </c>
      <c r="M2245">
        <v>7100</v>
      </c>
      <c r="N2245">
        <v>68700</v>
      </c>
      <c r="O2245" t="s">
        <v>25</v>
      </c>
      <c r="P2245" s="3">
        <v>43245</v>
      </c>
      <c r="Q2245" t="s">
        <v>28</v>
      </c>
    </row>
    <row r="2246" spans="1:17" x14ac:dyDescent="0.35">
      <c r="A2246" t="s">
        <v>2298</v>
      </c>
      <c r="B2246" t="s">
        <v>16</v>
      </c>
      <c r="C2246">
        <v>46</v>
      </c>
      <c r="D2246" t="s">
        <v>44</v>
      </c>
      <c r="E2246" t="s">
        <v>45</v>
      </c>
      <c r="F2246" t="s">
        <v>28</v>
      </c>
      <c r="G2246">
        <v>3.8</v>
      </c>
      <c r="H2246">
        <v>0</v>
      </c>
      <c r="I2246" t="str" cm="1">
        <f t="array" ref="I2246">_xlfn.IFS(G2246&lt;3, "0–2 Years", G2246&lt;6, "3–5 Years", G2246&lt;9, "6–8 Years", G2246&lt;12, "9-11 Years", G2246&gt;=12, "12-14 Years")</f>
        <v>3–5 Years</v>
      </c>
      <c r="J2246">
        <v>1</v>
      </c>
      <c r="K2246" t="s">
        <v>20</v>
      </c>
      <c r="L2246">
        <v>56600</v>
      </c>
      <c r="M2246">
        <v>4000</v>
      </c>
      <c r="N2246">
        <v>60600</v>
      </c>
      <c r="O2246" t="s">
        <v>25</v>
      </c>
      <c r="P2246" s="3">
        <v>44652</v>
      </c>
      <c r="Q2246" t="s">
        <v>28</v>
      </c>
    </row>
    <row r="2247" spans="1:17" x14ac:dyDescent="0.35">
      <c r="A2247" t="s">
        <v>2299</v>
      </c>
      <c r="B2247" t="s">
        <v>16</v>
      </c>
      <c r="C2247">
        <v>35</v>
      </c>
      <c r="D2247" t="s">
        <v>38</v>
      </c>
      <c r="E2247" t="s">
        <v>112</v>
      </c>
      <c r="F2247" t="s">
        <v>28</v>
      </c>
      <c r="G2247">
        <v>6.3</v>
      </c>
      <c r="H2247">
        <v>3.9</v>
      </c>
      <c r="I2247" t="str" cm="1">
        <f t="array" ref="I2247">_xlfn.IFS(G2247&lt;3, "0–2 Years", G2247&lt;6, "3–5 Years", G2247&lt;9, "6–8 Years", G2247&lt;12, "9-11 Years", G2247&gt;=12, "12-14 Years")</f>
        <v>6–8 Years</v>
      </c>
      <c r="J2247">
        <v>3</v>
      </c>
      <c r="K2247" t="s">
        <v>20</v>
      </c>
      <c r="L2247">
        <v>68700</v>
      </c>
      <c r="M2247">
        <v>6100</v>
      </c>
      <c r="N2247">
        <v>74800</v>
      </c>
      <c r="O2247" t="s">
        <v>21</v>
      </c>
      <c r="P2247" s="3">
        <v>43725</v>
      </c>
      <c r="Q2247" t="s">
        <v>28</v>
      </c>
    </row>
    <row r="2248" spans="1:17" x14ac:dyDescent="0.35">
      <c r="A2248" t="s">
        <v>2300</v>
      </c>
      <c r="B2248" t="s">
        <v>16</v>
      </c>
      <c r="C2248">
        <v>43</v>
      </c>
      <c r="D2248" t="s">
        <v>44</v>
      </c>
      <c r="E2248" t="s">
        <v>51</v>
      </c>
      <c r="F2248" t="s">
        <v>28</v>
      </c>
      <c r="G2248">
        <v>11</v>
      </c>
      <c r="H2248">
        <v>8.8000000000000007</v>
      </c>
      <c r="I2248" t="str" cm="1">
        <f t="array" ref="I2248">_xlfn.IFS(G2248&lt;3, "0–2 Years", G2248&lt;6, "3–5 Years", G2248&lt;9, "6–8 Years", G2248&lt;12, "9-11 Years", G2248&gt;=12, "12-14 Years")</f>
        <v>9-11 Years</v>
      </c>
      <c r="J2248">
        <v>5</v>
      </c>
      <c r="K2248" t="s">
        <v>20</v>
      </c>
      <c r="L2248">
        <v>79900</v>
      </c>
      <c r="M2248">
        <v>7200</v>
      </c>
      <c r="N2248">
        <v>87100</v>
      </c>
      <c r="O2248" t="s">
        <v>21</v>
      </c>
      <c r="P2248" s="3">
        <v>41989</v>
      </c>
      <c r="Q2248" t="s">
        <v>28</v>
      </c>
    </row>
    <row r="2249" spans="1:17" x14ac:dyDescent="0.35">
      <c r="A2249" t="s">
        <v>2301</v>
      </c>
      <c r="B2249" t="s">
        <v>16</v>
      </c>
      <c r="C2249">
        <v>48</v>
      </c>
      <c r="D2249" t="s">
        <v>38</v>
      </c>
      <c r="E2249" t="s">
        <v>61</v>
      </c>
      <c r="F2249" t="s">
        <v>28</v>
      </c>
      <c r="G2249">
        <v>11.3</v>
      </c>
      <c r="H2249">
        <v>8</v>
      </c>
      <c r="I2249" t="str" cm="1">
        <f t="array" ref="I2249">_xlfn.IFS(G2249&lt;3, "0–2 Years", G2249&lt;6, "3–5 Years", G2249&lt;9, "6–8 Years", G2249&lt;12, "9-11 Years", G2249&gt;=12, "12-14 Years")</f>
        <v>9-11 Years</v>
      </c>
      <c r="J2249">
        <v>4</v>
      </c>
      <c r="K2249" t="s">
        <v>24</v>
      </c>
      <c r="L2249">
        <v>69400</v>
      </c>
      <c r="M2249">
        <v>2800</v>
      </c>
      <c r="N2249">
        <v>72200</v>
      </c>
      <c r="O2249" t="s">
        <v>21</v>
      </c>
      <c r="P2249" s="3">
        <v>41878</v>
      </c>
      <c r="Q2249" t="s">
        <v>28</v>
      </c>
    </row>
    <row r="2250" spans="1:17" x14ac:dyDescent="0.35">
      <c r="A2250" t="s">
        <v>2302</v>
      </c>
      <c r="B2250" t="s">
        <v>23</v>
      </c>
      <c r="C2250">
        <v>41</v>
      </c>
      <c r="D2250" t="s">
        <v>41</v>
      </c>
      <c r="E2250" t="s">
        <v>73</v>
      </c>
      <c r="F2250" t="s">
        <v>36</v>
      </c>
      <c r="G2250">
        <v>1.8</v>
      </c>
      <c r="H2250">
        <v>1.8</v>
      </c>
      <c r="I2250" t="str" cm="1">
        <f t="array" ref="I2250">_xlfn.IFS(G2250&lt;3, "0–2 Years", G2250&lt;6, "3–5 Years", G2250&lt;9, "6–8 Years", G2250&lt;12, "9-11 Years", G2250&gt;=12, "12-14 Years")</f>
        <v>0–2 Years</v>
      </c>
      <c r="J2250">
        <v>3</v>
      </c>
      <c r="K2250" t="s">
        <v>24</v>
      </c>
      <c r="L2250">
        <v>52900</v>
      </c>
      <c r="M2250">
        <v>3200</v>
      </c>
      <c r="N2250">
        <v>56100</v>
      </c>
      <c r="O2250" t="s">
        <v>25</v>
      </c>
      <c r="P2250" s="3">
        <v>45355</v>
      </c>
      <c r="Q2250" t="s">
        <v>36</v>
      </c>
    </row>
    <row r="2251" spans="1:17" x14ac:dyDescent="0.35">
      <c r="A2251" t="s">
        <v>2303</v>
      </c>
      <c r="B2251" t="s">
        <v>23</v>
      </c>
      <c r="C2251">
        <v>30</v>
      </c>
      <c r="D2251" t="s">
        <v>44</v>
      </c>
      <c r="E2251" t="s">
        <v>76</v>
      </c>
      <c r="F2251" t="s">
        <v>62</v>
      </c>
      <c r="G2251">
        <v>1.3</v>
      </c>
      <c r="H2251">
        <v>0.5</v>
      </c>
      <c r="I2251" t="str" cm="1">
        <f t="array" ref="I2251">_xlfn.IFS(G2251&lt;3, "0–2 Years", G2251&lt;6, "3–5 Years", G2251&lt;9, "6–8 Years", G2251&lt;12, "9-11 Years", G2251&gt;=12, "12-14 Years")</f>
        <v>0–2 Years</v>
      </c>
      <c r="J2251">
        <v>3</v>
      </c>
      <c r="K2251" t="s">
        <v>24</v>
      </c>
      <c r="L2251">
        <v>69000</v>
      </c>
      <c r="M2251">
        <v>9800</v>
      </c>
      <c r="N2251">
        <v>78800</v>
      </c>
      <c r="O2251" t="s">
        <v>21</v>
      </c>
      <c r="P2251" s="3">
        <v>45562</v>
      </c>
      <c r="Q2251" t="s">
        <v>62</v>
      </c>
    </row>
    <row r="2252" spans="1:17" x14ac:dyDescent="0.35">
      <c r="A2252" t="s">
        <v>2304</v>
      </c>
      <c r="B2252" t="s">
        <v>23</v>
      </c>
      <c r="C2252">
        <v>37</v>
      </c>
      <c r="D2252" t="s">
        <v>44</v>
      </c>
      <c r="E2252" t="s">
        <v>51</v>
      </c>
      <c r="F2252" t="s">
        <v>28</v>
      </c>
      <c r="G2252">
        <v>6.5</v>
      </c>
      <c r="H2252">
        <v>4.3</v>
      </c>
      <c r="I2252" t="str" cm="1">
        <f t="array" ref="I2252">_xlfn.IFS(G2252&lt;3, "0–2 Years", G2252&lt;6, "3–5 Years", G2252&lt;9, "6–8 Years", G2252&lt;12, "9-11 Years", G2252&gt;=12, "12-14 Years")</f>
        <v>6–8 Years</v>
      </c>
      <c r="J2252">
        <v>3</v>
      </c>
      <c r="K2252" t="s">
        <v>20</v>
      </c>
      <c r="L2252">
        <v>84100</v>
      </c>
      <c r="M2252">
        <v>5600</v>
      </c>
      <c r="N2252">
        <v>89700</v>
      </c>
      <c r="O2252" t="s">
        <v>30</v>
      </c>
      <c r="P2252" s="3">
        <v>43651</v>
      </c>
      <c r="Q2252" t="s">
        <v>28</v>
      </c>
    </row>
    <row r="2253" spans="1:17" x14ac:dyDescent="0.35">
      <c r="A2253" t="s">
        <v>2305</v>
      </c>
      <c r="B2253" t="s">
        <v>23</v>
      </c>
      <c r="C2253">
        <v>26</v>
      </c>
      <c r="D2253" t="s">
        <v>55</v>
      </c>
      <c r="E2253" t="s">
        <v>92</v>
      </c>
      <c r="F2253" t="s">
        <v>28</v>
      </c>
      <c r="G2253">
        <v>4.0999999999999996</v>
      </c>
      <c r="H2253">
        <v>1.8</v>
      </c>
      <c r="I2253" t="str" cm="1">
        <f t="array" ref="I2253">_xlfn.IFS(G2253&lt;3, "0–2 Years", G2253&lt;6, "3–5 Years", G2253&lt;9, "6–8 Years", G2253&lt;12, "9-11 Years", G2253&gt;=12, "12-14 Years")</f>
        <v>3–5 Years</v>
      </c>
      <c r="J2253">
        <v>3</v>
      </c>
      <c r="K2253" t="s">
        <v>20</v>
      </c>
      <c r="L2253">
        <v>88500</v>
      </c>
      <c r="M2253">
        <v>11900</v>
      </c>
      <c r="N2253">
        <v>100400</v>
      </c>
      <c r="O2253" t="s">
        <v>30</v>
      </c>
      <c r="P2253" s="3">
        <v>44521</v>
      </c>
      <c r="Q2253" t="s">
        <v>28</v>
      </c>
    </row>
    <row r="2254" spans="1:17" x14ac:dyDescent="0.35">
      <c r="A2254" t="s">
        <v>2306</v>
      </c>
      <c r="B2254" t="s">
        <v>23</v>
      </c>
      <c r="C2254" s="7">
        <v>39</v>
      </c>
      <c r="D2254" t="s">
        <v>38</v>
      </c>
      <c r="E2254" t="s">
        <v>39</v>
      </c>
      <c r="F2254" t="s">
        <v>28</v>
      </c>
      <c r="G2254" s="9">
        <v>13.4</v>
      </c>
      <c r="H2254" s="7">
        <v>8.6</v>
      </c>
      <c r="I2254" t="str" cm="1">
        <f t="array" ref="I2254">_xlfn.IFS(G2254&lt;3, "0–2 Years", G2254&lt;6, "3–5 Years", G2254&lt;9, "6–8 Years", G2254&lt;12, "9-11 Years", G2254&gt;=12, "12-14 Years")</f>
        <v>12-14 Years</v>
      </c>
      <c r="J2254" s="7">
        <v>4</v>
      </c>
      <c r="K2254" t="s">
        <v>24</v>
      </c>
      <c r="L2254" s="7">
        <v>61200</v>
      </c>
      <c r="M2254" s="7">
        <v>3800</v>
      </c>
      <c r="N2254" s="7">
        <v>65000</v>
      </c>
      <c r="O2254" t="s">
        <v>25</v>
      </c>
      <c r="P2254" s="3">
        <v>41135</v>
      </c>
      <c r="Q2254" t="s">
        <v>28</v>
      </c>
    </row>
    <row r="2255" spans="1:17" x14ac:dyDescent="0.35">
      <c r="A2255" t="s">
        <v>2307</v>
      </c>
      <c r="B2255" t="s">
        <v>16</v>
      </c>
      <c r="C2255">
        <v>41</v>
      </c>
      <c r="D2255" t="s">
        <v>38</v>
      </c>
      <c r="E2255" t="s">
        <v>112</v>
      </c>
      <c r="F2255" t="s">
        <v>36</v>
      </c>
      <c r="G2255">
        <v>6</v>
      </c>
      <c r="H2255">
        <v>5</v>
      </c>
      <c r="I2255" t="str" cm="1">
        <f t="array" ref="I2255">_xlfn.IFS(G2255&lt;3, "0–2 Years", G2255&lt;6, "3–5 Years", G2255&lt;9, "6–8 Years", G2255&lt;12, "9-11 Years", G2255&gt;=12, "12-14 Years")</f>
        <v>6–8 Years</v>
      </c>
      <c r="J2255">
        <v>3</v>
      </c>
      <c r="K2255" t="s">
        <v>69</v>
      </c>
      <c r="L2255">
        <v>54800</v>
      </c>
      <c r="M2255">
        <v>3400</v>
      </c>
      <c r="N2255">
        <v>58200</v>
      </c>
      <c r="O2255" t="s">
        <v>25</v>
      </c>
      <c r="P2255" s="3">
        <v>43848</v>
      </c>
      <c r="Q2255" t="s">
        <v>36</v>
      </c>
    </row>
    <row r="2256" spans="1:17" x14ac:dyDescent="0.35">
      <c r="A2256" t="s">
        <v>2308</v>
      </c>
      <c r="B2256" t="s">
        <v>23</v>
      </c>
      <c r="C2256" s="7">
        <v>37</v>
      </c>
      <c r="D2256" t="s">
        <v>41</v>
      </c>
      <c r="E2256" t="s">
        <v>73</v>
      </c>
      <c r="F2256" t="s">
        <v>28</v>
      </c>
      <c r="G2256" s="9">
        <v>12.2</v>
      </c>
      <c r="H2256" s="7">
        <v>6.5</v>
      </c>
      <c r="I2256" t="str" cm="1">
        <f t="array" ref="I2256">_xlfn.IFS(G2256&lt;3, "0–2 Years", G2256&lt;6, "3–5 Years", G2256&lt;9, "6–8 Years", G2256&lt;12, "9-11 Years", G2256&gt;=12, "12-14 Years")</f>
        <v>12-14 Years</v>
      </c>
      <c r="J2256" s="7">
        <v>3</v>
      </c>
      <c r="K2256" t="s">
        <v>20</v>
      </c>
      <c r="L2256" s="7">
        <v>108800</v>
      </c>
      <c r="M2256" s="7">
        <v>8700</v>
      </c>
      <c r="N2256" s="7">
        <v>117500</v>
      </c>
      <c r="O2256" t="s">
        <v>57</v>
      </c>
      <c r="P2256" s="3">
        <v>41585</v>
      </c>
      <c r="Q2256" t="s">
        <v>28</v>
      </c>
    </row>
    <row r="2257" spans="1:17" x14ac:dyDescent="0.35">
      <c r="A2257" t="s">
        <v>2309</v>
      </c>
      <c r="B2257" t="s">
        <v>23</v>
      </c>
      <c r="C2257">
        <v>33</v>
      </c>
      <c r="D2257" t="s">
        <v>41</v>
      </c>
      <c r="E2257" t="s">
        <v>42</v>
      </c>
      <c r="F2257" t="s">
        <v>19</v>
      </c>
      <c r="G2257">
        <v>5.5</v>
      </c>
      <c r="H2257">
        <v>1.7</v>
      </c>
      <c r="I2257" t="str" cm="1">
        <f t="array" ref="I2257">_xlfn.IFS(G2257&lt;3, "0–2 Years", G2257&lt;6, "3–5 Years", G2257&lt;9, "6–8 Years", G2257&lt;12, "9-11 Years", G2257&gt;=12, "12-14 Years")</f>
        <v>3–5 Years</v>
      </c>
      <c r="J2257">
        <v>3</v>
      </c>
      <c r="K2257" t="s">
        <v>24</v>
      </c>
      <c r="L2257">
        <v>47900</v>
      </c>
      <c r="M2257">
        <v>2200</v>
      </c>
      <c r="N2257">
        <v>50100</v>
      </c>
      <c r="O2257" t="s">
        <v>65</v>
      </c>
      <c r="P2257" s="3">
        <v>44004</v>
      </c>
      <c r="Q2257" t="s">
        <v>19</v>
      </c>
    </row>
    <row r="2258" spans="1:17" x14ac:dyDescent="0.35">
      <c r="A2258" t="s">
        <v>2310</v>
      </c>
      <c r="B2258" t="s">
        <v>23</v>
      </c>
      <c r="C2258">
        <v>28</v>
      </c>
      <c r="D2258" t="s">
        <v>38</v>
      </c>
      <c r="E2258" t="s">
        <v>61</v>
      </c>
      <c r="F2258" t="s">
        <v>28</v>
      </c>
      <c r="G2258">
        <v>10.8</v>
      </c>
      <c r="H2258">
        <v>8.8000000000000007</v>
      </c>
      <c r="I2258" t="str" cm="1">
        <f t="array" ref="I2258">_xlfn.IFS(G2258&lt;3, "0–2 Years", G2258&lt;6, "3–5 Years", G2258&lt;9, "6–8 Years", G2258&lt;12, "9-11 Years", G2258&gt;=12, "12-14 Years")</f>
        <v>9-11 Years</v>
      </c>
      <c r="J2258">
        <v>3</v>
      </c>
      <c r="K2258" t="s">
        <v>20</v>
      </c>
      <c r="L2258">
        <v>110700</v>
      </c>
      <c r="M2258">
        <v>9800</v>
      </c>
      <c r="N2258">
        <v>120500</v>
      </c>
      <c r="O2258" t="s">
        <v>57</v>
      </c>
      <c r="P2258" s="3">
        <v>42096</v>
      </c>
      <c r="Q2258" t="s">
        <v>28</v>
      </c>
    </row>
    <row r="2259" spans="1:17" x14ac:dyDescent="0.35">
      <c r="A2259" t="s">
        <v>2311</v>
      </c>
      <c r="B2259" t="s">
        <v>23</v>
      </c>
      <c r="C2259">
        <v>41</v>
      </c>
      <c r="D2259" t="s">
        <v>55</v>
      </c>
      <c r="E2259" t="s">
        <v>92</v>
      </c>
      <c r="F2259" t="s">
        <v>19</v>
      </c>
      <c r="G2259">
        <v>3.6</v>
      </c>
      <c r="H2259">
        <v>0</v>
      </c>
      <c r="I2259" t="str" cm="1">
        <f t="array" ref="I2259">_xlfn.IFS(G2259&lt;3, "0–2 Years", G2259&lt;6, "3–5 Years", G2259&lt;9, "6–8 Years", G2259&lt;12, "9-11 Years", G2259&gt;=12, "12-14 Years")</f>
        <v>3–5 Years</v>
      </c>
      <c r="J2259">
        <v>3</v>
      </c>
      <c r="K2259" t="s">
        <v>20</v>
      </c>
      <c r="L2259">
        <v>83600</v>
      </c>
      <c r="M2259">
        <v>11100</v>
      </c>
      <c r="N2259">
        <v>94700</v>
      </c>
      <c r="O2259" t="s">
        <v>30</v>
      </c>
      <c r="P2259" s="3">
        <v>44726</v>
      </c>
      <c r="Q2259" t="s">
        <v>19</v>
      </c>
    </row>
    <row r="2260" spans="1:17" x14ac:dyDescent="0.35">
      <c r="A2260" t="s">
        <v>2312</v>
      </c>
      <c r="B2260" t="s">
        <v>16</v>
      </c>
      <c r="C2260" s="7">
        <v>44</v>
      </c>
      <c r="D2260" t="s">
        <v>34</v>
      </c>
      <c r="E2260" t="s">
        <v>47</v>
      </c>
      <c r="F2260" t="s">
        <v>28</v>
      </c>
      <c r="G2260" s="9">
        <v>12.9</v>
      </c>
      <c r="H2260" s="7">
        <v>7.7</v>
      </c>
      <c r="I2260" t="str" cm="1">
        <f t="array" ref="I2260">_xlfn.IFS(G2260&lt;3, "0–2 Years", G2260&lt;6, "3–5 Years", G2260&lt;9, "6–8 Years", G2260&lt;12, "9-11 Years", G2260&gt;=12, "12-14 Years")</f>
        <v>12-14 Years</v>
      </c>
      <c r="J2260" s="7">
        <v>3</v>
      </c>
      <c r="K2260" t="s">
        <v>20</v>
      </c>
      <c r="L2260" s="7">
        <v>79800</v>
      </c>
      <c r="M2260" s="7">
        <v>8700</v>
      </c>
      <c r="N2260" s="7">
        <v>88500</v>
      </c>
      <c r="O2260" t="s">
        <v>21</v>
      </c>
      <c r="P2260" s="3">
        <v>41324</v>
      </c>
      <c r="Q2260" t="s">
        <v>28</v>
      </c>
    </row>
    <row r="2261" spans="1:17" x14ac:dyDescent="0.35">
      <c r="A2261" t="s">
        <v>2313</v>
      </c>
      <c r="B2261" t="s">
        <v>23</v>
      </c>
      <c r="C2261">
        <v>31</v>
      </c>
      <c r="D2261" t="s">
        <v>55</v>
      </c>
      <c r="E2261" t="s">
        <v>79</v>
      </c>
      <c r="F2261" t="s">
        <v>28</v>
      </c>
      <c r="G2261">
        <v>4.9000000000000004</v>
      </c>
      <c r="H2261">
        <v>1.4</v>
      </c>
      <c r="I2261" t="str" cm="1">
        <f t="array" ref="I2261">_xlfn.IFS(G2261&lt;3, "0–2 Years", G2261&lt;6, "3–5 Years", G2261&lt;9, "6–8 Years", G2261&lt;12, "9-11 Years", G2261&gt;=12, "12-14 Years")</f>
        <v>3–5 Years</v>
      </c>
      <c r="J2261">
        <v>3</v>
      </c>
      <c r="K2261" t="s">
        <v>20</v>
      </c>
      <c r="L2261">
        <v>64200</v>
      </c>
      <c r="M2261">
        <v>11200</v>
      </c>
      <c r="N2261">
        <v>75400</v>
      </c>
      <c r="O2261" t="s">
        <v>25</v>
      </c>
      <c r="P2261" s="3">
        <v>44227</v>
      </c>
      <c r="Q2261" t="s">
        <v>28</v>
      </c>
    </row>
    <row r="2262" spans="1:17" x14ac:dyDescent="0.35">
      <c r="A2262" t="s">
        <v>2314</v>
      </c>
      <c r="B2262" t="s">
        <v>23</v>
      </c>
      <c r="C2262">
        <v>36</v>
      </c>
      <c r="D2262" t="s">
        <v>44</v>
      </c>
      <c r="E2262" t="s">
        <v>45</v>
      </c>
      <c r="F2262" t="s">
        <v>28</v>
      </c>
      <c r="G2262">
        <v>7.2</v>
      </c>
      <c r="H2262">
        <v>4.4000000000000004</v>
      </c>
      <c r="I2262" t="str" cm="1">
        <f t="array" ref="I2262">_xlfn.IFS(G2262&lt;3, "0–2 Years", G2262&lt;6, "3–5 Years", G2262&lt;9, "6–8 Years", G2262&lt;12, "9-11 Years", G2262&gt;=12, "12-14 Years")</f>
        <v>6–8 Years</v>
      </c>
      <c r="J2262">
        <v>3</v>
      </c>
      <c r="K2262" t="s">
        <v>20</v>
      </c>
      <c r="L2262">
        <v>70500</v>
      </c>
      <c r="M2262">
        <v>6300</v>
      </c>
      <c r="N2262">
        <v>76800</v>
      </c>
      <c r="O2262" t="s">
        <v>21</v>
      </c>
      <c r="P2262" s="3">
        <v>43387</v>
      </c>
      <c r="Q2262" t="s">
        <v>28</v>
      </c>
    </row>
    <row r="2263" spans="1:17" x14ac:dyDescent="0.35">
      <c r="A2263" t="s">
        <v>2315</v>
      </c>
      <c r="B2263" t="s">
        <v>16</v>
      </c>
      <c r="C2263">
        <v>34</v>
      </c>
      <c r="D2263" t="s">
        <v>41</v>
      </c>
      <c r="E2263" t="s">
        <v>42</v>
      </c>
      <c r="G2263">
        <v>11.9</v>
      </c>
      <c r="H2263">
        <v>8</v>
      </c>
      <c r="I2263" t="str" cm="1">
        <f t="array" ref="I2263">_xlfn.IFS(G2263&lt;3, "0–2 Years", G2263&lt;6, "3–5 Years", G2263&lt;9, "6–8 Years", G2263&lt;12, "9-11 Years", G2263&gt;=12, "12-14 Years")</f>
        <v>9-11 Years</v>
      </c>
      <c r="J2263">
        <v>5</v>
      </c>
      <c r="K2263" t="s">
        <v>20</v>
      </c>
      <c r="L2263">
        <v>85300</v>
      </c>
      <c r="M2263">
        <v>3700</v>
      </c>
      <c r="N2263">
        <v>89000</v>
      </c>
      <c r="O2263" t="s">
        <v>30</v>
      </c>
      <c r="P2263" s="3">
        <v>41687</v>
      </c>
      <c r="Q2263" t="s">
        <v>5104</v>
      </c>
    </row>
    <row r="2264" spans="1:17" x14ac:dyDescent="0.35">
      <c r="A2264" t="s">
        <v>2316</v>
      </c>
      <c r="B2264" t="s">
        <v>23</v>
      </c>
      <c r="C2264" s="7">
        <v>40</v>
      </c>
      <c r="D2264" t="s">
        <v>41</v>
      </c>
      <c r="E2264" t="s">
        <v>67</v>
      </c>
      <c r="F2264" t="s">
        <v>36</v>
      </c>
      <c r="G2264" s="9">
        <v>12.7</v>
      </c>
      <c r="H2264" s="7">
        <v>7.7</v>
      </c>
      <c r="I2264" t="str" cm="1">
        <f t="array" ref="I2264">_xlfn.IFS(G2264&lt;3, "0–2 Years", G2264&lt;6, "3–5 Years", G2264&lt;9, "6–8 Years", G2264&lt;12, "9-11 Years", G2264&gt;=12, "12-14 Years")</f>
        <v>12-14 Years</v>
      </c>
      <c r="J2264" s="7">
        <v>1</v>
      </c>
      <c r="K2264" t="s">
        <v>20</v>
      </c>
      <c r="L2264" s="7">
        <v>84900</v>
      </c>
      <c r="M2264" s="7">
        <v>6600</v>
      </c>
      <c r="N2264" s="7">
        <v>91500</v>
      </c>
      <c r="O2264" t="s">
        <v>30</v>
      </c>
      <c r="P2264" s="3">
        <v>41385</v>
      </c>
      <c r="Q2264" t="s">
        <v>36</v>
      </c>
    </row>
    <row r="2265" spans="1:17" x14ac:dyDescent="0.35">
      <c r="A2265" t="s">
        <v>2317</v>
      </c>
      <c r="B2265" t="s">
        <v>16</v>
      </c>
      <c r="C2265">
        <v>23</v>
      </c>
      <c r="D2265" t="s">
        <v>34</v>
      </c>
      <c r="E2265" t="s">
        <v>47</v>
      </c>
      <c r="F2265" t="s">
        <v>36</v>
      </c>
      <c r="G2265">
        <v>8</v>
      </c>
      <c r="H2265">
        <v>6.3</v>
      </c>
      <c r="I2265" t="str" cm="1">
        <f t="array" ref="I2265">_xlfn.IFS(G2265&lt;3, "0–2 Years", G2265&lt;6, "3–5 Years", G2265&lt;9, "6–8 Years", G2265&lt;12, "9-11 Years", G2265&gt;=12, "12-14 Years")</f>
        <v>6–8 Years</v>
      </c>
      <c r="J2265">
        <v>4</v>
      </c>
      <c r="K2265" t="s">
        <v>20</v>
      </c>
      <c r="L2265">
        <v>90800</v>
      </c>
      <c r="M2265">
        <v>5400</v>
      </c>
      <c r="N2265">
        <v>96200</v>
      </c>
      <c r="O2265" t="s">
        <v>30</v>
      </c>
      <c r="P2265" s="3">
        <v>43092</v>
      </c>
      <c r="Q2265" t="s">
        <v>36</v>
      </c>
    </row>
    <row r="2266" spans="1:17" x14ac:dyDescent="0.35">
      <c r="A2266" t="s">
        <v>2318</v>
      </c>
      <c r="B2266" t="s">
        <v>23</v>
      </c>
      <c r="C2266">
        <v>24</v>
      </c>
      <c r="D2266" t="s">
        <v>38</v>
      </c>
      <c r="E2266" t="s">
        <v>61</v>
      </c>
      <c r="F2266" t="s">
        <v>36</v>
      </c>
      <c r="G2266">
        <v>2.8</v>
      </c>
      <c r="H2266">
        <v>0.7</v>
      </c>
      <c r="I2266" t="str" cm="1">
        <f t="array" ref="I2266">_xlfn.IFS(G2266&lt;3, "0–2 Years", G2266&lt;6, "3–5 Years", G2266&lt;9, "6–8 Years", G2266&lt;12, "9-11 Years", G2266&gt;=12, "12-14 Years")</f>
        <v>0–2 Years</v>
      </c>
      <c r="J2266">
        <v>3</v>
      </c>
      <c r="K2266" t="s">
        <v>69</v>
      </c>
      <c r="L2266">
        <v>81200</v>
      </c>
      <c r="M2266">
        <v>8500</v>
      </c>
      <c r="N2266">
        <v>89700</v>
      </c>
      <c r="O2266" t="s">
        <v>30</v>
      </c>
      <c r="P2266" s="3">
        <v>44985</v>
      </c>
      <c r="Q2266" t="s">
        <v>36</v>
      </c>
    </row>
    <row r="2267" spans="1:17" x14ac:dyDescent="0.35">
      <c r="A2267" t="s">
        <v>2319</v>
      </c>
      <c r="B2267" t="s">
        <v>16</v>
      </c>
      <c r="C2267">
        <v>23</v>
      </c>
      <c r="D2267" t="s">
        <v>38</v>
      </c>
      <c r="E2267" t="s">
        <v>61</v>
      </c>
      <c r="F2267" t="s">
        <v>36</v>
      </c>
      <c r="G2267">
        <v>6.5</v>
      </c>
      <c r="H2267">
        <v>4.0999999999999996</v>
      </c>
      <c r="I2267" t="str" cm="1">
        <f t="array" ref="I2267">_xlfn.IFS(G2267&lt;3, "0–2 Years", G2267&lt;6, "3–5 Years", G2267&lt;9, "6–8 Years", G2267&lt;12, "9-11 Years", G2267&gt;=12, "12-14 Years")</f>
        <v>6–8 Years</v>
      </c>
      <c r="J2267">
        <v>4</v>
      </c>
      <c r="K2267" t="s">
        <v>24</v>
      </c>
      <c r="L2267">
        <v>67000</v>
      </c>
      <c r="M2267">
        <v>4200</v>
      </c>
      <c r="N2267">
        <v>71200</v>
      </c>
      <c r="O2267" t="s">
        <v>21</v>
      </c>
      <c r="P2267" s="3">
        <v>43655</v>
      </c>
      <c r="Q2267" t="s">
        <v>36</v>
      </c>
    </row>
    <row r="2268" spans="1:17" x14ac:dyDescent="0.35">
      <c r="A2268" t="s">
        <v>2320</v>
      </c>
      <c r="B2268" t="s">
        <v>23</v>
      </c>
      <c r="C2268">
        <v>38</v>
      </c>
      <c r="D2268" t="s">
        <v>55</v>
      </c>
      <c r="E2268" t="s">
        <v>92</v>
      </c>
      <c r="F2268" t="s">
        <v>36</v>
      </c>
      <c r="G2268">
        <v>11.5</v>
      </c>
      <c r="H2268">
        <v>6.3</v>
      </c>
      <c r="I2268" t="str" cm="1">
        <f t="array" ref="I2268">_xlfn.IFS(G2268&lt;3, "0–2 Years", G2268&lt;6, "3–5 Years", G2268&lt;9, "6–8 Years", G2268&lt;12, "9-11 Years", G2268&gt;=12, "12-14 Years")</f>
        <v>9-11 Years</v>
      </c>
      <c r="J2268">
        <v>3</v>
      </c>
      <c r="K2268" t="s">
        <v>69</v>
      </c>
      <c r="L2268">
        <v>82300</v>
      </c>
      <c r="M2268">
        <v>8100</v>
      </c>
      <c r="N2268">
        <v>90400</v>
      </c>
      <c r="O2268" t="s">
        <v>30</v>
      </c>
      <c r="P2268" s="3">
        <v>41824</v>
      </c>
      <c r="Q2268" t="s">
        <v>36</v>
      </c>
    </row>
    <row r="2269" spans="1:17" x14ac:dyDescent="0.35">
      <c r="A2269" t="s">
        <v>2321</v>
      </c>
      <c r="B2269" t="s">
        <v>23</v>
      </c>
      <c r="C2269">
        <v>30</v>
      </c>
      <c r="D2269" t="s">
        <v>41</v>
      </c>
      <c r="E2269" t="s">
        <v>67</v>
      </c>
      <c r="F2269" t="s">
        <v>36</v>
      </c>
      <c r="G2269">
        <v>3</v>
      </c>
      <c r="H2269">
        <v>2.6</v>
      </c>
      <c r="I2269" t="str" cm="1">
        <f t="array" ref="I2269">_xlfn.IFS(G2269&lt;3, "0–2 Years", G2269&lt;6, "3–5 Years", G2269&lt;9, "6–8 Years", G2269&lt;12, "9-11 Years", G2269&gt;=12, "12-14 Years")</f>
        <v>3–5 Years</v>
      </c>
      <c r="J2269">
        <v>3</v>
      </c>
      <c r="K2269" t="s">
        <v>20</v>
      </c>
      <c r="L2269">
        <v>67900</v>
      </c>
      <c r="M2269">
        <v>3500</v>
      </c>
      <c r="N2269">
        <v>71400</v>
      </c>
      <c r="O2269" t="s">
        <v>21</v>
      </c>
      <c r="P2269" s="3">
        <v>44936</v>
      </c>
      <c r="Q2269" t="s">
        <v>36</v>
      </c>
    </row>
    <row r="2270" spans="1:17" x14ac:dyDescent="0.35">
      <c r="A2270" t="s">
        <v>2322</v>
      </c>
      <c r="B2270" t="s">
        <v>23</v>
      </c>
      <c r="C2270">
        <v>24</v>
      </c>
      <c r="D2270" t="s">
        <v>38</v>
      </c>
      <c r="E2270" t="s">
        <v>39</v>
      </c>
      <c r="F2270" t="s">
        <v>19</v>
      </c>
      <c r="G2270">
        <v>9</v>
      </c>
      <c r="H2270">
        <v>5.7</v>
      </c>
      <c r="I2270" t="str" cm="1">
        <f t="array" ref="I2270">_xlfn.IFS(G2270&lt;3, "0–2 Years", G2270&lt;6, "3–5 Years", G2270&lt;9, "6–8 Years", G2270&lt;12, "9-11 Years", G2270&gt;=12, "12-14 Years")</f>
        <v>9-11 Years</v>
      </c>
      <c r="J2270">
        <v>3</v>
      </c>
      <c r="K2270" t="s">
        <v>20</v>
      </c>
      <c r="L2270">
        <v>65400</v>
      </c>
      <c r="M2270">
        <v>6700</v>
      </c>
      <c r="N2270">
        <v>72100</v>
      </c>
      <c r="O2270" t="s">
        <v>21</v>
      </c>
      <c r="P2270" s="3">
        <v>42744</v>
      </c>
      <c r="Q2270" t="s">
        <v>19</v>
      </c>
    </row>
    <row r="2271" spans="1:17" x14ac:dyDescent="0.35">
      <c r="A2271" t="s">
        <v>2323</v>
      </c>
      <c r="B2271" t="s">
        <v>23</v>
      </c>
      <c r="C2271" s="7">
        <v>28</v>
      </c>
      <c r="D2271" t="s">
        <v>44</v>
      </c>
      <c r="E2271" t="s">
        <v>45</v>
      </c>
      <c r="F2271" t="s">
        <v>28</v>
      </c>
      <c r="G2271" s="9">
        <v>13.1</v>
      </c>
      <c r="H2271" s="7">
        <v>8.6999999999999993</v>
      </c>
      <c r="I2271" t="str" cm="1">
        <f t="array" ref="I2271">_xlfn.IFS(G2271&lt;3, "0–2 Years", G2271&lt;6, "3–5 Years", G2271&lt;9, "6–8 Years", G2271&lt;12, "9-11 Years", G2271&gt;=12, "12-14 Years")</f>
        <v>12-14 Years</v>
      </c>
      <c r="J2271" s="7">
        <v>2</v>
      </c>
      <c r="K2271" t="s">
        <v>20</v>
      </c>
      <c r="L2271" s="7">
        <v>75900</v>
      </c>
      <c r="M2271" s="7">
        <v>8100</v>
      </c>
      <c r="N2271" s="7">
        <v>84000</v>
      </c>
      <c r="O2271" t="s">
        <v>21</v>
      </c>
      <c r="P2271" s="3">
        <v>41248</v>
      </c>
      <c r="Q2271" t="s">
        <v>28</v>
      </c>
    </row>
    <row r="2272" spans="1:17" x14ac:dyDescent="0.35">
      <c r="A2272" t="s">
        <v>2324</v>
      </c>
      <c r="B2272" t="s">
        <v>23</v>
      </c>
      <c r="C2272" s="7">
        <v>35</v>
      </c>
      <c r="D2272" t="s">
        <v>55</v>
      </c>
      <c r="E2272" t="s">
        <v>79</v>
      </c>
      <c r="F2272" t="s">
        <v>28</v>
      </c>
      <c r="G2272" s="9">
        <v>13.2</v>
      </c>
      <c r="H2272" s="7">
        <v>8.3000000000000007</v>
      </c>
      <c r="I2272" t="str" cm="1">
        <f t="array" ref="I2272">_xlfn.IFS(G2272&lt;3, "0–2 Years", G2272&lt;6, "3–5 Years", G2272&lt;9, "6–8 Years", G2272&lt;12, "9-11 Years", G2272&gt;=12, "12-14 Years")</f>
        <v>12-14 Years</v>
      </c>
      <c r="J2272" s="7">
        <v>4</v>
      </c>
      <c r="K2272" t="s">
        <v>20</v>
      </c>
      <c r="L2272" s="7">
        <v>70200</v>
      </c>
      <c r="M2272" s="7">
        <v>8000</v>
      </c>
      <c r="N2272" s="7">
        <v>78200</v>
      </c>
      <c r="O2272" t="s">
        <v>21</v>
      </c>
      <c r="P2272" s="3">
        <v>41209</v>
      </c>
      <c r="Q2272" t="s">
        <v>28</v>
      </c>
    </row>
    <row r="2273" spans="1:17" x14ac:dyDescent="0.35">
      <c r="A2273" t="s">
        <v>2325</v>
      </c>
      <c r="B2273" t="s">
        <v>16</v>
      </c>
      <c r="C2273">
        <v>40</v>
      </c>
      <c r="D2273" t="s">
        <v>55</v>
      </c>
      <c r="E2273" t="s">
        <v>79</v>
      </c>
      <c r="F2273" t="s">
        <v>36</v>
      </c>
      <c r="G2273">
        <v>4.2</v>
      </c>
      <c r="H2273">
        <v>1.9</v>
      </c>
      <c r="I2273" t="str" cm="1">
        <f t="array" ref="I2273">_xlfn.IFS(G2273&lt;3, "0–2 Years", G2273&lt;6, "3–5 Years", G2273&lt;9, "6–8 Years", G2273&lt;12, "9-11 Years", G2273&gt;=12, "12-14 Years")</f>
        <v>3–5 Years</v>
      </c>
      <c r="J2273">
        <v>3</v>
      </c>
      <c r="K2273" t="s">
        <v>20</v>
      </c>
      <c r="L2273">
        <v>63700</v>
      </c>
      <c r="M2273">
        <v>8100</v>
      </c>
      <c r="N2273">
        <v>71800</v>
      </c>
      <c r="O2273" t="s">
        <v>25</v>
      </c>
      <c r="P2273" s="3">
        <v>44486</v>
      </c>
      <c r="Q2273" t="s">
        <v>36</v>
      </c>
    </row>
    <row r="2274" spans="1:17" x14ac:dyDescent="0.35">
      <c r="A2274" t="s">
        <v>2326</v>
      </c>
      <c r="B2274" t="s">
        <v>16</v>
      </c>
      <c r="C2274">
        <v>44</v>
      </c>
      <c r="D2274" t="s">
        <v>44</v>
      </c>
      <c r="E2274" t="s">
        <v>51</v>
      </c>
      <c r="F2274" t="s">
        <v>28</v>
      </c>
      <c r="G2274">
        <v>5.3</v>
      </c>
      <c r="H2274">
        <v>2.7</v>
      </c>
      <c r="I2274" t="str" cm="1">
        <f t="array" ref="I2274">_xlfn.IFS(G2274&lt;3, "0–2 Years", G2274&lt;6, "3–5 Years", G2274&lt;9, "6–8 Years", G2274&lt;12, "9-11 Years", G2274&gt;=12, "12-14 Years")</f>
        <v>3–5 Years</v>
      </c>
      <c r="J2274">
        <v>4</v>
      </c>
      <c r="K2274" t="s">
        <v>20</v>
      </c>
      <c r="L2274">
        <v>80800</v>
      </c>
      <c r="M2274">
        <v>8100</v>
      </c>
      <c r="N2274">
        <v>88900</v>
      </c>
      <c r="O2274" t="s">
        <v>30</v>
      </c>
      <c r="P2274" s="3">
        <v>44088</v>
      </c>
      <c r="Q2274" t="s">
        <v>28</v>
      </c>
    </row>
    <row r="2275" spans="1:17" x14ac:dyDescent="0.35">
      <c r="A2275" t="s">
        <v>2327</v>
      </c>
      <c r="B2275" t="s">
        <v>23</v>
      </c>
      <c r="C2275">
        <v>30</v>
      </c>
      <c r="D2275" t="s">
        <v>34</v>
      </c>
      <c r="E2275" t="s">
        <v>59</v>
      </c>
      <c r="F2275" t="s">
        <v>28</v>
      </c>
      <c r="G2275">
        <v>6.5</v>
      </c>
      <c r="H2275">
        <v>4.2</v>
      </c>
      <c r="I2275" t="str" cm="1">
        <f t="array" ref="I2275">_xlfn.IFS(G2275&lt;3, "0–2 Years", G2275&lt;6, "3–5 Years", G2275&lt;9, "6–8 Years", G2275&lt;12, "9-11 Years", G2275&gt;=12, "12-14 Years")</f>
        <v>6–8 Years</v>
      </c>
      <c r="J2275">
        <v>4</v>
      </c>
      <c r="K2275" t="s">
        <v>24</v>
      </c>
      <c r="L2275">
        <v>61800</v>
      </c>
      <c r="M2275">
        <v>3200</v>
      </c>
      <c r="N2275">
        <v>65000</v>
      </c>
      <c r="O2275" t="s">
        <v>25</v>
      </c>
      <c r="P2275" s="3">
        <v>43632</v>
      </c>
      <c r="Q2275" t="s">
        <v>28</v>
      </c>
    </row>
    <row r="2276" spans="1:17" x14ac:dyDescent="0.35">
      <c r="A2276" t="s">
        <v>2328</v>
      </c>
      <c r="B2276" t="s">
        <v>16</v>
      </c>
      <c r="C2276">
        <v>23</v>
      </c>
      <c r="D2276" t="s">
        <v>55</v>
      </c>
      <c r="E2276" t="s">
        <v>56</v>
      </c>
      <c r="F2276" t="s">
        <v>36</v>
      </c>
      <c r="G2276">
        <v>8.8000000000000007</v>
      </c>
      <c r="H2276">
        <v>6.3</v>
      </c>
      <c r="I2276" t="str" cm="1">
        <f t="array" ref="I2276">_xlfn.IFS(G2276&lt;3, "0–2 Years", G2276&lt;6, "3–5 Years", G2276&lt;9, "6–8 Years", G2276&lt;12, "9-11 Years", G2276&gt;=12, "12-14 Years")</f>
        <v>6–8 Years</v>
      </c>
      <c r="J2276">
        <v>3</v>
      </c>
      <c r="K2276" t="s">
        <v>20</v>
      </c>
      <c r="L2276">
        <v>92200</v>
      </c>
      <c r="M2276">
        <v>8400</v>
      </c>
      <c r="N2276">
        <v>100600</v>
      </c>
      <c r="O2276" t="s">
        <v>30</v>
      </c>
      <c r="P2276" s="3">
        <v>42805</v>
      </c>
      <c r="Q2276" t="s">
        <v>36</v>
      </c>
    </row>
    <row r="2277" spans="1:17" x14ac:dyDescent="0.35">
      <c r="A2277" t="s">
        <v>2329</v>
      </c>
      <c r="B2277" t="s">
        <v>16</v>
      </c>
      <c r="C2277">
        <v>44</v>
      </c>
      <c r="D2277" t="s">
        <v>44</v>
      </c>
      <c r="E2277" t="s">
        <v>45</v>
      </c>
      <c r="F2277" t="s">
        <v>36</v>
      </c>
      <c r="G2277">
        <v>6.2</v>
      </c>
      <c r="H2277">
        <v>3.8</v>
      </c>
      <c r="I2277" t="str" cm="1">
        <f t="array" ref="I2277">_xlfn.IFS(G2277&lt;3, "0–2 Years", G2277&lt;6, "3–5 Years", G2277&lt;9, "6–8 Years", G2277&lt;12, "9-11 Years", G2277&gt;=12, "12-14 Years")</f>
        <v>6–8 Years</v>
      </c>
      <c r="J2277">
        <v>3</v>
      </c>
      <c r="K2277" t="s">
        <v>20</v>
      </c>
      <c r="L2277">
        <v>77500</v>
      </c>
      <c r="M2277">
        <v>5800</v>
      </c>
      <c r="N2277">
        <v>83300</v>
      </c>
      <c r="O2277" t="s">
        <v>21</v>
      </c>
      <c r="P2277" s="3">
        <v>43745</v>
      </c>
      <c r="Q2277" t="s">
        <v>36</v>
      </c>
    </row>
    <row r="2278" spans="1:17" x14ac:dyDescent="0.35">
      <c r="A2278" t="s">
        <v>2330</v>
      </c>
      <c r="B2278" t="s">
        <v>23</v>
      </c>
      <c r="C2278" s="7">
        <v>31</v>
      </c>
      <c r="D2278" t="s">
        <v>17</v>
      </c>
      <c r="E2278" t="s">
        <v>18</v>
      </c>
      <c r="F2278" t="s">
        <v>28</v>
      </c>
      <c r="G2278" s="9">
        <v>13.2</v>
      </c>
      <c r="H2278" s="7">
        <v>10</v>
      </c>
      <c r="I2278" t="str" cm="1">
        <f t="array" ref="I2278">_xlfn.IFS(G2278&lt;3, "0–2 Years", G2278&lt;6, "3–5 Years", G2278&lt;9, "6–8 Years", G2278&lt;12, "9-11 Years", G2278&gt;=12, "12-14 Years")</f>
        <v>12-14 Years</v>
      </c>
      <c r="J2278" s="7">
        <v>3</v>
      </c>
      <c r="K2278" t="s">
        <v>20</v>
      </c>
      <c r="L2278" s="7">
        <v>114800</v>
      </c>
      <c r="M2278" s="7">
        <v>14600</v>
      </c>
      <c r="N2278" s="7">
        <v>129400</v>
      </c>
      <c r="O2278" t="s">
        <v>57</v>
      </c>
      <c r="P2278" s="3">
        <v>41219</v>
      </c>
      <c r="Q2278" t="s">
        <v>28</v>
      </c>
    </row>
    <row r="2279" spans="1:17" x14ac:dyDescent="0.35">
      <c r="A2279" t="s">
        <v>2331</v>
      </c>
      <c r="B2279" t="s">
        <v>23</v>
      </c>
      <c r="C2279">
        <v>29</v>
      </c>
      <c r="D2279" t="s">
        <v>41</v>
      </c>
      <c r="E2279" t="s">
        <v>67</v>
      </c>
      <c r="F2279" t="s">
        <v>28</v>
      </c>
      <c r="G2279">
        <v>8.8000000000000007</v>
      </c>
      <c r="H2279">
        <v>3.9</v>
      </c>
      <c r="I2279" t="str" cm="1">
        <f t="array" ref="I2279">_xlfn.IFS(G2279&lt;3, "0–2 Years", G2279&lt;6, "3–5 Years", G2279&lt;9, "6–8 Years", G2279&lt;12, "9-11 Years", G2279&gt;=12, "12-14 Years")</f>
        <v>6–8 Years</v>
      </c>
      <c r="J2279">
        <v>3</v>
      </c>
      <c r="K2279" t="s">
        <v>20</v>
      </c>
      <c r="L2279">
        <v>71600</v>
      </c>
      <c r="M2279">
        <v>4700</v>
      </c>
      <c r="N2279">
        <v>76300</v>
      </c>
      <c r="O2279" t="s">
        <v>21</v>
      </c>
      <c r="P2279" s="3">
        <v>42822</v>
      </c>
      <c r="Q2279" t="s">
        <v>28</v>
      </c>
    </row>
    <row r="2280" spans="1:17" x14ac:dyDescent="0.35">
      <c r="A2280" t="s">
        <v>2332</v>
      </c>
      <c r="B2280" t="s">
        <v>23</v>
      </c>
      <c r="C2280">
        <v>31</v>
      </c>
      <c r="D2280" t="s">
        <v>55</v>
      </c>
      <c r="E2280" t="s">
        <v>92</v>
      </c>
      <c r="F2280" t="s">
        <v>36</v>
      </c>
      <c r="G2280">
        <v>5.8</v>
      </c>
      <c r="H2280">
        <v>1.8</v>
      </c>
      <c r="I2280" t="str" cm="1">
        <f t="array" ref="I2280">_xlfn.IFS(G2280&lt;3, "0–2 Years", G2280&lt;6, "3–5 Years", G2280&lt;9, "6–8 Years", G2280&lt;12, "9-11 Years", G2280&gt;=12, "12-14 Years")</f>
        <v>3–5 Years</v>
      </c>
      <c r="J2280">
        <v>4</v>
      </c>
      <c r="K2280" t="s">
        <v>24</v>
      </c>
      <c r="L2280">
        <v>61900</v>
      </c>
      <c r="M2280">
        <v>9300</v>
      </c>
      <c r="N2280">
        <v>71200</v>
      </c>
      <c r="O2280" t="s">
        <v>25</v>
      </c>
      <c r="P2280" s="3">
        <v>43887</v>
      </c>
      <c r="Q2280" t="s">
        <v>36</v>
      </c>
    </row>
    <row r="2281" spans="1:17" x14ac:dyDescent="0.35">
      <c r="A2281" t="s">
        <v>2333</v>
      </c>
      <c r="B2281" t="s">
        <v>16</v>
      </c>
      <c r="C2281">
        <v>44</v>
      </c>
      <c r="D2281" t="s">
        <v>41</v>
      </c>
      <c r="E2281" t="s">
        <v>42</v>
      </c>
      <c r="F2281" t="s">
        <v>19</v>
      </c>
      <c r="G2281">
        <v>10.3</v>
      </c>
      <c r="H2281">
        <v>7</v>
      </c>
      <c r="I2281" t="str" cm="1">
        <f t="array" ref="I2281">_xlfn.IFS(G2281&lt;3, "0–2 Years", G2281&lt;6, "3–5 Years", G2281&lt;9, "6–8 Years", G2281&lt;12, "9-11 Years", G2281&gt;=12, "12-14 Years")</f>
        <v>9-11 Years</v>
      </c>
      <c r="J2281">
        <v>4</v>
      </c>
      <c r="K2281" t="s">
        <v>20</v>
      </c>
      <c r="L2281">
        <v>68400</v>
      </c>
      <c r="M2281">
        <v>2300</v>
      </c>
      <c r="N2281">
        <v>70700</v>
      </c>
      <c r="O2281" t="s">
        <v>21</v>
      </c>
      <c r="P2281" s="3">
        <v>42277</v>
      </c>
      <c r="Q2281" t="s">
        <v>19</v>
      </c>
    </row>
    <row r="2282" spans="1:17" x14ac:dyDescent="0.35">
      <c r="A2282" t="s">
        <v>2334</v>
      </c>
      <c r="B2282" t="s">
        <v>16</v>
      </c>
      <c r="C2282">
        <v>32</v>
      </c>
      <c r="D2282" t="s">
        <v>38</v>
      </c>
      <c r="E2282" t="s">
        <v>112</v>
      </c>
      <c r="F2282" t="s">
        <v>28</v>
      </c>
      <c r="G2282">
        <v>3.6</v>
      </c>
      <c r="H2282">
        <v>2.7</v>
      </c>
      <c r="I2282" t="str" cm="1">
        <f t="array" ref="I2282">_xlfn.IFS(G2282&lt;3, "0–2 Years", G2282&lt;6, "3–5 Years", G2282&lt;9, "6–8 Years", G2282&lt;12, "9-11 Years", G2282&gt;=12, "12-14 Years")</f>
        <v>3–5 Years</v>
      </c>
      <c r="J2282">
        <v>3</v>
      </c>
      <c r="K2282" t="s">
        <v>20</v>
      </c>
      <c r="L2282">
        <v>60800</v>
      </c>
      <c r="M2282">
        <v>5200</v>
      </c>
      <c r="N2282">
        <v>66000</v>
      </c>
      <c r="O2282" t="s">
        <v>25</v>
      </c>
      <c r="P2282" s="3">
        <v>44700</v>
      </c>
      <c r="Q2282" t="s">
        <v>28</v>
      </c>
    </row>
    <row r="2283" spans="1:17" x14ac:dyDescent="0.35">
      <c r="A2283" t="s">
        <v>2335</v>
      </c>
      <c r="B2283" t="s">
        <v>23</v>
      </c>
      <c r="C2283">
        <v>33</v>
      </c>
      <c r="D2283" t="s">
        <v>44</v>
      </c>
      <c r="E2283" t="s">
        <v>45</v>
      </c>
      <c r="F2283" t="s">
        <v>36</v>
      </c>
      <c r="G2283">
        <v>9.8000000000000007</v>
      </c>
      <c r="H2283">
        <v>4.5999999999999996</v>
      </c>
      <c r="I2283" t="str" cm="1">
        <f t="array" ref="I2283">_xlfn.IFS(G2283&lt;3, "0–2 Years", G2283&lt;6, "3–5 Years", G2283&lt;9, "6–8 Years", G2283&lt;12, "9-11 Years", G2283&gt;=12, "12-14 Years")</f>
        <v>9-11 Years</v>
      </c>
      <c r="J2283">
        <v>3</v>
      </c>
      <c r="K2283" t="s">
        <v>20</v>
      </c>
      <c r="L2283">
        <v>82000</v>
      </c>
      <c r="M2283">
        <v>9700</v>
      </c>
      <c r="N2283">
        <v>91700</v>
      </c>
      <c r="O2283" t="s">
        <v>30</v>
      </c>
      <c r="P2283" s="3">
        <v>42427</v>
      </c>
      <c r="Q2283" t="s">
        <v>36</v>
      </c>
    </row>
    <row r="2284" spans="1:17" x14ac:dyDescent="0.35">
      <c r="A2284" t="s">
        <v>2336</v>
      </c>
      <c r="B2284" t="s">
        <v>16</v>
      </c>
      <c r="C2284">
        <v>39</v>
      </c>
      <c r="D2284" t="s">
        <v>41</v>
      </c>
      <c r="E2284" t="s">
        <v>67</v>
      </c>
      <c r="F2284" t="s">
        <v>28</v>
      </c>
      <c r="G2284">
        <v>11.6</v>
      </c>
      <c r="H2284">
        <v>7.2</v>
      </c>
      <c r="I2284" t="str" cm="1">
        <f t="array" ref="I2284">_xlfn.IFS(G2284&lt;3, "0–2 Years", G2284&lt;6, "3–5 Years", G2284&lt;9, "6–8 Years", G2284&lt;12, "9-11 Years", G2284&gt;=12, "12-14 Years")</f>
        <v>9-11 Years</v>
      </c>
      <c r="J2284">
        <v>4</v>
      </c>
      <c r="K2284" t="s">
        <v>20</v>
      </c>
      <c r="L2284">
        <v>74700</v>
      </c>
      <c r="M2284">
        <v>2400</v>
      </c>
      <c r="N2284">
        <v>77100</v>
      </c>
      <c r="O2284" t="s">
        <v>21</v>
      </c>
      <c r="P2284" s="3">
        <v>41772</v>
      </c>
      <c r="Q2284" t="s">
        <v>28</v>
      </c>
    </row>
    <row r="2285" spans="1:17" x14ac:dyDescent="0.35">
      <c r="A2285" t="s">
        <v>2337</v>
      </c>
      <c r="B2285" t="s">
        <v>23</v>
      </c>
      <c r="C2285">
        <v>37</v>
      </c>
      <c r="D2285" t="s">
        <v>17</v>
      </c>
      <c r="E2285" t="s">
        <v>32</v>
      </c>
      <c r="F2285" t="s">
        <v>28</v>
      </c>
      <c r="G2285">
        <v>4.3</v>
      </c>
      <c r="H2285">
        <v>3</v>
      </c>
      <c r="I2285" t="str" cm="1">
        <f t="array" ref="I2285">_xlfn.IFS(G2285&lt;3, "0–2 Years", G2285&lt;6, "3–5 Years", G2285&lt;9, "6–8 Years", G2285&lt;12, "9-11 Years", G2285&gt;=12, "12-14 Years")</f>
        <v>3–5 Years</v>
      </c>
      <c r="J2285">
        <v>3</v>
      </c>
      <c r="K2285" t="s">
        <v>24</v>
      </c>
      <c r="L2285">
        <v>40300</v>
      </c>
      <c r="M2285">
        <v>3900</v>
      </c>
      <c r="N2285">
        <v>44200</v>
      </c>
      <c r="O2285" t="s">
        <v>65</v>
      </c>
      <c r="P2285" s="3">
        <v>44450</v>
      </c>
      <c r="Q2285" t="s">
        <v>28</v>
      </c>
    </row>
    <row r="2286" spans="1:17" x14ac:dyDescent="0.35">
      <c r="A2286" t="s">
        <v>2338</v>
      </c>
      <c r="B2286" t="s">
        <v>16</v>
      </c>
      <c r="C2286">
        <v>42</v>
      </c>
      <c r="D2286" t="s">
        <v>17</v>
      </c>
      <c r="E2286" t="s">
        <v>32</v>
      </c>
      <c r="F2286" t="s">
        <v>36</v>
      </c>
      <c r="G2286">
        <v>4.8</v>
      </c>
      <c r="H2286">
        <v>4.8</v>
      </c>
      <c r="I2286" t="str" cm="1">
        <f t="array" ref="I2286">_xlfn.IFS(G2286&lt;3, "0–2 Years", G2286&lt;6, "3–5 Years", G2286&lt;9, "6–8 Years", G2286&lt;12, "9-11 Years", G2286&gt;=12, "12-14 Years")</f>
        <v>3–5 Years</v>
      </c>
      <c r="J2286">
        <v>4</v>
      </c>
      <c r="K2286" t="s">
        <v>20</v>
      </c>
      <c r="L2286">
        <v>79400</v>
      </c>
      <c r="M2286">
        <v>8300</v>
      </c>
      <c r="N2286">
        <v>87700</v>
      </c>
      <c r="O2286" t="s">
        <v>21</v>
      </c>
      <c r="P2286" s="3">
        <v>44270</v>
      </c>
      <c r="Q2286" t="s">
        <v>36</v>
      </c>
    </row>
    <row r="2287" spans="1:17" x14ac:dyDescent="0.35">
      <c r="A2287" t="s">
        <v>2339</v>
      </c>
      <c r="B2287" t="s">
        <v>23</v>
      </c>
      <c r="C2287">
        <v>40</v>
      </c>
      <c r="D2287" t="s">
        <v>34</v>
      </c>
      <c r="E2287" t="s">
        <v>47</v>
      </c>
      <c r="F2287" t="s">
        <v>28</v>
      </c>
      <c r="G2287">
        <v>6.5</v>
      </c>
      <c r="H2287">
        <v>6</v>
      </c>
      <c r="I2287" t="str" cm="1">
        <f t="array" ref="I2287">_xlfn.IFS(G2287&lt;3, "0–2 Years", G2287&lt;6, "3–5 Years", G2287&lt;9, "6–8 Years", G2287&lt;12, "9-11 Years", G2287&gt;=12, "12-14 Years")</f>
        <v>6–8 Years</v>
      </c>
      <c r="J2287">
        <v>3</v>
      </c>
      <c r="K2287" t="s">
        <v>20</v>
      </c>
      <c r="L2287">
        <v>67900</v>
      </c>
      <c r="M2287">
        <v>4000</v>
      </c>
      <c r="N2287">
        <v>71900</v>
      </c>
      <c r="O2287" t="s">
        <v>21</v>
      </c>
      <c r="P2287" s="3">
        <v>43634</v>
      </c>
      <c r="Q2287" t="s">
        <v>28</v>
      </c>
    </row>
    <row r="2288" spans="1:17" x14ac:dyDescent="0.35">
      <c r="A2288" t="s">
        <v>2340</v>
      </c>
      <c r="B2288" t="s">
        <v>23</v>
      </c>
      <c r="C2288">
        <v>37</v>
      </c>
      <c r="D2288" t="s">
        <v>38</v>
      </c>
      <c r="E2288" t="s">
        <v>112</v>
      </c>
      <c r="F2288" t="s">
        <v>28</v>
      </c>
      <c r="G2288">
        <v>5.2</v>
      </c>
      <c r="H2288">
        <v>2</v>
      </c>
      <c r="I2288" t="str" cm="1">
        <f t="array" ref="I2288">_xlfn.IFS(G2288&lt;3, "0–2 Years", G2288&lt;6, "3–5 Years", G2288&lt;9, "6–8 Years", G2288&lt;12, "9-11 Years", G2288&gt;=12, "12-14 Years")</f>
        <v>3–5 Years</v>
      </c>
      <c r="J2288">
        <v>1</v>
      </c>
      <c r="K2288" t="s">
        <v>20</v>
      </c>
      <c r="L2288">
        <v>67600</v>
      </c>
      <c r="M2288">
        <v>4300</v>
      </c>
      <c r="N2288">
        <v>71900</v>
      </c>
      <c r="O2288" t="s">
        <v>21</v>
      </c>
      <c r="P2288" s="3">
        <v>44113</v>
      </c>
      <c r="Q2288" t="s">
        <v>28</v>
      </c>
    </row>
    <row r="2289" spans="1:17" x14ac:dyDescent="0.35">
      <c r="A2289" t="s">
        <v>2341</v>
      </c>
      <c r="B2289" t="s">
        <v>23</v>
      </c>
      <c r="C2289">
        <v>33</v>
      </c>
      <c r="D2289" t="s">
        <v>38</v>
      </c>
      <c r="E2289" t="s">
        <v>61</v>
      </c>
      <c r="F2289" t="s">
        <v>28</v>
      </c>
      <c r="G2289">
        <v>6</v>
      </c>
      <c r="H2289">
        <v>4</v>
      </c>
      <c r="I2289" t="str" cm="1">
        <f t="array" ref="I2289">_xlfn.IFS(G2289&lt;3, "0–2 Years", G2289&lt;6, "3–5 Years", G2289&lt;9, "6–8 Years", G2289&lt;12, "9-11 Years", G2289&gt;=12, "12-14 Years")</f>
        <v>6–8 Years</v>
      </c>
      <c r="J2289">
        <v>3</v>
      </c>
      <c r="K2289" t="s">
        <v>20</v>
      </c>
      <c r="L2289">
        <v>108800</v>
      </c>
      <c r="M2289">
        <v>10000</v>
      </c>
      <c r="N2289">
        <v>118800</v>
      </c>
      <c r="O2289" t="s">
        <v>57</v>
      </c>
      <c r="P2289" s="3">
        <v>43814</v>
      </c>
      <c r="Q2289" t="s">
        <v>28</v>
      </c>
    </row>
    <row r="2290" spans="1:17" x14ac:dyDescent="0.35">
      <c r="A2290" t="s">
        <v>2342</v>
      </c>
      <c r="B2290" t="s">
        <v>16</v>
      </c>
      <c r="C2290">
        <v>27</v>
      </c>
      <c r="D2290" t="s">
        <v>34</v>
      </c>
      <c r="E2290" t="s">
        <v>35</v>
      </c>
      <c r="F2290" t="s">
        <v>36</v>
      </c>
      <c r="G2290">
        <v>7.8</v>
      </c>
      <c r="H2290">
        <v>5.6</v>
      </c>
      <c r="I2290" t="str" cm="1">
        <f t="array" ref="I2290">_xlfn.IFS(G2290&lt;3, "0–2 Years", G2290&lt;6, "3–5 Years", G2290&lt;9, "6–8 Years", G2290&lt;12, "9-11 Years", G2290&gt;=12, "12-14 Years")</f>
        <v>6–8 Years</v>
      </c>
      <c r="J2290">
        <v>4</v>
      </c>
      <c r="K2290" t="s">
        <v>20</v>
      </c>
      <c r="L2290">
        <v>83000</v>
      </c>
      <c r="M2290">
        <v>4300</v>
      </c>
      <c r="N2290">
        <v>87300</v>
      </c>
      <c r="O2290" t="s">
        <v>30</v>
      </c>
      <c r="P2290" s="3">
        <v>43164</v>
      </c>
      <c r="Q2290" t="s">
        <v>36</v>
      </c>
    </row>
    <row r="2291" spans="1:17" x14ac:dyDescent="0.35">
      <c r="A2291" t="s">
        <v>2343</v>
      </c>
      <c r="B2291" t="s">
        <v>23</v>
      </c>
      <c r="C2291">
        <v>41</v>
      </c>
      <c r="D2291" t="s">
        <v>41</v>
      </c>
      <c r="E2291" t="s">
        <v>67</v>
      </c>
      <c r="F2291" t="s">
        <v>28</v>
      </c>
      <c r="G2291">
        <v>2.1</v>
      </c>
      <c r="H2291">
        <v>2.1</v>
      </c>
      <c r="I2291" t="str" cm="1">
        <f t="array" ref="I2291">_xlfn.IFS(G2291&lt;3, "0–2 Years", G2291&lt;6, "3–5 Years", G2291&lt;9, "6–8 Years", G2291&lt;12, "9-11 Years", G2291&gt;=12, "12-14 Years")</f>
        <v>0–2 Years</v>
      </c>
      <c r="J2291">
        <v>2</v>
      </c>
      <c r="K2291" t="s">
        <v>20</v>
      </c>
      <c r="L2291">
        <v>64900</v>
      </c>
      <c r="M2291">
        <v>4500</v>
      </c>
      <c r="N2291">
        <v>69400</v>
      </c>
      <c r="O2291" t="s">
        <v>25</v>
      </c>
      <c r="P2291" s="3">
        <v>45259</v>
      </c>
      <c r="Q2291" t="s">
        <v>28</v>
      </c>
    </row>
    <row r="2292" spans="1:17" x14ac:dyDescent="0.35">
      <c r="A2292" t="s">
        <v>2344</v>
      </c>
      <c r="B2292" t="s">
        <v>23</v>
      </c>
      <c r="C2292">
        <v>47</v>
      </c>
      <c r="D2292" t="s">
        <v>44</v>
      </c>
      <c r="E2292" t="s">
        <v>81</v>
      </c>
      <c r="F2292" t="s">
        <v>28</v>
      </c>
      <c r="G2292">
        <v>11.5</v>
      </c>
      <c r="H2292">
        <v>8.8000000000000007</v>
      </c>
      <c r="I2292" t="str" cm="1">
        <f t="array" ref="I2292">_xlfn.IFS(G2292&lt;3, "0–2 Years", G2292&lt;6, "3–5 Years", G2292&lt;9, "6–8 Years", G2292&lt;12, "9-11 Years", G2292&gt;=12, "12-14 Years")</f>
        <v>9-11 Years</v>
      </c>
      <c r="J2292">
        <v>4</v>
      </c>
      <c r="K2292" t="s">
        <v>24</v>
      </c>
      <c r="L2292">
        <v>64600</v>
      </c>
      <c r="M2292">
        <v>7300</v>
      </c>
      <c r="N2292">
        <v>71900</v>
      </c>
      <c r="O2292" t="s">
        <v>25</v>
      </c>
      <c r="P2292" s="3">
        <v>41813</v>
      </c>
      <c r="Q2292" t="s">
        <v>28</v>
      </c>
    </row>
    <row r="2293" spans="1:17" x14ac:dyDescent="0.35">
      <c r="A2293" t="s">
        <v>2345</v>
      </c>
      <c r="B2293" t="s">
        <v>16</v>
      </c>
      <c r="C2293">
        <v>47</v>
      </c>
      <c r="D2293" t="s">
        <v>38</v>
      </c>
      <c r="E2293" t="s">
        <v>61</v>
      </c>
      <c r="F2293" t="s">
        <v>36</v>
      </c>
      <c r="G2293">
        <v>4.4000000000000004</v>
      </c>
      <c r="H2293">
        <v>2.2000000000000002</v>
      </c>
      <c r="I2293" t="str" cm="1">
        <f t="array" ref="I2293">_xlfn.IFS(G2293&lt;3, "0–2 Years", G2293&lt;6, "3–5 Years", G2293&lt;9, "6–8 Years", G2293&lt;12, "9-11 Years", G2293&gt;=12, "12-14 Years")</f>
        <v>3–5 Years</v>
      </c>
      <c r="J2293">
        <v>3</v>
      </c>
      <c r="K2293" t="s">
        <v>20</v>
      </c>
      <c r="L2293">
        <v>110300</v>
      </c>
      <c r="M2293">
        <v>5000</v>
      </c>
      <c r="N2293">
        <v>115300</v>
      </c>
      <c r="O2293" t="s">
        <v>57</v>
      </c>
      <c r="P2293" s="3">
        <v>44426</v>
      </c>
      <c r="Q2293" t="s">
        <v>36</v>
      </c>
    </row>
    <row r="2294" spans="1:17" x14ac:dyDescent="0.35">
      <c r="A2294" t="s">
        <v>2346</v>
      </c>
      <c r="B2294" t="s">
        <v>16</v>
      </c>
      <c r="C2294" s="7">
        <v>34</v>
      </c>
      <c r="D2294" t="s">
        <v>55</v>
      </c>
      <c r="E2294" t="s">
        <v>92</v>
      </c>
      <c r="F2294" t="s">
        <v>36</v>
      </c>
      <c r="G2294" s="9">
        <v>12</v>
      </c>
      <c r="H2294" s="7">
        <v>7.6</v>
      </c>
      <c r="I2294" t="str" cm="1">
        <f t="array" ref="I2294">_xlfn.IFS(G2294&lt;3, "0–2 Years", G2294&lt;6, "3–5 Years", G2294&lt;9, "6–8 Years", G2294&lt;12, "9-11 Years", G2294&gt;=12, "12-14 Years")</f>
        <v>12-14 Years</v>
      </c>
      <c r="J2294" s="7">
        <v>2</v>
      </c>
      <c r="K2294" t="s">
        <v>20</v>
      </c>
      <c r="L2294" s="7">
        <v>121500</v>
      </c>
      <c r="M2294" s="7">
        <v>20100</v>
      </c>
      <c r="N2294" s="7">
        <v>141600</v>
      </c>
      <c r="O2294" t="s">
        <v>57</v>
      </c>
      <c r="P2294" s="3">
        <v>41646</v>
      </c>
      <c r="Q2294" t="s">
        <v>36</v>
      </c>
    </row>
    <row r="2295" spans="1:17" x14ac:dyDescent="0.35">
      <c r="A2295" t="s">
        <v>2347</v>
      </c>
      <c r="B2295" t="s">
        <v>16</v>
      </c>
      <c r="C2295">
        <v>28</v>
      </c>
      <c r="D2295" t="s">
        <v>34</v>
      </c>
      <c r="E2295" t="s">
        <v>35</v>
      </c>
      <c r="F2295" t="s">
        <v>28</v>
      </c>
      <c r="G2295">
        <v>3.9</v>
      </c>
      <c r="H2295">
        <v>1.5</v>
      </c>
      <c r="I2295" t="str" cm="1">
        <f t="array" ref="I2295">_xlfn.IFS(G2295&lt;3, "0–2 Years", G2295&lt;6, "3–5 Years", G2295&lt;9, "6–8 Years", G2295&lt;12, "9-11 Years", G2295&gt;=12, "12-14 Years")</f>
        <v>3–5 Years</v>
      </c>
      <c r="J2295">
        <v>4</v>
      </c>
      <c r="K2295" t="s">
        <v>20</v>
      </c>
      <c r="L2295">
        <v>83800</v>
      </c>
      <c r="M2295">
        <v>8700</v>
      </c>
      <c r="N2295">
        <v>92500</v>
      </c>
      <c r="O2295" t="s">
        <v>30</v>
      </c>
      <c r="P2295" s="3">
        <v>44583</v>
      </c>
      <c r="Q2295" t="s">
        <v>28</v>
      </c>
    </row>
    <row r="2296" spans="1:17" x14ac:dyDescent="0.35">
      <c r="A2296" t="s">
        <v>2348</v>
      </c>
      <c r="B2296" t="s">
        <v>16</v>
      </c>
      <c r="C2296">
        <v>36</v>
      </c>
      <c r="D2296" t="s">
        <v>55</v>
      </c>
      <c r="E2296" t="s">
        <v>92</v>
      </c>
      <c r="F2296" t="s">
        <v>28</v>
      </c>
      <c r="G2296">
        <v>7.8</v>
      </c>
      <c r="H2296">
        <v>4.9000000000000004</v>
      </c>
      <c r="I2296" t="str" cm="1">
        <f t="array" ref="I2296">_xlfn.IFS(G2296&lt;3, "0–2 Years", G2296&lt;6, "3–5 Years", G2296&lt;9, "6–8 Years", G2296&lt;12, "9-11 Years", G2296&gt;=12, "12-14 Years")</f>
        <v>6–8 Years</v>
      </c>
      <c r="J2296">
        <v>3</v>
      </c>
      <c r="K2296" t="s">
        <v>20</v>
      </c>
      <c r="L2296">
        <v>95200</v>
      </c>
      <c r="M2296">
        <v>19500</v>
      </c>
      <c r="N2296">
        <v>114700</v>
      </c>
      <c r="O2296" t="s">
        <v>30</v>
      </c>
      <c r="P2296" s="3">
        <v>43178</v>
      </c>
      <c r="Q2296" t="s">
        <v>28</v>
      </c>
    </row>
    <row r="2297" spans="1:17" x14ac:dyDescent="0.35">
      <c r="A2297" t="s">
        <v>2349</v>
      </c>
      <c r="B2297" t="s">
        <v>16</v>
      </c>
      <c r="C2297">
        <v>21</v>
      </c>
      <c r="D2297" t="s">
        <v>55</v>
      </c>
      <c r="E2297" t="s">
        <v>79</v>
      </c>
      <c r="F2297" t="s">
        <v>36</v>
      </c>
      <c r="G2297">
        <v>1.9</v>
      </c>
      <c r="H2297">
        <v>1.9</v>
      </c>
      <c r="I2297" t="str" cm="1">
        <f t="array" ref="I2297">_xlfn.IFS(G2297&lt;3, "0–2 Years", G2297&lt;6, "3–5 Years", G2297&lt;9, "6–8 Years", G2297&lt;12, "9-11 Years", G2297&gt;=12, "12-14 Years")</f>
        <v>0–2 Years</v>
      </c>
      <c r="J2297">
        <v>4</v>
      </c>
      <c r="K2297" t="s">
        <v>20</v>
      </c>
      <c r="L2297">
        <v>72000</v>
      </c>
      <c r="M2297">
        <v>9300</v>
      </c>
      <c r="N2297">
        <v>81300</v>
      </c>
      <c r="O2297" t="s">
        <v>21</v>
      </c>
      <c r="P2297" s="3">
        <v>45315</v>
      </c>
      <c r="Q2297" t="s">
        <v>36</v>
      </c>
    </row>
    <row r="2298" spans="1:17" x14ac:dyDescent="0.35">
      <c r="A2298" t="s">
        <v>2350</v>
      </c>
      <c r="B2298" t="s">
        <v>16</v>
      </c>
      <c r="C2298">
        <v>34</v>
      </c>
      <c r="D2298" t="s">
        <v>41</v>
      </c>
      <c r="E2298" t="s">
        <v>73</v>
      </c>
      <c r="F2298" t="s">
        <v>28</v>
      </c>
      <c r="G2298">
        <v>3.9</v>
      </c>
      <c r="H2298">
        <v>3.3</v>
      </c>
      <c r="I2298" t="str" cm="1">
        <f t="array" ref="I2298">_xlfn.IFS(G2298&lt;3, "0–2 Years", G2298&lt;6, "3–5 Years", G2298&lt;9, "6–8 Years", G2298&lt;12, "9-11 Years", G2298&gt;=12, "12-14 Years")</f>
        <v>3–5 Years</v>
      </c>
      <c r="J2298">
        <v>4</v>
      </c>
      <c r="K2298" t="s">
        <v>20</v>
      </c>
      <c r="L2298">
        <v>112300</v>
      </c>
      <c r="M2298">
        <v>9400</v>
      </c>
      <c r="N2298">
        <v>121700</v>
      </c>
      <c r="O2298" t="s">
        <v>57</v>
      </c>
      <c r="P2298" s="3">
        <v>44601</v>
      </c>
      <c r="Q2298" t="s">
        <v>28</v>
      </c>
    </row>
    <row r="2299" spans="1:17" x14ac:dyDescent="0.35">
      <c r="A2299" t="s">
        <v>2351</v>
      </c>
      <c r="B2299" t="s">
        <v>23</v>
      </c>
      <c r="C2299">
        <v>34</v>
      </c>
      <c r="D2299" t="s">
        <v>17</v>
      </c>
      <c r="E2299" t="s">
        <v>27</v>
      </c>
      <c r="F2299" t="s">
        <v>28</v>
      </c>
      <c r="G2299">
        <v>8.6</v>
      </c>
      <c r="I2299" t="str" cm="1">
        <f t="array" ref="I2299">_xlfn.IFS(G2299&lt;3, "0–2 Years", G2299&lt;6, "3–5 Years", G2299&lt;9, "6–8 Years", G2299&lt;12, "9-11 Years", G2299&gt;=12, "12-14 Years")</f>
        <v>6–8 Years</v>
      </c>
      <c r="J2299">
        <v>1</v>
      </c>
      <c r="K2299" t="s">
        <v>20</v>
      </c>
      <c r="L2299">
        <v>66400</v>
      </c>
      <c r="M2299">
        <v>8200</v>
      </c>
      <c r="N2299">
        <v>74600</v>
      </c>
      <c r="O2299" t="s">
        <v>21</v>
      </c>
      <c r="P2299" s="3">
        <v>42898</v>
      </c>
      <c r="Q2299" t="s">
        <v>28</v>
      </c>
    </row>
    <row r="2300" spans="1:17" x14ac:dyDescent="0.35">
      <c r="A2300" t="s">
        <v>2352</v>
      </c>
      <c r="B2300" t="s">
        <v>23</v>
      </c>
      <c r="C2300" s="7">
        <v>21</v>
      </c>
      <c r="D2300" t="s">
        <v>44</v>
      </c>
      <c r="E2300" t="s">
        <v>81</v>
      </c>
      <c r="F2300" t="s">
        <v>36</v>
      </c>
      <c r="G2300" s="9">
        <v>13.2</v>
      </c>
      <c r="H2300" s="7">
        <v>7.3</v>
      </c>
      <c r="I2300" t="str" cm="1">
        <f t="array" ref="I2300">_xlfn.IFS(G2300&lt;3, "0–2 Years", G2300&lt;6, "3–5 Years", G2300&lt;9, "6–8 Years", G2300&lt;12, "9-11 Years", G2300&gt;=12, "12-14 Years")</f>
        <v>12-14 Years</v>
      </c>
      <c r="J2300" s="7">
        <v>5</v>
      </c>
      <c r="K2300" t="s">
        <v>20</v>
      </c>
      <c r="L2300" s="7">
        <v>103500</v>
      </c>
      <c r="M2300" s="7">
        <v>10100</v>
      </c>
      <c r="N2300" s="7">
        <v>113600</v>
      </c>
      <c r="O2300" t="s">
        <v>57</v>
      </c>
      <c r="P2300" s="3">
        <v>41213</v>
      </c>
      <c r="Q2300" t="s">
        <v>36</v>
      </c>
    </row>
    <row r="2301" spans="1:17" x14ac:dyDescent="0.35">
      <c r="A2301" t="s">
        <v>2353</v>
      </c>
      <c r="B2301" t="s">
        <v>23</v>
      </c>
      <c r="C2301">
        <v>38</v>
      </c>
      <c r="D2301" t="s">
        <v>41</v>
      </c>
      <c r="E2301" t="s">
        <v>67</v>
      </c>
      <c r="F2301" t="s">
        <v>36</v>
      </c>
      <c r="G2301">
        <v>8.3000000000000007</v>
      </c>
      <c r="H2301">
        <v>6.3</v>
      </c>
      <c r="I2301" t="str" cm="1">
        <f t="array" ref="I2301">_xlfn.IFS(G2301&lt;3, "0–2 Years", G2301&lt;6, "3–5 Years", G2301&lt;9, "6–8 Years", G2301&lt;12, "9-11 Years", G2301&gt;=12, "12-14 Years")</f>
        <v>6–8 Years</v>
      </c>
      <c r="J2301">
        <v>4</v>
      </c>
      <c r="K2301" t="s">
        <v>20</v>
      </c>
      <c r="L2301">
        <v>81600</v>
      </c>
      <c r="M2301">
        <v>5500</v>
      </c>
      <c r="N2301">
        <v>87100</v>
      </c>
      <c r="O2301" t="s">
        <v>30</v>
      </c>
      <c r="P2301" s="3">
        <v>42993</v>
      </c>
      <c r="Q2301" t="s">
        <v>36</v>
      </c>
    </row>
    <row r="2302" spans="1:17" x14ac:dyDescent="0.35">
      <c r="A2302" t="s">
        <v>2354</v>
      </c>
      <c r="B2302" t="s">
        <v>23</v>
      </c>
      <c r="C2302">
        <v>47</v>
      </c>
      <c r="D2302" t="s">
        <v>17</v>
      </c>
      <c r="E2302" t="s">
        <v>32</v>
      </c>
      <c r="F2302" t="s">
        <v>62</v>
      </c>
      <c r="G2302">
        <v>10.199999999999999</v>
      </c>
      <c r="H2302">
        <v>4.9000000000000004</v>
      </c>
      <c r="I2302" t="str" cm="1">
        <f t="array" ref="I2302">_xlfn.IFS(G2302&lt;3, "0–2 Years", G2302&lt;6, "3–5 Years", G2302&lt;9, "6–8 Years", G2302&lt;12, "9-11 Years", G2302&gt;=12, "12-14 Years")</f>
        <v>9-11 Years</v>
      </c>
      <c r="J2302">
        <v>3</v>
      </c>
      <c r="K2302" t="s">
        <v>20</v>
      </c>
      <c r="L2302">
        <v>73800</v>
      </c>
      <c r="M2302">
        <v>7000</v>
      </c>
      <c r="N2302">
        <v>80800</v>
      </c>
      <c r="O2302" t="s">
        <v>21</v>
      </c>
      <c r="P2302" s="3">
        <v>42281</v>
      </c>
      <c r="Q2302" t="s">
        <v>62</v>
      </c>
    </row>
    <row r="2303" spans="1:17" x14ac:dyDescent="0.35">
      <c r="A2303" t="s">
        <v>2355</v>
      </c>
      <c r="B2303" t="s">
        <v>16</v>
      </c>
      <c r="C2303">
        <v>27</v>
      </c>
      <c r="D2303" t="s">
        <v>55</v>
      </c>
      <c r="E2303" t="s">
        <v>92</v>
      </c>
      <c r="F2303" t="s">
        <v>19</v>
      </c>
      <c r="G2303">
        <v>2.6</v>
      </c>
      <c r="H2303">
        <v>0</v>
      </c>
      <c r="I2303" t="str" cm="1">
        <f t="array" ref="I2303">_xlfn.IFS(G2303&lt;3, "0–2 Years", G2303&lt;6, "3–5 Years", G2303&lt;9, "6–8 Years", G2303&lt;12, "9-11 Years", G2303&gt;=12, "12-14 Years")</f>
        <v>0–2 Years</v>
      </c>
      <c r="J2303">
        <v>3</v>
      </c>
      <c r="K2303" t="s">
        <v>20</v>
      </c>
      <c r="L2303">
        <v>95500</v>
      </c>
      <c r="M2303">
        <v>19100</v>
      </c>
      <c r="N2303">
        <v>114600</v>
      </c>
      <c r="O2303" t="s">
        <v>30</v>
      </c>
      <c r="P2303" s="3">
        <v>45065</v>
      </c>
      <c r="Q2303" t="s">
        <v>19</v>
      </c>
    </row>
    <row r="2304" spans="1:17" x14ac:dyDescent="0.35">
      <c r="A2304" t="s">
        <v>2356</v>
      </c>
      <c r="B2304" t="s">
        <v>16</v>
      </c>
      <c r="C2304">
        <v>35</v>
      </c>
      <c r="D2304" t="s">
        <v>38</v>
      </c>
      <c r="E2304" t="s">
        <v>39</v>
      </c>
      <c r="F2304" t="s">
        <v>28</v>
      </c>
      <c r="G2304">
        <v>4.0999999999999996</v>
      </c>
      <c r="H2304">
        <v>2.1</v>
      </c>
      <c r="I2304" t="str" cm="1">
        <f t="array" ref="I2304">_xlfn.IFS(G2304&lt;3, "0–2 Years", G2304&lt;6, "3–5 Years", G2304&lt;9, "6–8 Years", G2304&lt;12, "9-11 Years", G2304&gt;=12, "12-14 Years")</f>
        <v>3–5 Years</v>
      </c>
      <c r="J2304">
        <v>3</v>
      </c>
      <c r="K2304" t="s">
        <v>20</v>
      </c>
      <c r="L2304">
        <v>79800</v>
      </c>
      <c r="M2304">
        <v>8200</v>
      </c>
      <c r="N2304">
        <v>88000</v>
      </c>
      <c r="O2304" t="s">
        <v>21</v>
      </c>
      <c r="P2304" s="3">
        <v>44541</v>
      </c>
      <c r="Q2304" t="s">
        <v>28</v>
      </c>
    </row>
    <row r="2305" spans="1:17" x14ac:dyDescent="0.35">
      <c r="A2305" t="s">
        <v>2357</v>
      </c>
      <c r="B2305" t="s">
        <v>16</v>
      </c>
      <c r="C2305">
        <v>37</v>
      </c>
      <c r="D2305" t="s">
        <v>34</v>
      </c>
      <c r="E2305" t="s">
        <v>47</v>
      </c>
      <c r="F2305" t="s">
        <v>28</v>
      </c>
      <c r="G2305">
        <v>7</v>
      </c>
      <c r="H2305">
        <v>3.8</v>
      </c>
      <c r="I2305" t="str" cm="1">
        <f t="array" ref="I2305">_xlfn.IFS(G2305&lt;3, "0–2 Years", G2305&lt;6, "3–5 Years", G2305&lt;9, "6–8 Years", G2305&lt;12, "9-11 Years", G2305&gt;=12, "12-14 Years")</f>
        <v>6–8 Years</v>
      </c>
      <c r="J2305">
        <v>4</v>
      </c>
      <c r="K2305" t="s">
        <v>24</v>
      </c>
      <c r="L2305">
        <v>56200</v>
      </c>
      <c r="M2305">
        <v>5200</v>
      </c>
      <c r="N2305">
        <v>61400</v>
      </c>
      <c r="O2305" t="s">
        <v>25</v>
      </c>
      <c r="P2305" s="3">
        <v>43457</v>
      </c>
      <c r="Q2305" t="s">
        <v>28</v>
      </c>
    </row>
    <row r="2306" spans="1:17" x14ac:dyDescent="0.35">
      <c r="A2306" t="s">
        <v>2358</v>
      </c>
      <c r="B2306" t="s">
        <v>23</v>
      </c>
      <c r="C2306">
        <v>27</v>
      </c>
      <c r="D2306" t="s">
        <v>17</v>
      </c>
      <c r="E2306" t="s">
        <v>27</v>
      </c>
      <c r="F2306" t="s">
        <v>36</v>
      </c>
      <c r="G2306">
        <v>8.1</v>
      </c>
      <c r="H2306">
        <v>5.7</v>
      </c>
      <c r="I2306" t="str" cm="1">
        <f t="array" ref="I2306">_xlfn.IFS(G2306&lt;3, "0–2 Years", G2306&lt;6, "3–5 Years", G2306&lt;9, "6–8 Years", G2306&lt;12, "9-11 Years", G2306&gt;=12, "12-14 Years")</f>
        <v>6–8 Years</v>
      </c>
      <c r="J2306">
        <v>5</v>
      </c>
      <c r="K2306" t="s">
        <v>20</v>
      </c>
      <c r="L2306">
        <v>96700</v>
      </c>
      <c r="M2306">
        <v>12700</v>
      </c>
      <c r="N2306">
        <v>109400</v>
      </c>
      <c r="O2306" t="s">
        <v>30</v>
      </c>
      <c r="P2306" s="3">
        <v>43050</v>
      </c>
      <c r="Q2306" t="s">
        <v>36</v>
      </c>
    </row>
    <row r="2307" spans="1:17" x14ac:dyDescent="0.35">
      <c r="A2307" t="s">
        <v>2359</v>
      </c>
      <c r="B2307" t="s">
        <v>16</v>
      </c>
      <c r="C2307" s="7">
        <v>43</v>
      </c>
      <c r="D2307" t="s">
        <v>55</v>
      </c>
      <c r="E2307" t="s">
        <v>56</v>
      </c>
      <c r="F2307" t="s">
        <v>36</v>
      </c>
      <c r="G2307" s="9">
        <v>13</v>
      </c>
      <c r="H2307" s="7">
        <v>8.3000000000000007</v>
      </c>
      <c r="I2307" t="str" cm="1">
        <f t="array" ref="I2307">_xlfn.IFS(G2307&lt;3, "0–2 Years", G2307&lt;6, "3–5 Years", G2307&lt;9, "6–8 Years", G2307&lt;12, "9-11 Years", G2307&gt;=12, "12-14 Years")</f>
        <v>12-14 Years</v>
      </c>
      <c r="J2307" s="7">
        <v>2</v>
      </c>
      <c r="K2307" t="s">
        <v>20</v>
      </c>
      <c r="L2307" s="7">
        <v>106200</v>
      </c>
      <c r="M2307" s="7">
        <v>13500</v>
      </c>
      <c r="N2307" s="7">
        <v>119700</v>
      </c>
      <c r="O2307" t="s">
        <v>57</v>
      </c>
      <c r="P2307" s="3">
        <v>41280</v>
      </c>
      <c r="Q2307" t="s">
        <v>36</v>
      </c>
    </row>
    <row r="2308" spans="1:17" x14ac:dyDescent="0.35">
      <c r="A2308" t="s">
        <v>2360</v>
      </c>
      <c r="B2308" t="s">
        <v>16</v>
      </c>
      <c r="C2308">
        <v>25</v>
      </c>
      <c r="D2308" t="s">
        <v>41</v>
      </c>
      <c r="E2308" t="s">
        <v>73</v>
      </c>
      <c r="F2308" t="s">
        <v>19</v>
      </c>
      <c r="G2308">
        <v>10.199999999999999</v>
      </c>
      <c r="H2308">
        <v>5.5</v>
      </c>
      <c r="I2308" t="str" cm="1">
        <f t="array" ref="I2308">_xlfn.IFS(G2308&lt;3, "0–2 Years", G2308&lt;6, "3–5 Years", G2308&lt;9, "6–8 Years", G2308&lt;12, "9-11 Years", G2308&gt;=12, "12-14 Years")</f>
        <v>9-11 Years</v>
      </c>
      <c r="J2308">
        <v>5</v>
      </c>
      <c r="K2308" t="s">
        <v>20</v>
      </c>
      <c r="L2308">
        <v>91300</v>
      </c>
      <c r="M2308">
        <v>3400</v>
      </c>
      <c r="N2308">
        <v>94700</v>
      </c>
      <c r="O2308" t="s">
        <v>30</v>
      </c>
      <c r="P2308" s="3">
        <v>42299</v>
      </c>
      <c r="Q2308" t="s">
        <v>19</v>
      </c>
    </row>
    <row r="2309" spans="1:17" x14ac:dyDescent="0.35">
      <c r="A2309" t="s">
        <v>2361</v>
      </c>
      <c r="B2309" t="s">
        <v>16</v>
      </c>
      <c r="C2309">
        <v>33</v>
      </c>
      <c r="D2309" t="s">
        <v>34</v>
      </c>
      <c r="E2309" t="s">
        <v>59</v>
      </c>
      <c r="F2309" t="s">
        <v>62</v>
      </c>
      <c r="G2309">
        <v>11.2</v>
      </c>
      <c r="H2309">
        <v>8.1999999999999993</v>
      </c>
      <c r="I2309" t="str" cm="1">
        <f t="array" ref="I2309">_xlfn.IFS(G2309&lt;3, "0–2 Years", G2309&lt;6, "3–5 Years", G2309&lt;9, "6–8 Years", G2309&lt;12, "9-11 Years", G2309&gt;=12, "12-14 Years")</f>
        <v>9-11 Years</v>
      </c>
      <c r="J2309">
        <v>3</v>
      </c>
      <c r="K2309" t="s">
        <v>24</v>
      </c>
      <c r="L2309">
        <v>67300</v>
      </c>
      <c r="M2309">
        <v>4700</v>
      </c>
      <c r="N2309">
        <v>72000</v>
      </c>
      <c r="O2309" t="s">
        <v>21</v>
      </c>
      <c r="P2309" s="3">
        <v>41941</v>
      </c>
      <c r="Q2309" t="s">
        <v>62</v>
      </c>
    </row>
    <row r="2310" spans="1:17" x14ac:dyDescent="0.35">
      <c r="A2310" t="s">
        <v>2362</v>
      </c>
      <c r="B2310" t="s">
        <v>16</v>
      </c>
      <c r="C2310">
        <v>45</v>
      </c>
      <c r="D2310" t="s">
        <v>55</v>
      </c>
      <c r="E2310" t="s">
        <v>79</v>
      </c>
      <c r="F2310" t="s">
        <v>36</v>
      </c>
      <c r="G2310">
        <v>8.6999999999999993</v>
      </c>
      <c r="H2310">
        <v>4.5999999999999996</v>
      </c>
      <c r="I2310" t="str" cm="1">
        <f t="array" ref="I2310">_xlfn.IFS(G2310&lt;3, "0–2 Years", G2310&lt;6, "3–5 Years", G2310&lt;9, "6–8 Years", G2310&lt;12, "9-11 Years", G2310&gt;=12, "12-14 Years")</f>
        <v>6–8 Years</v>
      </c>
      <c r="J2310">
        <v>4</v>
      </c>
      <c r="K2310" t="s">
        <v>20</v>
      </c>
      <c r="L2310">
        <v>75000</v>
      </c>
      <c r="M2310">
        <v>11800</v>
      </c>
      <c r="N2310">
        <v>86800</v>
      </c>
      <c r="O2310" t="s">
        <v>21</v>
      </c>
      <c r="P2310" s="3">
        <v>42850</v>
      </c>
      <c r="Q2310" t="s">
        <v>36</v>
      </c>
    </row>
    <row r="2311" spans="1:17" x14ac:dyDescent="0.35">
      <c r="A2311" t="s">
        <v>2363</v>
      </c>
      <c r="B2311" t="s">
        <v>16</v>
      </c>
      <c r="C2311">
        <v>42</v>
      </c>
      <c r="D2311" t="s">
        <v>44</v>
      </c>
      <c r="E2311" t="s">
        <v>51</v>
      </c>
      <c r="F2311" t="s">
        <v>28</v>
      </c>
      <c r="G2311">
        <v>4.3</v>
      </c>
      <c r="H2311">
        <v>1.9</v>
      </c>
      <c r="I2311" t="str" cm="1">
        <f t="array" ref="I2311">_xlfn.IFS(G2311&lt;3, "0–2 Years", G2311&lt;6, "3–5 Years", G2311&lt;9, "6–8 Years", G2311&lt;12, "9-11 Years", G2311&gt;=12, "12-14 Years")</f>
        <v>3–5 Years</v>
      </c>
      <c r="J2311">
        <v>4</v>
      </c>
      <c r="K2311" t="s">
        <v>20</v>
      </c>
      <c r="L2311">
        <v>75500</v>
      </c>
      <c r="M2311">
        <v>9700</v>
      </c>
      <c r="N2311">
        <v>85200</v>
      </c>
      <c r="O2311" t="s">
        <v>21</v>
      </c>
      <c r="P2311" s="3">
        <v>44439</v>
      </c>
      <c r="Q2311" t="s">
        <v>28</v>
      </c>
    </row>
    <row r="2312" spans="1:17" x14ac:dyDescent="0.35">
      <c r="A2312" t="s">
        <v>2364</v>
      </c>
      <c r="B2312" t="s">
        <v>16</v>
      </c>
      <c r="C2312">
        <v>34</v>
      </c>
      <c r="D2312" t="s">
        <v>17</v>
      </c>
      <c r="E2312" t="s">
        <v>18</v>
      </c>
      <c r="F2312" t="s">
        <v>28</v>
      </c>
      <c r="G2312">
        <v>1.4</v>
      </c>
      <c r="H2312">
        <v>0</v>
      </c>
      <c r="I2312" t="str" cm="1">
        <f t="array" ref="I2312">_xlfn.IFS(G2312&lt;3, "0–2 Years", G2312&lt;6, "3–5 Years", G2312&lt;9, "6–8 Years", G2312&lt;12, "9-11 Years", G2312&gt;=12, "12-14 Years")</f>
        <v>0–2 Years</v>
      </c>
      <c r="J2312">
        <v>2</v>
      </c>
      <c r="K2312" t="s">
        <v>20</v>
      </c>
      <c r="L2312">
        <v>98000</v>
      </c>
      <c r="M2312">
        <v>7600</v>
      </c>
      <c r="N2312">
        <v>105600</v>
      </c>
      <c r="O2312" t="s">
        <v>30</v>
      </c>
      <c r="P2312" s="3">
        <v>45512</v>
      </c>
      <c r="Q2312" t="s">
        <v>28</v>
      </c>
    </row>
    <row r="2313" spans="1:17" x14ac:dyDescent="0.35">
      <c r="A2313" t="s">
        <v>2365</v>
      </c>
      <c r="B2313" t="s">
        <v>23</v>
      </c>
      <c r="C2313">
        <v>49</v>
      </c>
      <c r="D2313" t="s">
        <v>38</v>
      </c>
      <c r="E2313" t="s">
        <v>61</v>
      </c>
      <c r="F2313" t="s">
        <v>36</v>
      </c>
      <c r="G2313">
        <v>8.6</v>
      </c>
      <c r="H2313">
        <v>4.2</v>
      </c>
      <c r="I2313" t="str" cm="1">
        <f t="array" ref="I2313">_xlfn.IFS(G2313&lt;3, "0–2 Years", G2313&lt;6, "3–5 Years", G2313&lt;9, "6–8 Years", G2313&lt;12, "9-11 Years", G2313&gt;=12, "12-14 Years")</f>
        <v>6–8 Years</v>
      </c>
      <c r="J2313">
        <v>4</v>
      </c>
      <c r="K2313" t="s">
        <v>20</v>
      </c>
      <c r="L2313">
        <v>110300</v>
      </c>
      <c r="M2313">
        <v>7600</v>
      </c>
      <c r="N2313">
        <v>117900</v>
      </c>
      <c r="O2313" t="s">
        <v>57</v>
      </c>
      <c r="P2313" s="3">
        <v>42900</v>
      </c>
      <c r="Q2313" t="s">
        <v>36</v>
      </c>
    </row>
    <row r="2314" spans="1:17" x14ac:dyDescent="0.35">
      <c r="A2314" t="s">
        <v>2366</v>
      </c>
      <c r="B2314" t="s">
        <v>23</v>
      </c>
      <c r="C2314" s="7">
        <v>40</v>
      </c>
      <c r="D2314" t="s">
        <v>38</v>
      </c>
      <c r="E2314" t="s">
        <v>112</v>
      </c>
      <c r="F2314" t="s">
        <v>36</v>
      </c>
      <c r="G2314" s="9">
        <v>12.5</v>
      </c>
      <c r="H2314" s="7">
        <v>9.8000000000000007</v>
      </c>
      <c r="I2314" t="str" cm="1">
        <f t="array" ref="I2314">_xlfn.IFS(G2314&lt;3, "0–2 Years", G2314&lt;6, "3–5 Years", G2314&lt;9, "6–8 Years", G2314&lt;12, "9-11 Years", G2314&gt;=12, "12-14 Years")</f>
        <v>12-14 Years</v>
      </c>
      <c r="J2314" s="7">
        <v>3</v>
      </c>
      <c r="K2314" t="s">
        <v>20</v>
      </c>
      <c r="L2314" s="7">
        <v>73000</v>
      </c>
      <c r="M2314" s="7">
        <v>7000</v>
      </c>
      <c r="N2314" s="7">
        <v>80000</v>
      </c>
      <c r="O2314" t="s">
        <v>21</v>
      </c>
      <c r="P2314" s="3">
        <v>41473</v>
      </c>
      <c r="Q2314" t="s">
        <v>36</v>
      </c>
    </row>
    <row r="2315" spans="1:17" x14ac:dyDescent="0.35">
      <c r="A2315" t="s">
        <v>2367</v>
      </c>
      <c r="B2315" t="s">
        <v>16</v>
      </c>
      <c r="C2315">
        <v>28</v>
      </c>
      <c r="D2315" t="s">
        <v>44</v>
      </c>
      <c r="E2315" t="s">
        <v>51</v>
      </c>
      <c r="F2315" t="s">
        <v>19</v>
      </c>
      <c r="G2315">
        <v>10.8</v>
      </c>
      <c r="H2315">
        <v>6.1</v>
      </c>
      <c r="I2315" t="str" cm="1">
        <f t="array" ref="I2315">_xlfn.IFS(G2315&lt;3, "0–2 Years", G2315&lt;6, "3–5 Years", G2315&lt;9, "6–8 Years", G2315&lt;12, "9-11 Years", G2315&gt;=12, "12-14 Years")</f>
        <v>9-11 Years</v>
      </c>
      <c r="J2315">
        <v>3</v>
      </c>
      <c r="K2315" t="s">
        <v>69</v>
      </c>
      <c r="L2315">
        <v>69200</v>
      </c>
      <c r="M2315">
        <v>6200</v>
      </c>
      <c r="N2315">
        <v>75400</v>
      </c>
      <c r="O2315" t="s">
        <v>21</v>
      </c>
      <c r="P2315" s="3">
        <v>42068</v>
      </c>
      <c r="Q2315" t="s">
        <v>19</v>
      </c>
    </row>
    <row r="2316" spans="1:17" x14ac:dyDescent="0.35">
      <c r="A2316" t="s">
        <v>2368</v>
      </c>
      <c r="B2316" t="s">
        <v>23</v>
      </c>
      <c r="C2316">
        <v>31</v>
      </c>
      <c r="D2316" t="s">
        <v>38</v>
      </c>
      <c r="E2316" t="s">
        <v>61</v>
      </c>
      <c r="F2316" t="s">
        <v>19</v>
      </c>
      <c r="G2316">
        <v>2.6</v>
      </c>
      <c r="H2316">
        <v>1.4</v>
      </c>
      <c r="I2316" t="str" cm="1">
        <f t="array" ref="I2316">_xlfn.IFS(G2316&lt;3, "0–2 Years", G2316&lt;6, "3–5 Years", G2316&lt;9, "6–8 Years", G2316&lt;12, "9-11 Years", G2316&gt;=12, "12-14 Years")</f>
        <v>0–2 Years</v>
      </c>
      <c r="J2316">
        <v>3</v>
      </c>
      <c r="K2316" t="s">
        <v>20</v>
      </c>
      <c r="L2316">
        <v>81000</v>
      </c>
      <c r="M2316">
        <v>5500</v>
      </c>
      <c r="N2316">
        <v>86500</v>
      </c>
      <c r="O2316" t="s">
        <v>30</v>
      </c>
      <c r="P2316" s="3">
        <v>45081</v>
      </c>
      <c r="Q2316" t="s">
        <v>19</v>
      </c>
    </row>
    <row r="2317" spans="1:17" x14ac:dyDescent="0.35">
      <c r="A2317" t="s">
        <v>2369</v>
      </c>
      <c r="B2317" t="s">
        <v>16</v>
      </c>
      <c r="C2317">
        <v>21</v>
      </c>
      <c r="D2317" t="s">
        <v>55</v>
      </c>
      <c r="E2317" t="s">
        <v>56</v>
      </c>
      <c r="F2317" t="s">
        <v>28</v>
      </c>
      <c r="G2317">
        <v>7.4</v>
      </c>
      <c r="H2317">
        <v>6.7</v>
      </c>
      <c r="I2317" t="str" cm="1">
        <f t="array" ref="I2317">_xlfn.IFS(G2317&lt;3, "0–2 Years", G2317&lt;6, "3–5 Years", G2317&lt;9, "6–8 Years", G2317&lt;12, "9-11 Years", G2317&gt;=12, "12-14 Years")</f>
        <v>6–8 Years</v>
      </c>
      <c r="J2317">
        <v>3</v>
      </c>
      <c r="K2317" t="s">
        <v>20</v>
      </c>
      <c r="L2317">
        <v>100300</v>
      </c>
      <c r="M2317">
        <v>12200</v>
      </c>
      <c r="N2317">
        <v>112500</v>
      </c>
      <c r="O2317" t="s">
        <v>57</v>
      </c>
      <c r="P2317" s="3">
        <v>43311</v>
      </c>
      <c r="Q2317" t="s">
        <v>28</v>
      </c>
    </row>
    <row r="2318" spans="1:17" x14ac:dyDescent="0.35">
      <c r="A2318" t="s">
        <v>2370</v>
      </c>
      <c r="B2318" t="s">
        <v>16</v>
      </c>
      <c r="C2318">
        <v>23</v>
      </c>
      <c r="D2318" t="s">
        <v>34</v>
      </c>
      <c r="E2318" t="s">
        <v>47</v>
      </c>
      <c r="F2318" t="s">
        <v>19</v>
      </c>
      <c r="G2318">
        <v>4.0999999999999996</v>
      </c>
      <c r="H2318">
        <v>1.3</v>
      </c>
      <c r="I2318" t="str" cm="1">
        <f t="array" ref="I2318">_xlfn.IFS(G2318&lt;3, "0–2 Years", G2318&lt;6, "3–5 Years", G2318&lt;9, "6–8 Years", G2318&lt;12, "9-11 Years", G2318&gt;=12, "12-14 Years")</f>
        <v>3–5 Years</v>
      </c>
      <c r="J2318">
        <v>3</v>
      </c>
      <c r="K2318" t="s">
        <v>20</v>
      </c>
      <c r="L2318">
        <v>72200</v>
      </c>
      <c r="M2318">
        <v>5600</v>
      </c>
      <c r="N2318">
        <v>77800</v>
      </c>
      <c r="O2318" t="s">
        <v>21</v>
      </c>
      <c r="P2318" s="3">
        <v>44542</v>
      </c>
      <c r="Q2318" t="s">
        <v>19</v>
      </c>
    </row>
    <row r="2319" spans="1:17" x14ac:dyDescent="0.35">
      <c r="A2319" t="s">
        <v>2371</v>
      </c>
      <c r="B2319" t="s">
        <v>16</v>
      </c>
      <c r="C2319" s="7">
        <v>44</v>
      </c>
      <c r="D2319" t="s">
        <v>44</v>
      </c>
      <c r="E2319" t="s">
        <v>81</v>
      </c>
      <c r="F2319" t="s">
        <v>28</v>
      </c>
      <c r="G2319" s="9">
        <v>13.4</v>
      </c>
      <c r="H2319" s="7">
        <v>8.5</v>
      </c>
      <c r="I2319" t="str" cm="1">
        <f t="array" ref="I2319">_xlfn.IFS(G2319&lt;3, "0–2 Years", G2319&lt;6, "3–5 Years", G2319&lt;9, "6–8 Years", G2319&lt;12, "9-11 Years", G2319&gt;=12, "12-14 Years")</f>
        <v>12-14 Years</v>
      </c>
      <c r="J2319" s="7">
        <v>3</v>
      </c>
      <c r="K2319" t="s">
        <v>24</v>
      </c>
      <c r="L2319" s="7">
        <v>62700</v>
      </c>
      <c r="M2319" s="7">
        <v>5700</v>
      </c>
      <c r="N2319" s="7">
        <v>68400</v>
      </c>
      <c r="O2319" t="s">
        <v>25</v>
      </c>
      <c r="P2319" s="3">
        <v>41129</v>
      </c>
      <c r="Q2319" t="s">
        <v>28</v>
      </c>
    </row>
    <row r="2320" spans="1:17" x14ac:dyDescent="0.35">
      <c r="A2320" t="s">
        <v>2372</v>
      </c>
      <c r="B2320" t="s">
        <v>23</v>
      </c>
      <c r="C2320" s="7">
        <v>38</v>
      </c>
      <c r="D2320" t="s">
        <v>44</v>
      </c>
      <c r="E2320" t="s">
        <v>81</v>
      </c>
      <c r="F2320" t="s">
        <v>36</v>
      </c>
      <c r="G2320" s="9">
        <v>13.2</v>
      </c>
      <c r="H2320" s="7">
        <v>8.4</v>
      </c>
      <c r="I2320" t="str" cm="1">
        <f t="array" ref="I2320">_xlfn.IFS(G2320&lt;3, "0–2 Years", G2320&lt;6, "3–5 Years", G2320&lt;9, "6–8 Years", G2320&lt;12, "9-11 Years", G2320&gt;=12, "12-14 Years")</f>
        <v>12-14 Years</v>
      </c>
      <c r="J2320" s="7">
        <v>3</v>
      </c>
      <c r="K2320" t="s">
        <v>20</v>
      </c>
      <c r="L2320" s="7">
        <v>100500</v>
      </c>
      <c r="M2320" s="7">
        <v>6800</v>
      </c>
      <c r="N2320" s="7">
        <v>107300</v>
      </c>
      <c r="O2320" t="s">
        <v>57</v>
      </c>
      <c r="P2320" s="3">
        <v>41219</v>
      </c>
      <c r="Q2320" t="s">
        <v>36</v>
      </c>
    </row>
    <row r="2321" spans="1:17" x14ac:dyDescent="0.35">
      <c r="A2321" t="s">
        <v>2373</v>
      </c>
      <c r="B2321" t="s">
        <v>23</v>
      </c>
      <c r="C2321">
        <v>42</v>
      </c>
      <c r="D2321" t="s">
        <v>55</v>
      </c>
      <c r="E2321" t="s">
        <v>56</v>
      </c>
      <c r="F2321" t="s">
        <v>28</v>
      </c>
      <c r="G2321">
        <v>7.8</v>
      </c>
      <c r="H2321">
        <v>3.8</v>
      </c>
      <c r="I2321" t="str" cm="1">
        <f t="array" ref="I2321">_xlfn.IFS(G2321&lt;3, "0–2 Years", G2321&lt;6, "3–5 Years", G2321&lt;9, "6–8 Years", G2321&lt;12, "9-11 Years", G2321&gt;=12, "12-14 Years")</f>
        <v>6–8 Years</v>
      </c>
      <c r="J2321">
        <v>4</v>
      </c>
      <c r="K2321" t="s">
        <v>20</v>
      </c>
      <c r="L2321">
        <v>107600</v>
      </c>
      <c r="M2321">
        <v>11100</v>
      </c>
      <c r="N2321">
        <v>118700</v>
      </c>
      <c r="O2321" t="s">
        <v>57</v>
      </c>
      <c r="P2321" s="3">
        <v>43176</v>
      </c>
      <c r="Q2321" t="s">
        <v>28</v>
      </c>
    </row>
    <row r="2322" spans="1:17" x14ac:dyDescent="0.35">
      <c r="A2322" t="s">
        <v>2374</v>
      </c>
      <c r="B2322" t="s">
        <v>23</v>
      </c>
      <c r="C2322">
        <v>47</v>
      </c>
      <c r="D2322" t="s">
        <v>34</v>
      </c>
      <c r="E2322" t="s">
        <v>47</v>
      </c>
      <c r="F2322" t="s">
        <v>28</v>
      </c>
      <c r="G2322">
        <v>11.1</v>
      </c>
      <c r="H2322">
        <v>8.8000000000000007</v>
      </c>
      <c r="I2322" t="str" cm="1">
        <f t="array" ref="I2322">_xlfn.IFS(G2322&lt;3, "0–2 Years", G2322&lt;6, "3–5 Years", G2322&lt;9, "6–8 Years", G2322&lt;12, "9-11 Years", G2322&gt;=12, "12-14 Years")</f>
        <v>9-11 Years</v>
      </c>
      <c r="J2322">
        <v>3</v>
      </c>
      <c r="K2322" t="s">
        <v>20</v>
      </c>
      <c r="L2322">
        <v>90000</v>
      </c>
      <c r="M2322">
        <v>4000</v>
      </c>
      <c r="N2322">
        <v>94000</v>
      </c>
      <c r="O2322" t="s">
        <v>30</v>
      </c>
      <c r="P2322" s="3">
        <v>41952</v>
      </c>
      <c r="Q2322" t="s">
        <v>28</v>
      </c>
    </row>
    <row r="2323" spans="1:17" x14ac:dyDescent="0.35">
      <c r="A2323" t="s">
        <v>2375</v>
      </c>
      <c r="B2323" t="s">
        <v>16</v>
      </c>
      <c r="C2323">
        <v>42</v>
      </c>
      <c r="D2323" t="s">
        <v>38</v>
      </c>
      <c r="E2323" t="s">
        <v>61</v>
      </c>
      <c r="F2323" t="s">
        <v>36</v>
      </c>
      <c r="G2323">
        <v>4</v>
      </c>
      <c r="H2323">
        <v>4</v>
      </c>
      <c r="I2323" t="str" cm="1">
        <f t="array" ref="I2323">_xlfn.IFS(G2323&lt;3, "0–2 Years", G2323&lt;6, "3–5 Years", G2323&lt;9, "6–8 Years", G2323&lt;12, "9-11 Years", G2323&gt;=12, "12-14 Years")</f>
        <v>3–5 Years</v>
      </c>
      <c r="J2323">
        <v>3</v>
      </c>
      <c r="K2323" t="s">
        <v>20</v>
      </c>
      <c r="L2323">
        <v>107400</v>
      </c>
      <c r="M2323">
        <v>10100</v>
      </c>
      <c r="N2323">
        <v>117500</v>
      </c>
      <c r="O2323" t="s">
        <v>57</v>
      </c>
      <c r="P2323" s="3">
        <v>44544</v>
      </c>
      <c r="Q2323" t="s">
        <v>36</v>
      </c>
    </row>
    <row r="2324" spans="1:17" x14ac:dyDescent="0.35">
      <c r="A2324" t="s">
        <v>2376</v>
      </c>
      <c r="B2324" t="s">
        <v>16</v>
      </c>
      <c r="C2324">
        <v>28</v>
      </c>
      <c r="D2324" t="s">
        <v>55</v>
      </c>
      <c r="E2324" t="s">
        <v>79</v>
      </c>
      <c r="F2324" t="s">
        <v>28</v>
      </c>
      <c r="G2324">
        <v>10.4</v>
      </c>
      <c r="H2324">
        <v>4.5999999999999996</v>
      </c>
      <c r="I2324" t="str" cm="1">
        <f t="array" ref="I2324">_xlfn.IFS(G2324&lt;3, "0–2 Years", G2324&lt;6, "3–5 Years", G2324&lt;9, "6–8 Years", G2324&lt;12, "9-11 Years", G2324&gt;=12, "12-14 Years")</f>
        <v>9-11 Years</v>
      </c>
      <c r="J2324">
        <v>3</v>
      </c>
      <c r="K2324" t="s">
        <v>20</v>
      </c>
      <c r="L2324">
        <v>68800</v>
      </c>
      <c r="M2324">
        <v>12800</v>
      </c>
      <c r="N2324">
        <v>81600</v>
      </c>
      <c r="O2324" t="s">
        <v>21</v>
      </c>
      <c r="P2324" s="3">
        <v>42227</v>
      </c>
      <c r="Q2324" t="s">
        <v>28</v>
      </c>
    </row>
    <row r="2325" spans="1:17" x14ac:dyDescent="0.35">
      <c r="A2325" t="s">
        <v>2377</v>
      </c>
      <c r="B2325" t="s">
        <v>23</v>
      </c>
      <c r="C2325">
        <v>30</v>
      </c>
      <c r="D2325" t="s">
        <v>41</v>
      </c>
      <c r="E2325" t="s">
        <v>67</v>
      </c>
      <c r="F2325" t="s">
        <v>36</v>
      </c>
      <c r="G2325">
        <v>7.1</v>
      </c>
      <c r="H2325">
        <v>3.5</v>
      </c>
      <c r="I2325" t="str" cm="1">
        <f t="array" ref="I2325">_xlfn.IFS(G2325&lt;3, "0–2 Years", G2325&lt;6, "3–5 Years", G2325&lt;9, "6–8 Years", G2325&lt;12, "9-11 Years", G2325&gt;=12, "12-14 Years")</f>
        <v>6–8 Years</v>
      </c>
      <c r="J2325">
        <v>2</v>
      </c>
      <c r="K2325" t="s">
        <v>20</v>
      </c>
      <c r="L2325">
        <v>83600</v>
      </c>
      <c r="M2325">
        <v>7100</v>
      </c>
      <c r="N2325">
        <v>90700</v>
      </c>
      <c r="O2325" t="s">
        <v>30</v>
      </c>
      <c r="P2325" s="3">
        <v>43446</v>
      </c>
      <c r="Q2325" t="s">
        <v>36</v>
      </c>
    </row>
    <row r="2326" spans="1:17" x14ac:dyDescent="0.35">
      <c r="A2326" t="s">
        <v>2378</v>
      </c>
      <c r="B2326" t="s">
        <v>23</v>
      </c>
      <c r="C2326">
        <v>29</v>
      </c>
      <c r="D2326" t="s">
        <v>55</v>
      </c>
      <c r="E2326" t="s">
        <v>79</v>
      </c>
      <c r="F2326" t="s">
        <v>36</v>
      </c>
      <c r="G2326">
        <v>6</v>
      </c>
      <c r="H2326">
        <v>3.4</v>
      </c>
      <c r="I2326" t="str" cm="1">
        <f t="array" ref="I2326">_xlfn.IFS(G2326&lt;3, "0–2 Years", G2326&lt;6, "3–5 Years", G2326&lt;9, "6–8 Years", G2326&lt;12, "9-11 Years", G2326&gt;=12, "12-14 Years")</f>
        <v>6–8 Years</v>
      </c>
      <c r="J2326">
        <v>1</v>
      </c>
      <c r="K2326" t="s">
        <v>20</v>
      </c>
      <c r="L2326">
        <v>56900</v>
      </c>
      <c r="M2326">
        <v>4800</v>
      </c>
      <c r="N2326">
        <v>61700</v>
      </c>
      <c r="O2326" t="s">
        <v>25</v>
      </c>
      <c r="P2326" s="3">
        <v>43840</v>
      </c>
      <c r="Q2326" t="s">
        <v>36</v>
      </c>
    </row>
    <row r="2327" spans="1:17" x14ac:dyDescent="0.35">
      <c r="A2327" t="s">
        <v>2379</v>
      </c>
      <c r="B2327" t="s">
        <v>16</v>
      </c>
      <c r="C2327">
        <v>32</v>
      </c>
      <c r="D2327" t="s">
        <v>34</v>
      </c>
      <c r="E2327" t="s">
        <v>47</v>
      </c>
      <c r="F2327" t="s">
        <v>28</v>
      </c>
      <c r="G2327">
        <v>7.3</v>
      </c>
      <c r="H2327">
        <v>5.8</v>
      </c>
      <c r="I2327" t="str" cm="1">
        <f t="array" ref="I2327">_xlfn.IFS(G2327&lt;3, "0–2 Years", G2327&lt;6, "3–5 Years", G2327&lt;9, "6–8 Years", G2327&lt;12, "9-11 Years", G2327&gt;=12, "12-14 Years")</f>
        <v>6–8 Years</v>
      </c>
      <c r="J2327">
        <v>3</v>
      </c>
      <c r="K2327" t="s">
        <v>69</v>
      </c>
      <c r="L2327">
        <v>57200</v>
      </c>
      <c r="M2327">
        <v>2600</v>
      </c>
      <c r="N2327">
        <v>59800</v>
      </c>
      <c r="O2327" t="s">
        <v>25</v>
      </c>
      <c r="P2327" s="3">
        <v>43351</v>
      </c>
      <c r="Q2327" t="s">
        <v>28</v>
      </c>
    </row>
    <row r="2328" spans="1:17" x14ac:dyDescent="0.35">
      <c r="A2328" t="s">
        <v>2380</v>
      </c>
      <c r="B2328" t="s">
        <v>16</v>
      </c>
      <c r="C2328">
        <v>53</v>
      </c>
      <c r="D2328" t="s">
        <v>34</v>
      </c>
      <c r="E2328" t="s">
        <v>59</v>
      </c>
      <c r="F2328" t="s">
        <v>28</v>
      </c>
      <c r="G2328">
        <v>4.5999999999999996</v>
      </c>
      <c r="H2328">
        <v>0</v>
      </c>
      <c r="I2328" t="str" cm="1">
        <f t="array" ref="I2328">_xlfn.IFS(G2328&lt;3, "0–2 Years", G2328&lt;6, "3–5 Years", G2328&lt;9, "6–8 Years", G2328&lt;12, "9-11 Years", G2328&gt;=12, "12-14 Years")</f>
        <v>3–5 Years</v>
      </c>
      <c r="J2328">
        <v>4</v>
      </c>
      <c r="K2328" t="s">
        <v>20</v>
      </c>
      <c r="L2328">
        <v>110000</v>
      </c>
      <c r="M2328">
        <v>11700</v>
      </c>
      <c r="N2328">
        <v>121700</v>
      </c>
      <c r="O2328" t="s">
        <v>57</v>
      </c>
      <c r="P2328" s="3">
        <v>44340</v>
      </c>
      <c r="Q2328" t="s">
        <v>28</v>
      </c>
    </row>
    <row r="2329" spans="1:17" x14ac:dyDescent="0.35">
      <c r="A2329" t="s">
        <v>2381</v>
      </c>
      <c r="B2329" t="s">
        <v>16</v>
      </c>
      <c r="C2329" s="7">
        <v>26</v>
      </c>
      <c r="D2329" t="s">
        <v>17</v>
      </c>
      <c r="E2329" t="s">
        <v>27</v>
      </c>
      <c r="F2329" t="s">
        <v>36</v>
      </c>
      <c r="G2329" s="9">
        <v>12.2</v>
      </c>
      <c r="H2329" s="7">
        <v>9.9</v>
      </c>
      <c r="I2329" t="str" cm="1">
        <f t="array" ref="I2329">_xlfn.IFS(G2329&lt;3, "0–2 Years", G2329&lt;6, "3–5 Years", G2329&lt;9, "6–8 Years", G2329&lt;12, "9-11 Years", G2329&gt;=12, "12-14 Years")</f>
        <v>12-14 Years</v>
      </c>
      <c r="J2329" s="7">
        <v>3</v>
      </c>
      <c r="K2329" t="s">
        <v>20</v>
      </c>
      <c r="L2329" s="7">
        <v>83200</v>
      </c>
      <c r="M2329" s="7">
        <v>8500</v>
      </c>
      <c r="N2329" s="7">
        <v>91700</v>
      </c>
      <c r="O2329" t="s">
        <v>30</v>
      </c>
      <c r="P2329" s="3">
        <v>41561</v>
      </c>
      <c r="Q2329" t="s">
        <v>36</v>
      </c>
    </row>
    <row r="2330" spans="1:17" x14ac:dyDescent="0.35">
      <c r="A2330" t="s">
        <v>2382</v>
      </c>
      <c r="B2330" t="s">
        <v>16</v>
      </c>
      <c r="C2330">
        <v>46</v>
      </c>
      <c r="D2330" t="s">
        <v>17</v>
      </c>
      <c r="E2330" t="s">
        <v>27</v>
      </c>
      <c r="F2330" t="s">
        <v>36</v>
      </c>
      <c r="G2330">
        <v>3.1</v>
      </c>
      <c r="H2330">
        <v>0.9</v>
      </c>
      <c r="I2330" t="str" cm="1">
        <f t="array" ref="I2330">_xlfn.IFS(G2330&lt;3, "0–2 Years", G2330&lt;6, "3–5 Years", G2330&lt;9, "6–8 Years", G2330&lt;12, "9-11 Years", G2330&gt;=12, "12-14 Years")</f>
        <v>3–5 Years</v>
      </c>
      <c r="J2330">
        <v>3</v>
      </c>
      <c r="K2330" t="s">
        <v>20</v>
      </c>
      <c r="L2330">
        <v>85400</v>
      </c>
      <c r="M2330">
        <v>7500</v>
      </c>
      <c r="N2330">
        <v>92900</v>
      </c>
      <c r="O2330" t="s">
        <v>30</v>
      </c>
      <c r="P2330" s="3">
        <v>44892</v>
      </c>
      <c r="Q2330" t="s">
        <v>36</v>
      </c>
    </row>
    <row r="2331" spans="1:17" x14ac:dyDescent="0.35">
      <c r="A2331" t="s">
        <v>2383</v>
      </c>
      <c r="B2331" t="s">
        <v>16</v>
      </c>
      <c r="C2331">
        <v>51</v>
      </c>
      <c r="D2331" t="s">
        <v>34</v>
      </c>
      <c r="E2331" t="s">
        <v>47</v>
      </c>
      <c r="F2331" t="s">
        <v>36</v>
      </c>
      <c r="G2331">
        <v>7.8</v>
      </c>
      <c r="H2331">
        <v>4.2</v>
      </c>
      <c r="I2331" t="str" cm="1">
        <f t="array" ref="I2331">_xlfn.IFS(G2331&lt;3, "0–2 Years", G2331&lt;6, "3–5 Years", G2331&lt;9, "6–8 Years", G2331&lt;12, "9-11 Years", G2331&gt;=12, "12-14 Years")</f>
        <v>6–8 Years</v>
      </c>
      <c r="J2331">
        <v>3</v>
      </c>
      <c r="K2331" t="s">
        <v>24</v>
      </c>
      <c r="L2331">
        <v>52200</v>
      </c>
      <c r="M2331">
        <v>4900</v>
      </c>
      <c r="N2331">
        <v>57100</v>
      </c>
      <c r="O2331" t="s">
        <v>25</v>
      </c>
      <c r="P2331" s="3">
        <v>43158</v>
      </c>
      <c r="Q2331" t="s">
        <v>36</v>
      </c>
    </row>
    <row r="2332" spans="1:17" x14ac:dyDescent="0.35">
      <c r="A2332" t="s">
        <v>2384</v>
      </c>
      <c r="B2332" t="s">
        <v>23</v>
      </c>
      <c r="C2332" s="7">
        <v>43</v>
      </c>
      <c r="D2332" t="s">
        <v>38</v>
      </c>
      <c r="E2332" t="s">
        <v>112</v>
      </c>
      <c r="F2332" t="s">
        <v>28</v>
      </c>
      <c r="G2332" s="9">
        <v>12</v>
      </c>
      <c r="H2332" s="7">
        <v>6.6</v>
      </c>
      <c r="I2332" t="str" cm="1">
        <f t="array" ref="I2332">_xlfn.IFS(G2332&lt;3, "0–2 Years", G2332&lt;6, "3–5 Years", G2332&lt;9, "6–8 Years", G2332&lt;12, "9-11 Years", G2332&gt;=12, "12-14 Years")</f>
        <v>12-14 Years</v>
      </c>
      <c r="J2332" s="7">
        <v>1</v>
      </c>
      <c r="K2332" t="s">
        <v>20</v>
      </c>
      <c r="L2332" s="7">
        <v>79600</v>
      </c>
      <c r="M2332" s="7">
        <v>5600</v>
      </c>
      <c r="N2332" s="7">
        <v>85200</v>
      </c>
      <c r="O2332" t="s">
        <v>21</v>
      </c>
      <c r="P2332" s="3">
        <v>41658</v>
      </c>
      <c r="Q2332" t="s">
        <v>28</v>
      </c>
    </row>
    <row r="2333" spans="1:17" x14ac:dyDescent="0.35">
      <c r="A2333" t="s">
        <v>2385</v>
      </c>
      <c r="B2333" t="s">
        <v>16</v>
      </c>
      <c r="C2333">
        <v>28</v>
      </c>
      <c r="D2333" t="s">
        <v>34</v>
      </c>
      <c r="E2333" t="s">
        <v>35</v>
      </c>
      <c r="F2333" t="s">
        <v>28</v>
      </c>
      <c r="G2333">
        <v>8.1999999999999993</v>
      </c>
      <c r="H2333">
        <v>7.3</v>
      </c>
      <c r="I2333" t="str" cm="1">
        <f t="array" ref="I2333">_xlfn.IFS(G2333&lt;3, "0–2 Years", G2333&lt;6, "3–5 Years", G2333&lt;9, "6–8 Years", G2333&lt;12, "9-11 Years", G2333&gt;=12, "12-14 Years")</f>
        <v>6–8 Years</v>
      </c>
      <c r="J2333">
        <v>3</v>
      </c>
      <c r="K2333" t="s">
        <v>20</v>
      </c>
      <c r="L2333">
        <v>80500</v>
      </c>
      <c r="M2333">
        <v>5500</v>
      </c>
      <c r="N2333">
        <v>86000</v>
      </c>
      <c r="O2333" t="s">
        <v>30</v>
      </c>
      <c r="P2333" s="3">
        <v>43031</v>
      </c>
      <c r="Q2333" t="s">
        <v>28</v>
      </c>
    </row>
    <row r="2334" spans="1:17" x14ac:dyDescent="0.35">
      <c r="A2334" t="s">
        <v>2386</v>
      </c>
      <c r="B2334" t="s">
        <v>23</v>
      </c>
      <c r="C2334">
        <v>21</v>
      </c>
      <c r="D2334" t="s">
        <v>17</v>
      </c>
      <c r="E2334" t="s">
        <v>32</v>
      </c>
      <c r="F2334" t="s">
        <v>28</v>
      </c>
      <c r="G2334">
        <v>2.5</v>
      </c>
      <c r="H2334">
        <v>2.1</v>
      </c>
      <c r="I2334" t="str" cm="1">
        <f t="array" ref="I2334">_xlfn.IFS(G2334&lt;3, "0–2 Years", G2334&lt;6, "3–5 Years", G2334&lt;9, "6–8 Years", G2334&lt;12, "9-11 Years", G2334&gt;=12, "12-14 Years")</f>
        <v>0–2 Years</v>
      </c>
      <c r="J2334">
        <v>3</v>
      </c>
      <c r="K2334" t="s">
        <v>24</v>
      </c>
      <c r="L2334">
        <v>36400</v>
      </c>
      <c r="M2334">
        <v>2800</v>
      </c>
      <c r="N2334">
        <v>39200</v>
      </c>
      <c r="O2334" t="s">
        <v>65</v>
      </c>
      <c r="P2334" s="3">
        <v>45094</v>
      </c>
      <c r="Q2334" t="s">
        <v>28</v>
      </c>
    </row>
    <row r="2335" spans="1:17" x14ac:dyDescent="0.35">
      <c r="A2335" t="s">
        <v>2387</v>
      </c>
      <c r="B2335" t="s">
        <v>16</v>
      </c>
      <c r="C2335">
        <v>30</v>
      </c>
      <c r="D2335" t="s">
        <v>38</v>
      </c>
      <c r="E2335" t="s">
        <v>112</v>
      </c>
      <c r="F2335" t="s">
        <v>36</v>
      </c>
      <c r="G2335">
        <v>7.3</v>
      </c>
      <c r="H2335">
        <v>4.0999999999999996</v>
      </c>
      <c r="I2335" t="str" cm="1">
        <f t="array" ref="I2335">_xlfn.IFS(G2335&lt;3, "0–2 Years", G2335&lt;6, "3–5 Years", G2335&lt;9, "6–8 Years", G2335&lt;12, "9-11 Years", G2335&gt;=12, "12-14 Years")</f>
        <v>6–8 Years</v>
      </c>
      <c r="J2335">
        <v>3</v>
      </c>
      <c r="K2335" t="s">
        <v>20</v>
      </c>
      <c r="L2335">
        <v>83000</v>
      </c>
      <c r="M2335">
        <v>6300</v>
      </c>
      <c r="N2335">
        <v>89300</v>
      </c>
      <c r="O2335" t="s">
        <v>30</v>
      </c>
      <c r="P2335" s="3">
        <v>43351</v>
      </c>
      <c r="Q2335" t="s">
        <v>36</v>
      </c>
    </row>
    <row r="2336" spans="1:17" x14ac:dyDescent="0.35">
      <c r="A2336" t="s">
        <v>2388</v>
      </c>
      <c r="B2336" t="s">
        <v>23</v>
      </c>
      <c r="C2336">
        <v>30</v>
      </c>
      <c r="D2336" t="s">
        <v>55</v>
      </c>
      <c r="E2336" t="s">
        <v>92</v>
      </c>
      <c r="F2336" t="s">
        <v>28</v>
      </c>
      <c r="G2336">
        <v>5.6</v>
      </c>
      <c r="H2336">
        <v>4.3</v>
      </c>
      <c r="I2336" t="str" cm="1">
        <f t="array" ref="I2336">_xlfn.IFS(G2336&lt;3, "0–2 Years", G2336&lt;6, "3–5 Years", G2336&lt;9, "6–8 Years", G2336&lt;12, "9-11 Years", G2336&gt;=12, "12-14 Years")</f>
        <v>3–5 Years</v>
      </c>
      <c r="J2336">
        <v>3</v>
      </c>
      <c r="K2336" t="s">
        <v>69</v>
      </c>
      <c r="L2336">
        <v>75800</v>
      </c>
      <c r="M2336">
        <v>11200</v>
      </c>
      <c r="N2336">
        <v>87000</v>
      </c>
      <c r="O2336" t="s">
        <v>21</v>
      </c>
      <c r="P2336" s="3">
        <v>43966</v>
      </c>
      <c r="Q2336" t="s">
        <v>28</v>
      </c>
    </row>
    <row r="2337" spans="1:17" x14ac:dyDescent="0.35">
      <c r="A2337" t="s">
        <v>2389</v>
      </c>
      <c r="B2337" t="s">
        <v>16</v>
      </c>
      <c r="C2337">
        <v>37</v>
      </c>
      <c r="D2337" t="s">
        <v>38</v>
      </c>
      <c r="E2337" t="s">
        <v>112</v>
      </c>
      <c r="F2337" t="s">
        <v>28</v>
      </c>
      <c r="G2337">
        <v>3.8</v>
      </c>
      <c r="H2337">
        <v>2.6</v>
      </c>
      <c r="I2337" t="str" cm="1">
        <f t="array" ref="I2337">_xlfn.IFS(G2337&lt;3, "0–2 Years", G2337&lt;6, "3–5 Years", G2337&lt;9, "6–8 Years", G2337&lt;12, "9-11 Years", G2337&gt;=12, "12-14 Years")</f>
        <v>3–5 Years</v>
      </c>
      <c r="J2337">
        <v>3</v>
      </c>
      <c r="K2337" t="s">
        <v>20</v>
      </c>
      <c r="L2337">
        <v>64700</v>
      </c>
      <c r="M2337">
        <v>3300</v>
      </c>
      <c r="N2337">
        <v>68000</v>
      </c>
      <c r="O2337" t="s">
        <v>25</v>
      </c>
      <c r="P2337" s="3">
        <v>44640</v>
      </c>
      <c r="Q2337" t="s">
        <v>28</v>
      </c>
    </row>
    <row r="2338" spans="1:17" x14ac:dyDescent="0.35">
      <c r="A2338" t="s">
        <v>2390</v>
      </c>
      <c r="B2338" t="s">
        <v>23</v>
      </c>
      <c r="C2338">
        <v>42</v>
      </c>
      <c r="D2338" t="s">
        <v>44</v>
      </c>
      <c r="E2338" t="s">
        <v>76</v>
      </c>
      <c r="F2338" t="s">
        <v>36</v>
      </c>
      <c r="G2338">
        <v>9.1999999999999993</v>
      </c>
      <c r="H2338">
        <v>6.4</v>
      </c>
      <c r="I2338" t="str" cm="1">
        <f t="array" ref="I2338">_xlfn.IFS(G2338&lt;3, "0–2 Years", G2338&lt;6, "3–5 Years", G2338&lt;9, "6–8 Years", G2338&lt;12, "9-11 Years", G2338&gt;=12, "12-14 Years")</f>
        <v>9-11 Years</v>
      </c>
      <c r="J2338">
        <v>3</v>
      </c>
      <c r="K2338" t="s">
        <v>24</v>
      </c>
      <c r="L2338">
        <v>61700</v>
      </c>
      <c r="M2338">
        <v>7500</v>
      </c>
      <c r="N2338">
        <v>69200</v>
      </c>
      <c r="O2338" t="s">
        <v>25</v>
      </c>
      <c r="P2338" s="3">
        <v>42670</v>
      </c>
      <c r="Q2338" t="s">
        <v>36</v>
      </c>
    </row>
    <row r="2339" spans="1:17" x14ac:dyDescent="0.35">
      <c r="A2339" t="s">
        <v>2391</v>
      </c>
      <c r="B2339" t="s">
        <v>23</v>
      </c>
      <c r="C2339">
        <v>29</v>
      </c>
      <c r="D2339" t="s">
        <v>41</v>
      </c>
      <c r="E2339" t="s">
        <v>73</v>
      </c>
      <c r="F2339" t="s">
        <v>28</v>
      </c>
      <c r="G2339">
        <v>5.2</v>
      </c>
      <c r="H2339">
        <v>3.8</v>
      </c>
      <c r="I2339" t="str" cm="1">
        <f t="array" ref="I2339">_xlfn.IFS(G2339&lt;3, "0–2 Years", G2339&lt;6, "3–5 Years", G2339&lt;9, "6–8 Years", G2339&lt;12, "9-11 Years", G2339&gt;=12, "12-14 Years")</f>
        <v>3–5 Years</v>
      </c>
      <c r="J2339">
        <v>3</v>
      </c>
      <c r="K2339" t="s">
        <v>20</v>
      </c>
      <c r="L2339">
        <v>93500</v>
      </c>
      <c r="M2339">
        <v>6300</v>
      </c>
      <c r="N2339">
        <v>99800</v>
      </c>
      <c r="O2339" t="s">
        <v>30</v>
      </c>
      <c r="P2339" s="3">
        <v>44118</v>
      </c>
      <c r="Q2339" t="s">
        <v>28</v>
      </c>
    </row>
    <row r="2340" spans="1:17" x14ac:dyDescent="0.35">
      <c r="A2340" t="s">
        <v>2392</v>
      </c>
      <c r="B2340" t="s">
        <v>16</v>
      </c>
      <c r="C2340">
        <v>23</v>
      </c>
      <c r="D2340" t="s">
        <v>44</v>
      </c>
      <c r="E2340" t="s">
        <v>45</v>
      </c>
      <c r="F2340" t="s">
        <v>28</v>
      </c>
      <c r="G2340">
        <v>5.9</v>
      </c>
      <c r="H2340">
        <v>3.6</v>
      </c>
      <c r="I2340" t="str" cm="1">
        <f t="array" ref="I2340">_xlfn.IFS(G2340&lt;3, "0–2 Years", G2340&lt;6, "3–5 Years", G2340&lt;9, "6–8 Years", G2340&lt;12, "9-11 Years", G2340&gt;=12, "12-14 Years")</f>
        <v>3–5 Years</v>
      </c>
      <c r="J2340">
        <v>4</v>
      </c>
      <c r="K2340" t="s">
        <v>20</v>
      </c>
      <c r="L2340">
        <v>80400</v>
      </c>
      <c r="M2340">
        <v>8600</v>
      </c>
      <c r="N2340">
        <v>89000</v>
      </c>
      <c r="O2340" t="s">
        <v>30</v>
      </c>
      <c r="P2340" s="3">
        <v>43869</v>
      </c>
      <c r="Q2340" t="s">
        <v>28</v>
      </c>
    </row>
    <row r="2341" spans="1:17" x14ac:dyDescent="0.35">
      <c r="A2341" t="s">
        <v>2393</v>
      </c>
      <c r="B2341" t="s">
        <v>23</v>
      </c>
      <c r="C2341">
        <v>28</v>
      </c>
      <c r="D2341" t="s">
        <v>38</v>
      </c>
      <c r="E2341" t="s">
        <v>39</v>
      </c>
      <c r="F2341" t="s">
        <v>36</v>
      </c>
      <c r="G2341">
        <v>8.4</v>
      </c>
      <c r="H2341">
        <v>5.8</v>
      </c>
      <c r="I2341" t="str" cm="1">
        <f t="array" ref="I2341">_xlfn.IFS(G2341&lt;3, "0–2 Years", G2341&lt;6, "3–5 Years", G2341&lt;9, "6–8 Years", G2341&lt;12, "9-11 Years", G2341&gt;=12, "12-14 Years")</f>
        <v>6–8 Years</v>
      </c>
      <c r="J2341">
        <v>3</v>
      </c>
      <c r="K2341" t="s">
        <v>20</v>
      </c>
      <c r="L2341">
        <v>89800</v>
      </c>
      <c r="M2341">
        <v>3300</v>
      </c>
      <c r="N2341">
        <v>93100</v>
      </c>
      <c r="O2341" t="s">
        <v>30</v>
      </c>
      <c r="P2341" s="3">
        <v>42958</v>
      </c>
      <c r="Q2341" t="s">
        <v>36</v>
      </c>
    </row>
    <row r="2342" spans="1:17" x14ac:dyDescent="0.35">
      <c r="A2342" t="s">
        <v>2394</v>
      </c>
      <c r="B2342" t="s">
        <v>23</v>
      </c>
      <c r="C2342">
        <v>29</v>
      </c>
      <c r="D2342" t="s">
        <v>34</v>
      </c>
      <c r="E2342" t="s">
        <v>35</v>
      </c>
      <c r="F2342" t="s">
        <v>28</v>
      </c>
      <c r="G2342">
        <v>5.7</v>
      </c>
      <c r="H2342">
        <v>2.9</v>
      </c>
      <c r="I2342" t="str" cm="1">
        <f t="array" ref="I2342">_xlfn.IFS(G2342&lt;3, "0–2 Years", G2342&lt;6, "3–5 Years", G2342&lt;9, "6–8 Years", G2342&lt;12, "9-11 Years", G2342&gt;=12, "12-14 Years")</f>
        <v>3–5 Years</v>
      </c>
      <c r="J2342">
        <v>5</v>
      </c>
      <c r="K2342" t="s">
        <v>20</v>
      </c>
      <c r="L2342">
        <v>63900</v>
      </c>
      <c r="M2342">
        <v>6700</v>
      </c>
      <c r="N2342">
        <v>70600</v>
      </c>
      <c r="O2342" t="s">
        <v>25</v>
      </c>
      <c r="P2342" s="3">
        <v>43943</v>
      </c>
      <c r="Q2342" t="s">
        <v>28</v>
      </c>
    </row>
    <row r="2343" spans="1:17" x14ac:dyDescent="0.35">
      <c r="A2343" t="s">
        <v>2395</v>
      </c>
      <c r="B2343" t="s">
        <v>23</v>
      </c>
      <c r="C2343">
        <v>29</v>
      </c>
      <c r="D2343" t="s">
        <v>38</v>
      </c>
      <c r="E2343" t="s">
        <v>112</v>
      </c>
      <c r="F2343" t="s">
        <v>28</v>
      </c>
      <c r="G2343">
        <v>6</v>
      </c>
      <c r="H2343">
        <v>5.5</v>
      </c>
      <c r="I2343" t="str" cm="1">
        <f t="array" ref="I2343">_xlfn.IFS(G2343&lt;3, "0–2 Years", G2343&lt;6, "3–5 Years", G2343&lt;9, "6–8 Years", G2343&lt;12, "9-11 Years", G2343&gt;=12, "12-14 Years")</f>
        <v>6–8 Years</v>
      </c>
      <c r="J2343">
        <v>3</v>
      </c>
      <c r="K2343" t="s">
        <v>20</v>
      </c>
      <c r="L2343">
        <v>67700</v>
      </c>
      <c r="M2343">
        <v>4600</v>
      </c>
      <c r="N2343">
        <v>72300</v>
      </c>
      <c r="O2343" t="s">
        <v>21</v>
      </c>
      <c r="P2343" s="3">
        <v>43832</v>
      </c>
      <c r="Q2343" t="s">
        <v>28</v>
      </c>
    </row>
    <row r="2344" spans="1:17" x14ac:dyDescent="0.35">
      <c r="A2344" t="s">
        <v>2396</v>
      </c>
      <c r="B2344" t="s">
        <v>23</v>
      </c>
      <c r="C2344" s="7">
        <v>31</v>
      </c>
      <c r="D2344" t="s">
        <v>44</v>
      </c>
      <c r="E2344" t="s">
        <v>76</v>
      </c>
      <c r="F2344" t="s">
        <v>36</v>
      </c>
      <c r="G2344" s="9">
        <v>12.1</v>
      </c>
      <c r="H2344" s="7">
        <v>7.6</v>
      </c>
      <c r="I2344" t="str" cm="1">
        <f t="array" ref="I2344">_xlfn.IFS(G2344&lt;3, "0–2 Years", G2344&lt;6, "3–5 Years", G2344&lt;9, "6–8 Years", G2344&lt;12, "9-11 Years", G2344&gt;=12, "12-14 Years")</f>
        <v>12-14 Years</v>
      </c>
      <c r="J2344" s="7">
        <v>3</v>
      </c>
      <c r="K2344" t="s">
        <v>20</v>
      </c>
      <c r="L2344" s="7">
        <v>109600</v>
      </c>
      <c r="M2344" s="7">
        <v>5800</v>
      </c>
      <c r="N2344" s="7">
        <v>115400</v>
      </c>
      <c r="O2344" t="s">
        <v>57</v>
      </c>
      <c r="P2344" s="3">
        <v>41609</v>
      </c>
      <c r="Q2344" t="s">
        <v>36</v>
      </c>
    </row>
    <row r="2345" spans="1:17" x14ac:dyDescent="0.35">
      <c r="A2345" t="s">
        <v>2397</v>
      </c>
      <c r="B2345" t="s">
        <v>23</v>
      </c>
      <c r="C2345">
        <v>44</v>
      </c>
      <c r="D2345" t="s">
        <v>38</v>
      </c>
      <c r="E2345" t="s">
        <v>61</v>
      </c>
      <c r="F2345" t="s">
        <v>28</v>
      </c>
      <c r="G2345">
        <v>8.6</v>
      </c>
      <c r="H2345">
        <v>5.9</v>
      </c>
      <c r="I2345" t="str" cm="1">
        <f t="array" ref="I2345">_xlfn.IFS(G2345&lt;3, "0–2 Years", G2345&lt;6, "3–5 Years", G2345&lt;9, "6–8 Years", G2345&lt;12, "9-11 Years", G2345&gt;=12, "12-14 Years")</f>
        <v>6–8 Years</v>
      </c>
      <c r="J2345">
        <v>4</v>
      </c>
      <c r="K2345" t="s">
        <v>20</v>
      </c>
      <c r="L2345">
        <v>108500</v>
      </c>
      <c r="M2345">
        <v>6900</v>
      </c>
      <c r="N2345">
        <v>115400</v>
      </c>
      <c r="O2345" t="s">
        <v>57</v>
      </c>
      <c r="P2345" s="3">
        <v>42891</v>
      </c>
      <c r="Q2345" t="s">
        <v>28</v>
      </c>
    </row>
    <row r="2346" spans="1:17" x14ac:dyDescent="0.35">
      <c r="A2346" t="s">
        <v>2398</v>
      </c>
      <c r="B2346" t="s">
        <v>16</v>
      </c>
      <c r="C2346">
        <v>21</v>
      </c>
      <c r="D2346" t="s">
        <v>41</v>
      </c>
      <c r="E2346" t="s">
        <v>42</v>
      </c>
      <c r="F2346" t="s">
        <v>28</v>
      </c>
      <c r="G2346">
        <v>1.7</v>
      </c>
      <c r="H2346">
        <v>1.3</v>
      </c>
      <c r="I2346" t="str" cm="1">
        <f t="array" ref="I2346">_xlfn.IFS(G2346&lt;3, "0–2 Years", G2346&lt;6, "3–5 Years", G2346&lt;9, "6–8 Years", G2346&lt;12, "9-11 Years", G2346&gt;=12, "12-14 Years")</f>
        <v>0–2 Years</v>
      </c>
      <c r="J2346">
        <v>3</v>
      </c>
      <c r="K2346" t="s">
        <v>20</v>
      </c>
      <c r="L2346">
        <v>69000</v>
      </c>
      <c r="M2346">
        <v>2700</v>
      </c>
      <c r="N2346">
        <v>71700</v>
      </c>
      <c r="O2346" t="s">
        <v>21</v>
      </c>
      <c r="P2346" s="3">
        <v>45409</v>
      </c>
      <c r="Q2346" t="s">
        <v>28</v>
      </c>
    </row>
    <row r="2347" spans="1:17" x14ac:dyDescent="0.35">
      <c r="A2347" t="s">
        <v>2399</v>
      </c>
      <c r="B2347" t="s">
        <v>23</v>
      </c>
      <c r="C2347">
        <v>39</v>
      </c>
      <c r="D2347" t="s">
        <v>17</v>
      </c>
      <c r="E2347" t="s">
        <v>18</v>
      </c>
      <c r="F2347" t="s">
        <v>36</v>
      </c>
      <c r="G2347">
        <v>5.9</v>
      </c>
      <c r="H2347">
        <v>2.4</v>
      </c>
      <c r="I2347" t="str" cm="1">
        <f t="array" ref="I2347">_xlfn.IFS(G2347&lt;3, "0–2 Years", G2347&lt;6, "3–5 Years", G2347&lt;9, "6–8 Years", G2347&lt;12, "9-11 Years", G2347&gt;=12, "12-14 Years")</f>
        <v>3–5 Years</v>
      </c>
      <c r="J2347">
        <v>3</v>
      </c>
      <c r="K2347" t="s">
        <v>20</v>
      </c>
      <c r="L2347">
        <v>115800</v>
      </c>
      <c r="M2347">
        <v>6000</v>
      </c>
      <c r="N2347">
        <v>121800</v>
      </c>
      <c r="O2347" t="s">
        <v>57</v>
      </c>
      <c r="P2347" s="3">
        <v>43860</v>
      </c>
      <c r="Q2347" t="s">
        <v>36</v>
      </c>
    </row>
    <row r="2348" spans="1:17" x14ac:dyDescent="0.35">
      <c r="A2348" t="s">
        <v>2400</v>
      </c>
      <c r="B2348" t="s">
        <v>16</v>
      </c>
      <c r="C2348">
        <v>47</v>
      </c>
      <c r="D2348" t="s">
        <v>44</v>
      </c>
      <c r="E2348" t="s">
        <v>81</v>
      </c>
      <c r="F2348" t="s">
        <v>36</v>
      </c>
      <c r="G2348">
        <v>7.8</v>
      </c>
      <c r="H2348">
        <v>5.5</v>
      </c>
      <c r="I2348" t="str" cm="1">
        <f t="array" ref="I2348">_xlfn.IFS(G2348&lt;3, "0–2 Years", G2348&lt;6, "3–5 Years", G2348&lt;9, "6–8 Years", G2348&lt;12, "9-11 Years", G2348&gt;=12, "12-14 Years")</f>
        <v>6–8 Years</v>
      </c>
      <c r="J2348">
        <v>4</v>
      </c>
      <c r="K2348" t="s">
        <v>20</v>
      </c>
      <c r="L2348">
        <v>97600</v>
      </c>
      <c r="M2348">
        <v>11300</v>
      </c>
      <c r="N2348">
        <v>108900</v>
      </c>
      <c r="O2348" t="s">
        <v>30</v>
      </c>
      <c r="P2348" s="3">
        <v>43171</v>
      </c>
      <c r="Q2348" t="s">
        <v>36</v>
      </c>
    </row>
    <row r="2349" spans="1:17" x14ac:dyDescent="0.35">
      <c r="A2349" t="s">
        <v>2401</v>
      </c>
      <c r="B2349" t="s">
        <v>23</v>
      </c>
      <c r="C2349">
        <v>26</v>
      </c>
      <c r="D2349" t="s">
        <v>17</v>
      </c>
      <c r="E2349" t="s">
        <v>32</v>
      </c>
      <c r="F2349" t="s">
        <v>28</v>
      </c>
      <c r="G2349">
        <v>7.2</v>
      </c>
      <c r="H2349">
        <v>3.4</v>
      </c>
      <c r="I2349" t="str" cm="1">
        <f t="array" ref="I2349">_xlfn.IFS(G2349&lt;3, "0–2 Years", G2349&lt;6, "3–5 Years", G2349&lt;9, "6–8 Years", G2349&lt;12, "9-11 Years", G2349&gt;=12, "12-14 Years")</f>
        <v>6–8 Years</v>
      </c>
      <c r="J2349">
        <v>3</v>
      </c>
      <c r="K2349" t="s">
        <v>69</v>
      </c>
      <c r="L2349">
        <v>60200</v>
      </c>
      <c r="M2349">
        <v>4400</v>
      </c>
      <c r="N2349">
        <v>64600</v>
      </c>
      <c r="O2349" t="s">
        <v>25</v>
      </c>
      <c r="P2349" s="3">
        <v>43400</v>
      </c>
      <c r="Q2349" t="s">
        <v>28</v>
      </c>
    </row>
    <row r="2350" spans="1:17" x14ac:dyDescent="0.35">
      <c r="A2350" t="s">
        <v>2402</v>
      </c>
      <c r="B2350" t="s">
        <v>23</v>
      </c>
      <c r="C2350" s="7">
        <v>36</v>
      </c>
      <c r="D2350" t="s">
        <v>41</v>
      </c>
      <c r="E2350" t="s">
        <v>73</v>
      </c>
      <c r="F2350" t="s">
        <v>36</v>
      </c>
      <c r="G2350" s="9">
        <v>12.3</v>
      </c>
      <c r="H2350" s="7">
        <v>9.9</v>
      </c>
      <c r="I2350" t="str" cm="1">
        <f t="array" ref="I2350">_xlfn.IFS(G2350&lt;3, "0–2 Years", G2350&lt;6, "3–5 Years", G2350&lt;9, "6–8 Years", G2350&lt;12, "9-11 Years", G2350&gt;=12, "12-14 Years")</f>
        <v>12-14 Years</v>
      </c>
      <c r="J2350" s="7">
        <v>3</v>
      </c>
      <c r="K2350" t="s">
        <v>20</v>
      </c>
      <c r="L2350" s="7">
        <v>106700</v>
      </c>
      <c r="M2350" s="7">
        <v>3800</v>
      </c>
      <c r="N2350" s="7">
        <v>110500</v>
      </c>
      <c r="O2350" t="s">
        <v>57</v>
      </c>
      <c r="P2350" s="3">
        <v>41533</v>
      </c>
      <c r="Q2350" t="s">
        <v>36</v>
      </c>
    </row>
    <row r="2351" spans="1:17" x14ac:dyDescent="0.35">
      <c r="A2351" t="s">
        <v>2403</v>
      </c>
      <c r="B2351" t="s">
        <v>16</v>
      </c>
      <c r="C2351">
        <v>34</v>
      </c>
      <c r="D2351" t="s">
        <v>17</v>
      </c>
      <c r="E2351" t="s">
        <v>18</v>
      </c>
      <c r="F2351" t="s">
        <v>28</v>
      </c>
      <c r="G2351">
        <v>10.1</v>
      </c>
      <c r="H2351">
        <v>5.6</v>
      </c>
      <c r="I2351" t="str" cm="1">
        <f t="array" ref="I2351">_xlfn.IFS(G2351&lt;3, "0–2 Years", G2351&lt;6, "3–5 Years", G2351&lt;9, "6–8 Years", G2351&lt;12, "9-11 Years", G2351&gt;=12, "12-14 Years")</f>
        <v>9-11 Years</v>
      </c>
      <c r="J2351">
        <v>3</v>
      </c>
      <c r="K2351" t="s">
        <v>20</v>
      </c>
      <c r="L2351">
        <v>104800</v>
      </c>
      <c r="M2351">
        <v>13500</v>
      </c>
      <c r="N2351">
        <v>118300</v>
      </c>
      <c r="O2351" t="s">
        <v>57</v>
      </c>
      <c r="P2351" s="3">
        <v>42326</v>
      </c>
      <c r="Q2351" t="s">
        <v>28</v>
      </c>
    </row>
    <row r="2352" spans="1:17" x14ac:dyDescent="0.35">
      <c r="A2352" t="s">
        <v>2404</v>
      </c>
      <c r="B2352" t="s">
        <v>16</v>
      </c>
      <c r="C2352" s="7">
        <v>35</v>
      </c>
      <c r="D2352" t="s">
        <v>41</v>
      </c>
      <c r="E2352" t="s">
        <v>67</v>
      </c>
      <c r="F2352" t="s">
        <v>28</v>
      </c>
      <c r="G2352" s="9">
        <v>13.8</v>
      </c>
      <c r="H2352" s="7">
        <v>7.3</v>
      </c>
      <c r="I2352" t="str" cm="1">
        <f t="array" ref="I2352">_xlfn.IFS(G2352&lt;3, "0–2 Years", G2352&lt;6, "3–5 Years", G2352&lt;9, "6–8 Years", G2352&lt;12, "9-11 Years", G2352&gt;=12, "12-14 Years")</f>
        <v>12-14 Years</v>
      </c>
      <c r="J2352" s="7">
        <v>2</v>
      </c>
      <c r="K2352" t="s">
        <v>20</v>
      </c>
      <c r="L2352" s="7">
        <v>68600</v>
      </c>
      <c r="M2352" s="7">
        <v>4900</v>
      </c>
      <c r="N2352" s="7">
        <v>73500</v>
      </c>
      <c r="O2352" t="s">
        <v>21</v>
      </c>
      <c r="P2352" s="3">
        <v>40968</v>
      </c>
      <c r="Q2352" t="s">
        <v>28</v>
      </c>
    </row>
    <row r="2353" spans="1:17" x14ac:dyDescent="0.35">
      <c r="A2353" t="s">
        <v>2405</v>
      </c>
      <c r="B2353" t="s">
        <v>23</v>
      </c>
      <c r="C2353">
        <v>53</v>
      </c>
      <c r="D2353" t="s">
        <v>44</v>
      </c>
      <c r="E2353" t="s">
        <v>81</v>
      </c>
      <c r="F2353" t="s">
        <v>36</v>
      </c>
      <c r="G2353">
        <v>11.8</v>
      </c>
      <c r="H2353">
        <v>8.6999999999999993</v>
      </c>
      <c r="I2353" t="str" cm="1">
        <f t="array" ref="I2353">_xlfn.IFS(G2353&lt;3, "0–2 Years", G2353&lt;6, "3–5 Years", G2353&lt;9, "6–8 Years", G2353&lt;12, "9-11 Years", G2353&gt;=12, "12-14 Years")</f>
        <v>9-11 Years</v>
      </c>
      <c r="J2353">
        <v>3</v>
      </c>
      <c r="K2353" t="s">
        <v>20</v>
      </c>
      <c r="L2353">
        <v>117200</v>
      </c>
      <c r="M2353">
        <v>11500</v>
      </c>
      <c r="N2353">
        <v>128700</v>
      </c>
      <c r="O2353" t="s">
        <v>57</v>
      </c>
      <c r="P2353" s="3">
        <v>41728</v>
      </c>
      <c r="Q2353" t="s">
        <v>36</v>
      </c>
    </row>
    <row r="2354" spans="1:17" x14ac:dyDescent="0.35">
      <c r="A2354" t="s">
        <v>2406</v>
      </c>
      <c r="B2354" t="s">
        <v>23</v>
      </c>
      <c r="C2354">
        <v>61</v>
      </c>
      <c r="D2354" t="s">
        <v>38</v>
      </c>
      <c r="E2354" t="s">
        <v>39</v>
      </c>
      <c r="F2354" t="s">
        <v>28</v>
      </c>
      <c r="G2354">
        <v>6.5</v>
      </c>
      <c r="H2354">
        <v>4.5</v>
      </c>
      <c r="I2354" t="str" cm="1">
        <f t="array" ref="I2354">_xlfn.IFS(G2354&lt;3, "0–2 Years", G2354&lt;6, "3–5 Years", G2354&lt;9, "6–8 Years", G2354&lt;12, "9-11 Years", G2354&gt;=12, "12-14 Years")</f>
        <v>6–8 Years</v>
      </c>
      <c r="J2354">
        <v>2</v>
      </c>
      <c r="K2354" t="s">
        <v>20</v>
      </c>
      <c r="L2354">
        <v>80400</v>
      </c>
      <c r="M2354">
        <v>7200</v>
      </c>
      <c r="N2354">
        <v>87600</v>
      </c>
      <c r="O2354" t="s">
        <v>30</v>
      </c>
      <c r="P2354" s="3">
        <v>43632</v>
      </c>
      <c r="Q2354" t="s">
        <v>28</v>
      </c>
    </row>
    <row r="2355" spans="1:17" x14ac:dyDescent="0.35">
      <c r="A2355" t="s">
        <v>2407</v>
      </c>
      <c r="B2355" t="s">
        <v>23</v>
      </c>
      <c r="C2355">
        <v>27</v>
      </c>
      <c r="D2355" t="s">
        <v>34</v>
      </c>
      <c r="E2355" t="s">
        <v>47</v>
      </c>
      <c r="F2355" t="s">
        <v>36</v>
      </c>
      <c r="G2355">
        <v>10.1</v>
      </c>
      <c r="H2355">
        <v>7.1</v>
      </c>
      <c r="I2355" t="str" cm="1">
        <f t="array" ref="I2355">_xlfn.IFS(G2355&lt;3, "0–2 Years", G2355&lt;6, "3–5 Years", G2355&lt;9, "6–8 Years", G2355&lt;12, "9-11 Years", G2355&gt;=12, "12-14 Years")</f>
        <v>9-11 Years</v>
      </c>
      <c r="J2355">
        <v>1</v>
      </c>
      <c r="K2355" t="s">
        <v>20</v>
      </c>
      <c r="L2355">
        <v>91300</v>
      </c>
      <c r="M2355">
        <v>4000</v>
      </c>
      <c r="N2355">
        <v>95300</v>
      </c>
      <c r="O2355" t="s">
        <v>30</v>
      </c>
      <c r="P2355" s="3">
        <v>42323</v>
      </c>
      <c r="Q2355" t="s">
        <v>36</v>
      </c>
    </row>
    <row r="2356" spans="1:17" x14ac:dyDescent="0.35">
      <c r="A2356" t="s">
        <v>2408</v>
      </c>
      <c r="B2356" t="s">
        <v>23</v>
      </c>
      <c r="C2356">
        <v>40</v>
      </c>
      <c r="D2356" t="s">
        <v>41</v>
      </c>
      <c r="E2356" t="s">
        <v>67</v>
      </c>
      <c r="F2356" t="s">
        <v>36</v>
      </c>
      <c r="G2356">
        <v>4.4000000000000004</v>
      </c>
      <c r="H2356">
        <v>2.6</v>
      </c>
      <c r="I2356" t="str" cm="1">
        <f t="array" ref="I2356">_xlfn.IFS(G2356&lt;3, "0–2 Years", G2356&lt;6, "3–5 Years", G2356&lt;9, "6–8 Years", G2356&lt;12, "9-11 Years", G2356&gt;=12, "12-14 Years")</f>
        <v>3–5 Years</v>
      </c>
      <c r="J2356">
        <v>3</v>
      </c>
      <c r="K2356" t="s">
        <v>20</v>
      </c>
      <c r="L2356">
        <v>74500</v>
      </c>
      <c r="M2356">
        <v>4000</v>
      </c>
      <c r="N2356">
        <v>78500</v>
      </c>
      <c r="O2356" t="s">
        <v>21</v>
      </c>
      <c r="P2356" s="3">
        <v>44402</v>
      </c>
      <c r="Q2356" t="s">
        <v>36</v>
      </c>
    </row>
    <row r="2357" spans="1:17" x14ac:dyDescent="0.35">
      <c r="A2357" t="s">
        <v>2409</v>
      </c>
      <c r="B2357" t="s">
        <v>16</v>
      </c>
      <c r="C2357">
        <v>48</v>
      </c>
      <c r="D2357" t="s">
        <v>38</v>
      </c>
      <c r="E2357" t="s">
        <v>112</v>
      </c>
      <c r="F2357" t="s">
        <v>28</v>
      </c>
      <c r="G2357">
        <v>1.6</v>
      </c>
      <c r="H2357">
        <v>1.1000000000000001</v>
      </c>
      <c r="I2357" t="str" cm="1">
        <f t="array" ref="I2357">_xlfn.IFS(G2357&lt;3, "0–2 Years", G2357&lt;6, "3–5 Years", G2357&lt;9, "6–8 Years", G2357&lt;12, "9-11 Years", G2357&gt;=12, "12-14 Years")</f>
        <v>0–2 Years</v>
      </c>
      <c r="J2357">
        <v>3</v>
      </c>
      <c r="K2357" t="s">
        <v>20</v>
      </c>
      <c r="L2357">
        <v>61800</v>
      </c>
      <c r="M2357">
        <v>3900</v>
      </c>
      <c r="N2357">
        <v>65700</v>
      </c>
      <c r="O2357" t="s">
        <v>25</v>
      </c>
      <c r="P2357" s="3">
        <v>45430</v>
      </c>
      <c r="Q2357" t="s">
        <v>28</v>
      </c>
    </row>
    <row r="2358" spans="1:17" x14ac:dyDescent="0.35">
      <c r="A2358" t="s">
        <v>2410</v>
      </c>
      <c r="B2358" t="s">
        <v>23</v>
      </c>
      <c r="C2358">
        <v>39</v>
      </c>
      <c r="D2358" t="s">
        <v>41</v>
      </c>
      <c r="E2358" t="s">
        <v>67</v>
      </c>
      <c r="F2358" t="s">
        <v>28</v>
      </c>
      <c r="G2358">
        <v>4.3</v>
      </c>
      <c r="H2358">
        <v>2.1</v>
      </c>
      <c r="I2358" t="str" cm="1">
        <f t="array" ref="I2358">_xlfn.IFS(G2358&lt;3, "0–2 Years", G2358&lt;6, "3–5 Years", G2358&lt;9, "6–8 Years", G2358&lt;12, "9-11 Years", G2358&gt;=12, "12-14 Years")</f>
        <v>3–5 Years</v>
      </c>
      <c r="J2358">
        <v>4</v>
      </c>
      <c r="K2358" t="s">
        <v>20</v>
      </c>
      <c r="L2358">
        <v>64900</v>
      </c>
      <c r="M2358">
        <v>5300</v>
      </c>
      <c r="N2358">
        <v>70200</v>
      </c>
      <c r="O2358" t="s">
        <v>25</v>
      </c>
      <c r="P2358" s="3">
        <v>44437</v>
      </c>
      <c r="Q2358" t="s">
        <v>28</v>
      </c>
    </row>
    <row r="2359" spans="1:17" x14ac:dyDescent="0.35">
      <c r="A2359" t="s">
        <v>2411</v>
      </c>
      <c r="B2359" t="s">
        <v>23</v>
      </c>
      <c r="C2359">
        <v>40</v>
      </c>
      <c r="D2359" t="s">
        <v>17</v>
      </c>
      <c r="E2359" t="s">
        <v>18</v>
      </c>
      <c r="F2359" t="s">
        <v>28</v>
      </c>
      <c r="G2359">
        <v>2</v>
      </c>
      <c r="H2359">
        <v>2</v>
      </c>
      <c r="I2359" t="str" cm="1">
        <f t="array" ref="I2359">_xlfn.IFS(G2359&lt;3, "0–2 Years", G2359&lt;6, "3–5 Years", G2359&lt;9, "6–8 Years", G2359&lt;12, "9-11 Years", G2359&gt;=12, "12-14 Years")</f>
        <v>0–2 Years</v>
      </c>
      <c r="J2359">
        <v>1</v>
      </c>
      <c r="K2359" t="s">
        <v>20</v>
      </c>
      <c r="L2359">
        <v>97900</v>
      </c>
      <c r="M2359">
        <v>8300</v>
      </c>
      <c r="N2359">
        <v>106200</v>
      </c>
      <c r="O2359" t="s">
        <v>30</v>
      </c>
      <c r="P2359" s="3">
        <v>45303</v>
      </c>
      <c r="Q2359" t="s">
        <v>28</v>
      </c>
    </row>
    <row r="2360" spans="1:17" x14ac:dyDescent="0.35">
      <c r="A2360" t="s">
        <v>2412</v>
      </c>
      <c r="B2360" t="s">
        <v>23</v>
      </c>
      <c r="C2360">
        <v>38</v>
      </c>
      <c r="D2360" t="s">
        <v>41</v>
      </c>
      <c r="E2360" t="s">
        <v>42</v>
      </c>
      <c r="F2360" t="s">
        <v>36</v>
      </c>
      <c r="G2360">
        <v>4.4000000000000004</v>
      </c>
      <c r="H2360">
        <v>2.4</v>
      </c>
      <c r="I2360" t="str" cm="1">
        <f t="array" ref="I2360">_xlfn.IFS(G2360&lt;3, "0–2 Years", G2360&lt;6, "3–5 Years", G2360&lt;9, "6–8 Years", G2360&lt;12, "9-11 Years", G2360&gt;=12, "12-14 Years")</f>
        <v>3–5 Years</v>
      </c>
      <c r="J2360">
        <v>2</v>
      </c>
      <c r="K2360" t="s">
        <v>20</v>
      </c>
      <c r="L2360">
        <v>82100</v>
      </c>
      <c r="M2360">
        <v>6800</v>
      </c>
      <c r="N2360">
        <v>88900</v>
      </c>
      <c r="O2360" t="s">
        <v>30</v>
      </c>
      <c r="P2360" s="3">
        <v>44402</v>
      </c>
      <c r="Q2360" t="s">
        <v>36</v>
      </c>
    </row>
    <row r="2361" spans="1:17" x14ac:dyDescent="0.35">
      <c r="A2361" t="s">
        <v>2413</v>
      </c>
      <c r="B2361" t="s">
        <v>23</v>
      </c>
      <c r="C2361">
        <v>48</v>
      </c>
      <c r="D2361" t="s">
        <v>41</v>
      </c>
      <c r="E2361" t="s">
        <v>42</v>
      </c>
      <c r="F2361" t="s">
        <v>36</v>
      </c>
      <c r="G2361">
        <v>6.7</v>
      </c>
      <c r="H2361">
        <v>5.0999999999999996</v>
      </c>
      <c r="I2361" t="str" cm="1">
        <f t="array" ref="I2361">_xlfn.IFS(G2361&lt;3, "0–2 Years", G2361&lt;6, "3–5 Years", G2361&lt;9, "6–8 Years", G2361&lt;12, "9-11 Years", G2361&gt;=12, "12-14 Years")</f>
        <v>6–8 Years</v>
      </c>
      <c r="J2361">
        <v>4</v>
      </c>
      <c r="K2361" t="s">
        <v>20</v>
      </c>
      <c r="L2361">
        <v>80200</v>
      </c>
      <c r="M2361">
        <v>3500</v>
      </c>
      <c r="N2361">
        <v>83700</v>
      </c>
      <c r="O2361" t="s">
        <v>30</v>
      </c>
      <c r="P2361" s="3">
        <v>43586</v>
      </c>
      <c r="Q2361" t="s">
        <v>36</v>
      </c>
    </row>
    <row r="2362" spans="1:17" x14ac:dyDescent="0.35">
      <c r="A2362" t="s">
        <v>2414</v>
      </c>
      <c r="B2362" t="s">
        <v>16</v>
      </c>
      <c r="C2362">
        <v>34</v>
      </c>
      <c r="D2362" t="s">
        <v>38</v>
      </c>
      <c r="E2362" t="s">
        <v>112</v>
      </c>
      <c r="F2362" t="s">
        <v>62</v>
      </c>
      <c r="G2362">
        <v>10.4</v>
      </c>
      <c r="H2362">
        <v>8.5</v>
      </c>
      <c r="I2362" t="str" cm="1">
        <f t="array" ref="I2362">_xlfn.IFS(G2362&lt;3, "0–2 Years", G2362&lt;6, "3–5 Years", G2362&lt;9, "6–8 Years", G2362&lt;12, "9-11 Years", G2362&gt;=12, "12-14 Years")</f>
        <v>9-11 Years</v>
      </c>
      <c r="J2362">
        <v>4</v>
      </c>
      <c r="K2362" t="s">
        <v>20</v>
      </c>
      <c r="L2362">
        <v>89200</v>
      </c>
      <c r="M2362">
        <v>6200</v>
      </c>
      <c r="N2362">
        <v>95400</v>
      </c>
      <c r="O2362" t="s">
        <v>30</v>
      </c>
      <c r="P2362" s="3">
        <v>42242</v>
      </c>
      <c r="Q2362" t="s">
        <v>62</v>
      </c>
    </row>
    <row r="2363" spans="1:17" x14ac:dyDescent="0.35">
      <c r="A2363" t="s">
        <v>2415</v>
      </c>
      <c r="B2363" t="s">
        <v>16</v>
      </c>
      <c r="C2363">
        <v>28</v>
      </c>
      <c r="D2363" t="s">
        <v>38</v>
      </c>
      <c r="E2363" t="s">
        <v>61</v>
      </c>
      <c r="F2363" t="s">
        <v>28</v>
      </c>
      <c r="G2363">
        <v>1</v>
      </c>
      <c r="H2363">
        <v>1</v>
      </c>
      <c r="I2363" t="str" cm="1">
        <f t="array" ref="I2363">_xlfn.IFS(G2363&lt;3, "0–2 Years", G2363&lt;6, "3–5 Years", G2363&lt;9, "6–8 Years", G2363&lt;12, "9-11 Years", G2363&gt;=12, "12-14 Years")</f>
        <v>0–2 Years</v>
      </c>
      <c r="J2363">
        <v>2</v>
      </c>
      <c r="K2363" t="s">
        <v>20</v>
      </c>
      <c r="L2363">
        <v>99600</v>
      </c>
      <c r="M2363">
        <v>10400</v>
      </c>
      <c r="N2363">
        <v>110000</v>
      </c>
      <c r="O2363" t="s">
        <v>30</v>
      </c>
      <c r="P2363" s="3">
        <v>45640</v>
      </c>
      <c r="Q2363" t="s">
        <v>28</v>
      </c>
    </row>
    <row r="2364" spans="1:17" x14ac:dyDescent="0.35">
      <c r="A2364" t="s">
        <v>2416</v>
      </c>
      <c r="B2364" t="s">
        <v>16</v>
      </c>
      <c r="C2364" s="7">
        <v>35</v>
      </c>
      <c r="D2364" t="s">
        <v>44</v>
      </c>
      <c r="E2364" t="s">
        <v>45</v>
      </c>
      <c r="F2364" t="s">
        <v>28</v>
      </c>
      <c r="G2364" s="9">
        <v>13.5</v>
      </c>
      <c r="H2364" s="7">
        <v>7.8</v>
      </c>
      <c r="I2364" t="str" cm="1">
        <f t="array" ref="I2364">_xlfn.IFS(G2364&lt;3, "0–2 Years", G2364&lt;6, "3–5 Years", G2364&lt;9, "6–8 Years", G2364&lt;12, "9-11 Years", G2364&gt;=12, "12-14 Years")</f>
        <v>12-14 Years</v>
      </c>
      <c r="J2364" s="7">
        <v>3</v>
      </c>
      <c r="K2364" t="s">
        <v>20</v>
      </c>
      <c r="L2364" s="7">
        <v>83600</v>
      </c>
      <c r="M2364" s="7">
        <v>7900</v>
      </c>
      <c r="N2364" s="7">
        <v>91500</v>
      </c>
      <c r="O2364" t="s">
        <v>30</v>
      </c>
      <c r="P2364" s="3">
        <v>41101</v>
      </c>
      <c r="Q2364" t="s">
        <v>28</v>
      </c>
    </row>
    <row r="2365" spans="1:17" x14ac:dyDescent="0.35">
      <c r="A2365" t="s">
        <v>2417</v>
      </c>
      <c r="B2365" t="s">
        <v>23</v>
      </c>
      <c r="C2365">
        <v>26</v>
      </c>
      <c r="D2365" t="s">
        <v>55</v>
      </c>
      <c r="E2365" t="s">
        <v>79</v>
      </c>
      <c r="F2365" t="s">
        <v>19</v>
      </c>
      <c r="G2365">
        <v>2.1</v>
      </c>
      <c r="H2365">
        <v>2.1</v>
      </c>
      <c r="I2365" t="str" cm="1">
        <f t="array" ref="I2365">_xlfn.IFS(G2365&lt;3, "0–2 Years", G2365&lt;6, "3–5 Years", G2365&lt;9, "6–8 Years", G2365&lt;12, "9-11 Years", G2365&gt;=12, "12-14 Years")</f>
        <v>0–2 Years</v>
      </c>
      <c r="J2365">
        <v>4</v>
      </c>
      <c r="K2365" t="s">
        <v>20</v>
      </c>
      <c r="L2365">
        <v>56100</v>
      </c>
      <c r="M2365">
        <v>10800</v>
      </c>
      <c r="N2365">
        <v>66900</v>
      </c>
      <c r="O2365" t="s">
        <v>25</v>
      </c>
      <c r="P2365" s="3">
        <v>45240</v>
      </c>
      <c r="Q2365" t="s">
        <v>19</v>
      </c>
    </row>
    <row r="2366" spans="1:17" x14ac:dyDescent="0.35">
      <c r="A2366" t="s">
        <v>2418</v>
      </c>
      <c r="B2366" t="s">
        <v>23</v>
      </c>
      <c r="C2366">
        <v>23</v>
      </c>
      <c r="D2366" t="s">
        <v>55</v>
      </c>
      <c r="E2366" t="s">
        <v>56</v>
      </c>
      <c r="F2366" t="s">
        <v>28</v>
      </c>
      <c r="G2366">
        <v>7.8</v>
      </c>
      <c r="H2366">
        <v>3.9</v>
      </c>
      <c r="I2366" t="str" cm="1">
        <f t="array" ref="I2366">_xlfn.IFS(G2366&lt;3, "0–2 Years", G2366&lt;6, "3–5 Years", G2366&lt;9, "6–8 Years", G2366&lt;12, "9-11 Years", G2366&gt;=12, "12-14 Years")</f>
        <v>6–8 Years</v>
      </c>
      <c r="J2366">
        <v>3</v>
      </c>
      <c r="K2366" t="s">
        <v>20</v>
      </c>
      <c r="L2366">
        <v>106200</v>
      </c>
      <c r="M2366">
        <v>20400</v>
      </c>
      <c r="N2366">
        <v>126600</v>
      </c>
      <c r="O2366" t="s">
        <v>57</v>
      </c>
      <c r="P2366" s="3">
        <v>43178</v>
      </c>
      <c r="Q2366" t="s">
        <v>28</v>
      </c>
    </row>
    <row r="2367" spans="1:17" x14ac:dyDescent="0.35">
      <c r="A2367" t="s">
        <v>2419</v>
      </c>
      <c r="B2367" t="s">
        <v>16</v>
      </c>
      <c r="C2367" s="7">
        <v>42</v>
      </c>
      <c r="D2367" t="s">
        <v>34</v>
      </c>
      <c r="E2367" t="s">
        <v>59</v>
      </c>
      <c r="F2367" t="s">
        <v>36</v>
      </c>
      <c r="G2367" s="9">
        <v>13.4</v>
      </c>
      <c r="H2367" s="7">
        <v>7.9</v>
      </c>
      <c r="I2367" t="str" cm="1">
        <f t="array" ref="I2367">_xlfn.IFS(G2367&lt;3, "0–2 Years", G2367&lt;6, "3–5 Years", G2367&lt;9, "6–8 Years", G2367&lt;12, "9-11 Years", G2367&gt;=12, "12-14 Years")</f>
        <v>12-14 Years</v>
      </c>
      <c r="J2367" s="7">
        <v>3</v>
      </c>
      <c r="K2367" t="s">
        <v>24</v>
      </c>
      <c r="L2367" s="7">
        <v>75500</v>
      </c>
      <c r="M2367" s="7">
        <v>8100</v>
      </c>
      <c r="N2367" s="7">
        <v>83600</v>
      </c>
      <c r="O2367" t="s">
        <v>21</v>
      </c>
      <c r="P2367" s="3">
        <v>41143</v>
      </c>
      <c r="Q2367" t="s">
        <v>36</v>
      </c>
    </row>
    <row r="2368" spans="1:17" x14ac:dyDescent="0.35">
      <c r="A2368" t="s">
        <v>2420</v>
      </c>
      <c r="B2368" t="s">
        <v>23</v>
      </c>
      <c r="C2368" s="7">
        <v>32</v>
      </c>
      <c r="D2368" t="s">
        <v>41</v>
      </c>
      <c r="E2368" t="s">
        <v>67</v>
      </c>
      <c r="F2368" t="s">
        <v>36</v>
      </c>
      <c r="G2368" s="9">
        <v>13.5</v>
      </c>
      <c r="H2368" s="7">
        <v>0</v>
      </c>
      <c r="I2368" t="str" cm="1">
        <f t="array" ref="I2368">_xlfn.IFS(G2368&lt;3, "0–2 Years", G2368&lt;6, "3–5 Years", G2368&lt;9, "6–8 Years", G2368&lt;12, "9-11 Years", G2368&gt;=12, "12-14 Years")</f>
        <v>12-14 Years</v>
      </c>
      <c r="J2368" s="7">
        <v>3</v>
      </c>
      <c r="K2368" t="s">
        <v>20</v>
      </c>
      <c r="L2368" s="7">
        <v>80900</v>
      </c>
      <c r="M2368" s="7">
        <v>3600</v>
      </c>
      <c r="N2368" s="7">
        <v>84500</v>
      </c>
      <c r="O2368" t="s">
        <v>30</v>
      </c>
      <c r="P2368" s="3">
        <v>41102</v>
      </c>
      <c r="Q2368" t="s">
        <v>36</v>
      </c>
    </row>
    <row r="2369" spans="1:17" x14ac:dyDescent="0.35">
      <c r="A2369" t="s">
        <v>2421</v>
      </c>
      <c r="B2369" t="s">
        <v>23</v>
      </c>
      <c r="C2369">
        <v>40</v>
      </c>
      <c r="D2369" t="s">
        <v>34</v>
      </c>
      <c r="E2369" t="s">
        <v>47</v>
      </c>
      <c r="F2369" t="s">
        <v>28</v>
      </c>
      <c r="G2369">
        <v>9.5</v>
      </c>
      <c r="H2369">
        <v>5.6</v>
      </c>
      <c r="I2369" t="str" cm="1">
        <f t="array" ref="I2369">_xlfn.IFS(G2369&lt;3, "0–2 Years", G2369&lt;6, "3–5 Years", G2369&lt;9, "6–8 Years", G2369&lt;12, "9-11 Years", G2369&gt;=12, "12-14 Years")</f>
        <v>9-11 Years</v>
      </c>
      <c r="J2369">
        <v>3</v>
      </c>
      <c r="K2369" t="s">
        <v>20</v>
      </c>
      <c r="L2369">
        <v>80900</v>
      </c>
      <c r="M2369">
        <v>8500</v>
      </c>
      <c r="N2369">
        <v>89400</v>
      </c>
      <c r="O2369" t="s">
        <v>30</v>
      </c>
      <c r="P2369" s="3">
        <v>42551</v>
      </c>
      <c r="Q2369" t="s">
        <v>28</v>
      </c>
    </row>
    <row r="2370" spans="1:17" x14ac:dyDescent="0.35">
      <c r="A2370" t="s">
        <v>2422</v>
      </c>
      <c r="B2370" t="s">
        <v>23</v>
      </c>
      <c r="C2370">
        <v>37</v>
      </c>
      <c r="D2370" t="s">
        <v>44</v>
      </c>
      <c r="E2370" t="s">
        <v>81</v>
      </c>
      <c r="F2370" t="s">
        <v>28</v>
      </c>
      <c r="G2370">
        <v>8.6</v>
      </c>
      <c r="H2370">
        <v>5.8</v>
      </c>
      <c r="I2370" t="str" cm="1">
        <f t="array" ref="I2370">_xlfn.IFS(G2370&lt;3, "0–2 Years", G2370&lt;6, "3–5 Years", G2370&lt;9, "6–8 Years", G2370&lt;12, "9-11 Years", G2370&gt;=12, "12-14 Years")</f>
        <v>6–8 Years</v>
      </c>
      <c r="J2370">
        <v>3</v>
      </c>
      <c r="K2370" t="s">
        <v>20</v>
      </c>
      <c r="L2370">
        <v>90300</v>
      </c>
      <c r="M2370">
        <v>7600</v>
      </c>
      <c r="N2370">
        <v>97900</v>
      </c>
      <c r="O2370" t="s">
        <v>30</v>
      </c>
      <c r="P2370" s="3">
        <v>42870</v>
      </c>
      <c r="Q2370" t="s">
        <v>28</v>
      </c>
    </row>
    <row r="2371" spans="1:17" x14ac:dyDescent="0.35">
      <c r="A2371" t="s">
        <v>2423</v>
      </c>
      <c r="B2371" t="s">
        <v>16</v>
      </c>
      <c r="C2371" s="7">
        <v>39</v>
      </c>
      <c r="D2371" t="s">
        <v>44</v>
      </c>
      <c r="E2371" t="s">
        <v>51</v>
      </c>
      <c r="F2371" t="s">
        <v>36</v>
      </c>
      <c r="G2371" s="9">
        <v>12.6</v>
      </c>
      <c r="H2371" s="7">
        <v>8.6999999999999993</v>
      </c>
      <c r="I2371" t="str" cm="1">
        <f t="array" ref="I2371">_xlfn.IFS(G2371&lt;3, "0–2 Years", G2371&lt;6, "3–5 Years", G2371&lt;9, "6–8 Years", G2371&lt;12, "9-11 Years", G2371&gt;=12, "12-14 Years")</f>
        <v>12-14 Years</v>
      </c>
      <c r="J2371" s="7">
        <v>4</v>
      </c>
      <c r="K2371" t="s">
        <v>20</v>
      </c>
      <c r="L2371" s="7">
        <v>96600</v>
      </c>
      <c r="M2371" s="7">
        <v>14400</v>
      </c>
      <c r="N2371" s="7">
        <v>111000</v>
      </c>
      <c r="O2371" t="s">
        <v>30</v>
      </c>
      <c r="P2371" s="3">
        <v>41432</v>
      </c>
      <c r="Q2371" t="s">
        <v>36</v>
      </c>
    </row>
    <row r="2372" spans="1:17" x14ac:dyDescent="0.35">
      <c r="A2372" t="s">
        <v>2424</v>
      </c>
      <c r="B2372" t="s">
        <v>23</v>
      </c>
      <c r="C2372">
        <v>33</v>
      </c>
      <c r="D2372" t="s">
        <v>55</v>
      </c>
      <c r="E2372" t="s">
        <v>56</v>
      </c>
      <c r="F2372" t="s">
        <v>28</v>
      </c>
      <c r="G2372">
        <v>1.8</v>
      </c>
      <c r="H2372">
        <v>1.8</v>
      </c>
      <c r="I2372" t="str" cm="1">
        <f t="array" ref="I2372">_xlfn.IFS(G2372&lt;3, "0–2 Years", G2372&lt;6, "3–5 Years", G2372&lt;9, "6–8 Years", G2372&lt;12, "9-11 Years", G2372&gt;=12, "12-14 Years")</f>
        <v>0–2 Years</v>
      </c>
      <c r="J2372">
        <v>3</v>
      </c>
      <c r="K2372" t="s">
        <v>20</v>
      </c>
      <c r="L2372">
        <v>88400</v>
      </c>
      <c r="M2372">
        <v>9500</v>
      </c>
      <c r="N2372">
        <v>97900</v>
      </c>
      <c r="O2372" t="s">
        <v>30</v>
      </c>
      <c r="P2372" s="3">
        <v>45350</v>
      </c>
      <c r="Q2372" t="s">
        <v>28</v>
      </c>
    </row>
    <row r="2373" spans="1:17" x14ac:dyDescent="0.35">
      <c r="A2373" t="s">
        <v>2425</v>
      </c>
      <c r="B2373" t="s">
        <v>16</v>
      </c>
      <c r="C2373">
        <v>33</v>
      </c>
      <c r="D2373" t="s">
        <v>55</v>
      </c>
      <c r="E2373" t="s">
        <v>92</v>
      </c>
      <c r="F2373" t="s">
        <v>36</v>
      </c>
      <c r="G2373">
        <v>11.4</v>
      </c>
      <c r="H2373">
        <v>7</v>
      </c>
      <c r="I2373" t="str" cm="1">
        <f t="array" ref="I2373">_xlfn.IFS(G2373&lt;3, "0–2 Years", G2373&lt;6, "3–5 Years", G2373&lt;9, "6–8 Years", G2373&lt;12, "9-11 Years", G2373&gt;=12, "12-14 Years")</f>
        <v>9-11 Years</v>
      </c>
      <c r="J2373">
        <v>5</v>
      </c>
      <c r="K2373" t="s">
        <v>20</v>
      </c>
      <c r="L2373">
        <v>105700</v>
      </c>
      <c r="M2373">
        <v>19700</v>
      </c>
      <c r="N2373">
        <v>125400</v>
      </c>
      <c r="O2373" t="s">
        <v>57</v>
      </c>
      <c r="P2373" s="3">
        <v>41857</v>
      </c>
      <c r="Q2373" t="s">
        <v>36</v>
      </c>
    </row>
    <row r="2374" spans="1:17" x14ac:dyDescent="0.35">
      <c r="A2374" t="s">
        <v>2426</v>
      </c>
      <c r="B2374" t="s">
        <v>16</v>
      </c>
      <c r="C2374" s="7">
        <v>39</v>
      </c>
      <c r="D2374" t="s">
        <v>17</v>
      </c>
      <c r="E2374" t="s">
        <v>18</v>
      </c>
      <c r="F2374" t="s">
        <v>36</v>
      </c>
      <c r="G2374" s="9">
        <v>13.4</v>
      </c>
      <c r="H2374" s="7">
        <v>10.6</v>
      </c>
      <c r="I2374" t="str" cm="1">
        <f t="array" ref="I2374">_xlfn.IFS(G2374&lt;3, "0–2 Years", G2374&lt;6, "3–5 Years", G2374&lt;9, "6–8 Years", G2374&lt;12, "9-11 Years", G2374&gt;=12, "12-14 Years")</f>
        <v>12-14 Years</v>
      </c>
      <c r="J2374" s="7">
        <v>4</v>
      </c>
      <c r="K2374" t="s">
        <v>20</v>
      </c>
      <c r="L2374" s="7">
        <v>119600</v>
      </c>
      <c r="M2374" s="7">
        <v>14500</v>
      </c>
      <c r="N2374" s="7">
        <v>134100</v>
      </c>
      <c r="O2374" t="s">
        <v>57</v>
      </c>
      <c r="P2374" s="3">
        <v>41143</v>
      </c>
      <c r="Q2374" t="s">
        <v>36</v>
      </c>
    </row>
    <row r="2375" spans="1:17" x14ac:dyDescent="0.35">
      <c r="A2375" t="s">
        <v>2427</v>
      </c>
      <c r="B2375" t="s">
        <v>16</v>
      </c>
      <c r="C2375">
        <v>37</v>
      </c>
      <c r="D2375" t="s">
        <v>44</v>
      </c>
      <c r="E2375" t="s">
        <v>81</v>
      </c>
      <c r="F2375" t="s">
        <v>19</v>
      </c>
      <c r="G2375">
        <v>4.4000000000000004</v>
      </c>
      <c r="H2375">
        <v>1.5</v>
      </c>
      <c r="I2375" t="str" cm="1">
        <f t="array" ref="I2375">_xlfn.IFS(G2375&lt;3, "0–2 Years", G2375&lt;6, "3–5 Years", G2375&lt;9, "6–8 Years", G2375&lt;12, "9-11 Years", G2375&gt;=12, "12-14 Years")</f>
        <v>3–5 Years</v>
      </c>
      <c r="J2375">
        <v>3</v>
      </c>
      <c r="K2375" t="s">
        <v>20</v>
      </c>
      <c r="L2375">
        <v>84100</v>
      </c>
      <c r="M2375">
        <v>4600</v>
      </c>
      <c r="N2375">
        <v>88700</v>
      </c>
      <c r="O2375" t="s">
        <v>30</v>
      </c>
      <c r="P2375" s="3">
        <v>44410</v>
      </c>
      <c r="Q2375" t="s">
        <v>19</v>
      </c>
    </row>
    <row r="2376" spans="1:17" x14ac:dyDescent="0.35">
      <c r="A2376" t="s">
        <v>2428</v>
      </c>
      <c r="B2376" t="s">
        <v>16</v>
      </c>
      <c r="C2376" s="7">
        <v>42</v>
      </c>
      <c r="D2376" t="s">
        <v>34</v>
      </c>
      <c r="E2376" t="s">
        <v>35</v>
      </c>
      <c r="F2376" t="s">
        <v>62</v>
      </c>
      <c r="G2376" s="9">
        <v>12.3</v>
      </c>
      <c r="H2376" s="7">
        <v>7.9</v>
      </c>
      <c r="I2376" t="str" cm="1">
        <f t="array" ref="I2376">_xlfn.IFS(G2376&lt;3, "0–2 Years", G2376&lt;6, "3–5 Years", G2376&lt;9, "6–8 Years", G2376&lt;12, "9-11 Years", G2376&gt;=12, "12-14 Years")</f>
        <v>12-14 Years</v>
      </c>
      <c r="J2376" s="7">
        <v>2</v>
      </c>
      <c r="K2376" t="s">
        <v>20</v>
      </c>
      <c r="L2376" s="7">
        <v>86900</v>
      </c>
      <c r="M2376" s="7">
        <v>7700</v>
      </c>
      <c r="N2376" s="7">
        <v>94600</v>
      </c>
      <c r="O2376" t="s">
        <v>30</v>
      </c>
      <c r="P2376" s="3">
        <v>41540</v>
      </c>
      <c r="Q2376" t="s">
        <v>62</v>
      </c>
    </row>
    <row r="2377" spans="1:17" x14ac:dyDescent="0.35">
      <c r="A2377" t="s">
        <v>2429</v>
      </c>
      <c r="B2377" t="s">
        <v>23</v>
      </c>
      <c r="C2377">
        <v>29</v>
      </c>
      <c r="D2377" t="s">
        <v>55</v>
      </c>
      <c r="E2377" t="s">
        <v>56</v>
      </c>
      <c r="F2377" t="s">
        <v>36</v>
      </c>
      <c r="G2377">
        <v>2</v>
      </c>
      <c r="H2377">
        <v>2</v>
      </c>
      <c r="I2377" t="str" cm="1">
        <f t="array" ref="I2377">_xlfn.IFS(G2377&lt;3, "0–2 Years", G2377&lt;6, "3–5 Years", G2377&lt;9, "6–8 Years", G2377&lt;12, "9-11 Years", G2377&gt;=12, "12-14 Years")</f>
        <v>0–2 Years</v>
      </c>
      <c r="J2377">
        <v>4</v>
      </c>
      <c r="K2377" t="s">
        <v>20</v>
      </c>
      <c r="L2377">
        <v>112800</v>
      </c>
      <c r="M2377">
        <v>14400</v>
      </c>
      <c r="N2377">
        <v>127200</v>
      </c>
      <c r="O2377" t="s">
        <v>57</v>
      </c>
      <c r="P2377" s="3">
        <v>45295</v>
      </c>
      <c r="Q2377" t="s">
        <v>36</v>
      </c>
    </row>
    <row r="2378" spans="1:17" x14ac:dyDescent="0.35">
      <c r="A2378" t="s">
        <v>2430</v>
      </c>
      <c r="B2378" t="s">
        <v>23</v>
      </c>
      <c r="C2378">
        <v>25</v>
      </c>
      <c r="D2378" t="s">
        <v>17</v>
      </c>
      <c r="E2378" t="s">
        <v>32</v>
      </c>
      <c r="F2378" t="s">
        <v>36</v>
      </c>
      <c r="G2378">
        <v>11</v>
      </c>
      <c r="H2378">
        <v>6.3</v>
      </c>
      <c r="I2378" t="str" cm="1">
        <f t="array" ref="I2378">_xlfn.IFS(G2378&lt;3, "0–2 Years", G2378&lt;6, "3–5 Years", G2378&lt;9, "6–8 Years", G2378&lt;12, "9-11 Years", G2378&gt;=12, "12-14 Years")</f>
        <v>9-11 Years</v>
      </c>
      <c r="J2378">
        <v>4</v>
      </c>
      <c r="K2378" t="s">
        <v>20</v>
      </c>
      <c r="L2378">
        <v>87500</v>
      </c>
      <c r="M2378">
        <v>7100</v>
      </c>
      <c r="N2378">
        <v>94600</v>
      </c>
      <c r="O2378" t="s">
        <v>30</v>
      </c>
      <c r="P2378" s="3">
        <v>42016</v>
      </c>
      <c r="Q2378" t="s">
        <v>36</v>
      </c>
    </row>
    <row r="2379" spans="1:17" x14ac:dyDescent="0.35">
      <c r="A2379" t="s">
        <v>2431</v>
      </c>
      <c r="B2379" t="s">
        <v>23</v>
      </c>
      <c r="C2379">
        <v>28</v>
      </c>
      <c r="D2379" t="s">
        <v>41</v>
      </c>
      <c r="E2379" t="s">
        <v>73</v>
      </c>
      <c r="F2379" t="s">
        <v>36</v>
      </c>
      <c r="G2379">
        <v>11.7</v>
      </c>
      <c r="H2379">
        <v>5.8</v>
      </c>
      <c r="I2379" t="str" cm="1">
        <f t="array" ref="I2379">_xlfn.IFS(G2379&lt;3, "0–2 Years", G2379&lt;6, "3–5 Years", G2379&lt;9, "6–8 Years", G2379&lt;12, "9-11 Years", G2379&gt;=12, "12-14 Years")</f>
        <v>9-11 Years</v>
      </c>
      <c r="J2379">
        <v>3</v>
      </c>
      <c r="K2379" t="s">
        <v>20</v>
      </c>
      <c r="L2379">
        <v>120500</v>
      </c>
      <c r="M2379">
        <v>6900</v>
      </c>
      <c r="N2379">
        <v>127400</v>
      </c>
      <c r="O2379" t="s">
        <v>57</v>
      </c>
      <c r="P2379" s="3">
        <v>41756</v>
      </c>
      <c r="Q2379" t="s">
        <v>36</v>
      </c>
    </row>
    <row r="2380" spans="1:17" x14ac:dyDescent="0.35">
      <c r="A2380" t="s">
        <v>2432</v>
      </c>
      <c r="B2380" t="s">
        <v>16</v>
      </c>
      <c r="C2380">
        <v>31</v>
      </c>
      <c r="D2380" t="s">
        <v>55</v>
      </c>
      <c r="E2380" t="s">
        <v>92</v>
      </c>
      <c r="F2380" t="s">
        <v>36</v>
      </c>
      <c r="G2380">
        <v>4.5999999999999996</v>
      </c>
      <c r="H2380">
        <v>3.1</v>
      </c>
      <c r="I2380" t="str" cm="1">
        <f t="array" ref="I2380">_xlfn.IFS(G2380&lt;3, "0–2 Years", G2380&lt;6, "3–5 Years", G2380&lt;9, "6–8 Years", G2380&lt;12, "9-11 Years", G2380&gt;=12, "12-14 Years")</f>
        <v>3–5 Years</v>
      </c>
      <c r="J2380">
        <v>4</v>
      </c>
      <c r="K2380" t="s">
        <v>20</v>
      </c>
      <c r="L2380">
        <v>118100</v>
      </c>
      <c r="M2380">
        <v>24200</v>
      </c>
      <c r="N2380">
        <v>142300</v>
      </c>
      <c r="O2380" t="s">
        <v>57</v>
      </c>
      <c r="P2380" s="3">
        <v>44360</v>
      </c>
      <c r="Q2380" t="s">
        <v>36</v>
      </c>
    </row>
    <row r="2381" spans="1:17" x14ac:dyDescent="0.35">
      <c r="A2381" t="s">
        <v>2433</v>
      </c>
      <c r="B2381" t="s">
        <v>23</v>
      </c>
      <c r="C2381">
        <v>30</v>
      </c>
      <c r="D2381" t="s">
        <v>41</v>
      </c>
      <c r="E2381" t="s">
        <v>42</v>
      </c>
      <c r="F2381" t="s">
        <v>36</v>
      </c>
      <c r="G2381">
        <v>5.6</v>
      </c>
      <c r="H2381">
        <v>3.4</v>
      </c>
      <c r="I2381" t="str" cm="1">
        <f t="array" ref="I2381">_xlfn.IFS(G2381&lt;3, "0–2 Years", G2381&lt;6, "3–5 Years", G2381&lt;9, "6–8 Years", G2381&lt;12, "9-11 Years", G2381&gt;=12, "12-14 Years")</f>
        <v>3–5 Years</v>
      </c>
      <c r="J2381">
        <v>3</v>
      </c>
      <c r="K2381" t="s">
        <v>20</v>
      </c>
      <c r="L2381">
        <v>80600</v>
      </c>
      <c r="M2381">
        <v>4700</v>
      </c>
      <c r="N2381">
        <v>85300</v>
      </c>
      <c r="O2381" t="s">
        <v>30</v>
      </c>
      <c r="P2381" s="3">
        <v>43960</v>
      </c>
      <c r="Q2381" t="s">
        <v>36</v>
      </c>
    </row>
    <row r="2382" spans="1:17" x14ac:dyDescent="0.35">
      <c r="A2382" t="s">
        <v>2434</v>
      </c>
      <c r="B2382" t="s">
        <v>23</v>
      </c>
      <c r="C2382" s="7">
        <v>28</v>
      </c>
      <c r="D2382" t="s">
        <v>34</v>
      </c>
      <c r="E2382" t="s">
        <v>59</v>
      </c>
      <c r="F2382" t="s">
        <v>19</v>
      </c>
      <c r="G2382" s="9">
        <v>12.1</v>
      </c>
      <c r="H2382" s="7">
        <v>6.7</v>
      </c>
      <c r="I2382" t="str" cm="1">
        <f t="array" ref="I2382">_xlfn.IFS(G2382&lt;3, "0–2 Years", G2382&lt;6, "3–5 Years", G2382&lt;9, "6–8 Years", G2382&lt;12, "9-11 Years", G2382&gt;=12, "12-14 Years")</f>
        <v>12-14 Years</v>
      </c>
      <c r="J2382" s="7">
        <v>4</v>
      </c>
      <c r="K2382" t="s">
        <v>20</v>
      </c>
      <c r="L2382" s="7">
        <v>115300</v>
      </c>
      <c r="M2382" s="7">
        <v>10200</v>
      </c>
      <c r="N2382" s="7">
        <v>125500</v>
      </c>
      <c r="O2382" t="s">
        <v>57</v>
      </c>
      <c r="P2382" s="3">
        <v>41592</v>
      </c>
      <c r="Q2382" t="s">
        <v>19</v>
      </c>
    </row>
    <row r="2383" spans="1:17" x14ac:dyDescent="0.35">
      <c r="A2383" t="s">
        <v>2435</v>
      </c>
      <c r="B2383" t="s">
        <v>23</v>
      </c>
      <c r="C2383">
        <v>34</v>
      </c>
      <c r="D2383" t="s">
        <v>55</v>
      </c>
      <c r="E2383" t="s">
        <v>79</v>
      </c>
      <c r="F2383" t="s">
        <v>36</v>
      </c>
      <c r="G2383">
        <v>10.8</v>
      </c>
      <c r="H2383">
        <v>5.9</v>
      </c>
      <c r="I2383" t="str" cm="1">
        <f t="array" ref="I2383">_xlfn.IFS(G2383&lt;3, "0–2 Years", G2383&lt;6, "3–5 Years", G2383&lt;9, "6–8 Years", G2383&lt;12, "9-11 Years", G2383&gt;=12, "12-14 Years")</f>
        <v>9-11 Years</v>
      </c>
      <c r="J2383">
        <v>3</v>
      </c>
      <c r="K2383" t="s">
        <v>20</v>
      </c>
      <c r="L2383">
        <v>78400</v>
      </c>
      <c r="M2383">
        <v>15600</v>
      </c>
      <c r="N2383">
        <v>94000</v>
      </c>
      <c r="O2383" t="s">
        <v>21</v>
      </c>
      <c r="P2383" s="3">
        <v>42063</v>
      </c>
      <c r="Q2383" t="s">
        <v>36</v>
      </c>
    </row>
    <row r="2384" spans="1:17" x14ac:dyDescent="0.35">
      <c r="A2384" t="s">
        <v>2436</v>
      </c>
      <c r="B2384" t="s">
        <v>16</v>
      </c>
      <c r="C2384" s="7">
        <v>72</v>
      </c>
      <c r="D2384" t="s">
        <v>41</v>
      </c>
      <c r="E2384" t="s">
        <v>73</v>
      </c>
      <c r="F2384" t="s">
        <v>28</v>
      </c>
      <c r="G2384" s="9">
        <v>13.1</v>
      </c>
      <c r="H2384" s="7">
        <v>6.8</v>
      </c>
      <c r="I2384" t="str" cm="1">
        <f t="array" ref="I2384">_xlfn.IFS(G2384&lt;3, "0–2 Years", G2384&lt;6, "3–5 Years", G2384&lt;9, "6–8 Years", G2384&lt;12, "9-11 Years", G2384&gt;=12, "12-14 Years")</f>
        <v>12-14 Years</v>
      </c>
      <c r="J2384" s="7">
        <v>3</v>
      </c>
      <c r="K2384" t="s">
        <v>20</v>
      </c>
      <c r="L2384" s="7">
        <v>97400</v>
      </c>
      <c r="M2384" s="7">
        <v>8800</v>
      </c>
      <c r="N2384" s="7">
        <v>106200</v>
      </c>
      <c r="O2384" t="s">
        <v>30</v>
      </c>
      <c r="P2384" s="3">
        <v>41239</v>
      </c>
      <c r="Q2384" t="s">
        <v>28</v>
      </c>
    </row>
    <row r="2385" spans="1:17" x14ac:dyDescent="0.35">
      <c r="A2385" t="s">
        <v>2437</v>
      </c>
      <c r="B2385" t="s">
        <v>23</v>
      </c>
      <c r="C2385">
        <v>57</v>
      </c>
      <c r="D2385" t="s">
        <v>44</v>
      </c>
      <c r="E2385" t="s">
        <v>81</v>
      </c>
      <c r="F2385" t="s">
        <v>36</v>
      </c>
      <c r="G2385">
        <v>5.9</v>
      </c>
      <c r="H2385">
        <v>3</v>
      </c>
      <c r="I2385" t="str" cm="1">
        <f t="array" ref="I2385">_xlfn.IFS(G2385&lt;3, "0–2 Years", G2385&lt;6, "3–5 Years", G2385&lt;9, "6–8 Years", G2385&lt;12, "9-11 Years", G2385&gt;=12, "12-14 Years")</f>
        <v>3–5 Years</v>
      </c>
      <c r="J2385">
        <v>3</v>
      </c>
      <c r="K2385" t="s">
        <v>20</v>
      </c>
      <c r="L2385">
        <v>87400</v>
      </c>
      <c r="M2385">
        <v>12000</v>
      </c>
      <c r="N2385">
        <v>99400</v>
      </c>
      <c r="O2385" t="s">
        <v>30</v>
      </c>
      <c r="P2385" s="3">
        <v>43854</v>
      </c>
      <c r="Q2385" t="s">
        <v>36</v>
      </c>
    </row>
    <row r="2386" spans="1:17" x14ac:dyDescent="0.35">
      <c r="A2386" t="s">
        <v>2438</v>
      </c>
      <c r="B2386" t="s">
        <v>16</v>
      </c>
      <c r="C2386">
        <v>36</v>
      </c>
      <c r="D2386" t="s">
        <v>44</v>
      </c>
      <c r="E2386" t="s">
        <v>45</v>
      </c>
      <c r="F2386" t="s">
        <v>62</v>
      </c>
      <c r="G2386">
        <v>3.2</v>
      </c>
      <c r="H2386">
        <v>3.1</v>
      </c>
      <c r="I2386" t="str" cm="1">
        <f t="array" ref="I2386">_xlfn.IFS(G2386&lt;3, "0–2 Years", G2386&lt;6, "3–5 Years", G2386&lt;9, "6–8 Years", G2386&lt;12, "9-11 Years", G2386&gt;=12, "12-14 Years")</f>
        <v>3–5 Years</v>
      </c>
      <c r="J2386">
        <v>4</v>
      </c>
      <c r="K2386" t="s">
        <v>20</v>
      </c>
      <c r="L2386">
        <v>70600</v>
      </c>
      <c r="M2386">
        <v>7600</v>
      </c>
      <c r="N2386">
        <v>78200</v>
      </c>
      <c r="O2386" t="s">
        <v>21</v>
      </c>
      <c r="P2386" s="3">
        <v>44845</v>
      </c>
      <c r="Q2386" t="s">
        <v>62</v>
      </c>
    </row>
    <row r="2387" spans="1:17" x14ac:dyDescent="0.35">
      <c r="A2387" t="s">
        <v>2439</v>
      </c>
      <c r="B2387" t="s">
        <v>16</v>
      </c>
      <c r="C2387">
        <v>43</v>
      </c>
      <c r="D2387" t="s">
        <v>55</v>
      </c>
      <c r="E2387" t="s">
        <v>92</v>
      </c>
      <c r="F2387" t="s">
        <v>28</v>
      </c>
      <c r="G2387">
        <v>8.1999999999999993</v>
      </c>
      <c r="H2387">
        <v>3.4</v>
      </c>
      <c r="I2387" t="str" cm="1">
        <f t="array" ref="I2387">_xlfn.IFS(G2387&lt;3, "0–2 Years", G2387&lt;6, "3–5 Years", G2387&lt;9, "6–8 Years", G2387&lt;12, "9-11 Years", G2387&gt;=12, "12-14 Years")</f>
        <v>6–8 Years</v>
      </c>
      <c r="J2387">
        <v>2</v>
      </c>
      <c r="K2387" t="s">
        <v>20</v>
      </c>
      <c r="L2387">
        <v>96700</v>
      </c>
      <c r="M2387">
        <v>16900</v>
      </c>
      <c r="N2387">
        <v>113600</v>
      </c>
      <c r="O2387" t="s">
        <v>30</v>
      </c>
      <c r="P2387" s="3">
        <v>43013</v>
      </c>
      <c r="Q2387" t="s">
        <v>28</v>
      </c>
    </row>
    <row r="2388" spans="1:17" x14ac:dyDescent="0.35">
      <c r="A2388" t="s">
        <v>2440</v>
      </c>
      <c r="B2388" t="s">
        <v>23</v>
      </c>
      <c r="C2388">
        <v>21</v>
      </c>
      <c r="D2388" t="s">
        <v>41</v>
      </c>
      <c r="E2388" t="s">
        <v>67</v>
      </c>
      <c r="F2388" t="s">
        <v>36</v>
      </c>
      <c r="G2388">
        <v>7.6</v>
      </c>
      <c r="H2388">
        <v>4.4000000000000004</v>
      </c>
      <c r="I2388" t="str" cm="1">
        <f t="array" ref="I2388">_xlfn.IFS(G2388&lt;3, "0–2 Years", G2388&lt;6, "3–5 Years", G2388&lt;9, "6–8 Years", G2388&lt;12, "9-11 Years", G2388&gt;=12, "12-14 Years")</f>
        <v>6–8 Years</v>
      </c>
      <c r="J2388">
        <v>3</v>
      </c>
      <c r="K2388" t="s">
        <v>20</v>
      </c>
      <c r="L2388">
        <v>62800</v>
      </c>
      <c r="M2388">
        <v>4300</v>
      </c>
      <c r="N2388">
        <v>67100</v>
      </c>
      <c r="O2388" t="s">
        <v>25</v>
      </c>
      <c r="P2388" s="3">
        <v>43230</v>
      </c>
      <c r="Q2388" t="s">
        <v>36</v>
      </c>
    </row>
    <row r="2389" spans="1:17" x14ac:dyDescent="0.35">
      <c r="A2389" t="s">
        <v>2441</v>
      </c>
      <c r="B2389" t="s">
        <v>16</v>
      </c>
      <c r="C2389">
        <v>30</v>
      </c>
      <c r="D2389" t="s">
        <v>34</v>
      </c>
      <c r="E2389" t="s">
        <v>59</v>
      </c>
      <c r="F2389" t="s">
        <v>28</v>
      </c>
      <c r="G2389">
        <v>2.2999999999999998</v>
      </c>
      <c r="H2389">
        <v>1.8</v>
      </c>
      <c r="I2389" t="str" cm="1">
        <f t="array" ref="I2389">_xlfn.IFS(G2389&lt;3, "0–2 Years", G2389&lt;6, "3–5 Years", G2389&lt;9, "6–8 Years", G2389&lt;12, "9-11 Years", G2389&gt;=12, "12-14 Years")</f>
        <v>0–2 Years</v>
      </c>
      <c r="J2389">
        <v>2</v>
      </c>
      <c r="K2389" t="s">
        <v>20</v>
      </c>
      <c r="L2389">
        <v>86700</v>
      </c>
      <c r="M2389">
        <v>7700</v>
      </c>
      <c r="N2389">
        <v>94400</v>
      </c>
      <c r="O2389" t="s">
        <v>30</v>
      </c>
      <c r="P2389" s="3">
        <v>45191</v>
      </c>
      <c r="Q2389" t="s">
        <v>28</v>
      </c>
    </row>
    <row r="2390" spans="1:17" x14ac:dyDescent="0.35">
      <c r="A2390" t="s">
        <v>2442</v>
      </c>
      <c r="B2390" t="s">
        <v>23</v>
      </c>
      <c r="C2390">
        <v>40</v>
      </c>
      <c r="D2390" t="s">
        <v>41</v>
      </c>
      <c r="E2390" t="s">
        <v>73</v>
      </c>
      <c r="F2390" t="s">
        <v>36</v>
      </c>
      <c r="G2390">
        <v>9.8000000000000007</v>
      </c>
      <c r="H2390">
        <v>4.9000000000000004</v>
      </c>
      <c r="I2390" t="str" cm="1">
        <f t="array" ref="I2390">_xlfn.IFS(G2390&lt;3, "0–2 Years", G2390&lt;6, "3–5 Years", G2390&lt;9, "6–8 Years", G2390&lt;12, "9-11 Years", G2390&gt;=12, "12-14 Years")</f>
        <v>9-11 Years</v>
      </c>
      <c r="J2390">
        <v>2</v>
      </c>
      <c r="K2390" t="s">
        <v>20</v>
      </c>
      <c r="L2390">
        <v>121500</v>
      </c>
      <c r="M2390">
        <v>8400</v>
      </c>
      <c r="N2390">
        <v>129900</v>
      </c>
      <c r="O2390" t="s">
        <v>57</v>
      </c>
      <c r="P2390" s="3">
        <v>42437</v>
      </c>
      <c r="Q2390" t="s">
        <v>36</v>
      </c>
    </row>
    <row r="2391" spans="1:17" x14ac:dyDescent="0.35">
      <c r="A2391" t="s">
        <v>2443</v>
      </c>
      <c r="B2391" t="s">
        <v>16</v>
      </c>
      <c r="C2391">
        <v>52</v>
      </c>
      <c r="D2391" t="s">
        <v>41</v>
      </c>
      <c r="E2391" t="s">
        <v>67</v>
      </c>
      <c r="F2391" t="s">
        <v>36</v>
      </c>
      <c r="G2391">
        <v>1.8</v>
      </c>
      <c r="H2391">
        <v>1.8</v>
      </c>
      <c r="I2391" t="str" cm="1">
        <f t="array" ref="I2391">_xlfn.IFS(G2391&lt;3, "0–2 Years", G2391&lt;6, "3–5 Years", G2391&lt;9, "6–8 Years", G2391&lt;12, "9-11 Years", G2391&gt;=12, "12-14 Years")</f>
        <v>0–2 Years</v>
      </c>
      <c r="J2391">
        <v>4</v>
      </c>
      <c r="K2391" t="s">
        <v>20</v>
      </c>
      <c r="L2391">
        <v>72100</v>
      </c>
      <c r="M2391">
        <v>4800</v>
      </c>
      <c r="N2391">
        <v>76900</v>
      </c>
      <c r="O2391" t="s">
        <v>21</v>
      </c>
      <c r="P2391" s="3">
        <v>45360</v>
      </c>
      <c r="Q2391" t="s">
        <v>36</v>
      </c>
    </row>
    <row r="2392" spans="1:17" x14ac:dyDescent="0.35">
      <c r="A2392" t="s">
        <v>2444</v>
      </c>
      <c r="B2392" t="s">
        <v>23</v>
      </c>
      <c r="C2392">
        <v>39</v>
      </c>
      <c r="D2392" t="s">
        <v>38</v>
      </c>
      <c r="E2392" t="s">
        <v>61</v>
      </c>
      <c r="F2392" t="s">
        <v>36</v>
      </c>
      <c r="G2392">
        <v>8.9</v>
      </c>
      <c r="H2392">
        <v>5.8</v>
      </c>
      <c r="I2392" t="str" cm="1">
        <f t="array" ref="I2392">_xlfn.IFS(G2392&lt;3, "0–2 Years", G2392&lt;6, "3–5 Years", G2392&lt;9, "6–8 Years", G2392&lt;12, "9-11 Years", G2392&gt;=12, "12-14 Years")</f>
        <v>6–8 Years</v>
      </c>
      <c r="J2392">
        <v>3</v>
      </c>
      <c r="K2392" t="s">
        <v>20</v>
      </c>
      <c r="L2392">
        <v>102400</v>
      </c>
      <c r="M2392">
        <v>6700</v>
      </c>
      <c r="N2392">
        <v>109100</v>
      </c>
      <c r="O2392" t="s">
        <v>57</v>
      </c>
      <c r="P2392" s="3">
        <v>42768</v>
      </c>
      <c r="Q2392" t="s">
        <v>36</v>
      </c>
    </row>
    <row r="2393" spans="1:17" x14ac:dyDescent="0.35">
      <c r="A2393" t="s">
        <v>2445</v>
      </c>
      <c r="B2393" t="s">
        <v>16</v>
      </c>
      <c r="C2393">
        <v>34</v>
      </c>
      <c r="D2393" t="s">
        <v>55</v>
      </c>
      <c r="E2393" t="s">
        <v>92</v>
      </c>
      <c r="F2393" t="s">
        <v>19</v>
      </c>
      <c r="G2393">
        <v>3.9</v>
      </c>
      <c r="H2393">
        <v>0</v>
      </c>
      <c r="I2393" t="str" cm="1">
        <f t="array" ref="I2393">_xlfn.IFS(G2393&lt;3, "0–2 Years", G2393&lt;6, "3–5 Years", G2393&lt;9, "6–8 Years", G2393&lt;12, "9-11 Years", G2393&gt;=12, "12-14 Years")</f>
        <v>3–5 Years</v>
      </c>
      <c r="J2393">
        <v>3</v>
      </c>
      <c r="K2393" t="s">
        <v>20</v>
      </c>
      <c r="L2393">
        <v>92400</v>
      </c>
      <c r="M2393">
        <v>16300</v>
      </c>
      <c r="N2393">
        <v>108700</v>
      </c>
      <c r="O2393" t="s">
        <v>30</v>
      </c>
      <c r="P2393" s="3">
        <v>44590</v>
      </c>
      <c r="Q2393" t="s">
        <v>19</v>
      </c>
    </row>
    <row r="2394" spans="1:17" x14ac:dyDescent="0.35">
      <c r="A2394" t="s">
        <v>2446</v>
      </c>
      <c r="B2394" t="s">
        <v>16</v>
      </c>
      <c r="C2394">
        <v>40</v>
      </c>
      <c r="D2394" t="s">
        <v>41</v>
      </c>
      <c r="E2394" t="s">
        <v>42</v>
      </c>
      <c r="F2394" t="s">
        <v>28</v>
      </c>
      <c r="G2394">
        <v>8.8000000000000007</v>
      </c>
      <c r="H2394">
        <v>5.2</v>
      </c>
      <c r="I2394" t="str" cm="1">
        <f t="array" ref="I2394">_xlfn.IFS(G2394&lt;3, "0–2 Years", G2394&lt;6, "3–5 Years", G2394&lt;9, "6–8 Years", G2394&lt;12, "9-11 Years", G2394&gt;=12, "12-14 Years")</f>
        <v>6–8 Years</v>
      </c>
      <c r="J2394">
        <v>3</v>
      </c>
      <c r="K2394" t="s">
        <v>20</v>
      </c>
      <c r="L2394">
        <v>79800</v>
      </c>
      <c r="M2394">
        <v>3700</v>
      </c>
      <c r="N2394">
        <v>83500</v>
      </c>
      <c r="O2394" t="s">
        <v>21</v>
      </c>
      <c r="P2394" s="3">
        <v>42822</v>
      </c>
      <c r="Q2394" t="s">
        <v>28</v>
      </c>
    </row>
    <row r="2395" spans="1:17" x14ac:dyDescent="0.35">
      <c r="A2395" t="s">
        <v>2447</v>
      </c>
      <c r="B2395" t="s">
        <v>16</v>
      </c>
      <c r="C2395">
        <v>31</v>
      </c>
      <c r="D2395" t="s">
        <v>17</v>
      </c>
      <c r="E2395" t="s">
        <v>27</v>
      </c>
      <c r="F2395" t="s">
        <v>36</v>
      </c>
      <c r="G2395">
        <v>4</v>
      </c>
      <c r="H2395">
        <v>2</v>
      </c>
      <c r="I2395" t="str" cm="1">
        <f t="array" ref="I2395">_xlfn.IFS(G2395&lt;3, "0–2 Years", G2395&lt;6, "3–5 Years", G2395&lt;9, "6–8 Years", G2395&lt;12, "9-11 Years", G2395&gt;=12, "12-14 Years")</f>
        <v>3–5 Years</v>
      </c>
      <c r="J2395">
        <v>3</v>
      </c>
      <c r="K2395" t="s">
        <v>20</v>
      </c>
      <c r="L2395">
        <v>83800</v>
      </c>
      <c r="M2395">
        <v>9400</v>
      </c>
      <c r="N2395">
        <v>93200</v>
      </c>
      <c r="O2395" t="s">
        <v>30</v>
      </c>
      <c r="P2395" s="3">
        <v>44548</v>
      </c>
      <c r="Q2395" t="s">
        <v>36</v>
      </c>
    </row>
    <row r="2396" spans="1:17" x14ac:dyDescent="0.35">
      <c r="A2396" t="s">
        <v>2448</v>
      </c>
      <c r="B2396" t="s">
        <v>23</v>
      </c>
      <c r="C2396">
        <v>29</v>
      </c>
      <c r="D2396" t="s">
        <v>17</v>
      </c>
      <c r="E2396" t="s">
        <v>32</v>
      </c>
      <c r="F2396" t="s">
        <v>36</v>
      </c>
      <c r="G2396">
        <v>7.9</v>
      </c>
      <c r="H2396">
        <v>5.7</v>
      </c>
      <c r="I2396" t="str" cm="1">
        <f t="array" ref="I2396">_xlfn.IFS(G2396&lt;3, "0–2 Years", G2396&lt;6, "3–5 Years", G2396&lt;9, "6–8 Years", G2396&lt;12, "9-11 Years", G2396&gt;=12, "12-14 Years")</f>
        <v>6–8 Years</v>
      </c>
      <c r="J2396">
        <v>3</v>
      </c>
      <c r="K2396" t="s">
        <v>20</v>
      </c>
      <c r="L2396">
        <v>76900</v>
      </c>
      <c r="M2396">
        <v>6600</v>
      </c>
      <c r="N2396">
        <v>83500</v>
      </c>
      <c r="O2396" t="s">
        <v>21</v>
      </c>
      <c r="P2396" s="3">
        <v>43120</v>
      </c>
      <c r="Q2396" t="s">
        <v>36</v>
      </c>
    </row>
    <row r="2397" spans="1:17" x14ac:dyDescent="0.35">
      <c r="A2397" t="s">
        <v>2449</v>
      </c>
      <c r="B2397" t="s">
        <v>23</v>
      </c>
      <c r="C2397">
        <v>27</v>
      </c>
      <c r="D2397" t="s">
        <v>44</v>
      </c>
      <c r="E2397" t="s">
        <v>81</v>
      </c>
      <c r="F2397" t="s">
        <v>28</v>
      </c>
      <c r="G2397">
        <v>3</v>
      </c>
      <c r="H2397">
        <v>3</v>
      </c>
      <c r="I2397" t="str" cm="1">
        <f t="array" ref="I2397">_xlfn.IFS(G2397&lt;3, "0–2 Years", G2397&lt;6, "3–5 Years", G2397&lt;9, "6–8 Years", G2397&lt;12, "9-11 Years", G2397&gt;=12, "12-14 Years")</f>
        <v>3–5 Years</v>
      </c>
      <c r="J2397">
        <v>3</v>
      </c>
      <c r="K2397" t="s">
        <v>20</v>
      </c>
      <c r="L2397">
        <v>94200</v>
      </c>
      <c r="M2397">
        <v>8900</v>
      </c>
      <c r="N2397">
        <v>103100</v>
      </c>
      <c r="O2397" t="s">
        <v>30</v>
      </c>
      <c r="P2397" s="3">
        <v>44909</v>
      </c>
      <c r="Q2397" t="s">
        <v>28</v>
      </c>
    </row>
    <row r="2398" spans="1:17" x14ac:dyDescent="0.35">
      <c r="A2398" t="s">
        <v>2450</v>
      </c>
      <c r="B2398" t="s">
        <v>23</v>
      </c>
      <c r="C2398">
        <v>28</v>
      </c>
      <c r="D2398" t="s">
        <v>38</v>
      </c>
      <c r="E2398" t="s">
        <v>112</v>
      </c>
      <c r="F2398" t="s">
        <v>28</v>
      </c>
      <c r="G2398">
        <v>6</v>
      </c>
      <c r="H2398">
        <v>6</v>
      </c>
      <c r="I2398" t="str" cm="1">
        <f t="array" ref="I2398">_xlfn.IFS(G2398&lt;3, "0–2 Years", G2398&lt;6, "3–5 Years", G2398&lt;9, "6–8 Years", G2398&lt;12, "9-11 Years", G2398&gt;=12, "12-14 Years")</f>
        <v>6–8 Years</v>
      </c>
      <c r="J2398">
        <v>3</v>
      </c>
      <c r="K2398" t="s">
        <v>20</v>
      </c>
      <c r="L2398">
        <v>76100</v>
      </c>
      <c r="M2398">
        <v>6600</v>
      </c>
      <c r="N2398">
        <v>82700</v>
      </c>
      <c r="O2398" t="s">
        <v>21</v>
      </c>
      <c r="P2398" s="3">
        <v>43814</v>
      </c>
      <c r="Q2398" t="s">
        <v>28</v>
      </c>
    </row>
    <row r="2399" spans="1:17" x14ac:dyDescent="0.35">
      <c r="A2399" t="s">
        <v>2451</v>
      </c>
      <c r="B2399" t="s">
        <v>23</v>
      </c>
      <c r="C2399">
        <v>45</v>
      </c>
      <c r="D2399" t="s">
        <v>44</v>
      </c>
      <c r="E2399" t="s">
        <v>76</v>
      </c>
      <c r="F2399" t="s">
        <v>28</v>
      </c>
      <c r="G2399">
        <v>2.9</v>
      </c>
      <c r="H2399">
        <v>2.9</v>
      </c>
      <c r="I2399" t="str" cm="1">
        <f t="array" ref="I2399">_xlfn.IFS(G2399&lt;3, "0–2 Years", G2399&lt;6, "3–5 Years", G2399&lt;9, "6–8 Years", G2399&lt;12, "9-11 Years", G2399&gt;=12, "12-14 Years")</f>
        <v>0–2 Years</v>
      </c>
      <c r="J2399">
        <v>3</v>
      </c>
      <c r="K2399" t="s">
        <v>20</v>
      </c>
      <c r="L2399">
        <v>116600</v>
      </c>
      <c r="M2399">
        <v>12200</v>
      </c>
      <c r="N2399">
        <v>128800</v>
      </c>
      <c r="O2399" t="s">
        <v>57</v>
      </c>
      <c r="P2399" s="3">
        <v>44953</v>
      </c>
      <c r="Q2399" t="s">
        <v>28</v>
      </c>
    </row>
    <row r="2400" spans="1:17" x14ac:dyDescent="0.35">
      <c r="A2400" t="s">
        <v>2452</v>
      </c>
      <c r="B2400" t="s">
        <v>16</v>
      </c>
      <c r="C2400">
        <v>45</v>
      </c>
      <c r="D2400" t="s">
        <v>38</v>
      </c>
      <c r="E2400" t="s">
        <v>112</v>
      </c>
      <c r="F2400" t="s">
        <v>36</v>
      </c>
      <c r="G2400">
        <v>8.1999999999999993</v>
      </c>
      <c r="H2400">
        <v>4</v>
      </c>
      <c r="I2400" t="str" cm="1">
        <f t="array" ref="I2400">_xlfn.IFS(G2400&lt;3, "0–2 Years", G2400&lt;6, "3–5 Years", G2400&lt;9, "6–8 Years", G2400&lt;12, "9-11 Years", G2400&gt;=12, "12-14 Years")</f>
        <v>6–8 Years</v>
      </c>
      <c r="J2400">
        <v>1</v>
      </c>
      <c r="K2400" t="s">
        <v>20</v>
      </c>
      <c r="L2400">
        <v>70700</v>
      </c>
      <c r="M2400">
        <v>6200</v>
      </c>
      <c r="N2400">
        <v>76900</v>
      </c>
      <c r="O2400" t="s">
        <v>21</v>
      </c>
      <c r="P2400" s="3">
        <v>43038</v>
      </c>
      <c r="Q2400" t="s">
        <v>36</v>
      </c>
    </row>
    <row r="2401" spans="1:17" x14ac:dyDescent="0.35">
      <c r="A2401" t="s">
        <v>2453</v>
      </c>
      <c r="B2401" t="s">
        <v>23</v>
      </c>
      <c r="C2401">
        <v>27</v>
      </c>
      <c r="D2401" t="s">
        <v>17</v>
      </c>
      <c r="E2401" t="s">
        <v>18</v>
      </c>
      <c r="F2401" t="s">
        <v>19</v>
      </c>
      <c r="G2401">
        <v>2.2999999999999998</v>
      </c>
      <c r="H2401">
        <v>0.6</v>
      </c>
      <c r="I2401" t="str" cm="1">
        <f t="array" ref="I2401">_xlfn.IFS(G2401&lt;3, "0–2 Years", G2401&lt;6, "3–5 Years", G2401&lt;9, "6–8 Years", G2401&lt;12, "9-11 Years", G2401&gt;=12, "12-14 Years")</f>
        <v>0–2 Years</v>
      </c>
      <c r="J2401">
        <v>2</v>
      </c>
      <c r="K2401" t="s">
        <v>24</v>
      </c>
      <c r="L2401">
        <v>50800</v>
      </c>
      <c r="M2401">
        <v>3100</v>
      </c>
      <c r="N2401">
        <v>53900</v>
      </c>
      <c r="O2401" t="s">
        <v>25</v>
      </c>
      <c r="P2401" s="3">
        <v>45180</v>
      </c>
      <c r="Q2401" t="s">
        <v>19</v>
      </c>
    </row>
    <row r="2402" spans="1:17" x14ac:dyDescent="0.35">
      <c r="A2402" t="s">
        <v>2454</v>
      </c>
      <c r="B2402" t="s">
        <v>16</v>
      </c>
      <c r="C2402">
        <v>35</v>
      </c>
      <c r="D2402" t="s">
        <v>34</v>
      </c>
      <c r="E2402" t="s">
        <v>35</v>
      </c>
      <c r="F2402" t="s">
        <v>36</v>
      </c>
      <c r="G2402">
        <v>3.4</v>
      </c>
      <c r="H2402">
        <v>2.2999999999999998</v>
      </c>
      <c r="I2402" t="str" cm="1">
        <f t="array" ref="I2402">_xlfn.IFS(G2402&lt;3, "0–2 Years", G2402&lt;6, "3–5 Years", G2402&lt;9, "6–8 Years", G2402&lt;12, "9-11 Years", G2402&gt;=12, "12-14 Years")</f>
        <v>3–5 Years</v>
      </c>
      <c r="J2402">
        <v>5</v>
      </c>
      <c r="K2402" t="s">
        <v>20</v>
      </c>
      <c r="L2402">
        <v>81500</v>
      </c>
      <c r="M2402">
        <v>3900</v>
      </c>
      <c r="N2402">
        <v>85400</v>
      </c>
      <c r="O2402" t="s">
        <v>30</v>
      </c>
      <c r="P2402" s="3">
        <v>44780</v>
      </c>
      <c r="Q2402" t="s">
        <v>36</v>
      </c>
    </row>
    <row r="2403" spans="1:17" x14ac:dyDescent="0.35">
      <c r="A2403" t="s">
        <v>2455</v>
      </c>
      <c r="B2403" t="s">
        <v>23</v>
      </c>
      <c r="C2403">
        <v>46</v>
      </c>
      <c r="D2403" t="s">
        <v>38</v>
      </c>
      <c r="E2403" t="s">
        <v>39</v>
      </c>
      <c r="F2403" t="s">
        <v>28</v>
      </c>
      <c r="G2403">
        <v>6.2</v>
      </c>
      <c r="H2403">
        <v>5.8</v>
      </c>
      <c r="I2403" t="str" cm="1">
        <f t="array" ref="I2403">_xlfn.IFS(G2403&lt;3, "0–2 Years", G2403&lt;6, "3–5 Years", G2403&lt;9, "6–8 Years", G2403&lt;12, "9-11 Years", G2403&gt;=12, "12-14 Years")</f>
        <v>6–8 Years</v>
      </c>
      <c r="J2403">
        <v>3</v>
      </c>
      <c r="K2403" t="s">
        <v>20</v>
      </c>
      <c r="L2403">
        <v>72300</v>
      </c>
      <c r="M2403">
        <v>2600</v>
      </c>
      <c r="N2403">
        <v>74900</v>
      </c>
      <c r="O2403" t="s">
        <v>21</v>
      </c>
      <c r="P2403" s="3">
        <v>43775</v>
      </c>
      <c r="Q2403" t="s">
        <v>28</v>
      </c>
    </row>
    <row r="2404" spans="1:17" x14ac:dyDescent="0.35">
      <c r="A2404" t="s">
        <v>2456</v>
      </c>
      <c r="B2404" t="s">
        <v>23</v>
      </c>
      <c r="C2404">
        <v>39</v>
      </c>
      <c r="D2404" t="s">
        <v>34</v>
      </c>
      <c r="E2404" t="s">
        <v>47</v>
      </c>
      <c r="F2404" t="s">
        <v>36</v>
      </c>
      <c r="G2404">
        <v>11.1</v>
      </c>
      <c r="H2404">
        <v>7.5</v>
      </c>
      <c r="I2404" t="str" cm="1">
        <f t="array" ref="I2404">_xlfn.IFS(G2404&lt;3, "0–2 Years", G2404&lt;6, "3–5 Years", G2404&lt;9, "6–8 Years", G2404&lt;12, "9-11 Years", G2404&gt;=12, "12-14 Years")</f>
        <v>9-11 Years</v>
      </c>
      <c r="J2404">
        <v>3</v>
      </c>
      <c r="K2404" t="s">
        <v>20</v>
      </c>
      <c r="L2404">
        <v>98300</v>
      </c>
      <c r="M2404">
        <v>7700</v>
      </c>
      <c r="N2404">
        <v>106000</v>
      </c>
      <c r="O2404" t="s">
        <v>30</v>
      </c>
      <c r="P2404" s="3">
        <v>41965</v>
      </c>
      <c r="Q2404" t="s">
        <v>36</v>
      </c>
    </row>
    <row r="2405" spans="1:17" x14ac:dyDescent="0.35">
      <c r="A2405" t="s">
        <v>2457</v>
      </c>
      <c r="B2405" t="s">
        <v>16</v>
      </c>
      <c r="C2405" s="7">
        <v>39</v>
      </c>
      <c r="D2405" t="s">
        <v>41</v>
      </c>
      <c r="E2405" t="s">
        <v>73</v>
      </c>
      <c r="F2405" t="s">
        <v>28</v>
      </c>
      <c r="G2405" s="9">
        <v>12.5</v>
      </c>
      <c r="H2405" s="7">
        <v>6.8</v>
      </c>
      <c r="I2405" t="str" cm="1">
        <f t="array" ref="I2405">_xlfn.IFS(G2405&lt;3, "0–2 Years", G2405&lt;6, "3–5 Years", G2405&lt;9, "6–8 Years", G2405&lt;12, "9-11 Years", G2405&gt;=12, "12-14 Years")</f>
        <v>12-14 Years</v>
      </c>
      <c r="J2405" s="7">
        <v>4</v>
      </c>
      <c r="K2405" t="s">
        <v>20</v>
      </c>
      <c r="L2405" s="7">
        <v>106800</v>
      </c>
      <c r="M2405" s="7">
        <v>5100</v>
      </c>
      <c r="N2405" s="7">
        <v>111900</v>
      </c>
      <c r="O2405" t="s">
        <v>57</v>
      </c>
      <c r="P2405" s="3">
        <v>41448</v>
      </c>
      <c r="Q2405" t="s">
        <v>28</v>
      </c>
    </row>
    <row r="2406" spans="1:17" x14ac:dyDescent="0.35">
      <c r="A2406" t="s">
        <v>2458</v>
      </c>
      <c r="B2406" t="s">
        <v>23</v>
      </c>
      <c r="C2406">
        <v>32</v>
      </c>
      <c r="D2406" t="s">
        <v>55</v>
      </c>
      <c r="E2406" t="s">
        <v>56</v>
      </c>
      <c r="F2406" t="s">
        <v>28</v>
      </c>
      <c r="G2406">
        <v>9.8000000000000007</v>
      </c>
      <c r="H2406">
        <v>9.6</v>
      </c>
      <c r="I2406" t="str" cm="1">
        <f t="array" ref="I2406">_xlfn.IFS(G2406&lt;3, "0–2 Years", G2406&lt;6, "3–5 Years", G2406&lt;9, "6–8 Years", G2406&lt;12, "9-11 Years", G2406&gt;=12, "12-14 Years")</f>
        <v>9-11 Years</v>
      </c>
      <c r="J2406">
        <v>1</v>
      </c>
      <c r="K2406" t="s">
        <v>20</v>
      </c>
      <c r="L2406">
        <v>94500</v>
      </c>
      <c r="M2406">
        <v>15000</v>
      </c>
      <c r="N2406">
        <v>109500</v>
      </c>
      <c r="O2406" t="s">
        <v>30</v>
      </c>
      <c r="P2406" s="3">
        <v>42426</v>
      </c>
      <c r="Q2406" t="s">
        <v>28</v>
      </c>
    </row>
    <row r="2407" spans="1:17" x14ac:dyDescent="0.35">
      <c r="A2407" t="s">
        <v>2459</v>
      </c>
      <c r="B2407" t="s">
        <v>23</v>
      </c>
      <c r="C2407" s="7">
        <v>40</v>
      </c>
      <c r="D2407" t="s">
        <v>34</v>
      </c>
      <c r="E2407" t="s">
        <v>35</v>
      </c>
      <c r="F2407" t="s">
        <v>28</v>
      </c>
      <c r="G2407" s="9">
        <v>12.2</v>
      </c>
      <c r="H2407" s="7">
        <v>5.7</v>
      </c>
      <c r="I2407" t="str" cm="1">
        <f t="array" ref="I2407">_xlfn.IFS(G2407&lt;3, "0–2 Years", G2407&lt;6, "3–5 Years", G2407&lt;9, "6–8 Years", G2407&lt;12, "9-11 Years", G2407&gt;=12, "12-14 Years")</f>
        <v>12-14 Years</v>
      </c>
      <c r="J2407" s="7">
        <v>3</v>
      </c>
      <c r="K2407" t="s">
        <v>20</v>
      </c>
      <c r="L2407" s="7">
        <v>83200</v>
      </c>
      <c r="M2407" s="7">
        <v>8100</v>
      </c>
      <c r="N2407" s="7">
        <v>91300</v>
      </c>
      <c r="O2407" t="s">
        <v>30</v>
      </c>
      <c r="P2407" s="3">
        <v>41575</v>
      </c>
      <c r="Q2407" t="s">
        <v>28</v>
      </c>
    </row>
    <row r="2408" spans="1:17" x14ac:dyDescent="0.35">
      <c r="A2408" t="s">
        <v>2460</v>
      </c>
      <c r="B2408" t="s">
        <v>16</v>
      </c>
      <c r="C2408">
        <v>52</v>
      </c>
      <c r="D2408" t="s">
        <v>34</v>
      </c>
      <c r="E2408" t="s">
        <v>47</v>
      </c>
      <c r="F2408" t="s">
        <v>62</v>
      </c>
      <c r="G2408">
        <v>8.6</v>
      </c>
      <c r="H2408">
        <v>7.4</v>
      </c>
      <c r="I2408" t="str" cm="1">
        <f t="array" ref="I2408">_xlfn.IFS(G2408&lt;3, "0–2 Years", G2408&lt;6, "3–5 Years", G2408&lt;9, "6–8 Years", G2408&lt;12, "9-11 Years", G2408&gt;=12, "12-14 Years")</f>
        <v>6–8 Years</v>
      </c>
      <c r="J2408">
        <v>3</v>
      </c>
      <c r="K2408" t="s">
        <v>24</v>
      </c>
      <c r="L2408">
        <v>59000</v>
      </c>
      <c r="M2408">
        <v>6400</v>
      </c>
      <c r="N2408">
        <v>65400</v>
      </c>
      <c r="O2408" t="s">
        <v>25</v>
      </c>
      <c r="P2408" s="3">
        <v>42889</v>
      </c>
      <c r="Q2408" t="s">
        <v>62</v>
      </c>
    </row>
    <row r="2409" spans="1:17" x14ac:dyDescent="0.35">
      <c r="A2409" t="s">
        <v>2461</v>
      </c>
      <c r="B2409" t="s">
        <v>23</v>
      </c>
      <c r="C2409">
        <v>29</v>
      </c>
      <c r="D2409" t="s">
        <v>17</v>
      </c>
      <c r="E2409" t="s">
        <v>32</v>
      </c>
      <c r="F2409" t="s">
        <v>36</v>
      </c>
      <c r="G2409">
        <v>3.9</v>
      </c>
      <c r="H2409">
        <v>3</v>
      </c>
      <c r="I2409" t="str" cm="1">
        <f t="array" ref="I2409">_xlfn.IFS(G2409&lt;3, "0–2 Years", G2409&lt;6, "3–5 Years", G2409&lt;9, "6–8 Years", G2409&lt;12, "9-11 Years", G2409&gt;=12, "12-14 Years")</f>
        <v>3–5 Years</v>
      </c>
      <c r="J2409">
        <v>4</v>
      </c>
      <c r="K2409" t="s">
        <v>20</v>
      </c>
      <c r="L2409">
        <v>61900</v>
      </c>
      <c r="M2409">
        <v>6600</v>
      </c>
      <c r="N2409">
        <v>68500</v>
      </c>
      <c r="O2409" t="s">
        <v>25</v>
      </c>
      <c r="P2409" s="3">
        <v>44594</v>
      </c>
      <c r="Q2409" t="s">
        <v>36</v>
      </c>
    </row>
    <row r="2410" spans="1:17" x14ac:dyDescent="0.35">
      <c r="A2410" t="s">
        <v>2462</v>
      </c>
      <c r="B2410" t="s">
        <v>16</v>
      </c>
      <c r="C2410">
        <v>33</v>
      </c>
      <c r="D2410" t="s">
        <v>34</v>
      </c>
      <c r="E2410" t="s">
        <v>47</v>
      </c>
      <c r="F2410" t="s">
        <v>28</v>
      </c>
      <c r="G2410">
        <v>1.7</v>
      </c>
      <c r="H2410">
        <v>0.8</v>
      </c>
      <c r="I2410" t="str" cm="1">
        <f t="array" ref="I2410">_xlfn.IFS(G2410&lt;3, "0–2 Years", G2410&lt;6, "3–5 Years", G2410&lt;9, "6–8 Years", G2410&lt;12, "9-11 Years", G2410&gt;=12, "12-14 Years")</f>
        <v>0–2 Years</v>
      </c>
      <c r="J2410">
        <v>3</v>
      </c>
      <c r="K2410" t="s">
        <v>20</v>
      </c>
      <c r="L2410">
        <v>67000</v>
      </c>
      <c r="M2410">
        <v>4100</v>
      </c>
      <c r="N2410">
        <v>71100</v>
      </c>
      <c r="O2410" t="s">
        <v>21</v>
      </c>
      <c r="P2410" s="3">
        <v>45411</v>
      </c>
      <c r="Q2410" t="s">
        <v>28</v>
      </c>
    </row>
    <row r="2411" spans="1:17" x14ac:dyDescent="0.35">
      <c r="A2411" t="s">
        <v>2463</v>
      </c>
      <c r="B2411" t="s">
        <v>16</v>
      </c>
      <c r="C2411">
        <v>37</v>
      </c>
      <c r="D2411" t="s">
        <v>55</v>
      </c>
      <c r="E2411" t="s">
        <v>79</v>
      </c>
      <c r="F2411" t="s">
        <v>28</v>
      </c>
      <c r="G2411">
        <v>6.3</v>
      </c>
      <c r="H2411">
        <v>4</v>
      </c>
      <c r="I2411" t="str" cm="1">
        <f t="array" ref="I2411">_xlfn.IFS(G2411&lt;3, "0–2 Years", G2411&lt;6, "3–5 Years", G2411&lt;9, "6–8 Years", G2411&lt;12, "9-11 Years", G2411&gt;=12, "12-14 Years")</f>
        <v>6–8 Years</v>
      </c>
      <c r="J2411">
        <v>3</v>
      </c>
      <c r="K2411" t="s">
        <v>20</v>
      </c>
      <c r="L2411">
        <v>63200</v>
      </c>
      <c r="M2411">
        <v>12400</v>
      </c>
      <c r="N2411">
        <v>75600</v>
      </c>
      <c r="O2411" t="s">
        <v>25</v>
      </c>
      <c r="P2411" s="3">
        <v>43711</v>
      </c>
      <c r="Q2411" t="s">
        <v>28</v>
      </c>
    </row>
    <row r="2412" spans="1:17" x14ac:dyDescent="0.35">
      <c r="A2412" t="s">
        <v>2464</v>
      </c>
      <c r="B2412" t="s">
        <v>23</v>
      </c>
      <c r="C2412">
        <v>21</v>
      </c>
      <c r="D2412" t="s">
        <v>38</v>
      </c>
      <c r="E2412" t="s">
        <v>112</v>
      </c>
      <c r="F2412" t="s">
        <v>28</v>
      </c>
      <c r="G2412">
        <v>1.5</v>
      </c>
      <c r="H2412">
        <v>1.5</v>
      </c>
      <c r="I2412" t="str" cm="1">
        <f t="array" ref="I2412">_xlfn.IFS(G2412&lt;3, "0–2 Years", G2412&lt;6, "3–5 Years", G2412&lt;9, "6–8 Years", G2412&lt;12, "9-11 Years", G2412&gt;=12, "12-14 Years")</f>
        <v>0–2 Years</v>
      </c>
      <c r="J2412">
        <v>4</v>
      </c>
      <c r="K2412" t="s">
        <v>20</v>
      </c>
      <c r="L2412">
        <v>67300</v>
      </c>
      <c r="M2412">
        <v>6100</v>
      </c>
      <c r="N2412">
        <v>73400</v>
      </c>
      <c r="O2412" t="s">
        <v>21</v>
      </c>
      <c r="P2412" s="3">
        <v>45462</v>
      </c>
      <c r="Q2412" t="s">
        <v>28</v>
      </c>
    </row>
    <row r="2413" spans="1:17" x14ac:dyDescent="0.35">
      <c r="A2413" t="s">
        <v>2465</v>
      </c>
      <c r="B2413" t="s">
        <v>23</v>
      </c>
      <c r="C2413">
        <v>36</v>
      </c>
      <c r="D2413" t="s">
        <v>17</v>
      </c>
      <c r="E2413" t="s">
        <v>18</v>
      </c>
      <c r="F2413" t="s">
        <v>28</v>
      </c>
      <c r="G2413">
        <v>4.5999999999999996</v>
      </c>
      <c r="H2413">
        <v>0.7</v>
      </c>
      <c r="I2413" t="str" cm="1">
        <f t="array" ref="I2413">_xlfn.IFS(G2413&lt;3, "0–2 Years", G2413&lt;6, "3–5 Years", G2413&lt;9, "6–8 Years", G2413&lt;12, "9-11 Years", G2413&gt;=12, "12-14 Years")</f>
        <v>3–5 Years</v>
      </c>
      <c r="J2413">
        <v>4</v>
      </c>
      <c r="K2413" t="s">
        <v>20</v>
      </c>
      <c r="L2413">
        <v>103700</v>
      </c>
      <c r="M2413">
        <v>8400</v>
      </c>
      <c r="N2413">
        <v>112100</v>
      </c>
      <c r="O2413" t="s">
        <v>57</v>
      </c>
      <c r="P2413" s="3">
        <v>44337</v>
      </c>
      <c r="Q2413" t="s">
        <v>28</v>
      </c>
    </row>
    <row r="2414" spans="1:17" x14ac:dyDescent="0.35">
      <c r="A2414" t="s">
        <v>2466</v>
      </c>
      <c r="B2414" t="s">
        <v>23</v>
      </c>
      <c r="C2414">
        <v>27</v>
      </c>
      <c r="D2414" t="s">
        <v>55</v>
      </c>
      <c r="E2414" t="s">
        <v>56</v>
      </c>
      <c r="F2414" t="s">
        <v>28</v>
      </c>
      <c r="G2414">
        <v>5.3</v>
      </c>
      <c r="H2414">
        <v>5</v>
      </c>
      <c r="I2414" t="str" cm="1">
        <f t="array" ref="I2414">_xlfn.IFS(G2414&lt;3, "0–2 Years", G2414&lt;6, "3–5 Years", G2414&lt;9, "6–8 Years", G2414&lt;12, "9-11 Years", G2414&gt;=12, "12-14 Years")</f>
        <v>3–5 Years</v>
      </c>
      <c r="J2414">
        <v>2</v>
      </c>
      <c r="K2414" t="s">
        <v>24</v>
      </c>
      <c r="L2414">
        <v>55200</v>
      </c>
      <c r="M2414">
        <v>6000</v>
      </c>
      <c r="N2414">
        <v>61200</v>
      </c>
      <c r="O2414" t="s">
        <v>25</v>
      </c>
      <c r="P2414" s="3">
        <v>44103</v>
      </c>
      <c r="Q2414" t="s">
        <v>28</v>
      </c>
    </row>
    <row r="2415" spans="1:17" x14ac:dyDescent="0.35">
      <c r="A2415" t="s">
        <v>2467</v>
      </c>
      <c r="B2415" t="s">
        <v>23</v>
      </c>
      <c r="C2415">
        <v>37</v>
      </c>
      <c r="D2415" t="s">
        <v>55</v>
      </c>
      <c r="E2415" t="s">
        <v>79</v>
      </c>
      <c r="F2415" t="s">
        <v>19</v>
      </c>
      <c r="G2415">
        <v>7.7</v>
      </c>
      <c r="H2415">
        <v>6.7</v>
      </c>
      <c r="I2415" t="str" cm="1">
        <f t="array" ref="I2415">_xlfn.IFS(G2415&lt;3, "0–2 Years", G2415&lt;6, "3–5 Years", G2415&lt;9, "6–8 Years", G2415&lt;12, "9-11 Years", G2415&gt;=12, "12-14 Years")</f>
        <v>6–8 Years</v>
      </c>
      <c r="J2415">
        <v>3</v>
      </c>
      <c r="K2415" t="s">
        <v>20</v>
      </c>
      <c r="L2415">
        <v>55000</v>
      </c>
      <c r="M2415">
        <v>7900</v>
      </c>
      <c r="N2415">
        <v>62900</v>
      </c>
      <c r="O2415" t="s">
        <v>25</v>
      </c>
      <c r="P2415" s="3">
        <v>43216</v>
      </c>
      <c r="Q2415" t="s">
        <v>19</v>
      </c>
    </row>
    <row r="2416" spans="1:17" x14ac:dyDescent="0.35">
      <c r="A2416" t="s">
        <v>2468</v>
      </c>
      <c r="B2416" t="s">
        <v>16</v>
      </c>
      <c r="C2416">
        <v>30</v>
      </c>
      <c r="D2416" t="s">
        <v>44</v>
      </c>
      <c r="E2416" t="s">
        <v>81</v>
      </c>
      <c r="F2416" t="s">
        <v>28</v>
      </c>
      <c r="G2416">
        <v>7.8</v>
      </c>
      <c r="H2416">
        <v>4.5</v>
      </c>
      <c r="I2416" t="str" cm="1">
        <f t="array" ref="I2416">_xlfn.IFS(G2416&lt;3, "0–2 Years", G2416&lt;6, "3–5 Years", G2416&lt;9, "6–8 Years", G2416&lt;12, "9-11 Years", G2416&gt;=12, "12-14 Years")</f>
        <v>6–8 Years</v>
      </c>
      <c r="J2416">
        <v>4</v>
      </c>
      <c r="K2416" t="s">
        <v>24</v>
      </c>
      <c r="L2416">
        <v>55900</v>
      </c>
      <c r="M2416">
        <v>5700</v>
      </c>
      <c r="N2416">
        <v>61600</v>
      </c>
      <c r="O2416" t="s">
        <v>25</v>
      </c>
      <c r="P2416" s="3">
        <v>43190</v>
      </c>
      <c r="Q2416" t="s">
        <v>28</v>
      </c>
    </row>
    <row r="2417" spans="1:17" x14ac:dyDescent="0.35">
      <c r="A2417" t="s">
        <v>2469</v>
      </c>
      <c r="B2417" t="s">
        <v>23</v>
      </c>
      <c r="C2417" s="7">
        <v>43</v>
      </c>
      <c r="D2417" t="s">
        <v>17</v>
      </c>
      <c r="E2417" t="s">
        <v>18</v>
      </c>
      <c r="F2417" t="s">
        <v>28</v>
      </c>
      <c r="G2417" s="9">
        <v>13.4</v>
      </c>
      <c r="H2417" s="7">
        <v>9.9</v>
      </c>
      <c r="I2417" t="str" cm="1">
        <f t="array" ref="I2417">_xlfn.IFS(G2417&lt;3, "0–2 Years", G2417&lt;6, "3–5 Years", G2417&lt;9, "6–8 Years", G2417&lt;12, "9-11 Years", G2417&gt;=12, "12-14 Years")</f>
        <v>12-14 Years</v>
      </c>
      <c r="J2417" s="7">
        <v>3</v>
      </c>
      <c r="K2417" t="s">
        <v>69</v>
      </c>
      <c r="L2417" s="7">
        <v>87100</v>
      </c>
      <c r="M2417" s="7">
        <v>11300</v>
      </c>
      <c r="N2417" s="7">
        <v>98400</v>
      </c>
      <c r="O2417" t="s">
        <v>30</v>
      </c>
      <c r="P2417" s="3">
        <v>41125</v>
      </c>
      <c r="Q2417" t="s">
        <v>28</v>
      </c>
    </row>
    <row r="2418" spans="1:17" x14ac:dyDescent="0.35">
      <c r="A2418" t="s">
        <v>2470</v>
      </c>
      <c r="B2418" t="s">
        <v>23</v>
      </c>
      <c r="C2418">
        <v>35</v>
      </c>
      <c r="D2418" t="s">
        <v>44</v>
      </c>
      <c r="E2418" t="s">
        <v>51</v>
      </c>
      <c r="F2418" t="s">
        <v>36</v>
      </c>
      <c r="G2418">
        <v>3</v>
      </c>
      <c r="H2418">
        <v>2.7</v>
      </c>
      <c r="I2418" t="str" cm="1">
        <f t="array" ref="I2418">_xlfn.IFS(G2418&lt;3, "0–2 Years", G2418&lt;6, "3–5 Years", G2418&lt;9, "6–8 Years", G2418&lt;12, "9-11 Years", G2418&gt;=12, "12-14 Years")</f>
        <v>3–5 Years</v>
      </c>
      <c r="J2418">
        <v>4</v>
      </c>
      <c r="K2418" t="s">
        <v>24</v>
      </c>
      <c r="L2418">
        <v>52800</v>
      </c>
      <c r="M2418">
        <v>6400</v>
      </c>
      <c r="N2418">
        <v>59200</v>
      </c>
      <c r="O2418" t="s">
        <v>25</v>
      </c>
      <c r="P2418" s="3">
        <v>44933</v>
      </c>
      <c r="Q2418" t="s">
        <v>36</v>
      </c>
    </row>
    <row r="2419" spans="1:17" x14ac:dyDescent="0.35">
      <c r="A2419" t="s">
        <v>2471</v>
      </c>
      <c r="B2419" t="s">
        <v>23</v>
      </c>
      <c r="C2419">
        <v>28</v>
      </c>
      <c r="D2419" t="s">
        <v>55</v>
      </c>
      <c r="E2419" t="s">
        <v>92</v>
      </c>
      <c r="F2419" t="s">
        <v>28</v>
      </c>
      <c r="G2419">
        <v>1.6</v>
      </c>
      <c r="H2419">
        <v>1.5</v>
      </c>
      <c r="I2419" t="str" cm="1">
        <f t="array" ref="I2419">_xlfn.IFS(G2419&lt;3, "0–2 Years", G2419&lt;6, "3–5 Years", G2419&lt;9, "6–8 Years", G2419&lt;12, "9-11 Years", G2419&gt;=12, "12-14 Years")</f>
        <v>0–2 Years</v>
      </c>
      <c r="J2419">
        <v>3</v>
      </c>
      <c r="K2419" t="s">
        <v>20</v>
      </c>
      <c r="L2419">
        <v>98100</v>
      </c>
      <c r="M2419">
        <v>9800</v>
      </c>
      <c r="N2419">
        <v>107900</v>
      </c>
      <c r="O2419" t="s">
        <v>30</v>
      </c>
      <c r="P2419" s="3">
        <v>45438</v>
      </c>
      <c r="Q2419" t="s">
        <v>28</v>
      </c>
    </row>
    <row r="2420" spans="1:17" x14ac:dyDescent="0.35">
      <c r="A2420" t="s">
        <v>2472</v>
      </c>
      <c r="B2420" t="s">
        <v>16</v>
      </c>
      <c r="C2420">
        <v>39</v>
      </c>
      <c r="D2420" t="s">
        <v>44</v>
      </c>
      <c r="E2420" t="s">
        <v>45</v>
      </c>
      <c r="F2420" t="s">
        <v>19</v>
      </c>
      <c r="G2420">
        <v>1.2</v>
      </c>
      <c r="H2420">
        <v>0</v>
      </c>
      <c r="I2420" t="str" cm="1">
        <f t="array" ref="I2420">_xlfn.IFS(G2420&lt;3, "0–2 Years", G2420&lt;6, "3–5 Years", G2420&lt;9, "6–8 Years", G2420&lt;12, "9-11 Years", G2420&gt;=12, "12-14 Years")</f>
        <v>0–2 Years</v>
      </c>
      <c r="J2420">
        <v>2</v>
      </c>
      <c r="K2420" t="s">
        <v>20</v>
      </c>
      <c r="L2420">
        <v>59500</v>
      </c>
      <c r="M2420">
        <v>7000</v>
      </c>
      <c r="N2420">
        <v>66500</v>
      </c>
      <c r="O2420" t="s">
        <v>25</v>
      </c>
      <c r="P2420" s="3">
        <v>45577</v>
      </c>
      <c r="Q2420" t="s">
        <v>19</v>
      </c>
    </row>
    <row r="2421" spans="1:17" x14ac:dyDescent="0.35">
      <c r="A2421" t="s">
        <v>2473</v>
      </c>
      <c r="B2421" t="s">
        <v>16</v>
      </c>
      <c r="C2421">
        <v>21</v>
      </c>
      <c r="D2421" t="s">
        <v>34</v>
      </c>
      <c r="E2421" t="s">
        <v>35</v>
      </c>
      <c r="F2421" t="s">
        <v>36</v>
      </c>
      <c r="G2421">
        <v>4.7</v>
      </c>
      <c r="H2421">
        <v>4.4000000000000004</v>
      </c>
      <c r="I2421" t="str" cm="1">
        <f t="array" ref="I2421">_xlfn.IFS(G2421&lt;3, "0–2 Years", G2421&lt;6, "3–5 Years", G2421&lt;9, "6–8 Years", G2421&lt;12, "9-11 Years", G2421&gt;=12, "12-14 Years")</f>
        <v>3–5 Years</v>
      </c>
      <c r="J2421">
        <v>3</v>
      </c>
      <c r="K2421" t="s">
        <v>20</v>
      </c>
      <c r="L2421">
        <v>80600</v>
      </c>
      <c r="M2421">
        <v>7600</v>
      </c>
      <c r="N2421">
        <v>88200</v>
      </c>
      <c r="O2421" t="s">
        <v>30</v>
      </c>
      <c r="P2421" s="3">
        <v>44305</v>
      </c>
      <c r="Q2421" t="s">
        <v>36</v>
      </c>
    </row>
    <row r="2422" spans="1:17" x14ac:dyDescent="0.35">
      <c r="A2422" t="s">
        <v>2474</v>
      </c>
      <c r="B2422" t="s">
        <v>16</v>
      </c>
      <c r="C2422">
        <v>43</v>
      </c>
      <c r="D2422" t="s">
        <v>55</v>
      </c>
      <c r="E2422" t="s">
        <v>79</v>
      </c>
      <c r="F2422" t="s">
        <v>28</v>
      </c>
      <c r="G2422">
        <v>6.5</v>
      </c>
      <c r="H2422">
        <v>4.4000000000000004</v>
      </c>
      <c r="I2422" t="str" cm="1">
        <f t="array" ref="I2422">_xlfn.IFS(G2422&lt;3, "0–2 Years", G2422&lt;6, "3–5 Years", G2422&lt;9, "6–8 Years", G2422&lt;12, "9-11 Years", G2422&gt;=12, "12-14 Years")</f>
        <v>6–8 Years</v>
      </c>
      <c r="J2422">
        <v>3</v>
      </c>
      <c r="K2422" t="s">
        <v>20</v>
      </c>
      <c r="L2422">
        <v>57100</v>
      </c>
      <c r="M2422">
        <v>8800</v>
      </c>
      <c r="N2422">
        <v>65900</v>
      </c>
      <c r="O2422" t="s">
        <v>25</v>
      </c>
      <c r="P2422" s="3">
        <v>43656</v>
      </c>
      <c r="Q2422" t="s">
        <v>28</v>
      </c>
    </row>
    <row r="2423" spans="1:17" x14ac:dyDescent="0.35">
      <c r="A2423" t="s">
        <v>2475</v>
      </c>
      <c r="B2423" t="s">
        <v>23</v>
      </c>
      <c r="C2423">
        <v>38</v>
      </c>
      <c r="D2423" t="s">
        <v>55</v>
      </c>
      <c r="E2423" t="s">
        <v>79</v>
      </c>
      <c r="F2423" t="s">
        <v>28</v>
      </c>
      <c r="G2423">
        <v>7.6</v>
      </c>
      <c r="H2423">
        <v>4.5</v>
      </c>
      <c r="I2423" t="str" cm="1">
        <f t="array" ref="I2423">_xlfn.IFS(G2423&lt;3, "0–2 Years", G2423&lt;6, "3–5 Years", G2423&lt;9, "6–8 Years", G2423&lt;12, "9-11 Years", G2423&gt;=12, "12-14 Years")</f>
        <v>6–8 Years</v>
      </c>
      <c r="J2423">
        <v>2</v>
      </c>
      <c r="K2423" t="s">
        <v>20</v>
      </c>
      <c r="L2423">
        <v>63800</v>
      </c>
      <c r="M2423">
        <v>11700</v>
      </c>
      <c r="N2423">
        <v>75500</v>
      </c>
      <c r="O2423" t="s">
        <v>25</v>
      </c>
      <c r="P2423" s="3">
        <v>43233</v>
      </c>
      <c r="Q2423" t="s">
        <v>28</v>
      </c>
    </row>
    <row r="2424" spans="1:17" x14ac:dyDescent="0.35">
      <c r="A2424" t="s">
        <v>2476</v>
      </c>
      <c r="B2424" t="s">
        <v>23</v>
      </c>
      <c r="C2424">
        <v>39</v>
      </c>
      <c r="D2424" t="s">
        <v>44</v>
      </c>
      <c r="E2424" t="s">
        <v>81</v>
      </c>
      <c r="F2424" t="s">
        <v>19</v>
      </c>
      <c r="G2424">
        <v>1.2</v>
      </c>
      <c r="H2424">
        <v>0.6</v>
      </c>
      <c r="I2424" t="str" cm="1">
        <f t="array" ref="I2424">_xlfn.IFS(G2424&lt;3, "0–2 Years", G2424&lt;6, "3–5 Years", G2424&lt;9, "6–8 Years", G2424&lt;12, "9-11 Years", G2424&gt;=12, "12-14 Years")</f>
        <v>0–2 Years</v>
      </c>
      <c r="J2424">
        <v>2</v>
      </c>
      <c r="K2424" t="s">
        <v>20</v>
      </c>
      <c r="L2424">
        <v>69900</v>
      </c>
      <c r="M2424">
        <v>5300</v>
      </c>
      <c r="N2424">
        <v>75200</v>
      </c>
      <c r="O2424" t="s">
        <v>21</v>
      </c>
      <c r="P2424" s="3">
        <v>45572</v>
      </c>
      <c r="Q2424" t="s">
        <v>19</v>
      </c>
    </row>
    <row r="2425" spans="1:17" x14ac:dyDescent="0.35">
      <c r="A2425" t="s">
        <v>2477</v>
      </c>
      <c r="B2425" t="s">
        <v>16</v>
      </c>
      <c r="C2425">
        <v>32</v>
      </c>
      <c r="D2425" t="s">
        <v>34</v>
      </c>
      <c r="E2425" t="s">
        <v>59</v>
      </c>
      <c r="F2425" t="s">
        <v>36</v>
      </c>
      <c r="G2425">
        <v>10.1</v>
      </c>
      <c r="H2425">
        <v>6.3</v>
      </c>
      <c r="I2425" t="str" cm="1">
        <f t="array" ref="I2425">_xlfn.IFS(G2425&lt;3, "0–2 Years", G2425&lt;6, "3–5 Years", G2425&lt;9, "6–8 Years", G2425&lt;12, "9-11 Years", G2425&gt;=12, "12-14 Years")</f>
        <v>9-11 Years</v>
      </c>
      <c r="J2425">
        <v>5</v>
      </c>
      <c r="K2425" t="s">
        <v>20</v>
      </c>
      <c r="L2425">
        <v>109900</v>
      </c>
      <c r="M2425">
        <v>5700</v>
      </c>
      <c r="N2425">
        <v>115600</v>
      </c>
      <c r="O2425" t="s">
        <v>57</v>
      </c>
      <c r="P2425" s="3">
        <v>42349</v>
      </c>
      <c r="Q2425" t="s">
        <v>36</v>
      </c>
    </row>
    <row r="2426" spans="1:17" x14ac:dyDescent="0.35">
      <c r="A2426" t="s">
        <v>2478</v>
      </c>
      <c r="B2426" t="s">
        <v>23</v>
      </c>
      <c r="C2426" s="7">
        <v>34</v>
      </c>
      <c r="D2426" t="s">
        <v>44</v>
      </c>
      <c r="E2426" t="s">
        <v>45</v>
      </c>
      <c r="F2426" t="s">
        <v>36</v>
      </c>
      <c r="G2426" s="9">
        <v>13.5</v>
      </c>
      <c r="H2426" s="7">
        <v>9.6999999999999993</v>
      </c>
      <c r="I2426" t="str" cm="1">
        <f t="array" ref="I2426">_xlfn.IFS(G2426&lt;3, "0–2 Years", G2426&lt;6, "3–5 Years", G2426&lt;9, "6–8 Years", G2426&lt;12, "9-11 Years", G2426&gt;=12, "12-14 Years")</f>
        <v>12-14 Years</v>
      </c>
      <c r="J2426" s="7">
        <v>3</v>
      </c>
      <c r="K2426" t="s">
        <v>20</v>
      </c>
      <c r="L2426" s="7">
        <v>81600</v>
      </c>
      <c r="M2426" s="7">
        <v>9400</v>
      </c>
      <c r="N2426" s="7">
        <v>91000</v>
      </c>
      <c r="O2426" t="s">
        <v>30</v>
      </c>
      <c r="P2426" s="3">
        <v>41106</v>
      </c>
      <c r="Q2426" t="s">
        <v>36</v>
      </c>
    </row>
    <row r="2427" spans="1:17" x14ac:dyDescent="0.35">
      <c r="A2427" t="s">
        <v>2479</v>
      </c>
      <c r="B2427" t="s">
        <v>23</v>
      </c>
      <c r="C2427">
        <v>34</v>
      </c>
      <c r="D2427" t="s">
        <v>34</v>
      </c>
      <c r="E2427" t="s">
        <v>47</v>
      </c>
      <c r="F2427" t="s">
        <v>28</v>
      </c>
      <c r="G2427">
        <v>10.9</v>
      </c>
      <c r="H2427">
        <v>6.9</v>
      </c>
      <c r="I2427" t="str" cm="1">
        <f t="array" ref="I2427">_xlfn.IFS(G2427&lt;3, "0–2 Years", G2427&lt;6, "3–5 Years", G2427&lt;9, "6–8 Years", G2427&lt;12, "9-11 Years", G2427&gt;=12, "12-14 Years")</f>
        <v>9-11 Years</v>
      </c>
      <c r="J2427">
        <v>3</v>
      </c>
      <c r="K2427" t="s">
        <v>20</v>
      </c>
      <c r="L2427">
        <v>84700</v>
      </c>
      <c r="M2427">
        <v>4800</v>
      </c>
      <c r="N2427">
        <v>89500</v>
      </c>
      <c r="O2427" t="s">
        <v>30</v>
      </c>
      <c r="P2427" s="3">
        <v>42059</v>
      </c>
      <c r="Q2427" t="s">
        <v>28</v>
      </c>
    </row>
    <row r="2428" spans="1:17" x14ac:dyDescent="0.35">
      <c r="A2428" t="s">
        <v>2480</v>
      </c>
      <c r="B2428" t="s">
        <v>23</v>
      </c>
      <c r="C2428">
        <v>49</v>
      </c>
      <c r="D2428" t="s">
        <v>34</v>
      </c>
      <c r="E2428" t="s">
        <v>35</v>
      </c>
      <c r="F2428" t="s">
        <v>36</v>
      </c>
      <c r="G2428">
        <v>8.4</v>
      </c>
      <c r="H2428">
        <v>4.4000000000000004</v>
      </c>
      <c r="I2428" t="str" cm="1">
        <f t="array" ref="I2428">_xlfn.IFS(G2428&lt;3, "0–2 Years", G2428&lt;6, "3–5 Years", G2428&lt;9, "6–8 Years", G2428&lt;12, "9-11 Years", G2428&gt;=12, "12-14 Years")</f>
        <v>6–8 Years</v>
      </c>
      <c r="J2428">
        <v>3</v>
      </c>
      <c r="K2428" t="s">
        <v>20</v>
      </c>
      <c r="L2428">
        <v>88400</v>
      </c>
      <c r="M2428">
        <v>3800</v>
      </c>
      <c r="N2428">
        <v>92200</v>
      </c>
      <c r="O2428" t="s">
        <v>30</v>
      </c>
      <c r="P2428" s="3">
        <v>42945</v>
      </c>
      <c r="Q2428" t="s">
        <v>36</v>
      </c>
    </row>
    <row r="2429" spans="1:17" x14ac:dyDescent="0.35">
      <c r="A2429" t="s">
        <v>2481</v>
      </c>
      <c r="B2429" t="s">
        <v>16</v>
      </c>
      <c r="C2429">
        <v>53</v>
      </c>
      <c r="D2429" t="s">
        <v>55</v>
      </c>
      <c r="E2429" t="s">
        <v>92</v>
      </c>
      <c r="F2429" t="s">
        <v>28</v>
      </c>
      <c r="G2429">
        <v>1.9</v>
      </c>
      <c r="H2429">
        <v>1.3</v>
      </c>
      <c r="I2429" t="str" cm="1">
        <f t="array" ref="I2429">_xlfn.IFS(G2429&lt;3, "0–2 Years", G2429&lt;6, "3–5 Years", G2429&lt;9, "6–8 Years", G2429&lt;12, "9-11 Years", G2429&gt;=12, "12-14 Years")</f>
        <v>0–2 Years</v>
      </c>
      <c r="J2429">
        <v>4</v>
      </c>
      <c r="K2429" t="s">
        <v>20</v>
      </c>
      <c r="L2429">
        <v>86700</v>
      </c>
      <c r="M2429">
        <v>17800</v>
      </c>
      <c r="N2429">
        <v>104500</v>
      </c>
      <c r="O2429" t="s">
        <v>30</v>
      </c>
      <c r="P2429" s="3">
        <v>45329</v>
      </c>
      <c r="Q2429" t="s">
        <v>28</v>
      </c>
    </row>
    <row r="2430" spans="1:17" x14ac:dyDescent="0.35">
      <c r="A2430" t="s">
        <v>2482</v>
      </c>
      <c r="B2430" t="s">
        <v>23</v>
      </c>
      <c r="C2430" s="7">
        <v>27</v>
      </c>
      <c r="D2430" t="s">
        <v>44</v>
      </c>
      <c r="E2430" t="s">
        <v>45</v>
      </c>
      <c r="F2430" t="s">
        <v>28</v>
      </c>
      <c r="G2430" s="9">
        <v>12.8</v>
      </c>
      <c r="H2430" s="7">
        <v>8.1999999999999993</v>
      </c>
      <c r="I2430" t="str" cm="1">
        <f t="array" ref="I2430">_xlfn.IFS(G2430&lt;3, "0–2 Years", G2430&lt;6, "3–5 Years", G2430&lt;9, "6–8 Years", G2430&lt;12, "9-11 Years", G2430&gt;=12, "12-14 Years")</f>
        <v>12-14 Years</v>
      </c>
      <c r="J2430" s="7">
        <v>3</v>
      </c>
      <c r="K2430" t="s">
        <v>20</v>
      </c>
      <c r="L2430" s="7">
        <v>75600</v>
      </c>
      <c r="M2430" s="7">
        <v>9400</v>
      </c>
      <c r="N2430" s="7">
        <v>85000</v>
      </c>
      <c r="O2430" t="s">
        <v>21</v>
      </c>
      <c r="P2430" s="3">
        <v>41336</v>
      </c>
      <c r="Q2430" t="s">
        <v>28</v>
      </c>
    </row>
    <row r="2431" spans="1:17" x14ac:dyDescent="0.35">
      <c r="A2431" t="s">
        <v>2483</v>
      </c>
      <c r="B2431" t="s">
        <v>16</v>
      </c>
      <c r="C2431">
        <v>40</v>
      </c>
      <c r="D2431" t="s">
        <v>55</v>
      </c>
      <c r="E2431" t="s">
        <v>79</v>
      </c>
      <c r="F2431" t="s">
        <v>36</v>
      </c>
      <c r="G2431">
        <v>3.8</v>
      </c>
      <c r="H2431">
        <v>3.8</v>
      </c>
      <c r="I2431" t="str" cm="1">
        <f t="array" ref="I2431">_xlfn.IFS(G2431&lt;3, "0–2 Years", G2431&lt;6, "3–5 Years", G2431&lt;9, "6–8 Years", G2431&lt;12, "9-11 Years", G2431&gt;=12, "12-14 Years")</f>
        <v>3–5 Years</v>
      </c>
      <c r="J2431">
        <v>4</v>
      </c>
      <c r="K2431" t="s">
        <v>20</v>
      </c>
      <c r="L2431">
        <v>66900</v>
      </c>
      <c r="M2431">
        <v>11100</v>
      </c>
      <c r="N2431">
        <v>78000</v>
      </c>
      <c r="O2431" t="s">
        <v>21</v>
      </c>
      <c r="P2431" s="3">
        <v>44650</v>
      </c>
      <c r="Q2431" t="s">
        <v>36</v>
      </c>
    </row>
    <row r="2432" spans="1:17" x14ac:dyDescent="0.35">
      <c r="A2432" t="s">
        <v>2484</v>
      </c>
      <c r="B2432" t="s">
        <v>16</v>
      </c>
      <c r="C2432">
        <v>35</v>
      </c>
      <c r="D2432" t="s">
        <v>44</v>
      </c>
      <c r="E2432" t="s">
        <v>81</v>
      </c>
      <c r="F2432" t="s">
        <v>28</v>
      </c>
      <c r="G2432">
        <v>7.1</v>
      </c>
      <c r="H2432">
        <v>4.8</v>
      </c>
      <c r="I2432" t="str" cm="1">
        <f t="array" ref="I2432">_xlfn.IFS(G2432&lt;3, "0–2 Years", G2432&lt;6, "3–5 Years", G2432&lt;9, "6–8 Years", G2432&lt;12, "9-11 Years", G2432&gt;=12, "12-14 Years")</f>
        <v>6–8 Years</v>
      </c>
      <c r="J2432">
        <v>3</v>
      </c>
      <c r="K2432" t="s">
        <v>69</v>
      </c>
      <c r="L2432">
        <v>81600</v>
      </c>
      <c r="M2432">
        <v>11900</v>
      </c>
      <c r="N2432">
        <v>93500</v>
      </c>
      <c r="O2432" t="s">
        <v>30</v>
      </c>
      <c r="P2432" s="3">
        <v>43435</v>
      </c>
      <c r="Q2432" t="s">
        <v>28</v>
      </c>
    </row>
    <row r="2433" spans="1:17" x14ac:dyDescent="0.35">
      <c r="A2433" t="s">
        <v>2485</v>
      </c>
      <c r="B2433" t="s">
        <v>16</v>
      </c>
      <c r="C2433">
        <v>30</v>
      </c>
      <c r="D2433" t="s">
        <v>38</v>
      </c>
      <c r="E2433" t="s">
        <v>61</v>
      </c>
      <c r="F2433" t="s">
        <v>36</v>
      </c>
      <c r="G2433">
        <v>1.6</v>
      </c>
      <c r="H2433">
        <v>1.6</v>
      </c>
      <c r="I2433" t="str" cm="1">
        <f t="array" ref="I2433">_xlfn.IFS(G2433&lt;3, "0–2 Years", G2433&lt;6, "3–5 Years", G2433&lt;9, "6–8 Years", G2433&lt;12, "9-11 Years", G2433&gt;=12, "12-14 Years")</f>
        <v>0–2 Years</v>
      </c>
      <c r="J2433">
        <v>3</v>
      </c>
      <c r="K2433" t="s">
        <v>20</v>
      </c>
      <c r="L2433">
        <v>105100</v>
      </c>
      <c r="M2433">
        <v>6200</v>
      </c>
      <c r="N2433">
        <v>111300</v>
      </c>
      <c r="O2433" t="s">
        <v>57</v>
      </c>
      <c r="P2433" s="3">
        <v>45454</v>
      </c>
      <c r="Q2433" t="s">
        <v>36</v>
      </c>
    </row>
    <row r="2434" spans="1:17" x14ac:dyDescent="0.35">
      <c r="A2434" t="s">
        <v>2486</v>
      </c>
      <c r="B2434" t="s">
        <v>16</v>
      </c>
      <c r="C2434">
        <v>43</v>
      </c>
      <c r="D2434" t="s">
        <v>38</v>
      </c>
      <c r="E2434" t="s">
        <v>112</v>
      </c>
      <c r="F2434" t="s">
        <v>28</v>
      </c>
      <c r="G2434">
        <v>5.4</v>
      </c>
      <c r="H2434">
        <v>3.3</v>
      </c>
      <c r="I2434" t="str" cm="1">
        <f t="array" ref="I2434">_xlfn.IFS(G2434&lt;3, "0–2 Years", G2434&lt;6, "3–5 Years", G2434&lt;9, "6–8 Years", G2434&lt;12, "9-11 Years", G2434&gt;=12, "12-14 Years")</f>
        <v>3–5 Years</v>
      </c>
      <c r="J2434">
        <v>2</v>
      </c>
      <c r="K2434" t="s">
        <v>20</v>
      </c>
      <c r="L2434">
        <v>67900</v>
      </c>
      <c r="M2434">
        <v>6700</v>
      </c>
      <c r="N2434">
        <v>74600</v>
      </c>
      <c r="O2434" t="s">
        <v>21</v>
      </c>
      <c r="P2434" s="3">
        <v>44033</v>
      </c>
      <c r="Q2434" t="s">
        <v>28</v>
      </c>
    </row>
    <row r="2435" spans="1:17" x14ac:dyDescent="0.35">
      <c r="A2435" t="s">
        <v>2487</v>
      </c>
      <c r="B2435" t="s">
        <v>23</v>
      </c>
      <c r="C2435" s="7">
        <v>25</v>
      </c>
      <c r="D2435" t="s">
        <v>17</v>
      </c>
      <c r="E2435" t="s">
        <v>27</v>
      </c>
      <c r="F2435" t="s">
        <v>28</v>
      </c>
      <c r="G2435" s="9">
        <v>12.8</v>
      </c>
      <c r="H2435" s="7">
        <v>9.6</v>
      </c>
      <c r="I2435" t="str" cm="1">
        <f t="array" ref="I2435">_xlfn.IFS(G2435&lt;3, "0–2 Years", G2435&lt;6, "3–5 Years", G2435&lt;9, "6–8 Years", G2435&lt;12, "9-11 Years", G2435&gt;=12, "12-14 Years")</f>
        <v>12-14 Years</v>
      </c>
      <c r="J2435" s="7">
        <v>4</v>
      </c>
      <c r="K2435" t="s">
        <v>20</v>
      </c>
      <c r="L2435" s="7">
        <v>97300</v>
      </c>
      <c r="M2435" s="7">
        <v>6900</v>
      </c>
      <c r="N2435" s="7">
        <v>104200</v>
      </c>
      <c r="O2435" t="s">
        <v>30</v>
      </c>
      <c r="P2435" s="3">
        <v>41331</v>
      </c>
      <c r="Q2435" t="s">
        <v>28</v>
      </c>
    </row>
    <row r="2436" spans="1:17" x14ac:dyDescent="0.35">
      <c r="A2436" t="s">
        <v>2488</v>
      </c>
      <c r="B2436" t="s">
        <v>16</v>
      </c>
      <c r="C2436">
        <v>21</v>
      </c>
      <c r="D2436" t="s">
        <v>55</v>
      </c>
      <c r="E2436" t="s">
        <v>79</v>
      </c>
      <c r="F2436" t="s">
        <v>28</v>
      </c>
      <c r="G2436">
        <v>1.6</v>
      </c>
      <c r="H2436">
        <v>1.6</v>
      </c>
      <c r="I2436" t="str" cm="1">
        <f t="array" ref="I2436">_xlfn.IFS(G2436&lt;3, "0–2 Years", G2436&lt;6, "3–5 Years", G2436&lt;9, "6–8 Years", G2436&lt;12, "9-11 Years", G2436&gt;=12, "12-14 Years")</f>
        <v>0–2 Years</v>
      </c>
      <c r="J2436">
        <v>3</v>
      </c>
      <c r="K2436" t="s">
        <v>20</v>
      </c>
      <c r="L2436">
        <v>59400</v>
      </c>
      <c r="M2436">
        <v>6700</v>
      </c>
      <c r="N2436">
        <v>66100</v>
      </c>
      <c r="O2436" t="s">
        <v>25</v>
      </c>
      <c r="P2436" s="3">
        <v>45432</v>
      </c>
      <c r="Q2436" t="s">
        <v>28</v>
      </c>
    </row>
    <row r="2437" spans="1:17" x14ac:dyDescent="0.35">
      <c r="A2437" t="s">
        <v>2489</v>
      </c>
      <c r="B2437" t="s">
        <v>23</v>
      </c>
      <c r="C2437">
        <v>25</v>
      </c>
      <c r="D2437" t="s">
        <v>38</v>
      </c>
      <c r="E2437" t="s">
        <v>61</v>
      </c>
      <c r="F2437" t="s">
        <v>28</v>
      </c>
      <c r="G2437">
        <v>3.5</v>
      </c>
      <c r="H2437">
        <v>2.9</v>
      </c>
      <c r="I2437" t="str" cm="1">
        <f t="array" ref="I2437">_xlfn.IFS(G2437&lt;3, "0–2 Years", G2437&lt;6, "3–5 Years", G2437&lt;9, "6–8 Years", G2437&lt;12, "9-11 Years", G2437&gt;=12, "12-14 Years")</f>
        <v>3–5 Years</v>
      </c>
      <c r="J2437">
        <v>5</v>
      </c>
      <c r="K2437" t="s">
        <v>20</v>
      </c>
      <c r="L2437">
        <v>95500</v>
      </c>
      <c r="M2437">
        <v>6400</v>
      </c>
      <c r="N2437">
        <v>101900</v>
      </c>
      <c r="O2437" t="s">
        <v>30</v>
      </c>
      <c r="P2437" s="3">
        <v>44749</v>
      </c>
      <c r="Q2437" t="s">
        <v>28</v>
      </c>
    </row>
    <row r="2438" spans="1:17" x14ac:dyDescent="0.35">
      <c r="A2438" t="s">
        <v>2490</v>
      </c>
      <c r="B2438" t="s">
        <v>23</v>
      </c>
      <c r="C2438">
        <v>38</v>
      </c>
      <c r="D2438" t="s">
        <v>17</v>
      </c>
      <c r="E2438" t="s">
        <v>32</v>
      </c>
      <c r="F2438" t="s">
        <v>28</v>
      </c>
      <c r="G2438">
        <v>5.7</v>
      </c>
      <c r="H2438">
        <v>1.9</v>
      </c>
      <c r="I2438" t="str" cm="1">
        <f t="array" ref="I2438">_xlfn.IFS(G2438&lt;3, "0–2 Years", G2438&lt;6, "3–5 Years", G2438&lt;9, "6–8 Years", G2438&lt;12, "9-11 Years", G2438&gt;=12, "12-14 Years")</f>
        <v>3–5 Years</v>
      </c>
      <c r="J2438">
        <v>3</v>
      </c>
      <c r="K2438" t="s">
        <v>20</v>
      </c>
      <c r="L2438">
        <v>63400</v>
      </c>
      <c r="M2438">
        <v>5200</v>
      </c>
      <c r="N2438">
        <v>68600</v>
      </c>
      <c r="O2438" t="s">
        <v>25</v>
      </c>
      <c r="P2438" s="3">
        <v>43938</v>
      </c>
      <c r="Q2438" t="s">
        <v>28</v>
      </c>
    </row>
    <row r="2439" spans="1:17" x14ac:dyDescent="0.35">
      <c r="A2439" t="s">
        <v>2491</v>
      </c>
      <c r="B2439" t="s">
        <v>23</v>
      </c>
      <c r="C2439">
        <v>34</v>
      </c>
      <c r="D2439" t="s">
        <v>38</v>
      </c>
      <c r="E2439" t="s">
        <v>112</v>
      </c>
      <c r="F2439" t="s">
        <v>36</v>
      </c>
      <c r="G2439">
        <v>11.5</v>
      </c>
      <c r="H2439">
        <v>8.4</v>
      </c>
      <c r="I2439" t="str" cm="1">
        <f t="array" ref="I2439">_xlfn.IFS(G2439&lt;3, "0–2 Years", G2439&lt;6, "3–5 Years", G2439&lt;9, "6–8 Years", G2439&lt;12, "9-11 Years", G2439&gt;=12, "12-14 Years")</f>
        <v>9-11 Years</v>
      </c>
      <c r="J2439">
        <v>3</v>
      </c>
      <c r="K2439" t="s">
        <v>24</v>
      </c>
      <c r="L2439">
        <v>43200</v>
      </c>
      <c r="M2439">
        <v>3600</v>
      </c>
      <c r="N2439">
        <v>46800</v>
      </c>
      <c r="O2439" t="s">
        <v>65</v>
      </c>
      <c r="P2439" s="3">
        <v>41839</v>
      </c>
      <c r="Q2439" t="s">
        <v>36</v>
      </c>
    </row>
    <row r="2440" spans="1:17" x14ac:dyDescent="0.35">
      <c r="A2440" t="s">
        <v>2492</v>
      </c>
      <c r="B2440" t="s">
        <v>23</v>
      </c>
      <c r="C2440">
        <v>35</v>
      </c>
      <c r="D2440" t="s">
        <v>38</v>
      </c>
      <c r="E2440" t="s">
        <v>39</v>
      </c>
      <c r="F2440" t="s">
        <v>28</v>
      </c>
      <c r="G2440">
        <v>8.6999999999999993</v>
      </c>
      <c r="H2440">
        <v>6.7</v>
      </c>
      <c r="I2440" t="str" cm="1">
        <f t="array" ref="I2440">_xlfn.IFS(G2440&lt;3, "0–2 Years", G2440&lt;6, "3–5 Years", G2440&lt;9, "6–8 Years", G2440&lt;12, "9-11 Years", G2440&gt;=12, "12-14 Years")</f>
        <v>6–8 Years</v>
      </c>
      <c r="J2440">
        <v>2</v>
      </c>
      <c r="K2440" t="s">
        <v>20</v>
      </c>
      <c r="L2440">
        <v>73300</v>
      </c>
      <c r="M2440">
        <v>4200</v>
      </c>
      <c r="N2440">
        <v>77500</v>
      </c>
      <c r="O2440" t="s">
        <v>21</v>
      </c>
      <c r="P2440" s="3">
        <v>42851</v>
      </c>
      <c r="Q2440" t="s">
        <v>28</v>
      </c>
    </row>
    <row r="2441" spans="1:17" x14ac:dyDescent="0.35">
      <c r="A2441" t="s">
        <v>2493</v>
      </c>
      <c r="B2441" t="s">
        <v>16</v>
      </c>
      <c r="C2441">
        <v>30</v>
      </c>
      <c r="D2441" t="s">
        <v>34</v>
      </c>
      <c r="E2441" t="s">
        <v>47</v>
      </c>
      <c r="F2441" t="s">
        <v>28</v>
      </c>
      <c r="G2441">
        <v>9.1</v>
      </c>
      <c r="H2441">
        <v>5.8</v>
      </c>
      <c r="I2441" t="str" cm="1">
        <f t="array" ref="I2441">_xlfn.IFS(G2441&lt;3, "0–2 Years", G2441&lt;6, "3–5 Years", G2441&lt;9, "6–8 Years", G2441&lt;12, "9-11 Years", G2441&gt;=12, "12-14 Years")</f>
        <v>9-11 Years</v>
      </c>
      <c r="J2441">
        <v>3</v>
      </c>
      <c r="K2441" t="s">
        <v>20</v>
      </c>
      <c r="L2441">
        <v>73500</v>
      </c>
      <c r="M2441">
        <v>3400</v>
      </c>
      <c r="N2441">
        <v>76900</v>
      </c>
      <c r="O2441" t="s">
        <v>21</v>
      </c>
      <c r="P2441" s="3">
        <v>42695</v>
      </c>
      <c r="Q2441" t="s">
        <v>28</v>
      </c>
    </row>
    <row r="2442" spans="1:17" x14ac:dyDescent="0.35">
      <c r="A2442" t="s">
        <v>2494</v>
      </c>
      <c r="B2442" t="s">
        <v>16</v>
      </c>
      <c r="C2442">
        <v>42</v>
      </c>
      <c r="D2442" t="s">
        <v>17</v>
      </c>
      <c r="E2442" t="s">
        <v>27</v>
      </c>
      <c r="F2442" t="s">
        <v>28</v>
      </c>
      <c r="G2442">
        <v>7.8</v>
      </c>
      <c r="H2442">
        <v>4.8</v>
      </c>
      <c r="I2442" t="str" cm="1">
        <f t="array" ref="I2442">_xlfn.IFS(G2442&lt;3, "0–2 Years", G2442&lt;6, "3–5 Years", G2442&lt;9, "6–8 Years", G2442&lt;12, "9-11 Years", G2442&gt;=12, "12-14 Years")</f>
        <v>6–8 Years</v>
      </c>
      <c r="J2442">
        <v>3</v>
      </c>
      <c r="K2442" t="s">
        <v>20</v>
      </c>
      <c r="L2442">
        <v>89300</v>
      </c>
      <c r="M2442">
        <v>6500</v>
      </c>
      <c r="N2442">
        <v>95800</v>
      </c>
      <c r="O2442" t="s">
        <v>30</v>
      </c>
      <c r="P2442" s="3">
        <v>43177</v>
      </c>
      <c r="Q2442" t="s">
        <v>28</v>
      </c>
    </row>
    <row r="2443" spans="1:17" x14ac:dyDescent="0.35">
      <c r="A2443" t="s">
        <v>2495</v>
      </c>
      <c r="B2443" t="s">
        <v>16</v>
      </c>
      <c r="C2443">
        <v>41</v>
      </c>
      <c r="D2443" t="s">
        <v>34</v>
      </c>
      <c r="E2443" t="s">
        <v>47</v>
      </c>
      <c r="F2443" t="s">
        <v>28</v>
      </c>
      <c r="G2443">
        <v>4.9000000000000004</v>
      </c>
      <c r="H2443">
        <v>4.7</v>
      </c>
      <c r="I2443" t="str" cm="1">
        <f t="array" ref="I2443">_xlfn.IFS(G2443&lt;3, "0–2 Years", G2443&lt;6, "3–5 Years", G2443&lt;9, "6–8 Years", G2443&lt;12, "9-11 Years", G2443&gt;=12, "12-14 Years")</f>
        <v>3–5 Years</v>
      </c>
      <c r="J2443">
        <v>4</v>
      </c>
      <c r="K2443" t="s">
        <v>20</v>
      </c>
      <c r="L2443">
        <v>80900</v>
      </c>
      <c r="M2443">
        <v>4500</v>
      </c>
      <c r="N2443">
        <v>85400</v>
      </c>
      <c r="O2443" t="s">
        <v>30</v>
      </c>
      <c r="P2443" s="3">
        <v>44241</v>
      </c>
      <c r="Q2443" t="s">
        <v>28</v>
      </c>
    </row>
    <row r="2444" spans="1:17" x14ac:dyDescent="0.35">
      <c r="A2444" t="s">
        <v>2496</v>
      </c>
      <c r="B2444" t="s">
        <v>16</v>
      </c>
      <c r="C2444">
        <v>26</v>
      </c>
      <c r="D2444" t="s">
        <v>34</v>
      </c>
      <c r="E2444" t="s">
        <v>35</v>
      </c>
      <c r="F2444" t="s">
        <v>62</v>
      </c>
      <c r="G2444">
        <v>9.1999999999999993</v>
      </c>
      <c r="H2444">
        <v>2.7</v>
      </c>
      <c r="I2444" t="str" cm="1">
        <f t="array" ref="I2444">_xlfn.IFS(G2444&lt;3, "0–2 Years", G2444&lt;6, "3–5 Years", G2444&lt;9, "6–8 Years", G2444&lt;12, "9-11 Years", G2444&gt;=12, "12-14 Years")</f>
        <v>9-11 Years</v>
      </c>
      <c r="J2444">
        <v>4</v>
      </c>
      <c r="K2444" t="s">
        <v>20</v>
      </c>
      <c r="L2444">
        <v>102900</v>
      </c>
      <c r="M2444">
        <v>9000</v>
      </c>
      <c r="N2444">
        <v>111900</v>
      </c>
      <c r="O2444" t="s">
        <v>57</v>
      </c>
      <c r="P2444" s="3">
        <v>42655</v>
      </c>
      <c r="Q2444" t="s">
        <v>62</v>
      </c>
    </row>
    <row r="2445" spans="1:17" x14ac:dyDescent="0.35">
      <c r="A2445" t="s">
        <v>2497</v>
      </c>
      <c r="B2445" t="s">
        <v>23</v>
      </c>
      <c r="C2445" s="7">
        <v>37</v>
      </c>
      <c r="D2445" t="s">
        <v>41</v>
      </c>
      <c r="E2445" t="s">
        <v>73</v>
      </c>
      <c r="F2445" t="s">
        <v>36</v>
      </c>
      <c r="G2445" s="9">
        <v>13.2</v>
      </c>
      <c r="H2445" s="7">
        <v>9.3000000000000007</v>
      </c>
      <c r="I2445" t="str" cm="1">
        <f t="array" ref="I2445">_xlfn.IFS(G2445&lt;3, "0–2 Years", G2445&lt;6, "3–5 Years", G2445&lt;9, "6–8 Years", G2445&lt;12, "9-11 Years", G2445&gt;=12, "12-14 Years")</f>
        <v>12-14 Years</v>
      </c>
      <c r="J2445" s="7">
        <v>3</v>
      </c>
      <c r="K2445" t="s">
        <v>20</v>
      </c>
      <c r="L2445" s="7">
        <v>120900</v>
      </c>
      <c r="M2445" s="7">
        <v>4000</v>
      </c>
      <c r="N2445" s="7">
        <v>124900</v>
      </c>
      <c r="O2445" t="s">
        <v>57</v>
      </c>
      <c r="P2445" s="3">
        <v>41194</v>
      </c>
      <c r="Q2445" t="s">
        <v>36</v>
      </c>
    </row>
    <row r="2446" spans="1:17" x14ac:dyDescent="0.35">
      <c r="A2446" t="s">
        <v>2498</v>
      </c>
      <c r="B2446" t="s">
        <v>16</v>
      </c>
      <c r="C2446" s="7">
        <v>48</v>
      </c>
      <c r="D2446" t="s">
        <v>41</v>
      </c>
      <c r="E2446" t="s">
        <v>67</v>
      </c>
      <c r="F2446" t="s">
        <v>28</v>
      </c>
      <c r="G2446" s="9">
        <v>12.7</v>
      </c>
      <c r="H2446" s="7">
        <v>7.6</v>
      </c>
      <c r="I2446" t="str" cm="1">
        <f t="array" ref="I2446">_xlfn.IFS(G2446&lt;3, "0–2 Years", G2446&lt;6, "3–5 Years", G2446&lt;9, "6–8 Years", G2446&lt;12, "9-11 Years", G2446&gt;=12, "12-14 Years")</f>
        <v>12-14 Years</v>
      </c>
      <c r="J2446" s="7">
        <v>3</v>
      </c>
      <c r="K2446" t="s">
        <v>20</v>
      </c>
      <c r="L2446" s="7">
        <v>81100</v>
      </c>
      <c r="M2446" s="7">
        <v>4500</v>
      </c>
      <c r="N2446" s="7">
        <v>85600</v>
      </c>
      <c r="O2446" t="s">
        <v>30</v>
      </c>
      <c r="P2446" s="3">
        <v>41399</v>
      </c>
      <c r="Q2446" t="s">
        <v>28</v>
      </c>
    </row>
    <row r="2447" spans="1:17" x14ac:dyDescent="0.35">
      <c r="A2447" t="s">
        <v>2499</v>
      </c>
      <c r="B2447" t="s">
        <v>16</v>
      </c>
      <c r="C2447">
        <v>24</v>
      </c>
      <c r="D2447" t="s">
        <v>41</v>
      </c>
      <c r="E2447" t="s">
        <v>73</v>
      </c>
      <c r="F2447" t="s">
        <v>36</v>
      </c>
      <c r="G2447">
        <v>7.5</v>
      </c>
      <c r="H2447">
        <v>6.3</v>
      </c>
      <c r="I2447" t="str" cm="1">
        <f t="array" ref="I2447">_xlfn.IFS(G2447&lt;3, "0–2 Years", G2447&lt;6, "3–5 Years", G2447&lt;9, "6–8 Years", G2447&lt;12, "9-11 Years", G2447&gt;=12, "12-14 Years")</f>
        <v>6–8 Years</v>
      </c>
      <c r="J2447">
        <v>5</v>
      </c>
      <c r="K2447" t="s">
        <v>20</v>
      </c>
      <c r="L2447">
        <v>99400</v>
      </c>
      <c r="M2447">
        <v>6900</v>
      </c>
      <c r="N2447">
        <v>106300</v>
      </c>
      <c r="O2447" t="s">
        <v>30</v>
      </c>
      <c r="P2447" s="3">
        <v>43289</v>
      </c>
      <c r="Q2447" t="s">
        <v>36</v>
      </c>
    </row>
    <row r="2448" spans="1:17" x14ac:dyDescent="0.35">
      <c r="A2448" t="s">
        <v>2500</v>
      </c>
      <c r="B2448" t="s">
        <v>23</v>
      </c>
      <c r="C2448" s="7">
        <v>46</v>
      </c>
      <c r="D2448" t="s">
        <v>55</v>
      </c>
      <c r="E2448" t="s">
        <v>56</v>
      </c>
      <c r="F2448" t="s">
        <v>36</v>
      </c>
      <c r="G2448" s="9">
        <v>13.4</v>
      </c>
      <c r="H2448" s="7">
        <v>7.3</v>
      </c>
      <c r="I2448" t="str" cm="1">
        <f t="array" ref="I2448">_xlfn.IFS(G2448&lt;3, "0–2 Years", G2448&lt;6, "3–5 Years", G2448&lt;9, "6–8 Years", G2448&lt;12, "9-11 Years", G2448&gt;=12, "12-14 Years")</f>
        <v>12-14 Years</v>
      </c>
      <c r="J2448" s="7">
        <v>3</v>
      </c>
      <c r="K2448" t="s">
        <v>20</v>
      </c>
      <c r="L2448" s="7">
        <v>120700</v>
      </c>
      <c r="M2448" s="7">
        <v>20500</v>
      </c>
      <c r="N2448" s="7">
        <v>141200</v>
      </c>
      <c r="O2448" t="s">
        <v>57</v>
      </c>
      <c r="P2448" s="3">
        <v>41141</v>
      </c>
      <c r="Q2448" t="s">
        <v>36</v>
      </c>
    </row>
    <row r="2449" spans="1:17" x14ac:dyDescent="0.35">
      <c r="A2449" t="s">
        <v>2501</v>
      </c>
      <c r="B2449" t="s">
        <v>23</v>
      </c>
      <c r="C2449">
        <v>21</v>
      </c>
      <c r="D2449" t="s">
        <v>38</v>
      </c>
      <c r="E2449" t="s">
        <v>39</v>
      </c>
      <c r="F2449" t="s">
        <v>28</v>
      </c>
      <c r="G2449">
        <v>4.2</v>
      </c>
      <c r="H2449">
        <v>3.2</v>
      </c>
      <c r="I2449" t="str" cm="1">
        <f t="array" ref="I2449">_xlfn.IFS(G2449&lt;3, "0–2 Years", G2449&lt;6, "3–5 Years", G2449&lt;9, "6–8 Years", G2449&lt;12, "9-11 Years", G2449&gt;=12, "12-14 Years")</f>
        <v>3–5 Years</v>
      </c>
      <c r="J2449">
        <v>2</v>
      </c>
      <c r="K2449" t="s">
        <v>69</v>
      </c>
      <c r="L2449">
        <v>58000</v>
      </c>
      <c r="M2449">
        <v>3000</v>
      </c>
      <c r="N2449">
        <v>61000</v>
      </c>
      <c r="O2449" t="s">
        <v>25</v>
      </c>
      <c r="P2449" s="3">
        <v>44488</v>
      </c>
      <c r="Q2449" t="s">
        <v>28</v>
      </c>
    </row>
    <row r="2450" spans="1:17" x14ac:dyDescent="0.35">
      <c r="A2450" t="s">
        <v>2502</v>
      </c>
      <c r="B2450" t="s">
        <v>16</v>
      </c>
      <c r="C2450">
        <v>35</v>
      </c>
      <c r="D2450" t="s">
        <v>38</v>
      </c>
      <c r="E2450" t="s">
        <v>61</v>
      </c>
      <c r="F2450" t="s">
        <v>19</v>
      </c>
      <c r="G2450">
        <v>8.8000000000000007</v>
      </c>
      <c r="H2450">
        <v>6.2</v>
      </c>
      <c r="I2450" t="str" cm="1">
        <f t="array" ref="I2450">_xlfn.IFS(G2450&lt;3, "0–2 Years", G2450&lt;6, "3–5 Years", G2450&lt;9, "6–8 Years", G2450&lt;12, "9-11 Years", G2450&gt;=12, "12-14 Years")</f>
        <v>6–8 Years</v>
      </c>
      <c r="J2450">
        <v>3</v>
      </c>
      <c r="K2450" t="s">
        <v>20</v>
      </c>
      <c r="L2450">
        <v>101200</v>
      </c>
      <c r="M2450">
        <v>6300</v>
      </c>
      <c r="N2450">
        <v>107500</v>
      </c>
      <c r="O2450" t="s">
        <v>57</v>
      </c>
      <c r="P2450" s="3">
        <v>42817</v>
      </c>
      <c r="Q2450" t="s">
        <v>19</v>
      </c>
    </row>
    <row r="2451" spans="1:17" x14ac:dyDescent="0.35">
      <c r="A2451" t="s">
        <v>2503</v>
      </c>
      <c r="B2451" t="s">
        <v>16</v>
      </c>
      <c r="C2451">
        <v>40</v>
      </c>
      <c r="D2451" t="s">
        <v>44</v>
      </c>
      <c r="E2451" t="s">
        <v>81</v>
      </c>
      <c r="F2451" t="s">
        <v>28</v>
      </c>
      <c r="G2451">
        <v>10.7</v>
      </c>
      <c r="H2451">
        <v>5.8</v>
      </c>
      <c r="I2451" t="str" cm="1">
        <f t="array" ref="I2451">_xlfn.IFS(G2451&lt;3, "0–2 Years", G2451&lt;6, "3–5 Years", G2451&lt;9, "6–8 Years", G2451&lt;12, "9-11 Years", G2451&gt;=12, "12-14 Years")</f>
        <v>9-11 Years</v>
      </c>
      <c r="J2451">
        <v>4</v>
      </c>
      <c r="K2451" t="s">
        <v>20</v>
      </c>
      <c r="L2451">
        <v>108900</v>
      </c>
      <c r="M2451">
        <v>9800</v>
      </c>
      <c r="N2451">
        <v>118700</v>
      </c>
      <c r="O2451" t="s">
        <v>57</v>
      </c>
      <c r="P2451" s="3">
        <v>42105</v>
      </c>
      <c r="Q2451" t="s">
        <v>28</v>
      </c>
    </row>
    <row r="2452" spans="1:17" x14ac:dyDescent="0.35">
      <c r="A2452" t="s">
        <v>2504</v>
      </c>
      <c r="B2452" t="s">
        <v>23</v>
      </c>
      <c r="C2452">
        <v>49</v>
      </c>
      <c r="D2452" t="s">
        <v>44</v>
      </c>
      <c r="E2452" t="s">
        <v>51</v>
      </c>
      <c r="F2452" t="s">
        <v>28</v>
      </c>
      <c r="G2452">
        <v>3.2</v>
      </c>
      <c r="H2452">
        <v>2.7</v>
      </c>
      <c r="I2452" t="str" cm="1">
        <f t="array" ref="I2452">_xlfn.IFS(G2452&lt;3, "0–2 Years", G2452&lt;6, "3–5 Years", G2452&lt;9, "6–8 Years", G2452&lt;12, "9-11 Years", G2452&gt;=12, "12-14 Years")</f>
        <v>3–5 Years</v>
      </c>
      <c r="J2452">
        <v>3</v>
      </c>
      <c r="K2452" t="s">
        <v>20</v>
      </c>
      <c r="L2452">
        <v>84400</v>
      </c>
      <c r="M2452">
        <v>12400</v>
      </c>
      <c r="N2452">
        <v>96800</v>
      </c>
      <c r="O2452" t="s">
        <v>30</v>
      </c>
      <c r="P2452" s="3">
        <v>44866</v>
      </c>
      <c r="Q2452" t="s">
        <v>28</v>
      </c>
    </row>
    <row r="2453" spans="1:17" x14ac:dyDescent="0.35">
      <c r="A2453" t="s">
        <v>2505</v>
      </c>
      <c r="B2453" t="s">
        <v>16</v>
      </c>
      <c r="C2453">
        <v>43</v>
      </c>
      <c r="D2453" t="s">
        <v>34</v>
      </c>
      <c r="E2453" t="s">
        <v>47</v>
      </c>
      <c r="F2453" t="s">
        <v>36</v>
      </c>
      <c r="G2453">
        <v>5.8</v>
      </c>
      <c r="H2453">
        <v>2.7</v>
      </c>
      <c r="I2453" t="str" cm="1">
        <f t="array" ref="I2453">_xlfn.IFS(G2453&lt;3, "0–2 Years", G2453&lt;6, "3–5 Years", G2453&lt;9, "6–8 Years", G2453&lt;12, "9-11 Years", G2453&gt;=12, "12-14 Years")</f>
        <v>3–5 Years</v>
      </c>
      <c r="J2453">
        <v>2</v>
      </c>
      <c r="K2453" t="s">
        <v>69</v>
      </c>
      <c r="L2453">
        <v>67800</v>
      </c>
      <c r="M2453">
        <v>8100</v>
      </c>
      <c r="N2453">
        <v>75900</v>
      </c>
      <c r="O2453" t="s">
        <v>21</v>
      </c>
      <c r="P2453" s="3">
        <v>43908</v>
      </c>
      <c r="Q2453" t="s">
        <v>36</v>
      </c>
    </row>
    <row r="2454" spans="1:17" x14ac:dyDescent="0.35">
      <c r="A2454" t="s">
        <v>2506</v>
      </c>
      <c r="B2454" t="s">
        <v>16</v>
      </c>
      <c r="C2454" s="7">
        <v>49</v>
      </c>
      <c r="D2454" t="s">
        <v>44</v>
      </c>
      <c r="E2454" t="s">
        <v>81</v>
      </c>
      <c r="F2454" t="s">
        <v>28</v>
      </c>
      <c r="G2454" s="9">
        <v>13.6</v>
      </c>
      <c r="H2454" s="7">
        <v>9</v>
      </c>
      <c r="I2454" t="str" cm="1">
        <f t="array" ref="I2454">_xlfn.IFS(G2454&lt;3, "0–2 Years", G2454&lt;6, "3–5 Years", G2454&lt;9, "6–8 Years", G2454&lt;12, "9-11 Years", G2454&gt;=12, "12-14 Years")</f>
        <v>12-14 Years</v>
      </c>
      <c r="J2454" s="7">
        <v>2</v>
      </c>
      <c r="K2454" t="s">
        <v>20</v>
      </c>
      <c r="L2454" s="7">
        <v>94700</v>
      </c>
      <c r="M2454" s="7">
        <v>11100</v>
      </c>
      <c r="N2454" s="7">
        <v>105800</v>
      </c>
      <c r="O2454" t="s">
        <v>30</v>
      </c>
      <c r="P2454" s="3">
        <v>41053</v>
      </c>
      <c r="Q2454" t="s">
        <v>28</v>
      </c>
    </row>
    <row r="2455" spans="1:17" x14ac:dyDescent="0.35">
      <c r="A2455" t="s">
        <v>2507</v>
      </c>
      <c r="B2455" t="s">
        <v>23</v>
      </c>
      <c r="C2455">
        <v>33</v>
      </c>
      <c r="D2455" t="s">
        <v>41</v>
      </c>
      <c r="E2455" t="s">
        <v>67</v>
      </c>
      <c r="F2455" t="s">
        <v>28</v>
      </c>
      <c r="G2455">
        <v>11.3</v>
      </c>
      <c r="H2455">
        <v>8.1</v>
      </c>
      <c r="I2455" t="str" cm="1">
        <f t="array" ref="I2455">_xlfn.IFS(G2455&lt;3, "0–2 Years", G2455&lt;6, "3–5 Years", G2455&lt;9, "6–8 Years", G2455&lt;12, "9-11 Years", G2455&gt;=12, "12-14 Years")</f>
        <v>9-11 Years</v>
      </c>
      <c r="J2455">
        <v>3</v>
      </c>
      <c r="K2455" t="s">
        <v>20</v>
      </c>
      <c r="L2455">
        <v>63000</v>
      </c>
      <c r="M2455">
        <v>5100</v>
      </c>
      <c r="N2455">
        <v>68100</v>
      </c>
      <c r="O2455" t="s">
        <v>25</v>
      </c>
      <c r="P2455" s="3">
        <v>41900</v>
      </c>
      <c r="Q2455" t="s">
        <v>28</v>
      </c>
    </row>
    <row r="2456" spans="1:17" x14ac:dyDescent="0.35">
      <c r="A2456" t="s">
        <v>2508</v>
      </c>
      <c r="B2456" t="s">
        <v>23</v>
      </c>
      <c r="C2456">
        <v>36</v>
      </c>
      <c r="D2456" t="s">
        <v>44</v>
      </c>
      <c r="E2456" t="s">
        <v>45</v>
      </c>
      <c r="F2456" t="s">
        <v>36</v>
      </c>
      <c r="G2456">
        <v>6.4</v>
      </c>
      <c r="H2456">
        <v>6</v>
      </c>
      <c r="I2456" t="str" cm="1">
        <f t="array" ref="I2456">_xlfn.IFS(G2456&lt;3, "0–2 Years", G2456&lt;6, "3–5 Years", G2456&lt;9, "6–8 Years", G2456&lt;12, "9-11 Years", G2456&gt;=12, "12-14 Years")</f>
        <v>6–8 Years</v>
      </c>
      <c r="J2456">
        <v>3</v>
      </c>
      <c r="K2456" t="s">
        <v>20</v>
      </c>
      <c r="L2456">
        <v>76600</v>
      </c>
      <c r="M2456">
        <v>9900</v>
      </c>
      <c r="N2456">
        <v>86500</v>
      </c>
      <c r="O2456" t="s">
        <v>21</v>
      </c>
      <c r="P2456" s="3">
        <v>43688</v>
      </c>
      <c r="Q2456" t="s">
        <v>36</v>
      </c>
    </row>
    <row r="2457" spans="1:17" x14ac:dyDescent="0.35">
      <c r="A2457" t="s">
        <v>2509</v>
      </c>
      <c r="B2457" t="s">
        <v>16</v>
      </c>
      <c r="C2457">
        <v>32</v>
      </c>
      <c r="D2457" t="s">
        <v>34</v>
      </c>
      <c r="E2457" t="s">
        <v>59</v>
      </c>
      <c r="F2457" t="s">
        <v>28</v>
      </c>
      <c r="G2457">
        <v>2</v>
      </c>
      <c r="H2457">
        <v>1.3</v>
      </c>
      <c r="I2457" t="str" cm="1">
        <f t="array" ref="I2457">_xlfn.IFS(G2457&lt;3, "0–2 Years", G2457&lt;6, "3–5 Years", G2457&lt;9, "6–8 Years", G2457&lt;12, "9-11 Years", G2457&gt;=12, "12-14 Years")</f>
        <v>0–2 Years</v>
      </c>
      <c r="J2457">
        <v>3</v>
      </c>
      <c r="K2457" t="s">
        <v>20</v>
      </c>
      <c r="L2457">
        <v>102600</v>
      </c>
      <c r="M2457">
        <v>9100</v>
      </c>
      <c r="N2457">
        <v>111700</v>
      </c>
      <c r="O2457" t="s">
        <v>57</v>
      </c>
      <c r="P2457" s="3">
        <v>45294</v>
      </c>
      <c r="Q2457" t="s">
        <v>28</v>
      </c>
    </row>
    <row r="2458" spans="1:17" x14ac:dyDescent="0.35">
      <c r="A2458" t="s">
        <v>2510</v>
      </c>
      <c r="B2458" t="s">
        <v>16</v>
      </c>
      <c r="C2458">
        <v>33</v>
      </c>
      <c r="D2458" t="s">
        <v>38</v>
      </c>
      <c r="E2458" t="s">
        <v>112</v>
      </c>
      <c r="F2458" t="s">
        <v>36</v>
      </c>
      <c r="G2458">
        <v>9.3000000000000007</v>
      </c>
      <c r="H2458">
        <v>8.5</v>
      </c>
      <c r="I2458" t="str" cm="1">
        <f t="array" ref="I2458">_xlfn.IFS(G2458&lt;3, "0–2 Years", G2458&lt;6, "3–5 Years", G2458&lt;9, "6–8 Years", G2458&lt;12, "9-11 Years", G2458&gt;=12, "12-14 Years")</f>
        <v>9-11 Years</v>
      </c>
      <c r="J2458">
        <v>4</v>
      </c>
      <c r="K2458" t="s">
        <v>20</v>
      </c>
      <c r="L2458">
        <v>76100</v>
      </c>
      <c r="M2458">
        <v>5000</v>
      </c>
      <c r="N2458">
        <v>81100</v>
      </c>
      <c r="O2458" t="s">
        <v>21</v>
      </c>
      <c r="P2458" s="3">
        <v>42640</v>
      </c>
      <c r="Q2458" t="s">
        <v>36</v>
      </c>
    </row>
    <row r="2459" spans="1:17" x14ac:dyDescent="0.35">
      <c r="A2459" t="s">
        <v>2511</v>
      </c>
      <c r="B2459" t="s">
        <v>23</v>
      </c>
      <c r="C2459">
        <v>36</v>
      </c>
      <c r="D2459" t="s">
        <v>44</v>
      </c>
      <c r="E2459" t="s">
        <v>51</v>
      </c>
      <c r="F2459" t="s">
        <v>19</v>
      </c>
      <c r="G2459">
        <v>5.5</v>
      </c>
      <c r="H2459">
        <v>3.6</v>
      </c>
      <c r="I2459" t="str" cm="1">
        <f t="array" ref="I2459">_xlfn.IFS(G2459&lt;3, "0–2 Years", G2459&lt;6, "3–5 Years", G2459&lt;9, "6–8 Years", G2459&lt;12, "9-11 Years", G2459&gt;=12, "12-14 Years")</f>
        <v>3–5 Years</v>
      </c>
      <c r="J2459">
        <v>3</v>
      </c>
      <c r="K2459" t="s">
        <v>20</v>
      </c>
      <c r="L2459">
        <v>75200</v>
      </c>
      <c r="M2459">
        <v>5300</v>
      </c>
      <c r="N2459">
        <v>80500</v>
      </c>
      <c r="O2459" t="s">
        <v>21</v>
      </c>
      <c r="P2459" s="3">
        <v>44000</v>
      </c>
      <c r="Q2459" t="s">
        <v>19</v>
      </c>
    </row>
    <row r="2460" spans="1:17" x14ac:dyDescent="0.35">
      <c r="A2460" t="s">
        <v>2512</v>
      </c>
      <c r="B2460" t="s">
        <v>16</v>
      </c>
      <c r="C2460">
        <v>35</v>
      </c>
      <c r="D2460" t="s">
        <v>44</v>
      </c>
      <c r="E2460" t="s">
        <v>76</v>
      </c>
      <c r="F2460" t="s">
        <v>36</v>
      </c>
      <c r="G2460">
        <v>6.8</v>
      </c>
      <c r="H2460">
        <v>4.5999999999999996</v>
      </c>
      <c r="I2460" t="str" cm="1">
        <f t="array" ref="I2460">_xlfn.IFS(G2460&lt;3, "0–2 Years", G2460&lt;6, "3–5 Years", G2460&lt;9, "6–8 Years", G2460&lt;12, "9-11 Years", G2460&gt;=12, "12-14 Years")</f>
        <v>6–8 Years</v>
      </c>
      <c r="J2460">
        <v>2</v>
      </c>
      <c r="K2460" t="s">
        <v>20</v>
      </c>
      <c r="L2460">
        <v>106100</v>
      </c>
      <c r="M2460">
        <v>10100</v>
      </c>
      <c r="N2460">
        <v>116200</v>
      </c>
      <c r="O2460" t="s">
        <v>57</v>
      </c>
      <c r="P2460" s="3">
        <v>43545</v>
      </c>
      <c r="Q2460" t="s">
        <v>36</v>
      </c>
    </row>
    <row r="2461" spans="1:17" x14ac:dyDescent="0.35">
      <c r="A2461" t="s">
        <v>2513</v>
      </c>
      <c r="B2461" t="s">
        <v>23</v>
      </c>
      <c r="C2461">
        <v>28</v>
      </c>
      <c r="D2461" t="s">
        <v>44</v>
      </c>
      <c r="E2461" t="s">
        <v>45</v>
      </c>
      <c r="F2461" t="s">
        <v>28</v>
      </c>
      <c r="G2461">
        <v>6.4</v>
      </c>
      <c r="H2461">
        <v>5.2</v>
      </c>
      <c r="I2461" t="str" cm="1">
        <f t="array" ref="I2461">_xlfn.IFS(G2461&lt;3, "0–2 Years", G2461&lt;6, "3–5 Years", G2461&lt;9, "6–8 Years", G2461&lt;12, "9-11 Years", G2461&gt;=12, "12-14 Years")</f>
        <v>6–8 Years</v>
      </c>
      <c r="J2461">
        <v>3</v>
      </c>
      <c r="K2461" t="s">
        <v>20</v>
      </c>
      <c r="L2461">
        <v>76200</v>
      </c>
      <c r="M2461">
        <v>3900</v>
      </c>
      <c r="N2461">
        <v>80100</v>
      </c>
      <c r="O2461" t="s">
        <v>21</v>
      </c>
      <c r="P2461" s="3">
        <v>43675</v>
      </c>
      <c r="Q2461" t="s">
        <v>28</v>
      </c>
    </row>
    <row r="2462" spans="1:17" x14ac:dyDescent="0.35">
      <c r="A2462" t="s">
        <v>2514</v>
      </c>
      <c r="B2462" t="s">
        <v>23</v>
      </c>
      <c r="C2462">
        <v>38</v>
      </c>
      <c r="D2462" t="s">
        <v>55</v>
      </c>
      <c r="E2462" t="s">
        <v>56</v>
      </c>
      <c r="F2462" t="s">
        <v>36</v>
      </c>
      <c r="G2462">
        <v>8.1</v>
      </c>
      <c r="H2462">
        <v>5.5</v>
      </c>
      <c r="I2462" t="str" cm="1">
        <f t="array" ref="I2462">_xlfn.IFS(G2462&lt;3, "0–2 Years", G2462&lt;6, "3–5 Years", G2462&lt;9, "6–8 Years", G2462&lt;12, "9-11 Years", G2462&gt;=12, "12-14 Years")</f>
        <v>6–8 Years</v>
      </c>
      <c r="J2462">
        <v>3</v>
      </c>
      <c r="K2462" t="s">
        <v>20</v>
      </c>
      <c r="L2462">
        <v>107400</v>
      </c>
      <c r="M2462">
        <v>10200</v>
      </c>
      <c r="N2462">
        <v>117600</v>
      </c>
      <c r="O2462" t="s">
        <v>57</v>
      </c>
      <c r="P2462" s="3">
        <v>43057</v>
      </c>
      <c r="Q2462" t="s">
        <v>36</v>
      </c>
    </row>
    <row r="2463" spans="1:17" x14ac:dyDescent="0.35">
      <c r="A2463" t="s">
        <v>2515</v>
      </c>
      <c r="B2463" t="s">
        <v>16</v>
      </c>
      <c r="C2463">
        <v>36</v>
      </c>
      <c r="D2463" t="s">
        <v>55</v>
      </c>
      <c r="E2463" t="s">
        <v>92</v>
      </c>
      <c r="F2463" t="s">
        <v>36</v>
      </c>
      <c r="G2463">
        <v>11.8</v>
      </c>
      <c r="H2463">
        <v>7.6</v>
      </c>
      <c r="I2463" t="str" cm="1">
        <f t="array" ref="I2463">_xlfn.IFS(G2463&lt;3, "0–2 Years", G2463&lt;6, "3–5 Years", G2463&lt;9, "6–8 Years", G2463&lt;12, "9-11 Years", G2463&gt;=12, "12-14 Years")</f>
        <v>9-11 Years</v>
      </c>
      <c r="J2463">
        <v>3</v>
      </c>
      <c r="K2463" t="s">
        <v>20</v>
      </c>
      <c r="L2463">
        <v>110900</v>
      </c>
      <c r="M2463">
        <v>21500</v>
      </c>
      <c r="N2463">
        <v>132400</v>
      </c>
      <c r="O2463" t="s">
        <v>57</v>
      </c>
      <c r="P2463" s="3">
        <v>41710</v>
      </c>
      <c r="Q2463" t="s">
        <v>36</v>
      </c>
    </row>
    <row r="2464" spans="1:17" x14ac:dyDescent="0.35">
      <c r="A2464" t="s">
        <v>2516</v>
      </c>
      <c r="B2464" t="s">
        <v>16</v>
      </c>
      <c r="C2464">
        <v>41</v>
      </c>
      <c r="D2464" t="s">
        <v>44</v>
      </c>
      <c r="E2464" t="s">
        <v>51</v>
      </c>
      <c r="F2464" t="s">
        <v>28</v>
      </c>
      <c r="G2464">
        <v>1.2</v>
      </c>
      <c r="H2464">
        <v>0</v>
      </c>
      <c r="I2464" t="str" cm="1">
        <f t="array" ref="I2464">_xlfn.IFS(G2464&lt;3, "0–2 Years", G2464&lt;6, "3–5 Years", G2464&lt;9, "6–8 Years", G2464&lt;12, "9-11 Years", G2464&gt;=12, "12-14 Years")</f>
        <v>0–2 Years</v>
      </c>
      <c r="J2464">
        <v>4</v>
      </c>
      <c r="K2464" t="s">
        <v>20</v>
      </c>
      <c r="L2464">
        <v>77000</v>
      </c>
      <c r="M2464">
        <v>8900</v>
      </c>
      <c r="N2464">
        <v>85900</v>
      </c>
      <c r="O2464" t="s">
        <v>21</v>
      </c>
      <c r="P2464" s="3">
        <v>45575</v>
      </c>
      <c r="Q2464" t="s">
        <v>28</v>
      </c>
    </row>
    <row r="2465" spans="1:17" x14ac:dyDescent="0.35">
      <c r="A2465" t="s">
        <v>2517</v>
      </c>
      <c r="B2465" t="s">
        <v>23</v>
      </c>
      <c r="C2465" s="7">
        <v>35</v>
      </c>
      <c r="D2465" t="s">
        <v>34</v>
      </c>
      <c r="E2465" t="s">
        <v>59</v>
      </c>
      <c r="F2465" t="s">
        <v>28</v>
      </c>
      <c r="G2465" s="9">
        <v>12.6</v>
      </c>
      <c r="H2465" s="7">
        <v>7.1</v>
      </c>
      <c r="I2465" t="str" cm="1">
        <f t="array" ref="I2465">_xlfn.IFS(G2465&lt;3, "0–2 Years", G2465&lt;6, "3–5 Years", G2465&lt;9, "6–8 Years", G2465&lt;12, "9-11 Years", G2465&gt;=12, "12-14 Years")</f>
        <v>12-14 Years</v>
      </c>
      <c r="J2465" s="7">
        <v>2</v>
      </c>
      <c r="K2465" t="s">
        <v>20</v>
      </c>
      <c r="L2465" s="7">
        <v>115900</v>
      </c>
      <c r="M2465" s="7">
        <v>13600</v>
      </c>
      <c r="N2465" s="7">
        <v>129500</v>
      </c>
      <c r="O2465" t="s">
        <v>57</v>
      </c>
      <c r="P2465" s="3">
        <v>41430</v>
      </c>
      <c r="Q2465" t="s">
        <v>28</v>
      </c>
    </row>
    <row r="2466" spans="1:17" x14ac:dyDescent="0.35">
      <c r="A2466" t="s">
        <v>2518</v>
      </c>
      <c r="B2466" t="s">
        <v>16</v>
      </c>
      <c r="C2466">
        <v>41</v>
      </c>
      <c r="D2466" t="s">
        <v>44</v>
      </c>
      <c r="E2466" t="s">
        <v>76</v>
      </c>
      <c r="F2466" t="s">
        <v>36</v>
      </c>
      <c r="G2466">
        <v>3.8</v>
      </c>
      <c r="H2466">
        <v>3.2</v>
      </c>
      <c r="I2466" t="str" cm="1">
        <f t="array" ref="I2466">_xlfn.IFS(G2466&lt;3, "0–2 Years", G2466&lt;6, "3–5 Years", G2466&lt;9, "6–8 Years", G2466&lt;12, "9-11 Years", G2466&gt;=12, "12-14 Years")</f>
        <v>3–5 Years</v>
      </c>
      <c r="J2466">
        <v>3</v>
      </c>
      <c r="K2466" t="s">
        <v>20</v>
      </c>
      <c r="L2466">
        <v>105000</v>
      </c>
      <c r="M2466">
        <v>9200</v>
      </c>
      <c r="N2466">
        <v>114200</v>
      </c>
      <c r="O2466" t="s">
        <v>57</v>
      </c>
      <c r="P2466" s="3">
        <v>44640</v>
      </c>
      <c r="Q2466" t="s">
        <v>36</v>
      </c>
    </row>
    <row r="2467" spans="1:17" x14ac:dyDescent="0.35">
      <c r="A2467" t="s">
        <v>2519</v>
      </c>
      <c r="B2467" t="s">
        <v>23</v>
      </c>
      <c r="C2467">
        <v>28</v>
      </c>
      <c r="D2467" t="s">
        <v>44</v>
      </c>
      <c r="E2467" t="s">
        <v>45</v>
      </c>
      <c r="F2467" t="s">
        <v>62</v>
      </c>
      <c r="G2467">
        <v>3.7</v>
      </c>
      <c r="H2467">
        <v>1.1000000000000001</v>
      </c>
      <c r="I2467" t="str" cm="1">
        <f t="array" ref="I2467">_xlfn.IFS(G2467&lt;3, "0–2 Years", G2467&lt;6, "3–5 Years", G2467&lt;9, "6–8 Years", G2467&lt;12, "9-11 Years", G2467&gt;=12, "12-14 Years")</f>
        <v>3–5 Years</v>
      </c>
      <c r="J2467">
        <v>4</v>
      </c>
      <c r="K2467" t="s">
        <v>20</v>
      </c>
      <c r="L2467">
        <v>83800</v>
      </c>
      <c r="M2467">
        <v>4900</v>
      </c>
      <c r="N2467">
        <v>88700</v>
      </c>
      <c r="O2467" t="s">
        <v>30</v>
      </c>
      <c r="P2467" s="3">
        <v>44665</v>
      </c>
      <c r="Q2467" t="s">
        <v>62</v>
      </c>
    </row>
    <row r="2468" spans="1:17" x14ac:dyDescent="0.35">
      <c r="A2468" t="s">
        <v>2520</v>
      </c>
      <c r="B2468" t="s">
        <v>23</v>
      </c>
      <c r="C2468">
        <v>23</v>
      </c>
      <c r="D2468" t="s">
        <v>44</v>
      </c>
      <c r="E2468" t="s">
        <v>81</v>
      </c>
      <c r="F2468" t="s">
        <v>36</v>
      </c>
      <c r="G2468">
        <v>2.4</v>
      </c>
      <c r="H2468">
        <v>0</v>
      </c>
      <c r="I2468" t="str" cm="1">
        <f t="array" ref="I2468">_xlfn.IFS(G2468&lt;3, "0–2 Years", G2468&lt;6, "3–5 Years", G2468&lt;9, "6–8 Years", G2468&lt;12, "9-11 Years", G2468&gt;=12, "12-14 Years")</f>
        <v>0–2 Years</v>
      </c>
      <c r="J2468">
        <v>3</v>
      </c>
      <c r="K2468" t="s">
        <v>24</v>
      </c>
      <c r="L2468">
        <v>60000</v>
      </c>
      <c r="M2468">
        <v>8200</v>
      </c>
      <c r="N2468">
        <v>68200</v>
      </c>
      <c r="O2468" t="s">
        <v>25</v>
      </c>
      <c r="P2468" s="3">
        <v>45147</v>
      </c>
      <c r="Q2468" t="s">
        <v>36</v>
      </c>
    </row>
    <row r="2469" spans="1:17" x14ac:dyDescent="0.35">
      <c r="A2469" t="s">
        <v>2521</v>
      </c>
      <c r="B2469" t="s">
        <v>23</v>
      </c>
      <c r="C2469">
        <v>42</v>
      </c>
      <c r="D2469" t="s">
        <v>17</v>
      </c>
      <c r="E2469" t="s">
        <v>32</v>
      </c>
      <c r="F2469" t="s">
        <v>36</v>
      </c>
      <c r="G2469">
        <v>5.9</v>
      </c>
      <c r="H2469">
        <v>3.2</v>
      </c>
      <c r="I2469" t="str" cm="1">
        <f t="array" ref="I2469">_xlfn.IFS(G2469&lt;3, "0–2 Years", G2469&lt;6, "3–5 Years", G2469&lt;9, "6–8 Years", G2469&lt;12, "9-11 Years", G2469&gt;=12, "12-14 Years")</f>
        <v>3–5 Years</v>
      </c>
      <c r="J2469">
        <v>5</v>
      </c>
      <c r="K2469" t="s">
        <v>20</v>
      </c>
      <c r="L2469">
        <v>74000</v>
      </c>
      <c r="M2469">
        <v>8400</v>
      </c>
      <c r="N2469">
        <v>82400</v>
      </c>
      <c r="O2469" t="s">
        <v>21</v>
      </c>
      <c r="P2469" s="3">
        <v>43863</v>
      </c>
      <c r="Q2469" t="s">
        <v>36</v>
      </c>
    </row>
    <row r="2470" spans="1:17" x14ac:dyDescent="0.35">
      <c r="A2470" t="s">
        <v>2522</v>
      </c>
      <c r="B2470" t="s">
        <v>23</v>
      </c>
      <c r="C2470">
        <v>36</v>
      </c>
      <c r="D2470" t="s">
        <v>41</v>
      </c>
      <c r="E2470" t="s">
        <v>42</v>
      </c>
      <c r="F2470" t="s">
        <v>36</v>
      </c>
      <c r="G2470">
        <v>2.7</v>
      </c>
      <c r="H2470">
        <v>2.7</v>
      </c>
      <c r="I2470" t="str" cm="1">
        <f t="array" ref="I2470">_xlfn.IFS(G2470&lt;3, "0–2 Years", G2470&lt;6, "3–5 Years", G2470&lt;9, "6–8 Years", G2470&lt;12, "9-11 Years", G2470&gt;=12, "12-14 Years")</f>
        <v>0–2 Years</v>
      </c>
      <c r="J2470">
        <v>3</v>
      </c>
      <c r="K2470" t="s">
        <v>20</v>
      </c>
      <c r="L2470">
        <v>72500</v>
      </c>
      <c r="M2470">
        <v>2900</v>
      </c>
      <c r="N2470">
        <v>75400</v>
      </c>
      <c r="O2470" t="s">
        <v>21</v>
      </c>
      <c r="P2470" s="3">
        <v>45038</v>
      </c>
      <c r="Q2470" t="s">
        <v>36</v>
      </c>
    </row>
    <row r="2471" spans="1:17" x14ac:dyDescent="0.35">
      <c r="A2471" t="s">
        <v>2523</v>
      </c>
      <c r="B2471" t="s">
        <v>23</v>
      </c>
      <c r="C2471">
        <v>40</v>
      </c>
      <c r="D2471" t="s">
        <v>44</v>
      </c>
      <c r="E2471" t="s">
        <v>81</v>
      </c>
      <c r="F2471" t="s">
        <v>36</v>
      </c>
      <c r="G2471">
        <v>10.199999999999999</v>
      </c>
      <c r="H2471">
        <v>7.2</v>
      </c>
      <c r="I2471" t="str" cm="1">
        <f t="array" ref="I2471">_xlfn.IFS(G2471&lt;3, "0–2 Years", G2471&lt;6, "3–5 Years", G2471&lt;9, "6–8 Years", G2471&lt;12, "9-11 Years", G2471&gt;=12, "12-14 Years")</f>
        <v>9-11 Years</v>
      </c>
      <c r="J2471">
        <v>3</v>
      </c>
      <c r="K2471" t="s">
        <v>20</v>
      </c>
      <c r="L2471">
        <v>109200</v>
      </c>
      <c r="M2471">
        <v>13500</v>
      </c>
      <c r="N2471">
        <v>122700</v>
      </c>
      <c r="O2471" t="s">
        <v>57</v>
      </c>
      <c r="P2471" s="3">
        <v>42282</v>
      </c>
      <c r="Q2471" t="s">
        <v>36</v>
      </c>
    </row>
    <row r="2472" spans="1:17" x14ac:dyDescent="0.35">
      <c r="A2472" t="s">
        <v>2524</v>
      </c>
      <c r="B2472" t="s">
        <v>16</v>
      </c>
      <c r="C2472">
        <v>37</v>
      </c>
      <c r="D2472" t="s">
        <v>55</v>
      </c>
      <c r="E2472" t="s">
        <v>92</v>
      </c>
      <c r="F2472" t="s">
        <v>28</v>
      </c>
      <c r="G2472">
        <v>4.3</v>
      </c>
      <c r="H2472">
        <v>3.2</v>
      </c>
      <c r="I2472" t="str" cm="1">
        <f t="array" ref="I2472">_xlfn.IFS(G2472&lt;3, "0–2 Years", G2472&lt;6, "3–5 Years", G2472&lt;9, "6–8 Years", G2472&lt;12, "9-11 Years", G2472&gt;=12, "12-14 Years")</f>
        <v>3–5 Years</v>
      </c>
      <c r="J2472">
        <v>4</v>
      </c>
      <c r="K2472" t="s">
        <v>20</v>
      </c>
      <c r="L2472">
        <v>88200</v>
      </c>
      <c r="M2472">
        <v>9200</v>
      </c>
      <c r="N2472">
        <v>97400</v>
      </c>
      <c r="O2472" t="s">
        <v>30</v>
      </c>
      <c r="P2472" s="3">
        <v>44469</v>
      </c>
      <c r="Q2472" t="s">
        <v>28</v>
      </c>
    </row>
    <row r="2473" spans="1:17" x14ac:dyDescent="0.35">
      <c r="A2473" t="s">
        <v>2525</v>
      </c>
      <c r="B2473" t="s">
        <v>16</v>
      </c>
      <c r="C2473">
        <v>21</v>
      </c>
      <c r="D2473" t="s">
        <v>44</v>
      </c>
      <c r="E2473" t="s">
        <v>81</v>
      </c>
      <c r="F2473" t="s">
        <v>62</v>
      </c>
      <c r="G2473">
        <v>7.5</v>
      </c>
      <c r="H2473">
        <v>4.3</v>
      </c>
      <c r="I2473" t="str" cm="1">
        <f t="array" ref="I2473">_xlfn.IFS(G2473&lt;3, "0–2 Years", G2473&lt;6, "3–5 Years", G2473&lt;9, "6–8 Years", G2473&lt;12, "9-11 Years", G2473&gt;=12, "12-14 Years")</f>
        <v>6–8 Years</v>
      </c>
      <c r="J2473">
        <v>3</v>
      </c>
      <c r="K2473" t="s">
        <v>20</v>
      </c>
      <c r="L2473">
        <v>107400</v>
      </c>
      <c r="M2473">
        <v>9100</v>
      </c>
      <c r="N2473">
        <v>116500</v>
      </c>
      <c r="O2473" t="s">
        <v>57</v>
      </c>
      <c r="P2473" s="3">
        <v>43288</v>
      </c>
      <c r="Q2473" t="s">
        <v>62</v>
      </c>
    </row>
    <row r="2474" spans="1:17" x14ac:dyDescent="0.35">
      <c r="A2474" t="s">
        <v>2526</v>
      </c>
      <c r="B2474" t="s">
        <v>23</v>
      </c>
      <c r="C2474">
        <v>32</v>
      </c>
      <c r="D2474" t="s">
        <v>44</v>
      </c>
      <c r="E2474" t="s">
        <v>81</v>
      </c>
      <c r="F2474" t="s">
        <v>36</v>
      </c>
      <c r="G2474">
        <v>10.6</v>
      </c>
      <c r="H2474">
        <v>8</v>
      </c>
      <c r="I2474" t="str" cm="1">
        <f t="array" ref="I2474">_xlfn.IFS(G2474&lt;3, "0–2 Years", G2474&lt;6, "3–5 Years", G2474&lt;9, "6–8 Years", G2474&lt;12, "9-11 Years", G2474&gt;=12, "12-14 Years")</f>
        <v>9-11 Years</v>
      </c>
      <c r="J2474">
        <v>3</v>
      </c>
      <c r="K2474" t="s">
        <v>20</v>
      </c>
      <c r="L2474">
        <v>102400</v>
      </c>
      <c r="M2474">
        <v>7400</v>
      </c>
      <c r="N2474">
        <v>109800</v>
      </c>
      <c r="O2474" t="s">
        <v>57</v>
      </c>
      <c r="P2474" s="3">
        <v>42168</v>
      </c>
      <c r="Q2474" t="s">
        <v>36</v>
      </c>
    </row>
    <row r="2475" spans="1:17" x14ac:dyDescent="0.35">
      <c r="A2475" t="s">
        <v>2527</v>
      </c>
      <c r="B2475" t="s">
        <v>16</v>
      </c>
      <c r="C2475">
        <v>24</v>
      </c>
      <c r="D2475" t="s">
        <v>44</v>
      </c>
      <c r="E2475" t="s">
        <v>76</v>
      </c>
      <c r="F2475" t="s">
        <v>62</v>
      </c>
      <c r="G2475">
        <v>6.2</v>
      </c>
      <c r="H2475">
        <v>3.2</v>
      </c>
      <c r="I2475" t="str" cm="1">
        <f t="array" ref="I2475">_xlfn.IFS(G2475&lt;3, "0–2 Years", G2475&lt;6, "3–5 Years", G2475&lt;9, "6–8 Years", G2475&lt;12, "9-11 Years", G2475&gt;=12, "12-14 Years")</f>
        <v>6–8 Years</v>
      </c>
      <c r="J2475">
        <v>2</v>
      </c>
      <c r="K2475" t="s">
        <v>24</v>
      </c>
      <c r="L2475">
        <v>65900</v>
      </c>
      <c r="M2475">
        <v>4200</v>
      </c>
      <c r="N2475">
        <v>70100</v>
      </c>
      <c r="O2475" t="s">
        <v>21</v>
      </c>
      <c r="P2475" s="3">
        <v>43768</v>
      </c>
      <c r="Q2475" t="s">
        <v>62</v>
      </c>
    </row>
    <row r="2476" spans="1:17" x14ac:dyDescent="0.35">
      <c r="A2476" t="s">
        <v>2528</v>
      </c>
      <c r="B2476" t="s">
        <v>16</v>
      </c>
      <c r="C2476">
        <v>21</v>
      </c>
      <c r="D2476" t="s">
        <v>17</v>
      </c>
      <c r="E2476" t="s">
        <v>32</v>
      </c>
      <c r="F2476" t="s">
        <v>28</v>
      </c>
      <c r="G2476">
        <v>7.3</v>
      </c>
      <c r="H2476">
        <v>5.9</v>
      </c>
      <c r="I2476" t="str" cm="1">
        <f t="array" ref="I2476">_xlfn.IFS(G2476&lt;3, "0–2 Years", G2476&lt;6, "3–5 Years", G2476&lt;9, "6–8 Years", G2476&lt;12, "9-11 Years", G2476&gt;=12, "12-14 Years")</f>
        <v>6–8 Years</v>
      </c>
      <c r="J2476">
        <v>3</v>
      </c>
      <c r="K2476" t="s">
        <v>20</v>
      </c>
      <c r="L2476">
        <v>67900</v>
      </c>
      <c r="M2476">
        <v>6700</v>
      </c>
      <c r="N2476">
        <v>74600</v>
      </c>
      <c r="O2476" t="s">
        <v>21</v>
      </c>
      <c r="P2476" s="3">
        <v>43341</v>
      </c>
      <c r="Q2476" t="s">
        <v>28</v>
      </c>
    </row>
    <row r="2477" spans="1:17" x14ac:dyDescent="0.35">
      <c r="A2477" t="s">
        <v>2529</v>
      </c>
      <c r="B2477" t="s">
        <v>23</v>
      </c>
      <c r="C2477">
        <v>39</v>
      </c>
      <c r="D2477" t="s">
        <v>38</v>
      </c>
      <c r="E2477" t="s">
        <v>39</v>
      </c>
      <c r="F2477" t="s">
        <v>62</v>
      </c>
      <c r="G2477">
        <v>10.3</v>
      </c>
      <c r="H2477">
        <v>5.3</v>
      </c>
      <c r="I2477" t="str" cm="1">
        <f t="array" ref="I2477">_xlfn.IFS(G2477&lt;3, "0–2 Years", G2477&lt;6, "3–5 Years", G2477&lt;9, "6–8 Years", G2477&lt;12, "9-11 Years", G2477&gt;=12, "12-14 Years")</f>
        <v>9-11 Years</v>
      </c>
      <c r="J2477">
        <v>3</v>
      </c>
      <c r="K2477" t="s">
        <v>20</v>
      </c>
      <c r="L2477">
        <v>99600</v>
      </c>
      <c r="M2477">
        <v>6600</v>
      </c>
      <c r="N2477">
        <v>106200</v>
      </c>
      <c r="O2477" t="s">
        <v>30</v>
      </c>
      <c r="P2477" s="3">
        <v>42249</v>
      </c>
      <c r="Q2477" t="s">
        <v>62</v>
      </c>
    </row>
    <row r="2478" spans="1:17" x14ac:dyDescent="0.35">
      <c r="A2478" t="s">
        <v>2530</v>
      </c>
      <c r="B2478" t="s">
        <v>16</v>
      </c>
      <c r="C2478">
        <v>36</v>
      </c>
      <c r="D2478" t="s">
        <v>44</v>
      </c>
      <c r="E2478" t="s">
        <v>76</v>
      </c>
      <c r="F2478" t="s">
        <v>28</v>
      </c>
      <c r="G2478">
        <v>7.3</v>
      </c>
      <c r="H2478">
        <v>4.2</v>
      </c>
      <c r="I2478" t="str" cm="1">
        <f t="array" ref="I2478">_xlfn.IFS(G2478&lt;3, "0–2 Years", G2478&lt;6, "3–5 Years", G2478&lt;9, "6–8 Years", G2478&lt;12, "9-11 Years", G2478&gt;=12, "12-14 Years")</f>
        <v>6–8 Years</v>
      </c>
      <c r="J2478">
        <v>3</v>
      </c>
      <c r="K2478" t="s">
        <v>20</v>
      </c>
      <c r="L2478">
        <v>100400</v>
      </c>
      <c r="M2478">
        <v>8000</v>
      </c>
      <c r="N2478">
        <v>108400</v>
      </c>
      <c r="O2478" t="s">
        <v>57</v>
      </c>
      <c r="P2478" s="3">
        <v>43344</v>
      </c>
      <c r="Q2478" t="s">
        <v>28</v>
      </c>
    </row>
    <row r="2479" spans="1:17" x14ac:dyDescent="0.35">
      <c r="A2479" t="s">
        <v>2531</v>
      </c>
      <c r="B2479" t="s">
        <v>23</v>
      </c>
      <c r="C2479" s="7">
        <v>25</v>
      </c>
      <c r="D2479" t="s">
        <v>55</v>
      </c>
      <c r="E2479" t="s">
        <v>79</v>
      </c>
      <c r="F2479" t="s">
        <v>36</v>
      </c>
      <c r="G2479" s="9">
        <v>13.4</v>
      </c>
      <c r="H2479" s="7">
        <v>7.1</v>
      </c>
      <c r="I2479" t="str" cm="1">
        <f t="array" ref="I2479">_xlfn.IFS(G2479&lt;3, "0–2 Years", G2479&lt;6, "3–5 Years", G2479&lt;9, "6–8 Years", G2479&lt;12, "9-11 Years", G2479&gt;=12, "12-14 Years")</f>
        <v>12-14 Years</v>
      </c>
      <c r="J2479" s="7">
        <v>3</v>
      </c>
      <c r="K2479" t="s">
        <v>69</v>
      </c>
      <c r="L2479" s="7">
        <v>57500</v>
      </c>
      <c r="M2479" s="7">
        <v>5000</v>
      </c>
      <c r="N2479" s="7">
        <v>62500</v>
      </c>
      <c r="O2479" t="s">
        <v>25</v>
      </c>
      <c r="P2479" s="3">
        <v>41121</v>
      </c>
      <c r="Q2479" t="s">
        <v>36</v>
      </c>
    </row>
    <row r="2480" spans="1:17" x14ac:dyDescent="0.35">
      <c r="A2480" t="s">
        <v>2532</v>
      </c>
      <c r="B2480" t="s">
        <v>23</v>
      </c>
      <c r="C2480">
        <v>31</v>
      </c>
      <c r="D2480" t="s">
        <v>41</v>
      </c>
      <c r="E2480" t="s">
        <v>42</v>
      </c>
      <c r="F2480" t="s">
        <v>28</v>
      </c>
      <c r="G2480">
        <v>2.5</v>
      </c>
      <c r="H2480">
        <v>2.5</v>
      </c>
      <c r="I2480" t="str" cm="1">
        <f t="array" ref="I2480">_xlfn.IFS(G2480&lt;3, "0–2 Years", G2480&lt;6, "3–5 Years", G2480&lt;9, "6–8 Years", G2480&lt;12, "9-11 Years", G2480&gt;=12, "12-14 Years")</f>
        <v>0–2 Years</v>
      </c>
      <c r="J2480">
        <v>3</v>
      </c>
      <c r="K2480" t="s">
        <v>20</v>
      </c>
      <c r="L2480">
        <v>68500</v>
      </c>
      <c r="M2480">
        <v>4500</v>
      </c>
      <c r="N2480">
        <v>73000</v>
      </c>
      <c r="O2480" t="s">
        <v>21</v>
      </c>
      <c r="P2480" s="3">
        <v>45120</v>
      </c>
      <c r="Q2480" t="s">
        <v>28</v>
      </c>
    </row>
    <row r="2481" spans="1:17" x14ac:dyDescent="0.35">
      <c r="A2481" t="s">
        <v>2533</v>
      </c>
      <c r="B2481" t="s">
        <v>16</v>
      </c>
      <c r="C2481">
        <v>34</v>
      </c>
      <c r="D2481" t="s">
        <v>34</v>
      </c>
      <c r="E2481" t="s">
        <v>47</v>
      </c>
      <c r="F2481" t="s">
        <v>28</v>
      </c>
      <c r="G2481">
        <v>6</v>
      </c>
      <c r="H2481">
        <v>3.6</v>
      </c>
      <c r="I2481" t="str" cm="1">
        <f t="array" ref="I2481">_xlfn.IFS(G2481&lt;3, "0–2 Years", G2481&lt;6, "3–5 Years", G2481&lt;9, "6–8 Years", G2481&lt;12, "9-11 Years", G2481&gt;=12, "12-14 Years")</f>
        <v>6–8 Years</v>
      </c>
      <c r="J2481">
        <v>4</v>
      </c>
      <c r="K2481" t="s">
        <v>20</v>
      </c>
      <c r="L2481">
        <v>84000</v>
      </c>
      <c r="M2481">
        <v>6700</v>
      </c>
      <c r="N2481">
        <v>90700</v>
      </c>
      <c r="O2481" t="s">
        <v>30</v>
      </c>
      <c r="P2481" s="3">
        <v>43829</v>
      </c>
      <c r="Q2481" t="s">
        <v>28</v>
      </c>
    </row>
    <row r="2482" spans="1:17" x14ac:dyDescent="0.35">
      <c r="A2482" t="s">
        <v>2534</v>
      </c>
      <c r="B2482" t="s">
        <v>23</v>
      </c>
      <c r="C2482">
        <v>37</v>
      </c>
      <c r="D2482" t="s">
        <v>34</v>
      </c>
      <c r="E2482" t="s">
        <v>59</v>
      </c>
      <c r="F2482" t="s">
        <v>36</v>
      </c>
      <c r="G2482">
        <v>10.9</v>
      </c>
      <c r="H2482">
        <v>7.2</v>
      </c>
      <c r="I2482" t="str" cm="1">
        <f t="array" ref="I2482">_xlfn.IFS(G2482&lt;3, "0–2 Years", G2482&lt;6, "3–5 Years", G2482&lt;9, "6–8 Years", G2482&lt;12, "9-11 Years", G2482&gt;=12, "12-14 Years")</f>
        <v>9-11 Years</v>
      </c>
      <c r="J2482">
        <v>3</v>
      </c>
      <c r="K2482" t="s">
        <v>20</v>
      </c>
      <c r="L2482">
        <v>115200</v>
      </c>
      <c r="M2482">
        <v>8300</v>
      </c>
      <c r="N2482">
        <v>123500</v>
      </c>
      <c r="O2482" t="s">
        <v>57</v>
      </c>
      <c r="P2482" s="3">
        <v>42037</v>
      </c>
      <c r="Q2482" t="s">
        <v>36</v>
      </c>
    </row>
    <row r="2483" spans="1:17" x14ac:dyDescent="0.35">
      <c r="A2483" t="s">
        <v>2535</v>
      </c>
      <c r="B2483" t="s">
        <v>16</v>
      </c>
      <c r="C2483">
        <v>37</v>
      </c>
      <c r="D2483" t="s">
        <v>41</v>
      </c>
      <c r="E2483" t="s">
        <v>73</v>
      </c>
      <c r="F2483" t="s">
        <v>28</v>
      </c>
      <c r="G2483">
        <v>7</v>
      </c>
      <c r="H2483">
        <v>5.9</v>
      </c>
      <c r="I2483" t="str" cm="1">
        <f t="array" ref="I2483">_xlfn.IFS(G2483&lt;3, "0–2 Years", G2483&lt;6, "3–5 Years", G2483&lt;9, "6–8 Years", G2483&lt;12, "9-11 Years", G2483&gt;=12, "12-14 Years")</f>
        <v>6–8 Years</v>
      </c>
      <c r="J2483">
        <v>2</v>
      </c>
      <c r="K2483" t="s">
        <v>20</v>
      </c>
      <c r="L2483">
        <v>92400</v>
      </c>
      <c r="M2483">
        <v>5100</v>
      </c>
      <c r="N2483">
        <v>97500</v>
      </c>
      <c r="O2483" t="s">
        <v>30</v>
      </c>
      <c r="P2483" s="3">
        <v>43473</v>
      </c>
      <c r="Q2483" t="s">
        <v>28</v>
      </c>
    </row>
    <row r="2484" spans="1:17" x14ac:dyDescent="0.35">
      <c r="A2484" t="s">
        <v>2536</v>
      </c>
      <c r="B2484" t="s">
        <v>23</v>
      </c>
      <c r="C2484">
        <v>48</v>
      </c>
      <c r="D2484" t="s">
        <v>41</v>
      </c>
      <c r="E2484" t="s">
        <v>67</v>
      </c>
      <c r="F2484" t="s">
        <v>19</v>
      </c>
      <c r="G2484">
        <v>2.4</v>
      </c>
      <c r="H2484">
        <v>0</v>
      </c>
      <c r="I2484" t="str" cm="1">
        <f t="array" ref="I2484">_xlfn.IFS(G2484&lt;3, "0–2 Years", G2484&lt;6, "3–5 Years", G2484&lt;9, "6–8 Years", G2484&lt;12, "9-11 Years", G2484&gt;=12, "12-14 Years")</f>
        <v>0–2 Years</v>
      </c>
      <c r="J2484">
        <v>5</v>
      </c>
      <c r="K2484" t="s">
        <v>20</v>
      </c>
      <c r="L2484">
        <v>69700</v>
      </c>
      <c r="M2484">
        <v>4200</v>
      </c>
      <c r="N2484">
        <v>73900</v>
      </c>
      <c r="O2484" t="s">
        <v>21</v>
      </c>
      <c r="P2484" s="3">
        <v>45138</v>
      </c>
      <c r="Q2484" t="s">
        <v>19</v>
      </c>
    </row>
    <row r="2485" spans="1:17" x14ac:dyDescent="0.35">
      <c r="A2485" t="s">
        <v>2537</v>
      </c>
      <c r="B2485" t="s">
        <v>16</v>
      </c>
      <c r="C2485" s="7">
        <v>21</v>
      </c>
      <c r="D2485" t="s">
        <v>17</v>
      </c>
      <c r="E2485" t="s">
        <v>27</v>
      </c>
      <c r="F2485" t="s">
        <v>36</v>
      </c>
      <c r="G2485" s="9">
        <v>12.9</v>
      </c>
      <c r="H2485" s="7">
        <v>8.1999999999999993</v>
      </c>
      <c r="I2485" t="str" cm="1">
        <f t="array" ref="I2485">_xlfn.IFS(G2485&lt;3, "0–2 Years", G2485&lt;6, "3–5 Years", G2485&lt;9, "6–8 Years", G2485&lt;12, "9-11 Years", G2485&gt;=12, "12-14 Years")</f>
        <v>12-14 Years</v>
      </c>
      <c r="J2485" s="7">
        <v>4</v>
      </c>
      <c r="K2485" t="s">
        <v>20</v>
      </c>
      <c r="L2485" s="7">
        <v>89800</v>
      </c>
      <c r="M2485" s="7">
        <v>9700</v>
      </c>
      <c r="N2485" s="7">
        <v>99500</v>
      </c>
      <c r="O2485" t="s">
        <v>30</v>
      </c>
      <c r="P2485" s="3">
        <v>41326</v>
      </c>
      <c r="Q2485" t="s">
        <v>36</v>
      </c>
    </row>
    <row r="2486" spans="1:17" x14ac:dyDescent="0.35">
      <c r="A2486" t="s">
        <v>2538</v>
      </c>
      <c r="B2486" t="s">
        <v>23</v>
      </c>
      <c r="C2486" s="7">
        <v>30</v>
      </c>
      <c r="D2486" t="s">
        <v>41</v>
      </c>
      <c r="E2486" t="s">
        <v>42</v>
      </c>
      <c r="F2486" t="s">
        <v>28</v>
      </c>
      <c r="G2486" s="9">
        <v>13.8</v>
      </c>
      <c r="H2486" s="7">
        <v>8.1999999999999993</v>
      </c>
      <c r="I2486" t="str" cm="1">
        <f t="array" ref="I2486">_xlfn.IFS(G2486&lt;3, "0–2 Years", G2486&lt;6, "3–5 Years", G2486&lt;9, "6–8 Years", G2486&lt;12, "9-11 Years", G2486&gt;=12, "12-14 Years")</f>
        <v>12-14 Years</v>
      </c>
      <c r="J2486" s="7">
        <v>4</v>
      </c>
      <c r="K2486" t="s">
        <v>20</v>
      </c>
      <c r="L2486" s="7">
        <v>90700</v>
      </c>
      <c r="M2486" s="7">
        <v>5500</v>
      </c>
      <c r="N2486" s="7">
        <v>96200</v>
      </c>
      <c r="O2486" t="s">
        <v>30</v>
      </c>
      <c r="P2486" s="3">
        <v>40970</v>
      </c>
      <c r="Q2486" t="s">
        <v>28</v>
      </c>
    </row>
    <row r="2487" spans="1:17" x14ac:dyDescent="0.35">
      <c r="A2487" t="s">
        <v>2539</v>
      </c>
      <c r="B2487" t="s">
        <v>23</v>
      </c>
      <c r="C2487">
        <v>49</v>
      </c>
      <c r="D2487" t="s">
        <v>38</v>
      </c>
      <c r="E2487" t="s">
        <v>112</v>
      </c>
      <c r="F2487" t="s">
        <v>28</v>
      </c>
      <c r="G2487">
        <v>3.6</v>
      </c>
      <c r="H2487">
        <v>1.1000000000000001</v>
      </c>
      <c r="I2487" t="str" cm="1">
        <f t="array" ref="I2487">_xlfn.IFS(G2487&lt;3, "0–2 Years", G2487&lt;6, "3–5 Years", G2487&lt;9, "6–8 Years", G2487&lt;12, "9-11 Years", G2487&gt;=12, "12-14 Years")</f>
        <v>3–5 Years</v>
      </c>
      <c r="J2487">
        <v>2</v>
      </c>
      <c r="K2487" t="s">
        <v>20</v>
      </c>
      <c r="L2487">
        <v>57900</v>
      </c>
      <c r="M2487">
        <v>5500</v>
      </c>
      <c r="N2487">
        <v>63400</v>
      </c>
      <c r="O2487" t="s">
        <v>25</v>
      </c>
      <c r="P2487" s="3">
        <v>44723</v>
      </c>
      <c r="Q2487" t="s">
        <v>28</v>
      </c>
    </row>
    <row r="2488" spans="1:17" x14ac:dyDescent="0.35">
      <c r="A2488" t="s">
        <v>2540</v>
      </c>
      <c r="B2488" t="s">
        <v>16</v>
      </c>
      <c r="C2488">
        <v>47</v>
      </c>
      <c r="D2488" t="s">
        <v>17</v>
      </c>
      <c r="E2488" t="s">
        <v>32</v>
      </c>
      <c r="F2488" t="s">
        <v>28</v>
      </c>
      <c r="G2488">
        <v>7.8</v>
      </c>
      <c r="H2488">
        <v>5.9</v>
      </c>
      <c r="I2488" t="str" cm="1">
        <f t="array" ref="I2488">_xlfn.IFS(G2488&lt;3, "0–2 Years", G2488&lt;6, "3–5 Years", G2488&lt;9, "6–8 Years", G2488&lt;12, "9-11 Years", G2488&gt;=12, "12-14 Years")</f>
        <v>6–8 Years</v>
      </c>
      <c r="J2488">
        <v>3</v>
      </c>
      <c r="K2488" t="s">
        <v>20</v>
      </c>
      <c r="L2488">
        <v>62600</v>
      </c>
      <c r="M2488">
        <v>4000</v>
      </c>
      <c r="N2488">
        <v>66600</v>
      </c>
      <c r="O2488" t="s">
        <v>25</v>
      </c>
      <c r="P2488" s="3">
        <v>43168</v>
      </c>
      <c r="Q2488" t="s">
        <v>28</v>
      </c>
    </row>
    <row r="2489" spans="1:17" x14ac:dyDescent="0.35">
      <c r="A2489" t="s">
        <v>2541</v>
      </c>
      <c r="B2489" t="s">
        <v>16</v>
      </c>
      <c r="C2489">
        <v>38</v>
      </c>
      <c r="D2489" t="s">
        <v>41</v>
      </c>
      <c r="E2489" t="s">
        <v>42</v>
      </c>
      <c r="F2489" t="s">
        <v>36</v>
      </c>
      <c r="G2489">
        <v>10.5</v>
      </c>
      <c r="H2489">
        <v>9.5</v>
      </c>
      <c r="I2489" t="str" cm="1">
        <f t="array" ref="I2489">_xlfn.IFS(G2489&lt;3, "0–2 Years", G2489&lt;6, "3–5 Years", G2489&lt;9, "6–8 Years", G2489&lt;12, "9-11 Years", G2489&gt;=12, "12-14 Years")</f>
        <v>9-11 Years</v>
      </c>
      <c r="J2489">
        <v>2</v>
      </c>
      <c r="K2489" t="s">
        <v>20</v>
      </c>
      <c r="L2489">
        <v>82600</v>
      </c>
      <c r="M2489">
        <v>6800</v>
      </c>
      <c r="N2489">
        <v>89400</v>
      </c>
      <c r="O2489" t="s">
        <v>30</v>
      </c>
      <c r="P2489" s="3">
        <v>42175</v>
      </c>
      <c r="Q2489" t="s">
        <v>36</v>
      </c>
    </row>
    <row r="2490" spans="1:17" x14ac:dyDescent="0.35">
      <c r="A2490" t="s">
        <v>2542</v>
      </c>
      <c r="B2490" t="s">
        <v>23</v>
      </c>
      <c r="C2490">
        <v>41</v>
      </c>
      <c r="D2490" t="s">
        <v>44</v>
      </c>
      <c r="E2490" t="s">
        <v>81</v>
      </c>
      <c r="F2490" t="s">
        <v>62</v>
      </c>
      <c r="G2490">
        <v>10.199999999999999</v>
      </c>
      <c r="H2490">
        <v>4.8</v>
      </c>
      <c r="I2490" t="str" cm="1">
        <f t="array" ref="I2490">_xlfn.IFS(G2490&lt;3, "0–2 Years", G2490&lt;6, "3–5 Years", G2490&lt;9, "6–8 Years", G2490&lt;12, "9-11 Years", G2490&gt;=12, "12-14 Years")</f>
        <v>9-11 Years</v>
      </c>
      <c r="J2490">
        <v>4</v>
      </c>
      <c r="K2490" t="s">
        <v>20</v>
      </c>
      <c r="L2490">
        <v>83200</v>
      </c>
      <c r="M2490">
        <v>10600</v>
      </c>
      <c r="N2490">
        <v>93800</v>
      </c>
      <c r="O2490" t="s">
        <v>30</v>
      </c>
      <c r="P2490" s="3">
        <v>42286</v>
      </c>
      <c r="Q2490" t="s">
        <v>62</v>
      </c>
    </row>
    <row r="2491" spans="1:17" x14ac:dyDescent="0.35">
      <c r="A2491" t="s">
        <v>2543</v>
      </c>
      <c r="B2491" t="s">
        <v>16</v>
      </c>
      <c r="C2491">
        <v>30</v>
      </c>
      <c r="D2491" t="s">
        <v>38</v>
      </c>
      <c r="E2491" t="s">
        <v>61</v>
      </c>
      <c r="F2491" t="s">
        <v>28</v>
      </c>
      <c r="G2491">
        <v>3.5</v>
      </c>
      <c r="H2491">
        <v>3.5</v>
      </c>
      <c r="I2491" t="str" cm="1">
        <f t="array" ref="I2491">_xlfn.IFS(G2491&lt;3, "0–2 Years", G2491&lt;6, "3–5 Years", G2491&lt;9, "6–8 Years", G2491&lt;12, "9-11 Years", G2491&gt;=12, "12-14 Years")</f>
        <v>3–5 Years</v>
      </c>
      <c r="J2491">
        <v>5</v>
      </c>
      <c r="K2491" t="s">
        <v>20</v>
      </c>
      <c r="L2491">
        <v>87400</v>
      </c>
      <c r="M2491">
        <v>6500</v>
      </c>
      <c r="N2491">
        <v>93900</v>
      </c>
      <c r="O2491" t="s">
        <v>30</v>
      </c>
      <c r="P2491" s="3">
        <v>44755</v>
      </c>
      <c r="Q2491" t="s">
        <v>28</v>
      </c>
    </row>
    <row r="2492" spans="1:17" x14ac:dyDescent="0.35">
      <c r="A2492" t="s">
        <v>2544</v>
      </c>
      <c r="B2492" t="s">
        <v>23</v>
      </c>
      <c r="C2492">
        <v>46</v>
      </c>
      <c r="D2492" t="s">
        <v>41</v>
      </c>
      <c r="E2492" t="s">
        <v>67</v>
      </c>
      <c r="F2492" t="s">
        <v>62</v>
      </c>
      <c r="G2492">
        <v>10.3</v>
      </c>
      <c r="H2492">
        <v>6.8</v>
      </c>
      <c r="I2492" t="str" cm="1">
        <f t="array" ref="I2492">_xlfn.IFS(G2492&lt;3, "0–2 Years", G2492&lt;6, "3–5 Years", G2492&lt;9, "6–8 Years", G2492&lt;12, "9-11 Years", G2492&gt;=12, "12-14 Years")</f>
        <v>9-11 Years</v>
      </c>
      <c r="J2492">
        <v>3</v>
      </c>
      <c r="K2492" t="s">
        <v>20</v>
      </c>
      <c r="L2492">
        <v>85200</v>
      </c>
      <c r="M2492">
        <v>7000</v>
      </c>
      <c r="N2492">
        <v>92200</v>
      </c>
      <c r="O2492" t="s">
        <v>30</v>
      </c>
      <c r="P2492" s="3">
        <v>42266</v>
      </c>
      <c r="Q2492" t="s">
        <v>62</v>
      </c>
    </row>
    <row r="2493" spans="1:17" x14ac:dyDescent="0.35">
      <c r="A2493" t="s">
        <v>2545</v>
      </c>
      <c r="B2493" t="s">
        <v>16</v>
      </c>
      <c r="C2493">
        <v>32</v>
      </c>
      <c r="D2493" t="s">
        <v>55</v>
      </c>
      <c r="E2493" t="s">
        <v>92</v>
      </c>
      <c r="F2493" t="s">
        <v>28</v>
      </c>
      <c r="G2493">
        <v>3.4</v>
      </c>
      <c r="H2493">
        <v>2.8</v>
      </c>
      <c r="I2493" t="str" cm="1">
        <f t="array" ref="I2493">_xlfn.IFS(G2493&lt;3, "0–2 Years", G2493&lt;6, "3–5 Years", G2493&lt;9, "6–8 Years", G2493&lt;12, "9-11 Years", G2493&gt;=12, "12-14 Years")</f>
        <v>3–5 Years</v>
      </c>
      <c r="J2493">
        <v>2</v>
      </c>
      <c r="K2493" t="s">
        <v>20</v>
      </c>
      <c r="L2493">
        <v>84700</v>
      </c>
      <c r="M2493">
        <v>7100</v>
      </c>
      <c r="N2493">
        <v>91800</v>
      </c>
      <c r="O2493" t="s">
        <v>30</v>
      </c>
      <c r="P2493" s="3">
        <v>44791</v>
      </c>
      <c r="Q2493" t="s">
        <v>28</v>
      </c>
    </row>
    <row r="2494" spans="1:17" x14ac:dyDescent="0.35">
      <c r="A2494" t="s">
        <v>2546</v>
      </c>
      <c r="B2494" t="s">
        <v>23</v>
      </c>
      <c r="C2494">
        <v>56</v>
      </c>
      <c r="D2494" t="s">
        <v>41</v>
      </c>
      <c r="E2494" t="s">
        <v>73</v>
      </c>
      <c r="F2494" t="s">
        <v>62</v>
      </c>
      <c r="G2494">
        <v>9</v>
      </c>
      <c r="H2494">
        <v>7.8</v>
      </c>
      <c r="I2494" t="str" cm="1">
        <f t="array" ref="I2494">_xlfn.IFS(G2494&lt;3, "0–2 Years", G2494&lt;6, "3–5 Years", G2494&lt;9, "6–8 Years", G2494&lt;12, "9-11 Years", G2494&gt;=12, "12-14 Years")</f>
        <v>9-11 Years</v>
      </c>
      <c r="J2494">
        <v>5</v>
      </c>
      <c r="K2494" t="s">
        <v>20</v>
      </c>
      <c r="L2494">
        <v>113600</v>
      </c>
      <c r="M2494">
        <v>3700</v>
      </c>
      <c r="N2494">
        <v>117300</v>
      </c>
      <c r="O2494" t="s">
        <v>57</v>
      </c>
      <c r="Q2494" t="s">
        <v>62</v>
      </c>
    </row>
    <row r="2495" spans="1:17" x14ac:dyDescent="0.35">
      <c r="A2495" t="s">
        <v>2547</v>
      </c>
      <c r="B2495" t="s">
        <v>23</v>
      </c>
      <c r="C2495">
        <v>21</v>
      </c>
      <c r="D2495" t="s">
        <v>38</v>
      </c>
      <c r="E2495" t="s">
        <v>61</v>
      </c>
      <c r="F2495" t="s">
        <v>36</v>
      </c>
      <c r="G2495">
        <v>2.2999999999999998</v>
      </c>
      <c r="H2495">
        <v>0</v>
      </c>
      <c r="I2495" t="str" cm="1">
        <f t="array" ref="I2495">_xlfn.IFS(G2495&lt;3, "0–2 Years", G2495&lt;6, "3–5 Years", G2495&lt;9, "6–8 Years", G2495&lt;12, "9-11 Years", G2495&gt;=12, "12-14 Years")</f>
        <v>0–2 Years</v>
      </c>
      <c r="J2495">
        <v>3</v>
      </c>
      <c r="K2495" t="s">
        <v>20</v>
      </c>
      <c r="L2495">
        <v>101600</v>
      </c>
      <c r="M2495">
        <v>4900</v>
      </c>
      <c r="N2495">
        <v>106500</v>
      </c>
      <c r="O2495" t="s">
        <v>57</v>
      </c>
      <c r="P2495" s="3">
        <v>45188</v>
      </c>
      <c r="Q2495" t="s">
        <v>36</v>
      </c>
    </row>
    <row r="2496" spans="1:17" x14ac:dyDescent="0.35">
      <c r="A2496" t="s">
        <v>2548</v>
      </c>
      <c r="B2496" t="s">
        <v>23</v>
      </c>
      <c r="C2496">
        <v>33</v>
      </c>
      <c r="D2496" t="s">
        <v>34</v>
      </c>
      <c r="E2496" t="s">
        <v>35</v>
      </c>
      <c r="F2496" t="s">
        <v>28</v>
      </c>
      <c r="G2496">
        <v>9.3000000000000007</v>
      </c>
      <c r="H2496">
        <v>3.6</v>
      </c>
      <c r="I2496" t="str" cm="1">
        <f t="array" ref="I2496">_xlfn.IFS(G2496&lt;3, "0–2 Years", G2496&lt;6, "3–5 Years", G2496&lt;9, "6–8 Years", G2496&lt;12, "9-11 Years", G2496&gt;=12, "12-14 Years")</f>
        <v>9-11 Years</v>
      </c>
      <c r="J2496">
        <v>3</v>
      </c>
      <c r="K2496" t="s">
        <v>20</v>
      </c>
      <c r="L2496">
        <v>84800</v>
      </c>
      <c r="M2496">
        <v>5300</v>
      </c>
      <c r="N2496">
        <v>90100</v>
      </c>
      <c r="O2496" t="s">
        <v>30</v>
      </c>
      <c r="P2496" s="3">
        <v>42619</v>
      </c>
      <c r="Q2496" t="s">
        <v>28</v>
      </c>
    </row>
    <row r="2497" spans="1:17" x14ac:dyDescent="0.35">
      <c r="A2497" t="s">
        <v>2549</v>
      </c>
      <c r="B2497" t="s">
        <v>16</v>
      </c>
      <c r="C2497">
        <v>35</v>
      </c>
      <c r="D2497" t="s">
        <v>41</v>
      </c>
      <c r="E2497" t="s">
        <v>67</v>
      </c>
      <c r="F2497" t="s">
        <v>28</v>
      </c>
      <c r="G2497">
        <v>11.9</v>
      </c>
      <c r="H2497">
        <v>7.3</v>
      </c>
      <c r="I2497" t="str" cm="1">
        <f t="array" ref="I2497">_xlfn.IFS(G2497&lt;3, "0–2 Years", G2497&lt;6, "3–5 Years", G2497&lt;9, "6–8 Years", G2497&lt;12, "9-11 Years", G2497&gt;=12, "12-14 Years")</f>
        <v>9-11 Years</v>
      </c>
      <c r="J2497">
        <v>3</v>
      </c>
      <c r="K2497" t="s">
        <v>20</v>
      </c>
      <c r="L2497">
        <v>80100</v>
      </c>
      <c r="M2497">
        <v>4000</v>
      </c>
      <c r="N2497">
        <v>84100</v>
      </c>
      <c r="O2497" t="s">
        <v>30</v>
      </c>
      <c r="P2497" s="3">
        <v>41680</v>
      </c>
      <c r="Q2497" t="s">
        <v>28</v>
      </c>
    </row>
    <row r="2498" spans="1:17" x14ac:dyDescent="0.35">
      <c r="A2498" t="s">
        <v>2550</v>
      </c>
      <c r="B2498" t="s">
        <v>16</v>
      </c>
      <c r="C2498">
        <v>37</v>
      </c>
      <c r="D2498" t="s">
        <v>38</v>
      </c>
      <c r="E2498" t="s">
        <v>61</v>
      </c>
      <c r="F2498" t="s">
        <v>36</v>
      </c>
      <c r="G2498">
        <v>1.1000000000000001</v>
      </c>
      <c r="H2498">
        <v>1.1000000000000001</v>
      </c>
      <c r="I2498" t="str" cm="1">
        <f t="array" ref="I2498">_xlfn.IFS(G2498&lt;3, "0–2 Years", G2498&lt;6, "3–5 Years", G2498&lt;9, "6–8 Years", G2498&lt;12, "9-11 Years", G2498&gt;=12, "12-14 Years")</f>
        <v>0–2 Years</v>
      </c>
      <c r="J2498">
        <v>4</v>
      </c>
      <c r="K2498" t="s">
        <v>20</v>
      </c>
      <c r="L2498">
        <v>90600</v>
      </c>
      <c r="M2498">
        <v>5000</v>
      </c>
      <c r="N2498">
        <v>95600</v>
      </c>
      <c r="O2498" t="s">
        <v>30</v>
      </c>
      <c r="P2498" s="3">
        <v>45627</v>
      </c>
      <c r="Q2498" t="s">
        <v>36</v>
      </c>
    </row>
    <row r="2499" spans="1:17" x14ac:dyDescent="0.35">
      <c r="A2499" t="s">
        <v>2551</v>
      </c>
      <c r="B2499" t="s">
        <v>16</v>
      </c>
      <c r="C2499">
        <v>42</v>
      </c>
      <c r="D2499" t="s">
        <v>44</v>
      </c>
      <c r="E2499" t="s">
        <v>51</v>
      </c>
      <c r="F2499" t="s">
        <v>36</v>
      </c>
      <c r="G2499">
        <v>4.3</v>
      </c>
      <c r="H2499">
        <v>1.7</v>
      </c>
      <c r="I2499" t="str" cm="1">
        <f t="array" ref="I2499">_xlfn.IFS(G2499&lt;3, "0–2 Years", G2499&lt;6, "3–5 Years", G2499&lt;9, "6–8 Years", G2499&lt;12, "9-11 Years", G2499&gt;=12, "12-14 Years")</f>
        <v>3–5 Years</v>
      </c>
      <c r="J2499">
        <v>3</v>
      </c>
      <c r="K2499" t="s">
        <v>20</v>
      </c>
      <c r="L2499">
        <v>93800</v>
      </c>
      <c r="M2499">
        <v>7700</v>
      </c>
      <c r="N2499">
        <v>101500</v>
      </c>
      <c r="O2499" t="s">
        <v>30</v>
      </c>
      <c r="P2499" s="3">
        <v>44455</v>
      </c>
      <c r="Q2499" t="s">
        <v>36</v>
      </c>
    </row>
    <row r="2500" spans="1:17" x14ac:dyDescent="0.35">
      <c r="A2500" t="s">
        <v>2552</v>
      </c>
      <c r="B2500" t="s">
        <v>23</v>
      </c>
      <c r="C2500">
        <v>69</v>
      </c>
      <c r="D2500" t="s">
        <v>44</v>
      </c>
      <c r="E2500" t="s">
        <v>45</v>
      </c>
      <c r="F2500" t="s">
        <v>28</v>
      </c>
      <c r="G2500">
        <v>9.1</v>
      </c>
      <c r="H2500">
        <v>2.8</v>
      </c>
      <c r="I2500" t="str" cm="1">
        <f t="array" ref="I2500">_xlfn.IFS(G2500&lt;3, "0–2 Years", G2500&lt;6, "3–5 Years", G2500&lt;9, "6–8 Years", G2500&lt;12, "9-11 Years", G2500&gt;=12, "12-14 Years")</f>
        <v>9-11 Years</v>
      </c>
      <c r="J2500">
        <v>5</v>
      </c>
      <c r="K2500" t="s">
        <v>20</v>
      </c>
      <c r="L2500">
        <v>82200</v>
      </c>
      <c r="M2500">
        <v>7200</v>
      </c>
      <c r="N2500">
        <v>89400</v>
      </c>
      <c r="O2500" t="s">
        <v>30</v>
      </c>
      <c r="P2500" s="3">
        <v>42698</v>
      </c>
      <c r="Q2500" t="s">
        <v>28</v>
      </c>
    </row>
    <row r="2501" spans="1:17" x14ac:dyDescent="0.35">
      <c r="A2501" t="s">
        <v>2553</v>
      </c>
      <c r="B2501" t="s">
        <v>16</v>
      </c>
      <c r="C2501">
        <v>31</v>
      </c>
      <c r="D2501" t="s">
        <v>38</v>
      </c>
      <c r="E2501" t="s">
        <v>39</v>
      </c>
      <c r="F2501" t="s">
        <v>28</v>
      </c>
      <c r="G2501">
        <v>4</v>
      </c>
      <c r="H2501">
        <v>2</v>
      </c>
      <c r="I2501" t="str" cm="1">
        <f t="array" ref="I2501">_xlfn.IFS(G2501&lt;3, "0–2 Years", G2501&lt;6, "3–5 Years", G2501&lt;9, "6–8 Years", G2501&lt;12, "9-11 Years", G2501&gt;=12, "12-14 Years")</f>
        <v>3–5 Years</v>
      </c>
      <c r="J2501">
        <v>2</v>
      </c>
      <c r="K2501" t="s">
        <v>20</v>
      </c>
      <c r="L2501">
        <v>65300</v>
      </c>
      <c r="M2501">
        <v>3200</v>
      </c>
      <c r="N2501">
        <v>68500</v>
      </c>
      <c r="O2501" t="s">
        <v>21</v>
      </c>
      <c r="P2501" s="3">
        <v>44578</v>
      </c>
      <c r="Q2501" t="s">
        <v>28</v>
      </c>
    </row>
    <row r="2502" spans="1:17" x14ac:dyDescent="0.35">
      <c r="A2502" t="s">
        <v>2554</v>
      </c>
      <c r="B2502" t="s">
        <v>23</v>
      </c>
      <c r="C2502">
        <v>47</v>
      </c>
      <c r="D2502" t="s">
        <v>38</v>
      </c>
      <c r="E2502" t="s">
        <v>112</v>
      </c>
      <c r="F2502" t="s">
        <v>28</v>
      </c>
      <c r="G2502">
        <v>9</v>
      </c>
      <c r="H2502">
        <v>4.2</v>
      </c>
      <c r="I2502" t="str" cm="1">
        <f t="array" ref="I2502">_xlfn.IFS(G2502&lt;3, "0–2 Years", G2502&lt;6, "3–5 Years", G2502&lt;9, "6–8 Years", G2502&lt;12, "9-11 Years", G2502&gt;=12, "12-14 Years")</f>
        <v>9-11 Years</v>
      </c>
      <c r="J2502">
        <v>3</v>
      </c>
      <c r="K2502" t="s">
        <v>20</v>
      </c>
      <c r="L2502">
        <v>71800</v>
      </c>
      <c r="M2502">
        <v>6400</v>
      </c>
      <c r="N2502">
        <v>78200</v>
      </c>
      <c r="O2502" t="s">
        <v>21</v>
      </c>
      <c r="P2502" s="3">
        <v>42721</v>
      </c>
      <c r="Q2502" t="s">
        <v>28</v>
      </c>
    </row>
    <row r="2503" spans="1:17" x14ac:dyDescent="0.35">
      <c r="A2503" t="s">
        <v>2555</v>
      </c>
      <c r="B2503" t="s">
        <v>23</v>
      </c>
      <c r="C2503">
        <v>27</v>
      </c>
      <c r="D2503" t="s">
        <v>41</v>
      </c>
      <c r="E2503" t="s">
        <v>67</v>
      </c>
      <c r="F2503" t="s">
        <v>36</v>
      </c>
      <c r="G2503">
        <v>2.9</v>
      </c>
      <c r="H2503">
        <v>2.8</v>
      </c>
      <c r="I2503" t="str" cm="1">
        <f t="array" ref="I2503">_xlfn.IFS(G2503&lt;3, "0–2 Years", G2503&lt;6, "3–5 Years", G2503&lt;9, "6–8 Years", G2503&lt;12, "9-11 Years", G2503&gt;=12, "12-14 Years")</f>
        <v>0–2 Years</v>
      </c>
      <c r="J2503">
        <v>3</v>
      </c>
      <c r="K2503" t="s">
        <v>20</v>
      </c>
      <c r="L2503">
        <v>72000</v>
      </c>
      <c r="M2503">
        <v>5900</v>
      </c>
      <c r="N2503">
        <v>77900</v>
      </c>
      <c r="O2503" t="s">
        <v>21</v>
      </c>
      <c r="P2503" s="3">
        <v>44982</v>
      </c>
      <c r="Q2503" t="s">
        <v>36</v>
      </c>
    </row>
    <row r="2504" spans="1:17" x14ac:dyDescent="0.35">
      <c r="A2504" t="s">
        <v>2556</v>
      </c>
      <c r="B2504" t="s">
        <v>16</v>
      </c>
      <c r="C2504" s="7">
        <v>30</v>
      </c>
      <c r="D2504" t="s">
        <v>38</v>
      </c>
      <c r="E2504" t="s">
        <v>39</v>
      </c>
      <c r="F2504" t="s">
        <v>19</v>
      </c>
      <c r="G2504" s="9">
        <v>12.2</v>
      </c>
      <c r="H2504" s="7">
        <v>8.5</v>
      </c>
      <c r="I2504" t="str" cm="1">
        <f t="array" ref="I2504">_xlfn.IFS(G2504&lt;3, "0–2 Years", G2504&lt;6, "3–5 Years", G2504&lt;9, "6–8 Years", G2504&lt;12, "9-11 Years", G2504&gt;=12, "12-14 Years")</f>
        <v>12-14 Years</v>
      </c>
      <c r="J2504" s="7">
        <v>3</v>
      </c>
      <c r="K2504" t="s">
        <v>20</v>
      </c>
      <c r="L2504" s="7">
        <v>91100</v>
      </c>
      <c r="M2504" s="7">
        <v>4600</v>
      </c>
      <c r="N2504" s="7">
        <v>95700</v>
      </c>
      <c r="O2504" t="s">
        <v>30</v>
      </c>
      <c r="P2504" s="3">
        <v>41569</v>
      </c>
      <c r="Q2504" t="s">
        <v>19</v>
      </c>
    </row>
    <row r="2505" spans="1:17" x14ac:dyDescent="0.35">
      <c r="A2505" t="s">
        <v>2557</v>
      </c>
      <c r="B2505" t="s">
        <v>23</v>
      </c>
      <c r="C2505">
        <v>50</v>
      </c>
      <c r="D2505" t="s">
        <v>44</v>
      </c>
      <c r="E2505" t="s">
        <v>81</v>
      </c>
      <c r="F2505" t="s">
        <v>28</v>
      </c>
      <c r="G2505">
        <v>1.6</v>
      </c>
      <c r="H2505">
        <v>1.2</v>
      </c>
      <c r="I2505" t="str" cm="1">
        <f t="array" ref="I2505">_xlfn.IFS(G2505&lt;3, "0–2 Years", G2505&lt;6, "3–5 Years", G2505&lt;9, "6–8 Years", G2505&lt;12, "9-11 Years", G2505&gt;=12, "12-14 Years")</f>
        <v>0–2 Years</v>
      </c>
      <c r="J2505">
        <v>2</v>
      </c>
      <c r="K2505" t="s">
        <v>20</v>
      </c>
      <c r="L2505">
        <v>85300</v>
      </c>
      <c r="M2505">
        <v>7200</v>
      </c>
      <c r="N2505">
        <v>92500</v>
      </c>
      <c r="O2505" t="s">
        <v>30</v>
      </c>
      <c r="P2505" s="3">
        <v>45435</v>
      </c>
      <c r="Q2505" t="s">
        <v>28</v>
      </c>
    </row>
    <row r="2506" spans="1:17" x14ac:dyDescent="0.35">
      <c r="A2506" t="s">
        <v>2558</v>
      </c>
      <c r="B2506" t="s">
        <v>16</v>
      </c>
      <c r="C2506">
        <v>31</v>
      </c>
      <c r="D2506" t="s">
        <v>44</v>
      </c>
      <c r="E2506" t="s">
        <v>76</v>
      </c>
      <c r="F2506" t="s">
        <v>28</v>
      </c>
      <c r="G2506">
        <v>3.2</v>
      </c>
      <c r="H2506">
        <v>1.7</v>
      </c>
      <c r="I2506" t="str" cm="1">
        <f t="array" ref="I2506">_xlfn.IFS(G2506&lt;3, "0–2 Years", G2506&lt;6, "3–5 Years", G2506&lt;9, "6–8 Years", G2506&lt;12, "9-11 Years", G2506&gt;=12, "12-14 Years")</f>
        <v>3–5 Years</v>
      </c>
      <c r="J2506">
        <v>3</v>
      </c>
      <c r="K2506" t="s">
        <v>20</v>
      </c>
      <c r="L2506">
        <v>94200</v>
      </c>
      <c r="M2506">
        <v>10100</v>
      </c>
      <c r="N2506">
        <v>104300</v>
      </c>
      <c r="O2506" t="s">
        <v>30</v>
      </c>
      <c r="P2506" s="3">
        <v>44848</v>
      </c>
      <c r="Q2506" t="s">
        <v>28</v>
      </c>
    </row>
    <row r="2507" spans="1:17" x14ac:dyDescent="0.35">
      <c r="A2507" t="s">
        <v>2559</v>
      </c>
      <c r="B2507" t="s">
        <v>23</v>
      </c>
      <c r="C2507" s="7">
        <v>38</v>
      </c>
      <c r="D2507" t="s">
        <v>38</v>
      </c>
      <c r="E2507" t="s">
        <v>61</v>
      </c>
      <c r="F2507" t="s">
        <v>28</v>
      </c>
      <c r="G2507" s="9">
        <v>12.5</v>
      </c>
      <c r="H2507" s="7">
        <v>8.3000000000000007</v>
      </c>
      <c r="I2507" t="str" cm="1">
        <f t="array" ref="I2507">_xlfn.IFS(G2507&lt;3, "0–2 Years", G2507&lt;6, "3–5 Years", G2507&lt;9, "6–8 Years", G2507&lt;12, "9-11 Years", G2507&gt;=12, "12-14 Years")</f>
        <v>12-14 Years</v>
      </c>
      <c r="J2507" s="7">
        <v>3</v>
      </c>
      <c r="K2507" t="s">
        <v>20</v>
      </c>
      <c r="L2507" s="7">
        <v>106600</v>
      </c>
      <c r="M2507" s="7">
        <v>6700</v>
      </c>
      <c r="N2507" s="7">
        <v>113300</v>
      </c>
      <c r="O2507" t="s">
        <v>57</v>
      </c>
      <c r="P2507" s="3">
        <v>41450</v>
      </c>
      <c r="Q2507" t="s">
        <v>28</v>
      </c>
    </row>
    <row r="2508" spans="1:17" x14ac:dyDescent="0.35">
      <c r="A2508" t="s">
        <v>2560</v>
      </c>
      <c r="B2508" t="s">
        <v>23</v>
      </c>
      <c r="C2508">
        <v>45</v>
      </c>
      <c r="D2508" t="s">
        <v>55</v>
      </c>
      <c r="E2508" t="s">
        <v>79</v>
      </c>
      <c r="F2508" t="s">
        <v>36</v>
      </c>
      <c r="G2508">
        <v>8.8000000000000007</v>
      </c>
      <c r="H2508">
        <v>5.9</v>
      </c>
      <c r="I2508" t="str" cm="1">
        <f t="array" ref="I2508">_xlfn.IFS(G2508&lt;3, "0–2 Years", G2508&lt;6, "3–5 Years", G2508&lt;9, "6–8 Years", G2508&lt;12, "9-11 Years", G2508&gt;=12, "12-14 Years")</f>
        <v>6–8 Years</v>
      </c>
      <c r="J2508">
        <v>4</v>
      </c>
      <c r="K2508" t="s">
        <v>20</v>
      </c>
      <c r="L2508">
        <v>71600</v>
      </c>
      <c r="M2508">
        <v>13400</v>
      </c>
      <c r="N2508">
        <v>85000</v>
      </c>
      <c r="O2508" t="s">
        <v>21</v>
      </c>
      <c r="P2508" s="3">
        <v>42791</v>
      </c>
      <c r="Q2508" t="s">
        <v>36</v>
      </c>
    </row>
    <row r="2509" spans="1:17" x14ac:dyDescent="0.35">
      <c r="A2509" t="s">
        <v>2561</v>
      </c>
      <c r="B2509" t="s">
        <v>23</v>
      </c>
      <c r="C2509">
        <v>24</v>
      </c>
      <c r="D2509" t="s">
        <v>41</v>
      </c>
      <c r="E2509" t="s">
        <v>67</v>
      </c>
      <c r="F2509" t="s">
        <v>28</v>
      </c>
      <c r="G2509">
        <v>6.4</v>
      </c>
      <c r="H2509">
        <v>5.6</v>
      </c>
      <c r="I2509" t="str" cm="1">
        <f t="array" ref="I2509">_xlfn.IFS(G2509&lt;3, "0–2 Years", G2509&lt;6, "3–5 Years", G2509&lt;9, "6–8 Years", G2509&lt;12, "9-11 Years", G2509&gt;=12, "12-14 Years")</f>
        <v>6–8 Years</v>
      </c>
      <c r="J2509">
        <v>3</v>
      </c>
      <c r="K2509" t="s">
        <v>20</v>
      </c>
      <c r="L2509">
        <v>69400</v>
      </c>
      <c r="M2509">
        <v>3100</v>
      </c>
      <c r="N2509">
        <v>72500</v>
      </c>
      <c r="O2509" t="s">
        <v>21</v>
      </c>
      <c r="P2509" s="3">
        <v>43674</v>
      </c>
      <c r="Q2509" t="s">
        <v>28</v>
      </c>
    </row>
    <row r="2510" spans="1:17" x14ac:dyDescent="0.35">
      <c r="A2510" t="s">
        <v>2562</v>
      </c>
      <c r="B2510" t="s">
        <v>16</v>
      </c>
      <c r="C2510">
        <v>42</v>
      </c>
      <c r="D2510" t="s">
        <v>38</v>
      </c>
      <c r="E2510" t="s">
        <v>61</v>
      </c>
      <c r="F2510" t="s">
        <v>28</v>
      </c>
      <c r="G2510">
        <v>6.5</v>
      </c>
      <c r="H2510">
        <v>5.3</v>
      </c>
      <c r="I2510" t="str" cm="1">
        <f t="array" ref="I2510">_xlfn.IFS(G2510&lt;3, "0–2 Years", G2510&lt;6, "3–5 Years", G2510&lt;9, "6–8 Years", G2510&lt;12, "9-11 Years", G2510&gt;=12, "12-14 Years")</f>
        <v>6–8 Years</v>
      </c>
      <c r="J2510">
        <v>4</v>
      </c>
      <c r="K2510" t="s">
        <v>24</v>
      </c>
      <c r="L2510">
        <v>69300</v>
      </c>
      <c r="M2510">
        <v>3300</v>
      </c>
      <c r="N2510">
        <v>72600</v>
      </c>
      <c r="O2510" t="s">
        <v>21</v>
      </c>
      <c r="P2510" s="3">
        <v>43660</v>
      </c>
      <c r="Q2510" t="s">
        <v>28</v>
      </c>
    </row>
    <row r="2511" spans="1:17" x14ac:dyDescent="0.35">
      <c r="A2511" t="s">
        <v>2563</v>
      </c>
      <c r="B2511" t="s">
        <v>16</v>
      </c>
      <c r="C2511">
        <v>40</v>
      </c>
      <c r="D2511" t="s">
        <v>55</v>
      </c>
      <c r="E2511" t="s">
        <v>92</v>
      </c>
      <c r="F2511" t="s">
        <v>36</v>
      </c>
      <c r="G2511">
        <v>10.3</v>
      </c>
      <c r="H2511">
        <v>7.6</v>
      </c>
      <c r="I2511" t="str" cm="1">
        <f t="array" ref="I2511">_xlfn.IFS(G2511&lt;3, "0–2 Years", G2511&lt;6, "3–5 Years", G2511&lt;9, "6–8 Years", G2511&lt;12, "9-11 Years", G2511&gt;=12, "12-14 Years")</f>
        <v>9-11 Years</v>
      </c>
      <c r="J2511">
        <v>5</v>
      </c>
      <c r="K2511" t="s">
        <v>20</v>
      </c>
      <c r="L2511">
        <v>100300</v>
      </c>
      <c r="M2511">
        <v>8800</v>
      </c>
      <c r="N2511">
        <v>109100</v>
      </c>
      <c r="O2511" t="s">
        <v>57</v>
      </c>
      <c r="P2511" s="3">
        <v>42246</v>
      </c>
      <c r="Q2511" t="s">
        <v>36</v>
      </c>
    </row>
    <row r="2512" spans="1:17" x14ac:dyDescent="0.35">
      <c r="A2512" t="s">
        <v>2564</v>
      </c>
      <c r="B2512" t="s">
        <v>23</v>
      </c>
      <c r="C2512">
        <v>39</v>
      </c>
      <c r="D2512" t="s">
        <v>17</v>
      </c>
      <c r="E2512" t="s">
        <v>27</v>
      </c>
      <c r="F2512" t="s">
        <v>28</v>
      </c>
      <c r="G2512">
        <v>11.4</v>
      </c>
      <c r="H2512">
        <v>10.8</v>
      </c>
      <c r="I2512" t="str" cm="1">
        <f t="array" ref="I2512">_xlfn.IFS(G2512&lt;3, "0–2 Years", G2512&lt;6, "3–5 Years", G2512&lt;9, "6–8 Years", G2512&lt;12, "9-11 Years", G2512&gt;=12, "12-14 Years")</f>
        <v>9-11 Years</v>
      </c>
      <c r="J2512">
        <v>3</v>
      </c>
      <c r="K2512" t="s">
        <v>20</v>
      </c>
      <c r="L2512">
        <v>81500</v>
      </c>
      <c r="M2512">
        <v>3700</v>
      </c>
      <c r="N2512">
        <v>85200</v>
      </c>
      <c r="O2512" t="s">
        <v>30</v>
      </c>
      <c r="P2512" s="3">
        <v>41861</v>
      </c>
      <c r="Q2512" t="s">
        <v>28</v>
      </c>
    </row>
    <row r="2513" spans="1:17" x14ac:dyDescent="0.35">
      <c r="A2513" t="s">
        <v>2565</v>
      </c>
      <c r="B2513" t="s">
        <v>16</v>
      </c>
      <c r="C2513">
        <v>28</v>
      </c>
      <c r="D2513" t="s">
        <v>34</v>
      </c>
      <c r="E2513" t="s">
        <v>35</v>
      </c>
      <c r="F2513" t="s">
        <v>36</v>
      </c>
      <c r="G2513">
        <v>3.2</v>
      </c>
      <c r="H2513">
        <v>3.2</v>
      </c>
      <c r="I2513" t="str" cm="1">
        <f t="array" ref="I2513">_xlfn.IFS(G2513&lt;3, "0–2 Years", G2513&lt;6, "3–5 Years", G2513&lt;9, "6–8 Years", G2513&lt;12, "9-11 Years", G2513&gt;=12, "12-14 Years")</f>
        <v>3–5 Years</v>
      </c>
      <c r="J2513">
        <v>4</v>
      </c>
      <c r="K2513" t="s">
        <v>20</v>
      </c>
      <c r="L2513">
        <v>82900</v>
      </c>
      <c r="M2513">
        <v>5800</v>
      </c>
      <c r="N2513">
        <v>88700</v>
      </c>
      <c r="O2513" t="s">
        <v>30</v>
      </c>
      <c r="P2513" s="3">
        <v>44871</v>
      </c>
      <c r="Q2513" t="s">
        <v>36</v>
      </c>
    </row>
    <row r="2514" spans="1:17" x14ac:dyDescent="0.35">
      <c r="A2514" t="s">
        <v>2566</v>
      </c>
      <c r="B2514" t="s">
        <v>16</v>
      </c>
      <c r="C2514">
        <v>36</v>
      </c>
      <c r="D2514" t="s">
        <v>17</v>
      </c>
      <c r="E2514" t="s">
        <v>18</v>
      </c>
      <c r="F2514" t="s">
        <v>28</v>
      </c>
      <c r="G2514">
        <v>5</v>
      </c>
      <c r="H2514">
        <v>3.2</v>
      </c>
      <c r="I2514" t="str" cm="1">
        <f t="array" ref="I2514">_xlfn.IFS(G2514&lt;3, "0–2 Years", G2514&lt;6, "3–5 Years", G2514&lt;9, "6–8 Years", G2514&lt;12, "9-11 Years", G2514&gt;=12, "12-14 Years")</f>
        <v>3–5 Years</v>
      </c>
      <c r="J2514">
        <v>4</v>
      </c>
      <c r="K2514" t="s">
        <v>20</v>
      </c>
      <c r="L2514">
        <v>100000</v>
      </c>
      <c r="M2514">
        <v>11400</v>
      </c>
      <c r="N2514">
        <v>111400</v>
      </c>
      <c r="O2514" t="s">
        <v>57</v>
      </c>
      <c r="P2514" s="3">
        <v>44184</v>
      </c>
      <c r="Q2514" t="s">
        <v>28</v>
      </c>
    </row>
    <row r="2515" spans="1:17" x14ac:dyDescent="0.35">
      <c r="A2515" t="s">
        <v>2567</v>
      </c>
      <c r="B2515" t="s">
        <v>16</v>
      </c>
      <c r="C2515">
        <v>36</v>
      </c>
      <c r="D2515" t="s">
        <v>41</v>
      </c>
      <c r="E2515" t="s">
        <v>67</v>
      </c>
      <c r="F2515" t="s">
        <v>36</v>
      </c>
      <c r="G2515">
        <v>1.6</v>
      </c>
      <c r="H2515">
        <v>1.6</v>
      </c>
      <c r="I2515" t="str" cm="1">
        <f t="array" ref="I2515">_xlfn.IFS(G2515&lt;3, "0–2 Years", G2515&lt;6, "3–5 Years", G2515&lt;9, "6–8 Years", G2515&lt;12, "9-11 Years", G2515&gt;=12, "12-14 Years")</f>
        <v>0–2 Years</v>
      </c>
      <c r="J2515">
        <v>2</v>
      </c>
      <c r="K2515" t="s">
        <v>20</v>
      </c>
      <c r="L2515">
        <v>61500</v>
      </c>
      <c r="M2515">
        <v>4000</v>
      </c>
      <c r="N2515">
        <v>65500</v>
      </c>
      <c r="O2515" t="s">
        <v>25</v>
      </c>
      <c r="P2515" s="3">
        <v>45433</v>
      </c>
      <c r="Q2515" t="s">
        <v>36</v>
      </c>
    </row>
    <row r="2516" spans="1:17" x14ac:dyDescent="0.35">
      <c r="A2516" t="s">
        <v>2568</v>
      </c>
      <c r="B2516" t="s">
        <v>23</v>
      </c>
      <c r="C2516">
        <v>51</v>
      </c>
      <c r="D2516" t="s">
        <v>44</v>
      </c>
      <c r="E2516" t="s">
        <v>51</v>
      </c>
      <c r="F2516" t="s">
        <v>36</v>
      </c>
      <c r="G2516">
        <v>9.6999999999999993</v>
      </c>
      <c r="H2516">
        <v>5.5</v>
      </c>
      <c r="I2516" t="str" cm="1">
        <f t="array" ref="I2516">_xlfn.IFS(G2516&lt;3, "0–2 Years", G2516&lt;6, "3–5 Years", G2516&lt;9, "6–8 Years", G2516&lt;12, "9-11 Years", G2516&gt;=12, "12-14 Years")</f>
        <v>9-11 Years</v>
      </c>
      <c r="J2516">
        <v>4</v>
      </c>
      <c r="K2516" t="s">
        <v>20</v>
      </c>
      <c r="L2516">
        <v>97600</v>
      </c>
      <c r="M2516">
        <v>10300</v>
      </c>
      <c r="N2516">
        <v>107900</v>
      </c>
      <c r="O2516" t="s">
        <v>30</v>
      </c>
      <c r="P2516" s="3">
        <v>42498</v>
      </c>
      <c r="Q2516" t="s">
        <v>36</v>
      </c>
    </row>
    <row r="2517" spans="1:17" x14ac:dyDescent="0.35">
      <c r="A2517" t="s">
        <v>2569</v>
      </c>
      <c r="B2517" t="s">
        <v>23</v>
      </c>
      <c r="C2517" s="7">
        <v>55</v>
      </c>
      <c r="D2517" t="s">
        <v>41</v>
      </c>
      <c r="E2517" t="s">
        <v>42</v>
      </c>
      <c r="F2517" t="s">
        <v>36</v>
      </c>
      <c r="G2517" s="9">
        <v>13.2</v>
      </c>
      <c r="H2517" s="7">
        <v>11.4</v>
      </c>
      <c r="I2517" t="str" cm="1">
        <f t="array" ref="I2517">_xlfn.IFS(G2517&lt;3, "0–2 Years", G2517&lt;6, "3–5 Years", G2517&lt;9, "6–8 Years", G2517&lt;12, "9-11 Years", G2517&gt;=12, "12-14 Years")</f>
        <v>12-14 Years</v>
      </c>
      <c r="J2517" s="7">
        <v>4</v>
      </c>
      <c r="K2517" t="s">
        <v>20</v>
      </c>
      <c r="L2517" s="7">
        <v>89200</v>
      </c>
      <c r="M2517" s="7">
        <v>4400</v>
      </c>
      <c r="N2517" s="7">
        <v>93600</v>
      </c>
      <c r="O2517" t="s">
        <v>30</v>
      </c>
      <c r="P2517" s="3">
        <v>41201</v>
      </c>
      <c r="Q2517" t="s">
        <v>36</v>
      </c>
    </row>
    <row r="2518" spans="1:17" x14ac:dyDescent="0.35">
      <c r="A2518" t="s">
        <v>2570</v>
      </c>
      <c r="B2518" t="s">
        <v>23</v>
      </c>
      <c r="C2518">
        <v>48</v>
      </c>
      <c r="D2518" t="s">
        <v>17</v>
      </c>
      <c r="E2518" t="s">
        <v>32</v>
      </c>
      <c r="F2518" t="s">
        <v>62</v>
      </c>
      <c r="G2518">
        <v>6.4</v>
      </c>
      <c r="H2518">
        <v>4.5999999999999996</v>
      </c>
      <c r="I2518" t="str" cm="1">
        <f t="array" ref="I2518">_xlfn.IFS(G2518&lt;3, "0–2 Years", G2518&lt;6, "3–5 Years", G2518&lt;9, "6–8 Years", G2518&lt;12, "9-11 Years", G2518&gt;=12, "12-14 Years")</f>
        <v>6–8 Years</v>
      </c>
      <c r="J2518">
        <v>2</v>
      </c>
      <c r="K2518" t="s">
        <v>20</v>
      </c>
      <c r="L2518">
        <v>69600</v>
      </c>
      <c r="M2518">
        <v>3700</v>
      </c>
      <c r="N2518">
        <v>73300</v>
      </c>
      <c r="O2518" t="s">
        <v>21</v>
      </c>
      <c r="P2518" s="3">
        <v>43689</v>
      </c>
      <c r="Q2518" t="s">
        <v>62</v>
      </c>
    </row>
    <row r="2519" spans="1:17" x14ac:dyDescent="0.35">
      <c r="A2519" t="s">
        <v>2571</v>
      </c>
      <c r="B2519" t="s">
        <v>16</v>
      </c>
      <c r="C2519">
        <v>42</v>
      </c>
      <c r="D2519" t="s">
        <v>34</v>
      </c>
      <c r="E2519" t="s">
        <v>35</v>
      </c>
      <c r="F2519" t="s">
        <v>62</v>
      </c>
      <c r="G2519">
        <v>9.1</v>
      </c>
      <c r="H2519">
        <v>7.2</v>
      </c>
      <c r="I2519" t="str" cm="1">
        <f t="array" ref="I2519">_xlfn.IFS(G2519&lt;3, "0–2 Years", G2519&lt;6, "3–5 Years", G2519&lt;9, "6–8 Years", G2519&lt;12, "9-11 Years", G2519&gt;=12, "12-14 Years")</f>
        <v>9-11 Years</v>
      </c>
      <c r="J2519">
        <v>4</v>
      </c>
      <c r="K2519" t="s">
        <v>20</v>
      </c>
      <c r="L2519">
        <v>90700</v>
      </c>
      <c r="M2519">
        <v>9000</v>
      </c>
      <c r="N2519">
        <v>99700</v>
      </c>
      <c r="O2519" t="s">
        <v>30</v>
      </c>
      <c r="P2519" s="3">
        <v>42690</v>
      </c>
      <c r="Q2519" t="s">
        <v>62</v>
      </c>
    </row>
    <row r="2520" spans="1:17" x14ac:dyDescent="0.35">
      <c r="A2520" t="s">
        <v>2572</v>
      </c>
      <c r="B2520" t="s">
        <v>23</v>
      </c>
      <c r="C2520" s="7">
        <v>39</v>
      </c>
      <c r="D2520" t="s">
        <v>34</v>
      </c>
      <c r="E2520" t="s">
        <v>59</v>
      </c>
      <c r="F2520" t="s">
        <v>36</v>
      </c>
      <c r="G2520" s="9">
        <v>12.3</v>
      </c>
      <c r="H2520" s="7">
        <v>7.9</v>
      </c>
      <c r="I2520" t="str" cm="1">
        <f t="array" ref="I2520">_xlfn.IFS(G2520&lt;3, "0–2 Years", G2520&lt;6, "3–5 Years", G2520&lt;9, "6–8 Years", G2520&lt;12, "9-11 Years", G2520&gt;=12, "12-14 Years")</f>
        <v>12-14 Years</v>
      </c>
      <c r="J2520" s="7">
        <v>3</v>
      </c>
      <c r="K2520" t="s">
        <v>20</v>
      </c>
      <c r="L2520" s="7">
        <v>100100</v>
      </c>
      <c r="M2520" s="7">
        <v>4600</v>
      </c>
      <c r="N2520" s="7">
        <v>104700</v>
      </c>
      <c r="O2520" t="s">
        <v>57</v>
      </c>
      <c r="P2520" s="3">
        <v>41531</v>
      </c>
      <c r="Q2520" t="s">
        <v>36</v>
      </c>
    </row>
    <row r="2521" spans="1:17" x14ac:dyDescent="0.35">
      <c r="A2521" t="s">
        <v>2573</v>
      </c>
      <c r="B2521" t="s">
        <v>16</v>
      </c>
      <c r="C2521">
        <v>31</v>
      </c>
      <c r="D2521" t="s">
        <v>17</v>
      </c>
      <c r="E2521" t="s">
        <v>18</v>
      </c>
      <c r="F2521" t="s">
        <v>28</v>
      </c>
      <c r="G2521">
        <v>9.3000000000000007</v>
      </c>
      <c r="H2521">
        <v>7.1</v>
      </c>
      <c r="I2521" t="str" cm="1">
        <f t="array" ref="I2521">_xlfn.IFS(G2521&lt;3, "0–2 Years", G2521&lt;6, "3–5 Years", G2521&lt;9, "6–8 Years", G2521&lt;12, "9-11 Years", G2521&gt;=12, "12-14 Years")</f>
        <v>9-11 Years</v>
      </c>
      <c r="J2521">
        <v>3</v>
      </c>
      <c r="K2521" t="s">
        <v>20</v>
      </c>
      <c r="L2521">
        <v>82800</v>
      </c>
      <c r="M2521">
        <v>9200</v>
      </c>
      <c r="N2521">
        <v>92000</v>
      </c>
      <c r="O2521" t="s">
        <v>30</v>
      </c>
      <c r="P2521" s="3">
        <v>42618</v>
      </c>
      <c r="Q2521" t="s">
        <v>28</v>
      </c>
    </row>
    <row r="2522" spans="1:17" x14ac:dyDescent="0.35">
      <c r="A2522" t="s">
        <v>2574</v>
      </c>
      <c r="B2522" t="s">
        <v>23</v>
      </c>
      <c r="C2522">
        <v>26</v>
      </c>
      <c r="D2522" t="s">
        <v>44</v>
      </c>
      <c r="E2522" t="s">
        <v>51</v>
      </c>
      <c r="F2522" t="s">
        <v>28</v>
      </c>
      <c r="G2522">
        <v>8</v>
      </c>
      <c r="H2522">
        <v>5.5</v>
      </c>
      <c r="I2522" t="str" cm="1">
        <f t="array" ref="I2522">_xlfn.IFS(G2522&lt;3, "0–2 Years", G2522&lt;6, "3–5 Years", G2522&lt;9, "6–8 Years", G2522&lt;12, "9-11 Years", G2522&gt;=12, "12-14 Years")</f>
        <v>6–8 Years</v>
      </c>
      <c r="J2522">
        <v>4</v>
      </c>
      <c r="K2522" t="s">
        <v>20</v>
      </c>
      <c r="L2522">
        <v>83800</v>
      </c>
      <c r="M2522">
        <v>5300</v>
      </c>
      <c r="N2522">
        <v>89100</v>
      </c>
      <c r="O2522" t="s">
        <v>30</v>
      </c>
      <c r="P2522" s="3">
        <v>43094</v>
      </c>
      <c r="Q2522" t="s">
        <v>28</v>
      </c>
    </row>
    <row r="2523" spans="1:17" x14ac:dyDescent="0.35">
      <c r="A2523" t="s">
        <v>2575</v>
      </c>
      <c r="B2523" t="s">
        <v>23</v>
      </c>
      <c r="C2523">
        <v>35</v>
      </c>
      <c r="D2523" t="s">
        <v>34</v>
      </c>
      <c r="E2523" t="s">
        <v>35</v>
      </c>
      <c r="F2523" t="s">
        <v>36</v>
      </c>
      <c r="G2523">
        <v>5.5</v>
      </c>
      <c r="H2523">
        <v>2.8</v>
      </c>
      <c r="I2523" t="str" cm="1">
        <f t="array" ref="I2523">_xlfn.IFS(G2523&lt;3, "0–2 Years", G2523&lt;6, "3–5 Years", G2523&lt;9, "6–8 Years", G2523&lt;12, "9-11 Years", G2523&gt;=12, "12-14 Years")</f>
        <v>3–5 Years</v>
      </c>
      <c r="J2523">
        <v>3</v>
      </c>
      <c r="K2523" t="s">
        <v>20</v>
      </c>
      <c r="L2523">
        <v>94700</v>
      </c>
      <c r="M2523">
        <v>9100</v>
      </c>
      <c r="N2523">
        <v>103800</v>
      </c>
      <c r="O2523" t="s">
        <v>30</v>
      </c>
      <c r="P2523" s="3">
        <v>44017</v>
      </c>
      <c r="Q2523" t="s">
        <v>36</v>
      </c>
    </row>
    <row r="2524" spans="1:17" x14ac:dyDescent="0.35">
      <c r="A2524" t="s">
        <v>2576</v>
      </c>
      <c r="B2524" t="s">
        <v>16</v>
      </c>
      <c r="C2524">
        <v>23</v>
      </c>
      <c r="D2524" t="s">
        <v>34</v>
      </c>
      <c r="E2524" t="s">
        <v>47</v>
      </c>
      <c r="F2524" t="s">
        <v>36</v>
      </c>
      <c r="G2524">
        <v>8.8000000000000007</v>
      </c>
      <c r="H2524">
        <v>5.2</v>
      </c>
      <c r="I2524" t="str" cm="1">
        <f t="array" ref="I2524">_xlfn.IFS(G2524&lt;3, "0–2 Years", G2524&lt;6, "3–5 Years", G2524&lt;9, "6–8 Years", G2524&lt;12, "9-11 Years", G2524&gt;=12, "12-14 Years")</f>
        <v>6–8 Years</v>
      </c>
      <c r="J2524">
        <v>3</v>
      </c>
      <c r="K2524" t="s">
        <v>20</v>
      </c>
      <c r="L2524">
        <v>87500</v>
      </c>
      <c r="M2524">
        <v>8200</v>
      </c>
      <c r="N2524">
        <v>95700</v>
      </c>
      <c r="O2524" t="s">
        <v>30</v>
      </c>
      <c r="P2524" s="3">
        <v>42804</v>
      </c>
      <c r="Q2524" t="s">
        <v>36</v>
      </c>
    </row>
    <row r="2525" spans="1:17" x14ac:dyDescent="0.35">
      <c r="A2525" t="s">
        <v>2577</v>
      </c>
      <c r="B2525" t="s">
        <v>16</v>
      </c>
      <c r="C2525">
        <v>34</v>
      </c>
      <c r="D2525" t="s">
        <v>44</v>
      </c>
      <c r="E2525" t="s">
        <v>76</v>
      </c>
      <c r="F2525" t="s">
        <v>28</v>
      </c>
      <c r="G2525">
        <v>5.2</v>
      </c>
      <c r="H2525">
        <v>5.2</v>
      </c>
      <c r="I2525" t="str" cm="1">
        <f t="array" ref="I2525">_xlfn.IFS(G2525&lt;3, "0–2 Years", G2525&lt;6, "3–5 Years", G2525&lt;9, "6–8 Years", G2525&lt;12, "9-11 Years", G2525&gt;=12, "12-14 Years")</f>
        <v>3–5 Years</v>
      </c>
      <c r="J2525">
        <v>4</v>
      </c>
      <c r="K2525" t="s">
        <v>69</v>
      </c>
      <c r="L2525">
        <v>88400</v>
      </c>
      <c r="M2525">
        <v>7900</v>
      </c>
      <c r="N2525">
        <v>96300</v>
      </c>
      <c r="O2525" t="s">
        <v>30</v>
      </c>
      <c r="P2525" s="3">
        <v>44118</v>
      </c>
      <c r="Q2525" t="s">
        <v>28</v>
      </c>
    </row>
    <row r="2526" spans="1:17" x14ac:dyDescent="0.35">
      <c r="A2526" t="s">
        <v>2578</v>
      </c>
      <c r="B2526" t="s">
        <v>23</v>
      </c>
      <c r="C2526" s="7">
        <v>40</v>
      </c>
      <c r="D2526" t="s">
        <v>55</v>
      </c>
      <c r="E2526" t="s">
        <v>56</v>
      </c>
      <c r="F2526" t="s">
        <v>28</v>
      </c>
      <c r="G2526" s="9">
        <v>12.2</v>
      </c>
      <c r="H2526" s="7">
        <v>5</v>
      </c>
      <c r="I2526" t="str" cm="1">
        <f t="array" ref="I2526">_xlfn.IFS(G2526&lt;3, "0–2 Years", G2526&lt;6, "3–5 Years", G2526&lt;9, "6–8 Years", G2526&lt;12, "9-11 Years", G2526&gt;=12, "12-14 Years")</f>
        <v>12-14 Years</v>
      </c>
      <c r="J2526" s="7">
        <v>4</v>
      </c>
      <c r="K2526" t="s">
        <v>20</v>
      </c>
      <c r="L2526" s="7">
        <v>127300</v>
      </c>
      <c r="M2526" s="7">
        <v>26200</v>
      </c>
      <c r="N2526" s="7">
        <v>153500</v>
      </c>
      <c r="O2526" t="s">
        <v>57</v>
      </c>
      <c r="P2526" s="3">
        <v>41581</v>
      </c>
      <c r="Q2526" t="s">
        <v>28</v>
      </c>
    </row>
    <row r="2527" spans="1:17" x14ac:dyDescent="0.35">
      <c r="A2527" t="s">
        <v>2579</v>
      </c>
      <c r="B2527" t="s">
        <v>23</v>
      </c>
      <c r="C2527">
        <v>38</v>
      </c>
      <c r="D2527" t="s">
        <v>34</v>
      </c>
      <c r="E2527" t="s">
        <v>35</v>
      </c>
      <c r="F2527" t="s">
        <v>28</v>
      </c>
      <c r="G2527">
        <v>8.9</v>
      </c>
      <c r="H2527">
        <v>5.0999999999999996</v>
      </c>
      <c r="I2527" t="str" cm="1">
        <f t="array" ref="I2527">_xlfn.IFS(G2527&lt;3, "0–2 Years", G2527&lt;6, "3–5 Years", G2527&lt;9, "6–8 Years", G2527&lt;12, "9-11 Years", G2527&gt;=12, "12-14 Years")</f>
        <v>6–8 Years</v>
      </c>
      <c r="J2527">
        <v>2</v>
      </c>
      <c r="K2527" t="s">
        <v>69</v>
      </c>
      <c r="L2527">
        <v>65700</v>
      </c>
      <c r="M2527">
        <v>3800</v>
      </c>
      <c r="N2527">
        <v>69500</v>
      </c>
      <c r="O2527" t="s">
        <v>21</v>
      </c>
      <c r="P2527" s="3">
        <v>42756</v>
      </c>
      <c r="Q2527" t="s">
        <v>28</v>
      </c>
    </row>
    <row r="2528" spans="1:17" x14ac:dyDescent="0.35">
      <c r="A2528" t="s">
        <v>2580</v>
      </c>
      <c r="B2528" t="s">
        <v>16</v>
      </c>
      <c r="C2528">
        <v>30</v>
      </c>
      <c r="D2528" t="s">
        <v>38</v>
      </c>
      <c r="E2528" t="s">
        <v>39</v>
      </c>
      <c r="F2528" t="s">
        <v>28</v>
      </c>
      <c r="G2528">
        <v>9.6</v>
      </c>
      <c r="H2528">
        <v>5.4</v>
      </c>
      <c r="I2528" t="str" cm="1">
        <f t="array" ref="I2528">_xlfn.IFS(G2528&lt;3, "0–2 Years", G2528&lt;6, "3–5 Years", G2528&lt;9, "6–8 Years", G2528&lt;12, "9-11 Years", G2528&gt;=12, "12-14 Years")</f>
        <v>9-11 Years</v>
      </c>
      <c r="J2528">
        <v>3</v>
      </c>
      <c r="K2528" t="s">
        <v>20</v>
      </c>
      <c r="L2528">
        <v>70000</v>
      </c>
      <c r="M2528">
        <v>6000</v>
      </c>
      <c r="N2528">
        <v>76000</v>
      </c>
      <c r="O2528" t="s">
        <v>21</v>
      </c>
      <c r="P2528" s="3">
        <v>42529</v>
      </c>
      <c r="Q2528" t="s">
        <v>28</v>
      </c>
    </row>
    <row r="2529" spans="1:17" x14ac:dyDescent="0.35">
      <c r="A2529" t="s">
        <v>2581</v>
      </c>
      <c r="B2529" t="s">
        <v>23</v>
      </c>
      <c r="C2529">
        <v>28</v>
      </c>
      <c r="D2529" t="s">
        <v>17</v>
      </c>
      <c r="E2529" t="s">
        <v>32</v>
      </c>
      <c r="F2529" t="s">
        <v>28</v>
      </c>
      <c r="G2529">
        <v>5.3</v>
      </c>
      <c r="H2529">
        <v>3.2</v>
      </c>
      <c r="I2529" t="str" cm="1">
        <f t="array" ref="I2529">_xlfn.IFS(G2529&lt;3, "0–2 Years", G2529&lt;6, "3–5 Years", G2529&lt;9, "6–8 Years", G2529&lt;12, "9-11 Years", G2529&gt;=12, "12-14 Years")</f>
        <v>3–5 Years</v>
      </c>
      <c r="J2529">
        <v>4</v>
      </c>
      <c r="K2529" t="s">
        <v>20</v>
      </c>
      <c r="L2529">
        <v>65900</v>
      </c>
      <c r="M2529">
        <v>8500</v>
      </c>
      <c r="N2529">
        <v>74400</v>
      </c>
      <c r="O2529" t="s">
        <v>21</v>
      </c>
      <c r="P2529" s="3">
        <v>44083</v>
      </c>
      <c r="Q2529" t="s">
        <v>28</v>
      </c>
    </row>
    <row r="2530" spans="1:17" x14ac:dyDescent="0.35">
      <c r="A2530" t="s">
        <v>2582</v>
      </c>
      <c r="B2530" t="s">
        <v>16</v>
      </c>
      <c r="C2530">
        <v>56</v>
      </c>
      <c r="D2530" t="s">
        <v>34</v>
      </c>
      <c r="E2530" t="s">
        <v>59</v>
      </c>
      <c r="F2530" t="s">
        <v>28</v>
      </c>
      <c r="G2530">
        <v>5.9</v>
      </c>
      <c r="H2530">
        <v>3.3</v>
      </c>
      <c r="I2530" t="str" cm="1">
        <f t="array" ref="I2530">_xlfn.IFS(G2530&lt;3, "0–2 Years", G2530&lt;6, "3–5 Years", G2530&lt;9, "6–8 Years", G2530&lt;12, "9-11 Years", G2530&gt;=12, "12-14 Years")</f>
        <v>3–5 Years</v>
      </c>
      <c r="J2530">
        <v>4</v>
      </c>
      <c r="K2530" t="s">
        <v>24</v>
      </c>
      <c r="L2530">
        <v>58100</v>
      </c>
      <c r="M2530">
        <v>3900</v>
      </c>
      <c r="N2530">
        <v>62000</v>
      </c>
      <c r="O2530" t="s">
        <v>25</v>
      </c>
      <c r="P2530" s="3">
        <v>43869</v>
      </c>
      <c r="Q2530" t="s">
        <v>28</v>
      </c>
    </row>
    <row r="2531" spans="1:17" x14ac:dyDescent="0.35">
      <c r="A2531" t="s">
        <v>2583</v>
      </c>
      <c r="B2531" t="s">
        <v>16</v>
      </c>
      <c r="C2531">
        <v>45</v>
      </c>
      <c r="D2531" t="s">
        <v>38</v>
      </c>
      <c r="E2531" t="s">
        <v>112</v>
      </c>
      <c r="F2531" t="s">
        <v>28</v>
      </c>
      <c r="G2531">
        <v>10.5</v>
      </c>
      <c r="H2531">
        <v>9.1</v>
      </c>
      <c r="I2531" t="str" cm="1">
        <f t="array" ref="I2531">_xlfn.IFS(G2531&lt;3, "0–2 Years", G2531&lt;6, "3–5 Years", G2531&lt;9, "6–8 Years", G2531&lt;12, "9-11 Years", G2531&gt;=12, "12-14 Years")</f>
        <v>9-11 Years</v>
      </c>
      <c r="J2531">
        <v>3</v>
      </c>
      <c r="K2531" t="s">
        <v>20</v>
      </c>
      <c r="L2531">
        <v>69300</v>
      </c>
      <c r="M2531">
        <v>4800</v>
      </c>
      <c r="N2531">
        <v>74100</v>
      </c>
      <c r="O2531" t="s">
        <v>21</v>
      </c>
      <c r="P2531" s="3">
        <v>42203</v>
      </c>
      <c r="Q2531" t="s">
        <v>28</v>
      </c>
    </row>
    <row r="2532" spans="1:17" x14ac:dyDescent="0.35">
      <c r="A2532" t="s">
        <v>2584</v>
      </c>
      <c r="B2532" t="s">
        <v>23</v>
      </c>
      <c r="C2532">
        <v>33</v>
      </c>
      <c r="D2532" t="s">
        <v>44</v>
      </c>
      <c r="E2532" t="s">
        <v>76</v>
      </c>
      <c r="F2532" t="s">
        <v>36</v>
      </c>
      <c r="G2532">
        <v>10.4</v>
      </c>
      <c r="H2532">
        <v>7.1</v>
      </c>
      <c r="I2532" t="str" cm="1">
        <f t="array" ref="I2532">_xlfn.IFS(G2532&lt;3, "0–2 Years", G2532&lt;6, "3–5 Years", G2532&lt;9, "6–8 Years", G2532&lt;12, "9-11 Years", G2532&gt;=12, "12-14 Years")</f>
        <v>9-11 Years</v>
      </c>
      <c r="J2532">
        <v>4</v>
      </c>
      <c r="K2532" t="s">
        <v>24</v>
      </c>
      <c r="L2532">
        <v>70800</v>
      </c>
      <c r="M2532">
        <v>5500</v>
      </c>
      <c r="N2532">
        <v>76300</v>
      </c>
      <c r="O2532" t="s">
        <v>21</v>
      </c>
      <c r="P2532" s="3">
        <v>42242</v>
      </c>
      <c r="Q2532" t="s">
        <v>36</v>
      </c>
    </row>
    <row r="2533" spans="1:17" x14ac:dyDescent="0.35">
      <c r="A2533" t="s">
        <v>2585</v>
      </c>
      <c r="B2533" t="s">
        <v>23</v>
      </c>
      <c r="C2533">
        <v>53</v>
      </c>
      <c r="D2533" t="s">
        <v>55</v>
      </c>
      <c r="E2533" t="s">
        <v>56</v>
      </c>
      <c r="F2533" t="s">
        <v>36</v>
      </c>
      <c r="G2533">
        <v>2.5</v>
      </c>
      <c r="H2533">
        <v>2.2000000000000002</v>
      </c>
      <c r="I2533" t="str" cm="1">
        <f t="array" ref="I2533">_xlfn.IFS(G2533&lt;3, "0–2 Years", G2533&lt;6, "3–5 Years", G2533&lt;9, "6–8 Years", G2533&lt;12, "9-11 Years", G2533&gt;=12, "12-14 Years")</f>
        <v>0–2 Years</v>
      </c>
      <c r="J2533">
        <v>3</v>
      </c>
      <c r="K2533" t="s">
        <v>20</v>
      </c>
      <c r="L2533">
        <v>91100</v>
      </c>
      <c r="M2533">
        <v>18500</v>
      </c>
      <c r="N2533">
        <v>109600</v>
      </c>
      <c r="O2533" t="s">
        <v>30</v>
      </c>
      <c r="P2533" s="3">
        <v>45108</v>
      </c>
      <c r="Q2533" t="s">
        <v>36</v>
      </c>
    </row>
    <row r="2534" spans="1:17" x14ac:dyDescent="0.35">
      <c r="A2534" t="s">
        <v>2586</v>
      </c>
      <c r="B2534" t="s">
        <v>23</v>
      </c>
      <c r="C2534">
        <v>33</v>
      </c>
      <c r="D2534" t="s">
        <v>34</v>
      </c>
      <c r="E2534" t="s">
        <v>47</v>
      </c>
      <c r="F2534" t="s">
        <v>19</v>
      </c>
      <c r="G2534">
        <v>4.7</v>
      </c>
      <c r="H2534">
        <v>4.7</v>
      </c>
      <c r="I2534" t="str" cm="1">
        <f t="array" ref="I2534">_xlfn.IFS(G2534&lt;3, "0–2 Years", G2534&lt;6, "3–5 Years", G2534&lt;9, "6–8 Years", G2534&lt;12, "9-11 Years", G2534&gt;=12, "12-14 Years")</f>
        <v>3–5 Years</v>
      </c>
      <c r="J2534">
        <v>3</v>
      </c>
      <c r="K2534" t="s">
        <v>20</v>
      </c>
      <c r="L2534">
        <v>80400</v>
      </c>
      <c r="M2534">
        <v>7200</v>
      </c>
      <c r="N2534">
        <v>87600</v>
      </c>
      <c r="O2534" t="s">
        <v>30</v>
      </c>
      <c r="P2534" s="3">
        <v>44312</v>
      </c>
      <c r="Q2534" t="s">
        <v>19</v>
      </c>
    </row>
    <row r="2535" spans="1:17" x14ac:dyDescent="0.35">
      <c r="A2535" t="s">
        <v>2587</v>
      </c>
      <c r="B2535" t="s">
        <v>23</v>
      </c>
      <c r="C2535">
        <v>44</v>
      </c>
      <c r="D2535" t="s">
        <v>41</v>
      </c>
      <c r="E2535" t="s">
        <v>73</v>
      </c>
      <c r="F2535" t="s">
        <v>19</v>
      </c>
      <c r="G2535">
        <v>11.8</v>
      </c>
      <c r="H2535">
        <v>8.5</v>
      </c>
      <c r="I2535" t="str" cm="1">
        <f t="array" ref="I2535">_xlfn.IFS(G2535&lt;3, "0–2 Years", G2535&lt;6, "3–5 Years", G2535&lt;9, "6–8 Years", G2535&lt;12, "9-11 Years", G2535&gt;=12, "12-14 Years")</f>
        <v>9-11 Years</v>
      </c>
      <c r="J2535">
        <v>4</v>
      </c>
      <c r="K2535" t="s">
        <v>20</v>
      </c>
      <c r="L2535">
        <v>112800</v>
      </c>
      <c r="M2535">
        <v>8500</v>
      </c>
      <c r="N2535">
        <v>121300</v>
      </c>
      <c r="O2535" t="s">
        <v>57</v>
      </c>
      <c r="P2535" s="3">
        <v>41723</v>
      </c>
      <c r="Q2535" t="s">
        <v>19</v>
      </c>
    </row>
    <row r="2536" spans="1:17" x14ac:dyDescent="0.35">
      <c r="A2536" t="s">
        <v>2588</v>
      </c>
      <c r="B2536" t="s">
        <v>16</v>
      </c>
      <c r="C2536">
        <v>41</v>
      </c>
      <c r="D2536" t="s">
        <v>38</v>
      </c>
      <c r="E2536" t="s">
        <v>39</v>
      </c>
      <c r="F2536" t="s">
        <v>28</v>
      </c>
      <c r="G2536">
        <v>11.1</v>
      </c>
      <c r="H2536">
        <v>7.1</v>
      </c>
      <c r="I2536" t="str" cm="1">
        <f t="array" ref="I2536">_xlfn.IFS(G2536&lt;3, "0–2 Years", G2536&lt;6, "3–5 Years", G2536&lt;9, "6–8 Years", G2536&lt;12, "9-11 Years", G2536&gt;=12, "12-14 Years")</f>
        <v>9-11 Years</v>
      </c>
      <c r="J2536">
        <v>3</v>
      </c>
      <c r="K2536" t="s">
        <v>20</v>
      </c>
      <c r="L2536">
        <v>88800</v>
      </c>
      <c r="M2536">
        <v>7900</v>
      </c>
      <c r="N2536">
        <v>96700</v>
      </c>
      <c r="O2536" t="s">
        <v>30</v>
      </c>
      <c r="P2536" s="3">
        <v>41984</v>
      </c>
      <c r="Q2536" t="s">
        <v>28</v>
      </c>
    </row>
    <row r="2537" spans="1:17" x14ac:dyDescent="0.35">
      <c r="A2537" t="s">
        <v>2589</v>
      </c>
      <c r="B2537" t="s">
        <v>23</v>
      </c>
      <c r="C2537" s="7">
        <v>39</v>
      </c>
      <c r="D2537" t="s">
        <v>17</v>
      </c>
      <c r="E2537" t="s">
        <v>18</v>
      </c>
      <c r="F2537" t="s">
        <v>28</v>
      </c>
      <c r="G2537" s="9">
        <v>12.8</v>
      </c>
      <c r="H2537" s="7">
        <v>9</v>
      </c>
      <c r="I2537" t="str" cm="1">
        <f t="array" ref="I2537">_xlfn.IFS(G2537&lt;3, "0–2 Years", G2537&lt;6, "3–5 Years", G2537&lt;9, "6–8 Years", G2537&lt;12, "9-11 Years", G2537&gt;=12, "12-14 Years")</f>
        <v>12-14 Years</v>
      </c>
      <c r="J2537" s="7">
        <v>2</v>
      </c>
      <c r="K2537" t="s">
        <v>20</v>
      </c>
      <c r="L2537" s="7">
        <v>100300</v>
      </c>
      <c r="M2537" s="7">
        <v>7100</v>
      </c>
      <c r="N2537" s="7">
        <v>107400</v>
      </c>
      <c r="O2537" t="s">
        <v>57</v>
      </c>
      <c r="P2537" s="3">
        <v>41333</v>
      </c>
      <c r="Q2537" t="s">
        <v>28</v>
      </c>
    </row>
    <row r="2538" spans="1:17" x14ac:dyDescent="0.35">
      <c r="A2538" t="s">
        <v>2590</v>
      </c>
      <c r="B2538" t="s">
        <v>23</v>
      </c>
      <c r="C2538">
        <v>33</v>
      </c>
      <c r="D2538" t="s">
        <v>17</v>
      </c>
      <c r="E2538" t="s">
        <v>27</v>
      </c>
      <c r="F2538" t="s">
        <v>36</v>
      </c>
      <c r="G2538">
        <v>10.3</v>
      </c>
      <c r="H2538">
        <v>6.3</v>
      </c>
      <c r="I2538" t="str" cm="1">
        <f t="array" ref="I2538">_xlfn.IFS(G2538&lt;3, "0–2 Years", G2538&lt;6, "3–5 Years", G2538&lt;9, "6–8 Years", G2538&lt;12, "9-11 Years", G2538&gt;=12, "12-14 Years")</f>
        <v>9-11 Years</v>
      </c>
      <c r="J2538">
        <v>2</v>
      </c>
      <c r="K2538" t="s">
        <v>69</v>
      </c>
      <c r="L2538">
        <v>66000</v>
      </c>
      <c r="M2538">
        <v>7000</v>
      </c>
      <c r="N2538">
        <v>73000</v>
      </c>
      <c r="O2538" t="s">
        <v>21</v>
      </c>
      <c r="P2538" s="3">
        <v>42267</v>
      </c>
      <c r="Q2538" t="s">
        <v>36</v>
      </c>
    </row>
    <row r="2539" spans="1:17" x14ac:dyDescent="0.35">
      <c r="A2539" t="s">
        <v>2591</v>
      </c>
      <c r="B2539" t="s">
        <v>16</v>
      </c>
      <c r="C2539">
        <v>34</v>
      </c>
      <c r="D2539" t="s">
        <v>17</v>
      </c>
      <c r="E2539" t="s">
        <v>32</v>
      </c>
      <c r="F2539" t="s">
        <v>62</v>
      </c>
      <c r="G2539">
        <v>7.5</v>
      </c>
      <c r="H2539">
        <v>6.3</v>
      </c>
      <c r="I2539" t="str" cm="1">
        <f t="array" ref="I2539">_xlfn.IFS(G2539&lt;3, "0–2 Years", G2539&lt;6, "3–5 Years", G2539&lt;9, "6–8 Years", G2539&lt;12, "9-11 Years", G2539&gt;=12, "12-14 Years")</f>
        <v>6–8 Years</v>
      </c>
      <c r="J2539">
        <v>3</v>
      </c>
      <c r="K2539" t="s">
        <v>24</v>
      </c>
      <c r="L2539">
        <v>46300</v>
      </c>
      <c r="M2539">
        <v>3000</v>
      </c>
      <c r="N2539">
        <v>49300</v>
      </c>
      <c r="O2539" t="s">
        <v>65</v>
      </c>
      <c r="P2539" s="3">
        <v>43297</v>
      </c>
      <c r="Q2539" t="s">
        <v>62</v>
      </c>
    </row>
    <row r="2540" spans="1:17" x14ac:dyDescent="0.35">
      <c r="A2540" t="s">
        <v>2592</v>
      </c>
      <c r="B2540" t="s">
        <v>16</v>
      </c>
      <c r="C2540">
        <v>43</v>
      </c>
      <c r="D2540" t="s">
        <v>41</v>
      </c>
      <c r="E2540" t="s">
        <v>73</v>
      </c>
      <c r="F2540" t="s">
        <v>28</v>
      </c>
      <c r="G2540">
        <v>6.5</v>
      </c>
      <c r="H2540">
        <v>4.5</v>
      </c>
      <c r="I2540" t="str" cm="1">
        <f t="array" ref="I2540">_xlfn.IFS(G2540&lt;3, "0–2 Years", G2540&lt;6, "3–5 Years", G2540&lt;9, "6–8 Years", G2540&lt;12, "9-11 Years", G2540&gt;=12, "12-14 Years")</f>
        <v>6–8 Years</v>
      </c>
      <c r="J2540">
        <v>5</v>
      </c>
      <c r="K2540" t="s">
        <v>20</v>
      </c>
      <c r="L2540">
        <v>110800</v>
      </c>
      <c r="M2540">
        <v>7600</v>
      </c>
      <c r="N2540">
        <v>118400</v>
      </c>
      <c r="O2540" t="s">
        <v>57</v>
      </c>
      <c r="P2540" s="3">
        <v>43664</v>
      </c>
      <c r="Q2540" t="s">
        <v>28</v>
      </c>
    </row>
    <row r="2541" spans="1:17" x14ac:dyDescent="0.35">
      <c r="A2541" t="s">
        <v>2593</v>
      </c>
      <c r="B2541" t="s">
        <v>16</v>
      </c>
      <c r="C2541">
        <v>35</v>
      </c>
      <c r="D2541" t="s">
        <v>44</v>
      </c>
      <c r="E2541" t="s">
        <v>76</v>
      </c>
      <c r="F2541" t="s">
        <v>62</v>
      </c>
      <c r="G2541">
        <v>3.5</v>
      </c>
      <c r="H2541">
        <v>3.2</v>
      </c>
      <c r="I2541" t="str" cm="1">
        <f t="array" ref="I2541">_xlfn.IFS(G2541&lt;3, "0–2 Years", G2541&lt;6, "3–5 Years", G2541&lt;9, "6–8 Years", G2541&lt;12, "9-11 Years", G2541&gt;=12, "12-14 Years")</f>
        <v>3–5 Years</v>
      </c>
      <c r="J2541">
        <v>4</v>
      </c>
      <c r="K2541" t="s">
        <v>20</v>
      </c>
      <c r="L2541">
        <v>104300</v>
      </c>
      <c r="M2541">
        <v>12600</v>
      </c>
      <c r="N2541">
        <v>116900</v>
      </c>
      <c r="O2541" t="s">
        <v>57</v>
      </c>
      <c r="P2541" s="3">
        <v>44757</v>
      </c>
      <c r="Q2541" t="s">
        <v>62</v>
      </c>
    </row>
    <row r="2542" spans="1:17" x14ac:dyDescent="0.35">
      <c r="A2542" t="s">
        <v>2594</v>
      </c>
      <c r="B2542" t="s">
        <v>23</v>
      </c>
      <c r="C2542" s="7">
        <v>37</v>
      </c>
      <c r="D2542" t="s">
        <v>38</v>
      </c>
      <c r="E2542" t="s">
        <v>61</v>
      </c>
      <c r="F2542" t="s">
        <v>19</v>
      </c>
      <c r="G2542" s="9">
        <v>13.6</v>
      </c>
      <c r="H2542" s="7">
        <v>8.1999999999999993</v>
      </c>
      <c r="I2542" t="str" cm="1">
        <f t="array" ref="I2542">_xlfn.IFS(G2542&lt;3, "0–2 Years", G2542&lt;6, "3–5 Years", G2542&lt;9, "6–8 Years", G2542&lt;12, "9-11 Years", G2542&gt;=12, "12-14 Years")</f>
        <v>12-14 Years</v>
      </c>
      <c r="J2542" s="7">
        <v>4</v>
      </c>
      <c r="K2542" t="s">
        <v>69</v>
      </c>
      <c r="L2542" s="7">
        <v>89600</v>
      </c>
      <c r="M2542" s="7">
        <v>5200</v>
      </c>
      <c r="N2542" s="7">
        <v>94800</v>
      </c>
      <c r="O2542" t="s">
        <v>30</v>
      </c>
      <c r="P2542" s="3">
        <v>41058</v>
      </c>
      <c r="Q2542" t="s">
        <v>19</v>
      </c>
    </row>
    <row r="2543" spans="1:17" x14ac:dyDescent="0.35">
      <c r="A2543" t="s">
        <v>2595</v>
      </c>
      <c r="B2543" t="s">
        <v>23</v>
      </c>
      <c r="C2543">
        <v>34</v>
      </c>
      <c r="D2543" t="s">
        <v>44</v>
      </c>
      <c r="E2543" t="s">
        <v>45</v>
      </c>
      <c r="F2543" t="s">
        <v>28</v>
      </c>
      <c r="G2543">
        <v>11.2</v>
      </c>
      <c r="H2543">
        <v>9.1999999999999993</v>
      </c>
      <c r="I2543" t="str" cm="1">
        <f t="array" ref="I2543">_xlfn.IFS(G2543&lt;3, "0–2 Years", G2543&lt;6, "3–5 Years", G2543&lt;9, "6–8 Years", G2543&lt;12, "9-11 Years", G2543&gt;=12, "12-14 Years")</f>
        <v>9-11 Years</v>
      </c>
      <c r="J2543">
        <v>4</v>
      </c>
      <c r="K2543" t="s">
        <v>20</v>
      </c>
      <c r="L2543">
        <v>77400</v>
      </c>
      <c r="M2543">
        <v>5100</v>
      </c>
      <c r="N2543">
        <v>82500</v>
      </c>
      <c r="O2543" t="s">
        <v>21</v>
      </c>
      <c r="P2543" s="3">
        <v>41917</v>
      </c>
      <c r="Q2543" t="s">
        <v>28</v>
      </c>
    </row>
    <row r="2544" spans="1:17" x14ac:dyDescent="0.35">
      <c r="A2544" t="s">
        <v>2596</v>
      </c>
      <c r="B2544" t="s">
        <v>16</v>
      </c>
      <c r="C2544">
        <v>26</v>
      </c>
      <c r="D2544" t="s">
        <v>38</v>
      </c>
      <c r="E2544" t="s">
        <v>39</v>
      </c>
      <c r="F2544" t="s">
        <v>28</v>
      </c>
      <c r="G2544">
        <v>5.2</v>
      </c>
      <c r="H2544">
        <v>2.2999999999999998</v>
      </c>
      <c r="I2544" t="str" cm="1">
        <f t="array" ref="I2544">_xlfn.IFS(G2544&lt;3, "0–2 Years", G2544&lt;6, "3–5 Years", G2544&lt;9, "6–8 Years", G2544&lt;12, "9-11 Years", G2544&gt;=12, "12-14 Years")</f>
        <v>3–5 Years</v>
      </c>
      <c r="J2544">
        <v>3</v>
      </c>
      <c r="K2544" t="s">
        <v>20</v>
      </c>
      <c r="L2544">
        <v>69800</v>
      </c>
      <c r="M2544">
        <v>4700</v>
      </c>
      <c r="N2544">
        <v>74500</v>
      </c>
      <c r="O2544" t="s">
        <v>21</v>
      </c>
      <c r="P2544" s="3">
        <v>44114</v>
      </c>
      <c r="Q2544" t="s">
        <v>28</v>
      </c>
    </row>
    <row r="2545" spans="1:17" x14ac:dyDescent="0.35">
      <c r="A2545" t="s">
        <v>2597</v>
      </c>
      <c r="B2545" t="s">
        <v>23</v>
      </c>
      <c r="C2545">
        <v>37</v>
      </c>
      <c r="D2545" t="s">
        <v>17</v>
      </c>
      <c r="E2545" t="s">
        <v>27</v>
      </c>
      <c r="F2545" t="s">
        <v>36</v>
      </c>
      <c r="G2545">
        <v>10.199999999999999</v>
      </c>
      <c r="H2545">
        <v>6.1</v>
      </c>
      <c r="I2545" t="str" cm="1">
        <f t="array" ref="I2545">_xlfn.IFS(G2545&lt;3, "0–2 Years", G2545&lt;6, "3–5 Years", G2545&lt;9, "6–8 Years", G2545&lt;12, "9-11 Years", G2545&gt;=12, "12-14 Years")</f>
        <v>9-11 Years</v>
      </c>
      <c r="J2545">
        <v>3</v>
      </c>
      <c r="K2545" t="s">
        <v>20</v>
      </c>
      <c r="L2545">
        <v>96000</v>
      </c>
      <c r="M2545">
        <v>8600</v>
      </c>
      <c r="N2545">
        <v>104600</v>
      </c>
      <c r="O2545" t="s">
        <v>30</v>
      </c>
      <c r="P2545" s="3">
        <v>42299</v>
      </c>
      <c r="Q2545" t="s">
        <v>36</v>
      </c>
    </row>
    <row r="2546" spans="1:17" x14ac:dyDescent="0.35">
      <c r="A2546" t="s">
        <v>2598</v>
      </c>
      <c r="B2546" t="s">
        <v>23</v>
      </c>
      <c r="C2546">
        <v>43</v>
      </c>
      <c r="D2546" t="s">
        <v>17</v>
      </c>
      <c r="E2546" t="s">
        <v>32</v>
      </c>
      <c r="F2546" t="s">
        <v>19</v>
      </c>
      <c r="G2546">
        <v>8.6</v>
      </c>
      <c r="H2546">
        <v>6.1</v>
      </c>
      <c r="I2546" t="str" cm="1">
        <f t="array" ref="I2546">_xlfn.IFS(G2546&lt;3, "0–2 Years", G2546&lt;6, "3–5 Years", G2546&lt;9, "6–8 Years", G2546&lt;12, "9-11 Years", G2546&gt;=12, "12-14 Years")</f>
        <v>6–8 Years</v>
      </c>
      <c r="J2546">
        <v>2</v>
      </c>
      <c r="K2546" t="s">
        <v>20</v>
      </c>
      <c r="L2546">
        <v>63500</v>
      </c>
      <c r="M2546">
        <v>8000</v>
      </c>
      <c r="N2546">
        <v>71500</v>
      </c>
      <c r="O2546" t="s">
        <v>25</v>
      </c>
      <c r="P2546" s="3">
        <v>42864</v>
      </c>
      <c r="Q2546" t="s">
        <v>19</v>
      </c>
    </row>
    <row r="2547" spans="1:17" x14ac:dyDescent="0.35">
      <c r="A2547" t="s">
        <v>2599</v>
      </c>
      <c r="B2547" t="s">
        <v>23</v>
      </c>
      <c r="C2547">
        <v>26</v>
      </c>
      <c r="D2547" t="s">
        <v>34</v>
      </c>
      <c r="E2547" t="s">
        <v>47</v>
      </c>
      <c r="F2547" t="s">
        <v>28</v>
      </c>
      <c r="G2547">
        <v>7</v>
      </c>
      <c r="H2547">
        <v>3.4</v>
      </c>
      <c r="I2547" t="str" cm="1">
        <f t="array" ref="I2547">_xlfn.IFS(G2547&lt;3, "0–2 Years", G2547&lt;6, "3–5 Years", G2547&lt;9, "6–8 Years", G2547&lt;12, "9-11 Years", G2547&gt;=12, "12-14 Years")</f>
        <v>6–8 Years</v>
      </c>
      <c r="J2547">
        <v>4</v>
      </c>
      <c r="K2547" t="s">
        <v>20</v>
      </c>
      <c r="L2547">
        <v>72200</v>
      </c>
      <c r="M2547">
        <v>6200</v>
      </c>
      <c r="N2547">
        <v>78400</v>
      </c>
      <c r="O2547" t="s">
        <v>21</v>
      </c>
      <c r="P2547" s="3">
        <v>43462</v>
      </c>
      <c r="Q2547" t="s">
        <v>28</v>
      </c>
    </row>
    <row r="2548" spans="1:17" x14ac:dyDescent="0.35">
      <c r="A2548" t="s">
        <v>2600</v>
      </c>
      <c r="B2548" t="s">
        <v>16</v>
      </c>
      <c r="C2548">
        <v>46</v>
      </c>
      <c r="D2548" t="s">
        <v>44</v>
      </c>
      <c r="E2548" t="s">
        <v>45</v>
      </c>
      <c r="F2548" t="s">
        <v>19</v>
      </c>
      <c r="G2548">
        <v>11.6</v>
      </c>
      <c r="H2548">
        <v>8.5</v>
      </c>
      <c r="I2548" t="str" cm="1">
        <f t="array" ref="I2548">_xlfn.IFS(G2548&lt;3, "0–2 Years", G2548&lt;6, "3–5 Years", G2548&lt;9, "6–8 Years", G2548&lt;12, "9-11 Years", G2548&gt;=12, "12-14 Years")</f>
        <v>9-11 Years</v>
      </c>
      <c r="J2548">
        <v>4</v>
      </c>
      <c r="K2548" t="s">
        <v>20</v>
      </c>
      <c r="L2548">
        <v>91100</v>
      </c>
      <c r="M2548">
        <v>9700</v>
      </c>
      <c r="N2548">
        <v>100800</v>
      </c>
      <c r="O2548" t="s">
        <v>30</v>
      </c>
      <c r="P2548" s="3">
        <v>41779</v>
      </c>
      <c r="Q2548" t="s">
        <v>19</v>
      </c>
    </row>
    <row r="2549" spans="1:17" x14ac:dyDescent="0.35">
      <c r="A2549" t="s">
        <v>2601</v>
      </c>
      <c r="B2549" t="s">
        <v>16</v>
      </c>
      <c r="C2549">
        <v>36</v>
      </c>
      <c r="D2549" t="s">
        <v>41</v>
      </c>
      <c r="E2549" t="s">
        <v>67</v>
      </c>
      <c r="F2549" t="s">
        <v>28</v>
      </c>
      <c r="G2549">
        <v>4.0999999999999996</v>
      </c>
      <c r="H2549">
        <v>2.2000000000000002</v>
      </c>
      <c r="I2549" t="str" cm="1">
        <f t="array" ref="I2549">_xlfn.IFS(G2549&lt;3, "0–2 Years", G2549&lt;6, "3–5 Years", G2549&lt;9, "6–8 Years", G2549&lt;12, "9-11 Years", G2549&gt;=12, "12-14 Years")</f>
        <v>3–5 Years</v>
      </c>
      <c r="J2549">
        <v>2</v>
      </c>
      <c r="K2549" t="s">
        <v>20</v>
      </c>
      <c r="L2549">
        <v>62300</v>
      </c>
      <c r="M2549">
        <v>2600</v>
      </c>
      <c r="N2549">
        <v>64900</v>
      </c>
      <c r="O2549" t="s">
        <v>25</v>
      </c>
      <c r="P2549" s="3">
        <v>44516</v>
      </c>
      <c r="Q2549" t="s">
        <v>28</v>
      </c>
    </row>
    <row r="2550" spans="1:17" x14ac:dyDescent="0.35">
      <c r="A2550" t="s">
        <v>2602</v>
      </c>
      <c r="B2550" t="s">
        <v>23</v>
      </c>
      <c r="C2550">
        <v>37</v>
      </c>
      <c r="D2550" t="s">
        <v>44</v>
      </c>
      <c r="E2550" t="s">
        <v>81</v>
      </c>
      <c r="F2550" t="s">
        <v>62</v>
      </c>
      <c r="G2550">
        <v>8.6</v>
      </c>
      <c r="H2550">
        <v>5.5</v>
      </c>
      <c r="I2550" t="str" cm="1">
        <f t="array" ref="I2550">_xlfn.IFS(G2550&lt;3, "0–2 Years", G2550&lt;6, "3–5 Years", G2550&lt;9, "6–8 Years", G2550&lt;12, "9-11 Years", G2550&gt;=12, "12-14 Years")</f>
        <v>6–8 Years</v>
      </c>
      <c r="J2550">
        <v>4</v>
      </c>
      <c r="K2550" t="s">
        <v>20</v>
      </c>
      <c r="L2550">
        <v>112100</v>
      </c>
      <c r="M2550">
        <v>9700</v>
      </c>
      <c r="N2550">
        <v>121800</v>
      </c>
      <c r="O2550" t="s">
        <v>57</v>
      </c>
      <c r="P2550" s="3">
        <v>42875</v>
      </c>
      <c r="Q2550" t="s">
        <v>62</v>
      </c>
    </row>
    <row r="2551" spans="1:17" x14ac:dyDescent="0.35">
      <c r="A2551" t="s">
        <v>2603</v>
      </c>
      <c r="B2551" t="s">
        <v>16</v>
      </c>
      <c r="C2551">
        <v>28</v>
      </c>
      <c r="D2551" t="s">
        <v>41</v>
      </c>
      <c r="E2551" t="s">
        <v>73</v>
      </c>
      <c r="F2551" t="s">
        <v>28</v>
      </c>
      <c r="G2551">
        <v>2</v>
      </c>
      <c r="H2551">
        <v>0.8</v>
      </c>
      <c r="I2551" t="str" cm="1">
        <f t="array" ref="I2551">_xlfn.IFS(G2551&lt;3, "0–2 Years", G2551&lt;6, "3–5 Years", G2551&lt;9, "6–8 Years", G2551&lt;12, "9-11 Years", G2551&gt;=12, "12-14 Years")</f>
        <v>0–2 Years</v>
      </c>
      <c r="J2551">
        <v>4</v>
      </c>
      <c r="K2551" t="s">
        <v>20</v>
      </c>
      <c r="L2551">
        <v>102400</v>
      </c>
      <c r="M2551">
        <v>5900</v>
      </c>
      <c r="N2551">
        <v>108300</v>
      </c>
      <c r="O2551" t="s">
        <v>57</v>
      </c>
      <c r="P2551" s="3">
        <v>45304</v>
      </c>
      <c r="Q2551" t="s">
        <v>28</v>
      </c>
    </row>
    <row r="2552" spans="1:17" x14ac:dyDescent="0.35">
      <c r="A2552" t="s">
        <v>2604</v>
      </c>
      <c r="B2552" t="s">
        <v>16</v>
      </c>
      <c r="C2552">
        <v>29</v>
      </c>
      <c r="D2552" t="s">
        <v>55</v>
      </c>
      <c r="E2552" t="s">
        <v>92</v>
      </c>
      <c r="F2552" t="s">
        <v>28</v>
      </c>
      <c r="G2552">
        <v>9.3000000000000007</v>
      </c>
      <c r="H2552">
        <v>8.4</v>
      </c>
      <c r="I2552" t="str" cm="1">
        <f t="array" ref="I2552">_xlfn.IFS(G2552&lt;3, "0–2 Years", G2552&lt;6, "3–5 Years", G2552&lt;9, "6–8 Years", G2552&lt;12, "9-11 Years", G2552&gt;=12, "12-14 Years")</f>
        <v>9-11 Years</v>
      </c>
      <c r="J2552">
        <v>3</v>
      </c>
      <c r="K2552" t="s">
        <v>24</v>
      </c>
      <c r="L2552">
        <v>70400</v>
      </c>
      <c r="M2552">
        <v>9200</v>
      </c>
      <c r="N2552">
        <v>79600</v>
      </c>
      <c r="O2552" t="s">
        <v>21</v>
      </c>
      <c r="P2552" s="3">
        <v>42612</v>
      </c>
      <c r="Q2552" t="s">
        <v>28</v>
      </c>
    </row>
    <row r="2553" spans="1:17" x14ac:dyDescent="0.35">
      <c r="A2553" t="s">
        <v>2605</v>
      </c>
      <c r="B2553" t="s">
        <v>16</v>
      </c>
      <c r="C2553" s="7">
        <v>29</v>
      </c>
      <c r="D2553" t="s">
        <v>34</v>
      </c>
      <c r="E2553" t="s">
        <v>59</v>
      </c>
      <c r="F2553" t="s">
        <v>36</v>
      </c>
      <c r="G2553" s="9">
        <v>13.6</v>
      </c>
      <c r="H2553" s="7">
        <v>9.3000000000000007</v>
      </c>
      <c r="I2553" t="str" cm="1">
        <f t="array" ref="I2553">_xlfn.IFS(G2553&lt;3, "0–2 Years", G2553&lt;6, "3–5 Years", G2553&lt;9, "6–8 Years", G2553&lt;12, "9-11 Years", G2553&gt;=12, "12-14 Years")</f>
        <v>12-14 Years</v>
      </c>
      <c r="J2553" s="7">
        <v>3</v>
      </c>
      <c r="K2553" t="s">
        <v>20</v>
      </c>
      <c r="L2553" s="7">
        <v>118100</v>
      </c>
      <c r="M2553" s="7">
        <v>13200</v>
      </c>
      <c r="N2553" s="7">
        <v>131300</v>
      </c>
      <c r="O2553" t="s">
        <v>57</v>
      </c>
      <c r="P2553" s="3">
        <v>41051</v>
      </c>
      <c r="Q2553" t="s">
        <v>36</v>
      </c>
    </row>
    <row r="2554" spans="1:17" x14ac:dyDescent="0.35">
      <c r="A2554" t="s">
        <v>2606</v>
      </c>
      <c r="B2554" t="s">
        <v>23</v>
      </c>
      <c r="C2554">
        <v>32</v>
      </c>
      <c r="D2554" t="s">
        <v>44</v>
      </c>
      <c r="E2554" t="s">
        <v>45</v>
      </c>
      <c r="F2554" t="s">
        <v>28</v>
      </c>
      <c r="G2554">
        <v>5.5</v>
      </c>
      <c r="H2554">
        <v>1.8</v>
      </c>
      <c r="I2554" t="str" cm="1">
        <f t="array" ref="I2554">_xlfn.IFS(G2554&lt;3, "0–2 Years", G2554&lt;6, "3–5 Years", G2554&lt;9, "6–8 Years", G2554&lt;12, "9-11 Years", G2554&gt;=12, "12-14 Years")</f>
        <v>3–5 Years</v>
      </c>
      <c r="J2554">
        <v>4</v>
      </c>
      <c r="K2554" t="s">
        <v>20</v>
      </c>
      <c r="L2554">
        <v>58200</v>
      </c>
      <c r="M2554">
        <v>7600</v>
      </c>
      <c r="N2554">
        <v>65800</v>
      </c>
      <c r="O2554" t="s">
        <v>25</v>
      </c>
      <c r="P2554" s="3">
        <v>44028</v>
      </c>
      <c r="Q2554" t="s">
        <v>28</v>
      </c>
    </row>
    <row r="2555" spans="1:17" x14ac:dyDescent="0.35">
      <c r="A2555" t="s">
        <v>2607</v>
      </c>
      <c r="B2555" t="s">
        <v>16</v>
      </c>
      <c r="C2555">
        <v>38</v>
      </c>
      <c r="D2555" t="s">
        <v>38</v>
      </c>
      <c r="E2555" t="s">
        <v>112</v>
      </c>
      <c r="F2555" t="s">
        <v>28</v>
      </c>
      <c r="G2555">
        <v>5.5</v>
      </c>
      <c r="H2555">
        <v>4.7</v>
      </c>
      <c r="I2555" t="str" cm="1">
        <f t="array" ref="I2555">_xlfn.IFS(G2555&lt;3, "0–2 Years", G2555&lt;6, "3–5 Years", G2555&lt;9, "6–8 Years", G2555&lt;12, "9-11 Years", G2555&gt;=12, "12-14 Years")</f>
        <v>3–5 Years</v>
      </c>
      <c r="J2555">
        <v>3</v>
      </c>
      <c r="K2555" t="s">
        <v>20</v>
      </c>
      <c r="L2555">
        <v>70300</v>
      </c>
      <c r="M2555">
        <v>4600</v>
      </c>
      <c r="N2555">
        <v>74900</v>
      </c>
      <c r="O2555" t="s">
        <v>21</v>
      </c>
      <c r="P2555" s="3">
        <v>44015</v>
      </c>
      <c r="Q2555" t="s">
        <v>28</v>
      </c>
    </row>
    <row r="2556" spans="1:17" x14ac:dyDescent="0.35">
      <c r="A2556" t="s">
        <v>2608</v>
      </c>
      <c r="B2556" t="s">
        <v>23</v>
      </c>
      <c r="C2556" s="7">
        <v>29</v>
      </c>
      <c r="D2556" t="s">
        <v>17</v>
      </c>
      <c r="E2556" t="s">
        <v>27</v>
      </c>
      <c r="F2556" t="s">
        <v>28</v>
      </c>
      <c r="G2556" s="9">
        <v>13.8</v>
      </c>
      <c r="H2556" s="7">
        <v>9.5</v>
      </c>
      <c r="I2556" t="str" cm="1">
        <f t="array" ref="I2556">_xlfn.IFS(G2556&lt;3, "0–2 Years", G2556&lt;6, "3–5 Years", G2556&lt;9, "6–8 Years", G2556&lt;12, "9-11 Years", G2556&gt;=12, "12-14 Years")</f>
        <v>12-14 Years</v>
      </c>
      <c r="J2556" s="7">
        <v>4</v>
      </c>
      <c r="K2556" t="s">
        <v>20</v>
      </c>
      <c r="L2556" s="7">
        <v>87000</v>
      </c>
      <c r="M2556" s="7">
        <v>11400</v>
      </c>
      <c r="N2556" s="7">
        <v>98400</v>
      </c>
      <c r="O2556" t="s">
        <v>30</v>
      </c>
      <c r="P2556" s="3">
        <v>40983</v>
      </c>
      <c r="Q2556" t="s">
        <v>28</v>
      </c>
    </row>
    <row r="2557" spans="1:17" x14ac:dyDescent="0.35">
      <c r="A2557" t="s">
        <v>2609</v>
      </c>
      <c r="B2557" t="s">
        <v>16</v>
      </c>
      <c r="C2557">
        <v>40</v>
      </c>
      <c r="D2557" t="s">
        <v>17</v>
      </c>
      <c r="E2557" t="s">
        <v>18</v>
      </c>
      <c r="F2557" t="s">
        <v>36</v>
      </c>
      <c r="G2557">
        <v>2.9</v>
      </c>
      <c r="H2557">
        <v>2</v>
      </c>
      <c r="I2557" t="str" cm="1">
        <f t="array" ref="I2557">_xlfn.IFS(G2557&lt;3, "0–2 Years", G2557&lt;6, "3–5 Years", G2557&lt;9, "6–8 Years", G2557&lt;12, "9-11 Years", G2557&gt;=12, "12-14 Years")</f>
        <v>0–2 Years</v>
      </c>
      <c r="J2557">
        <v>3</v>
      </c>
      <c r="K2557" t="s">
        <v>24</v>
      </c>
      <c r="L2557">
        <v>59000</v>
      </c>
      <c r="M2557">
        <v>7300</v>
      </c>
      <c r="N2557">
        <v>66300</v>
      </c>
      <c r="O2557" t="s">
        <v>25</v>
      </c>
      <c r="P2557" s="3">
        <v>44971</v>
      </c>
      <c r="Q2557" t="s">
        <v>36</v>
      </c>
    </row>
    <row r="2558" spans="1:17" x14ac:dyDescent="0.35">
      <c r="A2558" t="s">
        <v>2610</v>
      </c>
      <c r="B2558" t="s">
        <v>23</v>
      </c>
      <c r="C2558" s="7">
        <v>35</v>
      </c>
      <c r="D2558" t="s">
        <v>44</v>
      </c>
      <c r="E2558" t="s">
        <v>45</v>
      </c>
      <c r="F2558" t="s">
        <v>28</v>
      </c>
      <c r="G2558" s="9">
        <v>12</v>
      </c>
      <c r="H2558" s="7">
        <v>5.4</v>
      </c>
      <c r="I2558" t="str" cm="1">
        <f t="array" ref="I2558">_xlfn.IFS(G2558&lt;3, "0–2 Years", G2558&lt;6, "3–5 Years", G2558&lt;9, "6–8 Years", G2558&lt;12, "9-11 Years", G2558&gt;=12, "12-14 Years")</f>
        <v>12-14 Years</v>
      </c>
      <c r="J2558" s="7">
        <v>3</v>
      </c>
      <c r="K2558" t="s">
        <v>24</v>
      </c>
      <c r="L2558" s="7">
        <v>50400</v>
      </c>
      <c r="M2558" s="7">
        <v>7300</v>
      </c>
      <c r="N2558" s="7">
        <v>57700</v>
      </c>
      <c r="O2558" t="s">
        <v>25</v>
      </c>
      <c r="P2558" s="3">
        <v>41636</v>
      </c>
      <c r="Q2558" t="s">
        <v>28</v>
      </c>
    </row>
    <row r="2559" spans="1:17" x14ac:dyDescent="0.35">
      <c r="A2559" t="s">
        <v>2611</v>
      </c>
      <c r="B2559" t="s">
        <v>16</v>
      </c>
      <c r="C2559">
        <v>46</v>
      </c>
      <c r="D2559" t="s">
        <v>41</v>
      </c>
      <c r="E2559" t="s">
        <v>67</v>
      </c>
      <c r="F2559" t="s">
        <v>28</v>
      </c>
      <c r="G2559">
        <v>6.2</v>
      </c>
      <c r="H2559">
        <v>3.4</v>
      </c>
      <c r="I2559" t="str" cm="1">
        <f t="array" ref="I2559">_xlfn.IFS(G2559&lt;3, "0–2 Years", G2559&lt;6, "3–5 Years", G2559&lt;9, "6–8 Years", G2559&lt;12, "9-11 Years", G2559&gt;=12, "12-14 Years")</f>
        <v>6–8 Years</v>
      </c>
      <c r="J2559">
        <v>3</v>
      </c>
      <c r="K2559" t="s">
        <v>20</v>
      </c>
      <c r="L2559">
        <v>71200</v>
      </c>
      <c r="M2559">
        <v>5700</v>
      </c>
      <c r="N2559">
        <v>76900</v>
      </c>
      <c r="O2559" t="s">
        <v>21</v>
      </c>
      <c r="P2559" s="3">
        <v>43750</v>
      </c>
      <c r="Q2559" t="s">
        <v>28</v>
      </c>
    </row>
    <row r="2560" spans="1:17" x14ac:dyDescent="0.35">
      <c r="A2560" t="s">
        <v>2612</v>
      </c>
      <c r="B2560" t="s">
        <v>16</v>
      </c>
      <c r="C2560">
        <v>37</v>
      </c>
      <c r="D2560" t="s">
        <v>55</v>
      </c>
      <c r="E2560" t="s">
        <v>56</v>
      </c>
      <c r="F2560" t="s">
        <v>28</v>
      </c>
      <c r="G2560">
        <v>9.1</v>
      </c>
      <c r="H2560">
        <v>5.6</v>
      </c>
      <c r="I2560" t="str" cm="1">
        <f t="array" ref="I2560">_xlfn.IFS(G2560&lt;3, "0–2 Years", G2560&lt;6, "3–5 Years", G2560&lt;9, "6–8 Years", G2560&lt;12, "9-11 Years", G2560&gt;=12, "12-14 Years")</f>
        <v>9-11 Years</v>
      </c>
      <c r="J2560">
        <v>4</v>
      </c>
      <c r="K2560" t="s">
        <v>20</v>
      </c>
      <c r="L2560">
        <v>105000</v>
      </c>
      <c r="M2560">
        <v>13500</v>
      </c>
      <c r="N2560">
        <v>118500</v>
      </c>
      <c r="O2560" t="s">
        <v>57</v>
      </c>
      <c r="P2560" s="3">
        <v>42711</v>
      </c>
      <c r="Q2560" t="s">
        <v>28</v>
      </c>
    </row>
    <row r="2561" spans="1:17" x14ac:dyDescent="0.35">
      <c r="A2561" t="s">
        <v>2613</v>
      </c>
      <c r="B2561" t="s">
        <v>23</v>
      </c>
      <c r="C2561">
        <v>37</v>
      </c>
      <c r="D2561" t="s">
        <v>55</v>
      </c>
      <c r="E2561" t="s">
        <v>79</v>
      </c>
      <c r="F2561" t="s">
        <v>62</v>
      </c>
      <c r="G2561">
        <v>6.5</v>
      </c>
      <c r="H2561">
        <v>3</v>
      </c>
      <c r="I2561" t="str" cm="1">
        <f t="array" ref="I2561">_xlfn.IFS(G2561&lt;3, "0–2 Years", G2561&lt;6, "3–5 Years", G2561&lt;9, "6–8 Years", G2561&lt;12, "9-11 Years", G2561&gt;=12, "12-14 Years")</f>
        <v>6–8 Years</v>
      </c>
      <c r="J2561">
        <v>4</v>
      </c>
      <c r="K2561" t="s">
        <v>20</v>
      </c>
      <c r="L2561">
        <v>79600</v>
      </c>
      <c r="M2561">
        <v>12600</v>
      </c>
      <c r="N2561">
        <v>92200</v>
      </c>
      <c r="O2561" t="s">
        <v>21</v>
      </c>
      <c r="P2561" s="3">
        <v>43648</v>
      </c>
      <c r="Q2561" t="s">
        <v>62</v>
      </c>
    </row>
    <row r="2562" spans="1:17" x14ac:dyDescent="0.35">
      <c r="A2562" t="s">
        <v>2614</v>
      </c>
      <c r="B2562" t="s">
        <v>16</v>
      </c>
      <c r="C2562">
        <v>29</v>
      </c>
      <c r="D2562" t="s">
        <v>41</v>
      </c>
      <c r="E2562" t="s">
        <v>42</v>
      </c>
      <c r="F2562" t="s">
        <v>36</v>
      </c>
      <c r="G2562">
        <v>11.6</v>
      </c>
      <c r="H2562">
        <v>6.5</v>
      </c>
      <c r="I2562" t="str" cm="1">
        <f t="array" ref="I2562">_xlfn.IFS(G2562&lt;3, "0–2 Years", G2562&lt;6, "3–5 Years", G2562&lt;9, "6–8 Years", G2562&lt;12, "9-11 Years", G2562&gt;=12, "12-14 Years")</f>
        <v>9-11 Years</v>
      </c>
      <c r="J2562">
        <v>4</v>
      </c>
      <c r="K2562" t="s">
        <v>69</v>
      </c>
      <c r="L2562">
        <v>70500</v>
      </c>
      <c r="M2562">
        <v>2700</v>
      </c>
      <c r="N2562">
        <v>73200</v>
      </c>
      <c r="O2562" t="s">
        <v>21</v>
      </c>
      <c r="P2562" s="3">
        <v>41772</v>
      </c>
      <c r="Q2562" t="s">
        <v>36</v>
      </c>
    </row>
    <row r="2563" spans="1:17" x14ac:dyDescent="0.35">
      <c r="A2563" t="s">
        <v>2615</v>
      </c>
      <c r="B2563" t="s">
        <v>16</v>
      </c>
      <c r="C2563">
        <v>42</v>
      </c>
      <c r="D2563" t="s">
        <v>55</v>
      </c>
      <c r="E2563" t="s">
        <v>79</v>
      </c>
      <c r="F2563" t="s">
        <v>36</v>
      </c>
      <c r="G2563">
        <v>11.6</v>
      </c>
      <c r="H2563">
        <v>6.4</v>
      </c>
      <c r="I2563" t="str" cm="1">
        <f t="array" ref="I2563">_xlfn.IFS(G2563&lt;3, "0–2 Years", G2563&lt;6, "3–5 Years", G2563&lt;9, "6–8 Years", G2563&lt;12, "9-11 Years", G2563&gt;=12, "12-14 Years")</f>
        <v>9-11 Years</v>
      </c>
      <c r="J2563">
        <v>3</v>
      </c>
      <c r="K2563" t="s">
        <v>20</v>
      </c>
      <c r="L2563">
        <v>83100</v>
      </c>
      <c r="M2563">
        <v>11900</v>
      </c>
      <c r="N2563">
        <v>95000</v>
      </c>
      <c r="O2563" t="s">
        <v>30</v>
      </c>
      <c r="P2563" s="3">
        <v>41800</v>
      </c>
      <c r="Q2563" t="s">
        <v>36</v>
      </c>
    </row>
    <row r="2564" spans="1:17" x14ac:dyDescent="0.35">
      <c r="A2564" t="s">
        <v>2616</v>
      </c>
      <c r="B2564" t="s">
        <v>23</v>
      </c>
      <c r="C2564">
        <v>36</v>
      </c>
      <c r="D2564" t="s">
        <v>41</v>
      </c>
      <c r="E2564" t="s">
        <v>67</v>
      </c>
      <c r="F2564" t="s">
        <v>28</v>
      </c>
      <c r="G2564">
        <v>10.6</v>
      </c>
      <c r="H2564">
        <v>6.8</v>
      </c>
      <c r="I2564" t="str" cm="1">
        <f t="array" ref="I2564">_xlfn.IFS(G2564&lt;3, "0–2 Years", G2564&lt;6, "3–5 Years", G2564&lt;9, "6–8 Years", G2564&lt;12, "9-11 Years", G2564&gt;=12, "12-14 Years")</f>
        <v>9-11 Years</v>
      </c>
      <c r="J2564">
        <v>4</v>
      </c>
      <c r="K2564" t="s">
        <v>20</v>
      </c>
      <c r="L2564">
        <v>84000</v>
      </c>
      <c r="M2564">
        <v>6100</v>
      </c>
      <c r="N2564">
        <v>90100</v>
      </c>
      <c r="O2564" t="s">
        <v>30</v>
      </c>
      <c r="P2564" s="3">
        <v>42154</v>
      </c>
      <c r="Q2564" t="s">
        <v>28</v>
      </c>
    </row>
    <row r="2565" spans="1:17" x14ac:dyDescent="0.35">
      <c r="A2565" t="s">
        <v>2617</v>
      </c>
      <c r="B2565" t="s">
        <v>16</v>
      </c>
      <c r="C2565">
        <v>37</v>
      </c>
      <c r="D2565" t="s">
        <v>41</v>
      </c>
      <c r="E2565" t="s">
        <v>73</v>
      </c>
      <c r="F2565" t="s">
        <v>28</v>
      </c>
      <c r="G2565">
        <v>8.4</v>
      </c>
      <c r="H2565">
        <v>5.7</v>
      </c>
      <c r="I2565" t="str" cm="1">
        <f t="array" ref="I2565">_xlfn.IFS(G2565&lt;3, "0–2 Years", G2565&lt;6, "3–5 Years", G2565&lt;9, "6–8 Years", G2565&lt;12, "9-11 Years", G2565&gt;=12, "12-14 Years")</f>
        <v>6–8 Years</v>
      </c>
      <c r="J2565">
        <v>4</v>
      </c>
      <c r="K2565" t="s">
        <v>69</v>
      </c>
      <c r="L2565">
        <v>82100</v>
      </c>
      <c r="M2565">
        <v>4300</v>
      </c>
      <c r="N2565">
        <v>86400</v>
      </c>
      <c r="O2565" t="s">
        <v>30</v>
      </c>
      <c r="P2565" s="3">
        <v>42963</v>
      </c>
      <c r="Q2565" t="s">
        <v>28</v>
      </c>
    </row>
    <row r="2566" spans="1:17" x14ac:dyDescent="0.35">
      <c r="A2566" t="s">
        <v>2618</v>
      </c>
      <c r="B2566" t="s">
        <v>23</v>
      </c>
      <c r="C2566">
        <v>42</v>
      </c>
      <c r="D2566" t="s">
        <v>44</v>
      </c>
      <c r="E2566" t="s">
        <v>51</v>
      </c>
      <c r="F2566" t="s">
        <v>19</v>
      </c>
      <c r="G2566">
        <v>9.5</v>
      </c>
      <c r="H2566">
        <v>6.8</v>
      </c>
      <c r="I2566" t="str" cm="1">
        <f t="array" ref="I2566">_xlfn.IFS(G2566&lt;3, "0–2 Years", G2566&lt;6, "3–5 Years", G2566&lt;9, "6–8 Years", G2566&lt;12, "9-11 Years", G2566&gt;=12, "12-14 Years")</f>
        <v>9-11 Years</v>
      </c>
      <c r="J2566">
        <v>3</v>
      </c>
      <c r="K2566" t="s">
        <v>24</v>
      </c>
      <c r="L2566">
        <v>54300</v>
      </c>
      <c r="M2566">
        <v>3200</v>
      </c>
      <c r="N2566">
        <v>57500</v>
      </c>
      <c r="O2566" t="s">
        <v>25</v>
      </c>
      <c r="P2566" s="3">
        <v>42560</v>
      </c>
      <c r="Q2566" t="s">
        <v>19</v>
      </c>
    </row>
    <row r="2567" spans="1:17" x14ac:dyDescent="0.35">
      <c r="A2567" t="s">
        <v>2619</v>
      </c>
      <c r="B2567" t="s">
        <v>16</v>
      </c>
      <c r="C2567">
        <v>33</v>
      </c>
      <c r="D2567" t="s">
        <v>41</v>
      </c>
      <c r="E2567" t="s">
        <v>67</v>
      </c>
      <c r="F2567" t="s">
        <v>19</v>
      </c>
      <c r="G2567">
        <v>2.6</v>
      </c>
      <c r="H2567">
        <v>1.9</v>
      </c>
      <c r="I2567" t="str" cm="1">
        <f t="array" ref="I2567">_xlfn.IFS(G2567&lt;3, "0–2 Years", G2567&lt;6, "3–5 Years", G2567&lt;9, "6–8 Years", G2567&lt;12, "9-11 Years", G2567&gt;=12, "12-14 Years")</f>
        <v>0–2 Years</v>
      </c>
      <c r="J2567">
        <v>3</v>
      </c>
      <c r="K2567" t="s">
        <v>20</v>
      </c>
      <c r="L2567">
        <v>54500</v>
      </c>
      <c r="M2567">
        <v>3900</v>
      </c>
      <c r="N2567">
        <v>58400</v>
      </c>
      <c r="O2567" t="s">
        <v>25</v>
      </c>
      <c r="P2567" s="3">
        <v>45062</v>
      </c>
      <c r="Q2567" t="s">
        <v>19</v>
      </c>
    </row>
    <row r="2568" spans="1:17" x14ac:dyDescent="0.35">
      <c r="A2568" t="s">
        <v>2620</v>
      </c>
      <c r="B2568" t="s">
        <v>23</v>
      </c>
      <c r="C2568">
        <v>28</v>
      </c>
      <c r="D2568" t="s">
        <v>44</v>
      </c>
      <c r="E2568" t="s">
        <v>45</v>
      </c>
      <c r="F2568" t="s">
        <v>28</v>
      </c>
      <c r="G2568">
        <v>4.8</v>
      </c>
      <c r="H2568">
        <v>2.5</v>
      </c>
      <c r="I2568" t="str" cm="1">
        <f t="array" ref="I2568">_xlfn.IFS(G2568&lt;3, "0–2 Years", G2568&lt;6, "3–5 Years", G2568&lt;9, "6–8 Years", G2568&lt;12, "9-11 Years", G2568&gt;=12, "12-14 Years")</f>
        <v>3–5 Years</v>
      </c>
      <c r="J2568">
        <v>4</v>
      </c>
      <c r="K2568" t="s">
        <v>20</v>
      </c>
      <c r="L2568">
        <v>72500</v>
      </c>
      <c r="M2568">
        <v>4700</v>
      </c>
      <c r="N2568">
        <v>77200</v>
      </c>
      <c r="O2568" t="s">
        <v>21</v>
      </c>
      <c r="P2568" s="3">
        <v>44259</v>
      </c>
      <c r="Q2568" t="s">
        <v>28</v>
      </c>
    </row>
    <row r="2569" spans="1:17" x14ac:dyDescent="0.35">
      <c r="A2569" t="s">
        <v>2621</v>
      </c>
      <c r="B2569" t="s">
        <v>16</v>
      </c>
      <c r="C2569">
        <v>32</v>
      </c>
      <c r="D2569" t="s">
        <v>55</v>
      </c>
      <c r="E2569" t="s">
        <v>56</v>
      </c>
      <c r="F2569" t="s">
        <v>28</v>
      </c>
      <c r="G2569">
        <v>5.9</v>
      </c>
      <c r="H2569">
        <v>4.2</v>
      </c>
      <c r="I2569" t="str" cm="1">
        <f t="array" ref="I2569">_xlfn.IFS(G2569&lt;3, "0–2 Years", G2569&lt;6, "3–5 Years", G2569&lt;9, "6–8 Years", G2569&lt;12, "9-11 Years", G2569&gt;=12, "12-14 Years")</f>
        <v>3–5 Years</v>
      </c>
      <c r="J2569">
        <v>3</v>
      </c>
      <c r="K2569" t="s">
        <v>20</v>
      </c>
      <c r="L2569">
        <v>86300</v>
      </c>
      <c r="M2569">
        <v>7700</v>
      </c>
      <c r="N2569">
        <v>94000</v>
      </c>
      <c r="O2569" t="s">
        <v>30</v>
      </c>
      <c r="P2569" s="3">
        <v>43883</v>
      </c>
      <c r="Q2569" t="s">
        <v>28</v>
      </c>
    </row>
    <row r="2570" spans="1:17" x14ac:dyDescent="0.35">
      <c r="A2570" t="s">
        <v>2622</v>
      </c>
      <c r="B2570" t="s">
        <v>16</v>
      </c>
      <c r="C2570" s="7">
        <v>23</v>
      </c>
      <c r="D2570" t="s">
        <v>44</v>
      </c>
      <c r="E2570" t="s">
        <v>45</v>
      </c>
      <c r="F2570" t="s">
        <v>28</v>
      </c>
      <c r="G2570" s="9">
        <v>12</v>
      </c>
      <c r="H2570" s="7">
        <v>8.3000000000000007</v>
      </c>
      <c r="I2570" t="str" cm="1">
        <f t="array" ref="I2570">_xlfn.IFS(G2570&lt;3, "0–2 Years", G2570&lt;6, "3–5 Years", G2570&lt;9, "6–8 Years", G2570&lt;12, "9-11 Years", G2570&gt;=12, "12-14 Years")</f>
        <v>12-14 Years</v>
      </c>
      <c r="J2570" s="7">
        <v>3</v>
      </c>
      <c r="K2570" t="s">
        <v>20</v>
      </c>
      <c r="L2570" s="7">
        <v>83000</v>
      </c>
      <c r="M2570" s="7">
        <v>8600</v>
      </c>
      <c r="N2570" s="7">
        <v>91600</v>
      </c>
      <c r="O2570" t="s">
        <v>30</v>
      </c>
      <c r="P2570" s="3">
        <v>41631</v>
      </c>
      <c r="Q2570" t="s">
        <v>28</v>
      </c>
    </row>
    <row r="2571" spans="1:17" x14ac:dyDescent="0.35">
      <c r="A2571" t="s">
        <v>2623</v>
      </c>
      <c r="B2571" t="s">
        <v>16</v>
      </c>
      <c r="C2571">
        <v>39</v>
      </c>
      <c r="D2571" t="s">
        <v>34</v>
      </c>
      <c r="E2571" t="s">
        <v>59</v>
      </c>
      <c r="F2571" t="s">
        <v>62</v>
      </c>
      <c r="G2571">
        <v>8</v>
      </c>
      <c r="H2571">
        <v>5.8</v>
      </c>
      <c r="I2571" t="str" cm="1">
        <f t="array" ref="I2571">_xlfn.IFS(G2571&lt;3, "0–2 Years", G2571&lt;6, "3–5 Years", G2571&lt;9, "6–8 Years", G2571&lt;12, "9-11 Years", G2571&gt;=12, "12-14 Years")</f>
        <v>6–8 Years</v>
      </c>
      <c r="J2571">
        <v>3</v>
      </c>
      <c r="K2571" t="s">
        <v>20</v>
      </c>
      <c r="L2571">
        <v>123800</v>
      </c>
      <c r="M2571">
        <v>9900</v>
      </c>
      <c r="N2571">
        <v>133700</v>
      </c>
      <c r="O2571" t="s">
        <v>57</v>
      </c>
      <c r="P2571" s="3">
        <v>43114</v>
      </c>
      <c r="Q2571" t="s">
        <v>62</v>
      </c>
    </row>
    <row r="2572" spans="1:17" x14ac:dyDescent="0.35">
      <c r="A2572" t="s">
        <v>2624</v>
      </c>
      <c r="B2572" t="s">
        <v>16</v>
      </c>
      <c r="C2572">
        <v>29</v>
      </c>
      <c r="D2572" t="s">
        <v>34</v>
      </c>
      <c r="E2572" t="s">
        <v>35</v>
      </c>
      <c r="F2572" t="s">
        <v>36</v>
      </c>
      <c r="G2572">
        <v>10.4</v>
      </c>
      <c r="H2572">
        <v>6.8</v>
      </c>
      <c r="I2572" t="str" cm="1">
        <f t="array" ref="I2572">_xlfn.IFS(G2572&lt;3, "0–2 Years", G2572&lt;6, "3–5 Years", G2572&lt;9, "6–8 Years", G2572&lt;12, "9-11 Years", G2572&gt;=12, "12-14 Years")</f>
        <v>9-11 Years</v>
      </c>
      <c r="J2572">
        <v>4</v>
      </c>
      <c r="K2572" t="s">
        <v>20</v>
      </c>
      <c r="L2572">
        <v>83700</v>
      </c>
      <c r="M2572">
        <v>5400</v>
      </c>
      <c r="N2572">
        <v>89100</v>
      </c>
      <c r="O2572" t="s">
        <v>30</v>
      </c>
      <c r="P2572" s="3">
        <v>42241</v>
      </c>
      <c r="Q2572" t="s">
        <v>36</v>
      </c>
    </row>
    <row r="2573" spans="1:17" x14ac:dyDescent="0.35">
      <c r="A2573" t="s">
        <v>2625</v>
      </c>
      <c r="B2573" t="s">
        <v>23</v>
      </c>
      <c r="C2573">
        <v>36</v>
      </c>
      <c r="D2573" t="s">
        <v>34</v>
      </c>
      <c r="E2573" t="s">
        <v>35</v>
      </c>
      <c r="F2573" t="s">
        <v>28</v>
      </c>
      <c r="G2573">
        <v>6</v>
      </c>
      <c r="H2573">
        <v>2.8</v>
      </c>
      <c r="I2573" t="str" cm="1">
        <f t="array" ref="I2573">_xlfn.IFS(G2573&lt;3, "0–2 Years", G2573&lt;6, "3–5 Years", G2573&lt;9, "6–8 Years", G2573&lt;12, "9-11 Years", G2573&gt;=12, "12-14 Years")</f>
        <v>6–8 Years</v>
      </c>
      <c r="J2573">
        <v>3</v>
      </c>
      <c r="K2573" t="s">
        <v>20</v>
      </c>
      <c r="L2573">
        <v>86700</v>
      </c>
      <c r="M2573">
        <v>7200</v>
      </c>
      <c r="N2573">
        <v>93900</v>
      </c>
      <c r="O2573" t="s">
        <v>30</v>
      </c>
      <c r="P2573" s="3">
        <v>43845</v>
      </c>
      <c r="Q2573" t="s">
        <v>28</v>
      </c>
    </row>
    <row r="2574" spans="1:17" x14ac:dyDescent="0.35">
      <c r="A2574" t="s">
        <v>2626</v>
      </c>
      <c r="B2574" t="s">
        <v>23</v>
      </c>
      <c r="C2574">
        <v>34</v>
      </c>
      <c r="D2574" t="s">
        <v>55</v>
      </c>
      <c r="E2574" t="s">
        <v>92</v>
      </c>
      <c r="F2574" t="s">
        <v>28</v>
      </c>
      <c r="G2574">
        <v>2.8</v>
      </c>
      <c r="H2574">
        <v>0.6</v>
      </c>
      <c r="I2574" t="str" cm="1">
        <f t="array" ref="I2574">_xlfn.IFS(G2574&lt;3, "0–2 Years", G2574&lt;6, "3–5 Years", G2574&lt;9, "6–8 Years", G2574&lt;12, "9-11 Years", G2574&gt;=12, "12-14 Years")</f>
        <v>0–2 Years</v>
      </c>
      <c r="J2574">
        <v>3</v>
      </c>
      <c r="K2574" t="s">
        <v>20</v>
      </c>
      <c r="L2574">
        <v>90600</v>
      </c>
      <c r="M2574">
        <v>7400</v>
      </c>
      <c r="N2574">
        <v>98000</v>
      </c>
      <c r="O2574" t="s">
        <v>30</v>
      </c>
      <c r="P2574" s="3">
        <v>45006</v>
      </c>
      <c r="Q2574" t="s">
        <v>28</v>
      </c>
    </row>
    <row r="2575" spans="1:17" x14ac:dyDescent="0.35">
      <c r="A2575" t="s">
        <v>2627</v>
      </c>
      <c r="B2575" t="s">
        <v>16</v>
      </c>
      <c r="C2575">
        <v>33</v>
      </c>
      <c r="D2575" t="s">
        <v>34</v>
      </c>
      <c r="E2575" t="s">
        <v>35</v>
      </c>
      <c r="F2575" t="s">
        <v>28</v>
      </c>
      <c r="G2575">
        <v>3.5</v>
      </c>
      <c r="H2575">
        <v>2</v>
      </c>
      <c r="I2575" t="str" cm="1">
        <f t="array" ref="I2575">_xlfn.IFS(G2575&lt;3, "0–2 Years", G2575&lt;6, "3–5 Years", G2575&lt;9, "6–8 Years", G2575&lt;12, "9-11 Years", G2575&gt;=12, "12-14 Years")</f>
        <v>3–5 Years</v>
      </c>
      <c r="J2575">
        <v>3</v>
      </c>
      <c r="K2575" t="s">
        <v>20</v>
      </c>
      <c r="L2575">
        <v>67500</v>
      </c>
      <c r="M2575">
        <v>6000</v>
      </c>
      <c r="N2575">
        <v>73500</v>
      </c>
      <c r="O2575" t="s">
        <v>21</v>
      </c>
      <c r="P2575" s="3">
        <v>44739</v>
      </c>
      <c r="Q2575" t="s">
        <v>28</v>
      </c>
    </row>
    <row r="2576" spans="1:17" x14ac:dyDescent="0.35">
      <c r="A2576" t="s">
        <v>2628</v>
      </c>
      <c r="B2576" t="s">
        <v>23</v>
      </c>
      <c r="C2576">
        <v>28</v>
      </c>
      <c r="D2576" t="s">
        <v>41</v>
      </c>
      <c r="E2576" t="s">
        <v>42</v>
      </c>
      <c r="F2576" t="s">
        <v>36</v>
      </c>
      <c r="G2576">
        <v>6.8</v>
      </c>
      <c r="H2576">
        <v>4.3</v>
      </c>
      <c r="I2576" t="str" cm="1">
        <f t="array" ref="I2576">_xlfn.IFS(G2576&lt;3, "0–2 Years", G2576&lt;6, "3–5 Years", G2576&lt;9, "6–8 Years", G2576&lt;12, "9-11 Years", G2576&gt;=12, "12-14 Years")</f>
        <v>6–8 Years</v>
      </c>
      <c r="J2576">
        <v>4</v>
      </c>
      <c r="K2576" t="s">
        <v>20</v>
      </c>
      <c r="L2576">
        <v>80200</v>
      </c>
      <c r="M2576">
        <v>6000</v>
      </c>
      <c r="N2576">
        <v>86200</v>
      </c>
      <c r="O2576" t="s">
        <v>30</v>
      </c>
      <c r="P2576" s="3">
        <v>43524</v>
      </c>
      <c r="Q2576" t="s">
        <v>36</v>
      </c>
    </row>
    <row r="2577" spans="1:17" x14ac:dyDescent="0.35">
      <c r="A2577" t="s">
        <v>2629</v>
      </c>
      <c r="B2577" t="s">
        <v>16</v>
      </c>
      <c r="C2577">
        <v>25</v>
      </c>
      <c r="D2577" t="s">
        <v>41</v>
      </c>
      <c r="E2577" t="s">
        <v>67</v>
      </c>
      <c r="F2577" t="s">
        <v>36</v>
      </c>
      <c r="G2577">
        <v>10.1</v>
      </c>
      <c r="H2577">
        <v>6.5</v>
      </c>
      <c r="I2577" t="str" cm="1">
        <f t="array" ref="I2577">_xlfn.IFS(G2577&lt;3, "0–2 Years", G2577&lt;6, "3–5 Years", G2577&lt;9, "6–8 Years", G2577&lt;12, "9-11 Years", G2577&gt;=12, "12-14 Years")</f>
        <v>9-11 Years</v>
      </c>
      <c r="J2577">
        <v>3</v>
      </c>
      <c r="K2577" t="s">
        <v>20</v>
      </c>
      <c r="L2577">
        <v>78200</v>
      </c>
      <c r="M2577">
        <v>2600</v>
      </c>
      <c r="N2577">
        <v>80800</v>
      </c>
      <c r="O2577" t="s">
        <v>21</v>
      </c>
      <c r="P2577" s="3">
        <v>42347</v>
      </c>
      <c r="Q2577" t="s">
        <v>36</v>
      </c>
    </row>
    <row r="2578" spans="1:17" x14ac:dyDescent="0.35">
      <c r="A2578" t="s">
        <v>2630</v>
      </c>
      <c r="B2578" t="s">
        <v>16</v>
      </c>
      <c r="C2578">
        <v>35</v>
      </c>
      <c r="D2578" t="s">
        <v>38</v>
      </c>
      <c r="E2578" t="s">
        <v>39</v>
      </c>
      <c r="F2578" t="s">
        <v>19</v>
      </c>
      <c r="G2578">
        <v>3.7</v>
      </c>
      <c r="H2578">
        <v>2.6</v>
      </c>
      <c r="I2578" t="str" cm="1">
        <f t="array" ref="I2578">_xlfn.IFS(G2578&lt;3, "0–2 Years", G2578&lt;6, "3–5 Years", G2578&lt;9, "6–8 Years", G2578&lt;12, "9-11 Years", G2578&gt;=12, "12-14 Years")</f>
        <v>3–5 Years</v>
      </c>
      <c r="J2578">
        <v>3</v>
      </c>
      <c r="K2578" t="s">
        <v>20</v>
      </c>
      <c r="L2578">
        <v>71700</v>
      </c>
      <c r="M2578">
        <v>7400</v>
      </c>
      <c r="N2578">
        <v>79100</v>
      </c>
      <c r="O2578" t="s">
        <v>21</v>
      </c>
      <c r="P2578" s="3">
        <v>44681</v>
      </c>
      <c r="Q2578" t="s">
        <v>19</v>
      </c>
    </row>
    <row r="2579" spans="1:17" x14ac:dyDescent="0.35">
      <c r="A2579" t="s">
        <v>2631</v>
      </c>
      <c r="B2579" t="s">
        <v>23</v>
      </c>
      <c r="C2579">
        <v>40</v>
      </c>
      <c r="D2579" t="s">
        <v>17</v>
      </c>
      <c r="E2579" t="s">
        <v>27</v>
      </c>
      <c r="F2579" t="s">
        <v>36</v>
      </c>
      <c r="G2579">
        <v>8.3000000000000007</v>
      </c>
      <c r="H2579">
        <v>8.1</v>
      </c>
      <c r="I2579" t="str" cm="1">
        <f t="array" ref="I2579">_xlfn.IFS(G2579&lt;3, "0–2 Years", G2579&lt;6, "3–5 Years", G2579&lt;9, "6–8 Years", G2579&lt;12, "9-11 Years", G2579&gt;=12, "12-14 Years")</f>
        <v>6–8 Years</v>
      </c>
      <c r="J2579">
        <v>3</v>
      </c>
      <c r="K2579" t="s">
        <v>20</v>
      </c>
      <c r="L2579">
        <v>73700</v>
      </c>
      <c r="M2579">
        <v>6400</v>
      </c>
      <c r="N2579">
        <v>80100</v>
      </c>
      <c r="O2579" t="s">
        <v>21</v>
      </c>
      <c r="P2579" s="3">
        <v>42987</v>
      </c>
      <c r="Q2579" t="s">
        <v>36</v>
      </c>
    </row>
    <row r="2580" spans="1:17" x14ac:dyDescent="0.35">
      <c r="A2580" t="s">
        <v>2632</v>
      </c>
      <c r="B2580" t="s">
        <v>23</v>
      </c>
      <c r="C2580">
        <v>42</v>
      </c>
      <c r="D2580" t="s">
        <v>55</v>
      </c>
      <c r="E2580" t="s">
        <v>92</v>
      </c>
      <c r="F2580" t="s">
        <v>28</v>
      </c>
      <c r="G2580">
        <v>11.8</v>
      </c>
      <c r="H2580">
        <v>5.0999999999999996</v>
      </c>
      <c r="I2580" t="str" cm="1">
        <f t="array" ref="I2580">_xlfn.IFS(G2580&lt;3, "0–2 Years", G2580&lt;6, "3–5 Years", G2580&lt;9, "6–8 Years", G2580&lt;12, "9-11 Years", G2580&gt;=12, "12-14 Years")</f>
        <v>9-11 Years</v>
      </c>
      <c r="J2580">
        <v>3</v>
      </c>
      <c r="K2580" t="s">
        <v>20</v>
      </c>
      <c r="L2580">
        <v>109300</v>
      </c>
      <c r="M2580">
        <v>16800</v>
      </c>
      <c r="N2580">
        <v>126100</v>
      </c>
      <c r="O2580" t="s">
        <v>57</v>
      </c>
      <c r="P2580" s="3">
        <v>41713</v>
      </c>
      <c r="Q2580" t="s">
        <v>28</v>
      </c>
    </row>
    <row r="2581" spans="1:17" x14ac:dyDescent="0.35">
      <c r="A2581" t="s">
        <v>2633</v>
      </c>
      <c r="B2581" t="s">
        <v>16</v>
      </c>
      <c r="C2581">
        <v>36</v>
      </c>
      <c r="D2581" t="s">
        <v>34</v>
      </c>
      <c r="E2581" t="s">
        <v>35</v>
      </c>
      <c r="F2581" t="s">
        <v>28</v>
      </c>
      <c r="G2581">
        <v>2.4</v>
      </c>
      <c r="H2581">
        <v>1.6</v>
      </c>
      <c r="I2581" t="str" cm="1">
        <f t="array" ref="I2581">_xlfn.IFS(G2581&lt;3, "0–2 Years", G2581&lt;6, "3–5 Years", G2581&lt;9, "6–8 Years", G2581&lt;12, "9-11 Years", G2581&gt;=12, "12-14 Years")</f>
        <v>0–2 Years</v>
      </c>
      <c r="J2581">
        <v>3</v>
      </c>
      <c r="K2581" t="s">
        <v>20</v>
      </c>
      <c r="L2581">
        <v>68400</v>
      </c>
      <c r="M2581">
        <v>7000</v>
      </c>
      <c r="N2581">
        <v>75400</v>
      </c>
      <c r="O2581" t="s">
        <v>21</v>
      </c>
      <c r="P2581" s="3">
        <v>45131</v>
      </c>
      <c r="Q2581" t="s">
        <v>28</v>
      </c>
    </row>
    <row r="2582" spans="1:17" x14ac:dyDescent="0.35">
      <c r="A2582" t="s">
        <v>2634</v>
      </c>
      <c r="B2582" t="s">
        <v>23</v>
      </c>
      <c r="C2582">
        <v>33</v>
      </c>
      <c r="D2582" t="s">
        <v>38</v>
      </c>
      <c r="E2582" t="s">
        <v>112</v>
      </c>
      <c r="F2582" t="s">
        <v>28</v>
      </c>
      <c r="G2582">
        <v>2.5</v>
      </c>
      <c r="H2582">
        <v>0.9</v>
      </c>
      <c r="I2582" t="str" cm="1">
        <f t="array" ref="I2582">_xlfn.IFS(G2582&lt;3, "0–2 Years", G2582&lt;6, "3–5 Years", G2582&lt;9, "6–8 Years", G2582&lt;12, "9-11 Years", G2582&gt;=12, "12-14 Years")</f>
        <v>0–2 Years</v>
      </c>
      <c r="J2582">
        <v>4</v>
      </c>
      <c r="K2582" t="s">
        <v>20</v>
      </c>
      <c r="L2582">
        <v>66500</v>
      </c>
      <c r="M2582">
        <v>3900</v>
      </c>
      <c r="N2582">
        <v>70400</v>
      </c>
      <c r="O2582" t="s">
        <v>21</v>
      </c>
      <c r="P2582" s="3">
        <v>45105</v>
      </c>
      <c r="Q2582" t="s">
        <v>28</v>
      </c>
    </row>
    <row r="2583" spans="1:17" x14ac:dyDescent="0.35">
      <c r="A2583" t="s">
        <v>2635</v>
      </c>
      <c r="B2583" t="s">
        <v>16</v>
      </c>
      <c r="C2583">
        <v>38</v>
      </c>
      <c r="D2583" t="s">
        <v>55</v>
      </c>
      <c r="E2583" t="s">
        <v>92</v>
      </c>
      <c r="F2583" t="s">
        <v>36</v>
      </c>
      <c r="G2583">
        <v>6.1</v>
      </c>
      <c r="H2583">
        <v>3.4</v>
      </c>
      <c r="I2583" t="str" cm="1">
        <f t="array" ref="I2583">_xlfn.IFS(G2583&lt;3, "0–2 Years", G2583&lt;6, "3–5 Years", G2583&lt;9, "6–8 Years", G2583&lt;12, "9-11 Years", G2583&gt;=12, "12-14 Years")</f>
        <v>6–8 Years</v>
      </c>
      <c r="J2583">
        <v>2</v>
      </c>
      <c r="K2583" t="s">
        <v>20</v>
      </c>
      <c r="L2583">
        <v>98700</v>
      </c>
      <c r="M2583">
        <v>20400</v>
      </c>
      <c r="N2583">
        <v>119100</v>
      </c>
      <c r="O2583" t="s">
        <v>30</v>
      </c>
      <c r="P2583" s="3">
        <v>43798</v>
      </c>
      <c r="Q2583" t="s">
        <v>36</v>
      </c>
    </row>
    <row r="2584" spans="1:17" x14ac:dyDescent="0.35">
      <c r="A2584" t="s">
        <v>2636</v>
      </c>
      <c r="B2584" t="s">
        <v>16</v>
      </c>
      <c r="C2584">
        <v>32</v>
      </c>
      <c r="D2584" t="s">
        <v>44</v>
      </c>
      <c r="E2584" t="s">
        <v>76</v>
      </c>
      <c r="F2584" t="s">
        <v>62</v>
      </c>
      <c r="G2584">
        <v>3</v>
      </c>
      <c r="H2584">
        <v>2.1</v>
      </c>
      <c r="I2584" t="str" cm="1">
        <f t="array" ref="I2584">_xlfn.IFS(G2584&lt;3, "0–2 Years", G2584&lt;6, "3–5 Years", G2584&lt;9, "6–8 Years", G2584&lt;12, "9-11 Years", G2584&gt;=12, "12-14 Years")</f>
        <v>3–5 Years</v>
      </c>
      <c r="J2584">
        <v>3</v>
      </c>
      <c r="K2584" t="s">
        <v>20</v>
      </c>
      <c r="L2584">
        <v>110300</v>
      </c>
      <c r="M2584">
        <v>7700</v>
      </c>
      <c r="N2584">
        <v>118000</v>
      </c>
      <c r="O2584" t="s">
        <v>57</v>
      </c>
      <c r="P2584" s="3">
        <v>44909</v>
      </c>
      <c r="Q2584" t="s">
        <v>62</v>
      </c>
    </row>
    <row r="2585" spans="1:17" x14ac:dyDescent="0.35">
      <c r="A2585" t="s">
        <v>2637</v>
      </c>
      <c r="B2585" t="s">
        <v>16</v>
      </c>
      <c r="C2585">
        <v>41</v>
      </c>
      <c r="D2585" t="s">
        <v>44</v>
      </c>
      <c r="E2585" t="s">
        <v>81</v>
      </c>
      <c r="F2585" t="s">
        <v>36</v>
      </c>
      <c r="G2585">
        <v>4.5</v>
      </c>
      <c r="H2585">
        <v>3.8</v>
      </c>
      <c r="I2585" t="str" cm="1">
        <f t="array" ref="I2585">_xlfn.IFS(G2585&lt;3, "0–2 Years", G2585&lt;6, "3–5 Years", G2585&lt;9, "6–8 Years", G2585&lt;12, "9-11 Years", G2585&gt;=12, "12-14 Years")</f>
        <v>3–5 Years</v>
      </c>
      <c r="J2585">
        <v>4</v>
      </c>
      <c r="K2585" t="s">
        <v>20</v>
      </c>
      <c r="L2585">
        <v>94800</v>
      </c>
      <c r="M2585">
        <v>11500</v>
      </c>
      <c r="N2585">
        <v>106300</v>
      </c>
      <c r="O2585" t="s">
        <v>30</v>
      </c>
      <c r="P2585" s="3">
        <v>44370</v>
      </c>
      <c r="Q2585" t="s">
        <v>36</v>
      </c>
    </row>
    <row r="2586" spans="1:17" x14ac:dyDescent="0.35">
      <c r="A2586" t="s">
        <v>2638</v>
      </c>
      <c r="B2586" t="s">
        <v>23</v>
      </c>
      <c r="C2586">
        <v>32</v>
      </c>
      <c r="D2586" t="s">
        <v>55</v>
      </c>
      <c r="E2586" t="s">
        <v>79</v>
      </c>
      <c r="F2586" t="s">
        <v>28</v>
      </c>
      <c r="G2586">
        <v>2.5</v>
      </c>
      <c r="H2586">
        <v>2.5</v>
      </c>
      <c r="I2586" t="str" cm="1">
        <f t="array" ref="I2586">_xlfn.IFS(G2586&lt;3, "0–2 Years", G2586&lt;6, "3–5 Years", G2586&lt;9, "6–8 Years", G2586&lt;12, "9-11 Years", G2586&gt;=12, "12-14 Years")</f>
        <v>0–2 Years</v>
      </c>
      <c r="J2586">
        <v>3</v>
      </c>
      <c r="K2586" t="s">
        <v>20</v>
      </c>
      <c r="L2586">
        <v>55800</v>
      </c>
      <c r="M2586">
        <v>9900</v>
      </c>
      <c r="N2586">
        <v>65700</v>
      </c>
      <c r="O2586" t="s">
        <v>25</v>
      </c>
      <c r="P2586" s="3">
        <v>45098</v>
      </c>
      <c r="Q2586" t="s">
        <v>28</v>
      </c>
    </row>
    <row r="2587" spans="1:17" x14ac:dyDescent="0.35">
      <c r="A2587" t="s">
        <v>2639</v>
      </c>
      <c r="B2587" t="s">
        <v>23</v>
      </c>
      <c r="C2587">
        <v>30</v>
      </c>
      <c r="D2587" t="s">
        <v>17</v>
      </c>
      <c r="E2587" t="s">
        <v>18</v>
      </c>
      <c r="F2587" t="s">
        <v>28</v>
      </c>
      <c r="G2587">
        <v>3.6</v>
      </c>
      <c r="H2587">
        <v>2.4</v>
      </c>
      <c r="I2587" t="str" cm="1">
        <f t="array" ref="I2587">_xlfn.IFS(G2587&lt;3, "0–2 Years", G2587&lt;6, "3–5 Years", G2587&lt;9, "6–8 Years", G2587&lt;12, "9-11 Years", G2587&gt;=12, "12-14 Years")</f>
        <v>3–5 Years</v>
      </c>
      <c r="J2587">
        <v>4</v>
      </c>
      <c r="K2587" t="s">
        <v>69</v>
      </c>
      <c r="L2587">
        <v>83900</v>
      </c>
      <c r="M2587">
        <v>4500</v>
      </c>
      <c r="N2587">
        <v>88400</v>
      </c>
      <c r="O2587" t="s">
        <v>30</v>
      </c>
      <c r="P2587" s="3">
        <v>44713</v>
      </c>
      <c r="Q2587" t="s">
        <v>28</v>
      </c>
    </row>
    <row r="2588" spans="1:17" x14ac:dyDescent="0.35">
      <c r="A2588" t="s">
        <v>2640</v>
      </c>
      <c r="B2588" t="s">
        <v>16</v>
      </c>
      <c r="C2588">
        <v>25</v>
      </c>
      <c r="D2588" t="s">
        <v>41</v>
      </c>
      <c r="E2588" t="s">
        <v>73</v>
      </c>
      <c r="F2588" t="s">
        <v>62</v>
      </c>
      <c r="G2588">
        <v>2.5</v>
      </c>
      <c r="H2588">
        <v>1.9</v>
      </c>
      <c r="I2588" t="str" cm="1">
        <f t="array" ref="I2588">_xlfn.IFS(G2588&lt;3, "0–2 Years", G2588&lt;6, "3–5 Years", G2588&lt;9, "6–8 Years", G2588&lt;12, "9-11 Years", G2588&gt;=12, "12-14 Years")</f>
        <v>0–2 Years</v>
      </c>
      <c r="J2588">
        <v>3</v>
      </c>
      <c r="K2588" t="s">
        <v>20</v>
      </c>
      <c r="L2588">
        <v>115300</v>
      </c>
      <c r="M2588">
        <v>9400</v>
      </c>
      <c r="N2588">
        <v>124700</v>
      </c>
      <c r="O2588" t="s">
        <v>57</v>
      </c>
      <c r="P2588" s="3">
        <v>45099</v>
      </c>
      <c r="Q2588" t="s">
        <v>62</v>
      </c>
    </row>
    <row r="2589" spans="1:17" x14ac:dyDescent="0.35">
      <c r="A2589" t="s">
        <v>2641</v>
      </c>
      <c r="B2589" t="s">
        <v>23</v>
      </c>
      <c r="C2589" s="7">
        <v>43</v>
      </c>
      <c r="D2589" t="s">
        <v>17</v>
      </c>
      <c r="E2589" t="s">
        <v>18</v>
      </c>
      <c r="F2589" t="s">
        <v>28</v>
      </c>
      <c r="G2589" s="9">
        <v>13.1</v>
      </c>
      <c r="H2589" s="7">
        <v>10.4</v>
      </c>
      <c r="I2589" t="str" cm="1">
        <f t="array" ref="I2589">_xlfn.IFS(G2589&lt;3, "0–2 Years", G2589&lt;6, "3–5 Years", G2589&lt;9, "6–8 Years", G2589&lt;12, "9-11 Years", G2589&gt;=12, "12-14 Years")</f>
        <v>12-14 Years</v>
      </c>
      <c r="J2589" s="7">
        <v>4</v>
      </c>
      <c r="K2589" t="s">
        <v>20</v>
      </c>
      <c r="L2589" s="7">
        <v>120300</v>
      </c>
      <c r="M2589" s="7">
        <v>15400</v>
      </c>
      <c r="N2589" s="7">
        <v>135700</v>
      </c>
      <c r="O2589" t="s">
        <v>57</v>
      </c>
      <c r="P2589" s="3">
        <v>41235</v>
      </c>
      <c r="Q2589" t="s">
        <v>28</v>
      </c>
    </row>
    <row r="2590" spans="1:17" x14ac:dyDescent="0.35">
      <c r="A2590" t="s">
        <v>2642</v>
      </c>
      <c r="B2590" t="s">
        <v>16</v>
      </c>
      <c r="C2590">
        <v>28</v>
      </c>
      <c r="D2590" t="s">
        <v>38</v>
      </c>
      <c r="E2590" t="s">
        <v>61</v>
      </c>
      <c r="F2590" t="s">
        <v>28</v>
      </c>
      <c r="G2590">
        <v>5.3</v>
      </c>
      <c r="H2590">
        <v>3.4</v>
      </c>
      <c r="I2590" t="str" cm="1">
        <f t="array" ref="I2590">_xlfn.IFS(G2590&lt;3, "0–2 Years", G2590&lt;6, "3–5 Years", G2590&lt;9, "6–8 Years", G2590&lt;12, "9-11 Years", G2590&gt;=12, "12-14 Years")</f>
        <v>3–5 Years</v>
      </c>
      <c r="J2590">
        <v>3</v>
      </c>
      <c r="K2590" t="s">
        <v>20</v>
      </c>
      <c r="L2590">
        <v>107600</v>
      </c>
      <c r="M2590">
        <v>8300</v>
      </c>
      <c r="N2590">
        <v>115900</v>
      </c>
      <c r="O2590" t="s">
        <v>57</v>
      </c>
      <c r="P2590" s="3">
        <v>44095</v>
      </c>
      <c r="Q2590" t="s">
        <v>28</v>
      </c>
    </row>
    <row r="2591" spans="1:17" x14ac:dyDescent="0.35">
      <c r="A2591" t="s">
        <v>2643</v>
      </c>
      <c r="B2591" t="s">
        <v>16</v>
      </c>
      <c r="C2591">
        <v>35</v>
      </c>
      <c r="D2591" t="s">
        <v>44</v>
      </c>
      <c r="E2591" t="s">
        <v>76</v>
      </c>
      <c r="F2591" t="s">
        <v>28</v>
      </c>
      <c r="G2591">
        <v>7</v>
      </c>
      <c r="H2591">
        <v>4</v>
      </c>
      <c r="I2591" t="str" cm="1">
        <f t="array" ref="I2591">_xlfn.IFS(G2591&lt;3, "0–2 Years", G2591&lt;6, "3–5 Years", G2591&lt;9, "6–8 Years", G2591&lt;12, "9-11 Years", G2591&gt;=12, "12-14 Years")</f>
        <v>6–8 Years</v>
      </c>
      <c r="J2591">
        <v>2</v>
      </c>
      <c r="K2591" t="s">
        <v>20</v>
      </c>
      <c r="L2591">
        <v>109400</v>
      </c>
      <c r="M2591">
        <v>8800</v>
      </c>
      <c r="N2591">
        <v>118200</v>
      </c>
      <c r="O2591" t="s">
        <v>57</v>
      </c>
      <c r="P2591" s="3">
        <v>43474</v>
      </c>
      <c r="Q2591" t="s">
        <v>28</v>
      </c>
    </row>
    <row r="2592" spans="1:17" x14ac:dyDescent="0.35">
      <c r="A2592" t="s">
        <v>2644</v>
      </c>
      <c r="B2592" t="s">
        <v>23</v>
      </c>
      <c r="C2592">
        <v>39</v>
      </c>
      <c r="D2592" t="s">
        <v>44</v>
      </c>
      <c r="E2592" t="s">
        <v>76</v>
      </c>
      <c r="F2592" t="s">
        <v>36</v>
      </c>
      <c r="G2592">
        <v>9.1999999999999993</v>
      </c>
      <c r="H2592">
        <v>4.4000000000000004</v>
      </c>
      <c r="I2592" t="str" cm="1">
        <f t="array" ref="I2592">_xlfn.IFS(G2592&lt;3, "0–2 Years", G2592&lt;6, "3–5 Years", G2592&lt;9, "6–8 Years", G2592&lt;12, "9-11 Years", G2592&gt;=12, "12-14 Years")</f>
        <v>9-11 Years</v>
      </c>
      <c r="J2592">
        <v>4</v>
      </c>
      <c r="K2592" t="s">
        <v>24</v>
      </c>
      <c r="L2592">
        <v>76700</v>
      </c>
      <c r="M2592">
        <v>11200</v>
      </c>
      <c r="N2592">
        <v>87900</v>
      </c>
      <c r="O2592" t="s">
        <v>21</v>
      </c>
      <c r="P2592" s="3">
        <v>42676</v>
      </c>
      <c r="Q2592" t="s">
        <v>36</v>
      </c>
    </row>
    <row r="2593" spans="1:17" x14ac:dyDescent="0.35">
      <c r="A2593" t="s">
        <v>2645</v>
      </c>
      <c r="B2593" t="s">
        <v>23</v>
      </c>
      <c r="C2593" s="7">
        <v>26</v>
      </c>
      <c r="D2593" t="s">
        <v>38</v>
      </c>
      <c r="E2593" t="s">
        <v>39</v>
      </c>
      <c r="F2593" t="s">
        <v>36</v>
      </c>
      <c r="G2593" s="9">
        <v>13.4</v>
      </c>
      <c r="H2593" s="7">
        <v>8.6</v>
      </c>
      <c r="I2593" t="str" cm="1">
        <f t="array" ref="I2593">_xlfn.IFS(G2593&lt;3, "0–2 Years", G2593&lt;6, "3–5 Years", G2593&lt;9, "6–8 Years", G2593&lt;12, "9-11 Years", G2593&gt;=12, "12-14 Years")</f>
        <v>12-14 Years</v>
      </c>
      <c r="J2593" s="7">
        <v>1</v>
      </c>
      <c r="K2593" t="s">
        <v>20</v>
      </c>
      <c r="L2593" s="7">
        <v>89800</v>
      </c>
      <c r="M2593" s="7">
        <v>3900</v>
      </c>
      <c r="N2593" s="7">
        <v>93700</v>
      </c>
      <c r="O2593" t="s">
        <v>30</v>
      </c>
      <c r="P2593" s="3">
        <v>41130</v>
      </c>
      <c r="Q2593" t="s">
        <v>36</v>
      </c>
    </row>
    <row r="2594" spans="1:17" x14ac:dyDescent="0.35">
      <c r="A2594" t="s">
        <v>2646</v>
      </c>
      <c r="B2594" t="s">
        <v>23</v>
      </c>
      <c r="C2594">
        <v>55</v>
      </c>
      <c r="D2594" t="s">
        <v>34</v>
      </c>
      <c r="E2594" t="s">
        <v>35</v>
      </c>
      <c r="F2594" t="s">
        <v>19</v>
      </c>
      <c r="G2594">
        <v>10.5</v>
      </c>
      <c r="H2594">
        <v>5.8</v>
      </c>
      <c r="I2594" t="str" cm="1">
        <f t="array" ref="I2594">_xlfn.IFS(G2594&lt;3, "0–2 Years", G2594&lt;6, "3–5 Years", G2594&lt;9, "6–8 Years", G2594&lt;12, "9-11 Years", G2594&gt;=12, "12-14 Years")</f>
        <v>9-11 Years</v>
      </c>
      <c r="J2594">
        <v>5</v>
      </c>
      <c r="K2594" t="s">
        <v>20</v>
      </c>
      <c r="L2594">
        <v>76000</v>
      </c>
      <c r="M2594">
        <v>5200</v>
      </c>
      <c r="N2594">
        <v>81200</v>
      </c>
      <c r="O2594" t="s">
        <v>21</v>
      </c>
      <c r="P2594" s="3">
        <v>42195</v>
      </c>
      <c r="Q2594" t="s">
        <v>19</v>
      </c>
    </row>
    <row r="2595" spans="1:17" x14ac:dyDescent="0.35">
      <c r="A2595" t="s">
        <v>2647</v>
      </c>
      <c r="B2595" t="s">
        <v>16</v>
      </c>
      <c r="C2595">
        <v>33</v>
      </c>
      <c r="D2595" t="s">
        <v>44</v>
      </c>
      <c r="E2595" t="s">
        <v>81</v>
      </c>
      <c r="F2595" t="s">
        <v>28</v>
      </c>
      <c r="G2595">
        <v>11.5</v>
      </c>
      <c r="H2595">
        <v>8.6</v>
      </c>
      <c r="I2595" t="str" cm="1">
        <f t="array" ref="I2595">_xlfn.IFS(G2595&lt;3, "0–2 Years", G2595&lt;6, "3–5 Years", G2595&lt;9, "6–8 Years", G2595&lt;12, "9-11 Years", G2595&gt;=12, "12-14 Years")</f>
        <v>9-11 Years</v>
      </c>
      <c r="J2595">
        <v>3</v>
      </c>
      <c r="K2595" t="s">
        <v>20</v>
      </c>
      <c r="L2595">
        <v>101300</v>
      </c>
      <c r="M2595">
        <v>12200</v>
      </c>
      <c r="N2595">
        <v>113500</v>
      </c>
      <c r="O2595" t="s">
        <v>57</v>
      </c>
      <c r="P2595" s="3">
        <v>41823</v>
      </c>
      <c r="Q2595" t="s">
        <v>28</v>
      </c>
    </row>
    <row r="2596" spans="1:17" x14ac:dyDescent="0.35">
      <c r="A2596" t="s">
        <v>2648</v>
      </c>
      <c r="B2596" t="s">
        <v>16</v>
      </c>
      <c r="C2596">
        <v>42</v>
      </c>
      <c r="D2596" t="s">
        <v>55</v>
      </c>
      <c r="E2596" t="s">
        <v>56</v>
      </c>
      <c r="F2596" t="s">
        <v>28</v>
      </c>
      <c r="G2596">
        <v>2.8</v>
      </c>
      <c r="H2596">
        <v>0.2</v>
      </c>
      <c r="I2596" t="str" cm="1">
        <f t="array" ref="I2596">_xlfn.IFS(G2596&lt;3, "0–2 Years", G2596&lt;6, "3–5 Years", G2596&lt;9, "6–8 Years", G2596&lt;12, "9-11 Years", G2596&gt;=12, "12-14 Years")</f>
        <v>0–2 Years</v>
      </c>
      <c r="J2596">
        <v>2</v>
      </c>
      <c r="K2596" t="s">
        <v>20</v>
      </c>
      <c r="L2596">
        <v>90900</v>
      </c>
      <c r="M2596">
        <v>7000</v>
      </c>
      <c r="N2596">
        <v>97900</v>
      </c>
      <c r="O2596" t="s">
        <v>30</v>
      </c>
      <c r="P2596" s="3">
        <v>45008</v>
      </c>
      <c r="Q2596" t="s">
        <v>28</v>
      </c>
    </row>
    <row r="2597" spans="1:17" x14ac:dyDescent="0.35">
      <c r="A2597" t="s">
        <v>2649</v>
      </c>
      <c r="B2597" t="s">
        <v>23</v>
      </c>
      <c r="C2597">
        <v>41</v>
      </c>
      <c r="D2597" t="s">
        <v>44</v>
      </c>
      <c r="E2597" t="s">
        <v>81</v>
      </c>
      <c r="F2597" t="s">
        <v>28</v>
      </c>
      <c r="G2597">
        <v>11.9</v>
      </c>
      <c r="H2597">
        <v>6.9</v>
      </c>
      <c r="I2597" t="str" cm="1">
        <f t="array" ref="I2597">_xlfn.IFS(G2597&lt;3, "0–2 Years", G2597&lt;6, "3–5 Years", G2597&lt;9, "6–8 Years", G2597&lt;12, "9-11 Years", G2597&gt;=12, "12-14 Years")</f>
        <v>9-11 Years</v>
      </c>
      <c r="J2597">
        <v>4</v>
      </c>
      <c r="K2597" t="s">
        <v>20</v>
      </c>
      <c r="L2597">
        <v>103100</v>
      </c>
      <c r="M2597">
        <v>12500</v>
      </c>
      <c r="N2597">
        <v>115600</v>
      </c>
      <c r="O2597" t="s">
        <v>57</v>
      </c>
      <c r="P2597" s="3">
        <v>41663</v>
      </c>
      <c r="Q2597" t="s">
        <v>28</v>
      </c>
    </row>
    <row r="2598" spans="1:17" x14ac:dyDescent="0.35">
      <c r="A2598" t="s">
        <v>2650</v>
      </c>
      <c r="B2598" t="s">
        <v>16</v>
      </c>
      <c r="C2598">
        <v>38</v>
      </c>
      <c r="D2598" t="s">
        <v>55</v>
      </c>
      <c r="E2598" t="s">
        <v>79</v>
      </c>
      <c r="F2598" t="s">
        <v>36</v>
      </c>
      <c r="G2598">
        <v>1.4</v>
      </c>
      <c r="H2598">
        <v>1</v>
      </c>
      <c r="I2598" t="str" cm="1">
        <f t="array" ref="I2598">_xlfn.IFS(G2598&lt;3, "0–2 Years", G2598&lt;6, "3–5 Years", G2598&lt;9, "6–8 Years", G2598&lt;12, "9-11 Years", G2598&gt;=12, "12-14 Years")</f>
        <v>0–2 Years</v>
      </c>
      <c r="J2598">
        <v>4</v>
      </c>
      <c r="K2598" t="s">
        <v>69</v>
      </c>
      <c r="L2598">
        <v>55400</v>
      </c>
      <c r="M2598">
        <v>6000</v>
      </c>
      <c r="N2598">
        <v>61400</v>
      </c>
      <c r="O2598" t="s">
        <v>25</v>
      </c>
      <c r="P2598" s="3">
        <v>45511</v>
      </c>
      <c r="Q2598" t="s">
        <v>36</v>
      </c>
    </row>
    <row r="2599" spans="1:17" x14ac:dyDescent="0.35">
      <c r="A2599" t="s">
        <v>2651</v>
      </c>
      <c r="B2599" t="s">
        <v>23</v>
      </c>
      <c r="C2599">
        <v>43</v>
      </c>
      <c r="D2599" t="s">
        <v>44</v>
      </c>
      <c r="E2599" t="s">
        <v>81</v>
      </c>
      <c r="F2599" t="s">
        <v>36</v>
      </c>
      <c r="G2599">
        <v>10.3</v>
      </c>
      <c r="H2599">
        <v>5.7</v>
      </c>
      <c r="I2599" t="str" cm="1">
        <f t="array" ref="I2599">_xlfn.IFS(G2599&lt;3, "0–2 Years", G2599&lt;6, "3–5 Years", G2599&lt;9, "6–8 Years", G2599&lt;12, "9-11 Years", G2599&gt;=12, "12-14 Years")</f>
        <v>9-11 Years</v>
      </c>
      <c r="J2599">
        <v>3</v>
      </c>
      <c r="K2599" t="s">
        <v>20</v>
      </c>
      <c r="L2599">
        <v>113900</v>
      </c>
      <c r="M2599">
        <v>9800</v>
      </c>
      <c r="N2599">
        <v>123700</v>
      </c>
      <c r="O2599" t="s">
        <v>57</v>
      </c>
      <c r="P2599" s="3">
        <v>42254</v>
      </c>
      <c r="Q2599" t="s">
        <v>36</v>
      </c>
    </row>
    <row r="2600" spans="1:17" x14ac:dyDescent="0.35">
      <c r="A2600" t="s">
        <v>2652</v>
      </c>
      <c r="B2600" t="s">
        <v>16</v>
      </c>
      <c r="C2600">
        <v>33</v>
      </c>
      <c r="D2600" t="s">
        <v>38</v>
      </c>
      <c r="E2600" t="s">
        <v>112</v>
      </c>
      <c r="F2600" t="s">
        <v>28</v>
      </c>
      <c r="G2600">
        <v>1.2</v>
      </c>
      <c r="H2600">
        <v>0.1</v>
      </c>
      <c r="I2600" t="str" cm="1">
        <f t="array" ref="I2600">_xlfn.IFS(G2600&lt;3, "0–2 Years", G2600&lt;6, "3–5 Years", G2600&lt;9, "6–8 Years", G2600&lt;12, "9-11 Years", G2600&gt;=12, "12-14 Years")</f>
        <v>0–2 Years</v>
      </c>
      <c r="J2600">
        <v>2</v>
      </c>
      <c r="K2600" t="s">
        <v>24</v>
      </c>
      <c r="L2600">
        <v>38800</v>
      </c>
      <c r="M2600">
        <v>3100</v>
      </c>
      <c r="N2600">
        <v>41900</v>
      </c>
      <c r="O2600" t="s">
        <v>65</v>
      </c>
      <c r="P2600" s="3">
        <v>45594</v>
      </c>
      <c r="Q2600" t="s">
        <v>28</v>
      </c>
    </row>
    <row r="2601" spans="1:17" x14ac:dyDescent="0.35">
      <c r="A2601" t="s">
        <v>2653</v>
      </c>
      <c r="B2601" t="s">
        <v>16</v>
      </c>
      <c r="C2601">
        <v>33</v>
      </c>
      <c r="D2601" t="s">
        <v>55</v>
      </c>
      <c r="E2601" t="s">
        <v>56</v>
      </c>
      <c r="F2601" t="s">
        <v>19</v>
      </c>
      <c r="G2601">
        <v>10.9</v>
      </c>
      <c r="H2601">
        <v>8.3000000000000007</v>
      </c>
      <c r="I2601" t="str" cm="1">
        <f t="array" ref="I2601">_xlfn.IFS(G2601&lt;3, "0–2 Years", G2601&lt;6, "3–5 Years", G2601&lt;9, "6–8 Years", G2601&lt;12, "9-11 Years", G2601&gt;=12, "12-14 Years")</f>
        <v>9-11 Years</v>
      </c>
      <c r="J2601">
        <v>3</v>
      </c>
      <c r="K2601" t="s">
        <v>20</v>
      </c>
      <c r="L2601">
        <v>104500</v>
      </c>
      <c r="M2601">
        <v>12600</v>
      </c>
      <c r="N2601">
        <v>117100</v>
      </c>
      <c r="O2601" t="s">
        <v>57</v>
      </c>
      <c r="P2601" s="3">
        <v>42057</v>
      </c>
      <c r="Q2601" t="s">
        <v>19</v>
      </c>
    </row>
    <row r="2602" spans="1:17" x14ac:dyDescent="0.35">
      <c r="A2602" t="s">
        <v>2654</v>
      </c>
      <c r="B2602" t="s">
        <v>23</v>
      </c>
      <c r="C2602">
        <v>50</v>
      </c>
      <c r="D2602" t="s">
        <v>55</v>
      </c>
      <c r="E2602" t="s">
        <v>92</v>
      </c>
      <c r="F2602" t="s">
        <v>28</v>
      </c>
      <c r="G2602">
        <v>4.7</v>
      </c>
      <c r="H2602">
        <v>3.5</v>
      </c>
      <c r="I2602" t="str" cm="1">
        <f t="array" ref="I2602">_xlfn.IFS(G2602&lt;3, "0–2 Years", G2602&lt;6, "3–5 Years", G2602&lt;9, "6–8 Years", G2602&lt;12, "9-11 Years", G2602&gt;=12, "12-14 Years")</f>
        <v>3–5 Years</v>
      </c>
      <c r="J2602">
        <v>3</v>
      </c>
      <c r="K2602" t="s">
        <v>20</v>
      </c>
      <c r="L2602">
        <v>90400</v>
      </c>
      <c r="M2602">
        <v>18700</v>
      </c>
      <c r="N2602">
        <v>109100</v>
      </c>
      <c r="O2602" t="s">
        <v>30</v>
      </c>
      <c r="P2602" s="3">
        <v>44323</v>
      </c>
      <c r="Q2602" t="s">
        <v>28</v>
      </c>
    </row>
    <row r="2603" spans="1:17" x14ac:dyDescent="0.35">
      <c r="A2603" t="s">
        <v>2655</v>
      </c>
      <c r="B2603" t="s">
        <v>23</v>
      </c>
      <c r="C2603" s="7">
        <v>31</v>
      </c>
      <c r="D2603" t="s">
        <v>38</v>
      </c>
      <c r="E2603" t="s">
        <v>61</v>
      </c>
      <c r="F2603" t="s">
        <v>28</v>
      </c>
      <c r="G2603" s="9">
        <v>13.4</v>
      </c>
      <c r="H2603" s="7">
        <v>11.6</v>
      </c>
      <c r="I2603" t="str" cm="1">
        <f t="array" ref="I2603">_xlfn.IFS(G2603&lt;3, "0–2 Years", G2603&lt;6, "3–5 Years", G2603&lt;9, "6–8 Years", G2603&lt;12, "9-11 Years", G2603&gt;=12, "12-14 Years")</f>
        <v>12-14 Years</v>
      </c>
      <c r="J2603" s="7">
        <v>3</v>
      </c>
      <c r="K2603" t="s">
        <v>20</v>
      </c>
      <c r="L2603" s="7">
        <v>112100</v>
      </c>
      <c r="M2603" s="7">
        <v>9300</v>
      </c>
      <c r="N2603" s="7">
        <v>121400</v>
      </c>
      <c r="O2603" t="s">
        <v>57</v>
      </c>
      <c r="P2603" s="3">
        <v>41127</v>
      </c>
      <c r="Q2603" t="s">
        <v>28</v>
      </c>
    </row>
    <row r="2604" spans="1:17" x14ac:dyDescent="0.35">
      <c r="A2604" t="s">
        <v>2656</v>
      </c>
      <c r="B2604" t="s">
        <v>23</v>
      </c>
      <c r="C2604">
        <v>42</v>
      </c>
      <c r="D2604" t="s">
        <v>55</v>
      </c>
      <c r="E2604" t="s">
        <v>92</v>
      </c>
      <c r="F2604" t="s">
        <v>28</v>
      </c>
      <c r="G2604">
        <v>6.9</v>
      </c>
      <c r="H2604">
        <v>4.2</v>
      </c>
      <c r="I2604" t="str" cm="1">
        <f t="array" ref="I2604">_xlfn.IFS(G2604&lt;3, "0–2 Years", G2604&lt;6, "3–5 Years", G2604&lt;9, "6–8 Years", G2604&lt;12, "9-11 Years", G2604&gt;=12, "12-14 Years")</f>
        <v>6–8 Years</v>
      </c>
      <c r="J2604">
        <v>3</v>
      </c>
      <c r="K2604" t="s">
        <v>20</v>
      </c>
      <c r="L2604">
        <v>111400</v>
      </c>
      <c r="M2604">
        <v>20400</v>
      </c>
      <c r="N2604">
        <v>131800</v>
      </c>
      <c r="O2604" t="s">
        <v>57</v>
      </c>
      <c r="P2604" s="3">
        <v>43518</v>
      </c>
      <c r="Q2604" t="s">
        <v>28</v>
      </c>
    </row>
    <row r="2605" spans="1:17" x14ac:dyDescent="0.35">
      <c r="A2605" t="s">
        <v>2657</v>
      </c>
      <c r="B2605" t="s">
        <v>16</v>
      </c>
      <c r="C2605">
        <v>42</v>
      </c>
      <c r="D2605" t="s">
        <v>44</v>
      </c>
      <c r="E2605" t="s">
        <v>51</v>
      </c>
      <c r="F2605" t="s">
        <v>28</v>
      </c>
      <c r="G2605">
        <v>10.3</v>
      </c>
      <c r="H2605">
        <v>4.9000000000000004</v>
      </c>
      <c r="I2605" t="str" cm="1">
        <f t="array" ref="I2605">_xlfn.IFS(G2605&lt;3, "0–2 Years", G2605&lt;6, "3–5 Years", G2605&lt;9, "6–8 Years", G2605&lt;12, "9-11 Years", G2605&gt;=12, "12-14 Years")</f>
        <v>9-11 Years</v>
      </c>
      <c r="J2605">
        <v>3</v>
      </c>
      <c r="K2605" t="s">
        <v>20</v>
      </c>
      <c r="L2605">
        <v>83600</v>
      </c>
      <c r="M2605">
        <v>4400</v>
      </c>
      <c r="N2605">
        <v>88000</v>
      </c>
      <c r="O2605" t="s">
        <v>30</v>
      </c>
      <c r="P2605" s="3">
        <v>42261</v>
      </c>
      <c r="Q2605" t="s">
        <v>28</v>
      </c>
    </row>
    <row r="2606" spans="1:17" x14ac:dyDescent="0.35">
      <c r="A2606" t="s">
        <v>2658</v>
      </c>
      <c r="B2606" t="s">
        <v>16</v>
      </c>
      <c r="C2606">
        <v>51</v>
      </c>
      <c r="D2606" t="s">
        <v>17</v>
      </c>
      <c r="E2606" t="s">
        <v>18</v>
      </c>
      <c r="F2606" t="s">
        <v>19</v>
      </c>
      <c r="G2606">
        <v>5.3</v>
      </c>
      <c r="H2606">
        <v>1.9</v>
      </c>
      <c r="I2606" t="str" cm="1">
        <f t="array" ref="I2606">_xlfn.IFS(G2606&lt;3, "0–2 Years", G2606&lt;6, "3–5 Years", G2606&lt;9, "6–8 Years", G2606&lt;12, "9-11 Years", G2606&gt;=12, "12-14 Years")</f>
        <v>3–5 Years</v>
      </c>
      <c r="J2606">
        <v>4</v>
      </c>
      <c r="K2606" t="s">
        <v>20</v>
      </c>
      <c r="L2606">
        <v>93400</v>
      </c>
      <c r="M2606">
        <v>9400</v>
      </c>
      <c r="N2606">
        <v>102800</v>
      </c>
      <c r="O2606" t="s">
        <v>30</v>
      </c>
      <c r="P2606" s="3">
        <v>44082</v>
      </c>
      <c r="Q2606" t="s">
        <v>19</v>
      </c>
    </row>
    <row r="2607" spans="1:17" x14ac:dyDescent="0.35">
      <c r="A2607" t="s">
        <v>2659</v>
      </c>
      <c r="B2607" t="s">
        <v>16</v>
      </c>
      <c r="C2607" s="7">
        <v>34</v>
      </c>
      <c r="D2607" t="s">
        <v>41</v>
      </c>
      <c r="E2607" t="s">
        <v>73</v>
      </c>
      <c r="F2607" t="s">
        <v>36</v>
      </c>
      <c r="G2607" s="9">
        <v>13.7</v>
      </c>
      <c r="H2607" s="7">
        <v>9.1999999999999993</v>
      </c>
      <c r="I2607" t="str" cm="1">
        <f t="array" ref="I2607">_xlfn.IFS(G2607&lt;3, "0–2 Years", G2607&lt;6, "3–5 Years", G2607&lt;9, "6–8 Years", G2607&lt;12, "9-11 Years", G2607&gt;=12, "12-14 Years")</f>
        <v>12-14 Years</v>
      </c>
      <c r="J2607" s="7">
        <v>3</v>
      </c>
      <c r="K2607" t="s">
        <v>20</v>
      </c>
      <c r="L2607" s="7">
        <v>114400</v>
      </c>
      <c r="M2607" s="7">
        <v>4200</v>
      </c>
      <c r="N2607" s="7">
        <v>118600</v>
      </c>
      <c r="O2607" t="s">
        <v>57</v>
      </c>
      <c r="P2607" s="3">
        <v>41008</v>
      </c>
      <c r="Q2607" t="s">
        <v>36</v>
      </c>
    </row>
    <row r="2608" spans="1:17" x14ac:dyDescent="0.35">
      <c r="A2608" t="s">
        <v>2660</v>
      </c>
      <c r="B2608" t="s">
        <v>23</v>
      </c>
      <c r="C2608">
        <v>44</v>
      </c>
      <c r="D2608" t="s">
        <v>17</v>
      </c>
      <c r="E2608" t="s">
        <v>18</v>
      </c>
      <c r="F2608" t="s">
        <v>36</v>
      </c>
      <c r="G2608">
        <v>6.7</v>
      </c>
      <c r="H2608">
        <v>3.6</v>
      </c>
      <c r="I2608" t="str" cm="1">
        <f t="array" ref="I2608">_xlfn.IFS(G2608&lt;3, "0–2 Years", G2608&lt;6, "3–5 Years", G2608&lt;9, "6–8 Years", G2608&lt;12, "9-11 Years", G2608&gt;=12, "12-14 Years")</f>
        <v>6–8 Years</v>
      </c>
      <c r="J2608">
        <v>3</v>
      </c>
      <c r="K2608" t="s">
        <v>20</v>
      </c>
      <c r="L2608">
        <v>103300</v>
      </c>
      <c r="M2608">
        <v>8900</v>
      </c>
      <c r="N2608">
        <v>112200</v>
      </c>
      <c r="O2608" t="s">
        <v>57</v>
      </c>
      <c r="P2608" s="3">
        <v>43572</v>
      </c>
      <c r="Q2608" t="s">
        <v>36</v>
      </c>
    </row>
    <row r="2609" spans="1:17" x14ac:dyDescent="0.35">
      <c r="A2609" t="s">
        <v>2661</v>
      </c>
      <c r="B2609" t="s">
        <v>23</v>
      </c>
      <c r="C2609">
        <v>38</v>
      </c>
      <c r="D2609" t="s">
        <v>17</v>
      </c>
      <c r="E2609" t="s">
        <v>18</v>
      </c>
      <c r="F2609" t="s">
        <v>36</v>
      </c>
      <c r="G2609">
        <v>9</v>
      </c>
      <c r="H2609">
        <v>5.7</v>
      </c>
      <c r="I2609" t="str" cm="1">
        <f t="array" ref="I2609">_xlfn.IFS(G2609&lt;3, "0–2 Years", G2609&lt;6, "3–5 Years", G2609&lt;9, "6–8 Years", G2609&lt;12, "9-11 Years", G2609&gt;=12, "12-14 Years")</f>
        <v>9-11 Years</v>
      </c>
      <c r="J2609">
        <v>4</v>
      </c>
      <c r="K2609" t="s">
        <v>20</v>
      </c>
      <c r="L2609">
        <v>105300</v>
      </c>
      <c r="M2609">
        <v>11400</v>
      </c>
      <c r="N2609">
        <v>116700</v>
      </c>
      <c r="O2609" t="s">
        <v>57</v>
      </c>
      <c r="P2609" s="3">
        <v>42749</v>
      </c>
      <c r="Q2609" t="s">
        <v>36</v>
      </c>
    </row>
    <row r="2610" spans="1:17" x14ac:dyDescent="0.35">
      <c r="A2610" t="s">
        <v>2662</v>
      </c>
      <c r="B2610" t="s">
        <v>23</v>
      </c>
      <c r="C2610">
        <v>22</v>
      </c>
      <c r="D2610" t="s">
        <v>44</v>
      </c>
      <c r="E2610" t="s">
        <v>45</v>
      </c>
      <c r="F2610" t="s">
        <v>28</v>
      </c>
      <c r="G2610">
        <v>1.7</v>
      </c>
      <c r="H2610">
        <v>1.7</v>
      </c>
      <c r="I2610" t="str" cm="1">
        <f t="array" ref="I2610">_xlfn.IFS(G2610&lt;3, "0–2 Years", G2610&lt;6, "3–5 Years", G2610&lt;9, "6–8 Years", G2610&lt;12, "9-11 Years", G2610&gt;=12, "12-14 Years")</f>
        <v>0–2 Years</v>
      </c>
      <c r="J2610">
        <v>3</v>
      </c>
      <c r="K2610" t="s">
        <v>20</v>
      </c>
      <c r="L2610">
        <v>76800</v>
      </c>
      <c r="M2610">
        <v>11000</v>
      </c>
      <c r="N2610">
        <v>87800</v>
      </c>
      <c r="O2610" t="s">
        <v>21</v>
      </c>
      <c r="P2610" s="3">
        <v>45408</v>
      </c>
      <c r="Q2610" t="s">
        <v>28</v>
      </c>
    </row>
    <row r="2611" spans="1:17" x14ac:dyDescent="0.35">
      <c r="A2611" t="s">
        <v>2663</v>
      </c>
      <c r="B2611" t="s">
        <v>23</v>
      </c>
      <c r="C2611">
        <v>32</v>
      </c>
      <c r="D2611" t="s">
        <v>44</v>
      </c>
      <c r="E2611" t="s">
        <v>81</v>
      </c>
      <c r="F2611" t="s">
        <v>28</v>
      </c>
      <c r="G2611">
        <v>8.6999999999999993</v>
      </c>
      <c r="H2611">
        <v>4.3</v>
      </c>
      <c r="I2611" t="str" cm="1">
        <f t="array" ref="I2611">_xlfn.IFS(G2611&lt;3, "0–2 Years", G2611&lt;6, "3–5 Years", G2611&lt;9, "6–8 Years", G2611&lt;12, "9-11 Years", G2611&gt;=12, "12-14 Years")</f>
        <v>6–8 Years</v>
      </c>
      <c r="J2611">
        <v>3</v>
      </c>
      <c r="K2611" t="s">
        <v>20</v>
      </c>
      <c r="L2611">
        <v>92800</v>
      </c>
      <c r="M2611">
        <v>9700</v>
      </c>
      <c r="N2611">
        <v>102500</v>
      </c>
      <c r="O2611" t="s">
        <v>30</v>
      </c>
      <c r="P2611" s="3">
        <v>42834</v>
      </c>
      <c r="Q2611" t="s">
        <v>28</v>
      </c>
    </row>
    <row r="2612" spans="1:17" x14ac:dyDescent="0.35">
      <c r="A2612" t="s">
        <v>2664</v>
      </c>
      <c r="B2612" t="s">
        <v>16</v>
      </c>
      <c r="C2612" s="7">
        <v>42</v>
      </c>
      <c r="D2612" t="s">
        <v>17</v>
      </c>
      <c r="E2612" t="s">
        <v>27</v>
      </c>
      <c r="F2612" t="s">
        <v>36</v>
      </c>
      <c r="G2612" s="9">
        <v>13.7</v>
      </c>
      <c r="H2612" s="7">
        <v>8.1</v>
      </c>
      <c r="I2612" t="str" cm="1">
        <f t="array" ref="I2612">_xlfn.IFS(G2612&lt;3, "0–2 Years", G2612&lt;6, "3–5 Years", G2612&lt;9, "6–8 Years", G2612&lt;12, "9-11 Years", G2612&gt;=12, "12-14 Years")</f>
        <v>12-14 Years</v>
      </c>
      <c r="J2612" s="7">
        <v>4</v>
      </c>
      <c r="K2612" t="s">
        <v>20</v>
      </c>
      <c r="L2612" s="7">
        <v>86500</v>
      </c>
      <c r="M2612" s="7">
        <v>11400</v>
      </c>
      <c r="N2612" s="7">
        <v>97900</v>
      </c>
      <c r="O2612" t="s">
        <v>30</v>
      </c>
      <c r="P2612" s="3">
        <v>41014</v>
      </c>
      <c r="Q2612" t="s">
        <v>36</v>
      </c>
    </row>
    <row r="2613" spans="1:17" x14ac:dyDescent="0.35">
      <c r="A2613" t="s">
        <v>2665</v>
      </c>
      <c r="B2613" t="s">
        <v>16</v>
      </c>
      <c r="C2613">
        <v>35</v>
      </c>
      <c r="D2613" t="s">
        <v>41</v>
      </c>
      <c r="E2613" t="s">
        <v>67</v>
      </c>
      <c r="F2613" t="s">
        <v>28</v>
      </c>
      <c r="G2613">
        <v>4.0999999999999996</v>
      </c>
      <c r="H2613">
        <v>4.0999999999999996</v>
      </c>
      <c r="I2613" t="str" cm="1">
        <f t="array" ref="I2613">_xlfn.IFS(G2613&lt;3, "0–2 Years", G2613&lt;6, "3–5 Years", G2613&lt;9, "6–8 Years", G2613&lt;12, "9-11 Years", G2613&gt;=12, "12-14 Years")</f>
        <v>3–5 Years</v>
      </c>
      <c r="J2613">
        <v>3</v>
      </c>
      <c r="K2613" t="s">
        <v>20</v>
      </c>
      <c r="L2613">
        <v>66400</v>
      </c>
      <c r="M2613">
        <v>3800</v>
      </c>
      <c r="N2613">
        <v>70200</v>
      </c>
      <c r="O2613" t="s">
        <v>21</v>
      </c>
      <c r="P2613" s="3">
        <v>44532</v>
      </c>
      <c r="Q2613" t="s">
        <v>28</v>
      </c>
    </row>
    <row r="2614" spans="1:17" x14ac:dyDescent="0.35">
      <c r="A2614" t="s">
        <v>2666</v>
      </c>
      <c r="B2614" t="s">
        <v>23</v>
      </c>
      <c r="C2614">
        <v>44</v>
      </c>
      <c r="D2614" t="s">
        <v>17</v>
      </c>
      <c r="E2614" t="s">
        <v>27</v>
      </c>
      <c r="F2614" t="s">
        <v>28</v>
      </c>
      <c r="G2614">
        <v>11.9</v>
      </c>
      <c r="H2614">
        <v>7.1</v>
      </c>
      <c r="I2614" t="str" cm="1">
        <f t="array" ref="I2614">_xlfn.IFS(G2614&lt;3, "0–2 Years", G2614&lt;6, "3–5 Years", G2614&lt;9, "6–8 Years", G2614&lt;12, "9-11 Years", G2614&gt;=12, "12-14 Years")</f>
        <v>9-11 Years</v>
      </c>
      <c r="J2614">
        <v>3</v>
      </c>
      <c r="K2614" t="s">
        <v>20</v>
      </c>
      <c r="L2614">
        <v>67400</v>
      </c>
      <c r="M2614">
        <v>7500</v>
      </c>
      <c r="N2614">
        <v>74900</v>
      </c>
      <c r="O2614" t="s">
        <v>21</v>
      </c>
      <c r="P2614" s="3">
        <v>41678</v>
      </c>
      <c r="Q2614" t="s">
        <v>28</v>
      </c>
    </row>
    <row r="2615" spans="1:17" x14ac:dyDescent="0.35">
      <c r="A2615" t="s">
        <v>2667</v>
      </c>
      <c r="B2615" t="s">
        <v>23</v>
      </c>
      <c r="C2615">
        <v>32</v>
      </c>
      <c r="D2615" t="s">
        <v>55</v>
      </c>
      <c r="E2615" t="s">
        <v>92</v>
      </c>
      <c r="F2615" t="s">
        <v>36</v>
      </c>
      <c r="G2615">
        <v>11.1</v>
      </c>
      <c r="H2615">
        <v>6.7</v>
      </c>
      <c r="I2615" t="str" cm="1">
        <f t="array" ref="I2615">_xlfn.IFS(G2615&lt;3, "0–2 Years", G2615&lt;6, "3–5 Years", G2615&lt;9, "6–8 Years", G2615&lt;12, "9-11 Years", G2615&gt;=12, "12-14 Years")</f>
        <v>9-11 Years</v>
      </c>
      <c r="J2615">
        <v>4</v>
      </c>
      <c r="K2615" t="s">
        <v>20</v>
      </c>
      <c r="L2615">
        <v>131800</v>
      </c>
      <c r="M2615">
        <v>18900</v>
      </c>
      <c r="N2615">
        <v>150700</v>
      </c>
      <c r="O2615" t="s">
        <v>57</v>
      </c>
      <c r="P2615" s="3">
        <v>41981</v>
      </c>
      <c r="Q2615" t="s">
        <v>36</v>
      </c>
    </row>
    <row r="2616" spans="1:17" x14ac:dyDescent="0.35">
      <c r="A2616" t="s">
        <v>2668</v>
      </c>
      <c r="B2616" t="s">
        <v>23</v>
      </c>
      <c r="C2616">
        <v>42</v>
      </c>
      <c r="D2616" t="s">
        <v>44</v>
      </c>
      <c r="E2616" t="s">
        <v>51</v>
      </c>
      <c r="F2616" t="s">
        <v>36</v>
      </c>
      <c r="G2616">
        <v>6.6</v>
      </c>
      <c r="H2616">
        <v>3.6</v>
      </c>
      <c r="I2616" t="str" cm="1">
        <f t="array" ref="I2616">_xlfn.IFS(G2616&lt;3, "0–2 Years", G2616&lt;6, "3–5 Years", G2616&lt;9, "6–8 Years", G2616&lt;12, "9-11 Years", G2616&gt;=12, "12-14 Years")</f>
        <v>6–8 Years</v>
      </c>
      <c r="J2616">
        <v>3</v>
      </c>
      <c r="K2616" t="s">
        <v>24</v>
      </c>
      <c r="L2616">
        <v>51300</v>
      </c>
      <c r="M2616">
        <v>4300</v>
      </c>
      <c r="N2616">
        <v>55600</v>
      </c>
      <c r="O2616" t="s">
        <v>25</v>
      </c>
      <c r="P2616" s="3">
        <v>43629</v>
      </c>
      <c r="Q2616" t="s">
        <v>36</v>
      </c>
    </row>
    <row r="2617" spans="1:17" x14ac:dyDescent="0.35">
      <c r="A2617" t="s">
        <v>2669</v>
      </c>
      <c r="B2617" t="s">
        <v>23</v>
      </c>
      <c r="C2617">
        <v>43</v>
      </c>
      <c r="D2617" t="s">
        <v>34</v>
      </c>
      <c r="E2617" t="s">
        <v>59</v>
      </c>
      <c r="F2617" t="s">
        <v>36</v>
      </c>
      <c r="G2617">
        <v>9.6</v>
      </c>
      <c r="H2617">
        <v>7.4</v>
      </c>
      <c r="I2617" t="str" cm="1">
        <f t="array" ref="I2617">_xlfn.IFS(G2617&lt;3, "0–2 Years", G2617&lt;6, "3–5 Years", G2617&lt;9, "6–8 Years", G2617&lt;12, "9-11 Years", G2617&gt;=12, "12-14 Years")</f>
        <v>9-11 Years</v>
      </c>
      <c r="J2617">
        <v>3</v>
      </c>
      <c r="K2617" t="s">
        <v>20</v>
      </c>
      <c r="L2617">
        <v>122500</v>
      </c>
      <c r="M2617">
        <v>9700</v>
      </c>
      <c r="N2617">
        <v>132200</v>
      </c>
      <c r="O2617" t="s">
        <v>57</v>
      </c>
      <c r="P2617" s="3">
        <v>42526</v>
      </c>
      <c r="Q2617" t="s">
        <v>36</v>
      </c>
    </row>
    <row r="2618" spans="1:17" x14ac:dyDescent="0.35">
      <c r="A2618" t="s">
        <v>2670</v>
      </c>
      <c r="B2618" t="s">
        <v>16</v>
      </c>
      <c r="C2618" s="7">
        <v>41</v>
      </c>
      <c r="D2618" t="s">
        <v>41</v>
      </c>
      <c r="E2618" t="s">
        <v>73</v>
      </c>
      <c r="F2618" t="s">
        <v>28</v>
      </c>
      <c r="G2618" s="9">
        <v>13.3</v>
      </c>
      <c r="H2618" s="7">
        <v>9.5</v>
      </c>
      <c r="I2618" t="str" cm="1">
        <f t="array" ref="I2618">_xlfn.IFS(G2618&lt;3, "0–2 Years", G2618&lt;6, "3–5 Years", G2618&lt;9, "6–8 Years", G2618&lt;12, "9-11 Years", G2618&gt;=12, "12-14 Years")</f>
        <v>12-14 Years</v>
      </c>
      <c r="J2618" s="7">
        <v>3</v>
      </c>
      <c r="K2618" t="s">
        <v>20</v>
      </c>
      <c r="L2618" s="7">
        <v>104800</v>
      </c>
      <c r="M2618" s="7">
        <v>6400</v>
      </c>
      <c r="N2618" s="7">
        <v>111200</v>
      </c>
      <c r="O2618" t="s">
        <v>57</v>
      </c>
      <c r="P2618" s="3">
        <v>41174</v>
      </c>
      <c r="Q2618" t="s">
        <v>28</v>
      </c>
    </row>
    <row r="2619" spans="1:17" x14ac:dyDescent="0.35">
      <c r="A2619" t="s">
        <v>2671</v>
      </c>
      <c r="B2619" t="s">
        <v>16</v>
      </c>
      <c r="C2619">
        <v>32</v>
      </c>
      <c r="D2619" t="s">
        <v>34</v>
      </c>
      <c r="E2619" t="s">
        <v>35</v>
      </c>
      <c r="F2619" t="s">
        <v>36</v>
      </c>
      <c r="G2619">
        <v>10.7</v>
      </c>
      <c r="H2619">
        <v>7.8</v>
      </c>
      <c r="I2619" t="str" cm="1">
        <f t="array" ref="I2619">_xlfn.IFS(G2619&lt;3, "0–2 Years", G2619&lt;6, "3–5 Years", G2619&lt;9, "6–8 Years", G2619&lt;12, "9-11 Years", G2619&gt;=12, "12-14 Years")</f>
        <v>9-11 Years</v>
      </c>
      <c r="J2619">
        <v>3</v>
      </c>
      <c r="K2619" t="s">
        <v>20</v>
      </c>
      <c r="L2619">
        <v>82300</v>
      </c>
      <c r="M2619">
        <v>6100</v>
      </c>
      <c r="N2619">
        <v>88400</v>
      </c>
      <c r="O2619" t="s">
        <v>30</v>
      </c>
      <c r="P2619" s="3">
        <v>42105</v>
      </c>
      <c r="Q2619" t="s">
        <v>36</v>
      </c>
    </row>
    <row r="2620" spans="1:17" x14ac:dyDescent="0.35">
      <c r="A2620" t="s">
        <v>2672</v>
      </c>
      <c r="B2620" t="s">
        <v>23</v>
      </c>
      <c r="C2620">
        <v>52</v>
      </c>
      <c r="D2620" t="s">
        <v>55</v>
      </c>
      <c r="E2620" t="s">
        <v>92</v>
      </c>
      <c r="F2620" t="s">
        <v>36</v>
      </c>
      <c r="G2620">
        <v>2.1</v>
      </c>
      <c r="H2620">
        <v>0.6</v>
      </c>
      <c r="I2620" t="str" cm="1">
        <f t="array" ref="I2620">_xlfn.IFS(G2620&lt;3, "0–2 Years", G2620&lt;6, "3–5 Years", G2620&lt;9, "6–8 Years", G2620&lt;12, "9-11 Years", G2620&gt;=12, "12-14 Years")</f>
        <v>0–2 Years</v>
      </c>
      <c r="J2620">
        <v>3</v>
      </c>
      <c r="K2620" t="s">
        <v>20</v>
      </c>
      <c r="L2620">
        <v>104800</v>
      </c>
      <c r="M2620">
        <v>11300</v>
      </c>
      <c r="N2620">
        <v>116100</v>
      </c>
      <c r="O2620" t="s">
        <v>57</v>
      </c>
      <c r="P2620" s="3">
        <v>45258</v>
      </c>
      <c r="Q2620" t="s">
        <v>36</v>
      </c>
    </row>
    <row r="2621" spans="1:17" x14ac:dyDescent="0.35">
      <c r="A2621" t="s">
        <v>2673</v>
      </c>
      <c r="B2621" t="s">
        <v>16</v>
      </c>
      <c r="C2621">
        <v>27</v>
      </c>
      <c r="D2621" t="s">
        <v>34</v>
      </c>
      <c r="E2621" t="s">
        <v>59</v>
      </c>
      <c r="F2621" t="s">
        <v>36</v>
      </c>
      <c r="G2621">
        <v>8.1</v>
      </c>
      <c r="H2621">
        <v>5</v>
      </c>
      <c r="I2621" t="str" cm="1">
        <f t="array" ref="I2621">_xlfn.IFS(G2621&lt;3, "0–2 Years", G2621&lt;6, "3–5 Years", G2621&lt;9, "6–8 Years", G2621&lt;12, "9-11 Years", G2621&gt;=12, "12-14 Years")</f>
        <v>6–8 Years</v>
      </c>
      <c r="J2621">
        <v>3</v>
      </c>
      <c r="K2621" t="s">
        <v>20</v>
      </c>
      <c r="L2621">
        <v>100800</v>
      </c>
      <c r="M2621">
        <v>9800</v>
      </c>
      <c r="N2621">
        <v>110600</v>
      </c>
      <c r="O2621" t="s">
        <v>57</v>
      </c>
      <c r="P2621" s="3">
        <v>43059</v>
      </c>
      <c r="Q2621" t="s">
        <v>36</v>
      </c>
    </row>
    <row r="2622" spans="1:17" x14ac:dyDescent="0.35">
      <c r="A2622" t="s">
        <v>2674</v>
      </c>
      <c r="B2622" t="s">
        <v>23</v>
      </c>
      <c r="C2622">
        <v>39</v>
      </c>
      <c r="D2622" t="s">
        <v>38</v>
      </c>
      <c r="E2622" t="s">
        <v>61</v>
      </c>
      <c r="F2622" t="s">
        <v>62</v>
      </c>
      <c r="G2622">
        <v>2.4</v>
      </c>
      <c r="H2622">
        <v>0.3</v>
      </c>
      <c r="I2622" t="str" cm="1">
        <f t="array" ref="I2622">_xlfn.IFS(G2622&lt;3, "0–2 Years", G2622&lt;6, "3–5 Years", G2622&lt;9, "6–8 Years", G2622&lt;12, "9-11 Years", G2622&gt;=12, "12-14 Years")</f>
        <v>0–2 Years</v>
      </c>
      <c r="J2622">
        <v>4</v>
      </c>
      <c r="K2622" t="s">
        <v>20</v>
      </c>
      <c r="L2622">
        <v>102700</v>
      </c>
      <c r="M2622">
        <v>9700</v>
      </c>
      <c r="N2622">
        <v>112400</v>
      </c>
      <c r="O2622" t="s">
        <v>57</v>
      </c>
      <c r="P2622" s="3">
        <v>45155</v>
      </c>
      <c r="Q2622" t="s">
        <v>62</v>
      </c>
    </row>
    <row r="2623" spans="1:17" x14ac:dyDescent="0.35">
      <c r="A2623" t="s">
        <v>2675</v>
      </c>
      <c r="B2623" t="s">
        <v>16</v>
      </c>
      <c r="C2623" s="7">
        <v>38</v>
      </c>
      <c r="D2623" t="s">
        <v>55</v>
      </c>
      <c r="E2623" t="s">
        <v>56</v>
      </c>
      <c r="F2623" t="s">
        <v>28</v>
      </c>
      <c r="G2623" s="9">
        <v>12.3</v>
      </c>
      <c r="H2623" s="7">
        <v>8.9</v>
      </c>
      <c r="I2623" t="str" cm="1">
        <f t="array" ref="I2623">_xlfn.IFS(G2623&lt;3, "0–2 Years", G2623&lt;6, "3–5 Years", G2623&lt;9, "6–8 Years", G2623&lt;12, "9-11 Years", G2623&gt;=12, "12-14 Years")</f>
        <v>12-14 Years</v>
      </c>
      <c r="J2623" s="7">
        <v>3</v>
      </c>
      <c r="K2623" t="s">
        <v>69</v>
      </c>
      <c r="L2623" s="7">
        <v>94800</v>
      </c>
      <c r="M2623" s="7">
        <v>10300</v>
      </c>
      <c r="N2623" s="7">
        <v>105100</v>
      </c>
      <c r="O2623" t="s">
        <v>30</v>
      </c>
      <c r="P2623" s="3">
        <v>41533</v>
      </c>
      <c r="Q2623" t="s">
        <v>28</v>
      </c>
    </row>
    <row r="2624" spans="1:17" x14ac:dyDescent="0.35">
      <c r="A2624" t="s">
        <v>2676</v>
      </c>
      <c r="B2624" t="s">
        <v>23</v>
      </c>
      <c r="C2624">
        <v>32</v>
      </c>
      <c r="D2624" t="s">
        <v>17</v>
      </c>
      <c r="E2624" t="s">
        <v>32</v>
      </c>
      <c r="F2624" t="s">
        <v>36</v>
      </c>
      <c r="G2624">
        <v>1.7</v>
      </c>
      <c r="H2624">
        <v>0</v>
      </c>
      <c r="I2624" t="str" cm="1">
        <f t="array" ref="I2624">_xlfn.IFS(G2624&lt;3, "0–2 Years", G2624&lt;6, "3–5 Years", G2624&lt;9, "6–8 Years", G2624&lt;12, "9-11 Years", G2624&gt;=12, "12-14 Years")</f>
        <v>0–2 Years</v>
      </c>
      <c r="J2624">
        <v>2</v>
      </c>
      <c r="K2624" t="s">
        <v>20</v>
      </c>
      <c r="L2624">
        <v>55000</v>
      </c>
      <c r="M2624">
        <v>3400</v>
      </c>
      <c r="N2624">
        <v>58400</v>
      </c>
      <c r="O2624" t="s">
        <v>25</v>
      </c>
      <c r="P2624" s="3">
        <v>45391</v>
      </c>
      <c r="Q2624" t="s">
        <v>36</v>
      </c>
    </row>
    <row r="2625" spans="1:17" x14ac:dyDescent="0.35">
      <c r="A2625" t="s">
        <v>2677</v>
      </c>
      <c r="B2625" t="s">
        <v>16</v>
      </c>
      <c r="C2625" s="7">
        <v>41</v>
      </c>
      <c r="D2625" t="s">
        <v>41</v>
      </c>
      <c r="E2625" t="s">
        <v>67</v>
      </c>
      <c r="F2625" t="s">
        <v>28</v>
      </c>
      <c r="G2625" s="9">
        <v>13.9</v>
      </c>
      <c r="H2625" s="7">
        <v>9.1</v>
      </c>
      <c r="I2625" t="str" cm="1">
        <f t="array" ref="I2625">_xlfn.IFS(G2625&lt;3, "0–2 Years", G2625&lt;6, "3–5 Years", G2625&lt;9, "6–8 Years", G2625&lt;12, "9-11 Years", G2625&gt;=12, "12-14 Years")</f>
        <v>12-14 Years</v>
      </c>
      <c r="J2625" s="7">
        <v>3</v>
      </c>
      <c r="K2625" t="s">
        <v>69</v>
      </c>
      <c r="L2625" s="7">
        <v>61600</v>
      </c>
      <c r="M2625" s="7">
        <v>4900</v>
      </c>
      <c r="N2625" s="7">
        <v>66500</v>
      </c>
      <c r="O2625" t="s">
        <v>25</v>
      </c>
      <c r="P2625" s="3">
        <v>40954</v>
      </c>
      <c r="Q2625" t="s">
        <v>28</v>
      </c>
    </row>
    <row r="2626" spans="1:17" x14ac:dyDescent="0.35">
      <c r="A2626" t="s">
        <v>2678</v>
      </c>
      <c r="B2626" t="s">
        <v>16</v>
      </c>
      <c r="C2626">
        <v>46</v>
      </c>
      <c r="D2626" t="s">
        <v>17</v>
      </c>
      <c r="E2626" t="s">
        <v>18</v>
      </c>
      <c r="F2626" t="s">
        <v>62</v>
      </c>
      <c r="G2626">
        <v>8.1999999999999993</v>
      </c>
      <c r="H2626">
        <v>3</v>
      </c>
      <c r="I2626" t="str" cm="1">
        <f t="array" ref="I2626">_xlfn.IFS(G2626&lt;3, "0–2 Years", G2626&lt;6, "3–5 Years", G2626&lt;9, "6–8 Years", G2626&lt;12, "9-11 Years", G2626&gt;=12, "12-14 Years")</f>
        <v>6–8 Years</v>
      </c>
      <c r="J2626">
        <v>4</v>
      </c>
      <c r="K2626" t="s">
        <v>20</v>
      </c>
      <c r="L2626">
        <v>114500</v>
      </c>
      <c r="M2626">
        <v>7700</v>
      </c>
      <c r="N2626">
        <v>122200</v>
      </c>
      <c r="O2626" t="s">
        <v>57</v>
      </c>
      <c r="P2626" s="3">
        <v>43010</v>
      </c>
      <c r="Q2626" t="s">
        <v>62</v>
      </c>
    </row>
    <row r="2627" spans="1:17" x14ac:dyDescent="0.35">
      <c r="A2627" t="s">
        <v>2679</v>
      </c>
      <c r="B2627" t="s">
        <v>16</v>
      </c>
      <c r="C2627">
        <v>37</v>
      </c>
      <c r="D2627" t="s">
        <v>41</v>
      </c>
      <c r="E2627" t="s">
        <v>42</v>
      </c>
      <c r="F2627" t="s">
        <v>28</v>
      </c>
      <c r="G2627">
        <v>9.3000000000000007</v>
      </c>
      <c r="H2627">
        <v>7.4</v>
      </c>
      <c r="I2627" t="str" cm="1">
        <f t="array" ref="I2627">_xlfn.IFS(G2627&lt;3, "0–2 Years", G2627&lt;6, "3–5 Years", G2627&lt;9, "6–8 Years", G2627&lt;12, "9-11 Years", G2627&gt;=12, "12-14 Years")</f>
        <v>9-11 Years</v>
      </c>
      <c r="J2627">
        <v>2</v>
      </c>
      <c r="K2627" t="s">
        <v>20</v>
      </c>
      <c r="L2627">
        <v>81000</v>
      </c>
      <c r="M2627">
        <v>5600</v>
      </c>
      <c r="N2627">
        <v>86600</v>
      </c>
      <c r="O2627" t="s">
        <v>30</v>
      </c>
      <c r="P2627" s="3">
        <v>42640</v>
      </c>
      <c r="Q2627" t="s">
        <v>28</v>
      </c>
    </row>
    <row r="2628" spans="1:17" x14ac:dyDescent="0.35">
      <c r="A2628" t="s">
        <v>2680</v>
      </c>
      <c r="B2628" t="s">
        <v>16</v>
      </c>
      <c r="C2628">
        <v>46</v>
      </c>
      <c r="D2628" t="s">
        <v>44</v>
      </c>
      <c r="E2628" t="s">
        <v>45</v>
      </c>
      <c r="F2628" t="s">
        <v>28</v>
      </c>
      <c r="G2628">
        <v>3.8</v>
      </c>
      <c r="H2628">
        <v>2.5</v>
      </c>
      <c r="I2628" t="str" cm="1">
        <f t="array" ref="I2628">_xlfn.IFS(G2628&lt;3, "0–2 Years", G2628&lt;6, "3–5 Years", G2628&lt;9, "6–8 Years", G2628&lt;12, "9-11 Years", G2628&gt;=12, "12-14 Years")</f>
        <v>3–5 Years</v>
      </c>
      <c r="J2628">
        <v>4</v>
      </c>
      <c r="K2628" t="s">
        <v>69</v>
      </c>
      <c r="L2628">
        <v>64600</v>
      </c>
      <c r="M2628">
        <v>7100</v>
      </c>
      <c r="N2628">
        <v>71700</v>
      </c>
      <c r="O2628" t="s">
        <v>25</v>
      </c>
      <c r="P2628" s="3">
        <v>44649</v>
      </c>
      <c r="Q2628" t="s">
        <v>28</v>
      </c>
    </row>
    <row r="2629" spans="1:17" x14ac:dyDescent="0.35">
      <c r="A2629" t="s">
        <v>2681</v>
      </c>
      <c r="B2629" t="s">
        <v>23</v>
      </c>
      <c r="C2629" s="7">
        <v>46</v>
      </c>
      <c r="D2629" t="s">
        <v>44</v>
      </c>
      <c r="E2629" t="s">
        <v>81</v>
      </c>
      <c r="F2629" t="s">
        <v>36</v>
      </c>
      <c r="G2629" s="9">
        <v>12.5</v>
      </c>
      <c r="H2629" s="7">
        <v>9.3000000000000007</v>
      </c>
      <c r="I2629" t="str" cm="1">
        <f t="array" ref="I2629">_xlfn.IFS(G2629&lt;3, "0–2 Years", G2629&lt;6, "3–5 Years", G2629&lt;9, "6–8 Years", G2629&lt;12, "9-11 Years", G2629&gt;=12, "12-14 Years")</f>
        <v>12-14 Years</v>
      </c>
      <c r="J2629" s="7">
        <v>2</v>
      </c>
      <c r="K2629" t="s">
        <v>20</v>
      </c>
      <c r="L2629" s="7">
        <v>90600</v>
      </c>
      <c r="M2629" s="7">
        <v>10200</v>
      </c>
      <c r="N2629" s="7">
        <v>100800</v>
      </c>
      <c r="O2629" t="s">
        <v>30</v>
      </c>
      <c r="P2629" s="3">
        <v>41462</v>
      </c>
      <c r="Q2629" t="s">
        <v>36</v>
      </c>
    </row>
    <row r="2630" spans="1:17" x14ac:dyDescent="0.35">
      <c r="A2630" t="s">
        <v>2682</v>
      </c>
      <c r="B2630" t="s">
        <v>23</v>
      </c>
      <c r="C2630" s="7">
        <v>22</v>
      </c>
      <c r="D2630" t="s">
        <v>41</v>
      </c>
      <c r="E2630" t="s">
        <v>42</v>
      </c>
      <c r="F2630" t="s">
        <v>28</v>
      </c>
      <c r="G2630" s="9">
        <v>13.5</v>
      </c>
      <c r="H2630" s="7">
        <v>9.8000000000000007</v>
      </c>
      <c r="I2630" t="str" cm="1">
        <f t="array" ref="I2630">_xlfn.IFS(G2630&lt;3, "0–2 Years", G2630&lt;6, "3–5 Years", G2630&lt;9, "6–8 Years", G2630&lt;12, "9-11 Years", G2630&gt;=12, "12-14 Years")</f>
        <v>12-14 Years</v>
      </c>
      <c r="J2630" s="7">
        <v>4</v>
      </c>
      <c r="K2630" t="s">
        <v>20</v>
      </c>
      <c r="L2630" s="7">
        <v>84800</v>
      </c>
      <c r="M2630" s="7">
        <v>5900</v>
      </c>
      <c r="N2630" s="7">
        <v>90700</v>
      </c>
      <c r="O2630" t="s">
        <v>30</v>
      </c>
      <c r="P2630" s="3">
        <v>41104</v>
      </c>
      <c r="Q2630" t="s">
        <v>28</v>
      </c>
    </row>
    <row r="2631" spans="1:17" x14ac:dyDescent="0.35">
      <c r="A2631" t="s">
        <v>2683</v>
      </c>
      <c r="B2631" t="s">
        <v>16</v>
      </c>
      <c r="C2631" s="7">
        <v>47</v>
      </c>
      <c r="D2631" t="s">
        <v>44</v>
      </c>
      <c r="E2631" t="s">
        <v>76</v>
      </c>
      <c r="F2631" t="s">
        <v>19</v>
      </c>
      <c r="G2631" s="9">
        <v>12.7</v>
      </c>
      <c r="H2631" s="7">
        <v>7.6</v>
      </c>
      <c r="I2631" t="str" cm="1">
        <f t="array" ref="I2631">_xlfn.IFS(G2631&lt;3, "0–2 Years", G2631&lt;6, "3–5 Years", G2631&lt;9, "6–8 Years", G2631&lt;12, "9-11 Years", G2631&gt;=12, "12-14 Years")</f>
        <v>12-14 Years</v>
      </c>
      <c r="J2631" s="7">
        <v>3</v>
      </c>
      <c r="K2631" t="s">
        <v>20</v>
      </c>
      <c r="L2631" s="7">
        <v>104300</v>
      </c>
      <c r="M2631" s="7">
        <v>6400</v>
      </c>
      <c r="N2631" s="7">
        <v>110700</v>
      </c>
      <c r="O2631" t="s">
        <v>57</v>
      </c>
      <c r="P2631" s="3">
        <v>41397</v>
      </c>
      <c r="Q2631" t="s">
        <v>19</v>
      </c>
    </row>
    <row r="2632" spans="1:17" x14ac:dyDescent="0.35">
      <c r="A2632" t="s">
        <v>2684</v>
      </c>
      <c r="B2632" t="s">
        <v>23</v>
      </c>
      <c r="C2632">
        <v>36</v>
      </c>
      <c r="D2632" t="s">
        <v>17</v>
      </c>
      <c r="E2632" t="s">
        <v>18</v>
      </c>
      <c r="F2632" t="s">
        <v>36</v>
      </c>
      <c r="G2632">
        <v>2.6</v>
      </c>
      <c r="H2632">
        <v>2.6</v>
      </c>
      <c r="I2632" t="str" cm="1">
        <f t="array" ref="I2632">_xlfn.IFS(G2632&lt;3, "0–2 Years", G2632&lt;6, "3–5 Years", G2632&lt;9, "6–8 Years", G2632&lt;12, "9-11 Years", G2632&gt;=12, "12-14 Years")</f>
        <v>0–2 Years</v>
      </c>
      <c r="J2632">
        <v>1</v>
      </c>
      <c r="K2632" t="s">
        <v>24</v>
      </c>
      <c r="L2632">
        <v>65700</v>
      </c>
      <c r="M2632">
        <v>4600</v>
      </c>
      <c r="N2632">
        <v>70300</v>
      </c>
      <c r="O2632" t="s">
        <v>21</v>
      </c>
      <c r="P2632" s="3">
        <v>45059</v>
      </c>
      <c r="Q2632" t="s">
        <v>36</v>
      </c>
    </row>
    <row r="2633" spans="1:17" x14ac:dyDescent="0.35">
      <c r="A2633" t="s">
        <v>2685</v>
      </c>
      <c r="B2633" t="s">
        <v>23</v>
      </c>
      <c r="C2633">
        <v>29</v>
      </c>
      <c r="D2633" t="s">
        <v>41</v>
      </c>
      <c r="E2633" t="s">
        <v>42</v>
      </c>
      <c r="F2633" t="s">
        <v>36</v>
      </c>
      <c r="G2633">
        <v>7.8</v>
      </c>
      <c r="H2633">
        <v>6</v>
      </c>
      <c r="I2633" t="str" cm="1">
        <f t="array" ref="I2633">_xlfn.IFS(G2633&lt;3, "0–2 Years", G2633&lt;6, "3–5 Years", G2633&lt;9, "6–8 Years", G2633&lt;12, "9-11 Years", G2633&gt;=12, "12-14 Years")</f>
        <v>6–8 Years</v>
      </c>
      <c r="J2633">
        <v>2</v>
      </c>
      <c r="K2633" t="s">
        <v>20</v>
      </c>
      <c r="L2633">
        <v>83900</v>
      </c>
      <c r="M2633">
        <v>4100</v>
      </c>
      <c r="N2633">
        <v>88000</v>
      </c>
      <c r="O2633" t="s">
        <v>30</v>
      </c>
      <c r="P2633" s="3">
        <v>43159</v>
      </c>
      <c r="Q2633" t="s">
        <v>36</v>
      </c>
    </row>
    <row r="2634" spans="1:17" x14ac:dyDescent="0.35">
      <c r="A2634" t="s">
        <v>2686</v>
      </c>
      <c r="B2634" t="s">
        <v>16</v>
      </c>
      <c r="C2634">
        <v>34</v>
      </c>
      <c r="D2634" t="s">
        <v>41</v>
      </c>
      <c r="E2634" t="s">
        <v>67</v>
      </c>
      <c r="F2634" t="s">
        <v>36</v>
      </c>
      <c r="G2634">
        <v>5</v>
      </c>
      <c r="H2634">
        <v>1.7</v>
      </c>
      <c r="I2634" t="str" cm="1">
        <f t="array" ref="I2634">_xlfn.IFS(G2634&lt;3, "0–2 Years", G2634&lt;6, "3–5 Years", G2634&lt;9, "6–8 Years", G2634&lt;12, "9-11 Years", G2634&gt;=12, "12-14 Years")</f>
        <v>3–5 Years</v>
      </c>
      <c r="J2634">
        <v>3</v>
      </c>
      <c r="K2634" t="s">
        <v>20</v>
      </c>
      <c r="L2634">
        <v>71900</v>
      </c>
      <c r="M2634">
        <v>3500</v>
      </c>
      <c r="N2634">
        <v>75400</v>
      </c>
      <c r="O2634" t="s">
        <v>21</v>
      </c>
      <c r="P2634" s="3">
        <v>44187</v>
      </c>
      <c r="Q2634" t="s">
        <v>36</v>
      </c>
    </row>
    <row r="2635" spans="1:17" x14ac:dyDescent="0.35">
      <c r="A2635" t="s">
        <v>2687</v>
      </c>
      <c r="B2635" t="s">
        <v>23</v>
      </c>
      <c r="C2635">
        <v>33</v>
      </c>
      <c r="D2635" t="s">
        <v>44</v>
      </c>
      <c r="E2635" t="s">
        <v>81</v>
      </c>
      <c r="F2635" t="s">
        <v>19</v>
      </c>
      <c r="G2635">
        <v>9.1</v>
      </c>
      <c r="H2635">
        <v>7.7</v>
      </c>
      <c r="I2635" t="str" cm="1">
        <f t="array" ref="I2635">_xlfn.IFS(G2635&lt;3, "0–2 Years", G2635&lt;6, "3–5 Years", G2635&lt;9, "6–8 Years", G2635&lt;12, "9-11 Years", G2635&gt;=12, "12-14 Years")</f>
        <v>9-11 Years</v>
      </c>
      <c r="J2635">
        <v>4</v>
      </c>
      <c r="K2635" t="s">
        <v>69</v>
      </c>
      <c r="L2635">
        <v>80500</v>
      </c>
      <c r="M2635">
        <v>11600</v>
      </c>
      <c r="N2635">
        <v>92100</v>
      </c>
      <c r="O2635" t="s">
        <v>30</v>
      </c>
      <c r="P2635" s="3">
        <v>42707</v>
      </c>
      <c r="Q2635" t="s">
        <v>19</v>
      </c>
    </row>
    <row r="2636" spans="1:17" x14ac:dyDescent="0.35">
      <c r="A2636" t="s">
        <v>2688</v>
      </c>
      <c r="B2636" t="s">
        <v>16</v>
      </c>
      <c r="C2636">
        <v>40</v>
      </c>
      <c r="D2636" t="s">
        <v>55</v>
      </c>
      <c r="E2636" t="s">
        <v>79</v>
      </c>
      <c r="F2636" t="s">
        <v>19</v>
      </c>
      <c r="G2636">
        <v>9.4</v>
      </c>
      <c r="H2636">
        <v>5.9</v>
      </c>
      <c r="I2636" t="str" cm="1">
        <f t="array" ref="I2636">_xlfn.IFS(G2636&lt;3, "0–2 Years", G2636&lt;6, "3–5 Years", G2636&lt;9, "6–8 Years", G2636&lt;12, "9-11 Years", G2636&gt;=12, "12-14 Years")</f>
        <v>9-11 Years</v>
      </c>
      <c r="J2636">
        <v>3</v>
      </c>
      <c r="K2636" t="s">
        <v>24</v>
      </c>
      <c r="L2636">
        <v>39000</v>
      </c>
      <c r="M2636">
        <v>6600</v>
      </c>
      <c r="N2636">
        <v>45600</v>
      </c>
      <c r="O2636" t="s">
        <v>65</v>
      </c>
      <c r="P2636" s="3">
        <v>42577</v>
      </c>
      <c r="Q2636" t="s">
        <v>19</v>
      </c>
    </row>
    <row r="2637" spans="1:17" x14ac:dyDescent="0.35">
      <c r="A2637" t="s">
        <v>2689</v>
      </c>
      <c r="B2637" t="s">
        <v>23</v>
      </c>
      <c r="C2637">
        <v>37</v>
      </c>
      <c r="D2637" t="s">
        <v>34</v>
      </c>
      <c r="E2637" t="s">
        <v>47</v>
      </c>
      <c r="F2637" t="s">
        <v>28</v>
      </c>
      <c r="G2637">
        <v>1.8</v>
      </c>
      <c r="H2637">
        <v>1.8</v>
      </c>
      <c r="I2637" t="str" cm="1">
        <f t="array" ref="I2637">_xlfn.IFS(G2637&lt;3, "0–2 Years", G2637&lt;6, "3–5 Years", G2637&lt;9, "6–8 Years", G2637&lt;12, "9-11 Years", G2637&gt;=12, "12-14 Years")</f>
        <v>0–2 Years</v>
      </c>
      <c r="J2637">
        <v>5</v>
      </c>
      <c r="K2637" t="s">
        <v>20</v>
      </c>
      <c r="L2637">
        <v>81800</v>
      </c>
      <c r="M2637">
        <v>4900</v>
      </c>
      <c r="N2637">
        <v>86700</v>
      </c>
      <c r="O2637" t="s">
        <v>30</v>
      </c>
      <c r="P2637" s="3">
        <v>45357</v>
      </c>
      <c r="Q2637" t="s">
        <v>28</v>
      </c>
    </row>
    <row r="2638" spans="1:17" x14ac:dyDescent="0.35">
      <c r="A2638" t="s">
        <v>2690</v>
      </c>
      <c r="B2638" t="s">
        <v>16</v>
      </c>
      <c r="C2638">
        <v>36</v>
      </c>
      <c r="D2638" t="s">
        <v>41</v>
      </c>
      <c r="E2638" t="s">
        <v>42</v>
      </c>
      <c r="F2638" t="s">
        <v>28</v>
      </c>
      <c r="G2638">
        <v>3.5</v>
      </c>
      <c r="H2638">
        <v>2.2999999999999998</v>
      </c>
      <c r="I2638" t="str" cm="1">
        <f t="array" ref="I2638">_xlfn.IFS(G2638&lt;3, "0–2 Years", G2638&lt;6, "3–5 Years", G2638&lt;9, "6–8 Years", G2638&lt;12, "9-11 Years", G2638&gt;=12, "12-14 Years")</f>
        <v>3–5 Years</v>
      </c>
      <c r="J2638">
        <v>3</v>
      </c>
      <c r="K2638" t="s">
        <v>20</v>
      </c>
      <c r="L2638">
        <v>70100</v>
      </c>
      <c r="M2638">
        <v>4400</v>
      </c>
      <c r="N2638">
        <v>74500</v>
      </c>
      <c r="O2638" t="s">
        <v>21</v>
      </c>
      <c r="P2638" s="3">
        <v>44746</v>
      </c>
      <c r="Q2638" t="s">
        <v>28</v>
      </c>
    </row>
    <row r="2639" spans="1:17" x14ac:dyDescent="0.35">
      <c r="A2639" t="s">
        <v>2691</v>
      </c>
      <c r="B2639" t="s">
        <v>16</v>
      </c>
      <c r="C2639">
        <v>46</v>
      </c>
      <c r="D2639" t="s">
        <v>17</v>
      </c>
      <c r="E2639" t="s">
        <v>32</v>
      </c>
      <c r="F2639" t="s">
        <v>36</v>
      </c>
      <c r="G2639">
        <v>8.1</v>
      </c>
      <c r="H2639">
        <v>5.9</v>
      </c>
      <c r="I2639" t="str" cm="1">
        <f t="array" ref="I2639">_xlfn.IFS(G2639&lt;3, "0–2 Years", G2639&lt;6, "3–5 Years", G2639&lt;9, "6–8 Years", G2639&lt;12, "9-11 Years", G2639&gt;=12, "12-14 Years")</f>
        <v>6–8 Years</v>
      </c>
      <c r="J2639">
        <v>3</v>
      </c>
      <c r="K2639" t="s">
        <v>20</v>
      </c>
      <c r="L2639">
        <v>81500</v>
      </c>
      <c r="M2639">
        <v>7900</v>
      </c>
      <c r="N2639">
        <v>89400</v>
      </c>
      <c r="O2639" t="s">
        <v>30</v>
      </c>
      <c r="P2639" s="3">
        <v>43062</v>
      </c>
      <c r="Q2639" t="s">
        <v>36</v>
      </c>
    </row>
    <row r="2640" spans="1:17" x14ac:dyDescent="0.35">
      <c r="A2640" t="s">
        <v>2692</v>
      </c>
      <c r="B2640" t="s">
        <v>23</v>
      </c>
      <c r="C2640" s="7">
        <v>23</v>
      </c>
      <c r="D2640" t="s">
        <v>55</v>
      </c>
      <c r="E2640" t="s">
        <v>92</v>
      </c>
      <c r="F2640" t="s">
        <v>36</v>
      </c>
      <c r="G2640" s="9">
        <v>12</v>
      </c>
      <c r="H2640" s="7">
        <v>7.9</v>
      </c>
      <c r="I2640" t="str" cm="1">
        <f t="array" ref="I2640">_xlfn.IFS(G2640&lt;3, "0–2 Years", G2640&lt;6, "3–5 Years", G2640&lt;9, "6–8 Years", G2640&lt;12, "9-11 Years", G2640&gt;=12, "12-14 Years")</f>
        <v>12-14 Years</v>
      </c>
      <c r="J2640" s="7">
        <v>2</v>
      </c>
      <c r="K2640" t="s">
        <v>20</v>
      </c>
      <c r="L2640" s="7">
        <v>118600</v>
      </c>
      <c r="M2640" s="7">
        <v>15600</v>
      </c>
      <c r="N2640" s="7">
        <v>134200</v>
      </c>
      <c r="O2640" t="s">
        <v>57</v>
      </c>
      <c r="P2640" s="3">
        <v>41653</v>
      </c>
      <c r="Q2640" t="s">
        <v>36</v>
      </c>
    </row>
    <row r="2641" spans="1:17" x14ac:dyDescent="0.35">
      <c r="A2641" t="s">
        <v>2693</v>
      </c>
      <c r="B2641" t="s">
        <v>23</v>
      </c>
      <c r="C2641">
        <v>45</v>
      </c>
      <c r="D2641" t="s">
        <v>34</v>
      </c>
      <c r="E2641" t="s">
        <v>59</v>
      </c>
      <c r="F2641" t="s">
        <v>28</v>
      </c>
      <c r="G2641">
        <v>10.5</v>
      </c>
      <c r="H2641">
        <v>7.9</v>
      </c>
      <c r="I2641" t="str" cm="1">
        <f t="array" ref="I2641">_xlfn.IFS(G2641&lt;3, "0–2 Years", G2641&lt;6, "3–5 Years", G2641&lt;9, "6–8 Years", G2641&lt;12, "9-11 Years", G2641&gt;=12, "12-14 Years")</f>
        <v>9-11 Years</v>
      </c>
      <c r="J2641">
        <v>5</v>
      </c>
      <c r="K2641" t="s">
        <v>20</v>
      </c>
      <c r="L2641">
        <v>105700</v>
      </c>
      <c r="M2641">
        <v>8300</v>
      </c>
      <c r="N2641">
        <v>114000</v>
      </c>
      <c r="O2641" t="s">
        <v>57</v>
      </c>
      <c r="P2641" s="3">
        <v>42191</v>
      </c>
      <c r="Q2641" t="s">
        <v>28</v>
      </c>
    </row>
    <row r="2642" spans="1:17" x14ac:dyDescent="0.35">
      <c r="A2642" t="s">
        <v>2694</v>
      </c>
      <c r="B2642" t="s">
        <v>23</v>
      </c>
      <c r="C2642">
        <v>33</v>
      </c>
      <c r="D2642" t="s">
        <v>17</v>
      </c>
      <c r="E2642" t="s">
        <v>27</v>
      </c>
      <c r="F2642" t="s">
        <v>28</v>
      </c>
      <c r="G2642">
        <v>10.9</v>
      </c>
      <c r="H2642">
        <v>8.6</v>
      </c>
      <c r="I2642" t="str" cm="1">
        <f t="array" ref="I2642">_xlfn.IFS(G2642&lt;3, "0–2 Years", G2642&lt;6, "3–5 Years", G2642&lt;9, "6–8 Years", G2642&lt;12, "9-11 Years", G2642&gt;=12, "12-14 Years")</f>
        <v>9-11 Years</v>
      </c>
      <c r="J2642">
        <v>3</v>
      </c>
      <c r="K2642" t="s">
        <v>20</v>
      </c>
      <c r="L2642">
        <v>79800</v>
      </c>
      <c r="M2642">
        <v>5700</v>
      </c>
      <c r="N2642">
        <v>85500</v>
      </c>
      <c r="O2642" t="s">
        <v>21</v>
      </c>
      <c r="P2642" s="3">
        <v>42037</v>
      </c>
      <c r="Q2642" t="s">
        <v>28</v>
      </c>
    </row>
    <row r="2643" spans="1:17" x14ac:dyDescent="0.35">
      <c r="A2643" t="s">
        <v>2695</v>
      </c>
      <c r="B2643" t="s">
        <v>16</v>
      </c>
      <c r="C2643">
        <v>30</v>
      </c>
      <c r="D2643" t="s">
        <v>41</v>
      </c>
      <c r="E2643" t="s">
        <v>67</v>
      </c>
      <c r="F2643" t="s">
        <v>36</v>
      </c>
      <c r="G2643">
        <v>8</v>
      </c>
      <c r="H2643">
        <v>3.8</v>
      </c>
      <c r="I2643" t="str" cm="1">
        <f t="array" ref="I2643">_xlfn.IFS(G2643&lt;3, "0–2 Years", G2643&lt;6, "3–5 Years", G2643&lt;9, "6–8 Years", G2643&lt;12, "9-11 Years", G2643&gt;=12, "12-14 Years")</f>
        <v>6–8 Years</v>
      </c>
      <c r="J2643">
        <v>3</v>
      </c>
      <c r="K2643" t="s">
        <v>20</v>
      </c>
      <c r="L2643">
        <v>73200</v>
      </c>
      <c r="M2643">
        <v>4400</v>
      </c>
      <c r="N2643">
        <v>77600</v>
      </c>
      <c r="O2643" t="s">
        <v>21</v>
      </c>
      <c r="P2643" s="3">
        <v>43114</v>
      </c>
      <c r="Q2643" t="s">
        <v>36</v>
      </c>
    </row>
    <row r="2644" spans="1:17" x14ac:dyDescent="0.35">
      <c r="A2644" t="s">
        <v>2696</v>
      </c>
      <c r="B2644" t="s">
        <v>23</v>
      </c>
      <c r="C2644">
        <v>37</v>
      </c>
      <c r="D2644" t="s">
        <v>17</v>
      </c>
      <c r="E2644" t="s">
        <v>27</v>
      </c>
      <c r="F2644" t="s">
        <v>28</v>
      </c>
      <c r="G2644">
        <v>5.8</v>
      </c>
      <c r="H2644">
        <v>3.6</v>
      </c>
      <c r="I2644" t="str" cm="1">
        <f t="array" ref="I2644">_xlfn.IFS(G2644&lt;3, "0–2 Years", G2644&lt;6, "3–5 Years", G2644&lt;9, "6–8 Years", G2644&lt;12, "9-11 Years", G2644&gt;=12, "12-14 Years")</f>
        <v>3–5 Years</v>
      </c>
      <c r="J2644">
        <v>4</v>
      </c>
      <c r="K2644" t="s">
        <v>20</v>
      </c>
      <c r="L2644">
        <v>80500</v>
      </c>
      <c r="M2644">
        <v>9800</v>
      </c>
      <c r="N2644">
        <v>90300</v>
      </c>
      <c r="O2644" t="s">
        <v>30</v>
      </c>
      <c r="P2644" s="3">
        <v>43890</v>
      </c>
      <c r="Q2644" t="s">
        <v>28</v>
      </c>
    </row>
    <row r="2645" spans="1:17" x14ac:dyDescent="0.35">
      <c r="A2645" t="s">
        <v>2697</v>
      </c>
      <c r="B2645" t="s">
        <v>23</v>
      </c>
      <c r="C2645">
        <v>28</v>
      </c>
      <c r="D2645" t="s">
        <v>55</v>
      </c>
      <c r="E2645" t="s">
        <v>92</v>
      </c>
      <c r="F2645" t="s">
        <v>28</v>
      </c>
      <c r="G2645">
        <v>6.9</v>
      </c>
      <c r="H2645">
        <v>3</v>
      </c>
      <c r="I2645" t="str" cm="1">
        <f t="array" ref="I2645">_xlfn.IFS(G2645&lt;3, "0–2 Years", G2645&lt;6, "3–5 Years", G2645&lt;9, "6–8 Years", G2645&lt;12, "9-11 Years", G2645&gt;=12, "12-14 Years")</f>
        <v>6–8 Years</v>
      </c>
      <c r="J2645">
        <v>3</v>
      </c>
      <c r="K2645" t="s">
        <v>20</v>
      </c>
      <c r="L2645">
        <v>84000</v>
      </c>
      <c r="M2645">
        <v>14400</v>
      </c>
      <c r="N2645">
        <v>98400</v>
      </c>
      <c r="O2645" t="s">
        <v>30</v>
      </c>
      <c r="P2645" s="3">
        <v>43518</v>
      </c>
      <c r="Q2645" t="s">
        <v>28</v>
      </c>
    </row>
    <row r="2646" spans="1:17" x14ac:dyDescent="0.35">
      <c r="A2646" t="s">
        <v>2698</v>
      </c>
      <c r="B2646" t="s">
        <v>23</v>
      </c>
      <c r="C2646" s="7">
        <v>40</v>
      </c>
      <c r="D2646" t="s">
        <v>17</v>
      </c>
      <c r="E2646" t="s">
        <v>27</v>
      </c>
      <c r="F2646" t="s">
        <v>28</v>
      </c>
      <c r="G2646" s="9">
        <v>12</v>
      </c>
      <c r="H2646" s="7">
        <v>8.5</v>
      </c>
      <c r="I2646" t="str" cm="1">
        <f t="array" ref="I2646">_xlfn.IFS(G2646&lt;3, "0–2 Years", G2646&lt;6, "3–5 Years", G2646&lt;9, "6–8 Years", G2646&lt;12, "9-11 Years", G2646&gt;=12, "12-14 Years")</f>
        <v>12-14 Years</v>
      </c>
      <c r="J2646" s="7">
        <v>3</v>
      </c>
      <c r="K2646" t="s">
        <v>20</v>
      </c>
      <c r="L2646" s="7">
        <v>76200</v>
      </c>
      <c r="M2646" s="7">
        <v>9600</v>
      </c>
      <c r="N2646" s="7">
        <v>85800</v>
      </c>
      <c r="O2646" t="s">
        <v>21</v>
      </c>
      <c r="P2646" s="3">
        <v>41645</v>
      </c>
      <c r="Q2646" t="s">
        <v>28</v>
      </c>
    </row>
    <row r="2647" spans="1:17" x14ac:dyDescent="0.35">
      <c r="A2647" t="s">
        <v>2699</v>
      </c>
      <c r="B2647" t="s">
        <v>16</v>
      </c>
      <c r="C2647">
        <v>25</v>
      </c>
      <c r="D2647" t="s">
        <v>44</v>
      </c>
      <c r="E2647" t="s">
        <v>81</v>
      </c>
      <c r="F2647" t="s">
        <v>28</v>
      </c>
      <c r="G2647">
        <v>5.8</v>
      </c>
      <c r="H2647">
        <v>0.5</v>
      </c>
      <c r="I2647" t="str" cm="1">
        <f t="array" ref="I2647">_xlfn.IFS(G2647&lt;3, "0–2 Years", G2647&lt;6, "3–5 Years", G2647&lt;9, "6–8 Years", G2647&lt;12, "9-11 Years", G2647&gt;=12, "12-14 Years")</f>
        <v>3–5 Years</v>
      </c>
      <c r="J2647">
        <v>4</v>
      </c>
      <c r="K2647" t="s">
        <v>20</v>
      </c>
      <c r="L2647">
        <v>95600</v>
      </c>
      <c r="M2647">
        <v>4900</v>
      </c>
      <c r="N2647">
        <v>100500</v>
      </c>
      <c r="O2647" t="s">
        <v>30</v>
      </c>
      <c r="P2647" s="3">
        <v>43916</v>
      </c>
      <c r="Q2647" t="s">
        <v>28</v>
      </c>
    </row>
    <row r="2648" spans="1:17" x14ac:dyDescent="0.35">
      <c r="A2648" t="s">
        <v>2700</v>
      </c>
      <c r="B2648" t="s">
        <v>16</v>
      </c>
      <c r="C2648">
        <v>26</v>
      </c>
      <c r="D2648" t="s">
        <v>44</v>
      </c>
      <c r="E2648" t="s">
        <v>51</v>
      </c>
      <c r="F2648" t="s">
        <v>28</v>
      </c>
      <c r="G2648">
        <v>5.9</v>
      </c>
      <c r="H2648">
        <v>3.7</v>
      </c>
      <c r="I2648" t="str" cm="1">
        <f t="array" ref="I2648">_xlfn.IFS(G2648&lt;3, "0–2 Years", G2648&lt;6, "3–5 Years", G2648&lt;9, "6–8 Years", G2648&lt;12, "9-11 Years", G2648&gt;=12, "12-14 Years")</f>
        <v>3–5 Years</v>
      </c>
      <c r="J2648">
        <v>4</v>
      </c>
      <c r="K2648" t="s">
        <v>24</v>
      </c>
      <c r="L2648">
        <v>46600</v>
      </c>
      <c r="M2648">
        <v>3000</v>
      </c>
      <c r="N2648">
        <v>49600</v>
      </c>
      <c r="O2648" t="s">
        <v>65</v>
      </c>
      <c r="P2648" s="3">
        <v>43872</v>
      </c>
      <c r="Q2648" t="s">
        <v>28</v>
      </c>
    </row>
    <row r="2649" spans="1:17" x14ac:dyDescent="0.35">
      <c r="A2649" t="s">
        <v>2701</v>
      </c>
      <c r="B2649" t="s">
        <v>16</v>
      </c>
      <c r="C2649">
        <v>22</v>
      </c>
      <c r="D2649" t="s">
        <v>55</v>
      </c>
      <c r="E2649" t="s">
        <v>79</v>
      </c>
      <c r="F2649" t="s">
        <v>36</v>
      </c>
      <c r="G2649">
        <v>2.4</v>
      </c>
      <c r="H2649">
        <v>2.4</v>
      </c>
      <c r="I2649" t="str" cm="1">
        <f t="array" ref="I2649">_xlfn.IFS(G2649&lt;3, "0–2 Years", G2649&lt;6, "3–5 Years", G2649&lt;9, "6–8 Years", G2649&lt;12, "9-11 Years", G2649&gt;=12, "12-14 Years")</f>
        <v>0–2 Years</v>
      </c>
      <c r="J2649">
        <v>5</v>
      </c>
      <c r="K2649" t="s">
        <v>20</v>
      </c>
      <c r="L2649">
        <v>68000</v>
      </c>
      <c r="M2649">
        <v>9000</v>
      </c>
      <c r="N2649">
        <v>77000</v>
      </c>
      <c r="O2649" t="s">
        <v>21</v>
      </c>
      <c r="P2649" s="3">
        <v>45146</v>
      </c>
      <c r="Q2649" t="s">
        <v>36</v>
      </c>
    </row>
    <row r="2650" spans="1:17" x14ac:dyDescent="0.35">
      <c r="A2650" t="s">
        <v>2702</v>
      </c>
      <c r="B2650" t="s">
        <v>23</v>
      </c>
      <c r="C2650">
        <v>25</v>
      </c>
      <c r="D2650" t="s">
        <v>55</v>
      </c>
      <c r="E2650" t="s">
        <v>56</v>
      </c>
      <c r="F2650" t="s">
        <v>28</v>
      </c>
      <c r="G2650">
        <v>8.1999999999999993</v>
      </c>
      <c r="H2650">
        <v>6.6</v>
      </c>
      <c r="I2650" t="str" cm="1">
        <f t="array" ref="I2650">_xlfn.IFS(G2650&lt;3, "0–2 Years", G2650&lt;6, "3–5 Years", G2650&lt;9, "6–8 Years", G2650&lt;12, "9-11 Years", G2650&gt;=12, "12-14 Years")</f>
        <v>6–8 Years</v>
      </c>
      <c r="J2650">
        <v>2</v>
      </c>
      <c r="K2650" t="s">
        <v>20</v>
      </c>
      <c r="L2650">
        <v>96300</v>
      </c>
      <c r="M2650">
        <v>17100</v>
      </c>
      <c r="N2650">
        <v>113400</v>
      </c>
      <c r="O2650" t="s">
        <v>30</v>
      </c>
      <c r="P2650" s="3">
        <v>43026</v>
      </c>
      <c r="Q2650" t="s">
        <v>28</v>
      </c>
    </row>
    <row r="2651" spans="1:17" x14ac:dyDescent="0.35">
      <c r="A2651" t="s">
        <v>2703</v>
      </c>
      <c r="B2651" t="s">
        <v>16</v>
      </c>
      <c r="C2651">
        <v>32</v>
      </c>
      <c r="D2651" t="s">
        <v>44</v>
      </c>
      <c r="E2651" t="s">
        <v>45</v>
      </c>
      <c r="F2651" t="s">
        <v>19</v>
      </c>
      <c r="G2651">
        <v>6</v>
      </c>
      <c r="H2651">
        <v>4.9000000000000004</v>
      </c>
      <c r="I2651" t="str" cm="1">
        <f t="array" ref="I2651">_xlfn.IFS(G2651&lt;3, "0–2 Years", G2651&lt;6, "3–5 Years", G2651&lt;9, "6–8 Years", G2651&lt;12, "9-11 Years", G2651&gt;=12, "12-14 Years")</f>
        <v>6–8 Years</v>
      </c>
      <c r="J2651">
        <v>3</v>
      </c>
      <c r="K2651" t="s">
        <v>20</v>
      </c>
      <c r="L2651">
        <v>66000</v>
      </c>
      <c r="M2651">
        <v>7600</v>
      </c>
      <c r="N2651">
        <v>73600</v>
      </c>
      <c r="O2651" t="s">
        <v>21</v>
      </c>
      <c r="P2651" s="3">
        <v>43844</v>
      </c>
      <c r="Q2651" t="s">
        <v>19</v>
      </c>
    </row>
    <row r="2652" spans="1:17" x14ac:dyDescent="0.35">
      <c r="A2652" t="s">
        <v>2704</v>
      </c>
      <c r="B2652" t="s">
        <v>16</v>
      </c>
      <c r="C2652">
        <v>40</v>
      </c>
      <c r="D2652" t="s">
        <v>55</v>
      </c>
      <c r="E2652" t="s">
        <v>79</v>
      </c>
      <c r="F2652" t="s">
        <v>28</v>
      </c>
      <c r="G2652">
        <v>4.4000000000000004</v>
      </c>
      <c r="H2652">
        <v>2.8</v>
      </c>
      <c r="I2652" t="str" cm="1">
        <f t="array" ref="I2652">_xlfn.IFS(G2652&lt;3, "0–2 Years", G2652&lt;6, "3–5 Years", G2652&lt;9, "6–8 Years", G2652&lt;12, "9-11 Years", G2652&gt;=12, "12-14 Years")</f>
        <v>3–5 Years</v>
      </c>
      <c r="J2652">
        <v>3</v>
      </c>
      <c r="K2652" t="s">
        <v>20</v>
      </c>
      <c r="L2652">
        <v>68100</v>
      </c>
      <c r="M2652">
        <v>10800</v>
      </c>
      <c r="N2652">
        <v>78900</v>
      </c>
      <c r="O2652" t="s">
        <v>21</v>
      </c>
      <c r="P2652" s="3">
        <v>44399</v>
      </c>
      <c r="Q2652" t="s">
        <v>28</v>
      </c>
    </row>
    <row r="2653" spans="1:17" x14ac:dyDescent="0.35">
      <c r="A2653" t="s">
        <v>2705</v>
      </c>
      <c r="B2653" t="s">
        <v>16</v>
      </c>
      <c r="C2653">
        <v>39</v>
      </c>
      <c r="D2653" t="s">
        <v>44</v>
      </c>
      <c r="E2653" t="s">
        <v>81</v>
      </c>
      <c r="F2653" t="s">
        <v>36</v>
      </c>
      <c r="G2653">
        <v>3.2</v>
      </c>
      <c r="H2653">
        <v>3.1</v>
      </c>
      <c r="I2653" t="str" cm="1">
        <f t="array" ref="I2653">_xlfn.IFS(G2653&lt;3, "0–2 Years", G2653&lt;6, "3–5 Years", G2653&lt;9, "6–8 Years", G2653&lt;12, "9-11 Years", G2653&gt;=12, "12-14 Years")</f>
        <v>3–5 Years</v>
      </c>
      <c r="J2653">
        <v>3</v>
      </c>
      <c r="K2653" t="s">
        <v>20</v>
      </c>
      <c r="L2653">
        <v>92900</v>
      </c>
      <c r="M2653">
        <v>5000</v>
      </c>
      <c r="N2653">
        <v>97900</v>
      </c>
      <c r="O2653" t="s">
        <v>30</v>
      </c>
      <c r="P2653" s="3">
        <v>44841</v>
      </c>
      <c r="Q2653" t="s">
        <v>36</v>
      </c>
    </row>
    <row r="2654" spans="1:17" x14ac:dyDescent="0.35">
      <c r="A2654" t="s">
        <v>2706</v>
      </c>
      <c r="B2654" t="s">
        <v>23</v>
      </c>
      <c r="C2654">
        <v>39</v>
      </c>
      <c r="D2654" t="s">
        <v>55</v>
      </c>
      <c r="E2654" t="s">
        <v>56</v>
      </c>
      <c r="F2654" t="s">
        <v>28</v>
      </c>
      <c r="G2654">
        <v>11.4</v>
      </c>
      <c r="H2654">
        <v>7.5</v>
      </c>
      <c r="I2654" t="str" cm="1">
        <f t="array" ref="I2654">_xlfn.IFS(G2654&lt;3, "0–2 Years", G2654&lt;6, "3–5 Years", G2654&lt;9, "6–8 Years", G2654&lt;12, "9-11 Years", G2654&gt;=12, "12-14 Years")</f>
        <v>9-11 Years</v>
      </c>
      <c r="J2654">
        <v>4</v>
      </c>
      <c r="K2654" t="s">
        <v>20</v>
      </c>
      <c r="L2654">
        <v>104700</v>
      </c>
      <c r="M2654">
        <v>11400</v>
      </c>
      <c r="N2654">
        <v>116100</v>
      </c>
      <c r="O2654" t="s">
        <v>57</v>
      </c>
      <c r="P2654" s="3">
        <v>41858</v>
      </c>
      <c r="Q2654" t="s">
        <v>28</v>
      </c>
    </row>
    <row r="2655" spans="1:17" x14ac:dyDescent="0.35">
      <c r="A2655" t="s">
        <v>2707</v>
      </c>
      <c r="B2655" t="s">
        <v>16</v>
      </c>
      <c r="C2655">
        <v>29</v>
      </c>
      <c r="D2655" t="s">
        <v>17</v>
      </c>
      <c r="E2655" t="s">
        <v>32</v>
      </c>
      <c r="F2655" t="s">
        <v>28</v>
      </c>
      <c r="G2655">
        <v>5.3</v>
      </c>
      <c r="H2655">
        <v>4.9000000000000004</v>
      </c>
      <c r="I2655" t="str" cm="1">
        <f t="array" ref="I2655">_xlfn.IFS(G2655&lt;3, "0–2 Years", G2655&lt;6, "3–5 Years", G2655&lt;9, "6–8 Years", G2655&lt;12, "9-11 Years", G2655&gt;=12, "12-14 Years")</f>
        <v>3–5 Years</v>
      </c>
      <c r="J2655">
        <v>4</v>
      </c>
      <c r="K2655" t="s">
        <v>20</v>
      </c>
      <c r="L2655">
        <v>68500</v>
      </c>
      <c r="M2655">
        <v>8900</v>
      </c>
      <c r="N2655">
        <v>77400</v>
      </c>
      <c r="O2655" t="s">
        <v>21</v>
      </c>
      <c r="P2655" s="3">
        <v>44104</v>
      </c>
      <c r="Q2655" t="s">
        <v>28</v>
      </c>
    </row>
    <row r="2656" spans="1:17" x14ac:dyDescent="0.35">
      <c r="A2656" t="s">
        <v>2708</v>
      </c>
      <c r="B2656" t="s">
        <v>23</v>
      </c>
      <c r="C2656">
        <v>29</v>
      </c>
      <c r="D2656" t="s">
        <v>34</v>
      </c>
      <c r="E2656" t="s">
        <v>59</v>
      </c>
      <c r="F2656" t="s">
        <v>28</v>
      </c>
      <c r="G2656">
        <v>8.9</v>
      </c>
      <c r="H2656">
        <v>4.8</v>
      </c>
      <c r="I2656" t="str" cm="1">
        <f t="array" ref="I2656">_xlfn.IFS(G2656&lt;3, "0–2 Years", G2656&lt;6, "3–5 Years", G2656&lt;9, "6–8 Years", G2656&lt;12, "9-11 Years", G2656&gt;=12, "12-14 Years")</f>
        <v>6–8 Years</v>
      </c>
      <c r="J2656">
        <v>4</v>
      </c>
      <c r="K2656" t="s">
        <v>20</v>
      </c>
      <c r="L2656">
        <v>112700</v>
      </c>
      <c r="M2656">
        <v>5500</v>
      </c>
      <c r="N2656">
        <v>118200</v>
      </c>
      <c r="O2656" t="s">
        <v>57</v>
      </c>
      <c r="P2656" s="3">
        <v>42774</v>
      </c>
      <c r="Q2656" t="s">
        <v>28</v>
      </c>
    </row>
    <row r="2657" spans="1:17" x14ac:dyDescent="0.35">
      <c r="A2657" t="s">
        <v>2709</v>
      </c>
      <c r="B2657" t="s">
        <v>23</v>
      </c>
      <c r="C2657">
        <v>31</v>
      </c>
      <c r="D2657" t="s">
        <v>44</v>
      </c>
      <c r="E2657" t="s">
        <v>51</v>
      </c>
      <c r="F2657" t="s">
        <v>28</v>
      </c>
      <c r="G2657">
        <v>3</v>
      </c>
      <c r="H2657">
        <v>2.6</v>
      </c>
      <c r="I2657" t="str" cm="1">
        <f t="array" ref="I2657">_xlfn.IFS(G2657&lt;3, "0–2 Years", G2657&lt;6, "3–5 Years", G2657&lt;9, "6–8 Years", G2657&lt;12, "9-11 Years", G2657&gt;=12, "12-14 Years")</f>
        <v>3–5 Years</v>
      </c>
      <c r="J2657">
        <v>1</v>
      </c>
      <c r="K2657" t="s">
        <v>20</v>
      </c>
      <c r="L2657">
        <v>79500</v>
      </c>
      <c r="M2657">
        <v>11600</v>
      </c>
      <c r="N2657">
        <v>91100</v>
      </c>
      <c r="O2657" t="s">
        <v>21</v>
      </c>
      <c r="P2657" s="3">
        <v>44944</v>
      </c>
      <c r="Q2657" t="s">
        <v>28</v>
      </c>
    </row>
    <row r="2658" spans="1:17" x14ac:dyDescent="0.35">
      <c r="A2658" t="s">
        <v>2710</v>
      </c>
      <c r="B2658" t="s">
        <v>16</v>
      </c>
      <c r="C2658">
        <v>36</v>
      </c>
      <c r="D2658" t="s">
        <v>55</v>
      </c>
      <c r="E2658" t="s">
        <v>92</v>
      </c>
      <c r="F2658" t="s">
        <v>28</v>
      </c>
      <c r="G2658">
        <v>4.7</v>
      </c>
      <c r="H2658">
        <v>4.0999999999999996</v>
      </c>
      <c r="I2658" t="str" cm="1">
        <f t="array" ref="I2658">_xlfn.IFS(G2658&lt;3, "0–2 Years", G2658&lt;6, "3–5 Years", G2658&lt;9, "6–8 Years", G2658&lt;12, "9-11 Years", G2658&gt;=12, "12-14 Years")</f>
        <v>3–5 Years</v>
      </c>
      <c r="J2658">
        <v>3</v>
      </c>
      <c r="K2658" t="s">
        <v>69</v>
      </c>
      <c r="L2658">
        <v>81900</v>
      </c>
      <c r="M2658">
        <v>7900</v>
      </c>
      <c r="N2658">
        <v>89800</v>
      </c>
      <c r="O2658" t="s">
        <v>30</v>
      </c>
      <c r="P2658" s="3">
        <v>44315</v>
      </c>
      <c r="Q2658" t="s">
        <v>28</v>
      </c>
    </row>
    <row r="2659" spans="1:17" x14ac:dyDescent="0.35">
      <c r="A2659" t="s">
        <v>2711</v>
      </c>
      <c r="B2659" t="s">
        <v>23</v>
      </c>
      <c r="C2659">
        <v>44</v>
      </c>
      <c r="D2659" t="s">
        <v>38</v>
      </c>
      <c r="E2659" t="s">
        <v>112</v>
      </c>
      <c r="F2659" t="s">
        <v>36</v>
      </c>
      <c r="G2659">
        <v>9.6999999999999993</v>
      </c>
      <c r="H2659">
        <v>6.7</v>
      </c>
      <c r="I2659" t="str" cm="1">
        <f t="array" ref="I2659">_xlfn.IFS(G2659&lt;3, "0–2 Years", G2659&lt;6, "3–5 Years", G2659&lt;9, "6–8 Years", G2659&lt;12, "9-11 Years", G2659&gt;=12, "12-14 Years")</f>
        <v>9-11 Years</v>
      </c>
      <c r="J2659">
        <v>4</v>
      </c>
      <c r="K2659" t="s">
        <v>20</v>
      </c>
      <c r="L2659">
        <v>71000</v>
      </c>
      <c r="M2659">
        <v>4700</v>
      </c>
      <c r="N2659">
        <v>75700</v>
      </c>
      <c r="O2659" t="s">
        <v>21</v>
      </c>
      <c r="P2659" s="3">
        <v>42474</v>
      </c>
      <c r="Q2659" t="s">
        <v>36</v>
      </c>
    </row>
    <row r="2660" spans="1:17" x14ac:dyDescent="0.35">
      <c r="A2660" t="s">
        <v>2712</v>
      </c>
      <c r="B2660" t="s">
        <v>23</v>
      </c>
      <c r="C2660">
        <v>48</v>
      </c>
      <c r="D2660" t="s">
        <v>41</v>
      </c>
      <c r="E2660" t="s">
        <v>42</v>
      </c>
      <c r="F2660" t="s">
        <v>28</v>
      </c>
      <c r="G2660">
        <v>9.6</v>
      </c>
      <c r="H2660">
        <v>7.6</v>
      </c>
      <c r="I2660" t="str" cm="1">
        <f t="array" ref="I2660">_xlfn.IFS(G2660&lt;3, "0–2 Years", G2660&lt;6, "3–5 Years", G2660&lt;9, "6–8 Years", G2660&lt;12, "9-11 Years", G2660&gt;=12, "12-14 Years")</f>
        <v>9-11 Years</v>
      </c>
      <c r="J2660">
        <v>4</v>
      </c>
      <c r="K2660" t="s">
        <v>20</v>
      </c>
      <c r="L2660">
        <v>74600</v>
      </c>
      <c r="M2660">
        <v>3600</v>
      </c>
      <c r="N2660">
        <v>78200</v>
      </c>
      <c r="O2660" t="s">
        <v>21</v>
      </c>
      <c r="P2660" s="3">
        <v>42507</v>
      </c>
      <c r="Q2660" t="s">
        <v>28</v>
      </c>
    </row>
    <row r="2661" spans="1:17" x14ac:dyDescent="0.35">
      <c r="A2661" t="s">
        <v>2713</v>
      </c>
      <c r="B2661" t="s">
        <v>23</v>
      </c>
      <c r="C2661">
        <v>21</v>
      </c>
      <c r="D2661" t="s">
        <v>44</v>
      </c>
      <c r="E2661" t="s">
        <v>45</v>
      </c>
      <c r="F2661" t="s">
        <v>28</v>
      </c>
      <c r="G2661">
        <v>4.0999999999999996</v>
      </c>
      <c r="H2661">
        <v>2.7</v>
      </c>
      <c r="I2661" t="str" cm="1">
        <f t="array" ref="I2661">_xlfn.IFS(G2661&lt;3, "0–2 Years", G2661&lt;6, "3–5 Years", G2661&lt;9, "6–8 Years", G2661&lt;12, "9-11 Years", G2661&gt;=12, "12-14 Years")</f>
        <v>3–5 Years</v>
      </c>
      <c r="J2661">
        <v>3</v>
      </c>
      <c r="K2661" t="s">
        <v>20</v>
      </c>
      <c r="L2661">
        <v>60800</v>
      </c>
      <c r="M2661">
        <v>7800</v>
      </c>
      <c r="N2661">
        <v>68600</v>
      </c>
      <c r="O2661" t="s">
        <v>25</v>
      </c>
      <c r="P2661" s="3">
        <v>44524</v>
      </c>
      <c r="Q2661" t="s">
        <v>28</v>
      </c>
    </row>
    <row r="2662" spans="1:17" x14ac:dyDescent="0.35">
      <c r="A2662" t="s">
        <v>2714</v>
      </c>
      <c r="B2662" t="s">
        <v>23</v>
      </c>
      <c r="C2662" s="7">
        <v>22</v>
      </c>
      <c r="D2662" t="s">
        <v>17</v>
      </c>
      <c r="E2662" t="s">
        <v>27</v>
      </c>
      <c r="F2662" t="s">
        <v>28</v>
      </c>
      <c r="G2662" s="9">
        <v>13.3</v>
      </c>
      <c r="H2662" s="7">
        <v>7.4</v>
      </c>
      <c r="I2662" t="str" cm="1">
        <f t="array" ref="I2662">_xlfn.IFS(G2662&lt;3, "0–2 Years", G2662&lt;6, "3–5 Years", G2662&lt;9, "6–8 Years", G2662&lt;12, "9-11 Years", G2662&gt;=12, "12-14 Years")</f>
        <v>12-14 Years</v>
      </c>
      <c r="J2662" s="7">
        <v>4</v>
      </c>
      <c r="K2662" t="s">
        <v>20</v>
      </c>
      <c r="L2662" s="7">
        <v>86300</v>
      </c>
      <c r="M2662" s="7">
        <v>9800</v>
      </c>
      <c r="N2662" s="7">
        <v>96100</v>
      </c>
      <c r="O2662" t="s">
        <v>30</v>
      </c>
      <c r="P2662" s="3">
        <v>41159</v>
      </c>
      <c r="Q2662" t="s">
        <v>28</v>
      </c>
    </row>
    <row r="2663" spans="1:17" x14ac:dyDescent="0.35">
      <c r="A2663" t="s">
        <v>2715</v>
      </c>
      <c r="B2663" t="s">
        <v>16</v>
      </c>
      <c r="C2663">
        <v>43</v>
      </c>
      <c r="D2663" t="s">
        <v>44</v>
      </c>
      <c r="E2663" t="s">
        <v>81</v>
      </c>
      <c r="F2663" t="s">
        <v>19</v>
      </c>
      <c r="G2663">
        <v>9.4</v>
      </c>
      <c r="H2663">
        <v>5.6</v>
      </c>
      <c r="I2663" t="str" cm="1">
        <f t="array" ref="I2663">_xlfn.IFS(G2663&lt;3, "0–2 Years", G2663&lt;6, "3–5 Years", G2663&lt;9, "6–8 Years", G2663&lt;12, "9-11 Years", G2663&gt;=12, "12-14 Years")</f>
        <v>9-11 Years</v>
      </c>
      <c r="J2663">
        <v>1</v>
      </c>
      <c r="K2663" t="s">
        <v>20</v>
      </c>
      <c r="L2663">
        <v>94100</v>
      </c>
      <c r="M2663">
        <v>13200</v>
      </c>
      <c r="N2663">
        <v>107300</v>
      </c>
      <c r="O2663" t="s">
        <v>30</v>
      </c>
      <c r="P2663" s="3">
        <v>42578</v>
      </c>
      <c r="Q2663" t="s">
        <v>19</v>
      </c>
    </row>
    <row r="2664" spans="1:17" x14ac:dyDescent="0.35">
      <c r="A2664" t="s">
        <v>2716</v>
      </c>
      <c r="B2664" t="s">
        <v>23</v>
      </c>
      <c r="C2664">
        <v>51</v>
      </c>
      <c r="D2664" t="s">
        <v>44</v>
      </c>
      <c r="E2664" t="s">
        <v>45</v>
      </c>
      <c r="F2664" t="s">
        <v>62</v>
      </c>
      <c r="G2664">
        <v>4.4000000000000004</v>
      </c>
      <c r="H2664">
        <v>3.9</v>
      </c>
      <c r="I2664" t="str" cm="1">
        <f t="array" ref="I2664">_xlfn.IFS(G2664&lt;3, "0–2 Years", G2664&lt;6, "3–5 Years", G2664&lt;9, "6–8 Years", G2664&lt;12, "9-11 Years", G2664&gt;=12, "12-14 Years")</f>
        <v>3–5 Years</v>
      </c>
      <c r="J2664">
        <v>4</v>
      </c>
      <c r="K2664" t="s">
        <v>20</v>
      </c>
      <c r="L2664">
        <v>83600</v>
      </c>
      <c r="M2664">
        <v>11600</v>
      </c>
      <c r="N2664">
        <v>95200</v>
      </c>
      <c r="O2664" t="s">
        <v>30</v>
      </c>
      <c r="P2664" s="3">
        <v>44418</v>
      </c>
      <c r="Q2664" t="s">
        <v>62</v>
      </c>
    </row>
    <row r="2665" spans="1:17" x14ac:dyDescent="0.35">
      <c r="A2665" t="s">
        <v>2717</v>
      </c>
      <c r="B2665" t="s">
        <v>16</v>
      </c>
      <c r="C2665">
        <v>50</v>
      </c>
      <c r="D2665" t="s">
        <v>41</v>
      </c>
      <c r="E2665" t="s">
        <v>67</v>
      </c>
      <c r="F2665" t="s">
        <v>28</v>
      </c>
      <c r="G2665">
        <v>10.8</v>
      </c>
      <c r="H2665">
        <v>5.4</v>
      </c>
      <c r="I2665" t="str" cm="1">
        <f t="array" ref="I2665">_xlfn.IFS(G2665&lt;3, "0–2 Years", G2665&lt;6, "3–5 Years", G2665&lt;9, "6–8 Years", G2665&lt;12, "9-11 Years", G2665&gt;=12, "12-14 Years")</f>
        <v>9-11 Years</v>
      </c>
      <c r="J2665">
        <v>2</v>
      </c>
      <c r="K2665" t="s">
        <v>20</v>
      </c>
      <c r="L2665">
        <v>72800</v>
      </c>
      <c r="M2665">
        <v>5700</v>
      </c>
      <c r="N2665">
        <v>78500</v>
      </c>
      <c r="O2665" t="s">
        <v>21</v>
      </c>
      <c r="P2665" s="3">
        <v>42072</v>
      </c>
      <c r="Q2665" t="s">
        <v>28</v>
      </c>
    </row>
    <row r="2666" spans="1:17" x14ac:dyDescent="0.35">
      <c r="A2666" t="s">
        <v>2718</v>
      </c>
      <c r="B2666" t="s">
        <v>16</v>
      </c>
      <c r="C2666">
        <v>22</v>
      </c>
      <c r="D2666" t="s">
        <v>34</v>
      </c>
      <c r="E2666" t="s">
        <v>59</v>
      </c>
      <c r="F2666" t="s">
        <v>19</v>
      </c>
      <c r="G2666">
        <v>6.5</v>
      </c>
      <c r="H2666">
        <v>6.2</v>
      </c>
      <c r="I2666" t="str" cm="1">
        <f t="array" ref="I2666">_xlfn.IFS(G2666&lt;3, "0–2 Years", G2666&lt;6, "3–5 Years", G2666&lt;9, "6–8 Years", G2666&lt;12, "9-11 Years", G2666&gt;=12, "12-14 Years")</f>
        <v>6–8 Years</v>
      </c>
      <c r="J2666">
        <v>3</v>
      </c>
      <c r="K2666" t="s">
        <v>24</v>
      </c>
      <c r="L2666">
        <v>66400</v>
      </c>
      <c r="M2666">
        <v>5700</v>
      </c>
      <c r="N2666">
        <v>72100</v>
      </c>
      <c r="O2666" t="s">
        <v>21</v>
      </c>
      <c r="P2666" s="3">
        <v>43637</v>
      </c>
      <c r="Q2666" t="s">
        <v>19</v>
      </c>
    </row>
    <row r="2667" spans="1:17" x14ac:dyDescent="0.35">
      <c r="A2667" t="s">
        <v>2719</v>
      </c>
      <c r="B2667" t="s">
        <v>23</v>
      </c>
      <c r="C2667">
        <v>37</v>
      </c>
      <c r="D2667" t="s">
        <v>38</v>
      </c>
      <c r="E2667" t="s">
        <v>112</v>
      </c>
      <c r="F2667" t="s">
        <v>28</v>
      </c>
      <c r="G2667">
        <v>8.4</v>
      </c>
      <c r="H2667">
        <v>5</v>
      </c>
      <c r="I2667" t="str" cm="1">
        <f t="array" ref="I2667">_xlfn.IFS(G2667&lt;3, "0–2 Years", G2667&lt;6, "3–5 Years", G2667&lt;9, "6–8 Years", G2667&lt;12, "9-11 Years", G2667&gt;=12, "12-14 Years")</f>
        <v>6–8 Years</v>
      </c>
      <c r="J2667">
        <v>5</v>
      </c>
      <c r="K2667" t="s">
        <v>20</v>
      </c>
      <c r="L2667">
        <v>80600</v>
      </c>
      <c r="M2667">
        <v>5000</v>
      </c>
      <c r="N2667">
        <v>85600</v>
      </c>
      <c r="O2667" t="s">
        <v>30</v>
      </c>
      <c r="P2667" s="3">
        <v>42952</v>
      </c>
      <c r="Q2667" t="s">
        <v>28</v>
      </c>
    </row>
    <row r="2668" spans="1:17" x14ac:dyDescent="0.35">
      <c r="A2668" t="s">
        <v>2720</v>
      </c>
      <c r="B2668" t="s">
        <v>16</v>
      </c>
      <c r="C2668">
        <v>29</v>
      </c>
      <c r="D2668" t="s">
        <v>44</v>
      </c>
      <c r="E2668" t="s">
        <v>76</v>
      </c>
      <c r="F2668" t="s">
        <v>36</v>
      </c>
      <c r="G2668">
        <v>5.7</v>
      </c>
      <c r="H2668">
        <v>2.8</v>
      </c>
      <c r="I2668" t="str" cm="1">
        <f t="array" ref="I2668">_xlfn.IFS(G2668&lt;3, "0–2 Years", G2668&lt;6, "3–5 Years", G2668&lt;9, "6–8 Years", G2668&lt;12, "9-11 Years", G2668&gt;=12, "12-14 Years")</f>
        <v>3–5 Years</v>
      </c>
      <c r="J2668">
        <v>3</v>
      </c>
      <c r="K2668" t="s">
        <v>20</v>
      </c>
      <c r="L2668">
        <v>112700</v>
      </c>
      <c r="M2668">
        <v>6600</v>
      </c>
      <c r="N2668">
        <v>119300</v>
      </c>
      <c r="O2668" t="s">
        <v>57</v>
      </c>
      <c r="P2668" s="3">
        <v>43952</v>
      </c>
      <c r="Q2668" t="s">
        <v>36</v>
      </c>
    </row>
    <row r="2669" spans="1:17" x14ac:dyDescent="0.35">
      <c r="A2669" t="s">
        <v>2721</v>
      </c>
      <c r="B2669" t="s">
        <v>16</v>
      </c>
      <c r="C2669">
        <v>41</v>
      </c>
      <c r="D2669" t="s">
        <v>41</v>
      </c>
      <c r="E2669" t="s">
        <v>73</v>
      </c>
      <c r="F2669" t="s">
        <v>36</v>
      </c>
      <c r="G2669">
        <v>9.6</v>
      </c>
      <c r="H2669">
        <v>8</v>
      </c>
      <c r="I2669" t="str" cm="1">
        <f t="array" ref="I2669">_xlfn.IFS(G2669&lt;3, "0–2 Years", G2669&lt;6, "3–5 Years", G2669&lt;9, "6–8 Years", G2669&lt;12, "9-11 Years", G2669&gt;=12, "12-14 Years")</f>
        <v>9-11 Years</v>
      </c>
      <c r="J2669">
        <v>3</v>
      </c>
      <c r="K2669" t="s">
        <v>20</v>
      </c>
      <c r="L2669">
        <v>103200</v>
      </c>
      <c r="M2669">
        <v>4500</v>
      </c>
      <c r="N2669">
        <v>107700</v>
      </c>
      <c r="O2669" t="s">
        <v>57</v>
      </c>
      <c r="P2669" s="3">
        <v>42509</v>
      </c>
      <c r="Q2669" t="s">
        <v>36</v>
      </c>
    </row>
    <row r="2670" spans="1:17" x14ac:dyDescent="0.35">
      <c r="A2670" t="s">
        <v>2722</v>
      </c>
      <c r="B2670" t="s">
        <v>16</v>
      </c>
      <c r="C2670" s="7">
        <v>40</v>
      </c>
      <c r="D2670" t="s">
        <v>17</v>
      </c>
      <c r="E2670" t="s">
        <v>32</v>
      </c>
      <c r="F2670" t="s">
        <v>36</v>
      </c>
      <c r="G2670" s="9">
        <v>13.2</v>
      </c>
      <c r="H2670" s="7">
        <v>7.5</v>
      </c>
      <c r="I2670" t="str" cm="1">
        <f t="array" ref="I2670">_xlfn.IFS(G2670&lt;3, "0–2 Years", G2670&lt;6, "3–5 Years", G2670&lt;9, "6–8 Years", G2670&lt;12, "9-11 Years", G2670&gt;=12, "12-14 Years")</f>
        <v>12-14 Years</v>
      </c>
      <c r="J2670" s="7">
        <v>2</v>
      </c>
      <c r="K2670" t="s">
        <v>20</v>
      </c>
      <c r="L2670" s="7">
        <v>87100</v>
      </c>
      <c r="M2670" s="7">
        <v>11100</v>
      </c>
      <c r="N2670" s="7">
        <v>98200</v>
      </c>
      <c r="O2670" t="s">
        <v>30</v>
      </c>
      <c r="P2670" s="3">
        <v>41194</v>
      </c>
      <c r="Q2670" t="s">
        <v>36</v>
      </c>
    </row>
    <row r="2671" spans="1:17" x14ac:dyDescent="0.35">
      <c r="A2671" t="s">
        <v>2723</v>
      </c>
      <c r="B2671" t="s">
        <v>16</v>
      </c>
      <c r="C2671">
        <v>40</v>
      </c>
      <c r="D2671" t="s">
        <v>55</v>
      </c>
      <c r="E2671" t="s">
        <v>79</v>
      </c>
      <c r="F2671" t="s">
        <v>28</v>
      </c>
      <c r="G2671">
        <v>4</v>
      </c>
      <c r="H2671">
        <v>2.2999999999999998</v>
      </c>
      <c r="I2671" t="str" cm="1">
        <f t="array" ref="I2671">_xlfn.IFS(G2671&lt;3, "0–2 Years", G2671&lt;6, "3–5 Years", G2671&lt;9, "6–8 Years", G2671&lt;12, "9-11 Years", G2671&gt;=12, "12-14 Years")</f>
        <v>3–5 Years</v>
      </c>
      <c r="J2671">
        <v>3</v>
      </c>
      <c r="K2671" t="s">
        <v>20</v>
      </c>
      <c r="L2671">
        <v>65300</v>
      </c>
      <c r="M2671">
        <v>7000</v>
      </c>
      <c r="N2671">
        <v>72300</v>
      </c>
      <c r="O2671" t="s">
        <v>21</v>
      </c>
      <c r="P2671" s="3">
        <v>44564</v>
      </c>
      <c r="Q2671" t="s">
        <v>28</v>
      </c>
    </row>
    <row r="2672" spans="1:17" x14ac:dyDescent="0.35">
      <c r="A2672" t="s">
        <v>2724</v>
      </c>
      <c r="B2672" t="s">
        <v>23</v>
      </c>
      <c r="C2672">
        <v>26</v>
      </c>
      <c r="D2672" t="s">
        <v>34</v>
      </c>
      <c r="E2672" t="s">
        <v>47</v>
      </c>
      <c r="F2672" t="s">
        <v>36</v>
      </c>
      <c r="G2672">
        <v>8.8000000000000007</v>
      </c>
      <c r="H2672">
        <v>8.5</v>
      </c>
      <c r="I2672" t="str" cm="1">
        <f t="array" ref="I2672">_xlfn.IFS(G2672&lt;3, "0–2 Years", G2672&lt;6, "3–5 Years", G2672&lt;9, "6–8 Years", G2672&lt;12, "9-11 Years", G2672&gt;=12, "12-14 Years")</f>
        <v>6–8 Years</v>
      </c>
      <c r="J2672">
        <v>4</v>
      </c>
      <c r="K2672" t="s">
        <v>24</v>
      </c>
      <c r="L2672">
        <v>52300</v>
      </c>
      <c r="M2672">
        <v>3100</v>
      </c>
      <c r="N2672">
        <v>55400</v>
      </c>
      <c r="O2672" t="s">
        <v>25</v>
      </c>
      <c r="P2672" s="3">
        <v>42802</v>
      </c>
      <c r="Q2672" t="s">
        <v>36</v>
      </c>
    </row>
    <row r="2673" spans="1:17" x14ac:dyDescent="0.35">
      <c r="A2673" t="s">
        <v>2725</v>
      </c>
      <c r="B2673" t="s">
        <v>16</v>
      </c>
      <c r="C2673">
        <v>41</v>
      </c>
      <c r="D2673" t="s">
        <v>41</v>
      </c>
      <c r="E2673" t="s">
        <v>73</v>
      </c>
      <c r="F2673" t="s">
        <v>28</v>
      </c>
      <c r="G2673">
        <v>2.8</v>
      </c>
      <c r="H2673">
        <v>2.8</v>
      </c>
      <c r="I2673" t="str" cm="1">
        <f t="array" ref="I2673">_xlfn.IFS(G2673&lt;3, "0–2 Years", G2673&lt;6, "3–5 Years", G2673&lt;9, "6–8 Years", G2673&lt;12, "9-11 Years", G2673&gt;=12, "12-14 Years")</f>
        <v>0–2 Years</v>
      </c>
      <c r="J2673">
        <v>4</v>
      </c>
      <c r="K2673" t="s">
        <v>20</v>
      </c>
      <c r="L2673">
        <v>95200</v>
      </c>
      <c r="M2673">
        <v>6800</v>
      </c>
      <c r="N2673">
        <v>102000</v>
      </c>
      <c r="O2673" t="s">
        <v>30</v>
      </c>
      <c r="P2673" s="3">
        <v>44989</v>
      </c>
      <c r="Q2673" t="s">
        <v>28</v>
      </c>
    </row>
    <row r="2674" spans="1:17" x14ac:dyDescent="0.35">
      <c r="A2674" t="s">
        <v>2726</v>
      </c>
      <c r="B2674" t="s">
        <v>16</v>
      </c>
      <c r="C2674">
        <v>36</v>
      </c>
      <c r="D2674" t="s">
        <v>17</v>
      </c>
      <c r="E2674" t="s">
        <v>18</v>
      </c>
      <c r="F2674" t="s">
        <v>28</v>
      </c>
      <c r="G2674">
        <v>10.8</v>
      </c>
      <c r="H2674">
        <v>8.3000000000000007</v>
      </c>
      <c r="I2674" t="str" cm="1">
        <f t="array" ref="I2674">_xlfn.IFS(G2674&lt;3, "0–2 Years", G2674&lt;6, "3–5 Years", G2674&lt;9, "6–8 Years", G2674&lt;12, "9-11 Years", G2674&gt;=12, "12-14 Years")</f>
        <v>9-11 Years</v>
      </c>
      <c r="J2674">
        <v>3</v>
      </c>
      <c r="K2674" t="s">
        <v>20</v>
      </c>
      <c r="L2674">
        <v>120100</v>
      </c>
      <c r="M2674">
        <v>12100</v>
      </c>
      <c r="N2674">
        <v>132200</v>
      </c>
      <c r="O2674" t="s">
        <v>57</v>
      </c>
      <c r="P2674" s="3">
        <v>42070</v>
      </c>
      <c r="Q2674" t="s">
        <v>28</v>
      </c>
    </row>
    <row r="2675" spans="1:17" x14ac:dyDescent="0.35">
      <c r="A2675" t="s">
        <v>2727</v>
      </c>
      <c r="B2675" t="s">
        <v>23</v>
      </c>
      <c r="C2675">
        <v>33</v>
      </c>
      <c r="D2675" t="s">
        <v>34</v>
      </c>
      <c r="E2675" t="s">
        <v>59</v>
      </c>
      <c r="F2675" t="s">
        <v>62</v>
      </c>
      <c r="G2675">
        <v>2.1</v>
      </c>
      <c r="H2675">
        <v>1.5</v>
      </c>
      <c r="I2675" t="str" cm="1">
        <f t="array" ref="I2675">_xlfn.IFS(G2675&lt;3, "0–2 Years", G2675&lt;6, "3–5 Years", G2675&lt;9, "6–8 Years", G2675&lt;12, "9-11 Years", G2675&gt;=12, "12-14 Years")</f>
        <v>0–2 Years</v>
      </c>
      <c r="J2675">
        <v>3</v>
      </c>
      <c r="K2675" t="s">
        <v>69</v>
      </c>
      <c r="L2675">
        <v>97900</v>
      </c>
      <c r="M2675">
        <v>7200</v>
      </c>
      <c r="N2675">
        <v>105100</v>
      </c>
      <c r="O2675" t="s">
        <v>30</v>
      </c>
      <c r="P2675" s="3">
        <v>45250</v>
      </c>
      <c r="Q2675" t="s">
        <v>62</v>
      </c>
    </row>
    <row r="2676" spans="1:17" x14ac:dyDescent="0.35">
      <c r="A2676" t="s">
        <v>2728</v>
      </c>
      <c r="B2676" t="s">
        <v>23</v>
      </c>
      <c r="C2676">
        <v>27</v>
      </c>
      <c r="D2676" t="s">
        <v>41</v>
      </c>
      <c r="E2676" t="s">
        <v>42</v>
      </c>
      <c r="F2676" t="s">
        <v>36</v>
      </c>
      <c r="G2676">
        <v>1.4</v>
      </c>
      <c r="H2676">
        <v>1.2</v>
      </c>
      <c r="I2676" t="str" cm="1">
        <f t="array" ref="I2676">_xlfn.IFS(G2676&lt;3, "0–2 Years", G2676&lt;6, "3–5 Years", G2676&lt;9, "6–8 Years", G2676&lt;12, "9-11 Years", G2676&gt;=12, "12-14 Years")</f>
        <v>0–2 Years</v>
      </c>
      <c r="J2676">
        <v>1</v>
      </c>
      <c r="K2676" t="s">
        <v>20</v>
      </c>
      <c r="L2676">
        <v>67900</v>
      </c>
      <c r="M2676">
        <v>2600</v>
      </c>
      <c r="N2676">
        <v>70500</v>
      </c>
      <c r="O2676" t="s">
        <v>21</v>
      </c>
      <c r="P2676" s="3">
        <v>45497</v>
      </c>
      <c r="Q2676" t="s">
        <v>36</v>
      </c>
    </row>
    <row r="2677" spans="1:17" x14ac:dyDescent="0.35">
      <c r="A2677" t="s">
        <v>2729</v>
      </c>
      <c r="B2677" t="s">
        <v>16</v>
      </c>
      <c r="C2677">
        <v>21</v>
      </c>
      <c r="D2677" t="s">
        <v>38</v>
      </c>
      <c r="E2677" t="s">
        <v>112</v>
      </c>
      <c r="F2677" t="s">
        <v>28</v>
      </c>
      <c r="G2677">
        <v>5.6</v>
      </c>
      <c r="H2677">
        <v>4.5</v>
      </c>
      <c r="I2677" t="str" cm="1">
        <f t="array" ref="I2677">_xlfn.IFS(G2677&lt;3, "0–2 Years", G2677&lt;6, "3–5 Years", G2677&lt;9, "6–8 Years", G2677&lt;12, "9-11 Years", G2677&gt;=12, "12-14 Years")</f>
        <v>3–5 Years</v>
      </c>
      <c r="J2677">
        <v>4</v>
      </c>
      <c r="K2677" t="s">
        <v>20</v>
      </c>
      <c r="L2677">
        <v>68800</v>
      </c>
      <c r="M2677">
        <v>4900</v>
      </c>
      <c r="N2677">
        <v>73700</v>
      </c>
      <c r="O2677" t="s">
        <v>21</v>
      </c>
      <c r="P2677" s="3">
        <v>43978</v>
      </c>
      <c r="Q2677" t="s">
        <v>28</v>
      </c>
    </row>
    <row r="2678" spans="1:17" x14ac:dyDescent="0.35">
      <c r="A2678" t="s">
        <v>2730</v>
      </c>
      <c r="B2678" t="s">
        <v>16</v>
      </c>
      <c r="C2678">
        <v>41</v>
      </c>
      <c r="D2678" t="s">
        <v>17</v>
      </c>
      <c r="E2678" t="s">
        <v>18</v>
      </c>
      <c r="F2678" t="s">
        <v>19</v>
      </c>
      <c r="G2678">
        <v>10.3</v>
      </c>
      <c r="H2678">
        <v>7</v>
      </c>
      <c r="I2678" t="str" cm="1">
        <f t="array" ref="I2678">_xlfn.IFS(G2678&lt;3, "0–2 Years", G2678&lt;6, "3–5 Years", G2678&lt;9, "6–8 Years", G2678&lt;12, "9-11 Years", G2678&gt;=12, "12-14 Years")</f>
        <v>9-11 Years</v>
      </c>
      <c r="J2678">
        <v>3</v>
      </c>
      <c r="K2678" t="s">
        <v>20</v>
      </c>
      <c r="L2678">
        <v>93500</v>
      </c>
      <c r="M2678">
        <v>5800</v>
      </c>
      <c r="N2678">
        <v>99300</v>
      </c>
      <c r="O2678" t="s">
        <v>30</v>
      </c>
      <c r="P2678" s="3">
        <v>42256</v>
      </c>
      <c r="Q2678" t="s">
        <v>19</v>
      </c>
    </row>
    <row r="2679" spans="1:17" x14ac:dyDescent="0.35">
      <c r="A2679" t="s">
        <v>2731</v>
      </c>
      <c r="B2679" t="s">
        <v>16</v>
      </c>
      <c r="C2679">
        <v>40</v>
      </c>
      <c r="D2679" t="s">
        <v>38</v>
      </c>
      <c r="E2679" t="s">
        <v>112</v>
      </c>
      <c r="F2679" t="s">
        <v>28</v>
      </c>
      <c r="G2679">
        <v>8</v>
      </c>
      <c r="H2679">
        <v>4.0999999999999996</v>
      </c>
      <c r="I2679" t="str" cm="1">
        <f t="array" ref="I2679">_xlfn.IFS(G2679&lt;3, "0–2 Years", G2679&lt;6, "3–5 Years", G2679&lt;9, "6–8 Years", G2679&lt;12, "9-11 Years", G2679&gt;=12, "12-14 Years")</f>
        <v>6–8 Years</v>
      </c>
      <c r="J2679">
        <v>3</v>
      </c>
      <c r="K2679" t="s">
        <v>20</v>
      </c>
      <c r="L2679">
        <v>78300</v>
      </c>
      <c r="M2679">
        <v>5100</v>
      </c>
      <c r="N2679">
        <v>83400</v>
      </c>
      <c r="O2679" t="s">
        <v>21</v>
      </c>
      <c r="P2679" s="3">
        <v>43110</v>
      </c>
      <c r="Q2679" t="s">
        <v>28</v>
      </c>
    </row>
    <row r="2680" spans="1:17" x14ac:dyDescent="0.35">
      <c r="A2680" t="s">
        <v>2732</v>
      </c>
      <c r="B2680" t="s">
        <v>23</v>
      </c>
      <c r="C2680">
        <v>39</v>
      </c>
      <c r="D2680" t="s">
        <v>17</v>
      </c>
      <c r="E2680" t="s">
        <v>32</v>
      </c>
      <c r="F2680" t="s">
        <v>28</v>
      </c>
      <c r="G2680">
        <v>4.5</v>
      </c>
      <c r="H2680">
        <v>2.7</v>
      </c>
      <c r="I2680" t="str" cm="1">
        <f t="array" ref="I2680">_xlfn.IFS(G2680&lt;3, "0–2 Years", G2680&lt;6, "3–5 Years", G2680&lt;9, "6–8 Years", G2680&lt;12, "9-11 Years", G2680&gt;=12, "12-14 Years")</f>
        <v>3–5 Years</v>
      </c>
      <c r="J2680">
        <v>3</v>
      </c>
      <c r="K2680" t="s">
        <v>20</v>
      </c>
      <c r="L2680">
        <v>69200</v>
      </c>
      <c r="M2680">
        <v>6100</v>
      </c>
      <c r="N2680">
        <v>75300</v>
      </c>
      <c r="O2680" t="s">
        <v>21</v>
      </c>
      <c r="P2680" s="3">
        <v>44377</v>
      </c>
      <c r="Q2680" t="s">
        <v>28</v>
      </c>
    </row>
    <row r="2681" spans="1:17" x14ac:dyDescent="0.35">
      <c r="A2681" t="s">
        <v>2733</v>
      </c>
      <c r="B2681" t="s">
        <v>16</v>
      </c>
      <c r="C2681" s="7">
        <v>29</v>
      </c>
      <c r="D2681" t="s">
        <v>41</v>
      </c>
      <c r="E2681" t="s">
        <v>67</v>
      </c>
      <c r="F2681" t="s">
        <v>36</v>
      </c>
      <c r="G2681" s="9">
        <v>13.8</v>
      </c>
      <c r="H2681" s="7">
        <v>11.2</v>
      </c>
      <c r="I2681" t="str" cm="1">
        <f t="array" ref="I2681">_xlfn.IFS(G2681&lt;3, "0–2 Years", G2681&lt;6, "3–5 Years", G2681&lt;9, "6–8 Years", G2681&lt;12, "9-11 Years", G2681&gt;=12, "12-14 Years")</f>
        <v>12-14 Years</v>
      </c>
      <c r="J2681" s="7">
        <v>3</v>
      </c>
      <c r="K2681" t="s">
        <v>20</v>
      </c>
      <c r="L2681" s="7">
        <v>90200</v>
      </c>
      <c r="M2681" s="7">
        <v>3400</v>
      </c>
      <c r="N2681" s="7">
        <v>93600</v>
      </c>
      <c r="O2681" t="s">
        <v>30</v>
      </c>
      <c r="P2681" s="3">
        <v>40971</v>
      </c>
      <c r="Q2681" t="s">
        <v>36</v>
      </c>
    </row>
    <row r="2682" spans="1:17" x14ac:dyDescent="0.35">
      <c r="A2682" t="s">
        <v>2734</v>
      </c>
      <c r="B2682" t="s">
        <v>16</v>
      </c>
      <c r="C2682">
        <v>41</v>
      </c>
      <c r="D2682" t="s">
        <v>55</v>
      </c>
      <c r="E2682" t="s">
        <v>56</v>
      </c>
      <c r="F2682" t="s">
        <v>28</v>
      </c>
      <c r="G2682">
        <v>3.9</v>
      </c>
      <c r="H2682">
        <v>2.1</v>
      </c>
      <c r="I2682" t="str" cm="1">
        <f t="array" ref="I2682">_xlfn.IFS(G2682&lt;3, "0–2 Years", G2682&lt;6, "3–5 Years", G2682&lt;9, "6–8 Years", G2682&lt;12, "9-11 Years", G2682&gt;=12, "12-14 Years")</f>
        <v>3–5 Years</v>
      </c>
      <c r="J2682">
        <v>3</v>
      </c>
      <c r="K2682" t="s">
        <v>20</v>
      </c>
      <c r="L2682">
        <v>84800</v>
      </c>
      <c r="M2682">
        <v>17000</v>
      </c>
      <c r="N2682">
        <v>101800</v>
      </c>
      <c r="O2682" t="s">
        <v>30</v>
      </c>
      <c r="P2682" s="3">
        <v>44603</v>
      </c>
      <c r="Q2682" t="s">
        <v>28</v>
      </c>
    </row>
    <row r="2683" spans="1:17" x14ac:dyDescent="0.35">
      <c r="A2683" t="s">
        <v>2735</v>
      </c>
      <c r="B2683" t="s">
        <v>16</v>
      </c>
      <c r="C2683">
        <v>35</v>
      </c>
      <c r="D2683" t="s">
        <v>55</v>
      </c>
      <c r="E2683" t="s">
        <v>79</v>
      </c>
      <c r="F2683" t="s">
        <v>28</v>
      </c>
      <c r="G2683">
        <v>4.5999999999999996</v>
      </c>
      <c r="H2683">
        <v>4.2</v>
      </c>
      <c r="I2683" t="str" cm="1">
        <f t="array" ref="I2683">_xlfn.IFS(G2683&lt;3, "0–2 Years", G2683&lt;6, "3–5 Years", G2683&lt;9, "6–8 Years", G2683&lt;12, "9-11 Years", G2683&gt;=12, "12-14 Years")</f>
        <v>3–5 Years</v>
      </c>
      <c r="J2683">
        <v>3</v>
      </c>
      <c r="K2683" t="s">
        <v>20</v>
      </c>
      <c r="L2683">
        <v>57700</v>
      </c>
      <c r="M2683">
        <v>11700</v>
      </c>
      <c r="N2683">
        <v>69400</v>
      </c>
      <c r="O2683" t="s">
        <v>25</v>
      </c>
      <c r="P2683" s="3">
        <v>44361</v>
      </c>
      <c r="Q2683" t="s">
        <v>28</v>
      </c>
    </row>
    <row r="2684" spans="1:17" x14ac:dyDescent="0.35">
      <c r="A2684" t="s">
        <v>2736</v>
      </c>
      <c r="B2684" t="s">
        <v>23</v>
      </c>
      <c r="C2684">
        <v>32</v>
      </c>
      <c r="D2684" t="s">
        <v>34</v>
      </c>
      <c r="E2684" t="s">
        <v>35</v>
      </c>
      <c r="F2684" t="s">
        <v>28</v>
      </c>
      <c r="G2684">
        <v>11.8</v>
      </c>
      <c r="H2684">
        <v>5.0999999999999996</v>
      </c>
      <c r="I2684" t="str" cm="1">
        <f t="array" ref="I2684">_xlfn.IFS(G2684&lt;3, "0–2 Years", G2684&lt;6, "3–5 Years", G2684&lt;9, "6–8 Years", G2684&lt;12, "9-11 Years", G2684&gt;=12, "12-14 Years")</f>
        <v>9-11 Years</v>
      </c>
      <c r="J2684">
        <v>3</v>
      </c>
      <c r="K2684" t="s">
        <v>24</v>
      </c>
      <c r="L2684">
        <v>39500</v>
      </c>
      <c r="M2684">
        <v>4500</v>
      </c>
      <c r="N2684">
        <v>44000</v>
      </c>
      <c r="O2684" t="s">
        <v>65</v>
      </c>
      <c r="P2684" s="3">
        <v>41708</v>
      </c>
      <c r="Q2684" t="s">
        <v>28</v>
      </c>
    </row>
    <row r="2685" spans="1:17" x14ac:dyDescent="0.35">
      <c r="A2685" t="s">
        <v>2737</v>
      </c>
      <c r="B2685" t="s">
        <v>16</v>
      </c>
      <c r="C2685">
        <v>37</v>
      </c>
      <c r="D2685" t="s">
        <v>17</v>
      </c>
      <c r="E2685" t="s">
        <v>27</v>
      </c>
      <c r="F2685" t="s">
        <v>36</v>
      </c>
      <c r="G2685">
        <v>9.9</v>
      </c>
      <c r="H2685">
        <v>7</v>
      </c>
      <c r="I2685" t="str" cm="1">
        <f t="array" ref="I2685">_xlfn.IFS(G2685&lt;3, "0–2 Years", G2685&lt;6, "3–5 Years", G2685&lt;9, "6–8 Years", G2685&lt;12, "9-11 Years", G2685&gt;=12, "12-14 Years")</f>
        <v>9-11 Years</v>
      </c>
      <c r="J2685">
        <v>4</v>
      </c>
      <c r="K2685" t="s">
        <v>20</v>
      </c>
      <c r="L2685">
        <v>81500</v>
      </c>
      <c r="M2685">
        <v>9000</v>
      </c>
      <c r="N2685">
        <v>90500</v>
      </c>
      <c r="O2685" t="s">
        <v>30</v>
      </c>
      <c r="P2685" s="3">
        <v>42425</v>
      </c>
      <c r="Q2685" t="s">
        <v>36</v>
      </c>
    </row>
    <row r="2686" spans="1:17" x14ac:dyDescent="0.35">
      <c r="A2686" t="s">
        <v>2738</v>
      </c>
      <c r="B2686" t="s">
        <v>23</v>
      </c>
      <c r="C2686">
        <v>48</v>
      </c>
      <c r="D2686" t="s">
        <v>34</v>
      </c>
      <c r="E2686" t="s">
        <v>59</v>
      </c>
      <c r="F2686" t="s">
        <v>28</v>
      </c>
      <c r="G2686">
        <v>11.2</v>
      </c>
      <c r="H2686">
        <v>7.1</v>
      </c>
      <c r="I2686" t="str" cm="1">
        <f t="array" ref="I2686">_xlfn.IFS(G2686&lt;3, "0–2 Years", G2686&lt;6, "3–5 Years", G2686&lt;9, "6–8 Years", G2686&lt;12, "9-11 Years", G2686&gt;=12, "12-14 Years")</f>
        <v>9-11 Years</v>
      </c>
      <c r="J2686">
        <v>3</v>
      </c>
      <c r="K2686" t="s">
        <v>20</v>
      </c>
      <c r="L2686">
        <v>94900</v>
      </c>
      <c r="M2686">
        <v>8600</v>
      </c>
      <c r="N2686">
        <v>103500</v>
      </c>
      <c r="O2686" t="s">
        <v>30</v>
      </c>
      <c r="P2686" s="3">
        <v>41919</v>
      </c>
      <c r="Q2686" t="s">
        <v>28</v>
      </c>
    </row>
    <row r="2687" spans="1:17" x14ac:dyDescent="0.35">
      <c r="A2687" t="s">
        <v>2739</v>
      </c>
      <c r="B2687" t="s">
        <v>16</v>
      </c>
      <c r="C2687">
        <v>22</v>
      </c>
      <c r="D2687" t="s">
        <v>17</v>
      </c>
      <c r="E2687" t="s">
        <v>32</v>
      </c>
      <c r="F2687" t="s">
        <v>36</v>
      </c>
      <c r="G2687">
        <v>10.3</v>
      </c>
      <c r="H2687">
        <v>4.5</v>
      </c>
      <c r="I2687" t="str" cm="1">
        <f t="array" ref="I2687">_xlfn.IFS(G2687&lt;3, "0–2 Years", G2687&lt;6, "3–5 Years", G2687&lt;9, "6–8 Years", G2687&lt;12, "9-11 Years", G2687&gt;=12, "12-14 Years")</f>
        <v>9-11 Years</v>
      </c>
      <c r="J2687">
        <v>3</v>
      </c>
      <c r="K2687" t="s">
        <v>20</v>
      </c>
      <c r="L2687">
        <v>79600</v>
      </c>
      <c r="M2687">
        <v>9900</v>
      </c>
      <c r="N2687">
        <v>89500</v>
      </c>
      <c r="O2687" t="s">
        <v>21</v>
      </c>
      <c r="P2687" s="3">
        <v>42278</v>
      </c>
      <c r="Q2687" t="s">
        <v>36</v>
      </c>
    </row>
    <row r="2688" spans="1:17" x14ac:dyDescent="0.35">
      <c r="A2688" t="s">
        <v>2740</v>
      </c>
      <c r="B2688" t="s">
        <v>16</v>
      </c>
      <c r="C2688">
        <v>51</v>
      </c>
      <c r="D2688" t="s">
        <v>44</v>
      </c>
      <c r="E2688" t="s">
        <v>81</v>
      </c>
      <c r="F2688" t="s">
        <v>62</v>
      </c>
      <c r="G2688">
        <v>1.7</v>
      </c>
      <c r="H2688">
        <v>1.7</v>
      </c>
      <c r="I2688" t="str" cm="1">
        <f t="array" ref="I2688">_xlfn.IFS(G2688&lt;3, "0–2 Years", G2688&lt;6, "3–5 Years", G2688&lt;9, "6–8 Years", G2688&lt;12, "9-11 Years", G2688&gt;=12, "12-14 Years")</f>
        <v>0–2 Years</v>
      </c>
      <c r="J2688">
        <v>4</v>
      </c>
      <c r="K2688" t="s">
        <v>24</v>
      </c>
      <c r="L2688">
        <v>65700</v>
      </c>
      <c r="M2688">
        <v>5700</v>
      </c>
      <c r="N2688">
        <v>71400</v>
      </c>
      <c r="O2688" t="s">
        <v>21</v>
      </c>
      <c r="P2688" s="3">
        <v>45406</v>
      </c>
      <c r="Q2688" t="s">
        <v>62</v>
      </c>
    </row>
    <row r="2689" spans="1:17" x14ac:dyDescent="0.35">
      <c r="A2689" t="s">
        <v>2741</v>
      </c>
      <c r="B2689" t="s">
        <v>23</v>
      </c>
      <c r="C2689">
        <v>43</v>
      </c>
      <c r="D2689" t="s">
        <v>41</v>
      </c>
      <c r="E2689" t="s">
        <v>73</v>
      </c>
      <c r="F2689" t="s">
        <v>62</v>
      </c>
      <c r="G2689">
        <v>10</v>
      </c>
      <c r="H2689">
        <v>5.9</v>
      </c>
      <c r="I2689" t="str" cm="1">
        <f t="array" ref="I2689">_xlfn.IFS(G2689&lt;3, "0–2 Years", G2689&lt;6, "3–5 Years", G2689&lt;9, "6–8 Years", G2689&lt;12, "9-11 Years", G2689&gt;=12, "12-14 Years")</f>
        <v>9-11 Years</v>
      </c>
      <c r="J2689">
        <v>3</v>
      </c>
      <c r="K2689" t="s">
        <v>20</v>
      </c>
      <c r="L2689">
        <v>100800</v>
      </c>
      <c r="M2689">
        <v>3700</v>
      </c>
      <c r="N2689">
        <v>104500</v>
      </c>
      <c r="O2689" t="s">
        <v>57</v>
      </c>
      <c r="P2689" s="3">
        <v>42381</v>
      </c>
      <c r="Q2689" t="s">
        <v>62</v>
      </c>
    </row>
    <row r="2690" spans="1:17" x14ac:dyDescent="0.35">
      <c r="A2690" t="s">
        <v>2742</v>
      </c>
      <c r="B2690" t="s">
        <v>23</v>
      </c>
      <c r="C2690">
        <v>21</v>
      </c>
      <c r="D2690" t="s">
        <v>38</v>
      </c>
      <c r="E2690" t="s">
        <v>61</v>
      </c>
      <c r="F2690" t="s">
        <v>28</v>
      </c>
      <c r="G2690">
        <v>10.7</v>
      </c>
      <c r="H2690">
        <v>5.4</v>
      </c>
      <c r="I2690" t="str" cm="1">
        <f t="array" ref="I2690">_xlfn.IFS(G2690&lt;3, "0–2 Years", G2690&lt;6, "3–5 Years", G2690&lt;9, "6–8 Years", G2690&lt;12, "9-11 Years", G2690&gt;=12, "12-14 Years")</f>
        <v>9-11 Years</v>
      </c>
      <c r="J2690">
        <v>3</v>
      </c>
      <c r="K2690" t="s">
        <v>20</v>
      </c>
      <c r="L2690">
        <v>105200</v>
      </c>
      <c r="M2690">
        <v>10200</v>
      </c>
      <c r="N2690">
        <v>115400</v>
      </c>
      <c r="O2690" t="s">
        <v>57</v>
      </c>
      <c r="P2690" s="3">
        <v>42113</v>
      </c>
      <c r="Q2690" t="s">
        <v>28</v>
      </c>
    </row>
    <row r="2691" spans="1:17" x14ac:dyDescent="0.35">
      <c r="A2691" t="s">
        <v>2743</v>
      </c>
      <c r="B2691" t="s">
        <v>16</v>
      </c>
      <c r="C2691">
        <v>36</v>
      </c>
      <c r="D2691" t="s">
        <v>17</v>
      </c>
      <c r="E2691" t="s">
        <v>32</v>
      </c>
      <c r="F2691" t="s">
        <v>36</v>
      </c>
      <c r="G2691">
        <v>1.3</v>
      </c>
      <c r="H2691">
        <v>1.3</v>
      </c>
      <c r="I2691" t="str" cm="1">
        <f t="array" ref="I2691">_xlfn.IFS(G2691&lt;3, "0–2 Years", G2691&lt;6, "3–5 Years", G2691&lt;9, "6–8 Years", G2691&lt;12, "9-11 Years", G2691&gt;=12, "12-14 Years")</f>
        <v>0–2 Years</v>
      </c>
      <c r="J2691">
        <v>2</v>
      </c>
      <c r="K2691" t="s">
        <v>20</v>
      </c>
      <c r="L2691">
        <v>63000</v>
      </c>
      <c r="M2691">
        <v>6300</v>
      </c>
      <c r="N2691">
        <v>69300</v>
      </c>
      <c r="O2691" t="s">
        <v>25</v>
      </c>
      <c r="P2691" s="3">
        <v>45550</v>
      </c>
      <c r="Q2691" t="s">
        <v>36</v>
      </c>
    </row>
    <row r="2692" spans="1:17" x14ac:dyDescent="0.35">
      <c r="A2692" t="s">
        <v>2744</v>
      </c>
      <c r="B2692" t="s">
        <v>16</v>
      </c>
      <c r="C2692">
        <v>35</v>
      </c>
      <c r="D2692" t="s">
        <v>17</v>
      </c>
      <c r="E2692" t="s">
        <v>27</v>
      </c>
      <c r="F2692" t="s">
        <v>19</v>
      </c>
      <c r="G2692">
        <v>6.7</v>
      </c>
      <c r="H2692">
        <v>4.0999999999999996</v>
      </c>
      <c r="I2692" t="str" cm="1">
        <f t="array" ref="I2692">_xlfn.IFS(G2692&lt;3, "0–2 Years", G2692&lt;6, "3–5 Years", G2692&lt;9, "6–8 Years", G2692&lt;12, "9-11 Years", G2692&gt;=12, "12-14 Years")</f>
        <v>6–8 Years</v>
      </c>
      <c r="J2692">
        <v>5</v>
      </c>
      <c r="K2692" t="s">
        <v>20</v>
      </c>
      <c r="L2692">
        <v>69300</v>
      </c>
      <c r="M2692">
        <v>8100</v>
      </c>
      <c r="N2692">
        <v>77400</v>
      </c>
      <c r="O2692" t="s">
        <v>21</v>
      </c>
      <c r="P2692" s="3">
        <v>43583</v>
      </c>
      <c r="Q2692" t="s">
        <v>19</v>
      </c>
    </row>
    <row r="2693" spans="1:17" x14ac:dyDescent="0.35">
      <c r="A2693" t="s">
        <v>2745</v>
      </c>
      <c r="B2693" t="s">
        <v>23</v>
      </c>
      <c r="C2693">
        <v>21</v>
      </c>
      <c r="D2693" t="s">
        <v>41</v>
      </c>
      <c r="E2693" t="s">
        <v>73</v>
      </c>
      <c r="F2693" t="s">
        <v>28</v>
      </c>
      <c r="G2693">
        <v>11</v>
      </c>
      <c r="H2693">
        <v>6.5</v>
      </c>
      <c r="I2693" t="str" cm="1">
        <f t="array" ref="I2693">_xlfn.IFS(G2693&lt;3, "0–2 Years", G2693&lt;6, "3–5 Years", G2693&lt;9, "6–8 Years", G2693&lt;12, "9-11 Years", G2693&gt;=12, "12-14 Years")</f>
        <v>9-11 Years</v>
      </c>
      <c r="J2693">
        <v>3</v>
      </c>
      <c r="K2693" t="s">
        <v>20</v>
      </c>
      <c r="L2693">
        <v>119100</v>
      </c>
      <c r="M2693">
        <v>5700</v>
      </c>
      <c r="N2693">
        <v>124800</v>
      </c>
      <c r="O2693" t="s">
        <v>57</v>
      </c>
      <c r="P2693" s="3">
        <v>42006</v>
      </c>
      <c r="Q2693" t="s">
        <v>28</v>
      </c>
    </row>
    <row r="2694" spans="1:17" x14ac:dyDescent="0.35">
      <c r="A2694" t="s">
        <v>2746</v>
      </c>
      <c r="B2694" t="s">
        <v>23</v>
      </c>
      <c r="C2694">
        <v>45</v>
      </c>
      <c r="D2694" t="s">
        <v>17</v>
      </c>
      <c r="E2694" t="s">
        <v>32</v>
      </c>
      <c r="F2694" t="s">
        <v>36</v>
      </c>
      <c r="G2694">
        <v>3.7</v>
      </c>
      <c r="H2694">
        <v>3.6</v>
      </c>
      <c r="I2694" t="str" cm="1">
        <f t="array" ref="I2694">_xlfn.IFS(G2694&lt;3, "0–2 Years", G2694&lt;6, "3–5 Years", G2694&lt;9, "6–8 Years", G2694&lt;12, "9-11 Years", G2694&gt;=12, "12-14 Years")</f>
        <v>3–5 Years</v>
      </c>
      <c r="J2694">
        <v>4</v>
      </c>
      <c r="K2694" t="s">
        <v>20</v>
      </c>
      <c r="L2694">
        <v>74500</v>
      </c>
      <c r="M2694">
        <v>3800</v>
      </c>
      <c r="N2694">
        <v>78300</v>
      </c>
      <c r="O2694" t="s">
        <v>21</v>
      </c>
      <c r="P2694" s="3">
        <v>44664</v>
      </c>
      <c r="Q2694" t="s">
        <v>36</v>
      </c>
    </row>
    <row r="2695" spans="1:17" x14ac:dyDescent="0.35">
      <c r="A2695" t="s">
        <v>2747</v>
      </c>
      <c r="B2695" t="s">
        <v>23</v>
      </c>
      <c r="C2695">
        <v>33</v>
      </c>
      <c r="D2695" t="s">
        <v>34</v>
      </c>
      <c r="E2695" t="s">
        <v>59</v>
      </c>
      <c r="F2695" t="s">
        <v>36</v>
      </c>
      <c r="G2695">
        <v>1.6</v>
      </c>
      <c r="H2695">
        <v>1.6</v>
      </c>
      <c r="I2695" t="str" cm="1">
        <f t="array" ref="I2695">_xlfn.IFS(G2695&lt;3, "0–2 Years", G2695&lt;6, "3–5 Years", G2695&lt;9, "6–8 Years", G2695&lt;12, "9-11 Years", G2695&gt;=12, "12-14 Years")</f>
        <v>0–2 Years</v>
      </c>
      <c r="J2695">
        <v>2</v>
      </c>
      <c r="K2695" t="s">
        <v>20</v>
      </c>
      <c r="L2695">
        <v>95200</v>
      </c>
      <c r="M2695">
        <v>11100</v>
      </c>
      <c r="N2695">
        <v>106300</v>
      </c>
      <c r="O2695" t="s">
        <v>30</v>
      </c>
      <c r="P2695" s="3">
        <v>45435</v>
      </c>
      <c r="Q2695" t="s">
        <v>36</v>
      </c>
    </row>
    <row r="2696" spans="1:17" x14ac:dyDescent="0.35">
      <c r="A2696" t="s">
        <v>2748</v>
      </c>
      <c r="B2696" t="s">
        <v>16</v>
      </c>
      <c r="C2696">
        <v>38</v>
      </c>
      <c r="D2696" t="s">
        <v>44</v>
      </c>
      <c r="E2696" t="s">
        <v>76</v>
      </c>
      <c r="F2696" t="s">
        <v>36</v>
      </c>
      <c r="G2696">
        <v>8.1999999999999993</v>
      </c>
      <c r="H2696">
        <v>6</v>
      </c>
      <c r="I2696" t="str" cm="1">
        <f t="array" ref="I2696">_xlfn.IFS(G2696&lt;3, "0–2 Years", G2696&lt;6, "3–5 Years", G2696&lt;9, "6–8 Years", G2696&lt;12, "9-11 Years", G2696&gt;=12, "12-14 Years")</f>
        <v>6–8 Years</v>
      </c>
      <c r="J2696">
        <v>4</v>
      </c>
      <c r="K2696" t="s">
        <v>24</v>
      </c>
      <c r="L2696">
        <v>72800</v>
      </c>
      <c r="M2696">
        <v>9900</v>
      </c>
      <c r="N2696">
        <v>82700</v>
      </c>
      <c r="O2696" t="s">
        <v>21</v>
      </c>
      <c r="P2696" s="3">
        <v>43024</v>
      </c>
      <c r="Q2696" t="s">
        <v>36</v>
      </c>
    </row>
    <row r="2697" spans="1:17" x14ac:dyDescent="0.35">
      <c r="A2697" t="s">
        <v>2749</v>
      </c>
      <c r="B2697" t="s">
        <v>16</v>
      </c>
      <c r="C2697">
        <v>44</v>
      </c>
      <c r="D2697" t="s">
        <v>34</v>
      </c>
      <c r="E2697" t="s">
        <v>35</v>
      </c>
      <c r="F2697" t="s">
        <v>28</v>
      </c>
      <c r="G2697">
        <v>6.3</v>
      </c>
      <c r="H2697">
        <v>5.3</v>
      </c>
      <c r="I2697" t="str" cm="1">
        <f t="array" ref="I2697">_xlfn.IFS(G2697&lt;3, "0–2 Years", G2697&lt;6, "3–5 Years", G2697&lt;9, "6–8 Years", G2697&lt;12, "9-11 Years", G2697&gt;=12, "12-14 Years")</f>
        <v>6–8 Years</v>
      </c>
      <c r="J2697">
        <v>4</v>
      </c>
      <c r="K2697" t="s">
        <v>24</v>
      </c>
      <c r="L2697">
        <v>47100</v>
      </c>
      <c r="M2697">
        <v>4600</v>
      </c>
      <c r="N2697">
        <v>51700</v>
      </c>
      <c r="O2697" t="s">
        <v>65</v>
      </c>
      <c r="P2697" s="3">
        <v>43731</v>
      </c>
      <c r="Q2697" t="s">
        <v>28</v>
      </c>
    </row>
    <row r="2698" spans="1:17" x14ac:dyDescent="0.35">
      <c r="A2698" t="s">
        <v>2750</v>
      </c>
      <c r="B2698" t="s">
        <v>23</v>
      </c>
      <c r="C2698">
        <v>34</v>
      </c>
      <c r="D2698" t="s">
        <v>17</v>
      </c>
      <c r="E2698" t="s">
        <v>18</v>
      </c>
      <c r="F2698" t="s">
        <v>36</v>
      </c>
      <c r="G2698">
        <v>11.6</v>
      </c>
      <c r="H2698">
        <v>7.5</v>
      </c>
      <c r="I2698" t="str" cm="1">
        <f t="array" ref="I2698">_xlfn.IFS(G2698&lt;3, "0–2 Years", G2698&lt;6, "3–5 Years", G2698&lt;9, "6–8 Years", G2698&lt;12, "9-11 Years", G2698&gt;=12, "12-14 Years")</f>
        <v>9-11 Years</v>
      </c>
      <c r="J2698">
        <v>3</v>
      </c>
      <c r="K2698" t="s">
        <v>24</v>
      </c>
      <c r="L2698">
        <v>60700</v>
      </c>
      <c r="M2698">
        <v>3400</v>
      </c>
      <c r="N2698">
        <v>64100</v>
      </c>
      <c r="O2698" t="s">
        <v>25</v>
      </c>
      <c r="P2698" s="3">
        <v>41787</v>
      </c>
      <c r="Q2698" t="s">
        <v>36</v>
      </c>
    </row>
    <row r="2699" spans="1:17" x14ac:dyDescent="0.35">
      <c r="A2699" t="s">
        <v>2751</v>
      </c>
      <c r="B2699" t="s">
        <v>23</v>
      </c>
      <c r="C2699">
        <v>44</v>
      </c>
      <c r="D2699" t="s">
        <v>41</v>
      </c>
      <c r="E2699" t="s">
        <v>42</v>
      </c>
      <c r="F2699" t="s">
        <v>28</v>
      </c>
      <c r="G2699">
        <v>6</v>
      </c>
      <c r="H2699">
        <v>2.9</v>
      </c>
      <c r="I2699" t="str" cm="1">
        <f t="array" ref="I2699">_xlfn.IFS(G2699&lt;3, "0–2 Years", G2699&lt;6, "3–5 Years", G2699&lt;9, "6–8 Years", G2699&lt;12, "9-11 Years", G2699&gt;=12, "12-14 Years")</f>
        <v>6–8 Years</v>
      </c>
      <c r="J2699">
        <v>3</v>
      </c>
      <c r="K2699" t="s">
        <v>20</v>
      </c>
      <c r="L2699">
        <v>73600</v>
      </c>
      <c r="M2699">
        <v>5400</v>
      </c>
      <c r="N2699">
        <v>79000</v>
      </c>
      <c r="O2699" t="s">
        <v>21</v>
      </c>
      <c r="P2699" s="3">
        <v>43827</v>
      </c>
      <c r="Q2699" t="s">
        <v>28</v>
      </c>
    </row>
    <row r="2700" spans="1:17" x14ac:dyDescent="0.35">
      <c r="A2700" t="s">
        <v>2752</v>
      </c>
      <c r="B2700" t="s">
        <v>23</v>
      </c>
      <c r="C2700">
        <v>21</v>
      </c>
      <c r="D2700" t="s">
        <v>44</v>
      </c>
      <c r="E2700" t="s">
        <v>45</v>
      </c>
      <c r="F2700" t="s">
        <v>28</v>
      </c>
      <c r="G2700">
        <v>8.4</v>
      </c>
      <c r="H2700">
        <v>5.0999999999999996</v>
      </c>
      <c r="I2700" t="str" cm="1">
        <f t="array" ref="I2700">_xlfn.IFS(G2700&lt;3, "0–2 Years", G2700&lt;6, "3–5 Years", G2700&lt;9, "6–8 Years", G2700&lt;12, "9-11 Years", G2700&gt;=12, "12-14 Years")</f>
        <v>6–8 Years</v>
      </c>
      <c r="J2700">
        <v>3</v>
      </c>
      <c r="K2700" t="s">
        <v>20</v>
      </c>
      <c r="L2700">
        <v>81900</v>
      </c>
      <c r="M2700">
        <v>11400</v>
      </c>
      <c r="N2700">
        <v>93300</v>
      </c>
      <c r="O2700" t="s">
        <v>30</v>
      </c>
      <c r="P2700" s="3">
        <v>42939</v>
      </c>
      <c r="Q2700" t="s">
        <v>28</v>
      </c>
    </row>
    <row r="2701" spans="1:17" x14ac:dyDescent="0.35">
      <c r="A2701" t="s">
        <v>2753</v>
      </c>
      <c r="B2701" t="s">
        <v>23</v>
      </c>
      <c r="C2701">
        <v>53</v>
      </c>
      <c r="D2701" t="s">
        <v>44</v>
      </c>
      <c r="E2701" t="s">
        <v>45</v>
      </c>
      <c r="F2701" t="s">
        <v>28</v>
      </c>
      <c r="G2701">
        <v>7.7</v>
      </c>
      <c r="H2701">
        <v>4.5999999999999996</v>
      </c>
      <c r="I2701" t="str" cm="1">
        <f t="array" ref="I2701">_xlfn.IFS(G2701&lt;3, "0–2 Years", G2701&lt;6, "3–5 Years", G2701&lt;9, "6–8 Years", G2701&lt;12, "9-11 Years", G2701&gt;=12, "12-14 Years")</f>
        <v>6–8 Years</v>
      </c>
      <c r="J2701">
        <v>4</v>
      </c>
      <c r="K2701" t="s">
        <v>69</v>
      </c>
      <c r="L2701">
        <v>71500</v>
      </c>
      <c r="M2701">
        <v>10300</v>
      </c>
      <c r="N2701">
        <v>81800</v>
      </c>
      <c r="O2701" t="s">
        <v>21</v>
      </c>
      <c r="P2701" s="3">
        <v>43194</v>
      </c>
      <c r="Q2701" t="s">
        <v>28</v>
      </c>
    </row>
    <row r="2702" spans="1:17" x14ac:dyDescent="0.35">
      <c r="A2702" t="s">
        <v>2754</v>
      </c>
      <c r="B2702" t="s">
        <v>16</v>
      </c>
      <c r="C2702">
        <v>52</v>
      </c>
      <c r="D2702" t="s">
        <v>44</v>
      </c>
      <c r="E2702" t="s">
        <v>51</v>
      </c>
      <c r="F2702" t="s">
        <v>28</v>
      </c>
      <c r="G2702">
        <v>1.3</v>
      </c>
      <c r="H2702">
        <v>1.3</v>
      </c>
      <c r="I2702" t="str" cm="1">
        <f t="array" ref="I2702">_xlfn.IFS(G2702&lt;3, "0–2 Years", G2702&lt;6, "3–5 Years", G2702&lt;9, "6–8 Years", G2702&lt;12, "9-11 Years", G2702&gt;=12, "12-14 Years")</f>
        <v>0–2 Years</v>
      </c>
      <c r="J2702">
        <v>1</v>
      </c>
      <c r="K2702" t="s">
        <v>20</v>
      </c>
      <c r="L2702">
        <v>68100</v>
      </c>
      <c r="M2702">
        <v>9000</v>
      </c>
      <c r="N2702">
        <v>77100</v>
      </c>
      <c r="O2702" t="s">
        <v>21</v>
      </c>
      <c r="P2702" s="3">
        <v>45549</v>
      </c>
      <c r="Q2702" t="s">
        <v>28</v>
      </c>
    </row>
    <row r="2703" spans="1:17" x14ac:dyDescent="0.35">
      <c r="A2703" t="s">
        <v>2755</v>
      </c>
      <c r="B2703" t="s">
        <v>23</v>
      </c>
      <c r="C2703">
        <v>33</v>
      </c>
      <c r="D2703" t="s">
        <v>41</v>
      </c>
      <c r="E2703" t="s">
        <v>73</v>
      </c>
      <c r="F2703" t="s">
        <v>28</v>
      </c>
      <c r="G2703">
        <v>8.8000000000000007</v>
      </c>
      <c r="H2703">
        <v>5.9</v>
      </c>
      <c r="I2703" t="str" cm="1">
        <f t="array" ref="I2703">_xlfn.IFS(G2703&lt;3, "0–2 Years", G2703&lt;6, "3–5 Years", G2703&lt;9, "6–8 Years", G2703&lt;12, "9-11 Years", G2703&gt;=12, "12-14 Years")</f>
        <v>6–8 Years</v>
      </c>
      <c r="J2703">
        <v>3</v>
      </c>
      <c r="K2703" t="s">
        <v>20</v>
      </c>
      <c r="L2703">
        <v>92600</v>
      </c>
      <c r="M2703">
        <v>6000</v>
      </c>
      <c r="N2703">
        <v>98600</v>
      </c>
      <c r="O2703" t="s">
        <v>30</v>
      </c>
      <c r="P2703" s="3">
        <v>42792</v>
      </c>
      <c r="Q2703" t="s">
        <v>28</v>
      </c>
    </row>
    <row r="2704" spans="1:17" x14ac:dyDescent="0.35">
      <c r="A2704" t="s">
        <v>2756</v>
      </c>
      <c r="B2704" t="s">
        <v>23</v>
      </c>
      <c r="C2704" s="7">
        <v>38</v>
      </c>
      <c r="D2704" t="s">
        <v>34</v>
      </c>
      <c r="E2704" t="s">
        <v>59</v>
      </c>
      <c r="F2704" t="s">
        <v>36</v>
      </c>
      <c r="G2704" s="9">
        <v>13.4</v>
      </c>
      <c r="H2704" s="7">
        <v>11</v>
      </c>
      <c r="I2704" t="str" cm="1">
        <f t="array" ref="I2704">_xlfn.IFS(G2704&lt;3, "0–2 Years", G2704&lt;6, "3–5 Years", G2704&lt;9, "6–8 Years", G2704&lt;12, "9-11 Years", G2704&gt;=12, "12-14 Years")</f>
        <v>12-14 Years</v>
      </c>
      <c r="J2704" s="7">
        <v>3</v>
      </c>
      <c r="K2704" t="s">
        <v>20</v>
      </c>
      <c r="L2704" s="7">
        <v>128900</v>
      </c>
      <c r="M2704" s="7">
        <v>15400</v>
      </c>
      <c r="N2704" s="7">
        <v>144300</v>
      </c>
      <c r="O2704" t="s">
        <v>57</v>
      </c>
      <c r="P2704" s="3">
        <v>41118</v>
      </c>
      <c r="Q2704" t="s">
        <v>36</v>
      </c>
    </row>
    <row r="2705" spans="1:17" x14ac:dyDescent="0.35">
      <c r="A2705" t="s">
        <v>2757</v>
      </c>
      <c r="B2705" t="s">
        <v>16</v>
      </c>
      <c r="C2705" s="7">
        <v>35</v>
      </c>
      <c r="D2705" t="s">
        <v>41</v>
      </c>
      <c r="E2705" t="s">
        <v>67</v>
      </c>
      <c r="F2705" t="s">
        <v>36</v>
      </c>
      <c r="G2705" s="9">
        <v>12.2</v>
      </c>
      <c r="H2705" s="7">
        <v>8.1</v>
      </c>
      <c r="I2705" t="str" cm="1">
        <f t="array" ref="I2705">_xlfn.IFS(G2705&lt;3, "0–2 Years", G2705&lt;6, "3–5 Years", G2705&lt;9, "6–8 Years", G2705&lt;12, "9-11 Years", G2705&gt;=12, "12-14 Years")</f>
        <v>12-14 Years</v>
      </c>
      <c r="J2705" s="7">
        <v>4</v>
      </c>
      <c r="K2705" t="s">
        <v>20</v>
      </c>
      <c r="L2705" s="7">
        <v>71300</v>
      </c>
      <c r="M2705" s="7">
        <v>4500</v>
      </c>
      <c r="N2705" s="7">
        <v>75800</v>
      </c>
      <c r="O2705" t="s">
        <v>21</v>
      </c>
      <c r="P2705" s="3">
        <v>41580</v>
      </c>
      <c r="Q2705" t="s">
        <v>36</v>
      </c>
    </row>
    <row r="2706" spans="1:17" x14ac:dyDescent="0.35">
      <c r="A2706" t="s">
        <v>2758</v>
      </c>
      <c r="B2706" t="s">
        <v>16</v>
      </c>
      <c r="C2706">
        <v>40</v>
      </c>
      <c r="D2706" t="s">
        <v>17</v>
      </c>
      <c r="E2706" t="s">
        <v>27</v>
      </c>
      <c r="F2706" t="s">
        <v>36</v>
      </c>
      <c r="G2706">
        <v>6.8</v>
      </c>
      <c r="H2706">
        <v>3.7</v>
      </c>
      <c r="I2706" t="str" cm="1">
        <f t="array" ref="I2706">_xlfn.IFS(G2706&lt;3, "0–2 Years", G2706&lt;6, "3–5 Years", G2706&lt;9, "6–8 Years", G2706&lt;12, "9-11 Years", G2706&gt;=12, "12-14 Years")</f>
        <v>6–8 Years</v>
      </c>
      <c r="J2706">
        <v>3</v>
      </c>
      <c r="K2706" t="s">
        <v>20</v>
      </c>
      <c r="L2706">
        <v>87700</v>
      </c>
      <c r="M2706">
        <v>6400</v>
      </c>
      <c r="N2706">
        <v>94100</v>
      </c>
      <c r="O2706" t="s">
        <v>30</v>
      </c>
      <c r="P2706" s="3">
        <v>43550</v>
      </c>
      <c r="Q2706" t="s">
        <v>36</v>
      </c>
    </row>
    <row r="2707" spans="1:17" x14ac:dyDescent="0.35">
      <c r="A2707" t="s">
        <v>2759</v>
      </c>
      <c r="B2707" t="s">
        <v>16</v>
      </c>
      <c r="C2707">
        <v>31</v>
      </c>
      <c r="D2707" t="s">
        <v>55</v>
      </c>
      <c r="E2707" t="s">
        <v>79</v>
      </c>
      <c r="F2707" t="s">
        <v>36</v>
      </c>
      <c r="G2707">
        <v>11.1</v>
      </c>
      <c r="H2707">
        <v>5.9</v>
      </c>
      <c r="I2707" t="str" cm="1">
        <f t="array" ref="I2707">_xlfn.IFS(G2707&lt;3, "0–2 Years", G2707&lt;6, "3–5 Years", G2707&lt;9, "6–8 Years", G2707&lt;12, "9-11 Years", G2707&gt;=12, "12-14 Years")</f>
        <v>9-11 Years</v>
      </c>
      <c r="J2707">
        <v>3</v>
      </c>
      <c r="K2707" t="s">
        <v>20</v>
      </c>
      <c r="L2707">
        <v>72500</v>
      </c>
      <c r="M2707">
        <v>5200</v>
      </c>
      <c r="N2707">
        <v>77700</v>
      </c>
      <c r="O2707" t="s">
        <v>21</v>
      </c>
      <c r="P2707" s="3">
        <v>41981</v>
      </c>
      <c r="Q2707" t="s">
        <v>36</v>
      </c>
    </row>
    <row r="2708" spans="1:17" x14ac:dyDescent="0.35">
      <c r="A2708" t="s">
        <v>2760</v>
      </c>
      <c r="B2708" t="s">
        <v>16</v>
      </c>
      <c r="C2708" s="7">
        <v>39</v>
      </c>
      <c r="D2708" t="s">
        <v>38</v>
      </c>
      <c r="E2708" t="s">
        <v>39</v>
      </c>
      <c r="F2708" t="s">
        <v>36</v>
      </c>
      <c r="G2708" s="9">
        <v>12.8</v>
      </c>
      <c r="H2708" s="7">
        <v>9.5</v>
      </c>
      <c r="I2708" t="str" cm="1">
        <f t="array" ref="I2708">_xlfn.IFS(G2708&lt;3, "0–2 Years", G2708&lt;6, "3–5 Years", G2708&lt;9, "6–8 Years", G2708&lt;12, "9-11 Years", G2708&gt;=12, "12-14 Years")</f>
        <v>12-14 Years</v>
      </c>
      <c r="J2708" s="7">
        <v>3</v>
      </c>
      <c r="K2708" t="s">
        <v>20</v>
      </c>
      <c r="L2708" s="7">
        <v>100900</v>
      </c>
      <c r="M2708" s="7">
        <v>4800</v>
      </c>
      <c r="N2708" s="7">
        <v>105700</v>
      </c>
      <c r="O2708" t="s">
        <v>57</v>
      </c>
      <c r="P2708" s="3">
        <v>41362</v>
      </c>
      <c r="Q2708" t="s">
        <v>36</v>
      </c>
    </row>
    <row r="2709" spans="1:17" x14ac:dyDescent="0.35">
      <c r="A2709" t="s">
        <v>2761</v>
      </c>
      <c r="B2709" t="s">
        <v>23</v>
      </c>
      <c r="C2709">
        <v>28</v>
      </c>
      <c r="D2709" t="s">
        <v>55</v>
      </c>
      <c r="E2709" t="s">
        <v>92</v>
      </c>
      <c r="F2709" t="s">
        <v>62</v>
      </c>
      <c r="G2709">
        <v>6.7</v>
      </c>
      <c r="H2709">
        <v>4.9000000000000004</v>
      </c>
      <c r="I2709" t="str" cm="1">
        <f t="array" ref="I2709">_xlfn.IFS(G2709&lt;3, "0–2 Years", G2709&lt;6, "3–5 Years", G2709&lt;9, "6–8 Years", G2709&lt;12, "9-11 Years", G2709&gt;=12, "12-14 Years")</f>
        <v>6–8 Years</v>
      </c>
      <c r="J2709">
        <v>4</v>
      </c>
      <c r="K2709" t="s">
        <v>20</v>
      </c>
      <c r="L2709">
        <v>105300</v>
      </c>
      <c r="M2709">
        <v>15200</v>
      </c>
      <c r="N2709">
        <v>120500</v>
      </c>
      <c r="O2709" t="s">
        <v>57</v>
      </c>
      <c r="P2709" s="3">
        <v>43582</v>
      </c>
      <c r="Q2709" t="s">
        <v>62</v>
      </c>
    </row>
    <row r="2710" spans="1:17" x14ac:dyDescent="0.35">
      <c r="A2710" t="s">
        <v>2762</v>
      </c>
      <c r="B2710" t="s">
        <v>16</v>
      </c>
      <c r="C2710">
        <v>33</v>
      </c>
      <c r="D2710" t="s">
        <v>17</v>
      </c>
      <c r="E2710" t="s">
        <v>18</v>
      </c>
      <c r="F2710" t="s">
        <v>28</v>
      </c>
      <c r="G2710">
        <v>6.4</v>
      </c>
      <c r="H2710">
        <v>4.9000000000000004</v>
      </c>
      <c r="I2710" t="str" cm="1">
        <f t="array" ref="I2710">_xlfn.IFS(G2710&lt;3, "0–2 Years", G2710&lt;6, "3–5 Years", G2710&lt;9, "6–8 Years", G2710&lt;12, "9-11 Years", G2710&gt;=12, "12-14 Years")</f>
        <v>6–8 Years</v>
      </c>
      <c r="J2710">
        <v>5</v>
      </c>
      <c r="K2710" t="s">
        <v>20</v>
      </c>
      <c r="L2710">
        <v>100200</v>
      </c>
      <c r="M2710">
        <v>10500</v>
      </c>
      <c r="N2710">
        <v>110700</v>
      </c>
      <c r="O2710" t="s">
        <v>57</v>
      </c>
      <c r="P2710" s="3">
        <v>43689</v>
      </c>
      <c r="Q2710" t="s">
        <v>28</v>
      </c>
    </row>
    <row r="2711" spans="1:17" x14ac:dyDescent="0.35">
      <c r="A2711" t="s">
        <v>2763</v>
      </c>
      <c r="B2711" t="s">
        <v>23</v>
      </c>
      <c r="C2711" s="7">
        <v>32</v>
      </c>
      <c r="D2711" t="s">
        <v>17</v>
      </c>
      <c r="E2711" t="s">
        <v>32</v>
      </c>
      <c r="F2711" t="s">
        <v>28</v>
      </c>
      <c r="G2711" s="9">
        <v>13.4</v>
      </c>
      <c r="H2711" s="7">
        <v>7</v>
      </c>
      <c r="I2711" t="str" cm="1">
        <f t="array" ref="I2711">_xlfn.IFS(G2711&lt;3, "0–2 Years", G2711&lt;6, "3–5 Years", G2711&lt;9, "6–8 Years", G2711&lt;12, "9-11 Years", G2711&gt;=12, "12-14 Years")</f>
        <v>12-14 Years</v>
      </c>
      <c r="J2711" s="7">
        <v>4</v>
      </c>
      <c r="K2711" t="s">
        <v>20</v>
      </c>
      <c r="L2711" s="7">
        <v>79800</v>
      </c>
      <c r="M2711" s="7">
        <v>5100</v>
      </c>
      <c r="N2711" s="7">
        <v>84900</v>
      </c>
      <c r="O2711" t="s">
        <v>21</v>
      </c>
      <c r="P2711" s="3">
        <v>41140</v>
      </c>
      <c r="Q2711" t="s">
        <v>28</v>
      </c>
    </row>
    <row r="2712" spans="1:17" x14ac:dyDescent="0.35">
      <c r="A2712" t="s">
        <v>2764</v>
      </c>
      <c r="B2712" t="s">
        <v>16</v>
      </c>
      <c r="C2712">
        <v>41</v>
      </c>
      <c r="D2712" t="s">
        <v>41</v>
      </c>
      <c r="E2712" t="s">
        <v>73</v>
      </c>
      <c r="F2712" t="s">
        <v>28</v>
      </c>
      <c r="G2712">
        <v>6.9</v>
      </c>
      <c r="H2712">
        <v>4.7</v>
      </c>
      <c r="I2712" t="str" cm="1">
        <f t="array" ref="I2712">_xlfn.IFS(G2712&lt;3, "0–2 Years", G2712&lt;6, "3–5 Years", G2712&lt;9, "6–8 Years", G2712&lt;12, "9-11 Years", G2712&gt;=12, "12-14 Years")</f>
        <v>6–8 Years</v>
      </c>
      <c r="J2712">
        <v>4</v>
      </c>
      <c r="K2712" t="s">
        <v>20</v>
      </c>
      <c r="L2712">
        <v>90900</v>
      </c>
      <c r="M2712">
        <v>7900</v>
      </c>
      <c r="N2712">
        <v>98800</v>
      </c>
      <c r="O2712" t="s">
        <v>30</v>
      </c>
      <c r="P2712" s="3">
        <v>43494</v>
      </c>
      <c r="Q2712" t="s">
        <v>28</v>
      </c>
    </row>
    <row r="2713" spans="1:17" x14ac:dyDescent="0.35">
      <c r="A2713" t="s">
        <v>2765</v>
      </c>
      <c r="B2713" t="s">
        <v>16</v>
      </c>
      <c r="C2713">
        <v>38</v>
      </c>
      <c r="D2713" t="s">
        <v>17</v>
      </c>
      <c r="E2713" t="s">
        <v>18</v>
      </c>
      <c r="F2713" t="s">
        <v>28</v>
      </c>
      <c r="G2713">
        <v>9.6</v>
      </c>
      <c r="H2713">
        <v>4.4000000000000004</v>
      </c>
      <c r="I2713" t="str" cm="1">
        <f t="array" ref="I2713">_xlfn.IFS(G2713&lt;3, "0–2 Years", G2713&lt;6, "3–5 Years", G2713&lt;9, "6–8 Years", G2713&lt;12, "9-11 Years", G2713&gt;=12, "12-14 Years")</f>
        <v>9-11 Years</v>
      </c>
      <c r="J2713">
        <v>4</v>
      </c>
      <c r="K2713" t="s">
        <v>20</v>
      </c>
      <c r="L2713">
        <v>105400</v>
      </c>
      <c r="M2713">
        <v>13200</v>
      </c>
      <c r="N2713">
        <v>118600</v>
      </c>
      <c r="O2713" t="s">
        <v>57</v>
      </c>
      <c r="P2713" s="3">
        <v>42526</v>
      </c>
      <c r="Q2713" t="s">
        <v>28</v>
      </c>
    </row>
    <row r="2714" spans="1:17" x14ac:dyDescent="0.35">
      <c r="A2714" t="s">
        <v>2766</v>
      </c>
      <c r="B2714" t="s">
        <v>23</v>
      </c>
      <c r="C2714">
        <v>34</v>
      </c>
      <c r="D2714" t="s">
        <v>44</v>
      </c>
      <c r="E2714" t="s">
        <v>76</v>
      </c>
      <c r="F2714" t="s">
        <v>19</v>
      </c>
      <c r="G2714">
        <v>3.5</v>
      </c>
      <c r="I2714" t="str" cm="1">
        <f t="array" ref="I2714">_xlfn.IFS(G2714&lt;3, "0–2 Years", G2714&lt;6, "3–5 Years", G2714&lt;9, "6–8 Years", G2714&lt;12, "9-11 Years", G2714&gt;=12, "12-14 Years")</f>
        <v>3–5 Years</v>
      </c>
      <c r="J2714">
        <v>3</v>
      </c>
      <c r="K2714" t="s">
        <v>20</v>
      </c>
      <c r="L2714">
        <v>89900</v>
      </c>
      <c r="M2714">
        <v>10200</v>
      </c>
      <c r="N2714">
        <v>100100</v>
      </c>
      <c r="O2714" t="s">
        <v>30</v>
      </c>
      <c r="P2714" s="3">
        <v>44756</v>
      </c>
      <c r="Q2714" t="s">
        <v>19</v>
      </c>
    </row>
    <row r="2715" spans="1:17" x14ac:dyDescent="0.35">
      <c r="A2715" t="s">
        <v>2767</v>
      </c>
      <c r="B2715" t="s">
        <v>23</v>
      </c>
      <c r="C2715">
        <v>28</v>
      </c>
      <c r="D2715" t="s">
        <v>34</v>
      </c>
      <c r="E2715" t="s">
        <v>47</v>
      </c>
      <c r="F2715" t="s">
        <v>28</v>
      </c>
      <c r="G2715">
        <v>1</v>
      </c>
      <c r="H2715">
        <v>1</v>
      </c>
      <c r="I2715" t="str" cm="1">
        <f t="array" ref="I2715">_xlfn.IFS(G2715&lt;3, "0–2 Years", G2715&lt;6, "3–5 Years", G2715&lt;9, "6–8 Years", G2715&lt;12, "9-11 Years", G2715&gt;=12, "12-14 Years")</f>
        <v>0–2 Years</v>
      </c>
      <c r="J2715">
        <v>3</v>
      </c>
      <c r="K2715" t="s">
        <v>20</v>
      </c>
      <c r="L2715">
        <v>64000</v>
      </c>
      <c r="M2715">
        <v>4200</v>
      </c>
      <c r="N2715">
        <v>68200</v>
      </c>
      <c r="O2715" t="s">
        <v>25</v>
      </c>
      <c r="P2715" s="3">
        <v>45650</v>
      </c>
      <c r="Q2715" t="s">
        <v>28</v>
      </c>
    </row>
    <row r="2716" spans="1:17" x14ac:dyDescent="0.35">
      <c r="A2716" t="s">
        <v>2768</v>
      </c>
      <c r="B2716" t="s">
        <v>23</v>
      </c>
      <c r="C2716">
        <v>31</v>
      </c>
      <c r="D2716" t="s">
        <v>38</v>
      </c>
      <c r="E2716" t="s">
        <v>39</v>
      </c>
      <c r="F2716" t="s">
        <v>36</v>
      </c>
      <c r="G2716">
        <v>8.1999999999999993</v>
      </c>
      <c r="H2716">
        <v>6.3</v>
      </c>
      <c r="I2716" t="str" cm="1">
        <f t="array" ref="I2716">_xlfn.IFS(G2716&lt;3, "0–2 Years", G2716&lt;6, "3–5 Years", G2716&lt;9, "6–8 Years", G2716&lt;12, "9-11 Years", G2716&gt;=12, "12-14 Years")</f>
        <v>6–8 Years</v>
      </c>
      <c r="J2716">
        <v>4</v>
      </c>
      <c r="K2716" t="s">
        <v>20</v>
      </c>
      <c r="L2716">
        <v>87300</v>
      </c>
      <c r="M2716">
        <v>8100</v>
      </c>
      <c r="N2716">
        <v>95400</v>
      </c>
      <c r="O2716" t="s">
        <v>30</v>
      </c>
      <c r="P2716" s="3">
        <v>43019</v>
      </c>
      <c r="Q2716" t="s">
        <v>36</v>
      </c>
    </row>
    <row r="2717" spans="1:17" x14ac:dyDescent="0.35">
      <c r="A2717" t="s">
        <v>2769</v>
      </c>
      <c r="B2717" t="s">
        <v>16</v>
      </c>
      <c r="C2717">
        <v>31</v>
      </c>
      <c r="D2717" t="s">
        <v>34</v>
      </c>
      <c r="E2717" t="s">
        <v>47</v>
      </c>
      <c r="F2717" t="s">
        <v>36</v>
      </c>
      <c r="G2717">
        <v>9.1999999999999993</v>
      </c>
      <c r="H2717">
        <v>5.2</v>
      </c>
      <c r="I2717" t="str" cm="1">
        <f t="array" ref="I2717">_xlfn.IFS(G2717&lt;3, "0–2 Years", G2717&lt;6, "3–5 Years", G2717&lt;9, "6–8 Years", G2717&lt;12, "9-11 Years", G2717&gt;=12, "12-14 Years")</f>
        <v>9-11 Years</v>
      </c>
      <c r="J2717">
        <v>4</v>
      </c>
      <c r="K2717" t="s">
        <v>20</v>
      </c>
      <c r="L2717">
        <v>93800</v>
      </c>
      <c r="M2717">
        <v>8600</v>
      </c>
      <c r="N2717">
        <v>102400</v>
      </c>
      <c r="O2717" t="s">
        <v>30</v>
      </c>
      <c r="P2717" s="3">
        <v>42665</v>
      </c>
      <c r="Q2717" t="s">
        <v>36</v>
      </c>
    </row>
    <row r="2718" spans="1:17" x14ac:dyDescent="0.35">
      <c r="A2718" t="s">
        <v>2770</v>
      </c>
      <c r="B2718" t="s">
        <v>23</v>
      </c>
      <c r="C2718">
        <v>25</v>
      </c>
      <c r="D2718" t="s">
        <v>38</v>
      </c>
      <c r="E2718" t="s">
        <v>39</v>
      </c>
      <c r="F2718" t="s">
        <v>36</v>
      </c>
      <c r="G2718">
        <v>9.3000000000000007</v>
      </c>
      <c r="H2718">
        <v>7</v>
      </c>
      <c r="I2718" t="str" cm="1">
        <f t="array" ref="I2718">_xlfn.IFS(G2718&lt;3, "0–2 Years", G2718&lt;6, "3–5 Years", G2718&lt;9, "6–8 Years", G2718&lt;12, "9-11 Years", G2718&gt;=12, "12-14 Years")</f>
        <v>9-11 Years</v>
      </c>
      <c r="J2718">
        <v>3</v>
      </c>
      <c r="K2718" t="s">
        <v>20</v>
      </c>
      <c r="L2718">
        <v>81500</v>
      </c>
      <c r="M2718">
        <v>5400</v>
      </c>
      <c r="N2718">
        <v>86900</v>
      </c>
      <c r="O2718" t="s">
        <v>30</v>
      </c>
      <c r="P2718" s="3">
        <v>42620</v>
      </c>
      <c r="Q2718" t="s">
        <v>36</v>
      </c>
    </row>
    <row r="2719" spans="1:17" x14ac:dyDescent="0.35">
      <c r="A2719" t="s">
        <v>2771</v>
      </c>
      <c r="B2719" t="s">
        <v>23</v>
      </c>
      <c r="C2719" s="7">
        <v>48</v>
      </c>
      <c r="D2719" t="s">
        <v>38</v>
      </c>
      <c r="E2719" t="s">
        <v>61</v>
      </c>
      <c r="F2719" t="s">
        <v>36</v>
      </c>
      <c r="G2719" s="9">
        <v>12.8</v>
      </c>
      <c r="H2719" s="7">
        <v>8.3000000000000007</v>
      </c>
      <c r="I2719" t="str" cm="1">
        <f t="array" ref="I2719">_xlfn.IFS(G2719&lt;3, "0–2 Years", G2719&lt;6, "3–5 Years", G2719&lt;9, "6–8 Years", G2719&lt;12, "9-11 Years", G2719&gt;=12, "12-14 Years")</f>
        <v>12-14 Years</v>
      </c>
      <c r="J2719" s="7">
        <v>2</v>
      </c>
      <c r="K2719" t="s">
        <v>20</v>
      </c>
      <c r="L2719" s="7">
        <v>109700</v>
      </c>
      <c r="M2719" s="7">
        <v>4100</v>
      </c>
      <c r="N2719" s="7">
        <v>113800</v>
      </c>
      <c r="O2719" t="s">
        <v>57</v>
      </c>
      <c r="P2719" s="3">
        <v>41334</v>
      </c>
      <c r="Q2719" t="s">
        <v>36</v>
      </c>
    </row>
    <row r="2720" spans="1:17" x14ac:dyDescent="0.35">
      <c r="A2720" t="s">
        <v>2772</v>
      </c>
      <c r="B2720" t="s">
        <v>23</v>
      </c>
      <c r="C2720">
        <v>33</v>
      </c>
      <c r="D2720" t="s">
        <v>55</v>
      </c>
      <c r="E2720" t="s">
        <v>92</v>
      </c>
      <c r="F2720" t="s">
        <v>62</v>
      </c>
      <c r="G2720">
        <v>4</v>
      </c>
      <c r="H2720">
        <v>3.4</v>
      </c>
      <c r="I2720" t="str" cm="1">
        <f t="array" ref="I2720">_xlfn.IFS(G2720&lt;3, "0–2 Years", G2720&lt;6, "3–5 Years", G2720&lt;9, "6–8 Years", G2720&lt;12, "9-11 Years", G2720&gt;=12, "12-14 Years")</f>
        <v>3–5 Years</v>
      </c>
      <c r="J2720">
        <v>4</v>
      </c>
      <c r="K2720" t="s">
        <v>24</v>
      </c>
      <c r="L2720">
        <v>63400</v>
      </c>
      <c r="M2720">
        <v>10300</v>
      </c>
      <c r="N2720">
        <v>73700</v>
      </c>
      <c r="O2720" t="s">
        <v>25</v>
      </c>
      <c r="P2720" s="3">
        <v>44579</v>
      </c>
      <c r="Q2720" t="s">
        <v>62</v>
      </c>
    </row>
    <row r="2721" spans="1:17" x14ac:dyDescent="0.35">
      <c r="A2721" t="s">
        <v>2773</v>
      </c>
      <c r="B2721" t="s">
        <v>16</v>
      </c>
      <c r="C2721">
        <v>35</v>
      </c>
      <c r="D2721" t="s">
        <v>41</v>
      </c>
      <c r="E2721" t="s">
        <v>42</v>
      </c>
      <c r="F2721" t="s">
        <v>19</v>
      </c>
      <c r="G2721">
        <v>5.5</v>
      </c>
      <c r="H2721">
        <v>4.5999999999999996</v>
      </c>
      <c r="I2721" t="str" cm="1">
        <f t="array" ref="I2721">_xlfn.IFS(G2721&lt;3, "0–2 Years", G2721&lt;6, "3–5 Years", G2721&lt;9, "6–8 Years", G2721&lt;12, "9-11 Years", G2721&gt;=12, "12-14 Years")</f>
        <v>3–5 Years</v>
      </c>
      <c r="J2721">
        <v>4</v>
      </c>
      <c r="K2721" t="s">
        <v>20</v>
      </c>
      <c r="L2721">
        <v>65200</v>
      </c>
      <c r="M2721">
        <v>4600</v>
      </c>
      <c r="N2721">
        <v>69800</v>
      </c>
      <c r="O2721" t="s">
        <v>21</v>
      </c>
      <c r="P2721" s="3">
        <v>44005</v>
      </c>
      <c r="Q2721" t="s">
        <v>19</v>
      </c>
    </row>
    <row r="2722" spans="1:17" x14ac:dyDescent="0.35">
      <c r="A2722" t="s">
        <v>2774</v>
      </c>
      <c r="B2722" t="s">
        <v>23</v>
      </c>
      <c r="C2722">
        <v>33</v>
      </c>
      <c r="D2722" t="s">
        <v>34</v>
      </c>
      <c r="E2722" t="s">
        <v>35</v>
      </c>
      <c r="F2722" t="s">
        <v>36</v>
      </c>
      <c r="G2722">
        <v>8.8000000000000007</v>
      </c>
      <c r="H2722">
        <v>5.5</v>
      </c>
      <c r="I2722" t="str" cm="1">
        <f t="array" ref="I2722">_xlfn.IFS(G2722&lt;3, "0–2 Years", G2722&lt;6, "3–5 Years", G2722&lt;9, "6–8 Years", G2722&lt;12, "9-11 Years", G2722&gt;=12, "12-14 Years")</f>
        <v>6–8 Years</v>
      </c>
      <c r="J2722">
        <v>1</v>
      </c>
      <c r="K2722" t="s">
        <v>69</v>
      </c>
      <c r="L2722">
        <v>72500</v>
      </c>
      <c r="M2722">
        <v>8200</v>
      </c>
      <c r="N2722">
        <v>80700</v>
      </c>
      <c r="O2722" t="s">
        <v>21</v>
      </c>
      <c r="P2722" s="3">
        <v>42827</v>
      </c>
      <c r="Q2722" t="s">
        <v>36</v>
      </c>
    </row>
    <row r="2723" spans="1:17" x14ac:dyDescent="0.35">
      <c r="A2723" t="s">
        <v>2775</v>
      </c>
      <c r="B2723" t="s">
        <v>23</v>
      </c>
      <c r="C2723">
        <v>31</v>
      </c>
      <c r="D2723" t="s">
        <v>17</v>
      </c>
      <c r="E2723" t="s">
        <v>32</v>
      </c>
      <c r="F2723" t="s">
        <v>36</v>
      </c>
      <c r="G2723">
        <v>10</v>
      </c>
      <c r="H2723">
        <v>6</v>
      </c>
      <c r="I2723" t="str" cm="1">
        <f t="array" ref="I2723">_xlfn.IFS(G2723&lt;3, "0–2 Years", G2723&lt;6, "3–5 Years", G2723&lt;9, "6–8 Years", G2723&lt;12, "9-11 Years", G2723&gt;=12, "12-14 Years")</f>
        <v>9-11 Years</v>
      </c>
      <c r="J2723">
        <v>3</v>
      </c>
      <c r="K2723" t="s">
        <v>20</v>
      </c>
      <c r="L2723">
        <v>77800</v>
      </c>
      <c r="M2723">
        <v>9600</v>
      </c>
      <c r="N2723">
        <v>87400</v>
      </c>
      <c r="O2723" t="s">
        <v>21</v>
      </c>
      <c r="P2723" s="3">
        <v>42369</v>
      </c>
      <c r="Q2723" t="s">
        <v>36</v>
      </c>
    </row>
    <row r="2724" spans="1:17" x14ac:dyDescent="0.35">
      <c r="A2724" t="s">
        <v>2776</v>
      </c>
      <c r="B2724" t="s">
        <v>16</v>
      </c>
      <c r="C2724">
        <v>39</v>
      </c>
      <c r="D2724" t="s">
        <v>44</v>
      </c>
      <c r="E2724" t="s">
        <v>81</v>
      </c>
      <c r="F2724" t="s">
        <v>36</v>
      </c>
      <c r="G2724">
        <v>7.8</v>
      </c>
      <c r="H2724">
        <v>4.8</v>
      </c>
      <c r="I2724" t="str" cm="1">
        <f t="array" ref="I2724">_xlfn.IFS(G2724&lt;3, "0–2 Years", G2724&lt;6, "3–5 Years", G2724&lt;9, "6–8 Years", G2724&lt;12, "9-11 Years", G2724&gt;=12, "12-14 Years")</f>
        <v>6–8 Years</v>
      </c>
      <c r="J2724">
        <v>3</v>
      </c>
      <c r="K2724" t="s">
        <v>20</v>
      </c>
      <c r="L2724">
        <v>91400</v>
      </c>
      <c r="M2724">
        <v>11600</v>
      </c>
      <c r="N2724">
        <v>103000</v>
      </c>
      <c r="O2724" t="s">
        <v>30</v>
      </c>
      <c r="P2724" s="3">
        <v>43182</v>
      </c>
      <c r="Q2724" t="s">
        <v>36</v>
      </c>
    </row>
    <row r="2725" spans="1:17" x14ac:dyDescent="0.35">
      <c r="A2725" t="s">
        <v>2777</v>
      </c>
      <c r="B2725" t="s">
        <v>16</v>
      </c>
      <c r="C2725">
        <v>57</v>
      </c>
      <c r="D2725" t="s">
        <v>44</v>
      </c>
      <c r="E2725" t="s">
        <v>45</v>
      </c>
      <c r="F2725" t="s">
        <v>28</v>
      </c>
      <c r="G2725">
        <v>5.7</v>
      </c>
      <c r="H2725">
        <v>3.3</v>
      </c>
      <c r="I2725" t="str" cm="1">
        <f t="array" ref="I2725">_xlfn.IFS(G2725&lt;3, "0–2 Years", G2725&lt;6, "3–5 Years", G2725&lt;9, "6–8 Years", G2725&lt;12, "9-11 Years", G2725&gt;=12, "12-14 Years")</f>
        <v>3–5 Years</v>
      </c>
      <c r="J2725">
        <v>2</v>
      </c>
      <c r="K2725" t="s">
        <v>24</v>
      </c>
      <c r="L2725">
        <v>40800</v>
      </c>
      <c r="M2725">
        <v>3800</v>
      </c>
      <c r="N2725">
        <v>44600</v>
      </c>
      <c r="O2725" t="s">
        <v>65</v>
      </c>
      <c r="P2725" s="3">
        <v>43948</v>
      </c>
      <c r="Q2725" t="s">
        <v>28</v>
      </c>
    </row>
    <row r="2726" spans="1:17" x14ac:dyDescent="0.35">
      <c r="A2726" t="s">
        <v>2778</v>
      </c>
      <c r="B2726" t="s">
        <v>16</v>
      </c>
      <c r="C2726">
        <v>32</v>
      </c>
      <c r="D2726" t="s">
        <v>41</v>
      </c>
      <c r="E2726" t="s">
        <v>67</v>
      </c>
      <c r="F2726" t="s">
        <v>36</v>
      </c>
      <c r="G2726">
        <v>11.1</v>
      </c>
      <c r="H2726">
        <v>9.1</v>
      </c>
      <c r="I2726" t="str" cm="1">
        <f t="array" ref="I2726">_xlfn.IFS(G2726&lt;3, "0–2 Years", G2726&lt;6, "3–5 Years", G2726&lt;9, "6–8 Years", G2726&lt;12, "9-11 Years", G2726&gt;=12, "12-14 Years")</f>
        <v>9-11 Years</v>
      </c>
      <c r="J2726">
        <v>3</v>
      </c>
      <c r="K2726" t="s">
        <v>20</v>
      </c>
      <c r="L2726">
        <v>80300</v>
      </c>
      <c r="M2726">
        <v>2800</v>
      </c>
      <c r="N2726">
        <v>83100</v>
      </c>
      <c r="O2726" t="s">
        <v>30</v>
      </c>
      <c r="P2726" s="3">
        <v>41961</v>
      </c>
      <c r="Q2726" t="s">
        <v>36</v>
      </c>
    </row>
    <row r="2727" spans="1:17" x14ac:dyDescent="0.35">
      <c r="A2727" t="s">
        <v>2779</v>
      </c>
      <c r="B2727" t="s">
        <v>23</v>
      </c>
      <c r="C2727" s="7">
        <v>38</v>
      </c>
      <c r="D2727" t="s">
        <v>17</v>
      </c>
      <c r="E2727" t="s">
        <v>27</v>
      </c>
      <c r="F2727" t="s">
        <v>36</v>
      </c>
      <c r="G2727" s="9">
        <v>13.1</v>
      </c>
      <c r="H2727" s="7">
        <v>9.1999999999999993</v>
      </c>
      <c r="I2727" t="str" cm="1">
        <f t="array" ref="I2727">_xlfn.IFS(G2727&lt;3, "0–2 Years", G2727&lt;6, "3–5 Years", G2727&lt;9, "6–8 Years", G2727&lt;12, "9-11 Years", G2727&gt;=12, "12-14 Years")</f>
        <v>12-14 Years</v>
      </c>
      <c r="J2727" s="7">
        <v>3</v>
      </c>
      <c r="K2727" t="s">
        <v>20</v>
      </c>
      <c r="L2727" s="7">
        <v>91500</v>
      </c>
      <c r="M2727" s="7">
        <v>6400</v>
      </c>
      <c r="N2727" s="7">
        <v>97900</v>
      </c>
      <c r="O2727" t="s">
        <v>30</v>
      </c>
      <c r="P2727" s="3">
        <v>41239</v>
      </c>
      <c r="Q2727" t="s">
        <v>36</v>
      </c>
    </row>
    <row r="2728" spans="1:17" x14ac:dyDescent="0.35">
      <c r="A2728" t="s">
        <v>2780</v>
      </c>
      <c r="B2728" t="s">
        <v>16</v>
      </c>
      <c r="C2728" s="7">
        <v>46</v>
      </c>
      <c r="D2728" t="s">
        <v>41</v>
      </c>
      <c r="E2728" t="s">
        <v>67</v>
      </c>
      <c r="F2728" t="s">
        <v>28</v>
      </c>
      <c r="G2728" s="9">
        <v>13.9</v>
      </c>
      <c r="H2728" s="7">
        <v>9.3000000000000007</v>
      </c>
      <c r="I2728" t="str" cm="1">
        <f t="array" ref="I2728">_xlfn.IFS(G2728&lt;3, "0–2 Years", G2728&lt;6, "3–5 Years", G2728&lt;9, "6–8 Years", G2728&lt;12, "9-11 Years", G2728&gt;=12, "12-14 Years")</f>
        <v>12-14 Years</v>
      </c>
      <c r="J2728" s="7">
        <v>4</v>
      </c>
      <c r="K2728" t="s">
        <v>20</v>
      </c>
      <c r="L2728" s="7">
        <v>73200</v>
      </c>
      <c r="M2728" s="7">
        <v>5900</v>
      </c>
      <c r="N2728" s="7">
        <v>79100</v>
      </c>
      <c r="O2728" t="s">
        <v>21</v>
      </c>
      <c r="P2728" s="3">
        <v>40932</v>
      </c>
      <c r="Q2728" t="s">
        <v>28</v>
      </c>
    </row>
    <row r="2729" spans="1:17" x14ac:dyDescent="0.35">
      <c r="A2729" t="s">
        <v>2781</v>
      </c>
      <c r="B2729" t="s">
        <v>23</v>
      </c>
      <c r="C2729" s="7">
        <v>32</v>
      </c>
      <c r="D2729" t="s">
        <v>17</v>
      </c>
      <c r="E2729" t="s">
        <v>27</v>
      </c>
      <c r="F2729" t="s">
        <v>36</v>
      </c>
      <c r="G2729" s="9">
        <v>12.9</v>
      </c>
      <c r="H2729" s="7">
        <v>7.2</v>
      </c>
      <c r="I2729" t="str" cm="1">
        <f t="array" ref="I2729">_xlfn.IFS(G2729&lt;3, "0–2 Years", G2729&lt;6, "3–5 Years", G2729&lt;9, "6–8 Years", G2729&lt;12, "9-11 Years", G2729&gt;=12, "12-14 Years")</f>
        <v>12-14 Years</v>
      </c>
      <c r="J2729" s="7">
        <v>4</v>
      </c>
      <c r="K2729" t="s">
        <v>20</v>
      </c>
      <c r="L2729" s="7">
        <v>86400</v>
      </c>
      <c r="M2729" s="7">
        <v>4200</v>
      </c>
      <c r="N2729" s="7">
        <v>90600</v>
      </c>
      <c r="O2729" t="s">
        <v>30</v>
      </c>
      <c r="P2729" s="3">
        <v>41304</v>
      </c>
      <c r="Q2729" t="s">
        <v>36</v>
      </c>
    </row>
    <row r="2730" spans="1:17" x14ac:dyDescent="0.35">
      <c r="A2730" t="s">
        <v>2782</v>
      </c>
      <c r="B2730" t="s">
        <v>16</v>
      </c>
      <c r="C2730">
        <v>37</v>
      </c>
      <c r="D2730" t="s">
        <v>44</v>
      </c>
      <c r="E2730" t="s">
        <v>81</v>
      </c>
      <c r="F2730" t="s">
        <v>19</v>
      </c>
      <c r="G2730">
        <v>3.1</v>
      </c>
      <c r="H2730">
        <v>3.1</v>
      </c>
      <c r="I2730" t="str" cm="1">
        <f t="array" ref="I2730">_xlfn.IFS(G2730&lt;3, "0–2 Years", G2730&lt;6, "3–5 Years", G2730&lt;9, "6–8 Years", G2730&lt;12, "9-11 Years", G2730&gt;=12, "12-14 Years")</f>
        <v>3–5 Years</v>
      </c>
      <c r="J2730">
        <v>3</v>
      </c>
      <c r="K2730" t="s">
        <v>20</v>
      </c>
      <c r="L2730">
        <v>88000</v>
      </c>
      <c r="M2730">
        <v>6100</v>
      </c>
      <c r="N2730">
        <v>94100</v>
      </c>
      <c r="O2730" t="s">
        <v>30</v>
      </c>
      <c r="P2730" s="3">
        <v>44876</v>
      </c>
      <c r="Q2730" t="s">
        <v>19</v>
      </c>
    </row>
    <row r="2731" spans="1:17" x14ac:dyDescent="0.35">
      <c r="A2731" t="s">
        <v>2783</v>
      </c>
      <c r="B2731" t="s">
        <v>23</v>
      </c>
      <c r="C2731">
        <v>33</v>
      </c>
      <c r="D2731" t="s">
        <v>55</v>
      </c>
      <c r="E2731" t="s">
        <v>79</v>
      </c>
      <c r="F2731" t="s">
        <v>28</v>
      </c>
      <c r="G2731">
        <v>7.5</v>
      </c>
      <c r="H2731">
        <v>4.2</v>
      </c>
      <c r="I2731" t="str" cm="1">
        <f t="array" ref="I2731">_xlfn.IFS(G2731&lt;3, "0–2 Years", G2731&lt;6, "3–5 Years", G2731&lt;9, "6–8 Years", G2731&lt;12, "9-11 Years", G2731&gt;=12, "12-14 Years")</f>
        <v>6–8 Years</v>
      </c>
      <c r="J2731">
        <v>4</v>
      </c>
      <c r="K2731" t="s">
        <v>20</v>
      </c>
      <c r="L2731">
        <v>66700</v>
      </c>
      <c r="M2731">
        <v>6300</v>
      </c>
      <c r="N2731">
        <v>73000</v>
      </c>
      <c r="O2731" t="s">
        <v>21</v>
      </c>
      <c r="P2731" s="3">
        <v>43290</v>
      </c>
      <c r="Q2731" t="s">
        <v>28</v>
      </c>
    </row>
    <row r="2732" spans="1:17" x14ac:dyDescent="0.35">
      <c r="A2732" t="s">
        <v>2784</v>
      </c>
      <c r="B2732" t="s">
        <v>16</v>
      </c>
      <c r="C2732" s="7">
        <v>35</v>
      </c>
      <c r="D2732" t="s">
        <v>34</v>
      </c>
      <c r="E2732" t="s">
        <v>35</v>
      </c>
      <c r="F2732" t="s">
        <v>19</v>
      </c>
      <c r="G2732" s="9">
        <v>12.1</v>
      </c>
      <c r="H2732" s="7">
        <v>7</v>
      </c>
      <c r="I2732" t="str" cm="1">
        <f t="array" ref="I2732">_xlfn.IFS(G2732&lt;3, "0–2 Years", G2732&lt;6, "3–5 Years", G2732&lt;9, "6–8 Years", G2732&lt;12, "9-11 Years", G2732&gt;=12, "12-14 Years")</f>
        <v>12-14 Years</v>
      </c>
      <c r="J2732" s="7">
        <v>4</v>
      </c>
      <c r="K2732" t="s">
        <v>24</v>
      </c>
      <c r="L2732" s="7">
        <v>50500</v>
      </c>
      <c r="M2732" s="7">
        <v>5400</v>
      </c>
      <c r="N2732" s="7">
        <v>55900</v>
      </c>
      <c r="O2732" t="s">
        <v>25</v>
      </c>
      <c r="P2732" s="3">
        <v>41618</v>
      </c>
      <c r="Q2732" t="s">
        <v>19</v>
      </c>
    </row>
    <row r="2733" spans="1:17" x14ac:dyDescent="0.35">
      <c r="A2733" t="s">
        <v>2785</v>
      </c>
      <c r="B2733" t="s">
        <v>16</v>
      </c>
      <c r="C2733">
        <v>46</v>
      </c>
      <c r="D2733" t="s">
        <v>34</v>
      </c>
      <c r="E2733" t="s">
        <v>47</v>
      </c>
      <c r="F2733" t="s">
        <v>28</v>
      </c>
      <c r="G2733">
        <v>10.199999999999999</v>
      </c>
      <c r="H2733">
        <v>7</v>
      </c>
      <c r="I2733" t="str" cm="1">
        <f t="array" ref="I2733">_xlfn.IFS(G2733&lt;3, "0–2 Years", G2733&lt;6, "3–5 Years", G2733&lt;9, "6–8 Years", G2733&lt;12, "9-11 Years", G2733&gt;=12, "12-14 Years")</f>
        <v>9-11 Years</v>
      </c>
      <c r="J2733">
        <v>2</v>
      </c>
      <c r="K2733" t="s">
        <v>20</v>
      </c>
      <c r="L2733">
        <v>82100</v>
      </c>
      <c r="M2733">
        <v>9200</v>
      </c>
      <c r="N2733">
        <v>91300</v>
      </c>
      <c r="O2733" t="s">
        <v>30</v>
      </c>
      <c r="P2733" s="3">
        <v>42289</v>
      </c>
      <c r="Q2733" t="s">
        <v>28</v>
      </c>
    </row>
    <row r="2734" spans="1:17" x14ac:dyDescent="0.35">
      <c r="A2734" t="s">
        <v>2786</v>
      </c>
      <c r="B2734" t="s">
        <v>16</v>
      </c>
      <c r="C2734">
        <v>41</v>
      </c>
      <c r="D2734" t="s">
        <v>44</v>
      </c>
      <c r="E2734" t="s">
        <v>76</v>
      </c>
      <c r="F2734" t="s">
        <v>36</v>
      </c>
      <c r="G2734">
        <v>10.5</v>
      </c>
      <c r="H2734">
        <v>4.9000000000000004</v>
      </c>
      <c r="I2734" t="str" cm="1">
        <f t="array" ref="I2734">_xlfn.IFS(G2734&lt;3, "0–2 Years", G2734&lt;6, "3–5 Years", G2734&lt;9, "6–8 Years", G2734&lt;12, "9-11 Years", G2734&gt;=12, "12-14 Years")</f>
        <v>9-11 Years</v>
      </c>
      <c r="J2734">
        <v>3</v>
      </c>
      <c r="K2734" t="s">
        <v>20</v>
      </c>
      <c r="L2734">
        <v>111700</v>
      </c>
      <c r="M2734">
        <v>10100</v>
      </c>
      <c r="N2734">
        <v>121800</v>
      </c>
      <c r="O2734" t="s">
        <v>57</v>
      </c>
      <c r="P2734" s="3">
        <v>42175</v>
      </c>
      <c r="Q2734" t="s">
        <v>36</v>
      </c>
    </row>
    <row r="2735" spans="1:17" x14ac:dyDescent="0.35">
      <c r="A2735" t="s">
        <v>2787</v>
      </c>
      <c r="B2735" t="s">
        <v>16</v>
      </c>
      <c r="C2735">
        <v>42</v>
      </c>
      <c r="D2735" t="s">
        <v>34</v>
      </c>
      <c r="E2735" t="s">
        <v>35</v>
      </c>
      <c r="F2735" t="s">
        <v>36</v>
      </c>
      <c r="G2735">
        <v>7</v>
      </c>
      <c r="H2735">
        <v>2.8</v>
      </c>
      <c r="I2735" t="str" cm="1">
        <f t="array" ref="I2735">_xlfn.IFS(G2735&lt;3, "0–2 Years", G2735&lt;6, "3–5 Years", G2735&lt;9, "6–8 Years", G2735&lt;12, "9-11 Years", G2735&gt;=12, "12-14 Years")</f>
        <v>6–8 Years</v>
      </c>
      <c r="J2735">
        <v>3</v>
      </c>
      <c r="K2735" t="s">
        <v>20</v>
      </c>
      <c r="L2735">
        <v>80400</v>
      </c>
      <c r="M2735">
        <v>8400</v>
      </c>
      <c r="N2735">
        <v>88800</v>
      </c>
      <c r="O2735" t="s">
        <v>30</v>
      </c>
      <c r="P2735" s="3">
        <v>43473</v>
      </c>
      <c r="Q2735" t="s">
        <v>36</v>
      </c>
    </row>
    <row r="2736" spans="1:17" x14ac:dyDescent="0.35">
      <c r="A2736" t="s">
        <v>2788</v>
      </c>
      <c r="B2736" t="s">
        <v>16</v>
      </c>
      <c r="C2736">
        <v>38</v>
      </c>
      <c r="D2736" t="s">
        <v>38</v>
      </c>
      <c r="E2736" t="s">
        <v>61</v>
      </c>
      <c r="F2736" t="s">
        <v>28</v>
      </c>
      <c r="G2736">
        <v>10.7</v>
      </c>
      <c r="H2736">
        <v>8.4</v>
      </c>
      <c r="I2736" t="str" cm="1">
        <f t="array" ref="I2736">_xlfn.IFS(G2736&lt;3, "0–2 Years", G2736&lt;6, "3–5 Years", G2736&lt;9, "6–8 Years", G2736&lt;12, "9-11 Years", G2736&gt;=12, "12-14 Years")</f>
        <v>9-11 Years</v>
      </c>
      <c r="J2736">
        <v>4</v>
      </c>
      <c r="K2736" t="s">
        <v>20</v>
      </c>
      <c r="L2736">
        <v>112100</v>
      </c>
      <c r="M2736">
        <v>5800</v>
      </c>
      <c r="N2736">
        <v>117900</v>
      </c>
      <c r="O2736" t="s">
        <v>57</v>
      </c>
      <c r="P2736" s="3">
        <v>42126</v>
      </c>
      <c r="Q2736" t="s">
        <v>28</v>
      </c>
    </row>
    <row r="2737" spans="1:17" x14ac:dyDescent="0.35">
      <c r="A2737" t="s">
        <v>2789</v>
      </c>
      <c r="B2737" t="s">
        <v>23</v>
      </c>
      <c r="C2737">
        <v>28</v>
      </c>
      <c r="D2737" t="s">
        <v>38</v>
      </c>
      <c r="E2737" t="s">
        <v>112</v>
      </c>
      <c r="F2737" t="s">
        <v>36</v>
      </c>
      <c r="G2737">
        <v>6.1</v>
      </c>
      <c r="H2737">
        <v>5.8</v>
      </c>
      <c r="I2737" t="str" cm="1">
        <f t="array" ref="I2737">_xlfn.IFS(G2737&lt;3, "0–2 Years", G2737&lt;6, "3–5 Years", G2737&lt;9, "6–8 Years", G2737&lt;12, "9-11 Years", G2737&gt;=12, "12-14 Years")</f>
        <v>6–8 Years</v>
      </c>
      <c r="J2737">
        <v>4</v>
      </c>
      <c r="K2737" t="s">
        <v>20</v>
      </c>
      <c r="L2737">
        <v>80300</v>
      </c>
      <c r="M2737">
        <v>7900</v>
      </c>
      <c r="N2737">
        <v>88200</v>
      </c>
      <c r="O2737" t="s">
        <v>30</v>
      </c>
      <c r="P2737" s="3">
        <v>43800</v>
      </c>
      <c r="Q2737" t="s">
        <v>36</v>
      </c>
    </row>
    <row r="2738" spans="1:17" x14ac:dyDescent="0.35">
      <c r="A2738" t="s">
        <v>2790</v>
      </c>
      <c r="B2738" t="s">
        <v>16</v>
      </c>
      <c r="C2738">
        <v>29</v>
      </c>
      <c r="D2738" t="s">
        <v>34</v>
      </c>
      <c r="E2738" t="s">
        <v>47</v>
      </c>
      <c r="F2738" t="s">
        <v>28</v>
      </c>
      <c r="G2738">
        <v>6.6</v>
      </c>
      <c r="H2738">
        <v>2.7</v>
      </c>
      <c r="I2738" t="str" cm="1">
        <f t="array" ref="I2738">_xlfn.IFS(G2738&lt;3, "0–2 Years", G2738&lt;6, "3–5 Years", G2738&lt;9, "6–8 Years", G2738&lt;12, "9-11 Years", G2738&gt;=12, "12-14 Years")</f>
        <v>6–8 Years</v>
      </c>
      <c r="J2738">
        <v>2</v>
      </c>
      <c r="K2738" t="s">
        <v>20</v>
      </c>
      <c r="L2738">
        <v>72100</v>
      </c>
      <c r="M2738">
        <v>6200</v>
      </c>
      <c r="N2738">
        <v>78300</v>
      </c>
      <c r="O2738" t="s">
        <v>21</v>
      </c>
      <c r="P2738" s="3">
        <v>43598</v>
      </c>
      <c r="Q2738" t="s">
        <v>28</v>
      </c>
    </row>
    <row r="2739" spans="1:17" x14ac:dyDescent="0.35">
      <c r="A2739" t="s">
        <v>2791</v>
      </c>
      <c r="B2739" t="s">
        <v>16</v>
      </c>
      <c r="C2739">
        <v>32</v>
      </c>
      <c r="D2739" t="s">
        <v>34</v>
      </c>
      <c r="E2739" t="s">
        <v>59</v>
      </c>
      <c r="F2739" t="s">
        <v>62</v>
      </c>
      <c r="G2739">
        <v>7.7</v>
      </c>
      <c r="H2739">
        <v>5.9</v>
      </c>
      <c r="I2739" t="str" cm="1">
        <f t="array" ref="I2739">_xlfn.IFS(G2739&lt;3, "0–2 Years", G2739&lt;6, "3–5 Years", G2739&lt;9, "6–8 Years", G2739&lt;12, "9-11 Years", G2739&gt;=12, "12-14 Years")</f>
        <v>6–8 Years</v>
      </c>
      <c r="J2739">
        <v>4</v>
      </c>
      <c r="K2739" t="s">
        <v>69</v>
      </c>
      <c r="L2739">
        <v>99600</v>
      </c>
      <c r="M2739">
        <v>6800</v>
      </c>
      <c r="N2739">
        <v>106400</v>
      </c>
      <c r="O2739" t="s">
        <v>30</v>
      </c>
      <c r="P2739" s="3">
        <v>43210</v>
      </c>
      <c r="Q2739" t="s">
        <v>62</v>
      </c>
    </row>
    <row r="2740" spans="1:17" x14ac:dyDescent="0.35">
      <c r="A2740" t="s">
        <v>2792</v>
      </c>
      <c r="B2740" t="s">
        <v>16</v>
      </c>
      <c r="C2740">
        <v>21</v>
      </c>
      <c r="D2740" t="s">
        <v>44</v>
      </c>
      <c r="E2740" t="s">
        <v>45</v>
      </c>
      <c r="F2740" t="s">
        <v>28</v>
      </c>
      <c r="G2740">
        <v>7.8</v>
      </c>
      <c r="H2740">
        <v>5.7</v>
      </c>
      <c r="I2740" t="str" cm="1">
        <f t="array" ref="I2740">_xlfn.IFS(G2740&lt;3, "0–2 Years", G2740&lt;6, "3–5 Years", G2740&lt;9, "6–8 Years", G2740&lt;12, "9-11 Years", G2740&gt;=12, "12-14 Years")</f>
        <v>6–8 Years</v>
      </c>
      <c r="J2740">
        <v>3</v>
      </c>
      <c r="K2740" t="s">
        <v>24</v>
      </c>
      <c r="L2740">
        <v>48900</v>
      </c>
      <c r="M2740">
        <v>6000</v>
      </c>
      <c r="N2740">
        <v>54900</v>
      </c>
      <c r="O2740" t="s">
        <v>65</v>
      </c>
      <c r="P2740" s="3">
        <v>43174</v>
      </c>
      <c r="Q2740" t="s">
        <v>28</v>
      </c>
    </row>
    <row r="2741" spans="1:17" x14ac:dyDescent="0.35">
      <c r="A2741" t="s">
        <v>2793</v>
      </c>
      <c r="B2741" t="s">
        <v>23</v>
      </c>
      <c r="C2741">
        <v>24</v>
      </c>
      <c r="D2741" t="s">
        <v>44</v>
      </c>
      <c r="E2741" t="s">
        <v>51</v>
      </c>
      <c r="F2741" t="s">
        <v>28</v>
      </c>
      <c r="G2741">
        <v>1.2</v>
      </c>
      <c r="H2741">
        <v>0.9</v>
      </c>
      <c r="I2741" t="str" cm="1">
        <f t="array" ref="I2741">_xlfn.IFS(G2741&lt;3, "0–2 Years", G2741&lt;6, "3–5 Years", G2741&lt;9, "6–8 Years", G2741&lt;12, "9-11 Years", G2741&gt;=12, "12-14 Years")</f>
        <v>0–2 Years</v>
      </c>
      <c r="J2741">
        <v>4</v>
      </c>
      <c r="K2741" t="s">
        <v>20</v>
      </c>
      <c r="L2741">
        <v>84400</v>
      </c>
      <c r="M2741">
        <v>12400</v>
      </c>
      <c r="N2741">
        <v>96800</v>
      </c>
      <c r="O2741" t="s">
        <v>30</v>
      </c>
      <c r="P2741" s="3">
        <v>45585</v>
      </c>
      <c r="Q2741" t="s">
        <v>28</v>
      </c>
    </row>
    <row r="2742" spans="1:17" x14ac:dyDescent="0.35">
      <c r="A2742" t="s">
        <v>2794</v>
      </c>
      <c r="B2742" t="s">
        <v>16</v>
      </c>
      <c r="C2742">
        <v>37</v>
      </c>
      <c r="D2742" t="s">
        <v>34</v>
      </c>
      <c r="E2742" t="s">
        <v>59</v>
      </c>
      <c r="F2742" t="s">
        <v>28</v>
      </c>
      <c r="G2742">
        <v>11.4</v>
      </c>
      <c r="H2742">
        <v>6.9</v>
      </c>
      <c r="I2742" t="str" cm="1">
        <f t="array" ref="I2742">_xlfn.IFS(G2742&lt;3, "0–2 Years", G2742&lt;6, "3–5 Years", G2742&lt;9, "6–8 Years", G2742&lt;12, "9-11 Years", G2742&gt;=12, "12-14 Years")</f>
        <v>9-11 Years</v>
      </c>
      <c r="J2742">
        <v>3</v>
      </c>
      <c r="K2742" t="s">
        <v>69</v>
      </c>
      <c r="L2742">
        <v>87900</v>
      </c>
      <c r="M2742">
        <v>7600</v>
      </c>
      <c r="N2742">
        <v>95500</v>
      </c>
      <c r="O2742" t="s">
        <v>30</v>
      </c>
      <c r="P2742" s="3">
        <v>41871</v>
      </c>
      <c r="Q2742" t="s">
        <v>28</v>
      </c>
    </row>
    <row r="2743" spans="1:17" x14ac:dyDescent="0.35">
      <c r="A2743" t="s">
        <v>2795</v>
      </c>
      <c r="B2743" t="s">
        <v>23</v>
      </c>
      <c r="C2743">
        <v>38</v>
      </c>
      <c r="D2743" t="s">
        <v>38</v>
      </c>
      <c r="E2743" t="s">
        <v>61</v>
      </c>
      <c r="F2743" t="s">
        <v>28</v>
      </c>
      <c r="G2743">
        <v>3.9</v>
      </c>
      <c r="H2743">
        <v>1.3</v>
      </c>
      <c r="I2743" t="str" cm="1">
        <f t="array" ref="I2743">_xlfn.IFS(G2743&lt;3, "0–2 Years", G2743&lt;6, "3–5 Years", G2743&lt;9, "6–8 Years", G2743&lt;12, "9-11 Years", G2743&gt;=12, "12-14 Years")</f>
        <v>3–5 Years</v>
      </c>
      <c r="J2743">
        <v>4</v>
      </c>
      <c r="K2743" t="s">
        <v>69</v>
      </c>
      <c r="L2743">
        <v>80600</v>
      </c>
      <c r="M2743">
        <v>5700</v>
      </c>
      <c r="N2743">
        <v>86300</v>
      </c>
      <c r="O2743" t="s">
        <v>30</v>
      </c>
      <c r="P2743" s="3">
        <v>44592</v>
      </c>
      <c r="Q2743" t="s">
        <v>28</v>
      </c>
    </row>
    <row r="2744" spans="1:17" x14ac:dyDescent="0.35">
      <c r="A2744" t="s">
        <v>2796</v>
      </c>
      <c r="B2744" t="s">
        <v>23</v>
      </c>
      <c r="C2744">
        <v>36</v>
      </c>
      <c r="D2744" t="s">
        <v>55</v>
      </c>
      <c r="E2744" t="s">
        <v>56</v>
      </c>
      <c r="F2744" t="s">
        <v>19</v>
      </c>
      <c r="G2744">
        <v>10.8</v>
      </c>
      <c r="H2744">
        <v>6</v>
      </c>
      <c r="I2744" t="str" cm="1">
        <f t="array" ref="I2744">_xlfn.IFS(G2744&lt;3, "0–2 Years", G2744&lt;6, "3–5 Years", G2744&lt;9, "6–8 Years", G2744&lt;12, "9-11 Years", G2744&gt;=12, "12-14 Years")</f>
        <v>9-11 Years</v>
      </c>
      <c r="J2744">
        <v>5</v>
      </c>
      <c r="K2744" t="s">
        <v>20</v>
      </c>
      <c r="L2744">
        <v>101000</v>
      </c>
      <c r="M2744">
        <v>12100</v>
      </c>
      <c r="N2744">
        <v>113100</v>
      </c>
      <c r="O2744" t="s">
        <v>57</v>
      </c>
      <c r="P2744" s="3">
        <v>42062</v>
      </c>
      <c r="Q2744" t="s">
        <v>19</v>
      </c>
    </row>
    <row r="2745" spans="1:17" x14ac:dyDescent="0.35">
      <c r="A2745" t="s">
        <v>2797</v>
      </c>
      <c r="B2745" t="s">
        <v>16</v>
      </c>
      <c r="C2745" s="7">
        <v>36</v>
      </c>
      <c r="D2745" t="s">
        <v>34</v>
      </c>
      <c r="E2745" t="s">
        <v>35</v>
      </c>
      <c r="F2745" t="s">
        <v>28</v>
      </c>
      <c r="G2745" s="9">
        <v>13.6</v>
      </c>
      <c r="H2745" s="7">
        <v>7.2</v>
      </c>
      <c r="I2745" t="str" cm="1">
        <f t="array" ref="I2745">_xlfn.IFS(G2745&lt;3, "0–2 Years", G2745&lt;6, "3–5 Years", G2745&lt;9, "6–8 Years", G2745&lt;12, "9-11 Years", G2745&gt;=12, "12-14 Years")</f>
        <v>12-14 Years</v>
      </c>
      <c r="J2745" s="7">
        <v>3</v>
      </c>
      <c r="K2745" t="s">
        <v>20</v>
      </c>
      <c r="L2745" s="7">
        <v>90500</v>
      </c>
      <c r="M2745" s="7">
        <v>9000</v>
      </c>
      <c r="N2745" s="7">
        <v>99500</v>
      </c>
      <c r="O2745" t="s">
        <v>30</v>
      </c>
      <c r="P2745" s="3">
        <v>41053</v>
      </c>
      <c r="Q2745" t="s">
        <v>28</v>
      </c>
    </row>
    <row r="2746" spans="1:17" x14ac:dyDescent="0.35">
      <c r="A2746" t="s">
        <v>2798</v>
      </c>
      <c r="B2746" t="s">
        <v>16</v>
      </c>
      <c r="C2746">
        <v>34</v>
      </c>
      <c r="D2746" t="s">
        <v>38</v>
      </c>
      <c r="E2746" t="s">
        <v>39</v>
      </c>
      <c r="F2746" t="s">
        <v>62</v>
      </c>
      <c r="G2746">
        <v>11.1</v>
      </c>
      <c r="H2746">
        <v>8.5</v>
      </c>
      <c r="I2746" t="str" cm="1">
        <f t="array" ref="I2746">_xlfn.IFS(G2746&lt;3, "0–2 Years", G2746&lt;6, "3–5 Years", G2746&lt;9, "6–8 Years", G2746&lt;12, "9-11 Years", G2746&gt;=12, "12-14 Years")</f>
        <v>9-11 Years</v>
      </c>
      <c r="J2746">
        <v>4</v>
      </c>
      <c r="K2746" t="s">
        <v>20</v>
      </c>
      <c r="L2746">
        <v>80500</v>
      </c>
      <c r="M2746">
        <v>3700</v>
      </c>
      <c r="N2746">
        <v>84200</v>
      </c>
      <c r="O2746" t="s">
        <v>30</v>
      </c>
      <c r="P2746" s="3">
        <v>41982</v>
      </c>
      <c r="Q2746" t="s">
        <v>62</v>
      </c>
    </row>
    <row r="2747" spans="1:17" x14ac:dyDescent="0.35">
      <c r="A2747" t="s">
        <v>2799</v>
      </c>
      <c r="B2747" t="s">
        <v>23</v>
      </c>
      <c r="C2747">
        <v>50</v>
      </c>
      <c r="D2747" t="s">
        <v>41</v>
      </c>
      <c r="E2747" t="s">
        <v>42</v>
      </c>
      <c r="F2747" t="s">
        <v>28</v>
      </c>
      <c r="G2747">
        <v>6.2</v>
      </c>
      <c r="H2747">
        <v>4.5</v>
      </c>
      <c r="I2747" t="str" cm="1">
        <f t="array" ref="I2747">_xlfn.IFS(G2747&lt;3, "0–2 Years", G2747&lt;6, "3–5 Years", G2747&lt;9, "6–8 Years", G2747&lt;12, "9-11 Years", G2747&gt;=12, "12-14 Years")</f>
        <v>6–8 Years</v>
      </c>
      <c r="J2747">
        <v>3</v>
      </c>
      <c r="K2747" t="s">
        <v>20</v>
      </c>
      <c r="L2747">
        <v>72300</v>
      </c>
      <c r="M2747">
        <v>3700</v>
      </c>
      <c r="N2747">
        <v>76000</v>
      </c>
      <c r="O2747" t="s">
        <v>21</v>
      </c>
      <c r="P2747" s="3">
        <v>43753</v>
      </c>
      <c r="Q2747" t="s">
        <v>28</v>
      </c>
    </row>
    <row r="2748" spans="1:17" x14ac:dyDescent="0.35">
      <c r="A2748" t="s">
        <v>2800</v>
      </c>
      <c r="B2748" t="s">
        <v>16</v>
      </c>
      <c r="C2748" s="7">
        <v>44</v>
      </c>
      <c r="D2748" t="s">
        <v>17</v>
      </c>
      <c r="E2748" t="s">
        <v>18</v>
      </c>
      <c r="F2748" t="s">
        <v>36</v>
      </c>
      <c r="G2748" s="9">
        <v>12.2</v>
      </c>
      <c r="H2748" s="7">
        <v>8.5</v>
      </c>
      <c r="I2748" t="str" cm="1">
        <f t="array" ref="I2748">_xlfn.IFS(G2748&lt;3, "0–2 Years", G2748&lt;6, "3–5 Years", G2748&lt;9, "6–8 Years", G2748&lt;12, "9-11 Years", G2748&gt;=12, "12-14 Years")</f>
        <v>12-14 Years</v>
      </c>
      <c r="J2748" s="7">
        <v>3</v>
      </c>
      <c r="K2748" t="s">
        <v>20</v>
      </c>
      <c r="L2748" s="7">
        <v>102100</v>
      </c>
      <c r="M2748" s="7">
        <v>9600</v>
      </c>
      <c r="N2748" s="7">
        <v>111700</v>
      </c>
      <c r="O2748" t="s">
        <v>57</v>
      </c>
      <c r="P2748" s="3">
        <v>41584</v>
      </c>
      <c r="Q2748" t="s">
        <v>36</v>
      </c>
    </row>
    <row r="2749" spans="1:17" x14ac:dyDescent="0.35">
      <c r="A2749" t="s">
        <v>2801</v>
      </c>
      <c r="B2749" t="s">
        <v>16</v>
      </c>
      <c r="C2749">
        <v>39</v>
      </c>
      <c r="D2749" t="s">
        <v>44</v>
      </c>
      <c r="E2749" t="s">
        <v>81</v>
      </c>
      <c r="F2749" t="s">
        <v>28</v>
      </c>
      <c r="G2749">
        <v>5</v>
      </c>
      <c r="H2749">
        <v>2.1</v>
      </c>
      <c r="I2749" t="str" cm="1">
        <f t="array" ref="I2749">_xlfn.IFS(G2749&lt;3, "0–2 Years", G2749&lt;6, "3–5 Years", G2749&lt;9, "6–8 Years", G2749&lt;12, "9-11 Years", G2749&gt;=12, "12-14 Years")</f>
        <v>3–5 Years</v>
      </c>
      <c r="J2749">
        <v>4</v>
      </c>
      <c r="K2749" t="s">
        <v>20</v>
      </c>
      <c r="L2749">
        <v>92600</v>
      </c>
      <c r="M2749">
        <v>7700</v>
      </c>
      <c r="N2749">
        <v>100300</v>
      </c>
      <c r="O2749" t="s">
        <v>30</v>
      </c>
      <c r="P2749" s="3">
        <v>44199</v>
      </c>
      <c r="Q2749" t="s">
        <v>28</v>
      </c>
    </row>
    <row r="2750" spans="1:17" x14ac:dyDescent="0.35">
      <c r="A2750" t="s">
        <v>2802</v>
      </c>
      <c r="B2750" t="s">
        <v>16</v>
      </c>
      <c r="C2750">
        <v>32</v>
      </c>
      <c r="D2750" t="s">
        <v>55</v>
      </c>
      <c r="E2750" t="s">
        <v>56</v>
      </c>
      <c r="F2750" t="s">
        <v>19</v>
      </c>
      <c r="G2750">
        <v>9.9</v>
      </c>
      <c r="H2750">
        <v>7.7</v>
      </c>
      <c r="I2750" t="str" cm="1">
        <f t="array" ref="I2750">_xlfn.IFS(G2750&lt;3, "0–2 Years", G2750&lt;6, "3–5 Years", G2750&lt;9, "6–8 Years", G2750&lt;12, "9-11 Years", G2750&gt;=12, "12-14 Years")</f>
        <v>9-11 Years</v>
      </c>
      <c r="J2750">
        <v>3</v>
      </c>
      <c r="K2750" t="s">
        <v>20</v>
      </c>
      <c r="L2750">
        <v>93700</v>
      </c>
      <c r="M2750">
        <v>12800</v>
      </c>
      <c r="N2750">
        <v>106500</v>
      </c>
      <c r="O2750" t="s">
        <v>30</v>
      </c>
      <c r="P2750" s="3">
        <v>42411</v>
      </c>
      <c r="Q2750" t="s">
        <v>19</v>
      </c>
    </row>
    <row r="2751" spans="1:17" x14ac:dyDescent="0.35">
      <c r="A2751" t="s">
        <v>2803</v>
      </c>
      <c r="B2751" t="s">
        <v>16</v>
      </c>
      <c r="C2751" s="7">
        <v>37</v>
      </c>
      <c r="D2751" t="s">
        <v>41</v>
      </c>
      <c r="E2751" t="s">
        <v>73</v>
      </c>
      <c r="F2751" t="s">
        <v>28</v>
      </c>
      <c r="G2751" s="9">
        <v>13.8</v>
      </c>
      <c r="H2751" s="7">
        <v>10.3</v>
      </c>
      <c r="I2751" t="str" cm="1">
        <f t="array" ref="I2751">_xlfn.IFS(G2751&lt;3, "0–2 Years", G2751&lt;6, "3–5 Years", G2751&lt;9, "6–8 Years", G2751&lt;12, "9-11 Years", G2751&gt;=12, "12-14 Years")</f>
        <v>12-14 Years</v>
      </c>
      <c r="J2751" s="7">
        <v>3</v>
      </c>
      <c r="K2751" t="s">
        <v>20</v>
      </c>
      <c r="L2751" s="7">
        <v>95100</v>
      </c>
      <c r="M2751" s="7">
        <v>5600</v>
      </c>
      <c r="N2751" s="7">
        <v>100700</v>
      </c>
      <c r="O2751" t="s">
        <v>30</v>
      </c>
      <c r="P2751" s="3">
        <v>40990</v>
      </c>
      <c r="Q2751" t="s">
        <v>28</v>
      </c>
    </row>
    <row r="2752" spans="1:17" x14ac:dyDescent="0.35">
      <c r="A2752" t="s">
        <v>2804</v>
      </c>
      <c r="B2752" t="s">
        <v>23</v>
      </c>
      <c r="C2752">
        <v>43</v>
      </c>
      <c r="D2752" t="s">
        <v>41</v>
      </c>
      <c r="E2752" t="s">
        <v>42</v>
      </c>
      <c r="F2752" t="s">
        <v>28</v>
      </c>
      <c r="G2752">
        <v>4</v>
      </c>
      <c r="H2752">
        <v>2.6</v>
      </c>
      <c r="I2752" t="str" cm="1">
        <f t="array" ref="I2752">_xlfn.IFS(G2752&lt;3, "0–2 Years", G2752&lt;6, "3–5 Years", G2752&lt;9, "6–8 Years", G2752&lt;12, "9-11 Years", G2752&gt;=12, "12-14 Years")</f>
        <v>3–5 Years</v>
      </c>
      <c r="J2752">
        <v>3</v>
      </c>
      <c r="K2752" t="s">
        <v>20</v>
      </c>
      <c r="L2752">
        <v>60200</v>
      </c>
      <c r="M2752">
        <v>3800</v>
      </c>
      <c r="N2752">
        <v>64000</v>
      </c>
      <c r="O2752" t="s">
        <v>25</v>
      </c>
      <c r="P2752" s="3">
        <v>44574</v>
      </c>
      <c r="Q2752" t="s">
        <v>28</v>
      </c>
    </row>
    <row r="2753" spans="1:17" x14ac:dyDescent="0.35">
      <c r="A2753" t="s">
        <v>2805</v>
      </c>
      <c r="B2753" t="s">
        <v>16</v>
      </c>
      <c r="C2753" s="7">
        <v>30</v>
      </c>
      <c r="D2753" t="s">
        <v>34</v>
      </c>
      <c r="E2753" t="s">
        <v>59</v>
      </c>
      <c r="F2753" t="s">
        <v>36</v>
      </c>
      <c r="G2753" s="9">
        <v>13.5</v>
      </c>
      <c r="H2753" s="7">
        <v>10.5</v>
      </c>
      <c r="I2753" t="str" cm="1">
        <f t="array" ref="I2753">_xlfn.IFS(G2753&lt;3, "0–2 Years", G2753&lt;6, "3–5 Years", G2753&lt;9, "6–8 Years", G2753&lt;12, "9-11 Years", G2753&gt;=12, "12-14 Years")</f>
        <v>12-14 Years</v>
      </c>
      <c r="J2753" s="7">
        <v>4</v>
      </c>
      <c r="K2753" t="s">
        <v>20</v>
      </c>
      <c r="L2753" s="7">
        <v>127800</v>
      </c>
      <c r="M2753" s="7">
        <v>11400</v>
      </c>
      <c r="N2753" s="7">
        <v>139200</v>
      </c>
      <c r="O2753" t="s">
        <v>57</v>
      </c>
      <c r="P2753" s="3">
        <v>41096</v>
      </c>
      <c r="Q2753" t="s">
        <v>36</v>
      </c>
    </row>
    <row r="2754" spans="1:17" x14ac:dyDescent="0.35">
      <c r="A2754" t="s">
        <v>2806</v>
      </c>
      <c r="B2754" t="s">
        <v>23</v>
      </c>
      <c r="C2754">
        <v>51</v>
      </c>
      <c r="D2754" t="s">
        <v>17</v>
      </c>
      <c r="E2754" t="s">
        <v>18</v>
      </c>
      <c r="F2754" t="s">
        <v>28</v>
      </c>
      <c r="G2754">
        <v>1.8</v>
      </c>
      <c r="H2754">
        <v>1.8</v>
      </c>
      <c r="I2754" t="str" cm="1">
        <f t="array" ref="I2754">_xlfn.IFS(G2754&lt;3, "0–2 Years", G2754&lt;6, "3–5 Years", G2754&lt;9, "6–8 Years", G2754&lt;12, "9-11 Years", G2754&gt;=12, "12-14 Years")</f>
        <v>0–2 Years</v>
      </c>
      <c r="J2754">
        <v>3</v>
      </c>
      <c r="K2754" t="s">
        <v>20</v>
      </c>
      <c r="L2754">
        <v>89400</v>
      </c>
      <c r="M2754">
        <v>6900</v>
      </c>
      <c r="N2754">
        <v>96300</v>
      </c>
      <c r="O2754" t="s">
        <v>30</v>
      </c>
      <c r="P2754" s="3">
        <v>45382</v>
      </c>
      <c r="Q2754" t="s">
        <v>28</v>
      </c>
    </row>
    <row r="2755" spans="1:17" x14ac:dyDescent="0.35">
      <c r="A2755" t="s">
        <v>2807</v>
      </c>
      <c r="B2755" t="s">
        <v>16</v>
      </c>
      <c r="C2755" s="7">
        <v>44</v>
      </c>
      <c r="D2755" t="s">
        <v>55</v>
      </c>
      <c r="E2755" t="s">
        <v>92</v>
      </c>
      <c r="F2755" t="s">
        <v>19</v>
      </c>
      <c r="G2755" s="9">
        <v>12.9</v>
      </c>
      <c r="H2755" s="7">
        <v>9.6</v>
      </c>
      <c r="I2755" t="str" cm="1">
        <f t="array" ref="I2755">_xlfn.IFS(G2755&lt;3, "0–2 Years", G2755&lt;6, "3–5 Years", G2755&lt;9, "6–8 Years", G2755&lt;12, "9-11 Years", G2755&gt;=12, "12-14 Years")</f>
        <v>12-14 Years</v>
      </c>
      <c r="J2755" s="7">
        <v>4</v>
      </c>
      <c r="K2755" t="s">
        <v>20</v>
      </c>
      <c r="L2755" s="7">
        <v>120200</v>
      </c>
      <c r="M2755" s="7">
        <v>11100</v>
      </c>
      <c r="N2755" s="7">
        <v>131300</v>
      </c>
      <c r="O2755" t="s">
        <v>57</v>
      </c>
      <c r="P2755" s="3">
        <v>41319</v>
      </c>
      <c r="Q2755" t="s">
        <v>19</v>
      </c>
    </row>
    <row r="2756" spans="1:17" x14ac:dyDescent="0.35">
      <c r="A2756" t="s">
        <v>2808</v>
      </c>
      <c r="B2756" t="s">
        <v>23</v>
      </c>
      <c r="C2756">
        <v>41</v>
      </c>
      <c r="D2756" t="s">
        <v>44</v>
      </c>
      <c r="E2756" t="s">
        <v>81</v>
      </c>
      <c r="F2756" t="s">
        <v>28</v>
      </c>
      <c r="G2756">
        <v>8.8000000000000007</v>
      </c>
      <c r="H2756">
        <v>5.9</v>
      </c>
      <c r="I2756" t="str" cm="1">
        <f t="array" ref="I2756">_xlfn.IFS(G2756&lt;3, "0–2 Years", G2756&lt;6, "3–5 Years", G2756&lt;9, "6–8 Years", G2756&lt;12, "9-11 Years", G2756&gt;=12, "12-14 Years")</f>
        <v>6–8 Years</v>
      </c>
      <c r="J2756">
        <v>2</v>
      </c>
      <c r="K2756" t="s">
        <v>20</v>
      </c>
      <c r="L2756">
        <v>91200</v>
      </c>
      <c r="M2756">
        <v>9600</v>
      </c>
      <c r="N2756">
        <v>100800</v>
      </c>
      <c r="O2756" t="s">
        <v>30</v>
      </c>
      <c r="P2756" s="3">
        <v>42811</v>
      </c>
      <c r="Q2756" t="s">
        <v>28</v>
      </c>
    </row>
    <row r="2757" spans="1:17" x14ac:dyDescent="0.35">
      <c r="A2757" t="s">
        <v>2809</v>
      </c>
      <c r="B2757" t="s">
        <v>16</v>
      </c>
      <c r="C2757">
        <v>34</v>
      </c>
      <c r="D2757" t="s">
        <v>41</v>
      </c>
      <c r="E2757" t="s">
        <v>67</v>
      </c>
      <c r="F2757" t="s">
        <v>28</v>
      </c>
      <c r="G2757">
        <v>2.2999999999999998</v>
      </c>
      <c r="H2757">
        <v>2.2999999999999998</v>
      </c>
      <c r="I2757" t="str" cm="1">
        <f t="array" ref="I2757">_xlfn.IFS(G2757&lt;3, "0–2 Years", G2757&lt;6, "3–5 Years", G2757&lt;9, "6–8 Years", G2757&lt;12, "9-11 Years", G2757&gt;=12, "12-14 Years")</f>
        <v>0–2 Years</v>
      </c>
      <c r="J2757">
        <v>2</v>
      </c>
      <c r="K2757" t="s">
        <v>24</v>
      </c>
      <c r="L2757">
        <v>35700</v>
      </c>
      <c r="M2757">
        <v>2500</v>
      </c>
      <c r="N2757">
        <v>38200</v>
      </c>
      <c r="O2757" t="s">
        <v>65</v>
      </c>
      <c r="P2757" s="3">
        <v>45183</v>
      </c>
      <c r="Q2757" t="s">
        <v>28</v>
      </c>
    </row>
    <row r="2758" spans="1:17" x14ac:dyDescent="0.35">
      <c r="A2758" t="s">
        <v>2810</v>
      </c>
      <c r="B2758" t="s">
        <v>16</v>
      </c>
      <c r="C2758">
        <v>38</v>
      </c>
      <c r="D2758" t="s">
        <v>17</v>
      </c>
      <c r="E2758" t="s">
        <v>32</v>
      </c>
      <c r="F2758" t="s">
        <v>28</v>
      </c>
      <c r="G2758">
        <v>2.2000000000000002</v>
      </c>
      <c r="H2758">
        <v>0</v>
      </c>
      <c r="I2758" t="str" cm="1">
        <f t="array" ref="I2758">_xlfn.IFS(G2758&lt;3, "0–2 Years", G2758&lt;6, "3–5 Years", G2758&lt;9, "6–8 Years", G2758&lt;12, "9-11 Years", G2758&gt;=12, "12-14 Years")</f>
        <v>0–2 Years</v>
      </c>
      <c r="J2758">
        <v>4</v>
      </c>
      <c r="K2758" t="s">
        <v>20</v>
      </c>
      <c r="L2758">
        <v>63900</v>
      </c>
      <c r="M2758">
        <v>5000</v>
      </c>
      <c r="N2758">
        <v>68900</v>
      </c>
      <c r="O2758" t="s">
        <v>25</v>
      </c>
      <c r="P2758" s="3">
        <v>45220</v>
      </c>
      <c r="Q2758" t="s">
        <v>28</v>
      </c>
    </row>
    <row r="2759" spans="1:17" x14ac:dyDescent="0.35">
      <c r="A2759" t="s">
        <v>2811</v>
      </c>
      <c r="B2759" t="s">
        <v>16</v>
      </c>
      <c r="C2759">
        <v>37</v>
      </c>
      <c r="D2759" t="s">
        <v>44</v>
      </c>
      <c r="E2759" t="s">
        <v>76</v>
      </c>
      <c r="F2759" t="s">
        <v>28</v>
      </c>
      <c r="G2759">
        <v>2.8</v>
      </c>
      <c r="H2759">
        <v>1.1000000000000001</v>
      </c>
      <c r="I2759" t="str" cm="1">
        <f t="array" ref="I2759">_xlfn.IFS(G2759&lt;3, "0–2 Years", G2759&lt;6, "3–5 Years", G2759&lt;9, "6–8 Years", G2759&lt;12, "9-11 Years", G2759&gt;=12, "12-14 Years")</f>
        <v>0–2 Years</v>
      </c>
      <c r="J2759">
        <v>2</v>
      </c>
      <c r="K2759" t="s">
        <v>69</v>
      </c>
      <c r="L2759">
        <v>81600</v>
      </c>
      <c r="M2759">
        <v>5800</v>
      </c>
      <c r="N2759">
        <v>87400</v>
      </c>
      <c r="O2759" t="s">
        <v>30</v>
      </c>
      <c r="P2759" s="3">
        <v>45002</v>
      </c>
      <c r="Q2759" t="s">
        <v>28</v>
      </c>
    </row>
    <row r="2760" spans="1:17" x14ac:dyDescent="0.35">
      <c r="A2760" t="s">
        <v>2812</v>
      </c>
      <c r="B2760" t="s">
        <v>16</v>
      </c>
      <c r="C2760">
        <v>40</v>
      </c>
      <c r="D2760" t="s">
        <v>55</v>
      </c>
      <c r="E2760" t="s">
        <v>92</v>
      </c>
      <c r="F2760" t="s">
        <v>28</v>
      </c>
      <c r="G2760">
        <v>9.5</v>
      </c>
      <c r="H2760">
        <v>6.3</v>
      </c>
      <c r="I2760" t="str" cm="1">
        <f t="array" ref="I2760">_xlfn.IFS(G2760&lt;3, "0–2 Years", G2760&lt;6, "3–5 Years", G2760&lt;9, "6–8 Years", G2760&lt;12, "9-11 Years", G2760&gt;=12, "12-14 Years")</f>
        <v>9-11 Years</v>
      </c>
      <c r="J2760">
        <v>3</v>
      </c>
      <c r="K2760" t="s">
        <v>20</v>
      </c>
      <c r="L2760">
        <v>115500</v>
      </c>
      <c r="M2760">
        <v>18200</v>
      </c>
      <c r="N2760">
        <v>133700</v>
      </c>
      <c r="O2760" t="s">
        <v>57</v>
      </c>
      <c r="P2760" s="3">
        <v>42554</v>
      </c>
      <c r="Q2760" t="s">
        <v>28</v>
      </c>
    </row>
    <row r="2761" spans="1:17" x14ac:dyDescent="0.35">
      <c r="A2761" t="s">
        <v>2813</v>
      </c>
      <c r="B2761" t="s">
        <v>16</v>
      </c>
      <c r="C2761">
        <v>21</v>
      </c>
      <c r="D2761" t="s">
        <v>38</v>
      </c>
      <c r="E2761" t="s">
        <v>39</v>
      </c>
      <c r="F2761" t="s">
        <v>36</v>
      </c>
      <c r="G2761">
        <v>1.7</v>
      </c>
      <c r="H2761">
        <v>0</v>
      </c>
      <c r="I2761" t="str" cm="1">
        <f t="array" ref="I2761">_xlfn.IFS(G2761&lt;3, "0–2 Years", G2761&lt;6, "3–5 Years", G2761&lt;9, "6–8 Years", G2761&lt;12, "9-11 Years", G2761&gt;=12, "12-14 Years")</f>
        <v>0–2 Years</v>
      </c>
      <c r="J2761">
        <v>3</v>
      </c>
      <c r="K2761" t="s">
        <v>20</v>
      </c>
      <c r="L2761">
        <v>83600</v>
      </c>
      <c r="M2761">
        <v>5200</v>
      </c>
      <c r="N2761">
        <v>88800</v>
      </c>
      <c r="O2761" t="s">
        <v>30</v>
      </c>
      <c r="P2761" s="3">
        <v>45388</v>
      </c>
      <c r="Q2761" t="s">
        <v>36</v>
      </c>
    </row>
    <row r="2762" spans="1:17" x14ac:dyDescent="0.35">
      <c r="A2762" t="s">
        <v>2814</v>
      </c>
      <c r="B2762" t="s">
        <v>23</v>
      </c>
      <c r="C2762" s="7">
        <v>28</v>
      </c>
      <c r="D2762" t="s">
        <v>55</v>
      </c>
      <c r="E2762" t="s">
        <v>56</v>
      </c>
      <c r="F2762" t="s">
        <v>19</v>
      </c>
      <c r="G2762" s="9">
        <v>12</v>
      </c>
      <c r="H2762" s="7">
        <v>5.9</v>
      </c>
      <c r="I2762" t="str" cm="1">
        <f t="array" ref="I2762">_xlfn.IFS(G2762&lt;3, "0–2 Years", G2762&lt;6, "3–5 Years", G2762&lt;9, "6–8 Years", G2762&lt;12, "9-11 Years", G2762&gt;=12, "12-14 Years")</f>
        <v>12-14 Years</v>
      </c>
      <c r="J2762" s="7">
        <v>3</v>
      </c>
      <c r="K2762" t="s">
        <v>20</v>
      </c>
      <c r="L2762" s="7">
        <v>95900</v>
      </c>
      <c r="M2762" s="7">
        <v>9600</v>
      </c>
      <c r="N2762" s="7">
        <v>105500</v>
      </c>
      <c r="O2762" t="s">
        <v>30</v>
      </c>
      <c r="P2762" s="3">
        <v>41643</v>
      </c>
      <c r="Q2762" t="s">
        <v>19</v>
      </c>
    </row>
    <row r="2763" spans="1:17" x14ac:dyDescent="0.35">
      <c r="A2763" t="s">
        <v>2815</v>
      </c>
      <c r="B2763" t="s">
        <v>16</v>
      </c>
      <c r="C2763">
        <v>43</v>
      </c>
      <c r="D2763" t="s">
        <v>38</v>
      </c>
      <c r="E2763" t="s">
        <v>61</v>
      </c>
      <c r="F2763" t="s">
        <v>36</v>
      </c>
      <c r="G2763">
        <v>5.9</v>
      </c>
      <c r="H2763">
        <v>2</v>
      </c>
      <c r="I2763" t="str" cm="1">
        <f t="array" ref="I2763">_xlfn.IFS(G2763&lt;3, "0–2 Years", G2763&lt;6, "3–5 Years", G2763&lt;9, "6–8 Years", G2763&lt;12, "9-11 Years", G2763&gt;=12, "12-14 Years")</f>
        <v>3–5 Years</v>
      </c>
      <c r="J2763">
        <v>4</v>
      </c>
      <c r="K2763" t="s">
        <v>20</v>
      </c>
      <c r="L2763">
        <v>99800</v>
      </c>
      <c r="M2763">
        <v>4000</v>
      </c>
      <c r="N2763">
        <v>103800</v>
      </c>
      <c r="O2763" t="s">
        <v>30</v>
      </c>
      <c r="P2763" s="3">
        <v>43874</v>
      </c>
      <c r="Q2763" t="s">
        <v>36</v>
      </c>
    </row>
    <row r="2764" spans="1:17" x14ac:dyDescent="0.35">
      <c r="A2764" t="s">
        <v>2816</v>
      </c>
      <c r="B2764" t="s">
        <v>16</v>
      </c>
      <c r="C2764">
        <v>37</v>
      </c>
      <c r="D2764" t="s">
        <v>44</v>
      </c>
      <c r="E2764" t="s">
        <v>76</v>
      </c>
      <c r="F2764" t="s">
        <v>28</v>
      </c>
      <c r="G2764">
        <v>5.4</v>
      </c>
      <c r="H2764">
        <v>1.1000000000000001</v>
      </c>
      <c r="I2764" t="str" cm="1">
        <f t="array" ref="I2764">_xlfn.IFS(G2764&lt;3, "0–2 Years", G2764&lt;6, "3–5 Years", G2764&lt;9, "6–8 Years", G2764&lt;12, "9-11 Years", G2764&gt;=12, "12-14 Years")</f>
        <v>3–5 Years</v>
      </c>
      <c r="J2764">
        <v>4</v>
      </c>
      <c r="K2764" t="s">
        <v>20</v>
      </c>
      <c r="L2764">
        <v>103400</v>
      </c>
      <c r="M2764">
        <v>8400</v>
      </c>
      <c r="N2764">
        <v>111800</v>
      </c>
      <c r="O2764" t="s">
        <v>57</v>
      </c>
      <c r="P2764" s="3">
        <v>44052</v>
      </c>
      <c r="Q2764" t="s">
        <v>28</v>
      </c>
    </row>
    <row r="2765" spans="1:17" x14ac:dyDescent="0.35">
      <c r="A2765" t="s">
        <v>2817</v>
      </c>
      <c r="B2765" t="s">
        <v>16</v>
      </c>
      <c r="C2765">
        <v>33</v>
      </c>
      <c r="D2765" t="s">
        <v>38</v>
      </c>
      <c r="E2765" t="s">
        <v>61</v>
      </c>
      <c r="F2765" t="s">
        <v>28</v>
      </c>
      <c r="G2765">
        <v>10.1</v>
      </c>
      <c r="H2765">
        <v>7</v>
      </c>
      <c r="I2765" t="str" cm="1">
        <f t="array" ref="I2765">_xlfn.IFS(G2765&lt;3, "0–2 Years", G2765&lt;6, "3–5 Years", G2765&lt;9, "6–8 Years", G2765&lt;12, "9-11 Years", G2765&gt;=12, "12-14 Years")</f>
        <v>9-11 Years</v>
      </c>
      <c r="J2765">
        <v>3</v>
      </c>
      <c r="K2765" t="s">
        <v>20</v>
      </c>
      <c r="L2765">
        <v>113100</v>
      </c>
      <c r="M2765">
        <v>9100</v>
      </c>
      <c r="N2765">
        <v>122200</v>
      </c>
      <c r="O2765" t="s">
        <v>57</v>
      </c>
      <c r="P2765" s="3">
        <v>42321</v>
      </c>
      <c r="Q2765" t="s">
        <v>28</v>
      </c>
    </row>
    <row r="2766" spans="1:17" x14ac:dyDescent="0.35">
      <c r="A2766" t="s">
        <v>2818</v>
      </c>
      <c r="B2766" t="s">
        <v>16</v>
      </c>
      <c r="C2766">
        <v>44</v>
      </c>
      <c r="D2766" t="s">
        <v>55</v>
      </c>
      <c r="E2766" t="s">
        <v>92</v>
      </c>
      <c r="F2766" t="s">
        <v>19</v>
      </c>
      <c r="G2766">
        <v>8.6</v>
      </c>
      <c r="H2766">
        <v>6.5</v>
      </c>
      <c r="I2766" t="str" cm="1">
        <f t="array" ref="I2766">_xlfn.IFS(G2766&lt;3, "0–2 Years", G2766&lt;6, "3–5 Years", G2766&lt;9, "6–8 Years", G2766&lt;12, "9-11 Years", G2766&gt;=12, "12-14 Years")</f>
        <v>6–8 Years</v>
      </c>
      <c r="J2766">
        <v>3</v>
      </c>
      <c r="K2766" t="s">
        <v>20</v>
      </c>
      <c r="L2766">
        <v>82200</v>
      </c>
      <c r="M2766">
        <v>12700</v>
      </c>
      <c r="N2766">
        <v>94900</v>
      </c>
      <c r="O2766" t="s">
        <v>30</v>
      </c>
      <c r="P2766" s="3">
        <v>42875</v>
      </c>
      <c r="Q2766" t="s">
        <v>19</v>
      </c>
    </row>
    <row r="2767" spans="1:17" x14ac:dyDescent="0.35">
      <c r="A2767" t="s">
        <v>2819</v>
      </c>
      <c r="B2767" t="s">
        <v>23</v>
      </c>
      <c r="C2767">
        <v>44</v>
      </c>
      <c r="D2767" t="s">
        <v>17</v>
      </c>
      <c r="E2767" t="s">
        <v>27</v>
      </c>
      <c r="F2767" t="s">
        <v>28</v>
      </c>
      <c r="G2767">
        <v>2.8</v>
      </c>
      <c r="H2767">
        <v>2.5</v>
      </c>
      <c r="I2767" t="str" cm="1">
        <f t="array" ref="I2767">_xlfn.IFS(G2767&lt;3, "0–2 Years", G2767&lt;6, "3–5 Years", G2767&lt;9, "6–8 Years", G2767&lt;12, "9-11 Years", G2767&gt;=12, "12-14 Years")</f>
        <v>0–2 Years</v>
      </c>
      <c r="J2767">
        <v>3</v>
      </c>
      <c r="K2767" t="s">
        <v>20</v>
      </c>
      <c r="L2767">
        <v>70600</v>
      </c>
      <c r="M2767">
        <v>4000</v>
      </c>
      <c r="N2767">
        <v>74600</v>
      </c>
      <c r="O2767" t="s">
        <v>21</v>
      </c>
      <c r="P2767" s="3">
        <v>44986</v>
      </c>
      <c r="Q2767" t="s">
        <v>28</v>
      </c>
    </row>
    <row r="2768" spans="1:17" x14ac:dyDescent="0.35">
      <c r="A2768" t="s">
        <v>2820</v>
      </c>
      <c r="B2768" t="s">
        <v>16</v>
      </c>
      <c r="C2768">
        <v>33</v>
      </c>
      <c r="D2768" t="s">
        <v>34</v>
      </c>
      <c r="E2768" t="s">
        <v>59</v>
      </c>
      <c r="F2768" t="s">
        <v>28</v>
      </c>
      <c r="G2768">
        <v>9.5</v>
      </c>
      <c r="H2768">
        <v>5.2</v>
      </c>
      <c r="I2768" t="str" cm="1">
        <f t="array" ref="I2768">_xlfn.IFS(G2768&lt;3, "0–2 Years", G2768&lt;6, "3–5 Years", G2768&lt;9, "6–8 Years", G2768&lt;12, "9-11 Years", G2768&gt;=12, "12-14 Years")</f>
        <v>9-11 Years</v>
      </c>
      <c r="J2768">
        <v>3</v>
      </c>
      <c r="K2768" t="s">
        <v>20</v>
      </c>
      <c r="L2768">
        <v>90100</v>
      </c>
      <c r="M2768">
        <v>4200</v>
      </c>
      <c r="N2768">
        <v>94300</v>
      </c>
      <c r="O2768" t="s">
        <v>30</v>
      </c>
      <c r="P2768" s="3">
        <v>42549</v>
      </c>
      <c r="Q2768" t="s">
        <v>28</v>
      </c>
    </row>
    <row r="2769" spans="1:17" x14ac:dyDescent="0.35">
      <c r="A2769" t="s">
        <v>2821</v>
      </c>
      <c r="B2769" t="s">
        <v>16</v>
      </c>
      <c r="C2769">
        <v>35</v>
      </c>
      <c r="D2769" t="s">
        <v>17</v>
      </c>
      <c r="E2769" t="s">
        <v>18</v>
      </c>
      <c r="F2769" t="s">
        <v>62</v>
      </c>
      <c r="G2769">
        <v>5.5</v>
      </c>
      <c r="H2769">
        <v>5.5</v>
      </c>
      <c r="I2769" t="str" cm="1">
        <f t="array" ref="I2769">_xlfn.IFS(G2769&lt;3, "0–2 Years", G2769&lt;6, "3–5 Years", G2769&lt;9, "6–8 Years", G2769&lt;12, "9-11 Years", G2769&gt;=12, "12-14 Years")</f>
        <v>3–5 Years</v>
      </c>
      <c r="J2769">
        <v>3</v>
      </c>
      <c r="K2769" t="s">
        <v>20</v>
      </c>
      <c r="L2769">
        <v>111200</v>
      </c>
      <c r="M2769">
        <v>12200</v>
      </c>
      <c r="N2769">
        <v>123400</v>
      </c>
      <c r="O2769" t="s">
        <v>57</v>
      </c>
      <c r="P2769" s="3">
        <v>44015</v>
      </c>
      <c r="Q2769" t="s">
        <v>62</v>
      </c>
    </row>
    <row r="2770" spans="1:17" x14ac:dyDescent="0.35">
      <c r="A2770" t="s">
        <v>2822</v>
      </c>
      <c r="B2770" t="s">
        <v>23</v>
      </c>
      <c r="C2770">
        <v>26</v>
      </c>
      <c r="D2770" t="s">
        <v>41</v>
      </c>
      <c r="E2770" t="s">
        <v>67</v>
      </c>
      <c r="F2770" t="s">
        <v>19</v>
      </c>
      <c r="G2770">
        <v>7.1</v>
      </c>
      <c r="H2770">
        <v>2.6</v>
      </c>
      <c r="I2770" t="str" cm="1">
        <f t="array" ref="I2770">_xlfn.IFS(G2770&lt;3, "0–2 Years", G2770&lt;6, "3–5 Years", G2770&lt;9, "6–8 Years", G2770&lt;12, "9-11 Years", G2770&gt;=12, "12-14 Years")</f>
        <v>6–8 Years</v>
      </c>
      <c r="J2770">
        <v>4</v>
      </c>
      <c r="K2770" t="s">
        <v>20</v>
      </c>
      <c r="L2770">
        <v>64000</v>
      </c>
      <c r="M2770">
        <v>5500</v>
      </c>
      <c r="N2770">
        <v>69500</v>
      </c>
      <c r="O2770" t="s">
        <v>25</v>
      </c>
      <c r="P2770" s="3">
        <v>43417</v>
      </c>
      <c r="Q2770" t="s">
        <v>19</v>
      </c>
    </row>
    <row r="2771" spans="1:17" x14ac:dyDescent="0.35">
      <c r="A2771" t="s">
        <v>2823</v>
      </c>
      <c r="B2771" t="s">
        <v>16</v>
      </c>
      <c r="C2771">
        <v>30</v>
      </c>
      <c r="D2771" t="s">
        <v>34</v>
      </c>
      <c r="E2771" t="s">
        <v>59</v>
      </c>
      <c r="F2771" t="s">
        <v>28</v>
      </c>
      <c r="G2771">
        <v>4.3</v>
      </c>
      <c r="H2771">
        <v>2</v>
      </c>
      <c r="I2771" t="str" cm="1">
        <f t="array" ref="I2771">_xlfn.IFS(G2771&lt;3, "0–2 Years", G2771&lt;6, "3–5 Years", G2771&lt;9, "6–8 Years", G2771&lt;12, "9-11 Years", G2771&gt;=12, "12-14 Years")</f>
        <v>3–5 Years</v>
      </c>
      <c r="J2771">
        <v>2</v>
      </c>
      <c r="K2771" t="s">
        <v>20</v>
      </c>
      <c r="L2771">
        <v>93400</v>
      </c>
      <c r="M2771">
        <v>8100</v>
      </c>
      <c r="N2771">
        <v>101500</v>
      </c>
      <c r="O2771" t="s">
        <v>30</v>
      </c>
      <c r="P2771" s="3">
        <v>44444</v>
      </c>
      <c r="Q2771" t="s">
        <v>28</v>
      </c>
    </row>
    <row r="2772" spans="1:17" x14ac:dyDescent="0.35">
      <c r="A2772" t="s">
        <v>2824</v>
      </c>
      <c r="B2772" t="s">
        <v>23</v>
      </c>
      <c r="C2772">
        <v>46</v>
      </c>
      <c r="D2772" t="s">
        <v>41</v>
      </c>
      <c r="E2772" t="s">
        <v>67</v>
      </c>
      <c r="F2772" t="s">
        <v>36</v>
      </c>
      <c r="G2772">
        <v>3</v>
      </c>
      <c r="H2772">
        <v>2.2000000000000002</v>
      </c>
      <c r="I2772" t="str" cm="1">
        <f t="array" ref="I2772">_xlfn.IFS(G2772&lt;3, "0–2 Years", G2772&lt;6, "3–5 Years", G2772&lt;9, "6–8 Years", G2772&lt;12, "9-11 Years", G2772&gt;=12, "12-14 Years")</f>
        <v>3–5 Years</v>
      </c>
      <c r="J2772">
        <v>4</v>
      </c>
      <c r="K2772" t="s">
        <v>20</v>
      </c>
      <c r="L2772">
        <v>68900</v>
      </c>
      <c r="M2772">
        <v>4100</v>
      </c>
      <c r="N2772">
        <v>73000</v>
      </c>
      <c r="O2772" t="s">
        <v>21</v>
      </c>
      <c r="P2772" s="3">
        <v>44945</v>
      </c>
      <c r="Q2772" t="s">
        <v>36</v>
      </c>
    </row>
    <row r="2773" spans="1:17" x14ac:dyDescent="0.35">
      <c r="A2773" t="s">
        <v>2825</v>
      </c>
      <c r="B2773" t="s">
        <v>16</v>
      </c>
      <c r="C2773">
        <v>27</v>
      </c>
      <c r="D2773" t="s">
        <v>17</v>
      </c>
      <c r="E2773" t="s">
        <v>18</v>
      </c>
      <c r="F2773" t="s">
        <v>28</v>
      </c>
      <c r="G2773">
        <v>1</v>
      </c>
      <c r="H2773">
        <v>0</v>
      </c>
      <c r="I2773" t="str" cm="1">
        <f t="array" ref="I2773">_xlfn.IFS(G2773&lt;3, "0–2 Years", G2773&lt;6, "3–5 Years", G2773&lt;9, "6–8 Years", G2773&lt;12, "9-11 Years", G2773&gt;=12, "12-14 Years")</f>
        <v>0–2 Years</v>
      </c>
      <c r="J2773">
        <v>3</v>
      </c>
      <c r="K2773" t="s">
        <v>20</v>
      </c>
      <c r="L2773">
        <v>87400</v>
      </c>
      <c r="M2773">
        <v>4500</v>
      </c>
      <c r="N2773">
        <v>91900</v>
      </c>
      <c r="O2773" t="s">
        <v>30</v>
      </c>
      <c r="P2773" s="3">
        <v>45641</v>
      </c>
      <c r="Q2773" t="s">
        <v>28</v>
      </c>
    </row>
    <row r="2774" spans="1:17" x14ac:dyDescent="0.35">
      <c r="A2774" t="s">
        <v>2826</v>
      </c>
      <c r="B2774" t="s">
        <v>23</v>
      </c>
      <c r="C2774">
        <v>32</v>
      </c>
      <c r="D2774" t="s">
        <v>38</v>
      </c>
      <c r="E2774" t="s">
        <v>112</v>
      </c>
      <c r="F2774" t="s">
        <v>36</v>
      </c>
      <c r="G2774">
        <v>3.8</v>
      </c>
      <c r="H2774">
        <v>2.2999999999999998</v>
      </c>
      <c r="I2774" t="str" cm="1">
        <f t="array" ref="I2774">_xlfn.IFS(G2774&lt;3, "0–2 Years", G2774&lt;6, "3–5 Years", G2774&lt;9, "6–8 Years", G2774&lt;12, "9-11 Years", G2774&gt;=12, "12-14 Years")</f>
        <v>3–5 Years</v>
      </c>
      <c r="J2774">
        <v>1</v>
      </c>
      <c r="K2774" t="s">
        <v>24</v>
      </c>
      <c r="L2774">
        <v>38900</v>
      </c>
      <c r="M2774">
        <v>2000</v>
      </c>
      <c r="N2774">
        <v>40900</v>
      </c>
      <c r="O2774" t="s">
        <v>65</v>
      </c>
      <c r="P2774" s="3">
        <v>44635</v>
      </c>
      <c r="Q2774" t="s">
        <v>36</v>
      </c>
    </row>
    <row r="2775" spans="1:17" x14ac:dyDescent="0.35">
      <c r="A2775" t="s">
        <v>2827</v>
      </c>
      <c r="B2775" t="s">
        <v>16</v>
      </c>
      <c r="C2775">
        <v>26</v>
      </c>
      <c r="D2775" t="s">
        <v>34</v>
      </c>
      <c r="E2775" t="s">
        <v>59</v>
      </c>
      <c r="F2775" t="s">
        <v>36</v>
      </c>
      <c r="G2775">
        <v>8.6999999999999993</v>
      </c>
      <c r="H2775">
        <v>8.4</v>
      </c>
      <c r="I2775" t="str" cm="1">
        <f t="array" ref="I2775">_xlfn.IFS(G2775&lt;3, "0–2 Years", G2775&lt;6, "3–5 Years", G2775&lt;9, "6–8 Years", G2775&lt;12, "9-11 Years", G2775&gt;=12, "12-14 Years")</f>
        <v>6–8 Years</v>
      </c>
      <c r="J2775">
        <v>3</v>
      </c>
      <c r="K2775" t="s">
        <v>20</v>
      </c>
      <c r="L2775">
        <v>111400</v>
      </c>
      <c r="M2775">
        <v>4900</v>
      </c>
      <c r="N2775">
        <v>116300</v>
      </c>
      <c r="O2775" t="s">
        <v>57</v>
      </c>
      <c r="P2775" s="3">
        <v>42833</v>
      </c>
      <c r="Q2775" t="s">
        <v>36</v>
      </c>
    </row>
    <row r="2776" spans="1:17" x14ac:dyDescent="0.35">
      <c r="A2776" t="s">
        <v>2828</v>
      </c>
      <c r="B2776" t="s">
        <v>16</v>
      </c>
      <c r="C2776" s="7">
        <v>31</v>
      </c>
      <c r="D2776" t="s">
        <v>44</v>
      </c>
      <c r="E2776" t="s">
        <v>45</v>
      </c>
      <c r="F2776" t="s">
        <v>28</v>
      </c>
      <c r="G2776" s="9">
        <v>13.5</v>
      </c>
      <c r="H2776" s="7">
        <v>8.1</v>
      </c>
      <c r="I2776" t="str" cm="1">
        <f t="array" ref="I2776">_xlfn.IFS(G2776&lt;3, "0–2 Years", G2776&lt;6, "3–5 Years", G2776&lt;9, "6–8 Years", G2776&lt;12, "9-11 Years", G2776&gt;=12, "12-14 Years")</f>
        <v>12-14 Years</v>
      </c>
      <c r="J2776" s="7">
        <v>3</v>
      </c>
      <c r="K2776" t="s">
        <v>20</v>
      </c>
      <c r="L2776" s="7">
        <v>77300</v>
      </c>
      <c r="M2776" s="7">
        <v>10400</v>
      </c>
      <c r="N2776" s="7">
        <v>87700</v>
      </c>
      <c r="O2776" t="s">
        <v>21</v>
      </c>
      <c r="P2776" s="3">
        <v>41101</v>
      </c>
      <c r="Q2776" t="s">
        <v>28</v>
      </c>
    </row>
    <row r="2777" spans="1:17" x14ac:dyDescent="0.35">
      <c r="A2777" t="s">
        <v>2829</v>
      </c>
      <c r="B2777" t="s">
        <v>23</v>
      </c>
      <c r="C2777">
        <v>45</v>
      </c>
      <c r="D2777" t="s">
        <v>34</v>
      </c>
      <c r="E2777" t="s">
        <v>35</v>
      </c>
      <c r="F2777" t="s">
        <v>36</v>
      </c>
      <c r="G2777">
        <v>3.9</v>
      </c>
      <c r="H2777">
        <v>1.5</v>
      </c>
      <c r="I2777" t="str" cm="1">
        <f t="array" ref="I2777">_xlfn.IFS(G2777&lt;3, "0–2 Years", G2777&lt;6, "3–5 Years", G2777&lt;9, "6–8 Years", G2777&lt;12, "9-11 Years", G2777&gt;=12, "12-14 Years")</f>
        <v>3–5 Years</v>
      </c>
      <c r="J2777">
        <v>3</v>
      </c>
      <c r="K2777" t="s">
        <v>20</v>
      </c>
      <c r="L2777">
        <v>79900</v>
      </c>
      <c r="M2777">
        <v>6900</v>
      </c>
      <c r="N2777">
        <v>86800</v>
      </c>
      <c r="O2777" t="s">
        <v>21</v>
      </c>
      <c r="P2777" s="3">
        <v>44598</v>
      </c>
      <c r="Q2777" t="s">
        <v>36</v>
      </c>
    </row>
    <row r="2778" spans="1:17" x14ac:dyDescent="0.35">
      <c r="A2778" t="s">
        <v>2830</v>
      </c>
      <c r="B2778" t="s">
        <v>16</v>
      </c>
      <c r="C2778">
        <v>37</v>
      </c>
      <c r="D2778" t="s">
        <v>34</v>
      </c>
      <c r="E2778" t="s">
        <v>47</v>
      </c>
      <c r="F2778" t="s">
        <v>19</v>
      </c>
      <c r="G2778">
        <v>10.5</v>
      </c>
      <c r="H2778">
        <v>6.4</v>
      </c>
      <c r="I2778" t="str" cm="1">
        <f t="array" ref="I2778">_xlfn.IFS(G2778&lt;3, "0–2 Years", G2778&lt;6, "3–5 Years", G2778&lt;9, "6–8 Years", G2778&lt;12, "9-11 Years", G2778&gt;=12, "12-14 Years")</f>
        <v>9-11 Years</v>
      </c>
      <c r="J2778">
        <v>5</v>
      </c>
      <c r="K2778" t="s">
        <v>20</v>
      </c>
      <c r="L2778">
        <v>92100</v>
      </c>
      <c r="M2778">
        <v>7400</v>
      </c>
      <c r="N2778">
        <v>99500</v>
      </c>
      <c r="O2778" t="s">
        <v>30</v>
      </c>
      <c r="P2778" s="3">
        <v>42170</v>
      </c>
      <c r="Q2778" t="s">
        <v>19</v>
      </c>
    </row>
    <row r="2779" spans="1:17" x14ac:dyDescent="0.35">
      <c r="A2779" t="s">
        <v>2831</v>
      </c>
      <c r="B2779" t="s">
        <v>16</v>
      </c>
      <c r="C2779">
        <v>28</v>
      </c>
      <c r="D2779" t="s">
        <v>44</v>
      </c>
      <c r="E2779" t="s">
        <v>45</v>
      </c>
      <c r="F2779" t="s">
        <v>28</v>
      </c>
      <c r="G2779">
        <v>9.8000000000000007</v>
      </c>
      <c r="H2779">
        <v>7.2</v>
      </c>
      <c r="I2779" t="str" cm="1">
        <f t="array" ref="I2779">_xlfn.IFS(G2779&lt;3, "0–2 Years", G2779&lt;6, "3–5 Years", G2779&lt;9, "6–8 Years", G2779&lt;12, "9-11 Years", G2779&gt;=12, "12-14 Years")</f>
        <v>9-11 Years</v>
      </c>
      <c r="J2779">
        <v>4</v>
      </c>
      <c r="K2779" t="s">
        <v>20</v>
      </c>
      <c r="L2779">
        <v>75200</v>
      </c>
      <c r="M2779">
        <v>9900</v>
      </c>
      <c r="N2779">
        <v>85100</v>
      </c>
      <c r="O2779" t="s">
        <v>21</v>
      </c>
      <c r="P2779" s="3">
        <v>42445</v>
      </c>
      <c r="Q2779" t="s">
        <v>28</v>
      </c>
    </row>
    <row r="2780" spans="1:17" x14ac:dyDescent="0.35">
      <c r="A2780" t="s">
        <v>2832</v>
      </c>
      <c r="B2780" t="s">
        <v>16</v>
      </c>
      <c r="C2780">
        <v>40</v>
      </c>
      <c r="D2780" t="s">
        <v>34</v>
      </c>
      <c r="E2780" t="s">
        <v>35</v>
      </c>
      <c r="F2780" t="s">
        <v>28</v>
      </c>
      <c r="G2780">
        <v>5.3</v>
      </c>
      <c r="H2780">
        <v>2.6</v>
      </c>
      <c r="I2780" t="str" cm="1">
        <f t="array" ref="I2780">_xlfn.IFS(G2780&lt;3, "0–2 Years", G2780&lt;6, "3–5 Years", G2780&lt;9, "6–8 Years", G2780&lt;12, "9-11 Years", G2780&gt;=12, "12-14 Years")</f>
        <v>3–5 Years</v>
      </c>
      <c r="J2780">
        <v>4</v>
      </c>
      <c r="K2780" t="s">
        <v>20</v>
      </c>
      <c r="L2780">
        <v>80500</v>
      </c>
      <c r="M2780">
        <v>3400</v>
      </c>
      <c r="N2780">
        <v>83900</v>
      </c>
      <c r="O2780" t="s">
        <v>30</v>
      </c>
      <c r="P2780" s="3">
        <v>44070</v>
      </c>
      <c r="Q2780" t="s">
        <v>28</v>
      </c>
    </row>
    <row r="2781" spans="1:17" x14ac:dyDescent="0.35">
      <c r="A2781" t="s">
        <v>2833</v>
      </c>
      <c r="B2781" t="s">
        <v>16</v>
      </c>
      <c r="C2781">
        <v>40</v>
      </c>
      <c r="D2781" t="s">
        <v>44</v>
      </c>
      <c r="E2781" t="s">
        <v>51</v>
      </c>
      <c r="F2781" t="s">
        <v>36</v>
      </c>
      <c r="G2781">
        <v>7</v>
      </c>
      <c r="H2781">
        <v>7</v>
      </c>
      <c r="I2781" t="str" cm="1">
        <f t="array" ref="I2781">_xlfn.IFS(G2781&lt;3, "0–2 Years", G2781&lt;6, "3–5 Years", G2781&lt;9, "6–8 Years", G2781&lt;12, "9-11 Years", G2781&gt;=12, "12-14 Years")</f>
        <v>6–8 Years</v>
      </c>
      <c r="J2781">
        <v>3</v>
      </c>
      <c r="K2781" t="s">
        <v>24</v>
      </c>
      <c r="L2781">
        <v>59100</v>
      </c>
      <c r="M2781">
        <v>4700</v>
      </c>
      <c r="N2781">
        <v>63800</v>
      </c>
      <c r="O2781" t="s">
        <v>25</v>
      </c>
      <c r="P2781" s="3">
        <v>43482</v>
      </c>
      <c r="Q2781" t="s">
        <v>36</v>
      </c>
    </row>
    <row r="2782" spans="1:17" x14ac:dyDescent="0.35">
      <c r="A2782" t="s">
        <v>2834</v>
      </c>
      <c r="B2782" t="s">
        <v>16</v>
      </c>
      <c r="C2782">
        <v>33</v>
      </c>
      <c r="D2782" t="s">
        <v>34</v>
      </c>
      <c r="E2782" t="s">
        <v>59</v>
      </c>
      <c r="F2782" t="s">
        <v>28</v>
      </c>
      <c r="G2782">
        <v>8.9</v>
      </c>
      <c r="H2782">
        <v>7.2</v>
      </c>
      <c r="I2782" t="str" cm="1">
        <f t="array" ref="I2782">_xlfn.IFS(G2782&lt;3, "0–2 Years", G2782&lt;6, "3–5 Years", G2782&lt;9, "6–8 Years", G2782&lt;12, "9-11 Years", G2782&gt;=12, "12-14 Years")</f>
        <v>6–8 Years</v>
      </c>
      <c r="J2782">
        <v>3</v>
      </c>
      <c r="K2782" t="s">
        <v>69</v>
      </c>
      <c r="L2782">
        <v>87600</v>
      </c>
      <c r="M2782">
        <v>4200</v>
      </c>
      <c r="N2782">
        <v>91800</v>
      </c>
      <c r="O2782" t="s">
        <v>30</v>
      </c>
      <c r="P2782" s="3">
        <v>42759</v>
      </c>
      <c r="Q2782" t="s">
        <v>28</v>
      </c>
    </row>
    <row r="2783" spans="1:17" x14ac:dyDescent="0.35">
      <c r="A2783" t="s">
        <v>2835</v>
      </c>
      <c r="B2783" t="s">
        <v>23</v>
      </c>
      <c r="C2783" s="7">
        <v>45</v>
      </c>
      <c r="D2783" t="s">
        <v>44</v>
      </c>
      <c r="E2783" t="s">
        <v>51</v>
      </c>
      <c r="F2783" t="s">
        <v>36</v>
      </c>
      <c r="G2783" s="9">
        <v>12.5</v>
      </c>
      <c r="H2783" s="7">
        <v>6.9</v>
      </c>
      <c r="I2783" t="str" cm="1">
        <f t="array" ref="I2783">_xlfn.IFS(G2783&lt;3, "0–2 Years", G2783&lt;6, "3–5 Years", G2783&lt;9, "6–8 Years", G2783&lt;12, "9-11 Years", G2783&gt;=12, "12-14 Years")</f>
        <v>12-14 Years</v>
      </c>
      <c r="J2783" s="7">
        <v>3</v>
      </c>
      <c r="K2783" t="s">
        <v>20</v>
      </c>
      <c r="L2783" s="7">
        <v>84700</v>
      </c>
      <c r="M2783" s="7">
        <v>11600</v>
      </c>
      <c r="N2783" s="7">
        <v>96300</v>
      </c>
      <c r="O2783" t="s">
        <v>30</v>
      </c>
      <c r="P2783" s="3">
        <v>41467</v>
      </c>
      <c r="Q2783" t="s">
        <v>36</v>
      </c>
    </row>
    <row r="2784" spans="1:17" x14ac:dyDescent="0.35">
      <c r="A2784" t="s">
        <v>2836</v>
      </c>
      <c r="B2784" t="s">
        <v>16</v>
      </c>
      <c r="C2784">
        <v>34</v>
      </c>
      <c r="D2784" t="s">
        <v>44</v>
      </c>
      <c r="E2784" t="s">
        <v>76</v>
      </c>
      <c r="F2784" t="s">
        <v>28</v>
      </c>
      <c r="G2784">
        <v>6.1</v>
      </c>
      <c r="H2784">
        <v>5.7</v>
      </c>
      <c r="I2784" t="str" cm="1">
        <f t="array" ref="I2784">_xlfn.IFS(G2784&lt;3, "0–2 Years", G2784&lt;6, "3–5 Years", G2784&lt;9, "6–8 Years", G2784&lt;12, "9-11 Years", G2784&gt;=12, "12-14 Years")</f>
        <v>6–8 Years</v>
      </c>
      <c r="J2784">
        <v>1</v>
      </c>
      <c r="K2784" t="s">
        <v>69</v>
      </c>
      <c r="L2784">
        <v>90400</v>
      </c>
      <c r="M2784">
        <v>5900</v>
      </c>
      <c r="N2784">
        <v>96300</v>
      </c>
      <c r="O2784" t="s">
        <v>30</v>
      </c>
      <c r="P2784" s="3">
        <v>43812</v>
      </c>
      <c r="Q2784" t="s">
        <v>28</v>
      </c>
    </row>
    <row r="2785" spans="1:17" x14ac:dyDescent="0.35">
      <c r="A2785" t="s">
        <v>2837</v>
      </c>
      <c r="B2785" t="s">
        <v>23</v>
      </c>
      <c r="C2785">
        <v>25</v>
      </c>
      <c r="D2785" t="s">
        <v>34</v>
      </c>
      <c r="E2785" t="s">
        <v>59</v>
      </c>
      <c r="F2785" t="s">
        <v>36</v>
      </c>
      <c r="G2785">
        <v>10.8</v>
      </c>
      <c r="H2785">
        <v>4.0999999999999996</v>
      </c>
      <c r="I2785" t="str" cm="1">
        <f t="array" ref="I2785">_xlfn.IFS(G2785&lt;3, "0–2 Years", G2785&lt;6, "3–5 Years", G2785&lt;9, "6–8 Years", G2785&lt;12, "9-11 Years", G2785&gt;=12, "12-14 Years")</f>
        <v>9-11 Years</v>
      </c>
      <c r="J2785">
        <v>4</v>
      </c>
      <c r="K2785" t="s">
        <v>69</v>
      </c>
      <c r="L2785">
        <v>88300</v>
      </c>
      <c r="M2785">
        <v>5500</v>
      </c>
      <c r="N2785">
        <v>93800</v>
      </c>
      <c r="O2785" t="s">
        <v>30</v>
      </c>
      <c r="P2785" s="3">
        <v>42077</v>
      </c>
      <c r="Q2785" t="s">
        <v>36</v>
      </c>
    </row>
    <row r="2786" spans="1:17" x14ac:dyDescent="0.35">
      <c r="A2786" t="s">
        <v>2838</v>
      </c>
      <c r="B2786" t="s">
        <v>23</v>
      </c>
      <c r="C2786">
        <v>32</v>
      </c>
      <c r="D2786" t="s">
        <v>17</v>
      </c>
      <c r="E2786" t="s">
        <v>27</v>
      </c>
      <c r="F2786" t="s">
        <v>36</v>
      </c>
      <c r="G2786">
        <v>2.9</v>
      </c>
      <c r="H2786">
        <v>1.3</v>
      </c>
      <c r="I2786" t="str" cm="1">
        <f t="array" ref="I2786">_xlfn.IFS(G2786&lt;3, "0–2 Years", G2786&lt;6, "3–5 Years", G2786&lt;9, "6–8 Years", G2786&lt;12, "9-11 Years", G2786&gt;=12, "12-14 Years")</f>
        <v>0–2 Years</v>
      </c>
      <c r="J2786">
        <v>4</v>
      </c>
      <c r="K2786" t="s">
        <v>20</v>
      </c>
      <c r="L2786">
        <v>87100</v>
      </c>
      <c r="M2786">
        <v>7700</v>
      </c>
      <c r="N2786">
        <v>94800</v>
      </c>
      <c r="O2786" t="s">
        <v>30</v>
      </c>
      <c r="P2786" s="3">
        <v>44957</v>
      </c>
      <c r="Q2786" t="s">
        <v>36</v>
      </c>
    </row>
    <row r="2787" spans="1:17" x14ac:dyDescent="0.35">
      <c r="A2787" t="s">
        <v>2839</v>
      </c>
      <c r="B2787" t="s">
        <v>16</v>
      </c>
      <c r="C2787">
        <v>26</v>
      </c>
      <c r="D2787" t="s">
        <v>17</v>
      </c>
      <c r="E2787" t="s">
        <v>32</v>
      </c>
      <c r="F2787" t="s">
        <v>28</v>
      </c>
      <c r="G2787">
        <v>4.5999999999999996</v>
      </c>
      <c r="H2787">
        <v>2.1</v>
      </c>
      <c r="I2787" t="str" cm="1">
        <f t="array" ref="I2787">_xlfn.IFS(G2787&lt;3, "0–2 Years", G2787&lt;6, "3–5 Years", G2787&lt;9, "6–8 Years", G2787&lt;12, "9-11 Years", G2787&gt;=12, "12-14 Years")</f>
        <v>3–5 Years</v>
      </c>
      <c r="J2787">
        <v>2</v>
      </c>
      <c r="K2787" t="s">
        <v>69</v>
      </c>
      <c r="L2787">
        <v>51700</v>
      </c>
      <c r="M2787">
        <v>4200</v>
      </c>
      <c r="N2787">
        <v>55900</v>
      </c>
      <c r="O2787" t="s">
        <v>25</v>
      </c>
      <c r="P2787" s="3">
        <v>44327</v>
      </c>
      <c r="Q2787" t="s">
        <v>28</v>
      </c>
    </row>
    <row r="2788" spans="1:17" x14ac:dyDescent="0.35">
      <c r="A2788" t="s">
        <v>2840</v>
      </c>
      <c r="B2788" t="s">
        <v>16</v>
      </c>
      <c r="C2788">
        <v>28</v>
      </c>
      <c r="D2788" t="s">
        <v>55</v>
      </c>
      <c r="E2788" t="s">
        <v>56</v>
      </c>
      <c r="F2788" t="s">
        <v>28</v>
      </c>
      <c r="G2788">
        <v>1.6</v>
      </c>
      <c r="H2788">
        <v>0.6</v>
      </c>
      <c r="I2788" t="str" cm="1">
        <f t="array" ref="I2788">_xlfn.IFS(G2788&lt;3, "0–2 Years", G2788&lt;6, "3–5 Years", G2788&lt;9, "6–8 Years", G2788&lt;12, "9-11 Years", G2788&gt;=12, "12-14 Years")</f>
        <v>0–2 Years</v>
      </c>
      <c r="J2788">
        <v>3</v>
      </c>
      <c r="K2788" t="s">
        <v>20</v>
      </c>
      <c r="L2788">
        <v>86700</v>
      </c>
      <c r="M2788">
        <v>10800</v>
      </c>
      <c r="N2788">
        <v>97500</v>
      </c>
      <c r="O2788" t="s">
        <v>30</v>
      </c>
      <c r="P2788" s="3">
        <v>45441</v>
      </c>
      <c r="Q2788" t="s">
        <v>28</v>
      </c>
    </row>
    <row r="2789" spans="1:17" x14ac:dyDescent="0.35">
      <c r="A2789" t="s">
        <v>2841</v>
      </c>
      <c r="B2789" t="s">
        <v>23</v>
      </c>
      <c r="C2789">
        <v>29</v>
      </c>
      <c r="D2789" t="s">
        <v>55</v>
      </c>
      <c r="E2789" t="s">
        <v>56</v>
      </c>
      <c r="F2789" t="s">
        <v>36</v>
      </c>
      <c r="G2789">
        <v>6.1</v>
      </c>
      <c r="H2789">
        <v>3.4</v>
      </c>
      <c r="I2789" t="str" cm="1">
        <f t="array" ref="I2789">_xlfn.IFS(G2789&lt;3, "0–2 Years", G2789&lt;6, "3–5 Years", G2789&lt;9, "6–8 Years", G2789&lt;12, "9-11 Years", G2789&gt;=12, "12-14 Years")</f>
        <v>6–8 Years</v>
      </c>
      <c r="J2789">
        <v>5</v>
      </c>
      <c r="K2789" t="s">
        <v>20</v>
      </c>
      <c r="L2789">
        <v>92900</v>
      </c>
      <c r="M2789">
        <v>14400</v>
      </c>
      <c r="N2789">
        <v>107300</v>
      </c>
      <c r="O2789" t="s">
        <v>30</v>
      </c>
      <c r="P2789" s="3">
        <v>43801</v>
      </c>
      <c r="Q2789" t="s">
        <v>36</v>
      </c>
    </row>
    <row r="2790" spans="1:17" x14ac:dyDescent="0.35">
      <c r="A2790" t="s">
        <v>2842</v>
      </c>
      <c r="B2790" t="s">
        <v>16</v>
      </c>
      <c r="C2790">
        <v>39</v>
      </c>
      <c r="D2790" t="s">
        <v>38</v>
      </c>
      <c r="E2790" t="s">
        <v>112</v>
      </c>
      <c r="F2790" t="s">
        <v>28</v>
      </c>
      <c r="G2790">
        <v>3.1</v>
      </c>
      <c r="H2790">
        <v>1.4</v>
      </c>
      <c r="I2790" t="str" cm="1">
        <f t="array" ref="I2790">_xlfn.IFS(G2790&lt;3, "0–2 Years", G2790&lt;6, "3–5 Years", G2790&lt;9, "6–8 Years", G2790&lt;12, "9-11 Years", G2790&gt;=12, "12-14 Years")</f>
        <v>3–5 Years</v>
      </c>
      <c r="J2790">
        <v>4</v>
      </c>
      <c r="K2790" t="s">
        <v>20</v>
      </c>
      <c r="L2790">
        <v>72000</v>
      </c>
      <c r="M2790">
        <v>4200</v>
      </c>
      <c r="N2790">
        <v>76200</v>
      </c>
      <c r="O2790" t="s">
        <v>21</v>
      </c>
      <c r="P2790" s="3">
        <v>44878</v>
      </c>
      <c r="Q2790" t="s">
        <v>28</v>
      </c>
    </row>
    <row r="2791" spans="1:17" x14ac:dyDescent="0.35">
      <c r="A2791" t="s">
        <v>2843</v>
      </c>
      <c r="B2791" t="s">
        <v>16</v>
      </c>
      <c r="C2791">
        <v>49</v>
      </c>
      <c r="D2791" t="s">
        <v>41</v>
      </c>
      <c r="E2791" t="s">
        <v>42</v>
      </c>
      <c r="F2791" t="s">
        <v>28</v>
      </c>
      <c r="G2791">
        <v>3.6</v>
      </c>
      <c r="H2791">
        <v>2.1</v>
      </c>
      <c r="I2791" t="str" cm="1">
        <f t="array" ref="I2791">_xlfn.IFS(G2791&lt;3, "0–2 Years", G2791&lt;6, "3–5 Years", G2791&lt;9, "6–8 Years", G2791&lt;12, "9-11 Years", G2791&gt;=12, "12-14 Years")</f>
        <v>3–5 Years</v>
      </c>
      <c r="J2791">
        <v>3</v>
      </c>
      <c r="K2791" t="s">
        <v>20</v>
      </c>
      <c r="L2791">
        <v>78800</v>
      </c>
      <c r="M2791">
        <v>4200</v>
      </c>
      <c r="N2791">
        <v>83000</v>
      </c>
      <c r="O2791" t="s">
        <v>21</v>
      </c>
      <c r="P2791" s="3">
        <v>44699</v>
      </c>
      <c r="Q2791" t="s">
        <v>28</v>
      </c>
    </row>
    <row r="2792" spans="1:17" x14ac:dyDescent="0.35">
      <c r="A2792" t="s">
        <v>2844</v>
      </c>
      <c r="B2792" t="s">
        <v>16</v>
      </c>
      <c r="C2792">
        <v>30</v>
      </c>
      <c r="D2792" t="s">
        <v>38</v>
      </c>
      <c r="E2792" t="s">
        <v>39</v>
      </c>
      <c r="F2792" t="s">
        <v>36</v>
      </c>
      <c r="G2792">
        <v>8</v>
      </c>
      <c r="H2792">
        <v>3.9</v>
      </c>
      <c r="I2792" t="str" cm="1">
        <f t="array" ref="I2792">_xlfn.IFS(G2792&lt;3, "0–2 Years", G2792&lt;6, "3–5 Years", G2792&lt;9, "6–8 Years", G2792&lt;12, "9-11 Years", G2792&gt;=12, "12-14 Years")</f>
        <v>6–8 Years</v>
      </c>
      <c r="J2792">
        <v>3</v>
      </c>
      <c r="K2792" t="s">
        <v>20</v>
      </c>
      <c r="L2792">
        <v>80600</v>
      </c>
      <c r="M2792">
        <v>6500</v>
      </c>
      <c r="N2792">
        <v>87100</v>
      </c>
      <c r="O2792" t="s">
        <v>30</v>
      </c>
      <c r="P2792" s="3">
        <v>43113</v>
      </c>
      <c r="Q2792" t="s">
        <v>36</v>
      </c>
    </row>
    <row r="2793" spans="1:17" x14ac:dyDescent="0.35">
      <c r="A2793" t="s">
        <v>2845</v>
      </c>
      <c r="B2793" t="s">
        <v>23</v>
      </c>
      <c r="C2793" s="7">
        <v>34</v>
      </c>
      <c r="D2793" t="s">
        <v>17</v>
      </c>
      <c r="E2793" t="s">
        <v>32</v>
      </c>
      <c r="F2793" t="s">
        <v>36</v>
      </c>
      <c r="G2793" s="9">
        <v>13.8</v>
      </c>
      <c r="H2793" s="7">
        <v>7.7</v>
      </c>
      <c r="I2793" t="str" cm="1">
        <f t="array" ref="I2793">_xlfn.IFS(G2793&lt;3, "0–2 Years", G2793&lt;6, "3–5 Years", G2793&lt;9, "6–8 Years", G2793&lt;12, "9-11 Years", G2793&gt;=12, "12-14 Years")</f>
        <v>12-14 Years</v>
      </c>
      <c r="J2793" s="7">
        <v>4</v>
      </c>
      <c r="K2793" t="s">
        <v>20</v>
      </c>
      <c r="L2793" s="7">
        <v>87800</v>
      </c>
      <c r="M2793" s="7">
        <v>4600</v>
      </c>
      <c r="N2793" s="7">
        <v>92400</v>
      </c>
      <c r="O2793" t="s">
        <v>30</v>
      </c>
      <c r="P2793" s="3">
        <v>40976</v>
      </c>
      <c r="Q2793" t="s">
        <v>36</v>
      </c>
    </row>
    <row r="2794" spans="1:17" x14ac:dyDescent="0.35">
      <c r="A2794" t="s">
        <v>2846</v>
      </c>
      <c r="B2794" t="s">
        <v>16</v>
      </c>
      <c r="C2794">
        <v>51</v>
      </c>
      <c r="D2794" t="s">
        <v>41</v>
      </c>
      <c r="E2794" t="s">
        <v>67</v>
      </c>
      <c r="F2794" t="s">
        <v>36</v>
      </c>
      <c r="G2794">
        <v>9</v>
      </c>
      <c r="H2794">
        <v>6.8</v>
      </c>
      <c r="I2794" t="str" cm="1">
        <f t="array" ref="I2794">_xlfn.IFS(G2794&lt;3, "0–2 Years", G2794&lt;6, "3–5 Years", G2794&lt;9, "6–8 Years", G2794&lt;12, "9-11 Years", G2794&gt;=12, "12-14 Years")</f>
        <v>9-11 Years</v>
      </c>
      <c r="J2794">
        <v>3</v>
      </c>
      <c r="K2794" t="s">
        <v>20</v>
      </c>
      <c r="L2794">
        <v>72000</v>
      </c>
      <c r="M2794">
        <v>4100</v>
      </c>
      <c r="N2794">
        <v>76100</v>
      </c>
      <c r="O2794" t="s">
        <v>21</v>
      </c>
      <c r="P2794" s="3">
        <v>42749</v>
      </c>
      <c r="Q2794" t="s">
        <v>36</v>
      </c>
    </row>
    <row r="2795" spans="1:17" x14ac:dyDescent="0.35">
      <c r="A2795" t="s">
        <v>2847</v>
      </c>
      <c r="B2795" t="s">
        <v>23</v>
      </c>
      <c r="C2795">
        <v>38</v>
      </c>
      <c r="D2795" t="s">
        <v>17</v>
      </c>
      <c r="E2795" t="s">
        <v>32</v>
      </c>
      <c r="F2795" t="s">
        <v>19</v>
      </c>
      <c r="G2795">
        <v>10.5</v>
      </c>
      <c r="H2795">
        <v>6.6</v>
      </c>
      <c r="I2795" t="str" cm="1">
        <f t="array" ref="I2795">_xlfn.IFS(G2795&lt;3, "0–2 Years", G2795&lt;6, "3–5 Years", G2795&lt;9, "6–8 Years", G2795&lt;12, "9-11 Years", G2795&gt;=12, "12-14 Years")</f>
        <v>9-11 Years</v>
      </c>
      <c r="J2795">
        <v>5</v>
      </c>
      <c r="K2795" t="s">
        <v>20</v>
      </c>
      <c r="L2795">
        <v>79700</v>
      </c>
      <c r="M2795">
        <v>5700</v>
      </c>
      <c r="N2795">
        <v>85400</v>
      </c>
      <c r="O2795" t="s">
        <v>21</v>
      </c>
      <c r="P2795" s="3">
        <v>42171</v>
      </c>
      <c r="Q2795" t="s">
        <v>19</v>
      </c>
    </row>
    <row r="2796" spans="1:17" x14ac:dyDescent="0.35">
      <c r="A2796" t="s">
        <v>2848</v>
      </c>
      <c r="B2796" t="s">
        <v>16</v>
      </c>
      <c r="C2796">
        <v>37</v>
      </c>
      <c r="D2796" t="s">
        <v>55</v>
      </c>
      <c r="E2796" t="s">
        <v>79</v>
      </c>
      <c r="F2796" t="s">
        <v>36</v>
      </c>
      <c r="G2796">
        <v>2</v>
      </c>
      <c r="H2796">
        <v>1.6</v>
      </c>
      <c r="I2796" t="str" cm="1">
        <f t="array" ref="I2796">_xlfn.IFS(G2796&lt;3, "0–2 Years", G2796&lt;6, "3–5 Years", G2796&lt;9, "6–8 Years", G2796&lt;12, "9-11 Years", G2796&gt;=12, "12-14 Years")</f>
        <v>0–2 Years</v>
      </c>
      <c r="J2796">
        <v>3</v>
      </c>
      <c r="K2796" t="s">
        <v>20</v>
      </c>
      <c r="L2796">
        <v>60300</v>
      </c>
      <c r="M2796">
        <v>11600</v>
      </c>
      <c r="N2796">
        <v>71900</v>
      </c>
      <c r="O2796" t="s">
        <v>25</v>
      </c>
      <c r="P2796" s="3">
        <v>45285</v>
      </c>
      <c r="Q2796" t="s">
        <v>36</v>
      </c>
    </row>
    <row r="2797" spans="1:17" x14ac:dyDescent="0.35">
      <c r="A2797" t="s">
        <v>2849</v>
      </c>
      <c r="B2797" t="s">
        <v>23</v>
      </c>
      <c r="C2797">
        <v>34</v>
      </c>
      <c r="D2797" t="s">
        <v>17</v>
      </c>
      <c r="E2797" t="s">
        <v>27</v>
      </c>
      <c r="F2797" t="s">
        <v>28</v>
      </c>
      <c r="G2797">
        <v>11</v>
      </c>
      <c r="H2797">
        <v>6.5</v>
      </c>
      <c r="I2797" t="str" cm="1">
        <f t="array" ref="I2797">_xlfn.IFS(G2797&lt;3, "0–2 Years", G2797&lt;6, "3–5 Years", G2797&lt;9, "6–8 Years", G2797&lt;12, "9-11 Years", G2797&gt;=12, "12-14 Years")</f>
        <v>9-11 Years</v>
      </c>
      <c r="J2797">
        <v>2</v>
      </c>
      <c r="K2797" t="s">
        <v>24</v>
      </c>
      <c r="L2797">
        <v>49000</v>
      </c>
      <c r="M2797">
        <v>5700</v>
      </c>
      <c r="N2797">
        <v>54700</v>
      </c>
      <c r="O2797" t="s">
        <v>65</v>
      </c>
      <c r="P2797" s="3">
        <v>42007</v>
      </c>
      <c r="Q2797" t="s">
        <v>28</v>
      </c>
    </row>
    <row r="2798" spans="1:17" x14ac:dyDescent="0.35">
      <c r="A2798" t="s">
        <v>2850</v>
      </c>
      <c r="B2798" t="s">
        <v>23</v>
      </c>
      <c r="C2798">
        <v>38</v>
      </c>
      <c r="D2798" t="s">
        <v>44</v>
      </c>
      <c r="E2798" t="s">
        <v>51</v>
      </c>
      <c r="F2798" t="s">
        <v>36</v>
      </c>
      <c r="G2798">
        <v>11.3</v>
      </c>
      <c r="H2798">
        <v>7.6</v>
      </c>
      <c r="I2798" t="str" cm="1">
        <f t="array" ref="I2798">_xlfn.IFS(G2798&lt;3, "0–2 Years", G2798&lt;6, "3–5 Years", G2798&lt;9, "6–8 Years", G2798&lt;12, "9-11 Years", G2798&gt;=12, "12-14 Years")</f>
        <v>9-11 Years</v>
      </c>
      <c r="J2798">
        <v>3</v>
      </c>
      <c r="K2798" t="s">
        <v>20</v>
      </c>
      <c r="L2798">
        <v>89700</v>
      </c>
      <c r="M2798">
        <v>5600</v>
      </c>
      <c r="N2798">
        <v>95300</v>
      </c>
      <c r="O2798" t="s">
        <v>30</v>
      </c>
      <c r="P2798" s="3">
        <v>41880</v>
      </c>
      <c r="Q2798" t="s">
        <v>36</v>
      </c>
    </row>
    <row r="2799" spans="1:17" x14ac:dyDescent="0.35">
      <c r="A2799" t="s">
        <v>2851</v>
      </c>
      <c r="B2799" t="s">
        <v>16</v>
      </c>
      <c r="C2799" s="7">
        <v>37</v>
      </c>
      <c r="D2799" t="s">
        <v>41</v>
      </c>
      <c r="E2799" t="s">
        <v>42</v>
      </c>
      <c r="F2799" t="s">
        <v>36</v>
      </c>
      <c r="G2799" s="9">
        <v>12.9</v>
      </c>
      <c r="H2799" s="7">
        <v>8.9</v>
      </c>
      <c r="I2799" t="str" cm="1">
        <f t="array" ref="I2799">_xlfn.IFS(G2799&lt;3, "0–2 Years", G2799&lt;6, "3–5 Years", G2799&lt;9, "6–8 Years", G2799&lt;12, "9-11 Years", G2799&gt;=12, "12-14 Years")</f>
        <v>12-14 Years</v>
      </c>
      <c r="J2799" s="7">
        <v>2</v>
      </c>
      <c r="K2799" t="s">
        <v>69</v>
      </c>
      <c r="L2799" s="7">
        <v>76400</v>
      </c>
      <c r="M2799" s="7">
        <v>3900</v>
      </c>
      <c r="N2799" s="7">
        <v>80300</v>
      </c>
      <c r="O2799" t="s">
        <v>21</v>
      </c>
      <c r="P2799" s="3">
        <v>41311</v>
      </c>
      <c r="Q2799" t="s">
        <v>36</v>
      </c>
    </row>
    <row r="2800" spans="1:17" x14ac:dyDescent="0.35">
      <c r="A2800" t="s">
        <v>2852</v>
      </c>
      <c r="B2800" t="s">
        <v>16</v>
      </c>
      <c r="C2800">
        <v>34</v>
      </c>
      <c r="D2800" t="s">
        <v>34</v>
      </c>
      <c r="E2800" t="s">
        <v>47</v>
      </c>
      <c r="F2800" t="s">
        <v>62</v>
      </c>
      <c r="G2800">
        <v>6.1</v>
      </c>
      <c r="H2800">
        <v>5.3</v>
      </c>
      <c r="I2800" t="str" cm="1">
        <f t="array" ref="I2800">_xlfn.IFS(G2800&lt;3, "0–2 Years", G2800&lt;6, "3–5 Years", G2800&lt;9, "6–8 Years", G2800&lt;12, "9-11 Years", G2800&gt;=12, "12-14 Years")</f>
        <v>6–8 Years</v>
      </c>
      <c r="J2800">
        <v>5</v>
      </c>
      <c r="K2800" t="s">
        <v>24</v>
      </c>
      <c r="L2800">
        <v>52900</v>
      </c>
      <c r="M2800">
        <v>3900</v>
      </c>
      <c r="N2800">
        <v>56800</v>
      </c>
      <c r="O2800" t="s">
        <v>25</v>
      </c>
      <c r="P2800" s="3">
        <v>43780</v>
      </c>
      <c r="Q2800" t="s">
        <v>62</v>
      </c>
    </row>
    <row r="2801" spans="1:17" x14ac:dyDescent="0.35">
      <c r="A2801" t="s">
        <v>2853</v>
      </c>
      <c r="B2801" t="s">
        <v>16</v>
      </c>
      <c r="C2801">
        <v>35</v>
      </c>
      <c r="D2801" t="s">
        <v>34</v>
      </c>
      <c r="E2801" t="s">
        <v>59</v>
      </c>
      <c r="F2801" t="s">
        <v>28</v>
      </c>
      <c r="G2801">
        <v>2.4</v>
      </c>
      <c r="H2801">
        <v>0.4</v>
      </c>
      <c r="I2801" t="str" cm="1">
        <f t="array" ref="I2801">_xlfn.IFS(G2801&lt;3, "0–2 Years", G2801&lt;6, "3–5 Years", G2801&lt;9, "6–8 Years", G2801&lt;12, "9-11 Years", G2801&gt;=12, "12-14 Years")</f>
        <v>0–2 Years</v>
      </c>
      <c r="J2801">
        <v>4</v>
      </c>
      <c r="K2801" t="s">
        <v>20</v>
      </c>
      <c r="L2801">
        <v>101800</v>
      </c>
      <c r="M2801">
        <v>10300</v>
      </c>
      <c r="N2801">
        <v>112100</v>
      </c>
      <c r="O2801" t="s">
        <v>57</v>
      </c>
      <c r="P2801" s="3">
        <v>45156</v>
      </c>
      <c r="Q2801" t="s">
        <v>28</v>
      </c>
    </row>
    <row r="2802" spans="1:17" x14ac:dyDescent="0.35">
      <c r="A2802" t="s">
        <v>2854</v>
      </c>
      <c r="B2802" t="s">
        <v>23</v>
      </c>
      <c r="C2802">
        <v>42</v>
      </c>
      <c r="D2802" t="s">
        <v>34</v>
      </c>
      <c r="E2802" t="s">
        <v>35</v>
      </c>
      <c r="F2802" t="s">
        <v>36</v>
      </c>
      <c r="G2802">
        <v>7.2</v>
      </c>
      <c r="H2802">
        <v>4.2</v>
      </c>
      <c r="I2802" t="str" cm="1">
        <f t="array" ref="I2802">_xlfn.IFS(G2802&lt;3, "0–2 Years", G2802&lt;6, "3–5 Years", G2802&lt;9, "6–8 Years", G2802&lt;12, "9-11 Years", G2802&gt;=12, "12-14 Years")</f>
        <v>6–8 Years</v>
      </c>
      <c r="J2802">
        <v>4</v>
      </c>
      <c r="K2802" t="s">
        <v>20</v>
      </c>
      <c r="L2802">
        <v>87800</v>
      </c>
      <c r="M2802">
        <v>5500</v>
      </c>
      <c r="N2802">
        <v>93300</v>
      </c>
      <c r="O2802" t="s">
        <v>30</v>
      </c>
      <c r="P2802" s="3">
        <v>43392</v>
      </c>
      <c r="Q2802" t="s">
        <v>36</v>
      </c>
    </row>
    <row r="2803" spans="1:17" x14ac:dyDescent="0.35">
      <c r="A2803" t="s">
        <v>2855</v>
      </c>
      <c r="B2803" t="s">
        <v>16</v>
      </c>
      <c r="C2803">
        <v>38</v>
      </c>
      <c r="D2803" t="s">
        <v>34</v>
      </c>
      <c r="E2803" t="s">
        <v>59</v>
      </c>
      <c r="F2803" t="s">
        <v>28</v>
      </c>
      <c r="G2803">
        <v>2.5</v>
      </c>
      <c r="H2803">
        <v>2.5</v>
      </c>
      <c r="I2803" t="str" cm="1">
        <f t="array" ref="I2803">_xlfn.IFS(G2803&lt;3, "0–2 Years", G2803&lt;6, "3–5 Years", G2803&lt;9, "6–8 Years", G2803&lt;12, "9-11 Years", G2803&gt;=12, "12-14 Years")</f>
        <v>0–2 Years</v>
      </c>
      <c r="J2803">
        <v>5</v>
      </c>
      <c r="K2803" t="s">
        <v>20</v>
      </c>
      <c r="L2803">
        <v>88900</v>
      </c>
      <c r="M2803">
        <v>10200</v>
      </c>
      <c r="N2803">
        <v>99100</v>
      </c>
      <c r="O2803" t="s">
        <v>30</v>
      </c>
      <c r="P2803" s="3">
        <v>45116</v>
      </c>
      <c r="Q2803" t="s">
        <v>28</v>
      </c>
    </row>
    <row r="2804" spans="1:17" x14ac:dyDescent="0.35">
      <c r="A2804" t="s">
        <v>2856</v>
      </c>
      <c r="B2804" t="s">
        <v>23</v>
      </c>
      <c r="C2804">
        <v>45</v>
      </c>
      <c r="D2804" t="s">
        <v>41</v>
      </c>
      <c r="E2804" t="s">
        <v>73</v>
      </c>
      <c r="F2804" t="s">
        <v>28</v>
      </c>
      <c r="G2804">
        <v>11</v>
      </c>
      <c r="H2804">
        <v>6.8</v>
      </c>
      <c r="I2804" t="str" cm="1">
        <f t="array" ref="I2804">_xlfn.IFS(G2804&lt;3, "0–2 Years", G2804&lt;6, "3–5 Years", G2804&lt;9, "6–8 Years", G2804&lt;12, "9-11 Years", G2804&gt;=12, "12-14 Years")</f>
        <v>9-11 Years</v>
      </c>
      <c r="J2804">
        <v>2</v>
      </c>
      <c r="K2804" t="s">
        <v>20</v>
      </c>
      <c r="L2804">
        <v>97900</v>
      </c>
      <c r="M2804">
        <v>7500</v>
      </c>
      <c r="N2804">
        <v>105400</v>
      </c>
      <c r="O2804" t="s">
        <v>30</v>
      </c>
      <c r="P2804" s="3">
        <v>42005</v>
      </c>
      <c r="Q2804" t="s">
        <v>28</v>
      </c>
    </row>
    <row r="2805" spans="1:17" x14ac:dyDescent="0.35">
      <c r="A2805" t="s">
        <v>2857</v>
      </c>
      <c r="B2805" t="s">
        <v>16</v>
      </c>
      <c r="C2805" s="7">
        <v>32</v>
      </c>
      <c r="D2805" t="s">
        <v>17</v>
      </c>
      <c r="E2805" t="s">
        <v>32</v>
      </c>
      <c r="F2805" t="s">
        <v>36</v>
      </c>
      <c r="G2805" s="9">
        <v>13.4</v>
      </c>
      <c r="H2805" s="7">
        <v>10.199999999999999</v>
      </c>
      <c r="I2805" t="str" cm="1">
        <f t="array" ref="I2805">_xlfn.IFS(G2805&lt;3, "0–2 Years", G2805&lt;6, "3–5 Years", G2805&lt;9, "6–8 Years", G2805&lt;12, "9-11 Years", G2805&gt;=12, "12-14 Years")</f>
        <v>12-14 Years</v>
      </c>
      <c r="J2805" s="7">
        <v>4</v>
      </c>
      <c r="K2805" t="s">
        <v>69</v>
      </c>
      <c r="L2805" s="7">
        <v>74200</v>
      </c>
      <c r="M2805" s="7">
        <v>4900</v>
      </c>
      <c r="N2805" s="7">
        <v>79100</v>
      </c>
      <c r="O2805" t="s">
        <v>21</v>
      </c>
      <c r="P2805" s="3">
        <v>41125</v>
      </c>
      <c r="Q2805" t="s">
        <v>36</v>
      </c>
    </row>
    <row r="2806" spans="1:17" x14ac:dyDescent="0.35">
      <c r="A2806" t="s">
        <v>2858</v>
      </c>
      <c r="B2806" t="s">
        <v>16</v>
      </c>
      <c r="C2806">
        <v>33</v>
      </c>
      <c r="D2806" t="s">
        <v>17</v>
      </c>
      <c r="E2806" t="s">
        <v>18</v>
      </c>
      <c r="F2806" t="s">
        <v>36</v>
      </c>
      <c r="G2806">
        <v>10.3</v>
      </c>
      <c r="H2806">
        <v>6.5</v>
      </c>
      <c r="I2806" t="str" cm="1">
        <f t="array" ref="I2806">_xlfn.IFS(G2806&lt;3, "0–2 Years", G2806&lt;6, "3–5 Years", G2806&lt;9, "6–8 Years", G2806&lt;12, "9-11 Years", G2806&gt;=12, "12-14 Years")</f>
        <v>9-11 Years</v>
      </c>
      <c r="J2806">
        <v>3</v>
      </c>
      <c r="K2806" t="s">
        <v>20</v>
      </c>
      <c r="L2806">
        <v>128300</v>
      </c>
      <c r="M2806">
        <v>12500</v>
      </c>
      <c r="N2806">
        <v>140800</v>
      </c>
      <c r="O2806" t="s">
        <v>57</v>
      </c>
      <c r="P2806" s="3">
        <v>42245</v>
      </c>
      <c r="Q2806" t="s">
        <v>36</v>
      </c>
    </row>
    <row r="2807" spans="1:17" x14ac:dyDescent="0.35">
      <c r="A2807" t="s">
        <v>2859</v>
      </c>
      <c r="B2807" t="s">
        <v>23</v>
      </c>
      <c r="C2807" s="7">
        <v>34</v>
      </c>
      <c r="D2807" t="s">
        <v>41</v>
      </c>
      <c r="E2807" t="s">
        <v>42</v>
      </c>
      <c r="F2807" t="s">
        <v>28</v>
      </c>
      <c r="G2807" s="9">
        <v>13.6</v>
      </c>
      <c r="H2807" s="7">
        <v>7.5</v>
      </c>
      <c r="I2807" t="str" cm="1">
        <f t="array" ref="I2807">_xlfn.IFS(G2807&lt;3, "0–2 Years", G2807&lt;6, "3–5 Years", G2807&lt;9, "6–8 Years", G2807&lt;12, "9-11 Years", G2807&gt;=12, "12-14 Years")</f>
        <v>12-14 Years</v>
      </c>
      <c r="J2807" s="7">
        <v>3</v>
      </c>
      <c r="K2807" t="s">
        <v>20</v>
      </c>
      <c r="L2807" s="7">
        <v>80300</v>
      </c>
      <c r="M2807" s="7">
        <v>7100</v>
      </c>
      <c r="N2807" s="7">
        <v>87400</v>
      </c>
      <c r="O2807" t="s">
        <v>30</v>
      </c>
      <c r="P2807" s="3">
        <v>41071</v>
      </c>
      <c r="Q2807" t="s">
        <v>28</v>
      </c>
    </row>
    <row r="2808" spans="1:17" x14ac:dyDescent="0.35">
      <c r="A2808" t="s">
        <v>2860</v>
      </c>
      <c r="B2808" t="s">
        <v>23</v>
      </c>
      <c r="C2808" s="7">
        <v>40</v>
      </c>
      <c r="D2808" t="s">
        <v>41</v>
      </c>
      <c r="E2808" t="s">
        <v>73</v>
      </c>
      <c r="F2808" t="s">
        <v>19</v>
      </c>
      <c r="G2808" s="9">
        <v>12</v>
      </c>
      <c r="H2808" s="7">
        <v>7.5</v>
      </c>
      <c r="I2808" t="str" cm="1">
        <f t="array" ref="I2808">_xlfn.IFS(G2808&lt;3, "0–2 Years", G2808&lt;6, "3–5 Years", G2808&lt;9, "6–8 Years", G2808&lt;12, "9-11 Years", G2808&gt;=12, "12-14 Years")</f>
        <v>12-14 Years</v>
      </c>
      <c r="J2808" s="7">
        <v>3</v>
      </c>
      <c r="K2808" t="s">
        <v>20</v>
      </c>
      <c r="L2808" s="7">
        <v>107200</v>
      </c>
      <c r="M2808" s="7">
        <v>4600</v>
      </c>
      <c r="N2808" s="7">
        <v>111800</v>
      </c>
      <c r="O2808" t="s">
        <v>57</v>
      </c>
      <c r="P2808" s="3">
        <v>41652</v>
      </c>
      <c r="Q2808" t="s">
        <v>19</v>
      </c>
    </row>
    <row r="2809" spans="1:17" x14ac:dyDescent="0.35">
      <c r="A2809" t="s">
        <v>2861</v>
      </c>
      <c r="B2809" t="s">
        <v>16</v>
      </c>
      <c r="C2809">
        <v>50</v>
      </c>
      <c r="D2809" t="s">
        <v>41</v>
      </c>
      <c r="E2809" t="s">
        <v>73</v>
      </c>
      <c r="F2809" t="s">
        <v>62</v>
      </c>
      <c r="G2809">
        <v>9.3000000000000007</v>
      </c>
      <c r="H2809">
        <v>4.8</v>
      </c>
      <c r="I2809" t="str" cm="1">
        <f t="array" ref="I2809">_xlfn.IFS(G2809&lt;3, "0–2 Years", G2809&lt;6, "3–5 Years", G2809&lt;9, "6–8 Years", G2809&lt;12, "9-11 Years", G2809&gt;=12, "12-14 Years")</f>
        <v>9-11 Years</v>
      </c>
      <c r="J2809">
        <v>3</v>
      </c>
      <c r="K2809" t="s">
        <v>20</v>
      </c>
      <c r="L2809">
        <v>110600</v>
      </c>
      <c r="M2809">
        <v>7900</v>
      </c>
      <c r="N2809">
        <v>118500</v>
      </c>
      <c r="O2809" t="s">
        <v>57</v>
      </c>
      <c r="P2809" s="3">
        <v>42635</v>
      </c>
      <c r="Q2809" t="s">
        <v>62</v>
      </c>
    </row>
    <row r="2810" spans="1:17" x14ac:dyDescent="0.35">
      <c r="A2810" t="s">
        <v>2862</v>
      </c>
      <c r="B2810" t="s">
        <v>23</v>
      </c>
      <c r="C2810">
        <v>44</v>
      </c>
      <c r="D2810" t="s">
        <v>17</v>
      </c>
      <c r="E2810" t="s">
        <v>18</v>
      </c>
      <c r="F2810" t="s">
        <v>28</v>
      </c>
      <c r="G2810">
        <v>10.5</v>
      </c>
      <c r="H2810">
        <v>6.9</v>
      </c>
      <c r="I2810" t="str" cm="1">
        <f t="array" ref="I2810">_xlfn.IFS(G2810&lt;3, "0–2 Years", G2810&lt;6, "3–5 Years", G2810&lt;9, "6–8 Years", G2810&lt;12, "9-11 Years", G2810&gt;=12, "12-14 Years")</f>
        <v>9-11 Years</v>
      </c>
      <c r="J2810">
        <v>3</v>
      </c>
      <c r="K2810" t="s">
        <v>69</v>
      </c>
      <c r="L2810">
        <v>91300</v>
      </c>
      <c r="M2810">
        <v>9100</v>
      </c>
      <c r="N2810">
        <v>100400</v>
      </c>
      <c r="O2810" t="s">
        <v>30</v>
      </c>
      <c r="P2810" s="3">
        <v>42202</v>
      </c>
      <c r="Q2810" t="s">
        <v>28</v>
      </c>
    </row>
    <row r="2811" spans="1:17" x14ac:dyDescent="0.35">
      <c r="A2811" t="s">
        <v>2863</v>
      </c>
      <c r="B2811" t="s">
        <v>23</v>
      </c>
      <c r="C2811" s="7">
        <v>37</v>
      </c>
      <c r="D2811" t="s">
        <v>38</v>
      </c>
      <c r="E2811" t="s">
        <v>39</v>
      </c>
      <c r="F2811" t="s">
        <v>28</v>
      </c>
      <c r="G2811" s="9">
        <v>13.6</v>
      </c>
      <c r="H2811" s="7">
        <v>8.1</v>
      </c>
      <c r="I2811" t="str" cm="1">
        <f t="array" ref="I2811">_xlfn.IFS(G2811&lt;3, "0–2 Years", G2811&lt;6, "3–5 Years", G2811&lt;9, "6–8 Years", G2811&lt;12, "9-11 Years", G2811&gt;=12, "12-14 Years")</f>
        <v>12-14 Years</v>
      </c>
      <c r="J2811" s="7">
        <v>4</v>
      </c>
      <c r="K2811" t="s">
        <v>20</v>
      </c>
      <c r="L2811" s="7">
        <v>79300</v>
      </c>
      <c r="M2811" s="7">
        <v>5000</v>
      </c>
      <c r="N2811" s="7">
        <v>84300</v>
      </c>
      <c r="O2811" t="s">
        <v>21</v>
      </c>
      <c r="P2811" s="3">
        <v>41040</v>
      </c>
      <c r="Q2811" t="s">
        <v>28</v>
      </c>
    </row>
    <row r="2812" spans="1:17" x14ac:dyDescent="0.35">
      <c r="A2812" t="s">
        <v>2864</v>
      </c>
      <c r="B2812" t="s">
        <v>16</v>
      </c>
      <c r="C2812">
        <v>28</v>
      </c>
      <c r="D2812" t="s">
        <v>38</v>
      </c>
      <c r="E2812" t="s">
        <v>112</v>
      </c>
      <c r="F2812" t="s">
        <v>28</v>
      </c>
      <c r="G2812">
        <v>4.5999999999999996</v>
      </c>
      <c r="H2812">
        <v>0</v>
      </c>
      <c r="I2812" t="str" cm="1">
        <f t="array" ref="I2812">_xlfn.IFS(G2812&lt;3, "0–2 Years", G2812&lt;6, "3–5 Years", G2812&lt;9, "6–8 Years", G2812&lt;12, "9-11 Years", G2812&gt;=12, "12-14 Years")</f>
        <v>3–5 Years</v>
      </c>
      <c r="J2812">
        <v>2</v>
      </c>
      <c r="K2812" t="s">
        <v>20</v>
      </c>
      <c r="L2812">
        <v>61800</v>
      </c>
      <c r="M2812">
        <v>3700</v>
      </c>
      <c r="N2812">
        <v>65500</v>
      </c>
      <c r="O2812" t="s">
        <v>25</v>
      </c>
      <c r="P2812" s="3">
        <v>44352</v>
      </c>
      <c r="Q2812" t="s">
        <v>28</v>
      </c>
    </row>
    <row r="2813" spans="1:17" x14ac:dyDescent="0.35">
      <c r="A2813" t="s">
        <v>2865</v>
      </c>
      <c r="B2813" t="s">
        <v>16</v>
      </c>
      <c r="C2813">
        <v>28</v>
      </c>
      <c r="D2813" t="s">
        <v>34</v>
      </c>
      <c r="E2813" t="s">
        <v>35</v>
      </c>
      <c r="F2813" t="s">
        <v>28</v>
      </c>
      <c r="G2813">
        <v>11</v>
      </c>
      <c r="H2813">
        <v>7.1</v>
      </c>
      <c r="I2813" t="str" cm="1">
        <f t="array" ref="I2813">_xlfn.IFS(G2813&lt;3, "0–2 Years", G2813&lt;6, "3–5 Years", G2813&lt;9, "6–8 Years", G2813&lt;12, "9-11 Years", G2813&gt;=12, "12-14 Years")</f>
        <v>9-11 Years</v>
      </c>
      <c r="J2813">
        <v>4</v>
      </c>
      <c r="K2813" t="s">
        <v>20</v>
      </c>
      <c r="L2813">
        <v>83900</v>
      </c>
      <c r="M2813">
        <v>8900</v>
      </c>
      <c r="N2813">
        <v>92800</v>
      </c>
      <c r="O2813" t="s">
        <v>30</v>
      </c>
      <c r="P2813" s="3">
        <v>41997</v>
      </c>
      <c r="Q2813" t="s">
        <v>28</v>
      </c>
    </row>
    <row r="2814" spans="1:17" x14ac:dyDescent="0.35">
      <c r="A2814" t="s">
        <v>2866</v>
      </c>
      <c r="B2814" t="s">
        <v>16</v>
      </c>
      <c r="C2814">
        <v>26</v>
      </c>
      <c r="D2814" t="s">
        <v>17</v>
      </c>
      <c r="E2814" t="s">
        <v>18</v>
      </c>
      <c r="F2814" t="s">
        <v>28</v>
      </c>
      <c r="G2814">
        <v>6.5</v>
      </c>
      <c r="H2814">
        <v>2.7</v>
      </c>
      <c r="I2814" t="str" cm="1">
        <f t="array" ref="I2814">_xlfn.IFS(G2814&lt;3, "0–2 Years", G2814&lt;6, "3–5 Years", G2814&lt;9, "6–8 Years", G2814&lt;12, "9-11 Years", G2814&gt;=12, "12-14 Years")</f>
        <v>6–8 Years</v>
      </c>
      <c r="J2814">
        <v>3</v>
      </c>
      <c r="K2814" t="s">
        <v>24</v>
      </c>
      <c r="L2814">
        <v>56700</v>
      </c>
      <c r="M2814">
        <v>2600</v>
      </c>
      <c r="N2814">
        <v>59300</v>
      </c>
      <c r="O2814" t="s">
        <v>25</v>
      </c>
      <c r="P2814" s="3">
        <v>43657</v>
      </c>
      <c r="Q2814" t="s">
        <v>28</v>
      </c>
    </row>
    <row r="2815" spans="1:17" x14ac:dyDescent="0.35">
      <c r="A2815" t="s">
        <v>2867</v>
      </c>
      <c r="B2815" t="s">
        <v>16</v>
      </c>
      <c r="C2815" s="7">
        <v>39</v>
      </c>
      <c r="D2815" t="s">
        <v>55</v>
      </c>
      <c r="E2815" t="s">
        <v>92</v>
      </c>
      <c r="F2815" t="s">
        <v>28</v>
      </c>
      <c r="G2815" s="9">
        <v>13</v>
      </c>
      <c r="H2815" s="7">
        <v>9.3000000000000007</v>
      </c>
      <c r="I2815" t="str" cm="1">
        <f t="array" ref="I2815">_xlfn.IFS(G2815&lt;3, "0–2 Years", G2815&lt;6, "3–5 Years", G2815&lt;9, "6–8 Years", G2815&lt;12, "9-11 Years", G2815&gt;=12, "12-14 Years")</f>
        <v>12-14 Years</v>
      </c>
      <c r="J2815" s="7">
        <v>3</v>
      </c>
      <c r="K2815" t="s">
        <v>20</v>
      </c>
      <c r="L2815" s="7">
        <v>111600</v>
      </c>
      <c r="M2815" s="7">
        <v>18500</v>
      </c>
      <c r="N2815" s="7">
        <v>130100</v>
      </c>
      <c r="O2815" t="s">
        <v>57</v>
      </c>
      <c r="P2815" s="3">
        <v>41265</v>
      </c>
      <c r="Q2815" t="s">
        <v>28</v>
      </c>
    </row>
    <row r="2816" spans="1:17" x14ac:dyDescent="0.35">
      <c r="A2816" t="s">
        <v>2868</v>
      </c>
      <c r="B2816" t="s">
        <v>16</v>
      </c>
      <c r="C2816">
        <v>35</v>
      </c>
      <c r="D2816" t="s">
        <v>55</v>
      </c>
      <c r="E2816" t="s">
        <v>79</v>
      </c>
      <c r="F2816" t="s">
        <v>28</v>
      </c>
      <c r="G2816">
        <v>9.4</v>
      </c>
      <c r="H2816">
        <v>6.5</v>
      </c>
      <c r="I2816" t="str" cm="1">
        <f t="array" ref="I2816">_xlfn.IFS(G2816&lt;3, "0–2 Years", G2816&lt;6, "3–5 Years", G2816&lt;9, "6–8 Years", G2816&lt;12, "9-11 Years", G2816&gt;=12, "12-14 Years")</f>
        <v>9-11 Years</v>
      </c>
      <c r="J2816">
        <v>3</v>
      </c>
      <c r="K2816" t="s">
        <v>20</v>
      </c>
      <c r="L2816">
        <v>61300</v>
      </c>
      <c r="M2816">
        <v>6200</v>
      </c>
      <c r="N2816">
        <v>67500</v>
      </c>
      <c r="O2816" t="s">
        <v>25</v>
      </c>
      <c r="P2816" s="3">
        <v>42579</v>
      </c>
      <c r="Q2816" t="s">
        <v>28</v>
      </c>
    </row>
    <row r="2817" spans="1:17" x14ac:dyDescent="0.35">
      <c r="A2817" t="s">
        <v>2869</v>
      </c>
      <c r="B2817" t="s">
        <v>16</v>
      </c>
      <c r="C2817">
        <v>39</v>
      </c>
      <c r="D2817" t="s">
        <v>17</v>
      </c>
      <c r="E2817" t="s">
        <v>18</v>
      </c>
      <c r="F2817" t="s">
        <v>36</v>
      </c>
      <c r="G2817">
        <v>11.1</v>
      </c>
      <c r="H2817">
        <v>7.8</v>
      </c>
      <c r="I2817" t="str" cm="1">
        <f t="array" ref="I2817">_xlfn.IFS(G2817&lt;3, "0–2 Years", G2817&lt;6, "3–5 Years", G2817&lt;9, "6–8 Years", G2817&lt;12, "9-11 Years", G2817&gt;=12, "12-14 Years")</f>
        <v>9-11 Years</v>
      </c>
      <c r="J2817">
        <v>3</v>
      </c>
      <c r="K2817" t="s">
        <v>20</v>
      </c>
      <c r="L2817">
        <v>108300</v>
      </c>
      <c r="M2817">
        <v>5300</v>
      </c>
      <c r="N2817">
        <v>113600</v>
      </c>
      <c r="O2817" t="s">
        <v>57</v>
      </c>
      <c r="P2817" s="3">
        <v>41956</v>
      </c>
      <c r="Q2817" t="s">
        <v>36</v>
      </c>
    </row>
    <row r="2818" spans="1:17" x14ac:dyDescent="0.35">
      <c r="A2818" t="s">
        <v>2870</v>
      </c>
      <c r="B2818" t="s">
        <v>23</v>
      </c>
      <c r="C2818">
        <v>44</v>
      </c>
      <c r="D2818" t="s">
        <v>44</v>
      </c>
      <c r="E2818" t="s">
        <v>81</v>
      </c>
      <c r="F2818" t="s">
        <v>19</v>
      </c>
      <c r="G2818">
        <v>1.5</v>
      </c>
      <c r="H2818">
        <v>1.5</v>
      </c>
      <c r="I2818" t="str" cm="1">
        <f t="array" ref="I2818">_xlfn.IFS(G2818&lt;3, "0–2 Years", G2818&lt;6, "3–5 Years", G2818&lt;9, "6–8 Years", G2818&lt;12, "9-11 Years", G2818&gt;=12, "12-14 Years")</f>
        <v>0–2 Years</v>
      </c>
      <c r="J2818">
        <v>2</v>
      </c>
      <c r="K2818" t="s">
        <v>20</v>
      </c>
      <c r="L2818">
        <v>73200</v>
      </c>
      <c r="M2818">
        <v>8200</v>
      </c>
      <c r="N2818">
        <v>81400</v>
      </c>
      <c r="O2818" t="s">
        <v>21</v>
      </c>
      <c r="P2818" s="3">
        <v>45492</v>
      </c>
      <c r="Q2818" t="s">
        <v>19</v>
      </c>
    </row>
    <row r="2819" spans="1:17" x14ac:dyDescent="0.35">
      <c r="A2819" t="s">
        <v>2871</v>
      </c>
      <c r="B2819" t="s">
        <v>23</v>
      </c>
      <c r="C2819">
        <v>35</v>
      </c>
      <c r="D2819" t="s">
        <v>41</v>
      </c>
      <c r="E2819" t="s">
        <v>73</v>
      </c>
      <c r="F2819" t="s">
        <v>28</v>
      </c>
      <c r="G2819">
        <v>6.2</v>
      </c>
      <c r="H2819">
        <v>4.5</v>
      </c>
      <c r="I2819" t="str" cm="1">
        <f t="array" ref="I2819">_xlfn.IFS(G2819&lt;3, "0–2 Years", G2819&lt;6, "3–5 Years", G2819&lt;9, "6–8 Years", G2819&lt;12, "9-11 Years", G2819&gt;=12, "12-14 Years")</f>
        <v>6–8 Years</v>
      </c>
      <c r="J2819">
        <v>3</v>
      </c>
      <c r="K2819" t="s">
        <v>20</v>
      </c>
      <c r="L2819">
        <v>100300</v>
      </c>
      <c r="M2819">
        <v>8000</v>
      </c>
      <c r="N2819">
        <v>108300</v>
      </c>
      <c r="O2819" t="s">
        <v>57</v>
      </c>
      <c r="P2819" s="3">
        <v>43773</v>
      </c>
      <c r="Q2819" t="s">
        <v>28</v>
      </c>
    </row>
    <row r="2820" spans="1:17" x14ac:dyDescent="0.35">
      <c r="A2820" t="s">
        <v>2872</v>
      </c>
      <c r="B2820" t="s">
        <v>16</v>
      </c>
      <c r="C2820" s="7">
        <v>39</v>
      </c>
      <c r="D2820" t="s">
        <v>34</v>
      </c>
      <c r="E2820" t="s">
        <v>59</v>
      </c>
      <c r="F2820" t="s">
        <v>28</v>
      </c>
      <c r="G2820" s="9">
        <v>12.2</v>
      </c>
      <c r="H2820" s="7">
        <v>10.199999999999999</v>
      </c>
      <c r="I2820" t="str" cm="1">
        <f t="array" ref="I2820">_xlfn.IFS(G2820&lt;3, "0–2 Years", G2820&lt;6, "3–5 Years", G2820&lt;9, "6–8 Years", G2820&lt;12, "9-11 Years", G2820&gt;=12, "12-14 Years")</f>
        <v>12-14 Years</v>
      </c>
      <c r="J2820" s="7">
        <v>3</v>
      </c>
      <c r="K2820" t="s">
        <v>20</v>
      </c>
      <c r="L2820" s="7">
        <v>104700</v>
      </c>
      <c r="M2820" s="7">
        <v>11500</v>
      </c>
      <c r="N2820" s="7">
        <v>116200</v>
      </c>
      <c r="O2820" t="s">
        <v>57</v>
      </c>
      <c r="P2820" s="3">
        <v>41556</v>
      </c>
      <c r="Q2820" t="s">
        <v>28</v>
      </c>
    </row>
    <row r="2821" spans="1:17" x14ac:dyDescent="0.35">
      <c r="A2821" t="s">
        <v>2873</v>
      </c>
      <c r="B2821" t="s">
        <v>16</v>
      </c>
      <c r="C2821">
        <v>36</v>
      </c>
      <c r="D2821" t="s">
        <v>17</v>
      </c>
      <c r="E2821" t="s">
        <v>32</v>
      </c>
      <c r="F2821" t="s">
        <v>28</v>
      </c>
      <c r="G2821">
        <v>10.9</v>
      </c>
      <c r="H2821">
        <v>6.3</v>
      </c>
      <c r="I2821" t="str" cm="1">
        <f t="array" ref="I2821">_xlfn.IFS(G2821&lt;3, "0–2 Years", G2821&lt;6, "3–5 Years", G2821&lt;9, "6–8 Years", G2821&lt;12, "9-11 Years", G2821&gt;=12, "12-14 Years")</f>
        <v>9-11 Years</v>
      </c>
      <c r="J2821">
        <v>3</v>
      </c>
      <c r="K2821" t="s">
        <v>20</v>
      </c>
      <c r="L2821">
        <v>75700</v>
      </c>
      <c r="M2821">
        <v>8200</v>
      </c>
      <c r="N2821">
        <v>83900</v>
      </c>
      <c r="O2821" t="s">
        <v>21</v>
      </c>
      <c r="P2821" s="3">
        <v>42054</v>
      </c>
      <c r="Q2821" t="s">
        <v>28</v>
      </c>
    </row>
    <row r="2822" spans="1:17" x14ac:dyDescent="0.35">
      <c r="A2822" t="s">
        <v>2874</v>
      </c>
      <c r="B2822" t="s">
        <v>23</v>
      </c>
      <c r="C2822">
        <v>44</v>
      </c>
      <c r="D2822" t="s">
        <v>55</v>
      </c>
      <c r="E2822" t="s">
        <v>92</v>
      </c>
      <c r="F2822" t="s">
        <v>36</v>
      </c>
      <c r="G2822">
        <v>11.6</v>
      </c>
      <c r="H2822">
        <v>9.4</v>
      </c>
      <c r="I2822" t="str" cm="1">
        <f t="array" ref="I2822">_xlfn.IFS(G2822&lt;3, "0–2 Years", G2822&lt;6, "3–5 Years", G2822&lt;9, "6–8 Years", G2822&lt;12, "9-11 Years", G2822&gt;=12, "12-14 Years")</f>
        <v>9-11 Years</v>
      </c>
      <c r="J2822">
        <v>3</v>
      </c>
      <c r="K2822" t="s">
        <v>20</v>
      </c>
      <c r="L2822">
        <v>105600</v>
      </c>
      <c r="M2822">
        <v>9900</v>
      </c>
      <c r="N2822">
        <v>115500</v>
      </c>
      <c r="O2822" t="s">
        <v>57</v>
      </c>
      <c r="P2822" s="3">
        <v>41792</v>
      </c>
      <c r="Q2822" t="s">
        <v>36</v>
      </c>
    </row>
    <row r="2823" spans="1:17" x14ac:dyDescent="0.35">
      <c r="A2823" t="s">
        <v>2875</v>
      </c>
      <c r="B2823" t="s">
        <v>16</v>
      </c>
      <c r="C2823">
        <v>38</v>
      </c>
      <c r="D2823" t="s">
        <v>17</v>
      </c>
      <c r="E2823" t="s">
        <v>18</v>
      </c>
      <c r="F2823" t="s">
        <v>19</v>
      </c>
      <c r="G2823">
        <v>3.6</v>
      </c>
      <c r="H2823">
        <v>2.6</v>
      </c>
      <c r="I2823" t="str" cm="1">
        <f t="array" ref="I2823">_xlfn.IFS(G2823&lt;3, "0–2 Years", G2823&lt;6, "3–5 Years", G2823&lt;9, "6–8 Years", G2823&lt;12, "9-11 Years", G2823&gt;=12, "12-14 Years")</f>
        <v>3–5 Years</v>
      </c>
      <c r="J2823">
        <v>3</v>
      </c>
      <c r="K2823" t="s">
        <v>20</v>
      </c>
      <c r="L2823">
        <v>104300</v>
      </c>
      <c r="M2823">
        <v>9600</v>
      </c>
      <c r="N2823">
        <v>113900</v>
      </c>
      <c r="O2823" t="s">
        <v>57</v>
      </c>
      <c r="P2823" s="3">
        <v>44722</v>
      </c>
      <c r="Q2823" t="s">
        <v>19</v>
      </c>
    </row>
    <row r="2824" spans="1:17" x14ac:dyDescent="0.35">
      <c r="A2824" t="s">
        <v>2876</v>
      </c>
      <c r="B2824" t="s">
        <v>16</v>
      </c>
      <c r="C2824">
        <v>42</v>
      </c>
      <c r="D2824" t="s">
        <v>55</v>
      </c>
      <c r="E2824" t="s">
        <v>56</v>
      </c>
      <c r="F2824" t="s">
        <v>36</v>
      </c>
      <c r="G2824">
        <v>7.8</v>
      </c>
      <c r="H2824">
        <v>6.9</v>
      </c>
      <c r="I2824" t="str" cm="1">
        <f t="array" ref="I2824">_xlfn.IFS(G2824&lt;3, "0–2 Years", G2824&lt;6, "3–5 Years", G2824&lt;9, "6–8 Years", G2824&lt;12, "9-11 Years", G2824&gt;=12, "12-14 Years")</f>
        <v>6–8 Years</v>
      </c>
      <c r="J2824">
        <v>2</v>
      </c>
      <c r="K2824" t="s">
        <v>20</v>
      </c>
      <c r="L2824">
        <v>96100</v>
      </c>
      <c r="M2824">
        <v>16200</v>
      </c>
      <c r="N2824">
        <v>112300</v>
      </c>
      <c r="O2824" t="s">
        <v>30</v>
      </c>
      <c r="P2824" s="3">
        <v>43177</v>
      </c>
      <c r="Q2824" t="s">
        <v>36</v>
      </c>
    </row>
    <row r="2825" spans="1:17" x14ac:dyDescent="0.35">
      <c r="A2825" t="s">
        <v>2877</v>
      </c>
      <c r="B2825" t="s">
        <v>16</v>
      </c>
      <c r="C2825">
        <v>37</v>
      </c>
      <c r="D2825" t="s">
        <v>38</v>
      </c>
      <c r="E2825" t="s">
        <v>39</v>
      </c>
      <c r="F2825" t="s">
        <v>36</v>
      </c>
      <c r="G2825">
        <v>7.4</v>
      </c>
      <c r="H2825">
        <v>3.9</v>
      </c>
      <c r="I2825" t="str" cm="1">
        <f t="array" ref="I2825">_xlfn.IFS(G2825&lt;3, "0–2 Years", G2825&lt;6, "3–5 Years", G2825&lt;9, "6–8 Years", G2825&lt;12, "9-11 Years", G2825&gt;=12, "12-14 Years")</f>
        <v>6–8 Years</v>
      </c>
      <c r="J2825">
        <v>2</v>
      </c>
      <c r="K2825" t="s">
        <v>20</v>
      </c>
      <c r="L2825">
        <v>78000</v>
      </c>
      <c r="M2825">
        <v>5100</v>
      </c>
      <c r="N2825">
        <v>83100</v>
      </c>
      <c r="O2825" t="s">
        <v>21</v>
      </c>
      <c r="P2825" s="3">
        <v>43311</v>
      </c>
      <c r="Q2825" t="s">
        <v>36</v>
      </c>
    </row>
    <row r="2826" spans="1:17" x14ac:dyDescent="0.35">
      <c r="A2826" t="s">
        <v>2878</v>
      </c>
      <c r="B2826" t="s">
        <v>16</v>
      </c>
      <c r="C2826">
        <v>40</v>
      </c>
      <c r="D2826" t="s">
        <v>44</v>
      </c>
      <c r="E2826" t="s">
        <v>45</v>
      </c>
      <c r="F2826" t="s">
        <v>36</v>
      </c>
      <c r="G2826">
        <v>11.2</v>
      </c>
      <c r="H2826">
        <v>7.5</v>
      </c>
      <c r="I2826" t="str" cm="1">
        <f t="array" ref="I2826">_xlfn.IFS(G2826&lt;3, "0–2 Years", G2826&lt;6, "3–5 Years", G2826&lt;9, "6–8 Years", G2826&lt;12, "9-11 Years", G2826&gt;=12, "12-14 Years")</f>
        <v>9-11 Years</v>
      </c>
      <c r="J2826">
        <v>4</v>
      </c>
      <c r="K2826" t="s">
        <v>20</v>
      </c>
      <c r="L2826">
        <v>90500</v>
      </c>
      <c r="M2826">
        <v>6100</v>
      </c>
      <c r="N2826">
        <v>96600</v>
      </c>
      <c r="O2826" t="s">
        <v>30</v>
      </c>
      <c r="P2826" s="3">
        <v>41915</v>
      </c>
      <c r="Q2826" t="s">
        <v>36</v>
      </c>
    </row>
    <row r="2827" spans="1:17" x14ac:dyDescent="0.35">
      <c r="A2827" t="s">
        <v>2879</v>
      </c>
      <c r="B2827" t="s">
        <v>16</v>
      </c>
      <c r="C2827">
        <v>25</v>
      </c>
      <c r="D2827" t="s">
        <v>41</v>
      </c>
      <c r="E2827" t="s">
        <v>73</v>
      </c>
      <c r="F2827" t="s">
        <v>28</v>
      </c>
      <c r="G2827">
        <v>5.7</v>
      </c>
      <c r="H2827">
        <v>4.3</v>
      </c>
      <c r="I2827" t="str" cm="1">
        <f t="array" ref="I2827">_xlfn.IFS(G2827&lt;3, "0–2 Years", G2827&lt;6, "3–5 Years", G2827&lt;9, "6–8 Years", G2827&lt;12, "9-11 Years", G2827&gt;=12, "12-14 Years")</f>
        <v>3–5 Years</v>
      </c>
      <c r="J2827">
        <v>4</v>
      </c>
      <c r="K2827" t="s">
        <v>20</v>
      </c>
      <c r="L2827">
        <v>95600</v>
      </c>
      <c r="M2827">
        <v>8400</v>
      </c>
      <c r="N2827">
        <v>104000</v>
      </c>
      <c r="O2827" t="s">
        <v>30</v>
      </c>
      <c r="P2827" s="3">
        <v>43953</v>
      </c>
      <c r="Q2827" t="s">
        <v>28</v>
      </c>
    </row>
    <row r="2828" spans="1:17" x14ac:dyDescent="0.35">
      <c r="A2828" t="s">
        <v>2880</v>
      </c>
      <c r="B2828" t="s">
        <v>16</v>
      </c>
      <c r="C2828">
        <v>35</v>
      </c>
      <c r="D2828" t="s">
        <v>41</v>
      </c>
      <c r="E2828" t="s">
        <v>73</v>
      </c>
      <c r="F2828" t="s">
        <v>19</v>
      </c>
      <c r="G2828">
        <v>7</v>
      </c>
      <c r="H2828">
        <v>5.0999999999999996</v>
      </c>
      <c r="I2828" t="str" cm="1">
        <f t="array" ref="I2828">_xlfn.IFS(G2828&lt;3, "0–2 Years", G2828&lt;6, "3–5 Years", G2828&lt;9, "6–8 Years", G2828&lt;12, "9-11 Years", G2828&gt;=12, "12-14 Years")</f>
        <v>6–8 Years</v>
      </c>
      <c r="J2828">
        <v>4</v>
      </c>
      <c r="K2828" t="s">
        <v>20</v>
      </c>
      <c r="L2828">
        <v>105100</v>
      </c>
      <c r="M2828">
        <v>7100</v>
      </c>
      <c r="N2828">
        <v>112200</v>
      </c>
      <c r="O2828" t="s">
        <v>57</v>
      </c>
      <c r="P2828" s="3">
        <v>43482</v>
      </c>
      <c r="Q2828" t="s">
        <v>19</v>
      </c>
    </row>
    <row r="2829" spans="1:17" x14ac:dyDescent="0.35">
      <c r="A2829" t="s">
        <v>2881</v>
      </c>
      <c r="B2829" t="s">
        <v>23</v>
      </c>
      <c r="C2829" s="7">
        <v>30</v>
      </c>
      <c r="D2829" t="s">
        <v>44</v>
      </c>
      <c r="E2829" t="s">
        <v>51</v>
      </c>
      <c r="F2829" t="s">
        <v>28</v>
      </c>
      <c r="G2829" s="9">
        <v>13.2</v>
      </c>
      <c r="H2829" s="7">
        <v>7.5</v>
      </c>
      <c r="I2829" t="str" cm="1">
        <f t="array" ref="I2829">_xlfn.IFS(G2829&lt;3, "0–2 Years", G2829&lt;6, "3–5 Years", G2829&lt;9, "6–8 Years", G2829&lt;12, "9-11 Years", G2829&gt;=12, "12-14 Years")</f>
        <v>12-14 Years</v>
      </c>
      <c r="J2829" s="7">
        <v>1</v>
      </c>
      <c r="K2829" t="s">
        <v>69</v>
      </c>
      <c r="L2829" s="7">
        <v>73300</v>
      </c>
      <c r="M2829" s="7">
        <v>8600</v>
      </c>
      <c r="N2829" s="7">
        <v>81900</v>
      </c>
      <c r="O2829" t="s">
        <v>21</v>
      </c>
      <c r="P2829" s="3">
        <v>41214</v>
      </c>
      <c r="Q2829" t="s">
        <v>28</v>
      </c>
    </row>
    <row r="2830" spans="1:17" x14ac:dyDescent="0.35">
      <c r="A2830" t="s">
        <v>2882</v>
      </c>
      <c r="B2830" t="s">
        <v>23</v>
      </c>
      <c r="C2830">
        <v>28</v>
      </c>
      <c r="D2830" t="s">
        <v>41</v>
      </c>
      <c r="E2830" t="s">
        <v>67</v>
      </c>
      <c r="F2830" t="s">
        <v>28</v>
      </c>
      <c r="G2830">
        <v>8.9</v>
      </c>
      <c r="H2830">
        <v>7.2</v>
      </c>
      <c r="I2830" t="str" cm="1">
        <f t="array" ref="I2830">_xlfn.IFS(G2830&lt;3, "0–2 Years", G2830&lt;6, "3–5 Years", G2830&lt;9, "6–8 Years", G2830&lt;12, "9-11 Years", G2830&gt;=12, "12-14 Years")</f>
        <v>6–8 Years</v>
      </c>
      <c r="J2830">
        <v>4</v>
      </c>
      <c r="K2830" t="s">
        <v>24</v>
      </c>
      <c r="L2830">
        <v>48700</v>
      </c>
      <c r="M2830">
        <v>1600</v>
      </c>
      <c r="N2830">
        <v>50300</v>
      </c>
      <c r="O2830" t="s">
        <v>65</v>
      </c>
      <c r="P2830" s="3">
        <v>42765</v>
      </c>
      <c r="Q2830" t="s">
        <v>28</v>
      </c>
    </row>
    <row r="2831" spans="1:17" x14ac:dyDescent="0.35">
      <c r="A2831" t="s">
        <v>2883</v>
      </c>
      <c r="B2831" t="s">
        <v>23</v>
      </c>
      <c r="C2831">
        <v>38</v>
      </c>
      <c r="D2831" t="s">
        <v>34</v>
      </c>
      <c r="E2831" t="s">
        <v>35</v>
      </c>
      <c r="F2831" t="s">
        <v>28</v>
      </c>
      <c r="G2831">
        <v>9.6999999999999993</v>
      </c>
      <c r="H2831">
        <v>7.4</v>
      </c>
      <c r="I2831" t="str" cm="1">
        <f t="array" ref="I2831">_xlfn.IFS(G2831&lt;3, "0–2 Years", G2831&lt;6, "3–5 Years", G2831&lt;9, "6–8 Years", G2831&lt;12, "9-11 Years", G2831&gt;=12, "12-14 Years")</f>
        <v>9-11 Years</v>
      </c>
      <c r="J2831">
        <v>4</v>
      </c>
      <c r="K2831" t="s">
        <v>69</v>
      </c>
      <c r="L2831">
        <v>79400</v>
      </c>
      <c r="M2831">
        <v>4700</v>
      </c>
      <c r="N2831">
        <v>84100</v>
      </c>
      <c r="O2831" t="s">
        <v>21</v>
      </c>
      <c r="P2831" s="3">
        <v>42492</v>
      </c>
      <c r="Q2831" t="s">
        <v>28</v>
      </c>
    </row>
    <row r="2832" spans="1:17" x14ac:dyDescent="0.35">
      <c r="A2832" t="s">
        <v>2884</v>
      </c>
      <c r="B2832" t="s">
        <v>23</v>
      </c>
      <c r="C2832">
        <v>37</v>
      </c>
      <c r="D2832" t="s">
        <v>44</v>
      </c>
      <c r="E2832" t="s">
        <v>76</v>
      </c>
      <c r="F2832" t="s">
        <v>36</v>
      </c>
      <c r="G2832">
        <v>1.7</v>
      </c>
      <c r="H2832">
        <v>0.7</v>
      </c>
      <c r="I2832" t="str" cm="1">
        <f t="array" ref="I2832">_xlfn.IFS(G2832&lt;3, "0–2 Years", G2832&lt;6, "3–5 Years", G2832&lt;9, "6–8 Years", G2832&lt;12, "9-11 Years", G2832&gt;=12, "12-14 Years")</f>
        <v>0–2 Years</v>
      </c>
      <c r="J2832">
        <v>4</v>
      </c>
      <c r="K2832" t="s">
        <v>24</v>
      </c>
      <c r="L2832">
        <v>69300</v>
      </c>
      <c r="M2832">
        <v>9900</v>
      </c>
      <c r="N2832">
        <v>79200</v>
      </c>
      <c r="O2832" t="s">
        <v>21</v>
      </c>
      <c r="P2832" s="3">
        <v>45400</v>
      </c>
      <c r="Q2832" t="s">
        <v>36</v>
      </c>
    </row>
    <row r="2833" spans="1:17" x14ac:dyDescent="0.35">
      <c r="A2833" t="s">
        <v>2885</v>
      </c>
      <c r="B2833" t="s">
        <v>16</v>
      </c>
      <c r="C2833">
        <v>40</v>
      </c>
      <c r="D2833" t="s">
        <v>44</v>
      </c>
      <c r="E2833" t="s">
        <v>51</v>
      </c>
      <c r="F2833" t="s">
        <v>28</v>
      </c>
      <c r="G2833">
        <v>11.7</v>
      </c>
      <c r="H2833">
        <v>8.1</v>
      </c>
      <c r="I2833" t="str" cm="1">
        <f t="array" ref="I2833">_xlfn.IFS(G2833&lt;3, "0–2 Years", G2833&lt;6, "3–5 Years", G2833&lt;9, "6–8 Years", G2833&lt;12, "9-11 Years", G2833&gt;=12, "12-14 Years")</f>
        <v>9-11 Years</v>
      </c>
      <c r="J2833">
        <v>3</v>
      </c>
      <c r="K2833" t="s">
        <v>20</v>
      </c>
      <c r="L2833">
        <v>89200</v>
      </c>
      <c r="M2833">
        <v>8100</v>
      </c>
      <c r="N2833">
        <v>97300</v>
      </c>
      <c r="O2833" t="s">
        <v>30</v>
      </c>
      <c r="P2833" s="3">
        <v>41757</v>
      </c>
      <c r="Q2833" t="s">
        <v>28</v>
      </c>
    </row>
    <row r="2834" spans="1:17" x14ac:dyDescent="0.35">
      <c r="A2834" t="s">
        <v>2886</v>
      </c>
      <c r="B2834" t="s">
        <v>16</v>
      </c>
      <c r="C2834">
        <v>38</v>
      </c>
      <c r="D2834" t="s">
        <v>44</v>
      </c>
      <c r="E2834" t="s">
        <v>51</v>
      </c>
      <c r="F2834" t="s">
        <v>62</v>
      </c>
      <c r="G2834">
        <v>8.9</v>
      </c>
      <c r="H2834">
        <v>5.8</v>
      </c>
      <c r="I2834" t="str" cm="1">
        <f t="array" ref="I2834">_xlfn.IFS(G2834&lt;3, "0–2 Years", G2834&lt;6, "3–5 Years", G2834&lt;9, "6–8 Years", G2834&lt;12, "9-11 Years", G2834&gt;=12, "12-14 Years")</f>
        <v>6–8 Years</v>
      </c>
      <c r="J2834">
        <v>4</v>
      </c>
      <c r="K2834" t="s">
        <v>20</v>
      </c>
      <c r="L2834">
        <v>98400</v>
      </c>
      <c r="M2834">
        <v>11400</v>
      </c>
      <c r="N2834">
        <v>109800</v>
      </c>
      <c r="O2834" t="s">
        <v>30</v>
      </c>
      <c r="P2834" s="3">
        <v>42760</v>
      </c>
      <c r="Q2834" t="s">
        <v>62</v>
      </c>
    </row>
    <row r="2835" spans="1:17" x14ac:dyDescent="0.35">
      <c r="A2835" t="s">
        <v>2887</v>
      </c>
      <c r="B2835" t="s">
        <v>16</v>
      </c>
      <c r="C2835">
        <v>27</v>
      </c>
      <c r="D2835" t="s">
        <v>55</v>
      </c>
      <c r="E2835" t="s">
        <v>92</v>
      </c>
      <c r="F2835" t="s">
        <v>36</v>
      </c>
      <c r="G2835">
        <v>3.8</v>
      </c>
      <c r="H2835">
        <v>3.6</v>
      </c>
      <c r="I2835" t="str" cm="1">
        <f t="array" ref="I2835">_xlfn.IFS(G2835&lt;3, "0–2 Years", G2835&lt;6, "3–5 Years", G2835&lt;9, "6–8 Years", G2835&lt;12, "9-11 Years", G2835&gt;=12, "12-14 Years")</f>
        <v>3–5 Years</v>
      </c>
      <c r="J2835">
        <v>4</v>
      </c>
      <c r="K2835" t="s">
        <v>20</v>
      </c>
      <c r="L2835">
        <v>109100</v>
      </c>
      <c r="M2835">
        <v>17700</v>
      </c>
      <c r="N2835">
        <v>126800</v>
      </c>
      <c r="O2835" t="s">
        <v>57</v>
      </c>
      <c r="P2835" s="3">
        <v>44642</v>
      </c>
      <c r="Q2835" t="s">
        <v>36</v>
      </c>
    </row>
    <row r="2836" spans="1:17" x14ac:dyDescent="0.35">
      <c r="A2836" t="s">
        <v>2888</v>
      </c>
      <c r="B2836" t="s">
        <v>16</v>
      </c>
      <c r="C2836" s="7">
        <v>39</v>
      </c>
      <c r="D2836" t="s">
        <v>41</v>
      </c>
      <c r="E2836" t="s">
        <v>73</v>
      </c>
      <c r="F2836" t="s">
        <v>28</v>
      </c>
      <c r="G2836" s="9">
        <v>13</v>
      </c>
      <c r="H2836" s="7">
        <v>7.5</v>
      </c>
      <c r="I2836" t="str" cm="1">
        <f t="array" ref="I2836">_xlfn.IFS(G2836&lt;3, "0–2 Years", G2836&lt;6, "3–5 Years", G2836&lt;9, "6–8 Years", G2836&lt;12, "9-11 Years", G2836&gt;=12, "12-14 Years")</f>
        <v>12-14 Years</v>
      </c>
      <c r="J2836" s="7">
        <v>4</v>
      </c>
      <c r="K2836" t="s">
        <v>20</v>
      </c>
      <c r="L2836" s="7">
        <v>110100</v>
      </c>
      <c r="M2836" s="7">
        <v>4200</v>
      </c>
      <c r="N2836" s="7">
        <v>114300</v>
      </c>
      <c r="O2836" t="s">
        <v>57</v>
      </c>
      <c r="P2836" s="3">
        <v>41285</v>
      </c>
      <c r="Q2836" t="s">
        <v>28</v>
      </c>
    </row>
    <row r="2837" spans="1:17" x14ac:dyDescent="0.35">
      <c r="A2837" t="s">
        <v>2889</v>
      </c>
      <c r="B2837" t="s">
        <v>16</v>
      </c>
      <c r="C2837">
        <v>21</v>
      </c>
      <c r="D2837" t="s">
        <v>41</v>
      </c>
      <c r="E2837" t="s">
        <v>67</v>
      </c>
      <c r="F2837" t="s">
        <v>28</v>
      </c>
      <c r="G2837">
        <v>7.6</v>
      </c>
      <c r="H2837">
        <v>5.0999999999999996</v>
      </c>
      <c r="I2837" t="str" cm="1">
        <f t="array" ref="I2837">_xlfn.IFS(G2837&lt;3, "0–2 Years", G2837&lt;6, "3–5 Years", G2837&lt;9, "6–8 Years", G2837&lt;12, "9-11 Years", G2837&gt;=12, "12-14 Years")</f>
        <v>6–8 Years</v>
      </c>
      <c r="J2837">
        <v>4</v>
      </c>
      <c r="K2837" t="s">
        <v>20</v>
      </c>
      <c r="L2837">
        <v>70700</v>
      </c>
      <c r="M2837">
        <v>3700</v>
      </c>
      <c r="N2837">
        <v>74400</v>
      </c>
      <c r="O2837" t="s">
        <v>21</v>
      </c>
      <c r="P2837" s="3">
        <v>43253</v>
      </c>
      <c r="Q2837" t="s">
        <v>28</v>
      </c>
    </row>
    <row r="2838" spans="1:17" x14ac:dyDescent="0.35">
      <c r="A2838" t="s">
        <v>2890</v>
      </c>
      <c r="B2838" t="s">
        <v>23</v>
      </c>
      <c r="C2838">
        <v>45</v>
      </c>
      <c r="D2838" t="s">
        <v>41</v>
      </c>
      <c r="E2838" t="s">
        <v>42</v>
      </c>
      <c r="F2838" t="s">
        <v>19</v>
      </c>
      <c r="G2838">
        <v>1</v>
      </c>
      <c r="H2838">
        <v>1</v>
      </c>
      <c r="I2838" t="str" cm="1">
        <f t="array" ref="I2838">_xlfn.IFS(G2838&lt;3, "0–2 Years", G2838&lt;6, "3–5 Years", G2838&lt;9, "6–8 Years", G2838&lt;12, "9-11 Years", G2838&gt;=12, "12-14 Years")</f>
        <v>0–2 Years</v>
      </c>
      <c r="J2838">
        <v>2</v>
      </c>
      <c r="K2838" t="s">
        <v>20</v>
      </c>
      <c r="L2838">
        <v>63700</v>
      </c>
      <c r="M2838">
        <v>4900</v>
      </c>
      <c r="N2838">
        <v>68600</v>
      </c>
      <c r="O2838" t="s">
        <v>25</v>
      </c>
      <c r="P2838" s="3">
        <v>45644</v>
      </c>
      <c r="Q2838" t="s">
        <v>19</v>
      </c>
    </row>
    <row r="2839" spans="1:17" x14ac:dyDescent="0.35">
      <c r="A2839" t="s">
        <v>2891</v>
      </c>
      <c r="B2839" t="s">
        <v>16</v>
      </c>
      <c r="C2839">
        <v>45</v>
      </c>
      <c r="D2839" t="s">
        <v>41</v>
      </c>
      <c r="E2839" t="s">
        <v>42</v>
      </c>
      <c r="F2839" t="s">
        <v>36</v>
      </c>
      <c r="G2839">
        <v>1.1000000000000001</v>
      </c>
      <c r="H2839">
        <v>0.6</v>
      </c>
      <c r="I2839" t="str" cm="1">
        <f t="array" ref="I2839">_xlfn.IFS(G2839&lt;3, "0–2 Years", G2839&lt;6, "3–5 Years", G2839&lt;9, "6–8 Years", G2839&lt;12, "9-11 Years", G2839&gt;=12, "12-14 Years")</f>
        <v>0–2 Years</v>
      </c>
      <c r="J2839">
        <v>3</v>
      </c>
      <c r="K2839" t="s">
        <v>20</v>
      </c>
      <c r="L2839">
        <v>70400</v>
      </c>
      <c r="M2839">
        <v>2400</v>
      </c>
      <c r="N2839">
        <v>72800</v>
      </c>
      <c r="O2839" t="s">
        <v>21</v>
      </c>
      <c r="P2839" s="3">
        <v>45618</v>
      </c>
      <c r="Q2839" t="s">
        <v>36</v>
      </c>
    </row>
    <row r="2840" spans="1:17" x14ac:dyDescent="0.35">
      <c r="A2840" t="s">
        <v>2892</v>
      </c>
      <c r="B2840" t="s">
        <v>23</v>
      </c>
      <c r="C2840">
        <v>39</v>
      </c>
      <c r="D2840" t="s">
        <v>17</v>
      </c>
      <c r="E2840" t="s">
        <v>32</v>
      </c>
      <c r="F2840" t="s">
        <v>28</v>
      </c>
      <c r="G2840">
        <v>10.3</v>
      </c>
      <c r="H2840">
        <v>4.5</v>
      </c>
      <c r="I2840" t="str" cm="1">
        <f t="array" ref="I2840">_xlfn.IFS(G2840&lt;3, "0–2 Years", G2840&lt;6, "3–5 Years", G2840&lt;9, "6–8 Years", G2840&lt;12, "9-11 Years", G2840&gt;=12, "12-14 Years")</f>
        <v>9-11 Years</v>
      </c>
      <c r="J2840">
        <v>3</v>
      </c>
      <c r="K2840" t="s">
        <v>24</v>
      </c>
      <c r="L2840">
        <v>41900</v>
      </c>
      <c r="M2840">
        <v>5300</v>
      </c>
      <c r="N2840">
        <v>47200</v>
      </c>
      <c r="O2840" t="s">
        <v>65</v>
      </c>
      <c r="P2840" s="3">
        <v>42246</v>
      </c>
      <c r="Q2840" t="s">
        <v>28</v>
      </c>
    </row>
    <row r="2841" spans="1:17" x14ac:dyDescent="0.35">
      <c r="A2841" t="s">
        <v>2893</v>
      </c>
      <c r="B2841" t="s">
        <v>16</v>
      </c>
      <c r="C2841">
        <v>36</v>
      </c>
      <c r="D2841" t="s">
        <v>17</v>
      </c>
      <c r="E2841" t="s">
        <v>27</v>
      </c>
      <c r="F2841" t="s">
        <v>28</v>
      </c>
      <c r="G2841">
        <v>4.8</v>
      </c>
      <c r="H2841">
        <v>3.3</v>
      </c>
      <c r="I2841" t="str" cm="1">
        <f t="array" ref="I2841">_xlfn.IFS(G2841&lt;3, "0–2 Years", G2841&lt;6, "3–5 Years", G2841&lt;9, "6–8 Years", G2841&lt;12, "9-11 Years", G2841&gt;=12, "12-14 Years")</f>
        <v>3–5 Years</v>
      </c>
      <c r="J2841">
        <v>1</v>
      </c>
      <c r="K2841" t="s">
        <v>20</v>
      </c>
      <c r="L2841">
        <v>80200</v>
      </c>
      <c r="M2841">
        <v>6000</v>
      </c>
      <c r="N2841">
        <v>86200</v>
      </c>
      <c r="O2841" t="s">
        <v>30</v>
      </c>
      <c r="P2841" s="3">
        <v>44273</v>
      </c>
      <c r="Q2841" t="s">
        <v>28</v>
      </c>
    </row>
    <row r="2842" spans="1:17" x14ac:dyDescent="0.35">
      <c r="A2842" t="s">
        <v>2894</v>
      </c>
      <c r="B2842" t="s">
        <v>23</v>
      </c>
      <c r="C2842">
        <v>25</v>
      </c>
      <c r="D2842" t="s">
        <v>55</v>
      </c>
      <c r="E2842" t="s">
        <v>56</v>
      </c>
      <c r="F2842" t="s">
        <v>62</v>
      </c>
      <c r="G2842">
        <v>3.6</v>
      </c>
      <c r="H2842">
        <v>3.2</v>
      </c>
      <c r="I2842" t="str" cm="1">
        <f t="array" ref="I2842">_xlfn.IFS(G2842&lt;3, "0–2 Years", G2842&lt;6, "3–5 Years", G2842&lt;9, "6–8 Years", G2842&lt;12, "9-11 Years", G2842&gt;=12, "12-14 Years")</f>
        <v>3–5 Years</v>
      </c>
      <c r="J2842">
        <v>5</v>
      </c>
      <c r="K2842" t="s">
        <v>20</v>
      </c>
      <c r="L2842">
        <v>101900</v>
      </c>
      <c r="M2842">
        <v>15700</v>
      </c>
      <c r="N2842">
        <v>117600</v>
      </c>
      <c r="O2842" t="s">
        <v>57</v>
      </c>
      <c r="P2842" s="3">
        <v>44703</v>
      </c>
      <c r="Q2842" t="s">
        <v>62</v>
      </c>
    </row>
    <row r="2843" spans="1:17" x14ac:dyDescent="0.35">
      <c r="A2843" t="s">
        <v>2895</v>
      </c>
      <c r="B2843" t="s">
        <v>16</v>
      </c>
      <c r="C2843">
        <v>26</v>
      </c>
      <c r="D2843" t="s">
        <v>38</v>
      </c>
      <c r="E2843" t="s">
        <v>61</v>
      </c>
      <c r="F2843" t="s">
        <v>28</v>
      </c>
      <c r="G2843">
        <v>5.8</v>
      </c>
      <c r="H2843">
        <v>5.3</v>
      </c>
      <c r="I2843" t="str" cm="1">
        <f t="array" ref="I2843">_xlfn.IFS(G2843&lt;3, "0–2 Years", G2843&lt;6, "3–5 Years", G2843&lt;9, "6–8 Years", G2843&lt;12, "9-11 Years", G2843&gt;=12, "12-14 Years")</f>
        <v>3–5 Years</v>
      </c>
      <c r="J2843">
        <v>1</v>
      </c>
      <c r="K2843" t="s">
        <v>20</v>
      </c>
      <c r="L2843">
        <v>114200</v>
      </c>
      <c r="M2843">
        <v>8400</v>
      </c>
      <c r="N2843">
        <v>122600</v>
      </c>
      <c r="O2843" t="s">
        <v>57</v>
      </c>
      <c r="P2843" s="3">
        <v>43889</v>
      </c>
      <c r="Q2843" t="s">
        <v>28</v>
      </c>
    </row>
    <row r="2844" spans="1:17" x14ac:dyDescent="0.35">
      <c r="A2844" t="s">
        <v>2896</v>
      </c>
      <c r="B2844" t="s">
        <v>16</v>
      </c>
      <c r="C2844">
        <v>51</v>
      </c>
      <c r="D2844" t="s">
        <v>55</v>
      </c>
      <c r="E2844" t="s">
        <v>56</v>
      </c>
      <c r="F2844" t="s">
        <v>36</v>
      </c>
      <c r="G2844">
        <v>9</v>
      </c>
      <c r="H2844">
        <v>6.7</v>
      </c>
      <c r="I2844" t="str" cm="1">
        <f t="array" ref="I2844">_xlfn.IFS(G2844&lt;3, "0–2 Years", G2844&lt;6, "3–5 Years", G2844&lt;9, "6–8 Years", G2844&lt;12, "9-11 Years", G2844&gt;=12, "12-14 Years")</f>
        <v>9-11 Years</v>
      </c>
      <c r="J2844">
        <v>3</v>
      </c>
      <c r="K2844" t="s">
        <v>20</v>
      </c>
      <c r="L2844">
        <v>118700</v>
      </c>
      <c r="M2844">
        <v>9300</v>
      </c>
      <c r="N2844">
        <v>128000</v>
      </c>
      <c r="O2844" t="s">
        <v>57</v>
      </c>
      <c r="P2844" s="3">
        <v>42754</v>
      </c>
      <c r="Q2844" t="s">
        <v>36</v>
      </c>
    </row>
    <row r="2845" spans="1:17" x14ac:dyDescent="0.35">
      <c r="A2845" t="s">
        <v>2897</v>
      </c>
      <c r="B2845" t="s">
        <v>16</v>
      </c>
      <c r="C2845">
        <v>32</v>
      </c>
      <c r="D2845" t="s">
        <v>34</v>
      </c>
      <c r="E2845" t="s">
        <v>35</v>
      </c>
      <c r="F2845" t="s">
        <v>36</v>
      </c>
      <c r="G2845">
        <v>5.9</v>
      </c>
      <c r="H2845">
        <v>4.0999999999999996</v>
      </c>
      <c r="I2845" t="str" cm="1">
        <f t="array" ref="I2845">_xlfn.IFS(G2845&lt;3, "0–2 Years", G2845&lt;6, "3–5 Years", G2845&lt;9, "6–8 Years", G2845&lt;12, "9-11 Years", G2845&gt;=12, "12-14 Years")</f>
        <v>3–5 Years</v>
      </c>
      <c r="J2845">
        <v>3</v>
      </c>
      <c r="K2845" t="s">
        <v>20</v>
      </c>
      <c r="L2845">
        <v>83300</v>
      </c>
      <c r="M2845">
        <v>7900</v>
      </c>
      <c r="N2845">
        <v>91200</v>
      </c>
      <c r="O2845" t="s">
        <v>30</v>
      </c>
      <c r="P2845" s="3">
        <v>43879</v>
      </c>
      <c r="Q2845" t="s">
        <v>36</v>
      </c>
    </row>
    <row r="2846" spans="1:17" x14ac:dyDescent="0.35">
      <c r="A2846" t="s">
        <v>2898</v>
      </c>
      <c r="B2846" t="s">
        <v>16</v>
      </c>
      <c r="C2846">
        <v>38</v>
      </c>
      <c r="D2846" t="s">
        <v>34</v>
      </c>
      <c r="E2846" t="s">
        <v>47</v>
      </c>
      <c r="F2846" t="s">
        <v>28</v>
      </c>
      <c r="G2846">
        <v>10.3</v>
      </c>
      <c r="H2846">
        <v>9.1</v>
      </c>
      <c r="I2846" t="str" cm="1">
        <f t="array" ref="I2846">_xlfn.IFS(G2846&lt;3, "0–2 Years", G2846&lt;6, "3–5 Years", G2846&lt;9, "6–8 Years", G2846&lt;12, "9-11 Years", G2846&gt;=12, "12-14 Years")</f>
        <v>9-11 Years</v>
      </c>
      <c r="J2846">
        <v>3</v>
      </c>
      <c r="K2846" t="s">
        <v>20</v>
      </c>
      <c r="L2846">
        <v>84100</v>
      </c>
      <c r="M2846">
        <v>8100</v>
      </c>
      <c r="N2846">
        <v>92200</v>
      </c>
      <c r="O2846" t="s">
        <v>30</v>
      </c>
      <c r="P2846" s="3">
        <v>42255</v>
      </c>
      <c r="Q2846" t="s">
        <v>28</v>
      </c>
    </row>
    <row r="2847" spans="1:17" x14ac:dyDescent="0.35">
      <c r="A2847" t="s">
        <v>2899</v>
      </c>
      <c r="B2847" t="s">
        <v>23</v>
      </c>
      <c r="C2847">
        <v>39</v>
      </c>
      <c r="D2847" t="s">
        <v>55</v>
      </c>
      <c r="E2847" t="s">
        <v>92</v>
      </c>
      <c r="F2847" t="s">
        <v>36</v>
      </c>
      <c r="G2847">
        <v>7</v>
      </c>
      <c r="H2847">
        <v>5.6</v>
      </c>
      <c r="I2847" t="str" cm="1">
        <f t="array" ref="I2847">_xlfn.IFS(G2847&lt;3, "0–2 Years", G2847&lt;6, "3–5 Years", G2847&lt;9, "6–8 Years", G2847&lt;12, "9-11 Years", G2847&gt;=12, "12-14 Years")</f>
        <v>6–8 Years</v>
      </c>
      <c r="J2847">
        <v>4</v>
      </c>
      <c r="K2847" t="s">
        <v>20</v>
      </c>
      <c r="L2847">
        <v>112800</v>
      </c>
      <c r="M2847">
        <v>17600</v>
      </c>
      <c r="N2847">
        <v>130400</v>
      </c>
      <c r="O2847" t="s">
        <v>57</v>
      </c>
      <c r="P2847" s="3">
        <v>43456</v>
      </c>
      <c r="Q2847" t="s">
        <v>36</v>
      </c>
    </row>
    <row r="2848" spans="1:17" x14ac:dyDescent="0.35">
      <c r="A2848" t="s">
        <v>2900</v>
      </c>
      <c r="B2848" t="s">
        <v>16</v>
      </c>
      <c r="C2848">
        <v>36</v>
      </c>
      <c r="D2848" t="s">
        <v>34</v>
      </c>
      <c r="E2848" t="s">
        <v>47</v>
      </c>
      <c r="F2848" t="s">
        <v>36</v>
      </c>
      <c r="G2848">
        <v>11</v>
      </c>
      <c r="H2848">
        <v>7.4</v>
      </c>
      <c r="I2848" t="str" cm="1">
        <f t="array" ref="I2848">_xlfn.IFS(G2848&lt;3, "0–2 Years", G2848&lt;6, "3–5 Years", G2848&lt;9, "6–8 Years", G2848&lt;12, "9-11 Years", G2848&gt;=12, "12-14 Years")</f>
        <v>9-11 Years</v>
      </c>
      <c r="J2848">
        <v>3</v>
      </c>
      <c r="K2848" t="s">
        <v>20</v>
      </c>
      <c r="L2848">
        <v>88100</v>
      </c>
      <c r="M2848">
        <v>6200</v>
      </c>
      <c r="N2848">
        <v>94300</v>
      </c>
      <c r="O2848" t="s">
        <v>30</v>
      </c>
      <c r="P2848" s="3">
        <v>42022</v>
      </c>
      <c r="Q2848" t="s">
        <v>36</v>
      </c>
    </row>
    <row r="2849" spans="1:17" x14ac:dyDescent="0.35">
      <c r="A2849" t="s">
        <v>2901</v>
      </c>
      <c r="B2849" t="s">
        <v>16</v>
      </c>
      <c r="C2849">
        <v>22</v>
      </c>
      <c r="D2849" t="s">
        <v>38</v>
      </c>
      <c r="E2849" t="s">
        <v>61</v>
      </c>
      <c r="F2849" t="s">
        <v>62</v>
      </c>
      <c r="G2849">
        <v>9.4</v>
      </c>
      <c r="H2849">
        <v>6.2</v>
      </c>
      <c r="I2849" t="str" cm="1">
        <f t="array" ref="I2849">_xlfn.IFS(G2849&lt;3, "0–2 Years", G2849&lt;6, "3–5 Years", G2849&lt;9, "6–8 Years", G2849&lt;12, "9-11 Years", G2849&gt;=12, "12-14 Years")</f>
        <v>9-11 Years</v>
      </c>
      <c r="J2849">
        <v>3</v>
      </c>
      <c r="K2849" t="s">
        <v>20</v>
      </c>
      <c r="L2849">
        <v>125600</v>
      </c>
      <c r="M2849">
        <v>6900</v>
      </c>
      <c r="N2849">
        <v>132500</v>
      </c>
      <c r="O2849" t="s">
        <v>57</v>
      </c>
      <c r="P2849" s="3">
        <v>42574</v>
      </c>
      <c r="Q2849" t="s">
        <v>62</v>
      </c>
    </row>
    <row r="2850" spans="1:17" x14ac:dyDescent="0.35">
      <c r="A2850" t="s">
        <v>2902</v>
      </c>
      <c r="B2850" t="s">
        <v>23</v>
      </c>
      <c r="C2850">
        <v>38</v>
      </c>
      <c r="D2850" t="s">
        <v>55</v>
      </c>
      <c r="E2850" t="s">
        <v>56</v>
      </c>
      <c r="F2850" t="s">
        <v>36</v>
      </c>
      <c r="G2850">
        <v>10.4</v>
      </c>
      <c r="H2850">
        <v>7.7</v>
      </c>
      <c r="I2850" t="str" cm="1">
        <f t="array" ref="I2850">_xlfn.IFS(G2850&lt;3, "0–2 Years", G2850&lt;6, "3–5 Years", G2850&lt;9, "6–8 Years", G2850&lt;12, "9-11 Years", G2850&gt;=12, "12-14 Years")</f>
        <v>9-11 Years</v>
      </c>
      <c r="J2850">
        <v>4</v>
      </c>
      <c r="K2850" t="s">
        <v>20</v>
      </c>
      <c r="L2850">
        <v>102300</v>
      </c>
      <c r="M2850">
        <v>14000</v>
      </c>
      <c r="N2850">
        <v>116300</v>
      </c>
      <c r="O2850" t="s">
        <v>57</v>
      </c>
      <c r="P2850" s="3">
        <v>42217</v>
      </c>
      <c r="Q2850" t="s">
        <v>36</v>
      </c>
    </row>
    <row r="2851" spans="1:17" x14ac:dyDescent="0.35">
      <c r="A2851" t="s">
        <v>2903</v>
      </c>
      <c r="B2851" t="s">
        <v>16</v>
      </c>
      <c r="C2851" s="7">
        <v>33</v>
      </c>
      <c r="D2851" t="s">
        <v>44</v>
      </c>
      <c r="E2851" t="s">
        <v>81</v>
      </c>
      <c r="F2851" t="s">
        <v>62</v>
      </c>
      <c r="G2851" s="9">
        <v>13.1</v>
      </c>
      <c r="H2851" s="7">
        <v>7.1</v>
      </c>
      <c r="I2851" t="str" cm="1">
        <f t="array" ref="I2851">_xlfn.IFS(G2851&lt;3, "0–2 Years", G2851&lt;6, "3–5 Years", G2851&lt;9, "6–8 Years", G2851&lt;12, "9-11 Years", G2851&gt;=12, "12-14 Years")</f>
        <v>12-14 Years</v>
      </c>
      <c r="J2851" s="7">
        <v>4</v>
      </c>
      <c r="K2851" t="s">
        <v>20</v>
      </c>
      <c r="L2851" s="7">
        <v>111400</v>
      </c>
      <c r="M2851" s="7">
        <v>15500</v>
      </c>
      <c r="N2851" s="7">
        <v>126900</v>
      </c>
      <c r="O2851" t="s">
        <v>57</v>
      </c>
      <c r="P2851" s="3">
        <v>41240</v>
      </c>
      <c r="Q2851" t="s">
        <v>62</v>
      </c>
    </row>
    <row r="2852" spans="1:17" x14ac:dyDescent="0.35">
      <c r="A2852" t="s">
        <v>2904</v>
      </c>
      <c r="B2852" t="s">
        <v>16</v>
      </c>
      <c r="C2852">
        <v>48</v>
      </c>
      <c r="D2852" t="s">
        <v>38</v>
      </c>
      <c r="E2852" t="s">
        <v>39</v>
      </c>
      <c r="F2852" t="s">
        <v>28</v>
      </c>
      <c r="G2852">
        <v>7.8</v>
      </c>
      <c r="H2852">
        <v>6.2</v>
      </c>
      <c r="I2852" t="str" cm="1">
        <f t="array" ref="I2852">_xlfn.IFS(G2852&lt;3, "0–2 Years", G2852&lt;6, "3–5 Years", G2852&lt;9, "6–8 Years", G2852&lt;12, "9-11 Years", G2852&gt;=12, "12-14 Years")</f>
        <v>6–8 Years</v>
      </c>
      <c r="J2852">
        <v>2</v>
      </c>
      <c r="K2852" t="s">
        <v>20</v>
      </c>
      <c r="L2852">
        <v>74600</v>
      </c>
      <c r="M2852">
        <v>4400</v>
      </c>
      <c r="N2852">
        <v>79000</v>
      </c>
      <c r="O2852" t="s">
        <v>21</v>
      </c>
      <c r="P2852" s="3">
        <v>43178</v>
      </c>
      <c r="Q2852" t="s">
        <v>28</v>
      </c>
    </row>
    <row r="2853" spans="1:17" x14ac:dyDescent="0.35">
      <c r="A2853" t="s">
        <v>2905</v>
      </c>
      <c r="B2853" t="s">
        <v>23</v>
      </c>
      <c r="C2853">
        <v>33</v>
      </c>
      <c r="D2853" t="s">
        <v>34</v>
      </c>
      <c r="E2853" t="s">
        <v>47</v>
      </c>
      <c r="F2853" t="s">
        <v>28</v>
      </c>
      <c r="G2853">
        <v>10</v>
      </c>
      <c r="H2853">
        <v>8.6999999999999993</v>
      </c>
      <c r="I2853" t="str" cm="1">
        <f t="array" ref="I2853">_xlfn.IFS(G2853&lt;3, "0–2 Years", G2853&lt;6, "3–5 Years", G2853&lt;9, "6–8 Years", G2853&lt;12, "9-11 Years", G2853&gt;=12, "12-14 Years")</f>
        <v>9-11 Years</v>
      </c>
      <c r="J2853">
        <v>4</v>
      </c>
      <c r="K2853" t="s">
        <v>20</v>
      </c>
      <c r="L2853">
        <v>87300</v>
      </c>
      <c r="M2853">
        <v>7800</v>
      </c>
      <c r="N2853">
        <v>95100</v>
      </c>
      <c r="O2853" t="s">
        <v>30</v>
      </c>
      <c r="P2853" s="3">
        <v>42362</v>
      </c>
      <c r="Q2853" t="s">
        <v>28</v>
      </c>
    </row>
    <row r="2854" spans="1:17" x14ac:dyDescent="0.35">
      <c r="A2854" t="s">
        <v>2906</v>
      </c>
      <c r="B2854" t="s">
        <v>23</v>
      </c>
      <c r="C2854">
        <v>31</v>
      </c>
      <c r="D2854" t="s">
        <v>55</v>
      </c>
      <c r="E2854" t="s">
        <v>79</v>
      </c>
      <c r="F2854" t="s">
        <v>19</v>
      </c>
      <c r="G2854">
        <v>2.2999999999999998</v>
      </c>
      <c r="H2854">
        <v>0</v>
      </c>
      <c r="I2854" t="str" cm="1">
        <f t="array" ref="I2854">_xlfn.IFS(G2854&lt;3, "0–2 Years", G2854&lt;6, "3–5 Years", G2854&lt;9, "6–8 Years", G2854&lt;12, "9-11 Years", G2854&gt;=12, "12-14 Years")</f>
        <v>0–2 Years</v>
      </c>
      <c r="J2854">
        <v>4</v>
      </c>
      <c r="K2854" t="s">
        <v>20</v>
      </c>
      <c r="L2854">
        <v>56500</v>
      </c>
      <c r="M2854">
        <v>6400</v>
      </c>
      <c r="N2854">
        <v>62900</v>
      </c>
      <c r="O2854" t="s">
        <v>25</v>
      </c>
      <c r="P2854" s="3">
        <v>45170</v>
      </c>
      <c r="Q2854" t="s">
        <v>19</v>
      </c>
    </row>
    <row r="2855" spans="1:17" x14ac:dyDescent="0.35">
      <c r="A2855" t="s">
        <v>2907</v>
      </c>
      <c r="B2855" t="s">
        <v>23</v>
      </c>
      <c r="C2855">
        <v>45</v>
      </c>
      <c r="D2855" t="s">
        <v>55</v>
      </c>
      <c r="E2855" t="s">
        <v>79</v>
      </c>
      <c r="F2855" t="s">
        <v>62</v>
      </c>
      <c r="G2855">
        <v>9</v>
      </c>
      <c r="H2855">
        <v>4.4000000000000004</v>
      </c>
      <c r="I2855" t="str" cm="1">
        <f t="array" ref="I2855">_xlfn.IFS(G2855&lt;3, "0–2 Years", G2855&lt;6, "3–5 Years", G2855&lt;9, "6–8 Years", G2855&lt;12, "9-11 Years", G2855&gt;=12, "12-14 Years")</f>
        <v>9-11 Years</v>
      </c>
      <c r="J2855">
        <v>2</v>
      </c>
      <c r="K2855" t="s">
        <v>20</v>
      </c>
      <c r="L2855">
        <v>72100</v>
      </c>
      <c r="M2855">
        <v>10800</v>
      </c>
      <c r="N2855">
        <v>82900</v>
      </c>
      <c r="O2855" t="s">
        <v>21</v>
      </c>
      <c r="P2855" s="3">
        <v>42727</v>
      </c>
      <c r="Q2855" t="s">
        <v>62</v>
      </c>
    </row>
    <row r="2856" spans="1:17" x14ac:dyDescent="0.35">
      <c r="A2856" t="s">
        <v>2908</v>
      </c>
      <c r="B2856" t="s">
        <v>16</v>
      </c>
      <c r="C2856" s="7">
        <v>30</v>
      </c>
      <c r="D2856" t="s">
        <v>38</v>
      </c>
      <c r="E2856" t="s">
        <v>61</v>
      </c>
      <c r="F2856" t="s">
        <v>28</v>
      </c>
      <c r="G2856" s="9">
        <v>13.7</v>
      </c>
      <c r="H2856" s="7">
        <v>8.8000000000000007</v>
      </c>
      <c r="I2856" t="str" cm="1">
        <f t="array" ref="I2856">_xlfn.IFS(G2856&lt;3, "0–2 Years", G2856&lt;6, "3–5 Years", G2856&lt;9, "6–8 Years", G2856&lt;12, "9-11 Years", G2856&gt;=12, "12-14 Years")</f>
        <v>12-14 Years</v>
      </c>
      <c r="J2856" s="7">
        <v>3</v>
      </c>
      <c r="K2856" t="s">
        <v>20</v>
      </c>
      <c r="L2856" s="7">
        <v>108900</v>
      </c>
      <c r="M2856" s="7">
        <v>4300</v>
      </c>
      <c r="N2856" s="7">
        <v>113200</v>
      </c>
      <c r="O2856" t="s">
        <v>57</v>
      </c>
      <c r="P2856" s="3">
        <v>41001</v>
      </c>
      <c r="Q2856" t="s">
        <v>28</v>
      </c>
    </row>
    <row r="2857" spans="1:17" x14ac:dyDescent="0.35">
      <c r="A2857" t="s">
        <v>2909</v>
      </c>
      <c r="B2857" t="s">
        <v>16</v>
      </c>
      <c r="C2857">
        <v>24</v>
      </c>
      <c r="D2857" t="s">
        <v>55</v>
      </c>
      <c r="E2857" t="s">
        <v>92</v>
      </c>
      <c r="F2857" t="s">
        <v>28</v>
      </c>
      <c r="G2857">
        <v>5.6</v>
      </c>
      <c r="H2857">
        <v>5</v>
      </c>
      <c r="I2857" t="str" cm="1">
        <f t="array" ref="I2857">_xlfn.IFS(G2857&lt;3, "0–2 Years", G2857&lt;6, "3–5 Years", G2857&lt;9, "6–8 Years", G2857&lt;12, "9-11 Years", G2857&gt;=12, "12-14 Years")</f>
        <v>3–5 Years</v>
      </c>
      <c r="J2857">
        <v>3</v>
      </c>
      <c r="K2857" t="s">
        <v>20</v>
      </c>
      <c r="L2857">
        <v>101700</v>
      </c>
      <c r="M2857">
        <v>19000</v>
      </c>
      <c r="N2857">
        <v>120700</v>
      </c>
      <c r="O2857" t="s">
        <v>57</v>
      </c>
      <c r="P2857" s="3">
        <v>43977</v>
      </c>
      <c r="Q2857" t="s">
        <v>28</v>
      </c>
    </row>
    <row r="2858" spans="1:17" x14ac:dyDescent="0.35">
      <c r="A2858" t="s">
        <v>2910</v>
      </c>
      <c r="B2858" t="s">
        <v>23</v>
      </c>
      <c r="C2858">
        <v>29</v>
      </c>
      <c r="D2858" t="s">
        <v>34</v>
      </c>
      <c r="E2858" t="s">
        <v>47</v>
      </c>
      <c r="F2858" t="s">
        <v>36</v>
      </c>
      <c r="G2858">
        <v>6.3</v>
      </c>
      <c r="H2858">
        <v>3.2</v>
      </c>
      <c r="I2858" t="str" cm="1">
        <f t="array" ref="I2858">_xlfn.IFS(G2858&lt;3, "0–2 Years", G2858&lt;6, "3–5 Years", G2858&lt;9, "6–8 Years", G2858&lt;12, "9-11 Years", G2858&gt;=12, "12-14 Years")</f>
        <v>6–8 Years</v>
      </c>
      <c r="J2858">
        <v>3</v>
      </c>
      <c r="K2858" t="s">
        <v>20</v>
      </c>
      <c r="L2858">
        <v>82900</v>
      </c>
      <c r="M2858">
        <v>8700</v>
      </c>
      <c r="N2858">
        <v>91600</v>
      </c>
      <c r="O2858" t="s">
        <v>30</v>
      </c>
      <c r="P2858" s="3">
        <v>43732</v>
      </c>
      <c r="Q2858" t="s">
        <v>36</v>
      </c>
    </row>
    <row r="2859" spans="1:17" x14ac:dyDescent="0.35">
      <c r="A2859" t="s">
        <v>2911</v>
      </c>
      <c r="B2859" t="s">
        <v>23</v>
      </c>
      <c r="C2859">
        <v>33</v>
      </c>
      <c r="D2859" t="s">
        <v>55</v>
      </c>
      <c r="E2859" t="s">
        <v>79</v>
      </c>
      <c r="F2859" t="s">
        <v>28</v>
      </c>
      <c r="G2859">
        <v>5.9</v>
      </c>
      <c r="H2859">
        <v>5.5</v>
      </c>
      <c r="I2859" t="str" cm="1">
        <f t="array" ref="I2859">_xlfn.IFS(G2859&lt;3, "0–2 Years", G2859&lt;6, "3–5 Years", G2859&lt;9, "6–8 Years", G2859&lt;12, "9-11 Years", G2859&gt;=12, "12-14 Years")</f>
        <v>3–5 Years</v>
      </c>
      <c r="J2859">
        <v>3</v>
      </c>
      <c r="K2859" t="s">
        <v>20</v>
      </c>
      <c r="L2859">
        <v>57800</v>
      </c>
      <c r="M2859">
        <v>5000</v>
      </c>
      <c r="N2859">
        <v>62800</v>
      </c>
      <c r="O2859" t="s">
        <v>25</v>
      </c>
      <c r="P2859" s="3">
        <v>43869</v>
      </c>
      <c r="Q2859" t="s">
        <v>28</v>
      </c>
    </row>
    <row r="2860" spans="1:17" x14ac:dyDescent="0.35">
      <c r="A2860" t="s">
        <v>2912</v>
      </c>
      <c r="B2860" t="s">
        <v>23</v>
      </c>
      <c r="C2860" s="7">
        <v>38</v>
      </c>
      <c r="D2860" t="s">
        <v>38</v>
      </c>
      <c r="E2860" t="s">
        <v>112</v>
      </c>
      <c r="F2860" t="s">
        <v>19</v>
      </c>
      <c r="G2860" s="9">
        <v>12.6</v>
      </c>
      <c r="H2860" s="7">
        <v>9.3000000000000007</v>
      </c>
      <c r="I2860" t="str" cm="1">
        <f t="array" ref="I2860">_xlfn.IFS(G2860&lt;3, "0–2 Years", G2860&lt;6, "3–5 Years", G2860&lt;9, "6–8 Years", G2860&lt;12, "9-11 Years", G2860&gt;=12, "12-14 Years")</f>
        <v>12-14 Years</v>
      </c>
      <c r="J2860" s="7">
        <v>1</v>
      </c>
      <c r="K2860" t="s">
        <v>20</v>
      </c>
      <c r="L2860" s="7">
        <v>61400</v>
      </c>
      <c r="M2860" s="7">
        <v>3900</v>
      </c>
      <c r="N2860" s="7">
        <v>65300</v>
      </c>
      <c r="O2860" t="s">
        <v>25</v>
      </c>
      <c r="P2860" s="3">
        <v>41431</v>
      </c>
      <c r="Q2860" t="s">
        <v>19</v>
      </c>
    </row>
    <row r="2861" spans="1:17" x14ac:dyDescent="0.35">
      <c r="A2861" t="s">
        <v>2913</v>
      </c>
      <c r="B2861" t="s">
        <v>16</v>
      </c>
      <c r="C2861">
        <v>42</v>
      </c>
      <c r="D2861" t="s">
        <v>17</v>
      </c>
      <c r="E2861" t="s">
        <v>27</v>
      </c>
      <c r="F2861" t="s">
        <v>28</v>
      </c>
      <c r="G2861">
        <v>7.5</v>
      </c>
      <c r="H2861">
        <v>5.5</v>
      </c>
      <c r="I2861" t="str" cm="1">
        <f t="array" ref="I2861">_xlfn.IFS(G2861&lt;3, "0–2 Years", G2861&lt;6, "3–5 Years", G2861&lt;9, "6–8 Years", G2861&lt;12, "9-11 Years", G2861&gt;=12, "12-14 Years")</f>
        <v>6–8 Years</v>
      </c>
      <c r="J2861">
        <v>3</v>
      </c>
      <c r="K2861" t="s">
        <v>20</v>
      </c>
      <c r="L2861">
        <v>71300</v>
      </c>
      <c r="M2861">
        <v>4300</v>
      </c>
      <c r="N2861">
        <v>75600</v>
      </c>
      <c r="O2861" t="s">
        <v>21</v>
      </c>
      <c r="P2861" s="3">
        <v>43283</v>
      </c>
      <c r="Q2861" t="s">
        <v>28</v>
      </c>
    </row>
    <row r="2862" spans="1:17" x14ac:dyDescent="0.35">
      <c r="A2862" t="s">
        <v>2914</v>
      </c>
      <c r="B2862" t="s">
        <v>16</v>
      </c>
      <c r="C2862">
        <v>38</v>
      </c>
      <c r="D2862" t="s">
        <v>17</v>
      </c>
      <c r="E2862" t="s">
        <v>27</v>
      </c>
      <c r="F2862" t="s">
        <v>36</v>
      </c>
      <c r="G2862">
        <v>11.4</v>
      </c>
      <c r="H2862">
        <v>5.9</v>
      </c>
      <c r="I2862" t="str" cm="1">
        <f t="array" ref="I2862">_xlfn.IFS(G2862&lt;3, "0–2 Years", G2862&lt;6, "3–5 Years", G2862&lt;9, "6–8 Years", G2862&lt;12, "9-11 Years", G2862&gt;=12, "12-14 Years")</f>
        <v>9-11 Years</v>
      </c>
      <c r="J2862">
        <v>3</v>
      </c>
      <c r="K2862" t="s">
        <v>20</v>
      </c>
      <c r="L2862">
        <v>77800</v>
      </c>
      <c r="M2862">
        <v>3800</v>
      </c>
      <c r="N2862">
        <v>81600</v>
      </c>
      <c r="O2862" t="s">
        <v>21</v>
      </c>
      <c r="P2862" s="3">
        <v>41858</v>
      </c>
      <c r="Q2862" t="s">
        <v>36</v>
      </c>
    </row>
    <row r="2863" spans="1:17" x14ac:dyDescent="0.35">
      <c r="A2863" t="s">
        <v>2915</v>
      </c>
      <c r="B2863" t="s">
        <v>23</v>
      </c>
      <c r="C2863">
        <v>37</v>
      </c>
      <c r="D2863" t="s">
        <v>44</v>
      </c>
      <c r="E2863" t="s">
        <v>81</v>
      </c>
      <c r="F2863" t="s">
        <v>36</v>
      </c>
      <c r="G2863">
        <v>4.2</v>
      </c>
      <c r="H2863">
        <v>1.8</v>
      </c>
      <c r="I2863" t="str" cm="1">
        <f t="array" ref="I2863">_xlfn.IFS(G2863&lt;3, "0–2 Years", G2863&lt;6, "3–5 Years", G2863&lt;9, "6–8 Years", G2863&lt;12, "9-11 Years", G2863&gt;=12, "12-14 Years")</f>
        <v>3–5 Years</v>
      </c>
      <c r="J2863">
        <v>4</v>
      </c>
      <c r="K2863" t="s">
        <v>20</v>
      </c>
      <c r="L2863">
        <v>91500</v>
      </c>
      <c r="M2863">
        <v>9200</v>
      </c>
      <c r="N2863">
        <v>100700</v>
      </c>
      <c r="O2863" t="s">
        <v>30</v>
      </c>
      <c r="P2863" s="3">
        <v>44473</v>
      </c>
      <c r="Q2863" t="s">
        <v>36</v>
      </c>
    </row>
    <row r="2864" spans="1:17" x14ac:dyDescent="0.35">
      <c r="A2864" t="s">
        <v>2916</v>
      </c>
      <c r="B2864" t="s">
        <v>16</v>
      </c>
      <c r="C2864">
        <v>30</v>
      </c>
      <c r="D2864" t="s">
        <v>38</v>
      </c>
      <c r="E2864" t="s">
        <v>61</v>
      </c>
      <c r="F2864" t="s">
        <v>28</v>
      </c>
      <c r="G2864">
        <v>10</v>
      </c>
      <c r="H2864">
        <v>7</v>
      </c>
      <c r="I2864" t="str" cm="1">
        <f t="array" ref="I2864">_xlfn.IFS(G2864&lt;3, "0–2 Years", G2864&lt;6, "3–5 Years", G2864&lt;9, "6–8 Years", G2864&lt;12, "9-11 Years", G2864&gt;=12, "12-14 Years")</f>
        <v>9-11 Years</v>
      </c>
      <c r="J2864">
        <v>3</v>
      </c>
      <c r="K2864" t="s">
        <v>20</v>
      </c>
      <c r="L2864">
        <v>101600</v>
      </c>
      <c r="M2864">
        <v>5100</v>
      </c>
      <c r="N2864">
        <v>106700</v>
      </c>
      <c r="O2864" t="s">
        <v>57</v>
      </c>
      <c r="P2864" s="3">
        <v>42354</v>
      </c>
      <c r="Q2864" t="s">
        <v>28</v>
      </c>
    </row>
    <row r="2865" spans="1:17" x14ac:dyDescent="0.35">
      <c r="A2865" t="s">
        <v>2917</v>
      </c>
      <c r="B2865" t="s">
        <v>16</v>
      </c>
      <c r="C2865">
        <v>50</v>
      </c>
      <c r="D2865" t="s">
        <v>17</v>
      </c>
      <c r="E2865" t="s">
        <v>32</v>
      </c>
      <c r="F2865" t="s">
        <v>36</v>
      </c>
      <c r="G2865">
        <v>1.8</v>
      </c>
      <c r="H2865">
        <v>1.8</v>
      </c>
      <c r="I2865" t="str" cm="1">
        <f t="array" ref="I2865">_xlfn.IFS(G2865&lt;3, "0–2 Years", G2865&lt;6, "3–5 Years", G2865&lt;9, "6–8 Years", G2865&lt;12, "9-11 Years", G2865&gt;=12, "12-14 Years")</f>
        <v>0–2 Years</v>
      </c>
      <c r="J2865">
        <v>3</v>
      </c>
      <c r="K2865" t="s">
        <v>69</v>
      </c>
      <c r="L2865">
        <v>51000</v>
      </c>
      <c r="M2865">
        <v>5400</v>
      </c>
      <c r="N2865">
        <v>56400</v>
      </c>
      <c r="O2865" t="s">
        <v>25</v>
      </c>
      <c r="P2865" s="3">
        <v>45351</v>
      </c>
      <c r="Q2865" t="s">
        <v>36</v>
      </c>
    </row>
    <row r="2866" spans="1:17" x14ac:dyDescent="0.35">
      <c r="A2866" t="s">
        <v>2918</v>
      </c>
      <c r="B2866" t="s">
        <v>16</v>
      </c>
      <c r="C2866">
        <v>21</v>
      </c>
      <c r="D2866" t="s">
        <v>34</v>
      </c>
      <c r="E2866" t="s">
        <v>47</v>
      </c>
      <c r="F2866" t="s">
        <v>28</v>
      </c>
      <c r="G2866">
        <v>3.7</v>
      </c>
      <c r="H2866">
        <v>2.1</v>
      </c>
      <c r="I2866" t="str" cm="1">
        <f t="array" ref="I2866">_xlfn.IFS(G2866&lt;3, "0–2 Years", G2866&lt;6, "3–5 Years", G2866&lt;9, "6–8 Years", G2866&lt;12, "9-11 Years", G2866&gt;=12, "12-14 Years")</f>
        <v>3–5 Years</v>
      </c>
      <c r="J2866">
        <v>3</v>
      </c>
      <c r="K2866" t="s">
        <v>20</v>
      </c>
      <c r="L2866">
        <v>67800</v>
      </c>
      <c r="M2866">
        <v>7200</v>
      </c>
      <c r="N2866">
        <v>75000</v>
      </c>
      <c r="O2866" t="s">
        <v>21</v>
      </c>
      <c r="P2866" s="3">
        <v>44667</v>
      </c>
      <c r="Q2866" t="s">
        <v>28</v>
      </c>
    </row>
    <row r="2867" spans="1:17" x14ac:dyDescent="0.35">
      <c r="A2867" t="s">
        <v>2919</v>
      </c>
      <c r="B2867" t="s">
        <v>16</v>
      </c>
      <c r="C2867">
        <v>26</v>
      </c>
      <c r="D2867" t="s">
        <v>44</v>
      </c>
      <c r="E2867" t="s">
        <v>81</v>
      </c>
      <c r="F2867" t="s">
        <v>36</v>
      </c>
      <c r="G2867">
        <v>6</v>
      </c>
      <c r="H2867">
        <v>4.0999999999999996</v>
      </c>
      <c r="I2867" t="str" cm="1">
        <f t="array" ref="I2867">_xlfn.IFS(G2867&lt;3, "0–2 Years", G2867&lt;6, "3–5 Years", G2867&lt;9, "6–8 Years", G2867&lt;12, "9-11 Years", G2867&gt;=12, "12-14 Years")</f>
        <v>6–8 Years</v>
      </c>
      <c r="J2867">
        <v>3</v>
      </c>
      <c r="K2867" t="s">
        <v>20</v>
      </c>
      <c r="L2867">
        <v>105500</v>
      </c>
      <c r="M2867">
        <v>14700</v>
      </c>
      <c r="N2867">
        <v>120200</v>
      </c>
      <c r="O2867" t="s">
        <v>57</v>
      </c>
      <c r="P2867" s="3">
        <v>43848</v>
      </c>
      <c r="Q2867" t="s">
        <v>36</v>
      </c>
    </row>
    <row r="2868" spans="1:17" x14ac:dyDescent="0.35">
      <c r="A2868" t="s">
        <v>2920</v>
      </c>
      <c r="B2868" t="s">
        <v>16</v>
      </c>
      <c r="C2868">
        <v>41</v>
      </c>
      <c r="D2868" t="s">
        <v>38</v>
      </c>
      <c r="E2868" t="s">
        <v>112</v>
      </c>
      <c r="F2868" t="s">
        <v>36</v>
      </c>
      <c r="G2868">
        <v>9.4</v>
      </c>
      <c r="H2868">
        <v>7.7</v>
      </c>
      <c r="I2868" t="str" cm="1">
        <f t="array" ref="I2868">_xlfn.IFS(G2868&lt;3, "0–2 Years", G2868&lt;6, "3–5 Years", G2868&lt;9, "6–8 Years", G2868&lt;12, "9-11 Years", G2868&gt;=12, "12-14 Years")</f>
        <v>9-11 Years</v>
      </c>
      <c r="J2868">
        <v>2</v>
      </c>
      <c r="K2868" t="s">
        <v>69</v>
      </c>
      <c r="L2868">
        <v>62400</v>
      </c>
      <c r="M2868">
        <v>4300</v>
      </c>
      <c r="N2868">
        <v>66700</v>
      </c>
      <c r="O2868" t="s">
        <v>25</v>
      </c>
      <c r="P2868" s="3">
        <v>42605</v>
      </c>
      <c r="Q2868" t="s">
        <v>36</v>
      </c>
    </row>
    <row r="2869" spans="1:17" x14ac:dyDescent="0.35">
      <c r="A2869" t="s">
        <v>2921</v>
      </c>
      <c r="B2869" t="s">
        <v>23</v>
      </c>
      <c r="C2869">
        <v>29</v>
      </c>
      <c r="D2869" t="s">
        <v>41</v>
      </c>
      <c r="E2869" t="s">
        <v>67</v>
      </c>
      <c r="F2869" t="s">
        <v>28</v>
      </c>
      <c r="G2869">
        <v>1.9</v>
      </c>
      <c r="H2869">
        <v>0.8</v>
      </c>
      <c r="I2869" t="str" cm="1">
        <f t="array" ref="I2869">_xlfn.IFS(G2869&lt;3, "0–2 Years", G2869&lt;6, "3–5 Years", G2869&lt;9, "6–8 Years", G2869&lt;12, "9-11 Years", G2869&gt;=12, "12-14 Years")</f>
        <v>0–2 Years</v>
      </c>
      <c r="J2869">
        <v>3</v>
      </c>
      <c r="K2869" t="s">
        <v>20</v>
      </c>
      <c r="L2869">
        <v>62700</v>
      </c>
      <c r="M2869">
        <v>4400</v>
      </c>
      <c r="N2869">
        <v>67100</v>
      </c>
      <c r="O2869" t="s">
        <v>25</v>
      </c>
      <c r="P2869" s="3">
        <v>45339</v>
      </c>
      <c r="Q2869" t="s">
        <v>28</v>
      </c>
    </row>
    <row r="2870" spans="1:17" x14ac:dyDescent="0.35">
      <c r="A2870" t="s">
        <v>2922</v>
      </c>
      <c r="B2870" t="s">
        <v>23</v>
      </c>
      <c r="C2870">
        <v>41</v>
      </c>
      <c r="D2870" t="s">
        <v>41</v>
      </c>
      <c r="E2870" t="s">
        <v>73</v>
      </c>
      <c r="F2870" t="s">
        <v>36</v>
      </c>
      <c r="G2870">
        <v>4.3</v>
      </c>
      <c r="H2870">
        <v>2.2000000000000002</v>
      </c>
      <c r="I2870" t="str" cm="1">
        <f t="array" ref="I2870">_xlfn.IFS(G2870&lt;3, "0–2 Years", G2870&lt;6, "3–5 Years", G2870&lt;9, "6–8 Years", G2870&lt;12, "9-11 Years", G2870&gt;=12, "12-14 Years")</f>
        <v>3–5 Years</v>
      </c>
      <c r="J2870">
        <v>3</v>
      </c>
      <c r="K2870" t="s">
        <v>20</v>
      </c>
      <c r="L2870">
        <v>101000</v>
      </c>
      <c r="M2870">
        <v>5200</v>
      </c>
      <c r="N2870">
        <v>106200</v>
      </c>
      <c r="O2870" t="s">
        <v>57</v>
      </c>
      <c r="P2870" s="3">
        <v>44459</v>
      </c>
      <c r="Q2870" t="s">
        <v>36</v>
      </c>
    </row>
    <row r="2871" spans="1:17" x14ac:dyDescent="0.35">
      <c r="A2871" t="s">
        <v>2923</v>
      </c>
      <c r="B2871" t="s">
        <v>23</v>
      </c>
      <c r="C2871">
        <v>33</v>
      </c>
      <c r="D2871" t="s">
        <v>17</v>
      </c>
      <c r="E2871" t="s">
        <v>27</v>
      </c>
      <c r="F2871" t="s">
        <v>36</v>
      </c>
      <c r="G2871">
        <v>1.5</v>
      </c>
      <c r="H2871">
        <v>1.5</v>
      </c>
      <c r="I2871" t="str" cm="1">
        <f t="array" ref="I2871">_xlfn.IFS(G2871&lt;3, "0–2 Years", G2871&lt;6, "3–5 Years", G2871&lt;9, "6–8 Years", G2871&lt;12, "9-11 Years", G2871&gt;=12, "12-14 Years")</f>
        <v>0–2 Years</v>
      </c>
      <c r="J2871">
        <v>4</v>
      </c>
      <c r="K2871" t="s">
        <v>20</v>
      </c>
      <c r="L2871">
        <v>80700</v>
      </c>
      <c r="M2871">
        <v>9700</v>
      </c>
      <c r="N2871">
        <v>90400</v>
      </c>
      <c r="O2871" t="s">
        <v>30</v>
      </c>
      <c r="P2871" s="3">
        <v>45458</v>
      </c>
      <c r="Q2871" t="s">
        <v>36</v>
      </c>
    </row>
    <row r="2872" spans="1:17" x14ac:dyDescent="0.35">
      <c r="A2872" t="s">
        <v>2924</v>
      </c>
      <c r="B2872" t="s">
        <v>23</v>
      </c>
      <c r="C2872">
        <v>32</v>
      </c>
      <c r="D2872" t="s">
        <v>17</v>
      </c>
      <c r="E2872" t="s">
        <v>32</v>
      </c>
      <c r="F2872" t="s">
        <v>36</v>
      </c>
      <c r="G2872">
        <v>3.3</v>
      </c>
      <c r="H2872">
        <v>2.1</v>
      </c>
      <c r="I2872" t="str" cm="1">
        <f t="array" ref="I2872">_xlfn.IFS(G2872&lt;3, "0–2 Years", G2872&lt;6, "3–5 Years", G2872&lt;9, "6–8 Years", G2872&lt;12, "9-11 Years", G2872&gt;=12, "12-14 Years")</f>
        <v>3–5 Years</v>
      </c>
      <c r="J2872">
        <v>4</v>
      </c>
      <c r="K2872" t="s">
        <v>24</v>
      </c>
      <c r="L2872">
        <v>37900</v>
      </c>
      <c r="M2872">
        <v>4900</v>
      </c>
      <c r="N2872">
        <v>42800</v>
      </c>
      <c r="O2872" t="s">
        <v>65</v>
      </c>
      <c r="P2872" s="3">
        <v>44809</v>
      </c>
      <c r="Q2872" t="s">
        <v>36</v>
      </c>
    </row>
    <row r="2873" spans="1:17" x14ac:dyDescent="0.35">
      <c r="A2873" t="s">
        <v>2925</v>
      </c>
      <c r="B2873" t="s">
        <v>16</v>
      </c>
      <c r="C2873">
        <v>33</v>
      </c>
      <c r="D2873" t="s">
        <v>41</v>
      </c>
      <c r="E2873" t="s">
        <v>73</v>
      </c>
      <c r="F2873" t="s">
        <v>36</v>
      </c>
      <c r="G2873">
        <v>6.4</v>
      </c>
      <c r="H2873">
        <v>5.2</v>
      </c>
      <c r="I2873" t="str" cm="1">
        <f t="array" ref="I2873">_xlfn.IFS(G2873&lt;3, "0–2 Years", G2873&lt;6, "3–5 Years", G2873&lt;9, "6–8 Years", G2873&lt;12, "9-11 Years", G2873&gt;=12, "12-14 Years")</f>
        <v>6–8 Years</v>
      </c>
      <c r="J2873">
        <v>5</v>
      </c>
      <c r="K2873" t="s">
        <v>24</v>
      </c>
      <c r="L2873">
        <v>57300</v>
      </c>
      <c r="M2873">
        <v>2800</v>
      </c>
      <c r="N2873">
        <v>60100</v>
      </c>
      <c r="O2873" t="s">
        <v>25</v>
      </c>
      <c r="P2873" s="3">
        <v>43669</v>
      </c>
      <c r="Q2873" t="s">
        <v>36</v>
      </c>
    </row>
    <row r="2874" spans="1:17" x14ac:dyDescent="0.35">
      <c r="A2874" t="s">
        <v>2926</v>
      </c>
      <c r="B2874" t="s">
        <v>16</v>
      </c>
      <c r="C2874">
        <v>34</v>
      </c>
      <c r="D2874" t="s">
        <v>41</v>
      </c>
      <c r="E2874" t="s">
        <v>67</v>
      </c>
      <c r="F2874" t="s">
        <v>36</v>
      </c>
      <c r="G2874">
        <v>9.8000000000000007</v>
      </c>
      <c r="H2874">
        <v>5.8</v>
      </c>
      <c r="I2874" t="str" cm="1">
        <f t="array" ref="I2874">_xlfn.IFS(G2874&lt;3, "0–2 Years", G2874&lt;6, "3–5 Years", G2874&lt;9, "6–8 Years", G2874&lt;12, "9-11 Years", G2874&gt;=12, "12-14 Years")</f>
        <v>9-11 Years</v>
      </c>
      <c r="J2874">
        <v>5</v>
      </c>
      <c r="K2874" t="s">
        <v>20</v>
      </c>
      <c r="L2874">
        <v>92400</v>
      </c>
      <c r="M2874">
        <v>6800</v>
      </c>
      <c r="N2874">
        <v>99200</v>
      </c>
      <c r="O2874" t="s">
        <v>30</v>
      </c>
      <c r="P2874" s="3">
        <v>42457</v>
      </c>
      <c r="Q2874" t="s">
        <v>36</v>
      </c>
    </row>
    <row r="2875" spans="1:17" x14ac:dyDescent="0.35">
      <c r="A2875" t="s">
        <v>2927</v>
      </c>
      <c r="B2875" t="s">
        <v>23</v>
      </c>
      <c r="C2875" s="7">
        <v>52</v>
      </c>
      <c r="D2875" t="s">
        <v>17</v>
      </c>
      <c r="E2875" t="s">
        <v>32</v>
      </c>
      <c r="F2875" t="s">
        <v>28</v>
      </c>
      <c r="G2875" s="9">
        <v>13.9</v>
      </c>
      <c r="H2875" s="7">
        <v>9.1</v>
      </c>
      <c r="I2875" t="str" cm="1">
        <f t="array" ref="I2875">_xlfn.IFS(G2875&lt;3, "0–2 Years", G2875&lt;6, "3–5 Years", G2875&lt;9, "6–8 Years", G2875&lt;12, "9-11 Years", G2875&gt;=12, "12-14 Years")</f>
        <v>12-14 Years</v>
      </c>
      <c r="J2875" s="7">
        <v>4</v>
      </c>
      <c r="K2875" t="s">
        <v>20</v>
      </c>
      <c r="L2875" s="7">
        <v>82400</v>
      </c>
      <c r="M2875" s="7">
        <v>8000</v>
      </c>
      <c r="N2875" s="7">
        <v>90400</v>
      </c>
      <c r="O2875" t="s">
        <v>30</v>
      </c>
      <c r="P2875" s="3">
        <v>40941</v>
      </c>
      <c r="Q2875" t="s">
        <v>28</v>
      </c>
    </row>
    <row r="2876" spans="1:17" x14ac:dyDescent="0.35">
      <c r="A2876" t="s">
        <v>2928</v>
      </c>
      <c r="B2876" t="s">
        <v>23</v>
      </c>
      <c r="C2876">
        <v>31</v>
      </c>
      <c r="D2876" t="s">
        <v>38</v>
      </c>
      <c r="E2876" t="s">
        <v>112</v>
      </c>
      <c r="F2876" t="s">
        <v>36</v>
      </c>
      <c r="G2876">
        <v>6.7</v>
      </c>
      <c r="H2876">
        <v>3.6</v>
      </c>
      <c r="I2876" t="str" cm="1">
        <f t="array" ref="I2876">_xlfn.IFS(G2876&lt;3, "0–2 Years", G2876&lt;6, "3–5 Years", G2876&lt;9, "6–8 Years", G2876&lt;12, "9-11 Years", G2876&gt;=12, "12-14 Years")</f>
        <v>6–8 Years</v>
      </c>
      <c r="J2876">
        <v>3</v>
      </c>
      <c r="K2876" t="s">
        <v>20</v>
      </c>
      <c r="L2876">
        <v>63400</v>
      </c>
      <c r="M2876">
        <v>4300</v>
      </c>
      <c r="N2876">
        <v>67700</v>
      </c>
      <c r="O2876" t="s">
        <v>25</v>
      </c>
      <c r="P2876" s="3">
        <v>43584</v>
      </c>
      <c r="Q2876" t="s">
        <v>36</v>
      </c>
    </row>
    <row r="2877" spans="1:17" x14ac:dyDescent="0.35">
      <c r="A2877" t="s">
        <v>2929</v>
      </c>
      <c r="B2877" t="s">
        <v>23</v>
      </c>
      <c r="C2877">
        <v>33</v>
      </c>
      <c r="D2877" t="s">
        <v>44</v>
      </c>
      <c r="E2877" t="s">
        <v>51</v>
      </c>
      <c r="F2877" t="s">
        <v>36</v>
      </c>
      <c r="G2877">
        <v>10.4</v>
      </c>
      <c r="H2877">
        <v>6.3</v>
      </c>
      <c r="I2877" t="str" cm="1">
        <f t="array" ref="I2877">_xlfn.IFS(G2877&lt;3, "0–2 Years", G2877&lt;6, "3–5 Years", G2877&lt;9, "6–8 Years", G2877&lt;12, "9-11 Years", G2877&gt;=12, "12-14 Years")</f>
        <v>9-11 Years</v>
      </c>
      <c r="J2877">
        <v>4</v>
      </c>
      <c r="K2877" t="s">
        <v>20</v>
      </c>
      <c r="L2877">
        <v>80100</v>
      </c>
      <c r="M2877">
        <v>9800</v>
      </c>
      <c r="N2877">
        <v>89900</v>
      </c>
      <c r="O2877" t="s">
        <v>30</v>
      </c>
      <c r="P2877" s="3">
        <v>42237</v>
      </c>
      <c r="Q2877" t="s">
        <v>36</v>
      </c>
    </row>
    <row r="2878" spans="1:17" x14ac:dyDescent="0.35">
      <c r="A2878" t="s">
        <v>2930</v>
      </c>
      <c r="B2878" t="s">
        <v>23</v>
      </c>
      <c r="C2878">
        <v>37</v>
      </c>
      <c r="D2878" t="s">
        <v>44</v>
      </c>
      <c r="E2878" t="s">
        <v>45</v>
      </c>
      <c r="F2878" t="s">
        <v>36</v>
      </c>
      <c r="G2878">
        <v>11</v>
      </c>
      <c r="H2878">
        <v>6.1</v>
      </c>
      <c r="I2878" t="str" cm="1">
        <f t="array" ref="I2878">_xlfn.IFS(G2878&lt;3, "0–2 Years", G2878&lt;6, "3–5 Years", G2878&lt;9, "6–8 Years", G2878&lt;12, "9-11 Years", G2878&gt;=12, "12-14 Years")</f>
        <v>9-11 Years</v>
      </c>
      <c r="J2878">
        <v>1</v>
      </c>
      <c r="K2878" t="s">
        <v>20</v>
      </c>
      <c r="L2878">
        <v>80400</v>
      </c>
      <c r="M2878">
        <v>7700</v>
      </c>
      <c r="N2878">
        <v>88100</v>
      </c>
      <c r="O2878" t="s">
        <v>30</v>
      </c>
      <c r="P2878" s="3">
        <v>42001</v>
      </c>
      <c r="Q2878" t="s">
        <v>36</v>
      </c>
    </row>
    <row r="2879" spans="1:17" x14ac:dyDescent="0.35">
      <c r="A2879" t="s">
        <v>2931</v>
      </c>
      <c r="B2879" t="s">
        <v>23</v>
      </c>
      <c r="C2879">
        <v>27</v>
      </c>
      <c r="D2879" t="s">
        <v>17</v>
      </c>
      <c r="E2879" t="s">
        <v>32</v>
      </c>
      <c r="F2879" t="s">
        <v>19</v>
      </c>
      <c r="G2879">
        <v>1.4</v>
      </c>
      <c r="H2879">
        <v>0</v>
      </c>
      <c r="I2879" t="str" cm="1">
        <f t="array" ref="I2879">_xlfn.IFS(G2879&lt;3, "0–2 Years", G2879&lt;6, "3–5 Years", G2879&lt;9, "6–8 Years", G2879&lt;12, "9-11 Years", G2879&gt;=12, "12-14 Years")</f>
        <v>0–2 Years</v>
      </c>
      <c r="J2879">
        <v>3</v>
      </c>
      <c r="K2879" t="s">
        <v>20</v>
      </c>
      <c r="L2879">
        <v>56300</v>
      </c>
      <c r="M2879">
        <v>2900</v>
      </c>
      <c r="N2879">
        <v>59200</v>
      </c>
      <c r="O2879" t="s">
        <v>25</v>
      </c>
      <c r="P2879" s="3">
        <v>45508</v>
      </c>
      <c r="Q2879" t="s">
        <v>19</v>
      </c>
    </row>
    <row r="2880" spans="1:17" x14ac:dyDescent="0.35">
      <c r="A2880" t="s">
        <v>2932</v>
      </c>
      <c r="B2880" t="s">
        <v>23</v>
      </c>
      <c r="C2880">
        <v>40</v>
      </c>
      <c r="D2880" t="s">
        <v>17</v>
      </c>
      <c r="E2880" t="s">
        <v>18</v>
      </c>
      <c r="F2880" t="s">
        <v>28</v>
      </c>
      <c r="G2880">
        <v>7.9</v>
      </c>
      <c r="H2880">
        <v>5.8</v>
      </c>
      <c r="I2880" t="str" cm="1">
        <f t="array" ref="I2880">_xlfn.IFS(G2880&lt;3, "0–2 Years", G2880&lt;6, "3–5 Years", G2880&lt;9, "6–8 Years", G2880&lt;12, "9-11 Years", G2880&gt;=12, "12-14 Years")</f>
        <v>6–8 Years</v>
      </c>
      <c r="J2880">
        <v>5</v>
      </c>
      <c r="K2880" t="s">
        <v>20</v>
      </c>
      <c r="L2880">
        <v>115100</v>
      </c>
      <c r="M2880">
        <v>8300</v>
      </c>
      <c r="N2880">
        <v>123400</v>
      </c>
      <c r="O2880" t="s">
        <v>57</v>
      </c>
      <c r="P2880" s="3">
        <v>43126</v>
      </c>
      <c r="Q2880" t="s">
        <v>28</v>
      </c>
    </row>
    <row r="2881" spans="1:17" x14ac:dyDescent="0.35">
      <c r="A2881" t="s">
        <v>2933</v>
      </c>
      <c r="B2881" t="s">
        <v>23</v>
      </c>
      <c r="C2881">
        <v>37</v>
      </c>
      <c r="D2881" t="s">
        <v>41</v>
      </c>
      <c r="E2881" t="s">
        <v>73</v>
      </c>
      <c r="F2881" t="s">
        <v>28</v>
      </c>
      <c r="G2881">
        <v>3.1</v>
      </c>
      <c r="H2881">
        <v>3.1</v>
      </c>
      <c r="I2881" t="str" cm="1">
        <f t="array" ref="I2881">_xlfn.IFS(G2881&lt;3, "0–2 Years", G2881&lt;6, "3–5 Years", G2881&lt;9, "6–8 Years", G2881&lt;12, "9-11 Years", G2881&gt;=12, "12-14 Years")</f>
        <v>3–5 Years</v>
      </c>
      <c r="J2881">
        <v>3</v>
      </c>
      <c r="K2881" t="s">
        <v>20</v>
      </c>
      <c r="L2881">
        <v>91000</v>
      </c>
      <c r="M2881">
        <v>3200</v>
      </c>
      <c r="N2881">
        <v>94200</v>
      </c>
      <c r="O2881" t="s">
        <v>30</v>
      </c>
      <c r="P2881" s="3">
        <v>44904</v>
      </c>
      <c r="Q2881" t="s">
        <v>28</v>
      </c>
    </row>
    <row r="2882" spans="1:17" x14ac:dyDescent="0.35">
      <c r="A2882" t="s">
        <v>2934</v>
      </c>
      <c r="B2882" t="s">
        <v>23</v>
      </c>
      <c r="C2882">
        <v>36</v>
      </c>
      <c r="D2882" t="s">
        <v>17</v>
      </c>
      <c r="E2882" t="s">
        <v>32</v>
      </c>
      <c r="F2882" t="s">
        <v>28</v>
      </c>
      <c r="G2882">
        <v>11.2</v>
      </c>
      <c r="H2882">
        <v>6.7</v>
      </c>
      <c r="I2882" t="str" cm="1">
        <f t="array" ref="I2882">_xlfn.IFS(G2882&lt;3, "0–2 Years", G2882&lt;6, "3–5 Years", G2882&lt;9, "6–8 Years", G2882&lt;12, "9-11 Years", G2882&gt;=12, "12-14 Years")</f>
        <v>9-11 Years</v>
      </c>
      <c r="J2882">
        <v>4</v>
      </c>
      <c r="K2882" t="s">
        <v>20</v>
      </c>
      <c r="L2882">
        <v>69400</v>
      </c>
      <c r="M2882">
        <v>5600</v>
      </c>
      <c r="N2882">
        <v>75000</v>
      </c>
      <c r="O2882" t="s">
        <v>21</v>
      </c>
      <c r="P2882" s="3">
        <v>41939</v>
      </c>
      <c r="Q2882" t="s">
        <v>28</v>
      </c>
    </row>
    <row r="2883" spans="1:17" x14ac:dyDescent="0.35">
      <c r="A2883" t="s">
        <v>2935</v>
      </c>
      <c r="B2883" t="s">
        <v>23</v>
      </c>
      <c r="C2883" s="7">
        <v>41</v>
      </c>
      <c r="D2883" t="s">
        <v>34</v>
      </c>
      <c r="E2883" t="s">
        <v>35</v>
      </c>
      <c r="F2883" t="s">
        <v>28</v>
      </c>
      <c r="G2883" s="9">
        <v>12.7</v>
      </c>
      <c r="H2883" s="7">
        <v>7.9</v>
      </c>
      <c r="I2883" t="str" cm="1">
        <f t="array" ref="I2883">_xlfn.IFS(G2883&lt;3, "0–2 Years", G2883&lt;6, "3–5 Years", G2883&lt;9, "6–8 Years", G2883&lt;12, "9-11 Years", G2883&gt;=12, "12-14 Years")</f>
        <v>12-14 Years</v>
      </c>
      <c r="J2883" s="7">
        <v>3</v>
      </c>
      <c r="K2883" t="s">
        <v>69</v>
      </c>
      <c r="L2883" s="7">
        <v>61800</v>
      </c>
      <c r="M2883" s="7">
        <v>7200</v>
      </c>
      <c r="N2883" s="7">
        <v>69000</v>
      </c>
      <c r="O2883" t="s">
        <v>25</v>
      </c>
      <c r="P2883" s="3">
        <v>41389</v>
      </c>
      <c r="Q2883" t="s">
        <v>28</v>
      </c>
    </row>
    <row r="2884" spans="1:17" x14ac:dyDescent="0.35">
      <c r="A2884" t="s">
        <v>2936</v>
      </c>
      <c r="B2884" t="s">
        <v>16</v>
      </c>
      <c r="C2884">
        <v>25</v>
      </c>
      <c r="D2884" t="s">
        <v>38</v>
      </c>
      <c r="E2884" t="s">
        <v>112</v>
      </c>
      <c r="F2884" t="s">
        <v>36</v>
      </c>
      <c r="G2884">
        <v>8.1</v>
      </c>
      <c r="H2884">
        <v>6.4</v>
      </c>
      <c r="I2884" t="str" cm="1">
        <f t="array" ref="I2884">_xlfn.IFS(G2884&lt;3, "0–2 Years", G2884&lt;6, "3–5 Years", G2884&lt;9, "6–8 Years", G2884&lt;12, "9-11 Years", G2884&gt;=12, "12-14 Years")</f>
        <v>6–8 Years</v>
      </c>
      <c r="J2884">
        <v>3</v>
      </c>
      <c r="K2884" t="s">
        <v>20</v>
      </c>
      <c r="L2884">
        <v>72300</v>
      </c>
      <c r="M2884">
        <v>7200</v>
      </c>
      <c r="N2884">
        <v>79500</v>
      </c>
      <c r="O2884" t="s">
        <v>21</v>
      </c>
      <c r="P2884" s="3">
        <v>43047</v>
      </c>
      <c r="Q2884" t="s">
        <v>36</v>
      </c>
    </row>
    <row r="2885" spans="1:17" x14ac:dyDescent="0.35">
      <c r="A2885" t="s">
        <v>2937</v>
      </c>
      <c r="B2885" t="s">
        <v>23</v>
      </c>
      <c r="C2885">
        <v>40</v>
      </c>
      <c r="D2885" t="s">
        <v>41</v>
      </c>
      <c r="E2885" t="s">
        <v>67</v>
      </c>
      <c r="F2885" t="s">
        <v>28</v>
      </c>
      <c r="G2885">
        <v>2.9</v>
      </c>
      <c r="H2885">
        <v>2.9</v>
      </c>
      <c r="I2885" t="str" cm="1">
        <f t="array" ref="I2885">_xlfn.IFS(G2885&lt;3, "0–2 Years", G2885&lt;6, "3–5 Years", G2885&lt;9, "6–8 Years", G2885&lt;12, "9-11 Years", G2885&gt;=12, "12-14 Years")</f>
        <v>0–2 Years</v>
      </c>
      <c r="J2885">
        <v>1</v>
      </c>
      <c r="K2885" t="s">
        <v>20</v>
      </c>
      <c r="L2885">
        <v>69400</v>
      </c>
      <c r="M2885">
        <v>5500</v>
      </c>
      <c r="N2885">
        <v>74900</v>
      </c>
      <c r="O2885" t="s">
        <v>21</v>
      </c>
      <c r="P2885" s="3">
        <v>44981</v>
      </c>
      <c r="Q2885" t="s">
        <v>28</v>
      </c>
    </row>
    <row r="2886" spans="1:17" x14ac:dyDescent="0.35">
      <c r="A2886" t="s">
        <v>2938</v>
      </c>
      <c r="B2886" t="s">
        <v>16</v>
      </c>
      <c r="C2886" s="7">
        <v>36</v>
      </c>
      <c r="D2886" t="s">
        <v>44</v>
      </c>
      <c r="E2886" t="s">
        <v>45</v>
      </c>
      <c r="F2886" t="s">
        <v>28</v>
      </c>
      <c r="G2886" s="9">
        <v>13.3</v>
      </c>
      <c r="H2886" s="7">
        <v>9.5</v>
      </c>
      <c r="I2886" t="str" cm="1">
        <f t="array" ref="I2886">_xlfn.IFS(G2886&lt;3, "0–2 Years", G2886&lt;6, "3–5 Years", G2886&lt;9, "6–8 Years", G2886&lt;12, "9-11 Years", G2886&gt;=12, "12-14 Years")</f>
        <v>12-14 Years</v>
      </c>
      <c r="J2886" s="7">
        <v>3</v>
      </c>
      <c r="K2886" t="s">
        <v>20</v>
      </c>
      <c r="L2886" s="7">
        <v>84400</v>
      </c>
      <c r="M2886" s="7">
        <v>9200</v>
      </c>
      <c r="N2886" s="7">
        <v>93600</v>
      </c>
      <c r="O2886" t="s">
        <v>30</v>
      </c>
      <c r="P2886" s="3">
        <v>41152</v>
      </c>
      <c r="Q2886" t="s">
        <v>28</v>
      </c>
    </row>
    <row r="2887" spans="1:17" x14ac:dyDescent="0.35">
      <c r="A2887" t="s">
        <v>2939</v>
      </c>
      <c r="B2887" t="s">
        <v>23</v>
      </c>
      <c r="C2887">
        <v>25</v>
      </c>
      <c r="D2887" t="s">
        <v>55</v>
      </c>
      <c r="E2887" t="s">
        <v>92</v>
      </c>
      <c r="F2887" t="s">
        <v>28</v>
      </c>
      <c r="G2887">
        <v>7.7</v>
      </c>
      <c r="H2887">
        <v>4.7</v>
      </c>
      <c r="I2887" t="str" cm="1">
        <f t="array" ref="I2887">_xlfn.IFS(G2887&lt;3, "0–2 Years", G2887&lt;6, "3–5 Years", G2887&lt;9, "6–8 Years", G2887&lt;12, "9-11 Years", G2887&gt;=12, "12-14 Years")</f>
        <v>6–8 Years</v>
      </c>
      <c r="J2887">
        <v>5</v>
      </c>
      <c r="K2887" t="s">
        <v>69</v>
      </c>
      <c r="L2887">
        <v>86800</v>
      </c>
      <c r="M2887">
        <v>7800</v>
      </c>
      <c r="N2887">
        <v>94600</v>
      </c>
      <c r="O2887" t="s">
        <v>30</v>
      </c>
      <c r="P2887" s="3">
        <v>43214</v>
      </c>
      <c r="Q2887" t="s">
        <v>28</v>
      </c>
    </row>
    <row r="2888" spans="1:17" x14ac:dyDescent="0.35">
      <c r="A2888" t="s">
        <v>2940</v>
      </c>
      <c r="B2888" t="s">
        <v>23</v>
      </c>
      <c r="C2888">
        <v>38</v>
      </c>
      <c r="D2888" t="s">
        <v>38</v>
      </c>
      <c r="E2888" t="s">
        <v>39</v>
      </c>
      <c r="F2888" t="s">
        <v>36</v>
      </c>
      <c r="G2888">
        <v>9.4</v>
      </c>
      <c r="H2888">
        <v>6.2</v>
      </c>
      <c r="I2888" t="str" cm="1">
        <f t="array" ref="I2888">_xlfn.IFS(G2888&lt;3, "0–2 Years", G2888&lt;6, "3–5 Years", G2888&lt;9, "6–8 Years", G2888&lt;12, "9-11 Years", G2888&gt;=12, "12-14 Years")</f>
        <v>9-11 Years</v>
      </c>
      <c r="J2888">
        <v>3</v>
      </c>
      <c r="K2888" t="s">
        <v>20</v>
      </c>
      <c r="L2888">
        <v>96500</v>
      </c>
      <c r="M2888">
        <v>5100</v>
      </c>
      <c r="N2888">
        <v>101600</v>
      </c>
      <c r="O2888" t="s">
        <v>30</v>
      </c>
      <c r="P2888" s="3">
        <v>42597</v>
      </c>
      <c r="Q2888" t="s">
        <v>36</v>
      </c>
    </row>
    <row r="2889" spans="1:17" x14ac:dyDescent="0.35">
      <c r="A2889" t="s">
        <v>2941</v>
      </c>
      <c r="B2889" t="s">
        <v>16</v>
      </c>
      <c r="C2889">
        <v>38</v>
      </c>
      <c r="D2889" t="s">
        <v>44</v>
      </c>
      <c r="E2889" t="s">
        <v>76</v>
      </c>
      <c r="F2889" t="s">
        <v>19</v>
      </c>
      <c r="G2889">
        <v>6.5</v>
      </c>
      <c r="H2889">
        <v>3.4</v>
      </c>
      <c r="I2889" t="str" cm="1">
        <f t="array" ref="I2889">_xlfn.IFS(G2889&lt;3, "0–2 Years", G2889&lt;6, "3–5 Years", G2889&lt;9, "6–8 Years", G2889&lt;12, "9-11 Years", G2889&gt;=12, "12-14 Years")</f>
        <v>6–8 Years</v>
      </c>
      <c r="J2889">
        <v>3</v>
      </c>
      <c r="K2889" t="s">
        <v>20</v>
      </c>
      <c r="L2889">
        <v>104200</v>
      </c>
      <c r="M2889">
        <v>7300</v>
      </c>
      <c r="N2889">
        <v>111500</v>
      </c>
      <c r="O2889" t="s">
        <v>57</v>
      </c>
      <c r="P2889" s="3">
        <v>43643</v>
      </c>
      <c r="Q2889" t="s">
        <v>19</v>
      </c>
    </row>
    <row r="2890" spans="1:17" x14ac:dyDescent="0.35">
      <c r="A2890" t="s">
        <v>2942</v>
      </c>
      <c r="B2890" t="s">
        <v>23</v>
      </c>
      <c r="C2890">
        <v>53</v>
      </c>
      <c r="D2890" t="s">
        <v>41</v>
      </c>
      <c r="E2890" t="s">
        <v>42</v>
      </c>
      <c r="F2890" t="s">
        <v>28</v>
      </c>
      <c r="G2890">
        <v>6.9</v>
      </c>
      <c r="H2890">
        <v>3.3</v>
      </c>
      <c r="I2890" t="str" cm="1">
        <f t="array" ref="I2890">_xlfn.IFS(G2890&lt;3, "0–2 Years", G2890&lt;6, "3–5 Years", G2890&lt;9, "6–8 Years", G2890&lt;12, "9-11 Years", G2890&gt;=12, "12-14 Years")</f>
        <v>6–8 Years</v>
      </c>
      <c r="J2890">
        <v>5</v>
      </c>
      <c r="K2890" t="s">
        <v>20</v>
      </c>
      <c r="L2890">
        <v>91300</v>
      </c>
      <c r="M2890">
        <v>5800</v>
      </c>
      <c r="N2890">
        <v>97100</v>
      </c>
      <c r="O2890" t="s">
        <v>30</v>
      </c>
      <c r="P2890" s="3">
        <v>43510</v>
      </c>
      <c r="Q2890" t="s">
        <v>28</v>
      </c>
    </row>
    <row r="2891" spans="1:17" x14ac:dyDescent="0.35">
      <c r="A2891" t="s">
        <v>2943</v>
      </c>
      <c r="B2891" t="s">
        <v>16</v>
      </c>
      <c r="C2891">
        <v>34</v>
      </c>
      <c r="D2891" t="s">
        <v>17</v>
      </c>
      <c r="E2891" t="s">
        <v>18</v>
      </c>
      <c r="F2891" t="s">
        <v>36</v>
      </c>
      <c r="G2891">
        <v>8.4</v>
      </c>
      <c r="H2891">
        <v>6.3</v>
      </c>
      <c r="I2891" t="str" cm="1">
        <f t="array" ref="I2891">_xlfn.IFS(G2891&lt;3, "0–2 Years", G2891&lt;6, "3–5 Years", G2891&lt;9, "6–8 Years", G2891&lt;12, "9-11 Years", G2891&gt;=12, "12-14 Years")</f>
        <v>6–8 Years</v>
      </c>
      <c r="J2891">
        <v>4</v>
      </c>
      <c r="K2891" t="s">
        <v>20</v>
      </c>
      <c r="L2891">
        <v>109500</v>
      </c>
      <c r="M2891">
        <v>11000</v>
      </c>
      <c r="N2891">
        <v>120500</v>
      </c>
      <c r="O2891" t="s">
        <v>57</v>
      </c>
      <c r="P2891" s="3">
        <v>42938</v>
      </c>
      <c r="Q2891" t="s">
        <v>36</v>
      </c>
    </row>
    <row r="2892" spans="1:17" x14ac:dyDescent="0.35">
      <c r="A2892" t="s">
        <v>2944</v>
      </c>
      <c r="B2892" t="s">
        <v>23</v>
      </c>
      <c r="C2892">
        <v>36</v>
      </c>
      <c r="D2892" t="s">
        <v>44</v>
      </c>
      <c r="E2892" t="s">
        <v>51</v>
      </c>
      <c r="F2892" t="s">
        <v>28</v>
      </c>
      <c r="G2892">
        <v>2.7</v>
      </c>
      <c r="H2892">
        <v>2.7</v>
      </c>
      <c r="I2892" t="str" cm="1">
        <f t="array" ref="I2892">_xlfn.IFS(G2892&lt;3, "0–2 Years", G2892&lt;6, "3–5 Years", G2892&lt;9, "6–8 Years", G2892&lt;12, "9-11 Years", G2892&gt;=12, "12-14 Years")</f>
        <v>0–2 Years</v>
      </c>
      <c r="J2892">
        <v>3</v>
      </c>
      <c r="K2892" t="s">
        <v>20</v>
      </c>
      <c r="L2892">
        <v>82000</v>
      </c>
      <c r="M2892">
        <v>6400</v>
      </c>
      <c r="N2892">
        <v>88400</v>
      </c>
      <c r="O2892" t="s">
        <v>30</v>
      </c>
      <c r="P2892" s="3">
        <v>45040</v>
      </c>
      <c r="Q2892" t="s">
        <v>28</v>
      </c>
    </row>
    <row r="2893" spans="1:17" x14ac:dyDescent="0.35">
      <c r="A2893" t="s">
        <v>2945</v>
      </c>
      <c r="B2893" t="s">
        <v>16</v>
      </c>
      <c r="C2893">
        <v>36</v>
      </c>
      <c r="D2893" t="s">
        <v>44</v>
      </c>
      <c r="E2893" t="s">
        <v>51</v>
      </c>
      <c r="F2893" t="s">
        <v>28</v>
      </c>
      <c r="G2893">
        <v>4.3</v>
      </c>
      <c r="H2893">
        <v>1.4</v>
      </c>
      <c r="I2893" t="str" cm="1">
        <f t="array" ref="I2893">_xlfn.IFS(G2893&lt;3, "0–2 Years", G2893&lt;6, "3–5 Years", G2893&lt;9, "6–8 Years", G2893&lt;12, "9-11 Years", G2893&gt;=12, "12-14 Years")</f>
        <v>3–5 Years</v>
      </c>
      <c r="J2893">
        <v>3</v>
      </c>
      <c r="K2893" t="s">
        <v>20</v>
      </c>
      <c r="L2893">
        <v>71400</v>
      </c>
      <c r="M2893">
        <v>9500</v>
      </c>
      <c r="N2893">
        <v>80900</v>
      </c>
      <c r="O2893" t="s">
        <v>21</v>
      </c>
      <c r="P2893" s="3">
        <v>44435</v>
      </c>
      <c r="Q2893" t="s">
        <v>28</v>
      </c>
    </row>
    <row r="2894" spans="1:17" x14ac:dyDescent="0.35">
      <c r="A2894" t="s">
        <v>2946</v>
      </c>
      <c r="B2894" t="s">
        <v>16</v>
      </c>
      <c r="C2894">
        <v>30</v>
      </c>
      <c r="D2894" t="s">
        <v>17</v>
      </c>
      <c r="E2894" t="s">
        <v>27</v>
      </c>
      <c r="F2894" t="s">
        <v>36</v>
      </c>
      <c r="G2894">
        <v>6.7</v>
      </c>
      <c r="H2894">
        <v>4.7</v>
      </c>
      <c r="I2894" t="str" cm="1">
        <f t="array" ref="I2894">_xlfn.IFS(G2894&lt;3, "0–2 Years", G2894&lt;6, "3–5 Years", G2894&lt;9, "6–8 Years", G2894&lt;12, "9-11 Years", G2894&gt;=12, "12-14 Years")</f>
        <v>6–8 Years</v>
      </c>
      <c r="J2894">
        <v>2</v>
      </c>
      <c r="K2894" t="s">
        <v>20</v>
      </c>
      <c r="L2894">
        <v>80500</v>
      </c>
      <c r="M2894">
        <v>7000</v>
      </c>
      <c r="N2894">
        <v>87500</v>
      </c>
      <c r="O2894" t="s">
        <v>30</v>
      </c>
      <c r="P2894" s="3">
        <v>43562</v>
      </c>
      <c r="Q2894" t="s">
        <v>36</v>
      </c>
    </row>
    <row r="2895" spans="1:17" x14ac:dyDescent="0.35">
      <c r="A2895" t="s">
        <v>2947</v>
      </c>
      <c r="B2895" t="s">
        <v>16</v>
      </c>
      <c r="C2895" s="7">
        <v>38</v>
      </c>
      <c r="D2895" t="s">
        <v>44</v>
      </c>
      <c r="E2895" t="s">
        <v>81</v>
      </c>
      <c r="F2895" t="s">
        <v>28</v>
      </c>
      <c r="G2895" s="9">
        <v>12.7</v>
      </c>
      <c r="H2895" s="7">
        <v>6.3</v>
      </c>
      <c r="I2895" t="str" cm="1">
        <f t="array" ref="I2895">_xlfn.IFS(G2895&lt;3, "0–2 Years", G2895&lt;6, "3–5 Years", G2895&lt;9, "6–8 Years", G2895&lt;12, "9-11 Years", G2895&gt;=12, "12-14 Years")</f>
        <v>12-14 Years</v>
      </c>
      <c r="J2895" s="7">
        <v>3</v>
      </c>
      <c r="K2895" t="s">
        <v>20</v>
      </c>
      <c r="L2895" s="7">
        <v>99800</v>
      </c>
      <c r="M2895" s="7">
        <v>9200</v>
      </c>
      <c r="N2895" s="7">
        <v>109000</v>
      </c>
      <c r="O2895" t="s">
        <v>30</v>
      </c>
      <c r="P2895" s="3">
        <v>41395</v>
      </c>
      <c r="Q2895" t="s">
        <v>28</v>
      </c>
    </row>
    <row r="2896" spans="1:17" x14ac:dyDescent="0.35">
      <c r="A2896" t="s">
        <v>2948</v>
      </c>
      <c r="B2896" t="s">
        <v>16</v>
      </c>
      <c r="C2896">
        <v>21</v>
      </c>
      <c r="D2896" t="s">
        <v>34</v>
      </c>
      <c r="E2896" t="s">
        <v>35</v>
      </c>
      <c r="F2896" t="s">
        <v>28</v>
      </c>
      <c r="G2896">
        <v>3.8</v>
      </c>
      <c r="H2896">
        <v>0.4</v>
      </c>
      <c r="I2896" t="str" cm="1">
        <f t="array" ref="I2896">_xlfn.IFS(G2896&lt;3, "0–2 Years", G2896&lt;6, "3–5 Years", G2896&lt;9, "6–8 Years", G2896&lt;12, "9-11 Years", G2896&gt;=12, "12-14 Years")</f>
        <v>3–5 Years</v>
      </c>
      <c r="J2896">
        <v>4</v>
      </c>
      <c r="K2896" t="s">
        <v>69</v>
      </c>
      <c r="L2896">
        <v>63600</v>
      </c>
      <c r="M2896">
        <v>7600</v>
      </c>
      <c r="N2896">
        <v>71200</v>
      </c>
      <c r="O2896" t="s">
        <v>25</v>
      </c>
      <c r="P2896" s="3">
        <v>44647</v>
      </c>
      <c r="Q2896" t="s">
        <v>28</v>
      </c>
    </row>
    <row r="2897" spans="1:17" x14ac:dyDescent="0.35">
      <c r="A2897" t="s">
        <v>2949</v>
      </c>
      <c r="B2897" t="s">
        <v>23</v>
      </c>
      <c r="C2897">
        <v>27</v>
      </c>
      <c r="D2897" t="s">
        <v>55</v>
      </c>
      <c r="E2897" t="s">
        <v>56</v>
      </c>
      <c r="F2897" t="s">
        <v>19</v>
      </c>
      <c r="G2897">
        <v>2.1</v>
      </c>
      <c r="H2897">
        <v>0</v>
      </c>
      <c r="I2897" t="str" cm="1">
        <f t="array" ref="I2897">_xlfn.IFS(G2897&lt;3, "0–2 Years", G2897&lt;6, "3–5 Years", G2897&lt;9, "6–8 Years", G2897&lt;12, "9-11 Years", G2897&gt;=12, "12-14 Years")</f>
        <v>0–2 Years</v>
      </c>
      <c r="J2897">
        <v>3</v>
      </c>
      <c r="K2897" t="s">
        <v>69</v>
      </c>
      <c r="L2897">
        <v>72300</v>
      </c>
      <c r="M2897">
        <v>6900</v>
      </c>
      <c r="N2897">
        <v>79200</v>
      </c>
      <c r="O2897" t="s">
        <v>21</v>
      </c>
      <c r="P2897" s="3">
        <v>45273</v>
      </c>
      <c r="Q2897" t="s">
        <v>19</v>
      </c>
    </row>
    <row r="2898" spans="1:17" x14ac:dyDescent="0.35">
      <c r="A2898" t="s">
        <v>2950</v>
      </c>
      <c r="B2898" t="s">
        <v>23</v>
      </c>
      <c r="C2898">
        <v>45</v>
      </c>
      <c r="D2898" t="s">
        <v>44</v>
      </c>
      <c r="E2898" t="s">
        <v>76</v>
      </c>
      <c r="F2898" t="s">
        <v>28</v>
      </c>
      <c r="G2898">
        <v>5.3</v>
      </c>
      <c r="H2898">
        <v>4.7</v>
      </c>
      <c r="I2898" t="str" cm="1">
        <f t="array" ref="I2898">_xlfn.IFS(G2898&lt;3, "0–2 Years", G2898&lt;6, "3–5 Years", G2898&lt;9, "6–8 Years", G2898&lt;12, "9-11 Years", G2898&gt;=12, "12-14 Years")</f>
        <v>3–5 Years</v>
      </c>
      <c r="J2898">
        <v>4</v>
      </c>
      <c r="K2898" t="s">
        <v>69</v>
      </c>
      <c r="L2898">
        <v>83800</v>
      </c>
      <c r="M2898">
        <v>8300</v>
      </c>
      <c r="N2898">
        <v>92100</v>
      </c>
      <c r="O2898" t="s">
        <v>30</v>
      </c>
      <c r="P2898" s="3">
        <v>44081</v>
      </c>
      <c r="Q2898" t="s">
        <v>28</v>
      </c>
    </row>
    <row r="2899" spans="1:17" x14ac:dyDescent="0.35">
      <c r="A2899" t="s">
        <v>2951</v>
      </c>
      <c r="B2899" t="s">
        <v>23</v>
      </c>
      <c r="C2899">
        <v>37</v>
      </c>
      <c r="D2899" t="s">
        <v>34</v>
      </c>
      <c r="E2899" t="s">
        <v>47</v>
      </c>
      <c r="F2899" t="s">
        <v>36</v>
      </c>
      <c r="G2899">
        <v>4.5</v>
      </c>
      <c r="H2899">
        <v>3</v>
      </c>
      <c r="I2899" t="str" cm="1">
        <f t="array" ref="I2899">_xlfn.IFS(G2899&lt;3, "0–2 Years", G2899&lt;6, "3–5 Years", G2899&lt;9, "6–8 Years", G2899&lt;12, "9-11 Years", G2899&gt;=12, "12-14 Years")</f>
        <v>3–5 Years</v>
      </c>
      <c r="J2899">
        <v>5</v>
      </c>
      <c r="K2899" t="s">
        <v>20</v>
      </c>
      <c r="L2899">
        <v>80700</v>
      </c>
      <c r="M2899">
        <v>5900</v>
      </c>
      <c r="N2899">
        <v>86600</v>
      </c>
      <c r="O2899" t="s">
        <v>30</v>
      </c>
      <c r="P2899" s="3">
        <v>44377</v>
      </c>
      <c r="Q2899" t="s">
        <v>36</v>
      </c>
    </row>
    <row r="2900" spans="1:17" x14ac:dyDescent="0.35">
      <c r="A2900" t="s">
        <v>2952</v>
      </c>
      <c r="B2900" t="s">
        <v>16</v>
      </c>
      <c r="C2900">
        <v>39</v>
      </c>
      <c r="D2900" t="s">
        <v>38</v>
      </c>
      <c r="E2900" t="s">
        <v>39</v>
      </c>
      <c r="F2900" t="s">
        <v>28</v>
      </c>
      <c r="G2900">
        <v>8.3000000000000007</v>
      </c>
      <c r="H2900">
        <v>4.3</v>
      </c>
      <c r="I2900" t="str" cm="1">
        <f t="array" ref="I2900">_xlfn.IFS(G2900&lt;3, "0–2 Years", G2900&lt;6, "3–5 Years", G2900&lt;9, "6–8 Years", G2900&lt;12, "9-11 Years", G2900&gt;=12, "12-14 Years")</f>
        <v>6–8 Years</v>
      </c>
      <c r="J2900">
        <v>3</v>
      </c>
      <c r="K2900" t="s">
        <v>20</v>
      </c>
      <c r="L2900">
        <v>75200</v>
      </c>
      <c r="M2900">
        <v>7200</v>
      </c>
      <c r="N2900">
        <v>82400</v>
      </c>
      <c r="O2900" t="s">
        <v>21</v>
      </c>
      <c r="P2900" s="3">
        <v>43009</v>
      </c>
      <c r="Q2900" t="s">
        <v>28</v>
      </c>
    </row>
    <row r="2901" spans="1:17" x14ac:dyDescent="0.35">
      <c r="A2901" t="s">
        <v>2953</v>
      </c>
      <c r="B2901" t="s">
        <v>16</v>
      </c>
      <c r="C2901">
        <v>24</v>
      </c>
      <c r="D2901" t="s">
        <v>41</v>
      </c>
      <c r="E2901" t="s">
        <v>42</v>
      </c>
      <c r="F2901" t="s">
        <v>28</v>
      </c>
      <c r="G2901">
        <v>6.2</v>
      </c>
      <c r="H2901">
        <v>2.9</v>
      </c>
      <c r="I2901" t="str" cm="1">
        <f t="array" ref="I2901">_xlfn.IFS(G2901&lt;3, "0–2 Years", G2901&lt;6, "3–5 Years", G2901&lt;9, "6–8 Years", G2901&lt;12, "9-11 Years", G2901&gt;=12, "12-14 Years")</f>
        <v>6–8 Years</v>
      </c>
      <c r="J2901">
        <v>1</v>
      </c>
      <c r="K2901" t="s">
        <v>24</v>
      </c>
      <c r="L2901">
        <v>41100</v>
      </c>
      <c r="M2901">
        <v>2700</v>
      </c>
      <c r="N2901">
        <v>43800</v>
      </c>
      <c r="O2901" t="s">
        <v>65</v>
      </c>
      <c r="P2901" s="3">
        <v>43747</v>
      </c>
      <c r="Q2901" t="s">
        <v>28</v>
      </c>
    </row>
    <row r="2902" spans="1:17" x14ac:dyDescent="0.35">
      <c r="A2902" t="s">
        <v>2954</v>
      </c>
      <c r="B2902" t="s">
        <v>23</v>
      </c>
      <c r="C2902" s="7">
        <v>38</v>
      </c>
      <c r="D2902" t="s">
        <v>44</v>
      </c>
      <c r="E2902" t="s">
        <v>45</v>
      </c>
      <c r="F2902" t="s">
        <v>36</v>
      </c>
      <c r="G2902" s="9">
        <v>12.5</v>
      </c>
      <c r="H2902" s="7">
        <v>8.8000000000000007</v>
      </c>
      <c r="I2902" t="str" cm="1">
        <f t="array" ref="I2902">_xlfn.IFS(G2902&lt;3, "0–2 Years", G2902&lt;6, "3–5 Years", G2902&lt;9, "6–8 Years", G2902&lt;12, "9-11 Years", G2902&gt;=12, "12-14 Years")</f>
        <v>12-14 Years</v>
      </c>
      <c r="J2902" s="7">
        <v>3</v>
      </c>
      <c r="K2902" t="s">
        <v>20</v>
      </c>
      <c r="L2902" s="7">
        <v>91100</v>
      </c>
      <c r="M2902" s="7">
        <v>7600</v>
      </c>
      <c r="N2902" s="7">
        <v>98700</v>
      </c>
      <c r="O2902" t="s">
        <v>30</v>
      </c>
      <c r="P2902" s="3">
        <v>41443</v>
      </c>
      <c r="Q2902" t="s">
        <v>36</v>
      </c>
    </row>
    <row r="2903" spans="1:17" x14ac:dyDescent="0.35">
      <c r="A2903" t="s">
        <v>2955</v>
      </c>
      <c r="B2903" t="s">
        <v>16</v>
      </c>
      <c r="C2903">
        <v>38</v>
      </c>
      <c r="D2903" t="s">
        <v>44</v>
      </c>
      <c r="E2903" t="s">
        <v>76</v>
      </c>
      <c r="F2903" t="s">
        <v>28</v>
      </c>
      <c r="G2903">
        <v>10.3</v>
      </c>
      <c r="H2903">
        <v>5.6</v>
      </c>
      <c r="I2903" t="str" cm="1">
        <f t="array" ref="I2903">_xlfn.IFS(G2903&lt;3, "0–2 Years", G2903&lt;6, "3–5 Years", G2903&lt;9, "6–8 Years", G2903&lt;12, "9-11 Years", G2903&gt;=12, "12-14 Years")</f>
        <v>9-11 Years</v>
      </c>
      <c r="J2903">
        <v>3</v>
      </c>
      <c r="K2903" t="s">
        <v>20</v>
      </c>
      <c r="L2903">
        <v>104700</v>
      </c>
      <c r="M2903">
        <v>11500</v>
      </c>
      <c r="N2903">
        <v>116200</v>
      </c>
      <c r="O2903" t="s">
        <v>57</v>
      </c>
      <c r="P2903" s="3">
        <v>42275</v>
      </c>
      <c r="Q2903" t="s">
        <v>28</v>
      </c>
    </row>
    <row r="2904" spans="1:17" x14ac:dyDescent="0.35">
      <c r="A2904" t="s">
        <v>2956</v>
      </c>
      <c r="B2904" t="s">
        <v>23</v>
      </c>
      <c r="C2904">
        <v>53</v>
      </c>
      <c r="D2904" t="s">
        <v>17</v>
      </c>
      <c r="E2904" t="s">
        <v>18</v>
      </c>
      <c r="F2904" t="s">
        <v>36</v>
      </c>
      <c r="G2904">
        <v>2.9</v>
      </c>
      <c r="H2904">
        <v>2.2000000000000002</v>
      </c>
      <c r="I2904" t="str" cm="1">
        <f t="array" ref="I2904">_xlfn.IFS(G2904&lt;3, "0–2 Years", G2904&lt;6, "3–5 Years", G2904&lt;9, "6–8 Years", G2904&lt;12, "9-11 Years", G2904&gt;=12, "12-14 Years")</f>
        <v>0–2 Years</v>
      </c>
      <c r="J2904">
        <v>4</v>
      </c>
      <c r="K2904" t="s">
        <v>20</v>
      </c>
      <c r="L2904">
        <v>100100</v>
      </c>
      <c r="M2904">
        <v>8000</v>
      </c>
      <c r="N2904">
        <v>108100</v>
      </c>
      <c r="O2904" t="s">
        <v>57</v>
      </c>
      <c r="P2904" s="3">
        <v>44980</v>
      </c>
      <c r="Q2904" t="s">
        <v>36</v>
      </c>
    </row>
    <row r="2905" spans="1:17" x14ac:dyDescent="0.35">
      <c r="A2905" t="s">
        <v>2957</v>
      </c>
      <c r="B2905" t="s">
        <v>23</v>
      </c>
      <c r="C2905">
        <v>43</v>
      </c>
      <c r="D2905" t="s">
        <v>34</v>
      </c>
      <c r="E2905" t="s">
        <v>47</v>
      </c>
      <c r="F2905" t="s">
        <v>36</v>
      </c>
      <c r="G2905">
        <v>6.3</v>
      </c>
      <c r="H2905">
        <v>3.4</v>
      </c>
      <c r="I2905" t="str" cm="1">
        <f t="array" ref="I2905">_xlfn.IFS(G2905&lt;3, "0–2 Years", G2905&lt;6, "3–5 Years", G2905&lt;9, "6–8 Years", G2905&lt;12, "9-11 Years", G2905&gt;=12, "12-14 Years")</f>
        <v>6–8 Years</v>
      </c>
      <c r="J2905">
        <v>3</v>
      </c>
      <c r="K2905" t="s">
        <v>24</v>
      </c>
      <c r="L2905">
        <v>43500</v>
      </c>
      <c r="M2905">
        <v>2100</v>
      </c>
      <c r="N2905">
        <v>45600</v>
      </c>
      <c r="O2905" t="s">
        <v>65</v>
      </c>
      <c r="P2905" s="3">
        <v>43712</v>
      </c>
      <c r="Q2905" t="s">
        <v>36</v>
      </c>
    </row>
    <row r="2906" spans="1:17" x14ac:dyDescent="0.35">
      <c r="A2906" t="s">
        <v>2958</v>
      </c>
      <c r="B2906" t="s">
        <v>16</v>
      </c>
      <c r="C2906">
        <v>36</v>
      </c>
      <c r="D2906" t="s">
        <v>38</v>
      </c>
      <c r="E2906" t="s">
        <v>39</v>
      </c>
      <c r="F2906" t="s">
        <v>28</v>
      </c>
      <c r="G2906">
        <v>9.3000000000000007</v>
      </c>
      <c r="H2906">
        <v>6</v>
      </c>
      <c r="I2906" t="str" cm="1">
        <f t="array" ref="I2906">_xlfn.IFS(G2906&lt;3, "0–2 Years", G2906&lt;6, "3–5 Years", G2906&lt;9, "6–8 Years", G2906&lt;12, "9-11 Years", G2906&gt;=12, "12-14 Years")</f>
        <v>9-11 Years</v>
      </c>
      <c r="J2906">
        <v>3</v>
      </c>
      <c r="K2906" t="s">
        <v>24</v>
      </c>
      <c r="L2906">
        <v>52800</v>
      </c>
      <c r="M2906">
        <v>4300</v>
      </c>
      <c r="N2906">
        <v>57100</v>
      </c>
      <c r="O2906" t="s">
        <v>25</v>
      </c>
      <c r="P2906" s="3">
        <v>42637</v>
      </c>
      <c r="Q2906" t="s">
        <v>28</v>
      </c>
    </row>
    <row r="2907" spans="1:17" x14ac:dyDescent="0.35">
      <c r="A2907" t="s">
        <v>2959</v>
      </c>
      <c r="B2907" t="s">
        <v>23</v>
      </c>
      <c r="C2907">
        <v>42</v>
      </c>
      <c r="D2907" t="s">
        <v>41</v>
      </c>
      <c r="E2907" t="s">
        <v>42</v>
      </c>
      <c r="F2907" t="s">
        <v>36</v>
      </c>
      <c r="G2907">
        <v>11.1</v>
      </c>
      <c r="H2907">
        <v>7.3</v>
      </c>
      <c r="I2907" t="str" cm="1">
        <f t="array" ref="I2907">_xlfn.IFS(G2907&lt;3, "0–2 Years", G2907&lt;6, "3–5 Years", G2907&lt;9, "6–8 Years", G2907&lt;12, "9-11 Years", G2907&gt;=12, "12-14 Years")</f>
        <v>9-11 Years</v>
      </c>
      <c r="J2907">
        <v>3</v>
      </c>
      <c r="K2907" t="s">
        <v>20</v>
      </c>
      <c r="L2907">
        <v>82400</v>
      </c>
      <c r="M2907">
        <v>5900</v>
      </c>
      <c r="N2907">
        <v>88300</v>
      </c>
      <c r="O2907" t="s">
        <v>30</v>
      </c>
      <c r="P2907" s="3">
        <v>41967</v>
      </c>
      <c r="Q2907" t="s">
        <v>36</v>
      </c>
    </row>
    <row r="2908" spans="1:17" x14ac:dyDescent="0.35">
      <c r="A2908" t="s">
        <v>2960</v>
      </c>
      <c r="B2908" t="s">
        <v>16</v>
      </c>
      <c r="C2908" s="7">
        <v>40</v>
      </c>
      <c r="D2908" t="s">
        <v>41</v>
      </c>
      <c r="E2908" t="s">
        <v>73</v>
      </c>
      <c r="F2908" t="s">
        <v>19</v>
      </c>
      <c r="G2908" s="9">
        <v>12</v>
      </c>
      <c r="H2908" s="7">
        <v>6.4</v>
      </c>
      <c r="I2908" t="str" cm="1">
        <f t="array" ref="I2908">_xlfn.IFS(G2908&lt;3, "0–2 Years", G2908&lt;6, "3–5 Years", G2908&lt;9, "6–8 Years", G2908&lt;12, "9-11 Years", G2908&gt;=12, "12-14 Years")</f>
        <v>12-14 Years</v>
      </c>
      <c r="J2908" s="7">
        <v>1</v>
      </c>
      <c r="K2908" t="s">
        <v>20</v>
      </c>
      <c r="L2908" s="7">
        <v>114900</v>
      </c>
      <c r="M2908" s="7">
        <v>6000</v>
      </c>
      <c r="N2908" s="7">
        <v>120900</v>
      </c>
      <c r="O2908" t="s">
        <v>57</v>
      </c>
      <c r="P2908" s="3">
        <v>41631</v>
      </c>
      <c r="Q2908" t="s">
        <v>19</v>
      </c>
    </row>
    <row r="2909" spans="1:17" x14ac:dyDescent="0.35">
      <c r="A2909" t="s">
        <v>2961</v>
      </c>
      <c r="B2909" t="s">
        <v>16</v>
      </c>
      <c r="C2909">
        <v>24</v>
      </c>
      <c r="D2909" t="s">
        <v>17</v>
      </c>
      <c r="E2909" t="s">
        <v>32</v>
      </c>
      <c r="F2909" t="s">
        <v>19</v>
      </c>
      <c r="G2909">
        <v>6.1</v>
      </c>
      <c r="H2909">
        <v>4.5999999999999996</v>
      </c>
      <c r="I2909" t="str" cm="1">
        <f t="array" ref="I2909">_xlfn.IFS(G2909&lt;3, "0–2 Years", G2909&lt;6, "3–5 Years", G2909&lt;9, "6–8 Years", G2909&lt;12, "9-11 Years", G2909&gt;=12, "12-14 Years")</f>
        <v>6–8 Years</v>
      </c>
      <c r="J2909">
        <v>3</v>
      </c>
      <c r="K2909" t="s">
        <v>24</v>
      </c>
      <c r="L2909">
        <v>34800</v>
      </c>
      <c r="M2909">
        <v>1900</v>
      </c>
      <c r="N2909">
        <v>36700</v>
      </c>
      <c r="O2909" t="s">
        <v>65</v>
      </c>
      <c r="P2909" s="3">
        <v>43783</v>
      </c>
      <c r="Q2909" t="s">
        <v>19</v>
      </c>
    </row>
    <row r="2910" spans="1:17" x14ac:dyDescent="0.35">
      <c r="A2910" t="s">
        <v>2962</v>
      </c>
      <c r="B2910" t="s">
        <v>23</v>
      </c>
      <c r="C2910">
        <v>38</v>
      </c>
      <c r="D2910" t="s">
        <v>17</v>
      </c>
      <c r="E2910" t="s">
        <v>27</v>
      </c>
      <c r="F2910" t="s">
        <v>28</v>
      </c>
      <c r="G2910">
        <v>2.2999999999999998</v>
      </c>
      <c r="H2910">
        <v>2.2000000000000002</v>
      </c>
      <c r="I2910" t="str" cm="1">
        <f t="array" ref="I2910">_xlfn.IFS(G2910&lt;3, "0–2 Years", G2910&lt;6, "3–5 Years", G2910&lt;9, "6–8 Years", G2910&lt;12, "9-11 Years", G2910&gt;=12, "12-14 Years")</f>
        <v>0–2 Years</v>
      </c>
      <c r="J2910">
        <v>4</v>
      </c>
      <c r="K2910" t="s">
        <v>20</v>
      </c>
      <c r="L2910">
        <v>70600</v>
      </c>
      <c r="M2910">
        <v>9000</v>
      </c>
      <c r="N2910">
        <v>79600</v>
      </c>
      <c r="O2910" t="s">
        <v>21</v>
      </c>
      <c r="P2910" s="3">
        <v>45193</v>
      </c>
      <c r="Q2910" t="s">
        <v>28</v>
      </c>
    </row>
    <row r="2911" spans="1:17" x14ac:dyDescent="0.35">
      <c r="A2911" t="s">
        <v>2963</v>
      </c>
      <c r="B2911" t="s">
        <v>23</v>
      </c>
      <c r="C2911">
        <v>27</v>
      </c>
      <c r="D2911" t="s">
        <v>34</v>
      </c>
      <c r="E2911" t="s">
        <v>59</v>
      </c>
      <c r="F2911" t="s">
        <v>28</v>
      </c>
      <c r="G2911">
        <v>7.4</v>
      </c>
      <c r="H2911">
        <v>4.4000000000000004</v>
      </c>
      <c r="I2911" t="str" cm="1">
        <f t="array" ref="I2911">_xlfn.IFS(G2911&lt;3, "0–2 Years", G2911&lt;6, "3–5 Years", G2911&lt;9, "6–8 Years", G2911&lt;12, "9-11 Years", G2911&gt;=12, "12-14 Years")</f>
        <v>6–8 Years</v>
      </c>
      <c r="J2911">
        <v>4</v>
      </c>
      <c r="K2911" t="s">
        <v>20</v>
      </c>
      <c r="L2911">
        <v>109900</v>
      </c>
      <c r="M2911">
        <v>11400</v>
      </c>
      <c r="N2911">
        <v>121300</v>
      </c>
      <c r="O2911" t="s">
        <v>57</v>
      </c>
      <c r="P2911" s="3">
        <v>43329</v>
      </c>
      <c r="Q2911" t="s">
        <v>28</v>
      </c>
    </row>
    <row r="2912" spans="1:17" x14ac:dyDescent="0.35">
      <c r="A2912" t="s">
        <v>2964</v>
      </c>
      <c r="B2912" t="s">
        <v>16</v>
      </c>
      <c r="C2912" s="7">
        <v>28</v>
      </c>
      <c r="D2912" t="s">
        <v>44</v>
      </c>
      <c r="E2912" t="s">
        <v>81</v>
      </c>
      <c r="F2912" t="s">
        <v>36</v>
      </c>
      <c r="G2912" s="9">
        <v>13.2</v>
      </c>
      <c r="H2912" s="7">
        <v>11.4</v>
      </c>
      <c r="I2912" t="str" cm="1">
        <f t="array" ref="I2912">_xlfn.IFS(G2912&lt;3, "0–2 Years", G2912&lt;6, "3–5 Years", G2912&lt;9, "6–8 Years", G2912&lt;12, "9-11 Years", G2912&gt;=12, "12-14 Years")</f>
        <v>12-14 Years</v>
      </c>
      <c r="J2912" s="7">
        <v>4</v>
      </c>
      <c r="K2912" t="s">
        <v>20</v>
      </c>
      <c r="L2912" s="7">
        <v>100700</v>
      </c>
      <c r="M2912" s="7">
        <v>5800</v>
      </c>
      <c r="N2912" s="7">
        <v>106500</v>
      </c>
      <c r="O2912" t="s">
        <v>57</v>
      </c>
      <c r="P2912" s="3">
        <v>41190</v>
      </c>
      <c r="Q2912" t="s">
        <v>36</v>
      </c>
    </row>
    <row r="2913" spans="1:17" x14ac:dyDescent="0.35">
      <c r="A2913" t="s">
        <v>2965</v>
      </c>
      <c r="B2913" t="s">
        <v>23</v>
      </c>
      <c r="C2913">
        <v>50</v>
      </c>
      <c r="D2913" t="s">
        <v>17</v>
      </c>
      <c r="E2913" t="s">
        <v>32</v>
      </c>
      <c r="F2913" t="s">
        <v>36</v>
      </c>
      <c r="G2913">
        <v>5.5</v>
      </c>
      <c r="H2913">
        <v>4.4000000000000004</v>
      </c>
      <c r="I2913" t="str" cm="1">
        <f t="array" ref="I2913">_xlfn.IFS(G2913&lt;3, "0–2 Years", G2913&lt;6, "3–5 Years", G2913&lt;9, "6–8 Years", G2913&lt;12, "9-11 Years", G2913&gt;=12, "12-14 Years")</f>
        <v>3–5 Years</v>
      </c>
      <c r="J2913">
        <v>3</v>
      </c>
      <c r="K2913" t="s">
        <v>20</v>
      </c>
      <c r="L2913">
        <v>71000</v>
      </c>
      <c r="M2913">
        <v>7300</v>
      </c>
      <c r="N2913">
        <v>78300</v>
      </c>
      <c r="O2913" t="s">
        <v>21</v>
      </c>
      <c r="P2913" s="3">
        <v>44022</v>
      </c>
      <c r="Q2913" t="s">
        <v>36</v>
      </c>
    </row>
    <row r="2914" spans="1:17" x14ac:dyDescent="0.35">
      <c r="A2914" t="s">
        <v>2966</v>
      </c>
      <c r="B2914" t="s">
        <v>23</v>
      </c>
      <c r="C2914">
        <v>33</v>
      </c>
      <c r="D2914" t="s">
        <v>41</v>
      </c>
      <c r="E2914" t="s">
        <v>73</v>
      </c>
      <c r="F2914" t="s">
        <v>19</v>
      </c>
      <c r="G2914">
        <v>2.8</v>
      </c>
      <c r="H2914">
        <v>2</v>
      </c>
      <c r="I2914" t="str" cm="1">
        <f t="array" ref="I2914">_xlfn.IFS(G2914&lt;3, "0–2 Years", G2914&lt;6, "3–5 Years", G2914&lt;9, "6–8 Years", G2914&lt;12, "9-11 Years", G2914&gt;=12, "12-14 Years")</f>
        <v>0–2 Years</v>
      </c>
      <c r="J2914">
        <v>4</v>
      </c>
      <c r="K2914" t="s">
        <v>20</v>
      </c>
      <c r="L2914">
        <v>97400</v>
      </c>
      <c r="M2914">
        <v>6700</v>
      </c>
      <c r="N2914">
        <v>104100</v>
      </c>
      <c r="O2914" t="s">
        <v>30</v>
      </c>
      <c r="P2914" s="3">
        <v>45016</v>
      </c>
      <c r="Q2914" t="s">
        <v>19</v>
      </c>
    </row>
    <row r="2915" spans="1:17" x14ac:dyDescent="0.35">
      <c r="A2915" t="s">
        <v>2967</v>
      </c>
      <c r="B2915" t="s">
        <v>23</v>
      </c>
      <c r="C2915">
        <v>27</v>
      </c>
      <c r="D2915" t="s">
        <v>38</v>
      </c>
      <c r="E2915" t="s">
        <v>39</v>
      </c>
      <c r="F2915" t="s">
        <v>36</v>
      </c>
      <c r="G2915">
        <v>11.1</v>
      </c>
      <c r="H2915">
        <v>7.4</v>
      </c>
      <c r="I2915" t="str" cm="1">
        <f t="array" ref="I2915">_xlfn.IFS(G2915&lt;3, "0–2 Years", G2915&lt;6, "3–5 Years", G2915&lt;9, "6–8 Years", G2915&lt;12, "9-11 Years", G2915&gt;=12, "12-14 Years")</f>
        <v>9-11 Years</v>
      </c>
      <c r="J2915">
        <v>3</v>
      </c>
      <c r="K2915" t="s">
        <v>24</v>
      </c>
      <c r="L2915">
        <v>52100</v>
      </c>
      <c r="M2915">
        <v>5400</v>
      </c>
      <c r="N2915">
        <v>57500</v>
      </c>
      <c r="O2915" t="s">
        <v>25</v>
      </c>
      <c r="P2915" s="3">
        <v>41975</v>
      </c>
      <c r="Q2915" t="s">
        <v>36</v>
      </c>
    </row>
    <row r="2916" spans="1:17" x14ac:dyDescent="0.35">
      <c r="A2916" t="s">
        <v>2968</v>
      </c>
      <c r="B2916" t="s">
        <v>23</v>
      </c>
      <c r="C2916">
        <v>45</v>
      </c>
      <c r="D2916" t="s">
        <v>17</v>
      </c>
      <c r="E2916" t="s">
        <v>32</v>
      </c>
      <c r="F2916" t="s">
        <v>36</v>
      </c>
      <c r="G2916">
        <v>10.5</v>
      </c>
      <c r="H2916">
        <v>5.6</v>
      </c>
      <c r="I2916" t="str" cm="1">
        <f t="array" ref="I2916">_xlfn.IFS(G2916&lt;3, "0–2 Years", G2916&lt;6, "3–5 Years", G2916&lt;9, "6–8 Years", G2916&lt;12, "9-11 Years", G2916&gt;=12, "12-14 Years")</f>
        <v>9-11 Years</v>
      </c>
      <c r="J2916">
        <v>3</v>
      </c>
      <c r="K2916" t="s">
        <v>69</v>
      </c>
      <c r="L2916">
        <v>55800</v>
      </c>
      <c r="M2916">
        <v>3600</v>
      </c>
      <c r="N2916">
        <v>59400</v>
      </c>
      <c r="O2916" t="s">
        <v>25</v>
      </c>
      <c r="P2916" s="3">
        <v>42172</v>
      </c>
      <c r="Q2916" t="s">
        <v>36</v>
      </c>
    </row>
    <row r="2917" spans="1:17" x14ac:dyDescent="0.35">
      <c r="A2917" t="s">
        <v>2969</v>
      </c>
      <c r="B2917" t="s">
        <v>16</v>
      </c>
      <c r="C2917">
        <v>51</v>
      </c>
      <c r="D2917" t="s">
        <v>41</v>
      </c>
      <c r="E2917" t="s">
        <v>73</v>
      </c>
      <c r="F2917" t="s">
        <v>28</v>
      </c>
      <c r="G2917">
        <v>9.6999999999999993</v>
      </c>
      <c r="H2917">
        <v>5.4</v>
      </c>
      <c r="I2917" t="str" cm="1">
        <f t="array" ref="I2917">_xlfn.IFS(G2917&lt;3, "0–2 Years", G2917&lt;6, "3–5 Years", G2917&lt;9, "6–8 Years", G2917&lt;12, "9-11 Years", G2917&gt;=12, "12-14 Years")</f>
        <v>9-11 Years</v>
      </c>
      <c r="J2917">
        <v>4</v>
      </c>
      <c r="K2917" t="s">
        <v>20</v>
      </c>
      <c r="L2917">
        <v>101400</v>
      </c>
      <c r="M2917">
        <v>8000</v>
      </c>
      <c r="N2917">
        <v>109400</v>
      </c>
      <c r="O2917" t="s">
        <v>57</v>
      </c>
      <c r="P2917" s="3">
        <v>42468</v>
      </c>
      <c r="Q2917" t="s">
        <v>28</v>
      </c>
    </row>
    <row r="2918" spans="1:17" x14ac:dyDescent="0.35">
      <c r="A2918" t="s">
        <v>2970</v>
      </c>
      <c r="B2918" t="s">
        <v>23</v>
      </c>
      <c r="C2918">
        <v>34</v>
      </c>
      <c r="D2918" t="s">
        <v>34</v>
      </c>
      <c r="E2918" t="s">
        <v>47</v>
      </c>
      <c r="F2918" t="s">
        <v>28</v>
      </c>
      <c r="G2918">
        <v>3.7</v>
      </c>
      <c r="H2918">
        <v>1.5</v>
      </c>
      <c r="I2918" t="str" cm="1">
        <f t="array" ref="I2918">_xlfn.IFS(G2918&lt;3, "0–2 Years", G2918&lt;6, "3–5 Years", G2918&lt;9, "6–8 Years", G2918&lt;12, "9-11 Years", G2918&gt;=12, "12-14 Years")</f>
        <v>3–5 Years</v>
      </c>
      <c r="J2918">
        <v>3</v>
      </c>
      <c r="K2918" t="s">
        <v>20</v>
      </c>
      <c r="L2918">
        <v>72000</v>
      </c>
      <c r="M2918">
        <v>6000</v>
      </c>
      <c r="N2918">
        <v>78000</v>
      </c>
      <c r="O2918" t="s">
        <v>21</v>
      </c>
      <c r="P2918" s="3">
        <v>44656</v>
      </c>
      <c r="Q2918" t="s">
        <v>28</v>
      </c>
    </row>
    <row r="2919" spans="1:17" x14ac:dyDescent="0.35">
      <c r="A2919" t="s">
        <v>2971</v>
      </c>
      <c r="B2919" t="s">
        <v>16</v>
      </c>
      <c r="C2919">
        <v>25</v>
      </c>
      <c r="D2919" t="s">
        <v>55</v>
      </c>
      <c r="E2919" t="s">
        <v>92</v>
      </c>
      <c r="F2919" t="s">
        <v>36</v>
      </c>
      <c r="G2919">
        <v>7</v>
      </c>
      <c r="H2919">
        <v>1.9</v>
      </c>
      <c r="I2919" t="str" cm="1">
        <f t="array" ref="I2919">_xlfn.IFS(G2919&lt;3, "0–2 Years", G2919&lt;6, "3–5 Years", G2919&lt;9, "6–8 Years", G2919&lt;12, "9-11 Years", G2919&gt;=12, "12-14 Years")</f>
        <v>6–8 Years</v>
      </c>
      <c r="J2919">
        <v>3</v>
      </c>
      <c r="K2919" t="s">
        <v>20</v>
      </c>
      <c r="L2919">
        <v>104000</v>
      </c>
      <c r="M2919">
        <v>15100</v>
      </c>
      <c r="N2919">
        <v>119100</v>
      </c>
      <c r="O2919" t="s">
        <v>57</v>
      </c>
      <c r="P2919" s="3">
        <v>43466</v>
      </c>
      <c r="Q2919" t="s">
        <v>36</v>
      </c>
    </row>
    <row r="2920" spans="1:17" x14ac:dyDescent="0.35">
      <c r="A2920" t="s">
        <v>2972</v>
      </c>
      <c r="B2920" t="s">
        <v>16</v>
      </c>
      <c r="C2920">
        <v>31</v>
      </c>
      <c r="D2920" t="s">
        <v>55</v>
      </c>
      <c r="E2920" t="s">
        <v>92</v>
      </c>
      <c r="F2920" t="s">
        <v>28</v>
      </c>
      <c r="G2920">
        <v>1.7</v>
      </c>
      <c r="H2920">
        <v>1.7</v>
      </c>
      <c r="I2920" t="str" cm="1">
        <f t="array" ref="I2920">_xlfn.IFS(G2920&lt;3, "0–2 Years", G2920&lt;6, "3–5 Years", G2920&lt;9, "6–8 Years", G2920&lt;12, "9-11 Years", G2920&gt;=12, "12-14 Years")</f>
        <v>0–2 Years</v>
      </c>
      <c r="J2920">
        <v>3</v>
      </c>
      <c r="K2920" t="s">
        <v>20</v>
      </c>
      <c r="L2920">
        <v>108200</v>
      </c>
      <c r="M2920">
        <v>16100</v>
      </c>
      <c r="N2920">
        <v>124300</v>
      </c>
      <c r="O2920" t="s">
        <v>57</v>
      </c>
      <c r="P2920" s="3">
        <v>45392</v>
      </c>
      <c r="Q2920" t="s">
        <v>28</v>
      </c>
    </row>
    <row r="2921" spans="1:17" x14ac:dyDescent="0.35">
      <c r="A2921" t="s">
        <v>2973</v>
      </c>
      <c r="B2921" t="s">
        <v>23</v>
      </c>
      <c r="C2921">
        <v>37</v>
      </c>
      <c r="D2921" t="s">
        <v>41</v>
      </c>
      <c r="E2921" t="s">
        <v>67</v>
      </c>
      <c r="F2921" t="s">
        <v>28</v>
      </c>
      <c r="G2921">
        <v>3.3</v>
      </c>
      <c r="H2921">
        <v>2.7</v>
      </c>
      <c r="I2921" t="str" cm="1">
        <f t="array" ref="I2921">_xlfn.IFS(G2921&lt;3, "0–2 Years", G2921&lt;6, "3–5 Years", G2921&lt;9, "6–8 Years", G2921&lt;12, "9-11 Years", G2921&gt;=12, "12-14 Years")</f>
        <v>3–5 Years</v>
      </c>
      <c r="J2921">
        <v>4</v>
      </c>
      <c r="K2921" t="s">
        <v>20</v>
      </c>
      <c r="L2921">
        <v>57800</v>
      </c>
      <c r="M2921">
        <v>3600</v>
      </c>
      <c r="N2921">
        <v>61400</v>
      </c>
      <c r="O2921" t="s">
        <v>25</v>
      </c>
      <c r="P2921" s="3">
        <v>44822</v>
      </c>
      <c r="Q2921" t="s">
        <v>28</v>
      </c>
    </row>
    <row r="2922" spans="1:17" x14ac:dyDescent="0.35">
      <c r="A2922" t="s">
        <v>2974</v>
      </c>
      <c r="B2922" t="s">
        <v>16</v>
      </c>
      <c r="C2922">
        <v>33</v>
      </c>
      <c r="D2922" t="s">
        <v>38</v>
      </c>
      <c r="E2922" t="s">
        <v>39</v>
      </c>
      <c r="F2922" t="s">
        <v>36</v>
      </c>
      <c r="G2922">
        <v>4.2</v>
      </c>
      <c r="H2922">
        <v>2.7</v>
      </c>
      <c r="I2922" t="str" cm="1">
        <f t="array" ref="I2922">_xlfn.IFS(G2922&lt;3, "0–2 Years", G2922&lt;6, "3–5 Years", G2922&lt;9, "6–8 Years", G2922&lt;12, "9-11 Years", G2922&gt;=12, "12-14 Years")</f>
        <v>3–5 Years</v>
      </c>
      <c r="J2922">
        <v>5</v>
      </c>
      <c r="K2922" t="s">
        <v>20</v>
      </c>
      <c r="L2922">
        <v>77900</v>
      </c>
      <c r="M2922">
        <v>8100</v>
      </c>
      <c r="N2922">
        <v>86000</v>
      </c>
      <c r="O2922" t="s">
        <v>21</v>
      </c>
      <c r="P2922" s="3">
        <v>44473</v>
      </c>
      <c r="Q2922" t="s">
        <v>36</v>
      </c>
    </row>
    <row r="2923" spans="1:17" x14ac:dyDescent="0.35">
      <c r="A2923" t="s">
        <v>2975</v>
      </c>
      <c r="B2923" t="s">
        <v>23</v>
      </c>
      <c r="C2923">
        <v>39</v>
      </c>
      <c r="D2923" t="s">
        <v>34</v>
      </c>
      <c r="E2923" t="s">
        <v>47</v>
      </c>
      <c r="F2923" t="s">
        <v>36</v>
      </c>
      <c r="G2923">
        <v>5.5</v>
      </c>
      <c r="H2923">
        <v>3.7</v>
      </c>
      <c r="I2923" t="str" cm="1">
        <f t="array" ref="I2923">_xlfn.IFS(G2923&lt;3, "0–2 Years", G2923&lt;6, "3–5 Years", G2923&lt;9, "6–8 Years", G2923&lt;12, "9-11 Years", G2923&gt;=12, "12-14 Years")</f>
        <v>3–5 Years</v>
      </c>
      <c r="J2923">
        <v>3</v>
      </c>
      <c r="K2923" t="s">
        <v>20</v>
      </c>
      <c r="L2923">
        <v>84200</v>
      </c>
      <c r="M2923">
        <v>4500</v>
      </c>
      <c r="N2923">
        <v>88700</v>
      </c>
      <c r="O2923" t="s">
        <v>30</v>
      </c>
      <c r="P2923" s="3">
        <v>44017</v>
      </c>
      <c r="Q2923" t="s">
        <v>36</v>
      </c>
    </row>
    <row r="2924" spans="1:17" x14ac:dyDescent="0.35">
      <c r="A2924" t="s">
        <v>2976</v>
      </c>
      <c r="B2924" t="s">
        <v>16</v>
      </c>
      <c r="C2924">
        <v>36</v>
      </c>
      <c r="D2924" t="s">
        <v>55</v>
      </c>
      <c r="E2924" t="s">
        <v>79</v>
      </c>
      <c r="F2924" t="s">
        <v>28</v>
      </c>
      <c r="G2924">
        <v>4.8</v>
      </c>
      <c r="H2924">
        <v>3.3</v>
      </c>
      <c r="I2924" t="str" cm="1">
        <f t="array" ref="I2924">_xlfn.IFS(G2924&lt;3, "0–2 Years", G2924&lt;6, "3–5 Years", G2924&lt;9, "6–8 Years", G2924&lt;12, "9-11 Years", G2924&gt;=12, "12-14 Years")</f>
        <v>3–5 Years</v>
      </c>
      <c r="J2924">
        <v>1</v>
      </c>
      <c r="K2924" t="s">
        <v>69</v>
      </c>
      <c r="L2924">
        <v>54500</v>
      </c>
      <c r="M2924">
        <v>8200</v>
      </c>
      <c r="N2924">
        <v>62700</v>
      </c>
      <c r="O2924" t="s">
        <v>25</v>
      </c>
      <c r="P2924" s="3">
        <v>44263</v>
      </c>
      <c r="Q2924" t="s">
        <v>28</v>
      </c>
    </row>
    <row r="2925" spans="1:17" x14ac:dyDescent="0.35">
      <c r="A2925" t="s">
        <v>2977</v>
      </c>
      <c r="B2925" t="s">
        <v>16</v>
      </c>
      <c r="C2925">
        <v>51</v>
      </c>
      <c r="D2925" t="s">
        <v>38</v>
      </c>
      <c r="E2925" t="s">
        <v>61</v>
      </c>
      <c r="F2925" t="s">
        <v>36</v>
      </c>
      <c r="G2925">
        <v>11.8</v>
      </c>
      <c r="H2925">
        <v>8.6</v>
      </c>
      <c r="I2925" t="str" cm="1">
        <f t="array" ref="I2925">_xlfn.IFS(G2925&lt;3, "0–2 Years", G2925&lt;6, "3–5 Years", G2925&lt;9, "6–8 Years", G2925&lt;12, "9-11 Years", G2925&gt;=12, "12-14 Years")</f>
        <v>9-11 Years</v>
      </c>
      <c r="J2925">
        <v>3</v>
      </c>
      <c r="K2925" t="s">
        <v>20</v>
      </c>
      <c r="L2925">
        <v>117800</v>
      </c>
      <c r="M2925">
        <v>12400</v>
      </c>
      <c r="N2925">
        <v>130200</v>
      </c>
      <c r="O2925" t="s">
        <v>57</v>
      </c>
      <c r="P2925" s="3">
        <v>41712</v>
      </c>
      <c r="Q2925" t="s">
        <v>36</v>
      </c>
    </row>
    <row r="2926" spans="1:17" x14ac:dyDescent="0.35">
      <c r="A2926" t="s">
        <v>2978</v>
      </c>
      <c r="B2926" t="s">
        <v>16</v>
      </c>
      <c r="C2926">
        <v>33</v>
      </c>
      <c r="D2926" t="s">
        <v>17</v>
      </c>
      <c r="E2926" t="s">
        <v>27</v>
      </c>
      <c r="F2926" t="s">
        <v>36</v>
      </c>
      <c r="G2926">
        <v>7.2</v>
      </c>
      <c r="H2926">
        <v>4.9000000000000004</v>
      </c>
      <c r="I2926" t="str" cm="1">
        <f t="array" ref="I2926">_xlfn.IFS(G2926&lt;3, "0–2 Years", G2926&lt;6, "3–5 Years", G2926&lt;9, "6–8 Years", G2926&lt;12, "9-11 Years", G2926&gt;=12, "12-14 Years")</f>
        <v>6–8 Years</v>
      </c>
      <c r="J2926">
        <v>1</v>
      </c>
      <c r="K2926" t="s">
        <v>20</v>
      </c>
      <c r="L2926">
        <v>68000</v>
      </c>
      <c r="M2926">
        <v>6200</v>
      </c>
      <c r="N2926">
        <v>74200</v>
      </c>
      <c r="O2926" t="s">
        <v>21</v>
      </c>
      <c r="P2926" s="3">
        <v>43377</v>
      </c>
      <c r="Q2926" t="s">
        <v>36</v>
      </c>
    </row>
    <row r="2927" spans="1:17" x14ac:dyDescent="0.35">
      <c r="A2927" t="s">
        <v>2979</v>
      </c>
      <c r="B2927" t="s">
        <v>23</v>
      </c>
      <c r="C2927">
        <v>38</v>
      </c>
      <c r="D2927" t="s">
        <v>44</v>
      </c>
      <c r="E2927" t="s">
        <v>51</v>
      </c>
      <c r="F2927" t="s">
        <v>28</v>
      </c>
      <c r="G2927">
        <v>1.7</v>
      </c>
      <c r="H2927">
        <v>0</v>
      </c>
      <c r="I2927" t="str" cm="1">
        <f t="array" ref="I2927">_xlfn.IFS(G2927&lt;3, "0–2 Years", G2927&lt;6, "3–5 Years", G2927&lt;9, "6–8 Years", G2927&lt;12, "9-11 Years", G2927&gt;=12, "12-14 Years")</f>
        <v>0–2 Years</v>
      </c>
      <c r="J2927">
        <v>3</v>
      </c>
      <c r="K2927" t="s">
        <v>69</v>
      </c>
      <c r="L2927">
        <v>57700</v>
      </c>
      <c r="M2927">
        <v>5200</v>
      </c>
      <c r="N2927">
        <v>62900</v>
      </c>
      <c r="O2927" t="s">
        <v>25</v>
      </c>
      <c r="P2927" s="3">
        <v>45393</v>
      </c>
      <c r="Q2927" t="s">
        <v>28</v>
      </c>
    </row>
    <row r="2928" spans="1:17" x14ac:dyDescent="0.35">
      <c r="A2928" t="s">
        <v>2980</v>
      </c>
      <c r="B2928" t="s">
        <v>16</v>
      </c>
      <c r="C2928">
        <v>35</v>
      </c>
      <c r="D2928" t="s">
        <v>55</v>
      </c>
      <c r="E2928" t="s">
        <v>92</v>
      </c>
      <c r="F2928" t="s">
        <v>36</v>
      </c>
      <c r="G2928">
        <v>10.1</v>
      </c>
      <c r="H2928">
        <v>6.1</v>
      </c>
      <c r="I2928" t="str" cm="1">
        <f t="array" ref="I2928">_xlfn.IFS(G2928&lt;3, "0–2 Years", G2928&lt;6, "3–5 Years", G2928&lt;9, "6–8 Years", G2928&lt;12, "9-11 Years", G2928&gt;=12, "12-14 Years")</f>
        <v>9-11 Years</v>
      </c>
      <c r="J2928">
        <v>4</v>
      </c>
      <c r="K2928" t="s">
        <v>24</v>
      </c>
      <c r="L2928">
        <v>78100</v>
      </c>
      <c r="M2928">
        <v>7500</v>
      </c>
      <c r="N2928">
        <v>85600</v>
      </c>
      <c r="O2928" t="s">
        <v>21</v>
      </c>
      <c r="P2928" s="3">
        <v>42351</v>
      </c>
      <c r="Q2928" t="s">
        <v>36</v>
      </c>
    </row>
    <row r="2929" spans="1:17" x14ac:dyDescent="0.35">
      <c r="A2929" t="s">
        <v>2981</v>
      </c>
      <c r="B2929" t="s">
        <v>16</v>
      </c>
      <c r="C2929">
        <v>33</v>
      </c>
      <c r="D2929" t="s">
        <v>41</v>
      </c>
      <c r="E2929" t="s">
        <v>42</v>
      </c>
      <c r="F2929" t="s">
        <v>28</v>
      </c>
      <c r="G2929">
        <v>5.5</v>
      </c>
      <c r="H2929">
        <v>4</v>
      </c>
      <c r="I2929" t="str" cm="1">
        <f t="array" ref="I2929">_xlfn.IFS(G2929&lt;3, "0–2 Years", G2929&lt;6, "3–5 Years", G2929&lt;9, "6–8 Years", G2929&lt;12, "9-11 Years", G2929&gt;=12, "12-14 Years")</f>
        <v>3–5 Years</v>
      </c>
      <c r="J2929">
        <v>3</v>
      </c>
      <c r="K2929" t="s">
        <v>20</v>
      </c>
      <c r="L2929">
        <v>78000</v>
      </c>
      <c r="M2929">
        <v>4900</v>
      </c>
      <c r="N2929">
        <v>82900</v>
      </c>
      <c r="O2929" t="s">
        <v>21</v>
      </c>
      <c r="P2929" s="3">
        <v>44016</v>
      </c>
      <c r="Q2929" t="s">
        <v>28</v>
      </c>
    </row>
    <row r="2930" spans="1:17" x14ac:dyDescent="0.35">
      <c r="A2930" t="s">
        <v>2982</v>
      </c>
      <c r="B2930" t="s">
        <v>23</v>
      </c>
      <c r="C2930">
        <v>38</v>
      </c>
      <c r="D2930" t="s">
        <v>34</v>
      </c>
      <c r="E2930" t="s">
        <v>35</v>
      </c>
      <c r="F2930" t="s">
        <v>36</v>
      </c>
      <c r="G2930">
        <v>4.5999999999999996</v>
      </c>
      <c r="H2930">
        <v>2.9</v>
      </c>
      <c r="I2930" t="str" cm="1">
        <f t="array" ref="I2930">_xlfn.IFS(G2930&lt;3, "0–2 Years", G2930&lt;6, "3–5 Years", G2930&lt;9, "6–8 Years", G2930&lt;12, "9-11 Years", G2930&gt;=12, "12-14 Years")</f>
        <v>3–5 Years</v>
      </c>
      <c r="J2930">
        <v>3</v>
      </c>
      <c r="K2930" t="s">
        <v>20</v>
      </c>
      <c r="L2930">
        <v>82900</v>
      </c>
      <c r="M2930">
        <v>4700</v>
      </c>
      <c r="N2930">
        <v>87600</v>
      </c>
      <c r="O2930" t="s">
        <v>30</v>
      </c>
      <c r="P2930" s="3">
        <v>44340</v>
      </c>
      <c r="Q2930" t="s">
        <v>36</v>
      </c>
    </row>
    <row r="2931" spans="1:17" x14ac:dyDescent="0.35">
      <c r="A2931" t="s">
        <v>2983</v>
      </c>
      <c r="B2931" t="s">
        <v>23</v>
      </c>
      <c r="C2931">
        <v>34</v>
      </c>
      <c r="D2931" t="s">
        <v>34</v>
      </c>
      <c r="E2931" t="s">
        <v>47</v>
      </c>
      <c r="F2931" t="s">
        <v>19</v>
      </c>
      <c r="G2931">
        <v>7</v>
      </c>
      <c r="H2931">
        <v>3.6</v>
      </c>
      <c r="I2931" t="str" cm="1">
        <f t="array" ref="I2931">_xlfn.IFS(G2931&lt;3, "0–2 Years", G2931&lt;6, "3–5 Years", G2931&lt;9, "6–8 Years", G2931&lt;12, "9-11 Years", G2931&gt;=12, "12-14 Years")</f>
        <v>6–8 Years</v>
      </c>
      <c r="J2931">
        <v>3</v>
      </c>
      <c r="K2931" t="s">
        <v>69</v>
      </c>
      <c r="L2931">
        <v>65600</v>
      </c>
      <c r="M2931">
        <v>5200</v>
      </c>
      <c r="N2931">
        <v>70800</v>
      </c>
      <c r="O2931" t="s">
        <v>21</v>
      </c>
      <c r="P2931" s="3">
        <v>43463</v>
      </c>
      <c r="Q2931" t="s">
        <v>19</v>
      </c>
    </row>
    <row r="2932" spans="1:17" x14ac:dyDescent="0.35">
      <c r="A2932" t="s">
        <v>2984</v>
      </c>
      <c r="B2932" t="s">
        <v>23</v>
      </c>
      <c r="C2932">
        <v>42</v>
      </c>
      <c r="D2932" t="s">
        <v>38</v>
      </c>
      <c r="E2932" t="s">
        <v>39</v>
      </c>
      <c r="F2932" t="s">
        <v>36</v>
      </c>
      <c r="G2932">
        <v>11.3</v>
      </c>
      <c r="H2932">
        <v>6.7</v>
      </c>
      <c r="I2932" t="str" cm="1">
        <f t="array" ref="I2932">_xlfn.IFS(G2932&lt;3, "0–2 Years", G2932&lt;6, "3–5 Years", G2932&lt;9, "6–8 Years", G2932&lt;12, "9-11 Years", G2932&gt;=12, "12-14 Years")</f>
        <v>9-11 Years</v>
      </c>
      <c r="J2932">
        <v>4</v>
      </c>
      <c r="K2932" t="s">
        <v>20</v>
      </c>
      <c r="L2932">
        <v>89600</v>
      </c>
      <c r="M2932">
        <v>7500</v>
      </c>
      <c r="N2932">
        <v>97100</v>
      </c>
      <c r="O2932" t="s">
        <v>30</v>
      </c>
      <c r="P2932" s="3">
        <v>41900</v>
      </c>
      <c r="Q2932" t="s">
        <v>36</v>
      </c>
    </row>
    <row r="2933" spans="1:17" x14ac:dyDescent="0.35">
      <c r="A2933" t="s">
        <v>2985</v>
      </c>
      <c r="B2933" t="s">
        <v>23</v>
      </c>
      <c r="C2933">
        <v>29</v>
      </c>
      <c r="D2933" t="s">
        <v>34</v>
      </c>
      <c r="E2933" t="s">
        <v>59</v>
      </c>
      <c r="F2933" t="s">
        <v>62</v>
      </c>
      <c r="G2933">
        <v>7.1</v>
      </c>
      <c r="H2933">
        <v>4.9000000000000004</v>
      </c>
      <c r="I2933" t="str" cm="1">
        <f t="array" ref="I2933">_xlfn.IFS(G2933&lt;3, "0–2 Years", G2933&lt;6, "3–5 Years", G2933&lt;9, "6–8 Years", G2933&lt;12, "9-11 Years", G2933&gt;=12, "12-14 Years")</f>
        <v>6–8 Years</v>
      </c>
      <c r="J2933">
        <v>2</v>
      </c>
      <c r="K2933" t="s">
        <v>20</v>
      </c>
      <c r="L2933">
        <v>103800</v>
      </c>
      <c r="M2933">
        <v>9200</v>
      </c>
      <c r="N2933">
        <v>113000</v>
      </c>
      <c r="O2933" t="s">
        <v>57</v>
      </c>
      <c r="P2933" s="3">
        <v>43445</v>
      </c>
      <c r="Q2933" t="s">
        <v>62</v>
      </c>
    </row>
    <row r="2934" spans="1:17" x14ac:dyDescent="0.35">
      <c r="A2934" t="s">
        <v>2986</v>
      </c>
      <c r="B2934" t="s">
        <v>23</v>
      </c>
      <c r="C2934">
        <v>37</v>
      </c>
      <c r="D2934" t="s">
        <v>38</v>
      </c>
      <c r="E2934" t="s">
        <v>39</v>
      </c>
      <c r="F2934" t="s">
        <v>36</v>
      </c>
      <c r="G2934">
        <v>10.5</v>
      </c>
      <c r="H2934">
        <v>7</v>
      </c>
      <c r="I2934" t="str" cm="1">
        <f t="array" ref="I2934">_xlfn.IFS(G2934&lt;3, "0–2 Years", G2934&lt;6, "3–5 Years", G2934&lt;9, "6–8 Years", G2934&lt;12, "9-11 Years", G2934&gt;=12, "12-14 Years")</f>
        <v>9-11 Years</v>
      </c>
      <c r="J2934">
        <v>3</v>
      </c>
      <c r="K2934" t="s">
        <v>20</v>
      </c>
      <c r="L2934">
        <v>82700</v>
      </c>
      <c r="M2934">
        <v>7900</v>
      </c>
      <c r="N2934">
        <v>90600</v>
      </c>
      <c r="O2934" t="s">
        <v>30</v>
      </c>
      <c r="P2934" s="3">
        <v>42186</v>
      </c>
      <c r="Q2934" t="s">
        <v>36</v>
      </c>
    </row>
    <row r="2935" spans="1:17" x14ac:dyDescent="0.35">
      <c r="A2935" t="s">
        <v>2987</v>
      </c>
      <c r="B2935" t="s">
        <v>16</v>
      </c>
      <c r="C2935">
        <v>32</v>
      </c>
      <c r="D2935" t="s">
        <v>55</v>
      </c>
      <c r="E2935" t="s">
        <v>79</v>
      </c>
      <c r="F2935" t="s">
        <v>36</v>
      </c>
      <c r="G2935">
        <v>9.1999999999999993</v>
      </c>
      <c r="H2935">
        <v>5.9</v>
      </c>
      <c r="I2935" t="str" cm="1">
        <f t="array" ref="I2935">_xlfn.IFS(G2935&lt;3, "0–2 Years", G2935&lt;6, "3–5 Years", G2935&lt;9, "6–8 Years", G2935&lt;12, "9-11 Years", G2935&gt;=12, "12-14 Years")</f>
        <v>9-11 Years</v>
      </c>
      <c r="J2935">
        <v>4</v>
      </c>
      <c r="K2935" t="s">
        <v>20</v>
      </c>
      <c r="L2935">
        <v>67500</v>
      </c>
      <c r="M2935">
        <v>7000</v>
      </c>
      <c r="N2935">
        <v>74500</v>
      </c>
      <c r="O2935" t="s">
        <v>21</v>
      </c>
      <c r="P2935" s="3">
        <v>42659</v>
      </c>
      <c r="Q2935" t="s">
        <v>36</v>
      </c>
    </row>
    <row r="2936" spans="1:17" x14ac:dyDescent="0.35">
      <c r="A2936" t="s">
        <v>2988</v>
      </c>
      <c r="B2936" t="s">
        <v>23</v>
      </c>
      <c r="C2936">
        <v>23</v>
      </c>
      <c r="D2936" t="s">
        <v>38</v>
      </c>
      <c r="E2936" t="s">
        <v>39</v>
      </c>
      <c r="F2936" t="s">
        <v>19</v>
      </c>
      <c r="G2936">
        <v>10.1</v>
      </c>
      <c r="H2936">
        <v>8.6999999999999993</v>
      </c>
      <c r="I2936" t="str" cm="1">
        <f t="array" ref="I2936">_xlfn.IFS(G2936&lt;3, "0–2 Years", G2936&lt;6, "3–5 Years", G2936&lt;9, "6–8 Years", G2936&lt;12, "9-11 Years", G2936&gt;=12, "12-14 Years")</f>
        <v>9-11 Years</v>
      </c>
      <c r="J2936">
        <v>4</v>
      </c>
      <c r="K2936" t="s">
        <v>20</v>
      </c>
      <c r="L2936">
        <v>82100</v>
      </c>
      <c r="M2936">
        <v>3700</v>
      </c>
      <c r="N2936">
        <v>85800</v>
      </c>
      <c r="O2936" t="s">
        <v>30</v>
      </c>
      <c r="P2936" s="3">
        <v>42322</v>
      </c>
      <c r="Q2936" t="s">
        <v>19</v>
      </c>
    </row>
    <row r="2937" spans="1:17" x14ac:dyDescent="0.35">
      <c r="A2937" t="s">
        <v>2989</v>
      </c>
      <c r="B2937" t="s">
        <v>23</v>
      </c>
      <c r="C2937">
        <v>27</v>
      </c>
      <c r="D2937" t="s">
        <v>55</v>
      </c>
      <c r="E2937" t="s">
        <v>79</v>
      </c>
      <c r="F2937" t="s">
        <v>28</v>
      </c>
      <c r="G2937">
        <v>6.1</v>
      </c>
      <c r="H2937">
        <v>4.3</v>
      </c>
      <c r="I2937" t="str" cm="1">
        <f t="array" ref="I2937">_xlfn.IFS(G2937&lt;3, "0–2 Years", G2937&lt;6, "3–5 Years", G2937&lt;9, "6–8 Years", G2937&lt;12, "9-11 Years", G2937&gt;=12, "12-14 Years")</f>
        <v>6–8 Years</v>
      </c>
      <c r="J2937">
        <v>2</v>
      </c>
      <c r="K2937" t="s">
        <v>20</v>
      </c>
      <c r="L2937">
        <v>68000</v>
      </c>
      <c r="M2937">
        <v>5700</v>
      </c>
      <c r="N2937">
        <v>73700</v>
      </c>
      <c r="O2937" t="s">
        <v>21</v>
      </c>
      <c r="P2937" s="3">
        <v>43812</v>
      </c>
      <c r="Q2937" t="s">
        <v>28</v>
      </c>
    </row>
    <row r="2938" spans="1:17" x14ac:dyDescent="0.35">
      <c r="A2938" t="s">
        <v>2990</v>
      </c>
      <c r="B2938" t="s">
        <v>16</v>
      </c>
      <c r="C2938">
        <v>46</v>
      </c>
      <c r="D2938" t="s">
        <v>38</v>
      </c>
      <c r="E2938" t="s">
        <v>112</v>
      </c>
      <c r="F2938" t="s">
        <v>36</v>
      </c>
      <c r="G2938">
        <v>2</v>
      </c>
      <c r="H2938">
        <v>0.7</v>
      </c>
      <c r="I2938" t="str" cm="1">
        <f t="array" ref="I2938">_xlfn.IFS(G2938&lt;3, "0–2 Years", G2938&lt;6, "3–5 Years", G2938&lt;9, "6–8 Years", G2938&lt;12, "9-11 Years", G2938&gt;=12, "12-14 Years")</f>
        <v>0–2 Years</v>
      </c>
      <c r="J2938">
        <v>2</v>
      </c>
      <c r="K2938" t="s">
        <v>20</v>
      </c>
      <c r="L2938">
        <v>66900</v>
      </c>
      <c r="M2938">
        <v>5300</v>
      </c>
      <c r="N2938">
        <v>72200</v>
      </c>
      <c r="O2938" t="s">
        <v>21</v>
      </c>
      <c r="P2938" s="3">
        <v>45278</v>
      </c>
      <c r="Q2938" t="s">
        <v>36</v>
      </c>
    </row>
    <row r="2939" spans="1:17" x14ac:dyDescent="0.35">
      <c r="A2939" t="s">
        <v>2991</v>
      </c>
      <c r="B2939" t="s">
        <v>23</v>
      </c>
      <c r="C2939">
        <v>25</v>
      </c>
      <c r="D2939" t="s">
        <v>17</v>
      </c>
      <c r="E2939" t="s">
        <v>32</v>
      </c>
      <c r="F2939" t="s">
        <v>28</v>
      </c>
      <c r="G2939">
        <v>9.9</v>
      </c>
      <c r="H2939">
        <v>6.8</v>
      </c>
      <c r="I2939" t="str" cm="1">
        <f t="array" ref="I2939">_xlfn.IFS(G2939&lt;3, "0–2 Years", G2939&lt;6, "3–5 Years", G2939&lt;9, "6–8 Years", G2939&lt;12, "9-11 Years", G2939&gt;=12, "12-14 Years")</f>
        <v>9-11 Years</v>
      </c>
      <c r="J2939">
        <v>2</v>
      </c>
      <c r="K2939" t="s">
        <v>24</v>
      </c>
      <c r="L2939">
        <v>39000</v>
      </c>
      <c r="M2939">
        <v>4400</v>
      </c>
      <c r="N2939">
        <v>43400</v>
      </c>
      <c r="O2939" t="s">
        <v>65</v>
      </c>
      <c r="P2939" s="3">
        <v>42394</v>
      </c>
      <c r="Q2939" t="s">
        <v>28</v>
      </c>
    </row>
    <row r="2940" spans="1:17" x14ac:dyDescent="0.35">
      <c r="A2940" t="s">
        <v>2992</v>
      </c>
      <c r="B2940" t="s">
        <v>23</v>
      </c>
      <c r="C2940">
        <v>30</v>
      </c>
      <c r="D2940" t="s">
        <v>55</v>
      </c>
      <c r="E2940" t="s">
        <v>56</v>
      </c>
      <c r="F2940" t="s">
        <v>28</v>
      </c>
      <c r="G2940">
        <v>8.6</v>
      </c>
      <c r="H2940">
        <v>4.0999999999999996</v>
      </c>
      <c r="I2940" t="str" cm="1">
        <f t="array" ref="I2940">_xlfn.IFS(G2940&lt;3, "0–2 Years", G2940&lt;6, "3–5 Years", G2940&lt;9, "6–8 Years", G2940&lt;12, "9-11 Years", G2940&gt;=12, "12-14 Years")</f>
        <v>6–8 Years</v>
      </c>
      <c r="J2940">
        <v>4</v>
      </c>
      <c r="K2940" t="s">
        <v>20</v>
      </c>
      <c r="L2940">
        <v>103100</v>
      </c>
      <c r="M2940">
        <v>11600</v>
      </c>
      <c r="N2940">
        <v>114700</v>
      </c>
      <c r="O2940" t="s">
        <v>57</v>
      </c>
      <c r="P2940" s="3">
        <v>42891</v>
      </c>
      <c r="Q2940" t="s">
        <v>28</v>
      </c>
    </row>
    <row r="2941" spans="1:17" x14ac:dyDescent="0.35">
      <c r="A2941" t="s">
        <v>2993</v>
      </c>
      <c r="B2941" t="s">
        <v>16</v>
      </c>
      <c r="C2941">
        <v>39</v>
      </c>
      <c r="D2941" t="s">
        <v>41</v>
      </c>
      <c r="E2941" t="s">
        <v>73</v>
      </c>
      <c r="F2941" t="s">
        <v>62</v>
      </c>
      <c r="G2941">
        <v>1.5</v>
      </c>
      <c r="H2941">
        <v>1.5</v>
      </c>
      <c r="I2941" t="str" cm="1">
        <f t="array" ref="I2941">_xlfn.IFS(G2941&lt;3, "0–2 Years", G2941&lt;6, "3–5 Years", G2941&lt;9, "6–8 Years", G2941&lt;12, "9-11 Years", G2941&gt;=12, "12-14 Years")</f>
        <v>0–2 Years</v>
      </c>
      <c r="J2941">
        <v>1</v>
      </c>
      <c r="K2941" t="s">
        <v>20</v>
      </c>
      <c r="L2941">
        <v>101000</v>
      </c>
      <c r="M2941">
        <v>4400</v>
      </c>
      <c r="N2941">
        <v>105400</v>
      </c>
      <c r="O2941" t="s">
        <v>57</v>
      </c>
      <c r="P2941" s="3">
        <v>45471</v>
      </c>
      <c r="Q2941" t="s">
        <v>62</v>
      </c>
    </row>
    <row r="2942" spans="1:17" x14ac:dyDescent="0.35">
      <c r="A2942" t="s">
        <v>2994</v>
      </c>
      <c r="B2942" t="s">
        <v>23</v>
      </c>
      <c r="C2942">
        <v>27</v>
      </c>
      <c r="D2942" t="s">
        <v>41</v>
      </c>
      <c r="E2942" t="s">
        <v>73</v>
      </c>
      <c r="F2942" t="s">
        <v>28</v>
      </c>
      <c r="G2942">
        <v>9.1999999999999993</v>
      </c>
      <c r="H2942">
        <v>6.2</v>
      </c>
      <c r="I2942" t="str" cm="1">
        <f t="array" ref="I2942">_xlfn.IFS(G2942&lt;3, "0–2 Years", G2942&lt;6, "3–5 Years", G2942&lt;9, "6–8 Years", G2942&lt;12, "9-11 Years", G2942&gt;=12, "12-14 Years")</f>
        <v>9-11 Years</v>
      </c>
      <c r="J2942">
        <v>2</v>
      </c>
      <c r="K2942" t="s">
        <v>20</v>
      </c>
      <c r="L2942">
        <v>97500</v>
      </c>
      <c r="M2942">
        <v>5800</v>
      </c>
      <c r="N2942">
        <v>103300</v>
      </c>
      <c r="O2942" t="s">
        <v>30</v>
      </c>
      <c r="P2942" s="3">
        <v>42680</v>
      </c>
      <c r="Q2942" t="s">
        <v>28</v>
      </c>
    </row>
    <row r="2943" spans="1:17" x14ac:dyDescent="0.35">
      <c r="A2943" t="s">
        <v>2995</v>
      </c>
      <c r="B2943" t="s">
        <v>23</v>
      </c>
      <c r="C2943" s="7">
        <v>28</v>
      </c>
      <c r="D2943" t="s">
        <v>44</v>
      </c>
      <c r="E2943" t="s">
        <v>51</v>
      </c>
      <c r="F2943" t="s">
        <v>19</v>
      </c>
      <c r="G2943" s="9">
        <v>13.1</v>
      </c>
      <c r="H2943" s="7">
        <v>8.6999999999999993</v>
      </c>
      <c r="I2943" t="str" cm="1">
        <f t="array" ref="I2943">_xlfn.IFS(G2943&lt;3, "0–2 Years", G2943&lt;6, "3–5 Years", G2943&lt;9, "6–8 Years", G2943&lt;12, "9-11 Years", G2943&gt;=12, "12-14 Years")</f>
        <v>12-14 Years</v>
      </c>
      <c r="J2943" s="7">
        <v>3</v>
      </c>
      <c r="K2943" t="s">
        <v>20</v>
      </c>
      <c r="L2943" s="7">
        <v>89900</v>
      </c>
      <c r="M2943" s="7">
        <v>4800</v>
      </c>
      <c r="N2943" s="7">
        <v>94700</v>
      </c>
      <c r="O2943" t="s">
        <v>30</v>
      </c>
      <c r="P2943" s="3">
        <v>41230</v>
      </c>
      <c r="Q2943" t="s">
        <v>19</v>
      </c>
    </row>
    <row r="2944" spans="1:17" x14ac:dyDescent="0.35">
      <c r="A2944" t="s">
        <v>2996</v>
      </c>
      <c r="B2944" t="s">
        <v>16</v>
      </c>
      <c r="C2944">
        <v>36</v>
      </c>
      <c r="D2944" t="s">
        <v>38</v>
      </c>
      <c r="E2944" t="s">
        <v>61</v>
      </c>
      <c r="F2944" t="s">
        <v>28</v>
      </c>
      <c r="G2944">
        <v>2.2999999999999998</v>
      </c>
      <c r="H2944">
        <v>0.1</v>
      </c>
      <c r="I2944" t="str" cm="1">
        <f t="array" ref="I2944">_xlfn.IFS(G2944&lt;3, "0–2 Years", G2944&lt;6, "3–5 Years", G2944&lt;9, "6–8 Years", G2944&lt;12, "9-11 Years", G2944&gt;=12, "12-14 Years")</f>
        <v>0–2 Years</v>
      </c>
      <c r="J2944">
        <v>2</v>
      </c>
      <c r="K2944" t="s">
        <v>20</v>
      </c>
      <c r="L2944">
        <v>88500</v>
      </c>
      <c r="M2944">
        <v>9200</v>
      </c>
      <c r="N2944">
        <v>97700</v>
      </c>
      <c r="O2944" t="s">
        <v>30</v>
      </c>
      <c r="P2944" s="3">
        <v>45179</v>
      </c>
      <c r="Q2944" t="s">
        <v>28</v>
      </c>
    </row>
    <row r="2945" spans="1:17" x14ac:dyDescent="0.35">
      <c r="A2945" t="s">
        <v>2997</v>
      </c>
      <c r="B2945" t="s">
        <v>16</v>
      </c>
      <c r="C2945">
        <v>32</v>
      </c>
      <c r="D2945" t="s">
        <v>34</v>
      </c>
      <c r="E2945" t="s">
        <v>35</v>
      </c>
      <c r="F2945" t="s">
        <v>28</v>
      </c>
      <c r="G2945">
        <v>4</v>
      </c>
      <c r="H2945">
        <v>4</v>
      </c>
      <c r="I2945" t="str" cm="1">
        <f t="array" ref="I2945">_xlfn.IFS(G2945&lt;3, "0–2 Years", G2945&lt;6, "3–5 Years", G2945&lt;9, "6–8 Years", G2945&lt;12, "9-11 Years", G2945&gt;=12, "12-14 Years")</f>
        <v>3–5 Years</v>
      </c>
      <c r="J2945">
        <v>4</v>
      </c>
      <c r="K2945" t="s">
        <v>20</v>
      </c>
      <c r="L2945">
        <v>75100</v>
      </c>
      <c r="M2945">
        <v>4400</v>
      </c>
      <c r="N2945">
        <v>79500</v>
      </c>
      <c r="O2945" t="s">
        <v>21</v>
      </c>
      <c r="P2945" s="3">
        <v>44567</v>
      </c>
      <c r="Q2945" t="s">
        <v>28</v>
      </c>
    </row>
    <row r="2946" spans="1:17" x14ac:dyDescent="0.35">
      <c r="A2946" t="s">
        <v>2998</v>
      </c>
      <c r="B2946" t="s">
        <v>16</v>
      </c>
      <c r="C2946">
        <v>38</v>
      </c>
      <c r="D2946" t="s">
        <v>55</v>
      </c>
      <c r="E2946" t="s">
        <v>79</v>
      </c>
      <c r="F2946" t="s">
        <v>28</v>
      </c>
      <c r="G2946">
        <v>5.4</v>
      </c>
      <c r="H2946">
        <v>3</v>
      </c>
      <c r="I2946" t="str" cm="1">
        <f t="array" ref="I2946">_xlfn.IFS(G2946&lt;3, "0–2 Years", G2946&lt;6, "3–5 Years", G2946&lt;9, "6–8 Years", G2946&lt;12, "9-11 Years", G2946&gt;=12, "12-14 Years")</f>
        <v>3–5 Years</v>
      </c>
      <c r="J2946">
        <v>3</v>
      </c>
      <c r="K2946" t="s">
        <v>24</v>
      </c>
      <c r="L2946">
        <v>37300</v>
      </c>
      <c r="M2946">
        <v>4800</v>
      </c>
      <c r="N2946">
        <v>42100</v>
      </c>
      <c r="O2946" t="s">
        <v>65</v>
      </c>
      <c r="P2946" s="3">
        <v>44060</v>
      </c>
      <c r="Q2946" t="s">
        <v>28</v>
      </c>
    </row>
    <row r="2947" spans="1:17" x14ac:dyDescent="0.35">
      <c r="A2947" t="s">
        <v>2999</v>
      </c>
      <c r="B2947" t="s">
        <v>23</v>
      </c>
      <c r="C2947" s="7">
        <v>40</v>
      </c>
      <c r="D2947" t="s">
        <v>17</v>
      </c>
      <c r="E2947" t="s">
        <v>32</v>
      </c>
      <c r="F2947" t="s">
        <v>36</v>
      </c>
      <c r="G2947" s="9">
        <v>12.9</v>
      </c>
      <c r="H2947" s="7">
        <v>9.1999999999999993</v>
      </c>
      <c r="I2947" t="str" cm="1">
        <f t="array" ref="I2947">_xlfn.IFS(G2947&lt;3, "0–2 Years", G2947&lt;6, "3–5 Years", G2947&lt;9, "6–8 Years", G2947&lt;12, "9-11 Years", G2947&gt;=12, "12-14 Years")</f>
        <v>12-14 Years</v>
      </c>
      <c r="J2947" s="7">
        <v>4</v>
      </c>
      <c r="K2947" t="s">
        <v>20</v>
      </c>
      <c r="L2947" s="7">
        <v>69500</v>
      </c>
      <c r="M2947" s="7">
        <v>6000</v>
      </c>
      <c r="N2947" s="7">
        <v>75500</v>
      </c>
      <c r="O2947" t="s">
        <v>21</v>
      </c>
      <c r="P2947" s="3">
        <v>41326</v>
      </c>
      <c r="Q2947" t="s">
        <v>36</v>
      </c>
    </row>
    <row r="2948" spans="1:17" x14ac:dyDescent="0.35">
      <c r="A2948" t="s">
        <v>3000</v>
      </c>
      <c r="B2948" t="s">
        <v>23</v>
      </c>
      <c r="C2948">
        <v>28</v>
      </c>
      <c r="D2948" t="s">
        <v>38</v>
      </c>
      <c r="E2948" t="s">
        <v>61</v>
      </c>
      <c r="F2948" t="s">
        <v>28</v>
      </c>
      <c r="G2948">
        <v>5.4</v>
      </c>
      <c r="H2948">
        <v>3.3</v>
      </c>
      <c r="I2948" t="str" cm="1">
        <f t="array" ref="I2948">_xlfn.IFS(G2948&lt;3, "0–2 Years", G2948&lt;6, "3–5 Years", G2948&lt;9, "6–8 Years", G2948&lt;12, "9-11 Years", G2948&gt;=12, "12-14 Years")</f>
        <v>3–5 Years</v>
      </c>
      <c r="J2948">
        <v>3</v>
      </c>
      <c r="K2948" t="s">
        <v>20</v>
      </c>
      <c r="L2948">
        <v>103800</v>
      </c>
      <c r="M2948">
        <v>6100</v>
      </c>
      <c r="N2948">
        <v>109900</v>
      </c>
      <c r="O2948" t="s">
        <v>57</v>
      </c>
      <c r="P2948" s="3">
        <v>44038</v>
      </c>
      <c r="Q2948" t="s">
        <v>28</v>
      </c>
    </row>
    <row r="2949" spans="1:17" x14ac:dyDescent="0.35">
      <c r="A2949" t="s">
        <v>3001</v>
      </c>
      <c r="B2949" t="s">
        <v>23</v>
      </c>
      <c r="C2949">
        <v>43</v>
      </c>
      <c r="D2949" t="s">
        <v>38</v>
      </c>
      <c r="E2949" t="s">
        <v>112</v>
      </c>
      <c r="F2949" t="s">
        <v>36</v>
      </c>
      <c r="G2949">
        <v>9.4</v>
      </c>
      <c r="H2949">
        <v>6.6</v>
      </c>
      <c r="I2949" t="str" cm="1">
        <f t="array" ref="I2949">_xlfn.IFS(G2949&lt;3, "0–2 Years", G2949&lt;6, "3–5 Years", G2949&lt;9, "6–8 Years", G2949&lt;12, "9-11 Years", G2949&gt;=12, "12-14 Years")</f>
        <v>9-11 Years</v>
      </c>
      <c r="J2949">
        <v>1</v>
      </c>
      <c r="K2949" t="s">
        <v>20</v>
      </c>
      <c r="L2949">
        <v>73800</v>
      </c>
      <c r="M2949">
        <v>3800</v>
      </c>
      <c r="N2949">
        <v>77600</v>
      </c>
      <c r="O2949" t="s">
        <v>21</v>
      </c>
      <c r="P2949" s="3">
        <v>42581</v>
      </c>
      <c r="Q2949" t="s">
        <v>36</v>
      </c>
    </row>
    <row r="2950" spans="1:17" x14ac:dyDescent="0.35">
      <c r="A2950" t="s">
        <v>3002</v>
      </c>
      <c r="B2950" t="s">
        <v>23</v>
      </c>
      <c r="C2950" s="7">
        <v>33</v>
      </c>
      <c r="D2950" t="s">
        <v>44</v>
      </c>
      <c r="E2950" t="s">
        <v>45</v>
      </c>
      <c r="F2950" t="s">
        <v>36</v>
      </c>
      <c r="G2950" s="9">
        <v>12.6</v>
      </c>
      <c r="H2950" s="7">
        <v>6.9</v>
      </c>
      <c r="I2950" t="str" cm="1">
        <f t="array" ref="I2950">_xlfn.IFS(G2950&lt;3, "0–2 Years", G2950&lt;6, "3–5 Years", G2950&lt;9, "6–8 Years", G2950&lt;12, "9-11 Years", G2950&gt;=12, "12-14 Years")</f>
        <v>12-14 Years</v>
      </c>
      <c r="J2950" s="7">
        <v>3</v>
      </c>
      <c r="K2950" t="s">
        <v>24</v>
      </c>
      <c r="L2950" s="7">
        <v>52600</v>
      </c>
      <c r="M2950" s="7">
        <v>7200</v>
      </c>
      <c r="N2950" s="7">
        <v>59800</v>
      </c>
      <c r="O2950" t="s">
        <v>25</v>
      </c>
      <c r="P2950" s="3">
        <v>41408</v>
      </c>
      <c r="Q2950" t="s">
        <v>36</v>
      </c>
    </row>
    <row r="2951" spans="1:17" x14ac:dyDescent="0.35">
      <c r="A2951" t="s">
        <v>3003</v>
      </c>
      <c r="B2951" t="s">
        <v>23</v>
      </c>
      <c r="C2951">
        <v>34</v>
      </c>
      <c r="D2951" t="s">
        <v>41</v>
      </c>
      <c r="E2951" t="s">
        <v>73</v>
      </c>
      <c r="F2951" t="s">
        <v>36</v>
      </c>
      <c r="G2951">
        <v>4.2</v>
      </c>
      <c r="H2951">
        <v>1.5</v>
      </c>
      <c r="I2951" t="str" cm="1">
        <f t="array" ref="I2951">_xlfn.IFS(G2951&lt;3, "0–2 Years", G2951&lt;6, "3–5 Years", G2951&lt;9, "6–8 Years", G2951&lt;12, "9-11 Years", G2951&gt;=12, "12-14 Years")</f>
        <v>3–5 Years</v>
      </c>
      <c r="J2951">
        <v>4</v>
      </c>
      <c r="K2951" t="s">
        <v>20</v>
      </c>
      <c r="L2951">
        <v>98200</v>
      </c>
      <c r="M2951">
        <v>3800</v>
      </c>
      <c r="N2951">
        <v>102000</v>
      </c>
      <c r="O2951" t="s">
        <v>30</v>
      </c>
      <c r="P2951" s="3">
        <v>44503</v>
      </c>
      <c r="Q2951" t="s">
        <v>36</v>
      </c>
    </row>
    <row r="2952" spans="1:17" x14ac:dyDescent="0.35">
      <c r="A2952" t="s">
        <v>3004</v>
      </c>
      <c r="B2952" t="s">
        <v>16</v>
      </c>
      <c r="C2952" s="7">
        <v>31</v>
      </c>
      <c r="D2952" t="s">
        <v>17</v>
      </c>
      <c r="E2952" t="s">
        <v>18</v>
      </c>
      <c r="F2952" t="s">
        <v>36</v>
      </c>
      <c r="G2952" s="9">
        <v>12.6</v>
      </c>
      <c r="H2952" s="7">
        <v>7.9</v>
      </c>
      <c r="I2952" t="str" cm="1">
        <f t="array" ref="I2952">_xlfn.IFS(G2952&lt;3, "0–2 Years", G2952&lt;6, "3–5 Years", G2952&lt;9, "6–8 Years", G2952&lt;12, "9-11 Years", G2952&gt;=12, "12-14 Years")</f>
        <v>12-14 Years</v>
      </c>
      <c r="J2952" s="7">
        <v>5</v>
      </c>
      <c r="K2952" t="s">
        <v>20</v>
      </c>
      <c r="L2952" s="7">
        <v>109300</v>
      </c>
      <c r="M2952" s="7">
        <v>13600</v>
      </c>
      <c r="N2952" s="7">
        <v>122900</v>
      </c>
      <c r="O2952" t="s">
        <v>57</v>
      </c>
      <c r="P2952" s="3">
        <v>41405</v>
      </c>
      <c r="Q2952" t="s">
        <v>36</v>
      </c>
    </row>
    <row r="2953" spans="1:17" x14ac:dyDescent="0.35">
      <c r="A2953" t="s">
        <v>3005</v>
      </c>
      <c r="B2953" t="s">
        <v>23</v>
      </c>
      <c r="C2953">
        <v>34</v>
      </c>
      <c r="D2953" t="s">
        <v>55</v>
      </c>
      <c r="E2953" t="s">
        <v>56</v>
      </c>
      <c r="F2953" t="s">
        <v>28</v>
      </c>
      <c r="G2953">
        <v>11.5</v>
      </c>
      <c r="H2953">
        <v>7.6</v>
      </c>
      <c r="I2953" t="str" cm="1">
        <f t="array" ref="I2953">_xlfn.IFS(G2953&lt;3, "0–2 Years", G2953&lt;6, "3–5 Years", G2953&lt;9, "6–8 Years", G2953&lt;12, "9-11 Years", G2953&gt;=12, "12-14 Years")</f>
        <v>9-11 Years</v>
      </c>
      <c r="J2953">
        <v>4</v>
      </c>
      <c r="K2953" t="s">
        <v>20</v>
      </c>
      <c r="L2953">
        <v>107500</v>
      </c>
      <c r="M2953">
        <v>20600</v>
      </c>
      <c r="N2953">
        <v>128100</v>
      </c>
      <c r="O2953" t="s">
        <v>57</v>
      </c>
      <c r="P2953" s="3">
        <v>41827</v>
      </c>
      <c r="Q2953" t="s">
        <v>28</v>
      </c>
    </row>
    <row r="2954" spans="1:17" x14ac:dyDescent="0.35">
      <c r="A2954" t="s">
        <v>3006</v>
      </c>
      <c r="B2954" t="s">
        <v>16</v>
      </c>
      <c r="C2954">
        <v>42</v>
      </c>
      <c r="D2954" t="s">
        <v>44</v>
      </c>
      <c r="E2954" t="s">
        <v>51</v>
      </c>
      <c r="F2954" t="s">
        <v>28</v>
      </c>
      <c r="G2954">
        <v>7.8</v>
      </c>
      <c r="H2954">
        <v>4.7</v>
      </c>
      <c r="I2954" t="str" cm="1">
        <f t="array" ref="I2954">_xlfn.IFS(G2954&lt;3, "0–2 Years", G2954&lt;6, "3–5 Years", G2954&lt;9, "6–8 Years", G2954&lt;12, "9-11 Years", G2954&gt;=12, "12-14 Years")</f>
        <v>6–8 Years</v>
      </c>
      <c r="J2954">
        <v>4</v>
      </c>
      <c r="K2954" t="s">
        <v>20</v>
      </c>
      <c r="L2954">
        <v>80500</v>
      </c>
      <c r="M2954">
        <v>5300</v>
      </c>
      <c r="N2954">
        <v>85800</v>
      </c>
      <c r="O2954" t="s">
        <v>30</v>
      </c>
      <c r="P2954" s="3">
        <v>43184</v>
      </c>
      <c r="Q2954" t="s">
        <v>28</v>
      </c>
    </row>
    <row r="2955" spans="1:17" x14ac:dyDescent="0.35">
      <c r="A2955" t="s">
        <v>3007</v>
      </c>
      <c r="B2955" t="s">
        <v>23</v>
      </c>
      <c r="C2955">
        <v>45</v>
      </c>
      <c r="D2955" t="s">
        <v>34</v>
      </c>
      <c r="E2955" t="s">
        <v>59</v>
      </c>
      <c r="F2955" t="s">
        <v>28</v>
      </c>
      <c r="G2955">
        <v>5.2</v>
      </c>
      <c r="H2955">
        <v>0.5</v>
      </c>
      <c r="I2955" t="str" cm="1">
        <f t="array" ref="I2955">_xlfn.IFS(G2955&lt;3, "0–2 Years", G2955&lt;6, "3–5 Years", G2955&lt;9, "6–8 Years", G2955&lt;12, "9-11 Years", G2955&gt;=12, "12-14 Years")</f>
        <v>3–5 Years</v>
      </c>
      <c r="J2955">
        <v>2</v>
      </c>
      <c r="K2955" t="s">
        <v>20</v>
      </c>
      <c r="L2955">
        <v>108100</v>
      </c>
      <c r="M2955">
        <v>12400</v>
      </c>
      <c r="N2955">
        <v>120500</v>
      </c>
      <c r="O2955" t="s">
        <v>57</v>
      </c>
      <c r="P2955" s="3">
        <v>44113</v>
      </c>
      <c r="Q2955" t="s">
        <v>28</v>
      </c>
    </row>
    <row r="2956" spans="1:17" x14ac:dyDescent="0.35">
      <c r="A2956" t="s">
        <v>3008</v>
      </c>
      <c r="B2956" t="s">
        <v>23</v>
      </c>
      <c r="C2956">
        <v>36</v>
      </c>
      <c r="D2956" t="s">
        <v>17</v>
      </c>
      <c r="E2956" t="s">
        <v>32</v>
      </c>
      <c r="F2956" t="s">
        <v>28</v>
      </c>
      <c r="G2956">
        <v>3.8</v>
      </c>
      <c r="H2956">
        <v>3.8</v>
      </c>
      <c r="I2956" t="str" cm="1">
        <f t="array" ref="I2956">_xlfn.IFS(G2956&lt;3, "0–2 Years", G2956&lt;6, "3–5 Years", G2956&lt;9, "6–8 Years", G2956&lt;12, "9-11 Years", G2956&gt;=12, "12-14 Years")</f>
        <v>3–5 Years</v>
      </c>
      <c r="J2956">
        <v>3</v>
      </c>
      <c r="K2956" t="s">
        <v>69</v>
      </c>
      <c r="L2956">
        <v>55600</v>
      </c>
      <c r="M2956">
        <v>5600</v>
      </c>
      <c r="N2956">
        <v>61200</v>
      </c>
      <c r="O2956" t="s">
        <v>25</v>
      </c>
      <c r="P2956" s="3">
        <v>44647</v>
      </c>
      <c r="Q2956" t="s">
        <v>28</v>
      </c>
    </row>
    <row r="2957" spans="1:17" x14ac:dyDescent="0.35">
      <c r="A2957" t="s">
        <v>3009</v>
      </c>
      <c r="B2957" t="s">
        <v>16</v>
      </c>
      <c r="C2957">
        <v>23</v>
      </c>
      <c r="D2957" t="s">
        <v>38</v>
      </c>
      <c r="E2957" t="s">
        <v>61</v>
      </c>
      <c r="F2957" t="s">
        <v>28</v>
      </c>
      <c r="G2957">
        <v>2.4</v>
      </c>
      <c r="H2957">
        <v>0.8</v>
      </c>
      <c r="I2957" t="str" cm="1">
        <f t="array" ref="I2957">_xlfn.IFS(G2957&lt;3, "0–2 Years", G2957&lt;6, "3–5 Years", G2957&lt;9, "6–8 Years", G2957&lt;12, "9-11 Years", G2957&gt;=12, "12-14 Years")</f>
        <v>0–2 Years</v>
      </c>
      <c r="J2957">
        <v>4</v>
      </c>
      <c r="K2957" t="s">
        <v>20</v>
      </c>
      <c r="L2957">
        <v>91200</v>
      </c>
      <c r="M2957">
        <v>9100</v>
      </c>
      <c r="N2957">
        <v>100300</v>
      </c>
      <c r="O2957" t="s">
        <v>30</v>
      </c>
      <c r="P2957" s="3">
        <v>45139</v>
      </c>
      <c r="Q2957" t="s">
        <v>28</v>
      </c>
    </row>
    <row r="2958" spans="1:17" x14ac:dyDescent="0.35">
      <c r="A2958" t="s">
        <v>3010</v>
      </c>
      <c r="B2958" t="s">
        <v>23</v>
      </c>
      <c r="C2958">
        <v>23</v>
      </c>
      <c r="D2958" t="s">
        <v>17</v>
      </c>
      <c r="E2958" t="s">
        <v>18</v>
      </c>
      <c r="F2958" t="s">
        <v>28</v>
      </c>
      <c r="G2958">
        <v>11.5</v>
      </c>
      <c r="H2958">
        <v>7.4</v>
      </c>
      <c r="I2958" t="str" cm="1">
        <f t="array" ref="I2958">_xlfn.IFS(G2958&lt;3, "0–2 Years", G2958&lt;6, "3–5 Years", G2958&lt;9, "6–8 Years", G2958&lt;12, "9-11 Years", G2958&gt;=12, "12-14 Years")</f>
        <v>9-11 Years</v>
      </c>
      <c r="J2958">
        <v>3</v>
      </c>
      <c r="K2958" t="s">
        <v>69</v>
      </c>
      <c r="L2958">
        <v>88400</v>
      </c>
      <c r="M2958">
        <v>8800</v>
      </c>
      <c r="N2958">
        <v>97200</v>
      </c>
      <c r="O2958" t="s">
        <v>30</v>
      </c>
      <c r="P2958" s="3">
        <v>41813</v>
      </c>
      <c r="Q2958" t="s">
        <v>28</v>
      </c>
    </row>
    <row r="2959" spans="1:17" x14ac:dyDescent="0.35">
      <c r="A2959" t="s">
        <v>3011</v>
      </c>
      <c r="B2959" t="s">
        <v>16</v>
      </c>
      <c r="C2959">
        <v>33</v>
      </c>
      <c r="D2959" t="s">
        <v>55</v>
      </c>
      <c r="E2959" t="s">
        <v>79</v>
      </c>
      <c r="F2959" t="s">
        <v>28</v>
      </c>
      <c r="G2959">
        <v>7.3</v>
      </c>
      <c r="H2959">
        <v>2.6</v>
      </c>
      <c r="I2959" t="str" cm="1">
        <f t="array" ref="I2959">_xlfn.IFS(G2959&lt;3, "0–2 Years", G2959&lt;6, "3–5 Years", G2959&lt;9, "6–8 Years", G2959&lt;12, "9-11 Years", G2959&gt;=12, "12-14 Years")</f>
        <v>6–8 Years</v>
      </c>
      <c r="J2959">
        <v>3</v>
      </c>
      <c r="K2959" t="s">
        <v>20</v>
      </c>
      <c r="L2959">
        <v>59900</v>
      </c>
      <c r="M2959">
        <v>4800</v>
      </c>
      <c r="N2959">
        <v>64700</v>
      </c>
      <c r="O2959" t="s">
        <v>25</v>
      </c>
      <c r="P2959" s="3">
        <v>43361</v>
      </c>
      <c r="Q2959" t="s">
        <v>28</v>
      </c>
    </row>
    <row r="2960" spans="1:17" x14ac:dyDescent="0.35">
      <c r="A2960" t="s">
        <v>3012</v>
      </c>
      <c r="B2960" t="s">
        <v>23</v>
      </c>
      <c r="C2960">
        <v>21</v>
      </c>
      <c r="D2960" t="s">
        <v>38</v>
      </c>
      <c r="E2960" t="s">
        <v>112</v>
      </c>
      <c r="F2960" t="s">
        <v>28</v>
      </c>
      <c r="G2960">
        <v>11.7</v>
      </c>
      <c r="H2960">
        <v>7</v>
      </c>
      <c r="I2960" t="str" cm="1">
        <f t="array" ref="I2960">_xlfn.IFS(G2960&lt;3, "0–2 Years", G2960&lt;6, "3–5 Years", G2960&lt;9, "6–8 Years", G2960&lt;12, "9-11 Years", G2960&gt;=12, "12-14 Years")</f>
        <v>9-11 Years</v>
      </c>
      <c r="J2960">
        <v>4</v>
      </c>
      <c r="K2960" t="s">
        <v>20</v>
      </c>
      <c r="L2960">
        <v>75400</v>
      </c>
      <c r="M2960">
        <v>3700</v>
      </c>
      <c r="N2960">
        <v>79100</v>
      </c>
      <c r="O2960" t="s">
        <v>21</v>
      </c>
      <c r="P2960" s="3">
        <v>41736</v>
      </c>
      <c r="Q2960" t="s">
        <v>28</v>
      </c>
    </row>
    <row r="2961" spans="1:17" x14ac:dyDescent="0.35">
      <c r="A2961" t="s">
        <v>3013</v>
      </c>
      <c r="B2961" t="s">
        <v>23</v>
      </c>
      <c r="C2961">
        <v>39</v>
      </c>
      <c r="D2961" t="s">
        <v>41</v>
      </c>
      <c r="E2961" t="s">
        <v>67</v>
      </c>
      <c r="F2961" t="s">
        <v>28</v>
      </c>
      <c r="G2961">
        <v>9.9</v>
      </c>
      <c r="H2961">
        <v>5.9</v>
      </c>
      <c r="I2961" t="str" cm="1">
        <f t="array" ref="I2961">_xlfn.IFS(G2961&lt;3, "0–2 Years", G2961&lt;6, "3–5 Years", G2961&lt;9, "6–8 Years", G2961&lt;12, "9-11 Years", G2961&gt;=12, "12-14 Years")</f>
        <v>9-11 Years</v>
      </c>
      <c r="J2961">
        <v>1</v>
      </c>
      <c r="K2961" t="s">
        <v>20</v>
      </c>
      <c r="L2961">
        <v>69400</v>
      </c>
      <c r="M2961">
        <v>5400</v>
      </c>
      <c r="N2961">
        <v>74800</v>
      </c>
      <c r="O2961" t="s">
        <v>21</v>
      </c>
      <c r="P2961" s="3">
        <v>42397</v>
      </c>
      <c r="Q2961" t="s">
        <v>28</v>
      </c>
    </row>
    <row r="2962" spans="1:17" x14ac:dyDescent="0.35">
      <c r="A2962" t="s">
        <v>3014</v>
      </c>
      <c r="B2962" t="s">
        <v>16</v>
      </c>
      <c r="C2962" s="7">
        <v>40</v>
      </c>
      <c r="D2962" t="s">
        <v>41</v>
      </c>
      <c r="E2962" t="s">
        <v>42</v>
      </c>
      <c r="F2962" t="s">
        <v>28</v>
      </c>
      <c r="G2962" s="9">
        <v>12.1</v>
      </c>
      <c r="H2962" s="7">
        <v>9.6</v>
      </c>
      <c r="I2962" t="str" cm="1">
        <f t="array" ref="I2962">_xlfn.IFS(G2962&lt;3, "0–2 Years", G2962&lt;6, "3–5 Years", G2962&lt;9, "6–8 Years", G2962&lt;12, "9-11 Years", G2962&gt;=12, "12-14 Years")</f>
        <v>12-14 Years</v>
      </c>
      <c r="J2962" s="7">
        <v>3</v>
      </c>
      <c r="K2962" t="s">
        <v>20</v>
      </c>
      <c r="L2962" s="7">
        <v>78300</v>
      </c>
      <c r="M2962" s="7">
        <v>3000</v>
      </c>
      <c r="N2962" s="7">
        <v>81300</v>
      </c>
      <c r="O2962" t="s">
        <v>21</v>
      </c>
      <c r="P2962" s="3">
        <v>41595</v>
      </c>
      <c r="Q2962" t="s">
        <v>28</v>
      </c>
    </row>
    <row r="2963" spans="1:17" x14ac:dyDescent="0.35">
      <c r="A2963" t="s">
        <v>3015</v>
      </c>
      <c r="B2963" t="s">
        <v>23</v>
      </c>
      <c r="C2963" s="7">
        <v>29</v>
      </c>
      <c r="D2963" t="s">
        <v>55</v>
      </c>
      <c r="E2963" t="s">
        <v>56</v>
      </c>
      <c r="F2963" t="s">
        <v>28</v>
      </c>
      <c r="G2963" s="9">
        <v>12.4</v>
      </c>
      <c r="H2963" s="7">
        <v>8.1999999999999993</v>
      </c>
      <c r="I2963" t="str" cm="1">
        <f t="array" ref="I2963">_xlfn.IFS(G2963&lt;3, "0–2 Years", G2963&lt;6, "3–5 Years", G2963&lt;9, "6–8 Years", G2963&lt;12, "9-11 Years", G2963&gt;=12, "12-14 Years")</f>
        <v>12-14 Years</v>
      </c>
      <c r="J2963" s="7">
        <v>3</v>
      </c>
      <c r="K2963" t="s">
        <v>20</v>
      </c>
      <c r="L2963" s="7">
        <v>102100</v>
      </c>
      <c r="M2963" s="7">
        <v>17000</v>
      </c>
      <c r="N2963" s="7">
        <v>119100</v>
      </c>
      <c r="O2963" t="s">
        <v>57</v>
      </c>
      <c r="P2963" s="3">
        <v>41501</v>
      </c>
      <c r="Q2963" t="s">
        <v>28</v>
      </c>
    </row>
    <row r="2964" spans="1:17" x14ac:dyDescent="0.35">
      <c r="A2964" t="s">
        <v>3016</v>
      </c>
      <c r="B2964" t="s">
        <v>23</v>
      </c>
      <c r="C2964">
        <v>27</v>
      </c>
      <c r="D2964" t="s">
        <v>55</v>
      </c>
      <c r="E2964" t="s">
        <v>92</v>
      </c>
      <c r="F2964" t="s">
        <v>36</v>
      </c>
      <c r="G2964">
        <v>10.5</v>
      </c>
      <c r="H2964">
        <v>6.2</v>
      </c>
      <c r="I2964" t="str" cm="1">
        <f t="array" ref="I2964">_xlfn.IFS(G2964&lt;3, "0–2 Years", G2964&lt;6, "3–5 Years", G2964&lt;9, "6–8 Years", G2964&lt;12, "9-11 Years", G2964&gt;=12, "12-14 Years")</f>
        <v>9-11 Years</v>
      </c>
      <c r="J2964">
        <v>5</v>
      </c>
      <c r="K2964" t="s">
        <v>24</v>
      </c>
      <c r="L2964">
        <v>63900</v>
      </c>
      <c r="M2964">
        <v>11600</v>
      </c>
      <c r="N2964">
        <v>75500</v>
      </c>
      <c r="O2964" t="s">
        <v>25</v>
      </c>
      <c r="P2964" s="3">
        <v>42198</v>
      </c>
      <c r="Q2964" t="s">
        <v>36</v>
      </c>
    </row>
    <row r="2965" spans="1:17" x14ac:dyDescent="0.35">
      <c r="A2965" t="s">
        <v>3017</v>
      </c>
      <c r="B2965" t="s">
        <v>23</v>
      </c>
      <c r="C2965" s="7">
        <v>43</v>
      </c>
      <c r="D2965" t="s">
        <v>17</v>
      </c>
      <c r="E2965" t="s">
        <v>32</v>
      </c>
      <c r="F2965" t="s">
        <v>19</v>
      </c>
      <c r="G2965" s="9">
        <v>13.1</v>
      </c>
      <c r="H2965" s="7">
        <v>6.3</v>
      </c>
      <c r="I2965" t="str" cm="1">
        <f t="array" ref="I2965">_xlfn.IFS(G2965&lt;3, "0–2 Years", G2965&lt;6, "3–5 Years", G2965&lt;9, "6–8 Years", G2965&lt;12, "9-11 Years", G2965&gt;=12, "12-14 Years")</f>
        <v>12-14 Years</v>
      </c>
      <c r="J2965" s="7">
        <v>3</v>
      </c>
      <c r="K2965" t="s">
        <v>20</v>
      </c>
      <c r="L2965" s="7">
        <v>65700</v>
      </c>
      <c r="M2965" s="7">
        <v>6700</v>
      </c>
      <c r="N2965" s="7">
        <v>72400</v>
      </c>
      <c r="O2965" t="s">
        <v>21</v>
      </c>
      <c r="P2965" s="3">
        <v>41252</v>
      </c>
      <c r="Q2965" t="s">
        <v>19</v>
      </c>
    </row>
    <row r="2966" spans="1:17" x14ac:dyDescent="0.35">
      <c r="A2966" t="s">
        <v>3018</v>
      </c>
      <c r="B2966" t="s">
        <v>23</v>
      </c>
      <c r="C2966" s="7">
        <v>21</v>
      </c>
      <c r="D2966" t="s">
        <v>17</v>
      </c>
      <c r="E2966" t="s">
        <v>27</v>
      </c>
      <c r="F2966" t="s">
        <v>19</v>
      </c>
      <c r="G2966" s="9">
        <v>12.7</v>
      </c>
      <c r="H2966" s="7">
        <v>7.2</v>
      </c>
      <c r="I2966" t="str" cm="1">
        <f t="array" ref="I2966">_xlfn.IFS(G2966&lt;3, "0–2 Years", G2966&lt;6, "3–5 Years", G2966&lt;9, "6–8 Years", G2966&lt;12, "9-11 Years", G2966&gt;=12, "12-14 Years")</f>
        <v>12-14 Years</v>
      </c>
      <c r="J2966" s="7">
        <v>3</v>
      </c>
      <c r="K2966" t="s">
        <v>20</v>
      </c>
      <c r="L2966" s="7">
        <v>84200</v>
      </c>
      <c r="M2966" s="7">
        <v>5800</v>
      </c>
      <c r="N2966" s="7">
        <v>90000</v>
      </c>
      <c r="O2966" t="s">
        <v>30</v>
      </c>
      <c r="P2966" s="3">
        <v>41375</v>
      </c>
      <c r="Q2966" t="s">
        <v>19</v>
      </c>
    </row>
    <row r="2967" spans="1:17" x14ac:dyDescent="0.35">
      <c r="A2967" t="s">
        <v>3019</v>
      </c>
      <c r="B2967" t="s">
        <v>16</v>
      </c>
      <c r="C2967" s="7">
        <v>30</v>
      </c>
      <c r="D2967" t="s">
        <v>55</v>
      </c>
      <c r="E2967" t="s">
        <v>56</v>
      </c>
      <c r="F2967" t="s">
        <v>28</v>
      </c>
      <c r="G2967" s="9">
        <v>12.8</v>
      </c>
      <c r="H2967" s="7">
        <v>9.9</v>
      </c>
      <c r="I2967" t="str" cm="1">
        <f t="array" ref="I2967">_xlfn.IFS(G2967&lt;3, "0–2 Years", G2967&lt;6, "3–5 Years", G2967&lt;9, "6–8 Years", G2967&lt;12, "9-11 Years", G2967&gt;=12, "12-14 Years")</f>
        <v>12-14 Years</v>
      </c>
      <c r="J2967" s="7">
        <v>3</v>
      </c>
      <c r="K2967" t="s">
        <v>20</v>
      </c>
      <c r="L2967" s="7">
        <v>112600</v>
      </c>
      <c r="M2967" s="7">
        <v>21700</v>
      </c>
      <c r="N2967" s="7">
        <v>134300</v>
      </c>
      <c r="O2967" t="s">
        <v>57</v>
      </c>
      <c r="P2967" s="3">
        <v>41343</v>
      </c>
      <c r="Q2967" t="s">
        <v>28</v>
      </c>
    </row>
    <row r="2968" spans="1:17" x14ac:dyDescent="0.35">
      <c r="A2968" t="s">
        <v>3020</v>
      </c>
      <c r="B2968" t="s">
        <v>16</v>
      </c>
      <c r="C2968">
        <v>34</v>
      </c>
      <c r="D2968" t="s">
        <v>55</v>
      </c>
      <c r="E2968" t="s">
        <v>92</v>
      </c>
      <c r="F2968" t="s">
        <v>28</v>
      </c>
      <c r="G2968">
        <v>2.2999999999999998</v>
      </c>
      <c r="H2968">
        <v>2.1</v>
      </c>
      <c r="I2968" t="str" cm="1">
        <f t="array" ref="I2968">_xlfn.IFS(G2968&lt;3, "0–2 Years", G2968&lt;6, "3–5 Years", G2968&lt;9, "6–8 Years", G2968&lt;12, "9-11 Years", G2968&gt;=12, "12-14 Years")</f>
        <v>0–2 Years</v>
      </c>
      <c r="J2968">
        <v>4</v>
      </c>
      <c r="K2968" t="s">
        <v>20</v>
      </c>
      <c r="L2968">
        <v>103700</v>
      </c>
      <c r="M2968">
        <v>14500</v>
      </c>
      <c r="N2968">
        <v>118200</v>
      </c>
      <c r="O2968" t="s">
        <v>57</v>
      </c>
      <c r="P2968" s="3">
        <v>45179</v>
      </c>
      <c r="Q2968" t="s">
        <v>28</v>
      </c>
    </row>
    <row r="2969" spans="1:17" x14ac:dyDescent="0.35">
      <c r="A2969" t="s">
        <v>3021</v>
      </c>
      <c r="B2969" t="s">
        <v>23</v>
      </c>
      <c r="C2969">
        <v>31</v>
      </c>
      <c r="D2969" t="s">
        <v>55</v>
      </c>
      <c r="E2969" t="s">
        <v>79</v>
      </c>
      <c r="F2969" t="s">
        <v>28</v>
      </c>
      <c r="G2969">
        <v>4.9000000000000004</v>
      </c>
      <c r="H2969">
        <v>1.5</v>
      </c>
      <c r="I2969" t="str" cm="1">
        <f t="array" ref="I2969">_xlfn.IFS(G2969&lt;3, "0–2 Years", G2969&lt;6, "3–5 Years", G2969&lt;9, "6–8 Years", G2969&lt;12, "9-11 Years", G2969&gt;=12, "12-14 Years")</f>
        <v>3–5 Years</v>
      </c>
      <c r="J2969">
        <v>3</v>
      </c>
      <c r="K2969" t="s">
        <v>20</v>
      </c>
      <c r="L2969">
        <v>63300</v>
      </c>
      <c r="M2969">
        <v>4600</v>
      </c>
      <c r="N2969">
        <v>67900</v>
      </c>
      <c r="O2969" t="s">
        <v>25</v>
      </c>
      <c r="P2969" s="3">
        <v>44228</v>
      </c>
      <c r="Q2969" t="s">
        <v>28</v>
      </c>
    </row>
    <row r="2970" spans="1:17" x14ac:dyDescent="0.35">
      <c r="A2970" t="s">
        <v>3022</v>
      </c>
      <c r="B2970" t="s">
        <v>23</v>
      </c>
      <c r="C2970">
        <v>32</v>
      </c>
      <c r="D2970" t="s">
        <v>44</v>
      </c>
      <c r="E2970" t="s">
        <v>81</v>
      </c>
      <c r="F2970" t="s">
        <v>36</v>
      </c>
      <c r="G2970">
        <v>9.6</v>
      </c>
      <c r="H2970">
        <v>8.3000000000000007</v>
      </c>
      <c r="I2970" t="str" cm="1">
        <f t="array" ref="I2970">_xlfn.IFS(G2970&lt;3, "0–2 Years", G2970&lt;6, "3–5 Years", G2970&lt;9, "6–8 Years", G2970&lt;12, "9-11 Years", G2970&gt;=12, "12-14 Years")</f>
        <v>9-11 Years</v>
      </c>
      <c r="J2970">
        <v>3</v>
      </c>
      <c r="K2970" t="s">
        <v>20</v>
      </c>
      <c r="L2970">
        <v>106600</v>
      </c>
      <c r="M2970">
        <v>7000</v>
      </c>
      <c r="N2970">
        <v>113600</v>
      </c>
      <c r="O2970" t="s">
        <v>57</v>
      </c>
      <c r="P2970" s="3">
        <v>42528</v>
      </c>
      <c r="Q2970" t="s">
        <v>36</v>
      </c>
    </row>
    <row r="2971" spans="1:17" x14ac:dyDescent="0.35">
      <c r="A2971" t="s">
        <v>3023</v>
      </c>
      <c r="B2971" t="s">
        <v>23</v>
      </c>
      <c r="C2971">
        <v>40</v>
      </c>
      <c r="D2971" t="s">
        <v>41</v>
      </c>
      <c r="E2971" t="s">
        <v>42</v>
      </c>
      <c r="F2971" t="s">
        <v>28</v>
      </c>
      <c r="G2971">
        <v>2.5</v>
      </c>
      <c r="H2971">
        <v>1.2</v>
      </c>
      <c r="I2971" t="str" cm="1">
        <f t="array" ref="I2971">_xlfn.IFS(G2971&lt;3, "0–2 Years", G2971&lt;6, "3–5 Years", G2971&lt;9, "6–8 Years", G2971&lt;12, "9-11 Years", G2971&gt;=12, "12-14 Years")</f>
        <v>0–2 Years</v>
      </c>
      <c r="J2971">
        <v>4</v>
      </c>
      <c r="K2971" t="s">
        <v>20</v>
      </c>
      <c r="L2971">
        <v>75300</v>
      </c>
      <c r="M2971">
        <v>6300</v>
      </c>
      <c r="N2971">
        <v>81600</v>
      </c>
      <c r="O2971" t="s">
        <v>21</v>
      </c>
      <c r="P2971" s="3">
        <v>45113</v>
      </c>
      <c r="Q2971" t="s">
        <v>28</v>
      </c>
    </row>
    <row r="2972" spans="1:17" x14ac:dyDescent="0.35">
      <c r="A2972" t="s">
        <v>3024</v>
      </c>
      <c r="B2972" t="s">
        <v>16</v>
      </c>
      <c r="C2972">
        <v>42</v>
      </c>
      <c r="D2972" t="s">
        <v>34</v>
      </c>
      <c r="E2972" t="s">
        <v>35</v>
      </c>
      <c r="F2972" t="s">
        <v>28</v>
      </c>
      <c r="G2972">
        <v>11</v>
      </c>
      <c r="H2972">
        <v>10.1</v>
      </c>
      <c r="I2972" t="str" cm="1">
        <f t="array" ref="I2972">_xlfn.IFS(G2972&lt;3, "0–2 Years", G2972&lt;6, "3–5 Years", G2972&lt;9, "6–8 Years", G2972&lt;12, "9-11 Years", G2972&gt;=12, "12-14 Years")</f>
        <v>9-11 Years</v>
      </c>
      <c r="J2972">
        <v>3</v>
      </c>
      <c r="K2972" t="s">
        <v>20</v>
      </c>
      <c r="L2972">
        <v>79900</v>
      </c>
      <c r="M2972">
        <v>6000</v>
      </c>
      <c r="N2972">
        <v>85900</v>
      </c>
      <c r="O2972" t="s">
        <v>21</v>
      </c>
      <c r="P2972" s="3">
        <v>42003</v>
      </c>
      <c r="Q2972" t="s">
        <v>28</v>
      </c>
    </row>
    <row r="2973" spans="1:17" x14ac:dyDescent="0.35">
      <c r="A2973" t="s">
        <v>3025</v>
      </c>
      <c r="B2973" t="s">
        <v>23</v>
      </c>
      <c r="C2973" s="7">
        <v>34</v>
      </c>
      <c r="D2973" t="s">
        <v>41</v>
      </c>
      <c r="E2973" t="s">
        <v>73</v>
      </c>
      <c r="F2973" t="s">
        <v>62</v>
      </c>
      <c r="G2973" s="9">
        <v>12</v>
      </c>
      <c r="H2973" s="7">
        <v>6.5</v>
      </c>
      <c r="I2973" t="str" cm="1">
        <f t="array" ref="I2973">_xlfn.IFS(G2973&lt;3, "0–2 Years", G2973&lt;6, "3–5 Years", G2973&lt;9, "6–8 Years", G2973&lt;12, "9-11 Years", G2973&gt;=12, "12-14 Years")</f>
        <v>12-14 Years</v>
      </c>
      <c r="J2973" s="7">
        <v>2</v>
      </c>
      <c r="K2973" t="s">
        <v>20</v>
      </c>
      <c r="L2973" s="7">
        <v>113800</v>
      </c>
      <c r="M2973" s="7">
        <v>5500</v>
      </c>
      <c r="N2973" s="7">
        <v>119300</v>
      </c>
      <c r="O2973" t="s">
        <v>57</v>
      </c>
      <c r="P2973" s="3">
        <v>41627</v>
      </c>
      <c r="Q2973" t="s">
        <v>62</v>
      </c>
    </row>
    <row r="2974" spans="1:17" x14ac:dyDescent="0.35">
      <c r="A2974" t="s">
        <v>3026</v>
      </c>
      <c r="B2974" t="s">
        <v>23</v>
      </c>
      <c r="C2974">
        <v>36</v>
      </c>
      <c r="D2974" t="s">
        <v>41</v>
      </c>
      <c r="E2974" t="s">
        <v>73</v>
      </c>
      <c r="F2974" t="s">
        <v>28</v>
      </c>
      <c r="G2974">
        <v>1.9</v>
      </c>
      <c r="H2974">
        <v>0.4</v>
      </c>
      <c r="I2974" t="str" cm="1">
        <f t="array" ref="I2974">_xlfn.IFS(G2974&lt;3, "0–2 Years", G2974&lt;6, "3–5 Years", G2974&lt;9, "6–8 Years", G2974&lt;12, "9-11 Years", G2974&gt;=12, "12-14 Years")</f>
        <v>0–2 Years</v>
      </c>
      <c r="J2974">
        <v>5</v>
      </c>
      <c r="K2974" t="s">
        <v>20</v>
      </c>
      <c r="L2974">
        <v>95300</v>
      </c>
      <c r="M2974">
        <v>4500</v>
      </c>
      <c r="N2974">
        <v>99800</v>
      </c>
      <c r="O2974" t="s">
        <v>30</v>
      </c>
      <c r="P2974" s="3">
        <v>45347</v>
      </c>
      <c r="Q2974" t="s">
        <v>28</v>
      </c>
    </row>
    <row r="2975" spans="1:17" x14ac:dyDescent="0.35">
      <c r="A2975" t="s">
        <v>3027</v>
      </c>
      <c r="B2975" t="s">
        <v>23</v>
      </c>
      <c r="C2975" s="7">
        <v>34</v>
      </c>
      <c r="D2975" t="s">
        <v>34</v>
      </c>
      <c r="E2975" t="s">
        <v>35</v>
      </c>
      <c r="F2975" t="s">
        <v>62</v>
      </c>
      <c r="G2975" s="9">
        <v>13.5</v>
      </c>
      <c r="H2975" s="7">
        <v>6.7</v>
      </c>
      <c r="I2975" t="str" cm="1">
        <f t="array" ref="I2975">_xlfn.IFS(G2975&lt;3, "0–2 Years", G2975&lt;6, "3–5 Years", G2975&lt;9, "6–8 Years", G2975&lt;12, "9-11 Years", G2975&gt;=12, "12-14 Years")</f>
        <v>12-14 Years</v>
      </c>
      <c r="J2975" s="7">
        <v>3</v>
      </c>
      <c r="K2975" t="s">
        <v>20</v>
      </c>
      <c r="L2975" s="7">
        <v>81500</v>
      </c>
      <c r="M2975" s="7">
        <v>8000</v>
      </c>
      <c r="N2975" s="7">
        <v>89500</v>
      </c>
      <c r="O2975" t="s">
        <v>30</v>
      </c>
      <c r="P2975" s="3">
        <v>41078</v>
      </c>
      <c r="Q2975" t="s">
        <v>62</v>
      </c>
    </row>
    <row r="2976" spans="1:17" x14ac:dyDescent="0.35">
      <c r="A2976" t="s">
        <v>3028</v>
      </c>
      <c r="B2976" t="s">
        <v>16</v>
      </c>
      <c r="C2976">
        <v>39</v>
      </c>
      <c r="D2976" t="s">
        <v>41</v>
      </c>
      <c r="E2976" t="s">
        <v>42</v>
      </c>
      <c r="F2976" t="s">
        <v>62</v>
      </c>
      <c r="G2976">
        <v>2.2999999999999998</v>
      </c>
      <c r="H2976">
        <v>1.9</v>
      </c>
      <c r="I2976" t="str" cm="1">
        <f t="array" ref="I2976">_xlfn.IFS(G2976&lt;3, "0–2 Years", G2976&lt;6, "3–5 Years", G2976&lt;9, "6–8 Years", G2976&lt;12, "9-11 Years", G2976&gt;=12, "12-14 Years")</f>
        <v>0–2 Years</v>
      </c>
      <c r="J2976">
        <v>3</v>
      </c>
      <c r="K2976" t="s">
        <v>20</v>
      </c>
      <c r="L2976">
        <v>81400</v>
      </c>
      <c r="M2976">
        <v>6500</v>
      </c>
      <c r="N2976">
        <v>87900</v>
      </c>
      <c r="O2976" t="s">
        <v>30</v>
      </c>
      <c r="P2976" s="3">
        <v>45200</v>
      </c>
      <c r="Q2976" t="s">
        <v>62</v>
      </c>
    </row>
    <row r="2977" spans="1:17" x14ac:dyDescent="0.35">
      <c r="A2977" t="s">
        <v>3029</v>
      </c>
      <c r="B2977" t="s">
        <v>16</v>
      </c>
      <c r="C2977">
        <v>24</v>
      </c>
      <c r="D2977" t="s">
        <v>38</v>
      </c>
      <c r="E2977" t="s">
        <v>39</v>
      </c>
      <c r="F2977" t="s">
        <v>28</v>
      </c>
      <c r="G2977">
        <v>1.2</v>
      </c>
      <c r="H2977">
        <v>1.2</v>
      </c>
      <c r="I2977" t="str" cm="1">
        <f t="array" ref="I2977">_xlfn.IFS(G2977&lt;3, "0–2 Years", G2977&lt;6, "3–5 Years", G2977&lt;9, "6–8 Years", G2977&lt;12, "9-11 Years", G2977&gt;=12, "12-14 Years")</f>
        <v>0–2 Years</v>
      </c>
      <c r="J2977">
        <v>5</v>
      </c>
      <c r="K2977" t="s">
        <v>20</v>
      </c>
      <c r="L2977">
        <v>78300</v>
      </c>
      <c r="M2977">
        <v>7800</v>
      </c>
      <c r="N2977">
        <v>86100</v>
      </c>
      <c r="O2977" t="s">
        <v>21</v>
      </c>
      <c r="P2977" s="3">
        <v>45602</v>
      </c>
      <c r="Q2977" t="s">
        <v>28</v>
      </c>
    </row>
    <row r="2978" spans="1:17" x14ac:dyDescent="0.35">
      <c r="A2978" t="s">
        <v>3030</v>
      </c>
      <c r="B2978" t="s">
        <v>16</v>
      </c>
      <c r="C2978">
        <v>41</v>
      </c>
      <c r="D2978" t="s">
        <v>41</v>
      </c>
      <c r="E2978" t="s">
        <v>67</v>
      </c>
      <c r="F2978" t="s">
        <v>28</v>
      </c>
      <c r="G2978">
        <v>4</v>
      </c>
      <c r="H2978">
        <v>2.5</v>
      </c>
      <c r="I2978" t="str" cm="1">
        <f t="array" ref="I2978">_xlfn.IFS(G2978&lt;3, "0–2 Years", G2978&lt;6, "3–5 Years", G2978&lt;9, "6–8 Years", G2978&lt;12, "9-11 Years", G2978&gt;=12, "12-14 Years")</f>
        <v>3–5 Years</v>
      </c>
      <c r="J2978">
        <v>2</v>
      </c>
      <c r="K2978" t="s">
        <v>20</v>
      </c>
      <c r="L2978">
        <v>61900</v>
      </c>
      <c r="M2978">
        <v>5100</v>
      </c>
      <c r="N2978">
        <v>67000</v>
      </c>
      <c r="O2978" t="s">
        <v>25</v>
      </c>
      <c r="P2978" s="3">
        <v>44563</v>
      </c>
      <c r="Q2978" t="s">
        <v>28</v>
      </c>
    </row>
    <row r="2979" spans="1:17" x14ac:dyDescent="0.35">
      <c r="A2979" t="s">
        <v>3031</v>
      </c>
      <c r="B2979" t="s">
        <v>23</v>
      </c>
      <c r="C2979">
        <v>46</v>
      </c>
      <c r="D2979" t="s">
        <v>34</v>
      </c>
      <c r="E2979" t="s">
        <v>35</v>
      </c>
      <c r="F2979" t="s">
        <v>19</v>
      </c>
      <c r="G2979">
        <v>11.9</v>
      </c>
      <c r="H2979">
        <v>7.6</v>
      </c>
      <c r="I2979" t="str" cm="1">
        <f t="array" ref="I2979">_xlfn.IFS(G2979&lt;3, "0–2 Years", G2979&lt;6, "3–5 Years", G2979&lt;9, "6–8 Years", G2979&lt;12, "9-11 Years", G2979&gt;=12, "12-14 Years")</f>
        <v>9-11 Years</v>
      </c>
      <c r="J2979">
        <v>3</v>
      </c>
      <c r="K2979" t="s">
        <v>20</v>
      </c>
      <c r="L2979">
        <v>80300</v>
      </c>
      <c r="M2979">
        <v>5000</v>
      </c>
      <c r="N2979">
        <v>85300</v>
      </c>
      <c r="O2979" t="s">
        <v>30</v>
      </c>
      <c r="P2979" s="3">
        <v>41693</v>
      </c>
      <c r="Q2979" t="s">
        <v>19</v>
      </c>
    </row>
    <row r="2980" spans="1:17" x14ac:dyDescent="0.35">
      <c r="A2980" t="s">
        <v>3032</v>
      </c>
      <c r="B2980" t="s">
        <v>16</v>
      </c>
      <c r="C2980" s="7">
        <v>36</v>
      </c>
      <c r="D2980" t="s">
        <v>44</v>
      </c>
      <c r="E2980" t="s">
        <v>51</v>
      </c>
      <c r="F2980" t="s">
        <v>28</v>
      </c>
      <c r="G2980" s="9">
        <v>13.3</v>
      </c>
      <c r="H2980" s="7">
        <v>8.6999999999999993</v>
      </c>
      <c r="I2980" t="str" cm="1">
        <f t="array" ref="I2980">_xlfn.IFS(G2980&lt;3, "0–2 Years", G2980&lt;6, "3–5 Years", G2980&lt;9, "6–8 Years", G2980&lt;12, "9-11 Years", G2980&gt;=12, "12-14 Years")</f>
        <v>12-14 Years</v>
      </c>
      <c r="J2980" s="7">
        <v>2</v>
      </c>
      <c r="K2980" t="s">
        <v>20</v>
      </c>
      <c r="L2980" s="7">
        <v>88400</v>
      </c>
      <c r="M2980" s="7">
        <v>10000</v>
      </c>
      <c r="N2980" s="7">
        <v>98400</v>
      </c>
      <c r="O2980" t="s">
        <v>30</v>
      </c>
      <c r="P2980" s="3">
        <v>41162</v>
      </c>
      <c r="Q2980" t="s">
        <v>28</v>
      </c>
    </row>
    <row r="2981" spans="1:17" x14ac:dyDescent="0.35">
      <c r="A2981" t="s">
        <v>3033</v>
      </c>
      <c r="B2981" t="s">
        <v>16</v>
      </c>
      <c r="C2981">
        <v>35</v>
      </c>
      <c r="D2981" t="s">
        <v>38</v>
      </c>
      <c r="E2981" t="s">
        <v>61</v>
      </c>
      <c r="F2981" t="s">
        <v>36</v>
      </c>
      <c r="G2981">
        <v>10.9</v>
      </c>
      <c r="H2981">
        <v>5.5</v>
      </c>
      <c r="I2981" t="str" cm="1">
        <f t="array" ref="I2981">_xlfn.IFS(G2981&lt;3, "0–2 Years", G2981&lt;6, "3–5 Years", G2981&lt;9, "6–8 Years", G2981&lt;12, "9-11 Years", G2981&gt;=12, "12-14 Years")</f>
        <v>9-11 Years</v>
      </c>
      <c r="J2981">
        <v>4</v>
      </c>
      <c r="K2981" t="s">
        <v>20</v>
      </c>
      <c r="L2981">
        <v>115200</v>
      </c>
      <c r="M2981">
        <v>8500</v>
      </c>
      <c r="N2981">
        <v>123700</v>
      </c>
      <c r="O2981" t="s">
        <v>57</v>
      </c>
      <c r="P2981" s="3">
        <v>42033</v>
      </c>
      <c r="Q2981" t="s">
        <v>36</v>
      </c>
    </row>
    <row r="2982" spans="1:17" x14ac:dyDescent="0.35">
      <c r="A2982" t="s">
        <v>3034</v>
      </c>
      <c r="B2982" t="s">
        <v>16</v>
      </c>
      <c r="C2982">
        <v>43</v>
      </c>
      <c r="D2982" t="s">
        <v>17</v>
      </c>
      <c r="E2982" t="s">
        <v>27</v>
      </c>
      <c r="F2982" t="s">
        <v>36</v>
      </c>
      <c r="G2982">
        <v>9.5</v>
      </c>
      <c r="H2982">
        <v>4.5</v>
      </c>
      <c r="I2982" t="str" cm="1">
        <f t="array" ref="I2982">_xlfn.IFS(G2982&lt;3, "0–2 Years", G2982&lt;6, "3–5 Years", G2982&lt;9, "6–8 Years", G2982&lt;12, "9-11 Years", G2982&gt;=12, "12-14 Years")</f>
        <v>9-11 Years</v>
      </c>
      <c r="J2982">
        <v>3</v>
      </c>
      <c r="K2982" t="s">
        <v>24</v>
      </c>
      <c r="L2982">
        <v>48400</v>
      </c>
      <c r="M2982">
        <v>4800</v>
      </c>
      <c r="N2982">
        <v>53200</v>
      </c>
      <c r="O2982" t="s">
        <v>65</v>
      </c>
      <c r="P2982" s="3">
        <v>42558</v>
      </c>
      <c r="Q2982" t="s">
        <v>36</v>
      </c>
    </row>
    <row r="2983" spans="1:17" x14ac:dyDescent="0.35">
      <c r="A2983" t="s">
        <v>3035</v>
      </c>
      <c r="B2983" t="s">
        <v>23</v>
      </c>
      <c r="C2983">
        <v>40</v>
      </c>
      <c r="D2983" t="s">
        <v>17</v>
      </c>
      <c r="E2983" t="s">
        <v>27</v>
      </c>
      <c r="F2983" t="s">
        <v>28</v>
      </c>
      <c r="G2983">
        <v>8.6999999999999993</v>
      </c>
      <c r="H2983">
        <v>6</v>
      </c>
      <c r="I2983" t="str" cm="1">
        <f t="array" ref="I2983">_xlfn.IFS(G2983&lt;3, "0–2 Years", G2983&lt;6, "3–5 Years", G2983&lt;9, "6–8 Years", G2983&lt;12, "9-11 Years", G2983&gt;=12, "12-14 Years")</f>
        <v>6–8 Years</v>
      </c>
      <c r="J2983">
        <v>3</v>
      </c>
      <c r="K2983" t="s">
        <v>20</v>
      </c>
      <c r="L2983">
        <v>76900</v>
      </c>
      <c r="M2983">
        <v>5100</v>
      </c>
      <c r="N2983">
        <v>82000</v>
      </c>
      <c r="O2983" t="s">
        <v>21</v>
      </c>
      <c r="P2983" s="3">
        <v>42849</v>
      </c>
      <c r="Q2983" t="s">
        <v>28</v>
      </c>
    </row>
    <row r="2984" spans="1:17" x14ac:dyDescent="0.35">
      <c r="A2984" t="s">
        <v>3036</v>
      </c>
      <c r="B2984" t="s">
        <v>16</v>
      </c>
      <c r="C2984">
        <v>51</v>
      </c>
      <c r="D2984" t="s">
        <v>41</v>
      </c>
      <c r="E2984" t="s">
        <v>73</v>
      </c>
      <c r="F2984" t="s">
        <v>36</v>
      </c>
      <c r="G2984">
        <v>6.7</v>
      </c>
      <c r="H2984">
        <v>5.8</v>
      </c>
      <c r="I2984" t="str" cm="1">
        <f t="array" ref="I2984">_xlfn.IFS(G2984&lt;3, "0–2 Years", G2984&lt;6, "3–5 Years", G2984&lt;9, "6–8 Years", G2984&lt;12, "9-11 Years", G2984&gt;=12, "12-14 Years")</f>
        <v>6–8 Years</v>
      </c>
      <c r="J2984">
        <v>5</v>
      </c>
      <c r="K2984" t="s">
        <v>20</v>
      </c>
      <c r="L2984">
        <v>94000</v>
      </c>
      <c r="M2984">
        <v>5700</v>
      </c>
      <c r="N2984">
        <v>99700</v>
      </c>
      <c r="O2984" t="s">
        <v>30</v>
      </c>
      <c r="P2984" s="3">
        <v>43561</v>
      </c>
      <c r="Q2984" t="s">
        <v>36</v>
      </c>
    </row>
    <row r="2985" spans="1:17" x14ac:dyDescent="0.35">
      <c r="A2985" t="s">
        <v>3037</v>
      </c>
      <c r="B2985" t="s">
        <v>23</v>
      </c>
      <c r="C2985">
        <v>24</v>
      </c>
      <c r="D2985" t="s">
        <v>41</v>
      </c>
      <c r="E2985" t="s">
        <v>67</v>
      </c>
      <c r="F2985" t="s">
        <v>28</v>
      </c>
      <c r="G2985">
        <v>2.9</v>
      </c>
      <c r="H2985">
        <v>1.6</v>
      </c>
      <c r="I2985" t="str" cm="1">
        <f t="array" ref="I2985">_xlfn.IFS(G2985&lt;3, "0–2 Years", G2985&lt;6, "3–5 Years", G2985&lt;9, "6–8 Years", G2985&lt;12, "9-11 Years", G2985&gt;=12, "12-14 Years")</f>
        <v>0–2 Years</v>
      </c>
      <c r="J2985">
        <v>3</v>
      </c>
      <c r="K2985" t="s">
        <v>20</v>
      </c>
      <c r="L2985">
        <v>71900</v>
      </c>
      <c r="M2985">
        <v>3400</v>
      </c>
      <c r="N2985">
        <v>75300</v>
      </c>
      <c r="O2985" t="s">
        <v>21</v>
      </c>
      <c r="P2985" s="3">
        <v>44953</v>
      </c>
      <c r="Q2985" t="s">
        <v>28</v>
      </c>
    </row>
    <row r="2986" spans="1:17" x14ac:dyDescent="0.35">
      <c r="A2986" t="s">
        <v>3038</v>
      </c>
      <c r="B2986" t="s">
        <v>16</v>
      </c>
      <c r="C2986">
        <v>29</v>
      </c>
      <c r="D2986" t="s">
        <v>34</v>
      </c>
      <c r="E2986" t="s">
        <v>35</v>
      </c>
      <c r="F2986" t="s">
        <v>28</v>
      </c>
      <c r="G2986">
        <v>10.7</v>
      </c>
      <c r="H2986">
        <v>8.4</v>
      </c>
      <c r="I2986" t="str" cm="1">
        <f t="array" ref="I2986">_xlfn.IFS(G2986&lt;3, "0–2 Years", G2986&lt;6, "3–5 Years", G2986&lt;9, "6–8 Years", G2986&lt;12, "9-11 Years", G2986&gt;=12, "12-14 Years")</f>
        <v>9-11 Years</v>
      </c>
      <c r="J2986">
        <v>5</v>
      </c>
      <c r="K2986" t="s">
        <v>69</v>
      </c>
      <c r="L2986">
        <v>78700</v>
      </c>
      <c r="M2986">
        <v>5000</v>
      </c>
      <c r="N2986">
        <v>83700</v>
      </c>
      <c r="O2986" t="s">
        <v>21</v>
      </c>
      <c r="P2986" s="3">
        <v>42124</v>
      </c>
      <c r="Q2986" t="s">
        <v>28</v>
      </c>
    </row>
    <row r="2987" spans="1:17" x14ac:dyDescent="0.35">
      <c r="A2987" t="s">
        <v>3039</v>
      </c>
      <c r="B2987" t="s">
        <v>16</v>
      </c>
      <c r="C2987">
        <v>33</v>
      </c>
      <c r="D2987" t="s">
        <v>41</v>
      </c>
      <c r="E2987" t="s">
        <v>73</v>
      </c>
      <c r="F2987" t="s">
        <v>28</v>
      </c>
      <c r="G2987">
        <v>10</v>
      </c>
      <c r="H2987">
        <v>5.6</v>
      </c>
      <c r="I2987" t="str" cm="1">
        <f t="array" ref="I2987">_xlfn.IFS(G2987&lt;3, "0–2 Years", G2987&lt;6, "3–5 Years", G2987&lt;9, "6–8 Years", G2987&lt;12, "9-11 Years", G2987&gt;=12, "12-14 Years")</f>
        <v>9-11 Years</v>
      </c>
      <c r="J2987">
        <v>3</v>
      </c>
      <c r="K2987" t="s">
        <v>24</v>
      </c>
      <c r="L2987">
        <v>61000</v>
      </c>
      <c r="M2987">
        <v>4100</v>
      </c>
      <c r="N2987">
        <v>65100</v>
      </c>
      <c r="O2987" t="s">
        <v>25</v>
      </c>
      <c r="P2987" s="3">
        <v>42368</v>
      </c>
      <c r="Q2987" t="s">
        <v>28</v>
      </c>
    </row>
    <row r="2988" spans="1:17" x14ac:dyDescent="0.35">
      <c r="A2988" t="s">
        <v>3040</v>
      </c>
      <c r="B2988" t="s">
        <v>23</v>
      </c>
      <c r="C2988">
        <v>27</v>
      </c>
      <c r="D2988" t="s">
        <v>55</v>
      </c>
      <c r="E2988" t="s">
        <v>56</v>
      </c>
      <c r="F2988" t="s">
        <v>36</v>
      </c>
      <c r="G2988">
        <v>4.8</v>
      </c>
      <c r="H2988">
        <v>3.6</v>
      </c>
      <c r="I2988" t="str" cm="1">
        <f t="array" ref="I2988">_xlfn.IFS(G2988&lt;3, "0–2 Years", G2988&lt;6, "3–5 Years", G2988&lt;9, "6–8 Years", G2988&lt;12, "9-11 Years", G2988&gt;=12, "12-14 Years")</f>
        <v>3–5 Years</v>
      </c>
      <c r="J2988">
        <v>4</v>
      </c>
      <c r="K2988" t="s">
        <v>20</v>
      </c>
      <c r="L2988">
        <v>91100</v>
      </c>
      <c r="M2988">
        <v>8500</v>
      </c>
      <c r="N2988">
        <v>99600</v>
      </c>
      <c r="O2988" t="s">
        <v>30</v>
      </c>
      <c r="P2988" s="3">
        <v>44275</v>
      </c>
      <c r="Q2988" t="s">
        <v>36</v>
      </c>
    </row>
    <row r="2989" spans="1:17" x14ac:dyDescent="0.35">
      <c r="A2989" t="s">
        <v>3041</v>
      </c>
      <c r="B2989" t="s">
        <v>16</v>
      </c>
      <c r="C2989">
        <v>23</v>
      </c>
      <c r="D2989" t="s">
        <v>41</v>
      </c>
      <c r="E2989" t="s">
        <v>42</v>
      </c>
      <c r="F2989" t="s">
        <v>36</v>
      </c>
      <c r="G2989">
        <v>10.4</v>
      </c>
      <c r="H2989">
        <v>4.4000000000000004</v>
      </c>
      <c r="I2989" t="str" cm="1">
        <f t="array" ref="I2989">_xlfn.IFS(G2989&lt;3, "0–2 Years", G2989&lt;6, "3–5 Years", G2989&lt;9, "6–8 Years", G2989&lt;12, "9-11 Years", G2989&gt;=12, "12-14 Years")</f>
        <v>9-11 Years</v>
      </c>
      <c r="J2989">
        <v>4</v>
      </c>
      <c r="K2989" t="s">
        <v>20</v>
      </c>
      <c r="L2989">
        <v>96800</v>
      </c>
      <c r="M2989">
        <v>8100</v>
      </c>
      <c r="N2989">
        <v>104900</v>
      </c>
      <c r="O2989" t="s">
        <v>30</v>
      </c>
      <c r="P2989" s="3">
        <v>42212</v>
      </c>
      <c r="Q2989" t="s">
        <v>36</v>
      </c>
    </row>
    <row r="2990" spans="1:17" x14ac:dyDescent="0.35">
      <c r="A2990" t="s">
        <v>3042</v>
      </c>
      <c r="B2990" t="s">
        <v>16</v>
      </c>
      <c r="C2990">
        <v>50</v>
      </c>
      <c r="D2990" t="s">
        <v>17</v>
      </c>
      <c r="E2990" t="s">
        <v>27</v>
      </c>
      <c r="F2990" t="s">
        <v>36</v>
      </c>
      <c r="G2990">
        <v>3</v>
      </c>
      <c r="H2990">
        <v>2.2999999999999998</v>
      </c>
      <c r="I2990" t="str" cm="1">
        <f t="array" ref="I2990">_xlfn.IFS(G2990&lt;3, "0–2 Years", G2990&lt;6, "3–5 Years", G2990&lt;9, "6–8 Years", G2990&lt;12, "9-11 Years", G2990&gt;=12, "12-14 Years")</f>
        <v>3–5 Years</v>
      </c>
      <c r="J2990">
        <v>3</v>
      </c>
      <c r="K2990" t="s">
        <v>20</v>
      </c>
      <c r="L2990">
        <v>70800</v>
      </c>
      <c r="M2990">
        <v>4500</v>
      </c>
      <c r="N2990">
        <v>75300</v>
      </c>
      <c r="O2990" t="s">
        <v>21</v>
      </c>
      <c r="P2990" s="3">
        <v>44945</v>
      </c>
      <c r="Q2990" t="s">
        <v>36</v>
      </c>
    </row>
    <row r="2991" spans="1:17" x14ac:dyDescent="0.35">
      <c r="A2991" t="s">
        <v>3043</v>
      </c>
      <c r="B2991" t="s">
        <v>23</v>
      </c>
      <c r="C2991">
        <v>44</v>
      </c>
      <c r="D2991" t="s">
        <v>17</v>
      </c>
      <c r="E2991" t="s">
        <v>18</v>
      </c>
      <c r="F2991" t="s">
        <v>28</v>
      </c>
      <c r="G2991">
        <v>8.9</v>
      </c>
      <c r="H2991">
        <v>6.3</v>
      </c>
      <c r="I2991" t="str" cm="1">
        <f t="array" ref="I2991">_xlfn.IFS(G2991&lt;3, "0–2 Years", G2991&lt;6, "3–5 Years", G2991&lt;9, "6–8 Years", G2991&lt;12, "9-11 Years", G2991&gt;=12, "12-14 Years")</f>
        <v>6–8 Years</v>
      </c>
      <c r="J2991">
        <v>3</v>
      </c>
      <c r="K2991" t="s">
        <v>20</v>
      </c>
      <c r="L2991">
        <v>118100</v>
      </c>
      <c r="M2991">
        <v>7300</v>
      </c>
      <c r="N2991">
        <v>125400</v>
      </c>
      <c r="O2991" t="s">
        <v>57</v>
      </c>
      <c r="P2991" s="3">
        <v>42789</v>
      </c>
      <c r="Q2991" t="s">
        <v>28</v>
      </c>
    </row>
    <row r="2992" spans="1:17" x14ac:dyDescent="0.35">
      <c r="A2992" t="s">
        <v>3044</v>
      </c>
      <c r="B2992" t="s">
        <v>16</v>
      </c>
      <c r="C2992">
        <v>38</v>
      </c>
      <c r="D2992" t="s">
        <v>55</v>
      </c>
      <c r="E2992" t="s">
        <v>56</v>
      </c>
      <c r="F2992" t="s">
        <v>36</v>
      </c>
      <c r="G2992">
        <v>8.3000000000000007</v>
      </c>
      <c r="H2992">
        <v>3.2</v>
      </c>
      <c r="I2992" t="str" cm="1">
        <f t="array" ref="I2992">_xlfn.IFS(G2992&lt;3, "0–2 Years", G2992&lt;6, "3–5 Years", G2992&lt;9, "6–8 Years", G2992&lt;12, "9-11 Years", G2992&gt;=12, "12-14 Years")</f>
        <v>6–8 Years</v>
      </c>
      <c r="J2992">
        <v>3</v>
      </c>
      <c r="K2992" t="s">
        <v>20</v>
      </c>
      <c r="L2992">
        <v>103400</v>
      </c>
      <c r="M2992">
        <v>13000</v>
      </c>
      <c r="N2992">
        <v>116400</v>
      </c>
      <c r="O2992" t="s">
        <v>57</v>
      </c>
      <c r="P2992" s="3">
        <v>42991</v>
      </c>
      <c r="Q2992" t="s">
        <v>36</v>
      </c>
    </row>
    <row r="2993" spans="1:17" x14ac:dyDescent="0.35">
      <c r="A2993" t="s">
        <v>3045</v>
      </c>
      <c r="B2993" t="s">
        <v>23</v>
      </c>
      <c r="C2993">
        <v>42</v>
      </c>
      <c r="D2993" t="s">
        <v>41</v>
      </c>
      <c r="E2993" t="s">
        <v>67</v>
      </c>
      <c r="F2993" t="s">
        <v>28</v>
      </c>
      <c r="G2993">
        <v>2.5</v>
      </c>
      <c r="H2993">
        <v>0.2</v>
      </c>
      <c r="I2993" t="str" cm="1">
        <f t="array" ref="I2993">_xlfn.IFS(G2993&lt;3, "0–2 Years", G2993&lt;6, "3–5 Years", G2993&lt;9, "6–8 Years", G2993&lt;12, "9-11 Years", G2993&gt;=12, "12-14 Years")</f>
        <v>0–2 Years</v>
      </c>
      <c r="J2993">
        <v>4</v>
      </c>
      <c r="K2993" t="s">
        <v>20</v>
      </c>
      <c r="L2993">
        <v>67700</v>
      </c>
      <c r="M2993">
        <v>3000</v>
      </c>
      <c r="N2993">
        <v>70700</v>
      </c>
      <c r="O2993" t="s">
        <v>21</v>
      </c>
      <c r="P2993" s="3">
        <v>45103</v>
      </c>
      <c r="Q2993" t="s">
        <v>28</v>
      </c>
    </row>
    <row r="2994" spans="1:17" x14ac:dyDescent="0.35">
      <c r="A2994" t="s">
        <v>3046</v>
      </c>
      <c r="B2994" t="s">
        <v>16</v>
      </c>
      <c r="C2994">
        <v>31</v>
      </c>
      <c r="D2994" t="s">
        <v>38</v>
      </c>
      <c r="E2994" t="s">
        <v>112</v>
      </c>
      <c r="F2994" t="s">
        <v>36</v>
      </c>
      <c r="G2994">
        <v>5.3</v>
      </c>
      <c r="H2994">
        <v>4.8</v>
      </c>
      <c r="I2994" t="str" cm="1">
        <f t="array" ref="I2994">_xlfn.IFS(G2994&lt;3, "0–2 Years", G2994&lt;6, "3–5 Years", G2994&lt;9, "6–8 Years", G2994&lt;12, "9-11 Years", G2994&gt;=12, "12-14 Years")</f>
        <v>3–5 Years</v>
      </c>
      <c r="J2994">
        <v>3</v>
      </c>
      <c r="K2994" t="s">
        <v>20</v>
      </c>
      <c r="L2994">
        <v>66100</v>
      </c>
      <c r="M2994">
        <v>3700</v>
      </c>
      <c r="N2994">
        <v>69800</v>
      </c>
      <c r="O2994" t="s">
        <v>21</v>
      </c>
      <c r="P2994" s="3">
        <v>44076</v>
      </c>
      <c r="Q2994" t="s">
        <v>36</v>
      </c>
    </row>
    <row r="2995" spans="1:17" x14ac:dyDescent="0.35">
      <c r="A2995" t="s">
        <v>3047</v>
      </c>
      <c r="B2995" t="s">
        <v>16</v>
      </c>
      <c r="C2995" s="7">
        <v>35</v>
      </c>
      <c r="D2995" t="s">
        <v>34</v>
      </c>
      <c r="E2995" t="s">
        <v>59</v>
      </c>
      <c r="F2995" t="s">
        <v>28</v>
      </c>
      <c r="G2995" s="9">
        <v>13.4</v>
      </c>
      <c r="H2995" s="7">
        <v>8.5</v>
      </c>
      <c r="I2995" t="str" cm="1">
        <f t="array" ref="I2995">_xlfn.IFS(G2995&lt;3, "0–2 Years", G2995&lt;6, "3–5 Years", G2995&lt;9, "6–8 Years", G2995&lt;12, "9-11 Years", G2995&gt;=12, "12-14 Years")</f>
        <v>12-14 Years</v>
      </c>
      <c r="J2995" s="7">
        <v>4</v>
      </c>
      <c r="K2995" t="s">
        <v>20</v>
      </c>
      <c r="L2995" s="7">
        <v>114900</v>
      </c>
      <c r="M2995" s="7">
        <v>8400</v>
      </c>
      <c r="N2995" s="7">
        <v>123300</v>
      </c>
      <c r="O2995" t="s">
        <v>57</v>
      </c>
      <c r="P2995" s="3">
        <v>41138</v>
      </c>
      <c r="Q2995" t="s">
        <v>28</v>
      </c>
    </row>
    <row r="2996" spans="1:17" x14ac:dyDescent="0.35">
      <c r="A2996" t="s">
        <v>3048</v>
      </c>
      <c r="B2996" t="s">
        <v>16</v>
      </c>
      <c r="C2996">
        <v>34</v>
      </c>
      <c r="D2996" t="s">
        <v>41</v>
      </c>
      <c r="E2996" t="s">
        <v>73</v>
      </c>
      <c r="F2996" t="s">
        <v>36</v>
      </c>
      <c r="G2996">
        <v>3</v>
      </c>
      <c r="H2996">
        <v>2.5</v>
      </c>
      <c r="I2996" t="str" cm="1">
        <f t="array" ref="I2996">_xlfn.IFS(G2996&lt;3, "0–2 Years", G2996&lt;6, "3–5 Years", G2996&lt;9, "6–8 Years", G2996&lt;12, "9-11 Years", G2996&gt;=12, "12-14 Years")</f>
        <v>3–5 Years</v>
      </c>
      <c r="J2996">
        <v>2</v>
      </c>
      <c r="K2996" t="s">
        <v>20</v>
      </c>
      <c r="L2996">
        <v>102900</v>
      </c>
      <c r="M2996">
        <v>8200</v>
      </c>
      <c r="N2996">
        <v>111100</v>
      </c>
      <c r="O2996" t="s">
        <v>57</v>
      </c>
      <c r="P2996" s="3">
        <v>44921</v>
      </c>
      <c r="Q2996" t="s">
        <v>36</v>
      </c>
    </row>
    <row r="2997" spans="1:17" x14ac:dyDescent="0.35">
      <c r="A2997" t="s">
        <v>3049</v>
      </c>
      <c r="B2997" t="s">
        <v>23</v>
      </c>
      <c r="C2997">
        <v>29</v>
      </c>
      <c r="D2997" t="s">
        <v>44</v>
      </c>
      <c r="E2997" t="s">
        <v>76</v>
      </c>
      <c r="F2997" t="s">
        <v>36</v>
      </c>
      <c r="G2997">
        <v>5.0999999999999996</v>
      </c>
      <c r="H2997">
        <v>0.9</v>
      </c>
      <c r="I2997" t="str" cm="1">
        <f t="array" ref="I2997">_xlfn.IFS(G2997&lt;3, "0–2 Years", G2997&lt;6, "3–5 Years", G2997&lt;9, "6–8 Years", G2997&lt;12, "9-11 Years", G2997&gt;=12, "12-14 Years")</f>
        <v>3–5 Years</v>
      </c>
      <c r="J2997">
        <v>3</v>
      </c>
      <c r="K2997" t="s">
        <v>20</v>
      </c>
      <c r="L2997">
        <v>102900</v>
      </c>
      <c r="M2997">
        <v>8200</v>
      </c>
      <c r="N2997">
        <v>111100</v>
      </c>
      <c r="O2997" t="s">
        <v>57</v>
      </c>
      <c r="P2997" s="3">
        <v>44146</v>
      </c>
      <c r="Q2997" t="s">
        <v>36</v>
      </c>
    </row>
    <row r="2998" spans="1:17" x14ac:dyDescent="0.35">
      <c r="A2998" t="s">
        <v>3050</v>
      </c>
      <c r="B2998" t="s">
        <v>16</v>
      </c>
      <c r="C2998">
        <v>36</v>
      </c>
      <c r="D2998" t="s">
        <v>55</v>
      </c>
      <c r="E2998" t="s">
        <v>79</v>
      </c>
      <c r="F2998" t="s">
        <v>36</v>
      </c>
      <c r="G2998">
        <v>3.8</v>
      </c>
      <c r="H2998">
        <v>2.8</v>
      </c>
      <c r="I2998" t="str" cm="1">
        <f t="array" ref="I2998">_xlfn.IFS(G2998&lt;3, "0–2 Years", G2998&lt;6, "3–5 Years", G2998&lt;9, "6–8 Years", G2998&lt;12, "9-11 Years", G2998&gt;=12, "12-14 Years")</f>
        <v>3–5 Years</v>
      </c>
      <c r="J2998">
        <v>4</v>
      </c>
      <c r="K2998" t="s">
        <v>20</v>
      </c>
      <c r="L2998">
        <v>61000</v>
      </c>
      <c r="M2998">
        <v>7400</v>
      </c>
      <c r="N2998">
        <v>68400</v>
      </c>
      <c r="O2998" t="s">
        <v>25</v>
      </c>
      <c r="P2998" s="3">
        <v>44649</v>
      </c>
      <c r="Q2998" t="s">
        <v>36</v>
      </c>
    </row>
    <row r="2999" spans="1:17" x14ac:dyDescent="0.35">
      <c r="A2999" t="s">
        <v>3051</v>
      </c>
      <c r="B2999" t="s">
        <v>16</v>
      </c>
      <c r="C2999">
        <v>23</v>
      </c>
      <c r="D2999" t="s">
        <v>41</v>
      </c>
      <c r="E2999" t="s">
        <v>67</v>
      </c>
      <c r="G2999">
        <v>6.9</v>
      </c>
      <c r="H2999">
        <v>3.9</v>
      </c>
      <c r="I2999" t="str" cm="1">
        <f t="array" ref="I2999">_xlfn.IFS(G2999&lt;3, "0–2 Years", G2999&lt;6, "3–5 Years", G2999&lt;9, "6–8 Years", G2999&lt;12, "9-11 Years", G2999&gt;=12, "12-14 Years")</f>
        <v>6–8 Years</v>
      </c>
      <c r="J2999">
        <v>3</v>
      </c>
      <c r="K2999" t="s">
        <v>24</v>
      </c>
      <c r="L2999">
        <v>38700</v>
      </c>
      <c r="M2999">
        <v>2400</v>
      </c>
      <c r="N2999">
        <v>41100</v>
      </c>
      <c r="O2999" t="s">
        <v>65</v>
      </c>
      <c r="P2999" s="3">
        <v>43504</v>
      </c>
      <c r="Q2999" t="s">
        <v>5104</v>
      </c>
    </row>
    <row r="3000" spans="1:17" x14ac:dyDescent="0.35">
      <c r="A3000" t="s">
        <v>3052</v>
      </c>
      <c r="B3000" t="s">
        <v>23</v>
      </c>
      <c r="C3000">
        <v>35</v>
      </c>
      <c r="D3000" t="s">
        <v>41</v>
      </c>
      <c r="E3000" t="s">
        <v>67</v>
      </c>
      <c r="F3000" t="s">
        <v>28</v>
      </c>
      <c r="G3000">
        <v>9.1999999999999993</v>
      </c>
      <c r="H3000">
        <v>5.7</v>
      </c>
      <c r="I3000" t="str" cm="1">
        <f t="array" ref="I3000">_xlfn.IFS(G3000&lt;3, "0–2 Years", G3000&lt;6, "3–5 Years", G3000&lt;9, "6–8 Years", G3000&lt;12, "9-11 Years", G3000&gt;=12, "12-14 Years")</f>
        <v>9-11 Years</v>
      </c>
      <c r="J3000">
        <v>4</v>
      </c>
      <c r="K3000" t="s">
        <v>20</v>
      </c>
      <c r="L3000">
        <v>76700</v>
      </c>
      <c r="M3000">
        <v>4000</v>
      </c>
      <c r="N3000">
        <v>80700</v>
      </c>
      <c r="O3000" t="s">
        <v>21</v>
      </c>
      <c r="P3000" s="3">
        <v>42659</v>
      </c>
      <c r="Q3000" t="s">
        <v>28</v>
      </c>
    </row>
    <row r="3001" spans="1:17" x14ac:dyDescent="0.35">
      <c r="A3001" t="s">
        <v>3053</v>
      </c>
      <c r="B3001" t="s">
        <v>16</v>
      </c>
      <c r="C3001" s="7">
        <v>27</v>
      </c>
      <c r="D3001" t="s">
        <v>44</v>
      </c>
      <c r="E3001" t="s">
        <v>76</v>
      </c>
      <c r="F3001" t="s">
        <v>28</v>
      </c>
      <c r="G3001" s="9">
        <v>13.2</v>
      </c>
      <c r="H3001" s="7">
        <v>7.4</v>
      </c>
      <c r="I3001" t="str" cm="1">
        <f t="array" ref="I3001">_xlfn.IFS(G3001&lt;3, "0–2 Years", G3001&lt;6, "3–5 Years", G3001&lt;9, "6–8 Years", G3001&lt;12, "9-11 Years", G3001&gt;=12, "12-14 Years")</f>
        <v>12-14 Years</v>
      </c>
      <c r="J3001" s="7">
        <v>4</v>
      </c>
      <c r="K3001" t="s">
        <v>20</v>
      </c>
      <c r="L3001" s="7">
        <v>118500</v>
      </c>
      <c r="M3001" s="7">
        <v>11300</v>
      </c>
      <c r="N3001" s="7">
        <v>129800</v>
      </c>
      <c r="O3001" t="s">
        <v>57</v>
      </c>
      <c r="P3001" s="3">
        <v>41205</v>
      </c>
      <c r="Q3001" t="s">
        <v>28</v>
      </c>
    </row>
    <row r="3002" spans="1:17" x14ac:dyDescent="0.35">
      <c r="A3002" t="s">
        <v>3054</v>
      </c>
      <c r="B3002" t="s">
        <v>16</v>
      </c>
      <c r="C3002">
        <v>31</v>
      </c>
      <c r="D3002" t="s">
        <v>38</v>
      </c>
      <c r="E3002" t="s">
        <v>39</v>
      </c>
      <c r="F3002" t="s">
        <v>36</v>
      </c>
      <c r="G3002">
        <v>11.5</v>
      </c>
      <c r="H3002">
        <v>6.5</v>
      </c>
      <c r="I3002" t="str" cm="1">
        <f t="array" ref="I3002">_xlfn.IFS(G3002&lt;3, "0–2 Years", G3002&lt;6, "3–5 Years", G3002&lt;9, "6–8 Years", G3002&lt;12, "9-11 Years", G3002&gt;=12, "12-14 Years")</f>
        <v>9-11 Years</v>
      </c>
      <c r="J3002">
        <v>3</v>
      </c>
      <c r="K3002" t="s">
        <v>20</v>
      </c>
      <c r="L3002">
        <v>95900</v>
      </c>
      <c r="M3002">
        <v>8100</v>
      </c>
      <c r="N3002">
        <v>104000</v>
      </c>
      <c r="O3002" t="s">
        <v>30</v>
      </c>
      <c r="P3002" s="3">
        <v>41806</v>
      </c>
      <c r="Q3002" t="s">
        <v>36</v>
      </c>
    </row>
    <row r="3003" spans="1:17" x14ac:dyDescent="0.35">
      <c r="A3003" t="s">
        <v>3055</v>
      </c>
      <c r="B3003" t="s">
        <v>16</v>
      </c>
      <c r="C3003">
        <v>21</v>
      </c>
      <c r="D3003" t="s">
        <v>17</v>
      </c>
      <c r="E3003" t="s">
        <v>18</v>
      </c>
      <c r="F3003" t="s">
        <v>28</v>
      </c>
      <c r="G3003">
        <v>2.9</v>
      </c>
      <c r="H3003">
        <v>2.1</v>
      </c>
      <c r="I3003" t="str" cm="1">
        <f t="array" ref="I3003">_xlfn.IFS(G3003&lt;3, "0–2 Years", G3003&lt;6, "3–5 Years", G3003&lt;9, "6–8 Years", G3003&lt;12, "9-11 Years", G3003&gt;=12, "12-14 Years")</f>
        <v>0–2 Years</v>
      </c>
      <c r="J3003">
        <v>2</v>
      </c>
      <c r="K3003" t="s">
        <v>20</v>
      </c>
      <c r="L3003">
        <v>91000</v>
      </c>
      <c r="M3003">
        <v>10300</v>
      </c>
      <c r="N3003">
        <v>101300</v>
      </c>
      <c r="O3003" t="s">
        <v>30</v>
      </c>
      <c r="P3003" s="3">
        <v>44949</v>
      </c>
      <c r="Q3003" t="s">
        <v>28</v>
      </c>
    </row>
    <row r="3004" spans="1:17" x14ac:dyDescent="0.35">
      <c r="A3004" t="s">
        <v>3056</v>
      </c>
      <c r="B3004" t="s">
        <v>23</v>
      </c>
      <c r="C3004">
        <v>21</v>
      </c>
      <c r="D3004" t="s">
        <v>41</v>
      </c>
      <c r="E3004" t="s">
        <v>42</v>
      </c>
      <c r="F3004" t="s">
        <v>28</v>
      </c>
      <c r="G3004">
        <v>8.6999999999999993</v>
      </c>
      <c r="H3004">
        <v>7</v>
      </c>
      <c r="I3004" t="str" cm="1">
        <f t="array" ref="I3004">_xlfn.IFS(G3004&lt;3, "0–2 Years", G3004&lt;6, "3–5 Years", G3004&lt;9, "6–8 Years", G3004&lt;12, "9-11 Years", G3004&gt;=12, "12-14 Years")</f>
        <v>6–8 Years</v>
      </c>
      <c r="J3004">
        <v>3</v>
      </c>
      <c r="K3004" t="s">
        <v>20</v>
      </c>
      <c r="L3004">
        <v>75600</v>
      </c>
      <c r="M3004">
        <v>2700</v>
      </c>
      <c r="N3004">
        <v>78300</v>
      </c>
      <c r="O3004" t="s">
        <v>21</v>
      </c>
      <c r="P3004" s="3">
        <v>42853</v>
      </c>
      <c r="Q3004" t="s">
        <v>28</v>
      </c>
    </row>
    <row r="3005" spans="1:17" x14ac:dyDescent="0.35">
      <c r="A3005" t="s">
        <v>3057</v>
      </c>
      <c r="B3005" t="s">
        <v>16</v>
      </c>
      <c r="C3005">
        <v>37</v>
      </c>
      <c r="D3005" t="s">
        <v>34</v>
      </c>
      <c r="E3005" t="s">
        <v>47</v>
      </c>
      <c r="F3005" t="s">
        <v>19</v>
      </c>
      <c r="G3005">
        <v>2.2999999999999998</v>
      </c>
      <c r="H3005">
        <v>1</v>
      </c>
      <c r="I3005" t="str" cm="1">
        <f t="array" ref="I3005">_xlfn.IFS(G3005&lt;3, "0–2 Years", G3005&lt;6, "3–5 Years", G3005&lt;9, "6–8 Years", G3005&lt;12, "9-11 Years", G3005&gt;=12, "12-14 Years")</f>
        <v>0–2 Years</v>
      </c>
      <c r="J3005">
        <v>5</v>
      </c>
      <c r="K3005" t="s">
        <v>20</v>
      </c>
      <c r="L3005">
        <v>66800</v>
      </c>
      <c r="M3005">
        <v>5200</v>
      </c>
      <c r="N3005">
        <v>72000</v>
      </c>
      <c r="O3005" t="s">
        <v>21</v>
      </c>
      <c r="P3005" s="3">
        <v>45197</v>
      </c>
      <c r="Q3005" t="s">
        <v>19</v>
      </c>
    </row>
    <row r="3006" spans="1:17" x14ac:dyDescent="0.35">
      <c r="A3006" t="s">
        <v>3058</v>
      </c>
      <c r="B3006" t="s">
        <v>23</v>
      </c>
      <c r="C3006">
        <v>33</v>
      </c>
      <c r="D3006" t="s">
        <v>17</v>
      </c>
      <c r="E3006" t="s">
        <v>18</v>
      </c>
      <c r="F3006" t="s">
        <v>36</v>
      </c>
      <c r="G3006">
        <v>6.8</v>
      </c>
      <c r="H3006">
        <v>2.9</v>
      </c>
      <c r="I3006" t="str" cm="1">
        <f t="array" ref="I3006">_xlfn.IFS(G3006&lt;3, "0–2 Years", G3006&lt;6, "3–5 Years", G3006&lt;9, "6–8 Years", G3006&lt;12, "9-11 Years", G3006&gt;=12, "12-14 Years")</f>
        <v>6–8 Years</v>
      </c>
      <c r="J3006">
        <v>4</v>
      </c>
      <c r="K3006" t="s">
        <v>20</v>
      </c>
      <c r="L3006">
        <v>118900</v>
      </c>
      <c r="M3006">
        <v>8100</v>
      </c>
      <c r="N3006">
        <v>127000</v>
      </c>
      <c r="O3006" t="s">
        <v>57</v>
      </c>
      <c r="P3006" s="3">
        <v>43549</v>
      </c>
      <c r="Q3006" t="s">
        <v>36</v>
      </c>
    </row>
    <row r="3007" spans="1:17" x14ac:dyDescent="0.35">
      <c r="A3007" t="s">
        <v>3059</v>
      </c>
      <c r="B3007" t="s">
        <v>23</v>
      </c>
      <c r="C3007">
        <v>52</v>
      </c>
      <c r="D3007" t="s">
        <v>55</v>
      </c>
      <c r="E3007" t="s">
        <v>92</v>
      </c>
      <c r="F3007" t="s">
        <v>28</v>
      </c>
      <c r="G3007">
        <v>11.3</v>
      </c>
      <c r="H3007">
        <v>7.7</v>
      </c>
      <c r="I3007" t="str" cm="1">
        <f t="array" ref="I3007">_xlfn.IFS(G3007&lt;3, "0–2 Years", G3007&lt;6, "3–5 Years", G3007&lt;9, "6–8 Years", G3007&lt;12, "9-11 Years", G3007&gt;=12, "12-14 Years")</f>
        <v>9-11 Years</v>
      </c>
      <c r="J3007">
        <v>4</v>
      </c>
      <c r="K3007" t="s">
        <v>20</v>
      </c>
      <c r="L3007">
        <v>101900</v>
      </c>
      <c r="M3007">
        <v>18300</v>
      </c>
      <c r="N3007">
        <v>120200</v>
      </c>
      <c r="O3007" t="s">
        <v>57</v>
      </c>
      <c r="P3007" s="3">
        <v>41885</v>
      </c>
      <c r="Q3007" t="s">
        <v>28</v>
      </c>
    </row>
    <row r="3008" spans="1:17" x14ac:dyDescent="0.35">
      <c r="A3008" t="s">
        <v>3060</v>
      </c>
      <c r="B3008" t="s">
        <v>16</v>
      </c>
      <c r="C3008">
        <v>45</v>
      </c>
      <c r="D3008" t="s">
        <v>44</v>
      </c>
      <c r="E3008" t="s">
        <v>76</v>
      </c>
      <c r="F3008" t="s">
        <v>28</v>
      </c>
      <c r="G3008">
        <v>7</v>
      </c>
      <c r="H3008">
        <v>3.8</v>
      </c>
      <c r="I3008" t="str" cm="1">
        <f t="array" ref="I3008">_xlfn.IFS(G3008&lt;3, "0–2 Years", G3008&lt;6, "3–5 Years", G3008&lt;9, "6–8 Years", G3008&lt;12, "9-11 Years", G3008&gt;=12, "12-14 Years")</f>
        <v>6–8 Years</v>
      </c>
      <c r="J3008">
        <v>4</v>
      </c>
      <c r="K3008" t="s">
        <v>20</v>
      </c>
      <c r="L3008">
        <v>122900</v>
      </c>
      <c r="M3008">
        <v>9600</v>
      </c>
      <c r="N3008">
        <v>132500</v>
      </c>
      <c r="O3008" t="s">
        <v>57</v>
      </c>
      <c r="P3008" s="3">
        <v>43478</v>
      </c>
      <c r="Q3008" t="s">
        <v>28</v>
      </c>
    </row>
    <row r="3009" spans="1:17" x14ac:dyDescent="0.35">
      <c r="A3009" t="s">
        <v>3061</v>
      </c>
      <c r="B3009" t="s">
        <v>23</v>
      </c>
      <c r="C3009">
        <v>38</v>
      </c>
      <c r="D3009" t="s">
        <v>38</v>
      </c>
      <c r="E3009" t="s">
        <v>112</v>
      </c>
      <c r="F3009" t="s">
        <v>62</v>
      </c>
      <c r="G3009">
        <v>1.7</v>
      </c>
      <c r="H3009">
        <v>1.6</v>
      </c>
      <c r="I3009" t="str" cm="1">
        <f t="array" ref="I3009">_xlfn.IFS(G3009&lt;3, "0–2 Years", G3009&lt;6, "3–5 Years", G3009&lt;9, "6–8 Years", G3009&lt;12, "9-11 Years", G3009&gt;=12, "12-14 Years")</f>
        <v>0–2 Years</v>
      </c>
      <c r="J3009">
        <v>5</v>
      </c>
      <c r="K3009" t="s">
        <v>20</v>
      </c>
      <c r="L3009">
        <v>71400</v>
      </c>
      <c r="M3009">
        <v>4000</v>
      </c>
      <c r="N3009">
        <v>75400</v>
      </c>
      <c r="O3009" t="s">
        <v>21</v>
      </c>
      <c r="P3009" s="3">
        <v>45394</v>
      </c>
      <c r="Q3009" t="s">
        <v>62</v>
      </c>
    </row>
    <row r="3010" spans="1:17" x14ac:dyDescent="0.35">
      <c r="A3010" t="s">
        <v>3062</v>
      </c>
      <c r="B3010" t="s">
        <v>23</v>
      </c>
      <c r="C3010" s="7">
        <v>48</v>
      </c>
      <c r="D3010" t="s">
        <v>38</v>
      </c>
      <c r="E3010" t="s">
        <v>112</v>
      </c>
      <c r="F3010" t="s">
        <v>36</v>
      </c>
      <c r="G3010" s="9">
        <v>12.7</v>
      </c>
      <c r="H3010" s="7">
        <v>6.4</v>
      </c>
      <c r="I3010" t="str" cm="1">
        <f t="array" ref="I3010">_xlfn.IFS(G3010&lt;3, "0–2 Years", G3010&lt;6, "3–5 Years", G3010&lt;9, "6–8 Years", G3010&lt;12, "9-11 Years", G3010&gt;=12, "12-14 Years")</f>
        <v>12-14 Years</v>
      </c>
      <c r="J3010" s="7">
        <v>3</v>
      </c>
      <c r="K3010" t="s">
        <v>20</v>
      </c>
      <c r="L3010" s="7">
        <v>84300</v>
      </c>
      <c r="M3010" s="7">
        <v>7400</v>
      </c>
      <c r="N3010" s="7">
        <v>91700</v>
      </c>
      <c r="O3010" t="s">
        <v>30</v>
      </c>
      <c r="P3010" s="3">
        <v>41369</v>
      </c>
      <c r="Q3010" t="s">
        <v>36</v>
      </c>
    </row>
    <row r="3011" spans="1:17" x14ac:dyDescent="0.35">
      <c r="A3011" t="s">
        <v>3063</v>
      </c>
      <c r="B3011" t="s">
        <v>16</v>
      </c>
      <c r="C3011">
        <v>33</v>
      </c>
      <c r="D3011" t="s">
        <v>34</v>
      </c>
      <c r="E3011" t="s">
        <v>59</v>
      </c>
      <c r="F3011" t="s">
        <v>19</v>
      </c>
      <c r="G3011">
        <v>3.3</v>
      </c>
      <c r="H3011">
        <v>2.6</v>
      </c>
      <c r="I3011" t="str" cm="1">
        <f t="array" ref="I3011">_xlfn.IFS(G3011&lt;3, "0–2 Years", G3011&lt;6, "3–5 Years", G3011&lt;9, "6–8 Years", G3011&lt;12, "9-11 Years", G3011&gt;=12, "12-14 Years")</f>
        <v>3–5 Years</v>
      </c>
      <c r="J3011">
        <v>2</v>
      </c>
      <c r="K3011" t="s">
        <v>20</v>
      </c>
      <c r="L3011">
        <v>108000</v>
      </c>
      <c r="M3011">
        <v>9900</v>
      </c>
      <c r="N3011">
        <v>117900</v>
      </c>
      <c r="O3011" t="s">
        <v>57</v>
      </c>
      <c r="P3011" s="3">
        <v>44820</v>
      </c>
      <c r="Q3011" t="s">
        <v>19</v>
      </c>
    </row>
    <row r="3012" spans="1:17" x14ac:dyDescent="0.35">
      <c r="A3012" t="s">
        <v>3064</v>
      </c>
      <c r="B3012" t="s">
        <v>16</v>
      </c>
      <c r="C3012" s="7">
        <v>28</v>
      </c>
      <c r="D3012" t="s">
        <v>41</v>
      </c>
      <c r="E3012" t="s">
        <v>42</v>
      </c>
      <c r="F3012" t="s">
        <v>28</v>
      </c>
      <c r="G3012" s="9">
        <v>13.4</v>
      </c>
      <c r="H3012" s="7">
        <v>9.3000000000000007</v>
      </c>
      <c r="I3012" t="str" cm="1">
        <f t="array" ref="I3012">_xlfn.IFS(G3012&lt;3, "0–2 Years", G3012&lt;6, "3–5 Years", G3012&lt;9, "6–8 Years", G3012&lt;12, "9-11 Years", G3012&gt;=12, "12-14 Years")</f>
        <v>12-14 Years</v>
      </c>
      <c r="J3012" s="7">
        <v>3</v>
      </c>
      <c r="K3012" t="s">
        <v>24</v>
      </c>
      <c r="L3012" s="7">
        <v>54100</v>
      </c>
      <c r="M3012" s="7">
        <v>2200</v>
      </c>
      <c r="N3012" s="7">
        <v>56300</v>
      </c>
      <c r="O3012" t="s">
        <v>25</v>
      </c>
      <c r="P3012" s="3">
        <v>41119</v>
      </c>
      <c r="Q3012" t="s">
        <v>28</v>
      </c>
    </row>
    <row r="3013" spans="1:17" x14ac:dyDescent="0.35">
      <c r="A3013" t="s">
        <v>3065</v>
      </c>
      <c r="B3013" t="s">
        <v>16</v>
      </c>
      <c r="C3013">
        <v>33</v>
      </c>
      <c r="D3013" t="s">
        <v>34</v>
      </c>
      <c r="E3013" t="s">
        <v>47</v>
      </c>
      <c r="F3013" t="s">
        <v>62</v>
      </c>
      <c r="G3013">
        <v>3.8</v>
      </c>
      <c r="H3013">
        <v>2.5</v>
      </c>
      <c r="I3013" t="str" cm="1">
        <f t="array" ref="I3013">_xlfn.IFS(G3013&lt;3, "0–2 Years", G3013&lt;6, "3–5 Years", G3013&lt;9, "6–8 Years", G3013&lt;12, "9-11 Years", G3013&gt;=12, "12-14 Years")</f>
        <v>3–5 Years</v>
      </c>
      <c r="J3013">
        <v>3</v>
      </c>
      <c r="K3013" t="s">
        <v>20</v>
      </c>
      <c r="L3013">
        <v>88700</v>
      </c>
      <c r="M3013">
        <v>5700</v>
      </c>
      <c r="N3013">
        <v>94400</v>
      </c>
      <c r="O3013" t="s">
        <v>30</v>
      </c>
      <c r="P3013" s="3">
        <v>44633</v>
      </c>
      <c r="Q3013" t="s">
        <v>62</v>
      </c>
    </row>
    <row r="3014" spans="1:17" x14ac:dyDescent="0.35">
      <c r="A3014" t="s">
        <v>3066</v>
      </c>
      <c r="B3014" t="s">
        <v>16</v>
      </c>
      <c r="C3014">
        <v>35</v>
      </c>
      <c r="D3014" t="s">
        <v>44</v>
      </c>
      <c r="E3014" t="s">
        <v>81</v>
      </c>
      <c r="F3014" t="s">
        <v>36</v>
      </c>
      <c r="G3014">
        <v>1.9</v>
      </c>
      <c r="H3014">
        <v>0.4</v>
      </c>
      <c r="I3014" t="str" cm="1">
        <f t="array" ref="I3014">_xlfn.IFS(G3014&lt;3, "0–2 Years", G3014&lt;6, "3–5 Years", G3014&lt;9, "6–8 Years", G3014&lt;12, "9-11 Years", G3014&gt;=12, "12-14 Years")</f>
        <v>0–2 Years</v>
      </c>
      <c r="J3014">
        <v>4</v>
      </c>
      <c r="K3014" t="s">
        <v>24</v>
      </c>
      <c r="L3014">
        <v>54500</v>
      </c>
      <c r="M3014">
        <v>2900</v>
      </c>
      <c r="N3014">
        <v>57400</v>
      </c>
      <c r="O3014" t="s">
        <v>25</v>
      </c>
      <c r="P3014" s="3">
        <v>45325</v>
      </c>
      <c r="Q3014" t="s">
        <v>36</v>
      </c>
    </row>
    <row r="3015" spans="1:17" x14ac:dyDescent="0.35">
      <c r="A3015" t="s">
        <v>3067</v>
      </c>
      <c r="B3015" t="s">
        <v>16</v>
      </c>
      <c r="C3015">
        <v>28</v>
      </c>
      <c r="D3015" t="s">
        <v>41</v>
      </c>
      <c r="E3015" t="s">
        <v>67</v>
      </c>
      <c r="F3015" t="s">
        <v>36</v>
      </c>
      <c r="G3015">
        <v>7.5</v>
      </c>
      <c r="H3015">
        <v>6.7</v>
      </c>
      <c r="I3015" t="str" cm="1">
        <f t="array" ref="I3015">_xlfn.IFS(G3015&lt;3, "0–2 Years", G3015&lt;6, "3–5 Years", G3015&lt;9, "6–8 Years", G3015&lt;12, "9-11 Years", G3015&gt;=12, "12-14 Years")</f>
        <v>6–8 Years</v>
      </c>
      <c r="J3015">
        <v>2</v>
      </c>
      <c r="K3015" t="s">
        <v>69</v>
      </c>
      <c r="L3015">
        <v>64500</v>
      </c>
      <c r="M3015">
        <v>3700</v>
      </c>
      <c r="N3015">
        <v>68200</v>
      </c>
      <c r="O3015" t="s">
        <v>25</v>
      </c>
      <c r="P3015" s="3">
        <v>43283</v>
      </c>
      <c r="Q3015" t="s">
        <v>36</v>
      </c>
    </row>
    <row r="3016" spans="1:17" x14ac:dyDescent="0.35">
      <c r="A3016" t="s">
        <v>3068</v>
      </c>
      <c r="B3016" t="s">
        <v>23</v>
      </c>
      <c r="C3016" s="7">
        <v>45</v>
      </c>
      <c r="D3016" t="s">
        <v>41</v>
      </c>
      <c r="E3016" t="s">
        <v>73</v>
      </c>
      <c r="F3016" t="s">
        <v>28</v>
      </c>
      <c r="G3016" s="9">
        <v>13.2</v>
      </c>
      <c r="H3016" s="7">
        <v>9.6999999999999993</v>
      </c>
      <c r="I3016" t="str" cm="1">
        <f t="array" ref="I3016">_xlfn.IFS(G3016&lt;3, "0–2 Years", G3016&lt;6, "3–5 Years", G3016&lt;9, "6–8 Years", G3016&lt;12, "9-11 Years", G3016&gt;=12, "12-14 Years")</f>
        <v>12-14 Years</v>
      </c>
      <c r="J3016" s="7">
        <v>3</v>
      </c>
      <c r="K3016" t="s">
        <v>20</v>
      </c>
      <c r="L3016" s="7">
        <v>102500</v>
      </c>
      <c r="M3016" s="7">
        <v>7400</v>
      </c>
      <c r="N3016" s="7">
        <v>109900</v>
      </c>
      <c r="O3016" t="s">
        <v>57</v>
      </c>
      <c r="P3016" s="3">
        <v>41185</v>
      </c>
      <c r="Q3016" t="s">
        <v>28</v>
      </c>
    </row>
    <row r="3017" spans="1:17" x14ac:dyDescent="0.35">
      <c r="A3017" t="s">
        <v>3069</v>
      </c>
      <c r="B3017" t="s">
        <v>16</v>
      </c>
      <c r="C3017">
        <v>37</v>
      </c>
      <c r="D3017" t="s">
        <v>44</v>
      </c>
      <c r="E3017" t="s">
        <v>51</v>
      </c>
      <c r="F3017" t="s">
        <v>28</v>
      </c>
      <c r="G3017">
        <v>10.3</v>
      </c>
      <c r="H3017">
        <v>7.7</v>
      </c>
      <c r="I3017" t="str" cm="1">
        <f t="array" ref="I3017">_xlfn.IFS(G3017&lt;3, "0–2 Years", G3017&lt;6, "3–5 Years", G3017&lt;9, "6–8 Years", G3017&lt;12, "9-11 Years", G3017&gt;=12, "12-14 Years")</f>
        <v>9-11 Years</v>
      </c>
      <c r="J3017">
        <v>3</v>
      </c>
      <c r="K3017" t="s">
        <v>20</v>
      </c>
      <c r="L3017">
        <v>88300</v>
      </c>
      <c r="M3017">
        <v>10900</v>
      </c>
      <c r="N3017">
        <v>99200</v>
      </c>
      <c r="O3017" t="s">
        <v>30</v>
      </c>
      <c r="P3017" s="3">
        <v>42245</v>
      </c>
      <c r="Q3017" t="s">
        <v>28</v>
      </c>
    </row>
    <row r="3018" spans="1:17" x14ac:dyDescent="0.35">
      <c r="A3018" t="s">
        <v>3070</v>
      </c>
      <c r="B3018" t="s">
        <v>16</v>
      </c>
      <c r="C3018">
        <v>36</v>
      </c>
      <c r="D3018" t="s">
        <v>41</v>
      </c>
      <c r="E3018" t="s">
        <v>42</v>
      </c>
      <c r="F3018" t="s">
        <v>62</v>
      </c>
      <c r="G3018">
        <v>3.1</v>
      </c>
      <c r="H3018">
        <v>3.1</v>
      </c>
      <c r="I3018" t="str" cm="1">
        <f t="array" ref="I3018">_xlfn.IFS(G3018&lt;3, "0–2 Years", G3018&lt;6, "3–5 Years", G3018&lt;9, "6–8 Years", G3018&lt;12, "9-11 Years", G3018&gt;=12, "12-14 Years")</f>
        <v>3–5 Years</v>
      </c>
      <c r="J3018">
        <v>4</v>
      </c>
      <c r="K3018" t="s">
        <v>24</v>
      </c>
      <c r="L3018">
        <v>46800</v>
      </c>
      <c r="M3018">
        <v>2500</v>
      </c>
      <c r="N3018">
        <v>49300</v>
      </c>
      <c r="O3018" t="s">
        <v>65</v>
      </c>
      <c r="P3018" s="3">
        <v>44879</v>
      </c>
      <c r="Q3018" t="s">
        <v>62</v>
      </c>
    </row>
    <row r="3019" spans="1:17" x14ac:dyDescent="0.35">
      <c r="A3019" t="s">
        <v>3071</v>
      </c>
      <c r="B3019" t="s">
        <v>23</v>
      </c>
      <c r="C3019">
        <v>39</v>
      </c>
      <c r="D3019" t="s">
        <v>44</v>
      </c>
      <c r="E3019" t="s">
        <v>51</v>
      </c>
      <c r="F3019" t="s">
        <v>28</v>
      </c>
      <c r="G3019">
        <v>2.6</v>
      </c>
      <c r="H3019">
        <v>2.6</v>
      </c>
      <c r="I3019" t="str" cm="1">
        <f t="array" ref="I3019">_xlfn.IFS(G3019&lt;3, "0–2 Years", G3019&lt;6, "3–5 Years", G3019&lt;9, "6–8 Years", G3019&lt;12, "9-11 Years", G3019&gt;=12, "12-14 Years")</f>
        <v>0–2 Years</v>
      </c>
      <c r="J3019">
        <v>2</v>
      </c>
      <c r="K3019" t="s">
        <v>20</v>
      </c>
      <c r="L3019">
        <v>76800</v>
      </c>
      <c r="M3019">
        <v>10900</v>
      </c>
      <c r="N3019">
        <v>87700</v>
      </c>
      <c r="O3019" t="s">
        <v>21</v>
      </c>
      <c r="P3019" s="3">
        <v>45077</v>
      </c>
      <c r="Q3019" t="s">
        <v>28</v>
      </c>
    </row>
    <row r="3020" spans="1:17" x14ac:dyDescent="0.35">
      <c r="A3020" t="s">
        <v>3072</v>
      </c>
      <c r="B3020" t="s">
        <v>16</v>
      </c>
      <c r="C3020">
        <v>39</v>
      </c>
      <c r="D3020" t="s">
        <v>17</v>
      </c>
      <c r="E3020" t="s">
        <v>18</v>
      </c>
      <c r="F3020" t="s">
        <v>28</v>
      </c>
      <c r="G3020">
        <v>11.8</v>
      </c>
      <c r="H3020">
        <v>7.3</v>
      </c>
      <c r="I3020" t="str" cm="1">
        <f t="array" ref="I3020">_xlfn.IFS(G3020&lt;3, "0–2 Years", G3020&lt;6, "3–5 Years", G3020&lt;9, "6–8 Years", G3020&lt;12, "9-11 Years", G3020&gt;=12, "12-14 Years")</f>
        <v>9-11 Years</v>
      </c>
      <c r="J3020">
        <v>3</v>
      </c>
      <c r="K3020" t="s">
        <v>20</v>
      </c>
      <c r="L3020">
        <v>105800</v>
      </c>
      <c r="M3020">
        <v>10400</v>
      </c>
      <c r="N3020">
        <v>116200</v>
      </c>
      <c r="O3020" t="s">
        <v>57</v>
      </c>
      <c r="P3020" s="3">
        <v>41713</v>
      </c>
      <c r="Q3020" t="s">
        <v>28</v>
      </c>
    </row>
    <row r="3021" spans="1:17" x14ac:dyDescent="0.35">
      <c r="A3021" t="s">
        <v>3073</v>
      </c>
      <c r="B3021" t="s">
        <v>23</v>
      </c>
      <c r="C3021">
        <v>51</v>
      </c>
      <c r="D3021" t="s">
        <v>17</v>
      </c>
      <c r="E3021" t="s">
        <v>32</v>
      </c>
      <c r="F3021" t="s">
        <v>19</v>
      </c>
      <c r="G3021">
        <v>10.199999999999999</v>
      </c>
      <c r="H3021">
        <v>7.7</v>
      </c>
      <c r="I3021" t="str" cm="1">
        <f t="array" ref="I3021">_xlfn.IFS(G3021&lt;3, "0–2 Years", G3021&lt;6, "3–5 Years", G3021&lt;9, "6–8 Years", G3021&lt;12, "9-11 Years", G3021&gt;=12, "12-14 Years")</f>
        <v>9-11 Years</v>
      </c>
      <c r="J3021">
        <v>5</v>
      </c>
      <c r="K3021" t="s">
        <v>69</v>
      </c>
      <c r="L3021">
        <v>54600</v>
      </c>
      <c r="M3021">
        <v>6600</v>
      </c>
      <c r="N3021">
        <v>61200</v>
      </c>
      <c r="O3021" t="s">
        <v>25</v>
      </c>
      <c r="P3021" s="3">
        <v>42280</v>
      </c>
      <c r="Q3021" t="s">
        <v>19</v>
      </c>
    </row>
    <row r="3022" spans="1:17" x14ac:dyDescent="0.35">
      <c r="A3022" t="s">
        <v>3074</v>
      </c>
      <c r="B3022" t="s">
        <v>23</v>
      </c>
      <c r="C3022">
        <v>32</v>
      </c>
      <c r="D3022" t="s">
        <v>38</v>
      </c>
      <c r="E3022" t="s">
        <v>112</v>
      </c>
      <c r="F3022" t="s">
        <v>28</v>
      </c>
      <c r="G3022">
        <v>1.9</v>
      </c>
      <c r="H3022">
        <v>0.9</v>
      </c>
      <c r="I3022" t="str" cm="1">
        <f t="array" ref="I3022">_xlfn.IFS(G3022&lt;3, "0–2 Years", G3022&lt;6, "3–5 Years", G3022&lt;9, "6–8 Years", G3022&lt;12, "9-11 Years", G3022&gt;=12, "12-14 Years")</f>
        <v>0–2 Years</v>
      </c>
      <c r="J3022">
        <v>4</v>
      </c>
      <c r="K3022" t="s">
        <v>20</v>
      </c>
      <c r="L3022">
        <v>55100</v>
      </c>
      <c r="M3022">
        <v>2800</v>
      </c>
      <c r="N3022">
        <v>57900</v>
      </c>
      <c r="O3022" t="s">
        <v>25</v>
      </c>
      <c r="P3022" s="3">
        <v>45312</v>
      </c>
      <c r="Q3022" t="s">
        <v>28</v>
      </c>
    </row>
    <row r="3023" spans="1:17" x14ac:dyDescent="0.35">
      <c r="A3023" t="s">
        <v>3075</v>
      </c>
      <c r="B3023" t="s">
        <v>23</v>
      </c>
      <c r="C3023">
        <v>35</v>
      </c>
      <c r="D3023" t="s">
        <v>44</v>
      </c>
      <c r="E3023" t="s">
        <v>81</v>
      </c>
      <c r="F3023" t="s">
        <v>36</v>
      </c>
      <c r="G3023">
        <v>7.9</v>
      </c>
      <c r="H3023">
        <v>5</v>
      </c>
      <c r="I3023" t="str" cm="1">
        <f t="array" ref="I3023">_xlfn.IFS(G3023&lt;3, "0–2 Years", G3023&lt;6, "3–5 Years", G3023&lt;9, "6–8 Years", G3023&lt;12, "9-11 Years", G3023&gt;=12, "12-14 Years")</f>
        <v>6–8 Years</v>
      </c>
      <c r="J3023">
        <v>3</v>
      </c>
      <c r="K3023" t="s">
        <v>20</v>
      </c>
      <c r="L3023">
        <v>105600</v>
      </c>
      <c r="M3023">
        <v>6700</v>
      </c>
      <c r="N3023">
        <v>112300</v>
      </c>
      <c r="O3023" t="s">
        <v>57</v>
      </c>
      <c r="P3023" s="3">
        <v>43132</v>
      </c>
      <c r="Q3023" t="s">
        <v>36</v>
      </c>
    </row>
    <row r="3024" spans="1:17" x14ac:dyDescent="0.35">
      <c r="A3024" t="s">
        <v>3076</v>
      </c>
      <c r="B3024" t="s">
        <v>16</v>
      </c>
      <c r="C3024">
        <v>43</v>
      </c>
      <c r="D3024" t="s">
        <v>17</v>
      </c>
      <c r="E3024" t="s">
        <v>18</v>
      </c>
      <c r="F3024" t="s">
        <v>36</v>
      </c>
      <c r="G3024">
        <v>5.9</v>
      </c>
      <c r="H3024">
        <v>3.4</v>
      </c>
      <c r="I3024" t="str" cm="1">
        <f t="array" ref="I3024">_xlfn.IFS(G3024&lt;3, "0–2 Years", G3024&lt;6, "3–5 Years", G3024&lt;9, "6–8 Years", G3024&lt;12, "9-11 Years", G3024&gt;=12, "12-14 Years")</f>
        <v>3–5 Years</v>
      </c>
      <c r="J3024">
        <v>4</v>
      </c>
      <c r="K3024" t="s">
        <v>20</v>
      </c>
      <c r="L3024">
        <v>90100</v>
      </c>
      <c r="M3024">
        <v>7800</v>
      </c>
      <c r="N3024">
        <v>97900</v>
      </c>
      <c r="O3024" t="s">
        <v>30</v>
      </c>
      <c r="P3024" s="3">
        <v>43884</v>
      </c>
      <c r="Q3024" t="s">
        <v>36</v>
      </c>
    </row>
    <row r="3025" spans="1:17" x14ac:dyDescent="0.35">
      <c r="A3025" t="s">
        <v>3077</v>
      </c>
      <c r="B3025" t="s">
        <v>16</v>
      </c>
      <c r="C3025">
        <v>27</v>
      </c>
      <c r="D3025" t="s">
        <v>41</v>
      </c>
      <c r="E3025" t="s">
        <v>73</v>
      </c>
      <c r="F3025" t="s">
        <v>36</v>
      </c>
      <c r="G3025">
        <v>8.5</v>
      </c>
      <c r="H3025">
        <v>7.8</v>
      </c>
      <c r="I3025" t="str" cm="1">
        <f t="array" ref="I3025">_xlfn.IFS(G3025&lt;3, "0–2 Years", G3025&lt;6, "3–5 Years", G3025&lt;9, "6–8 Years", G3025&lt;12, "9-11 Years", G3025&gt;=12, "12-14 Years")</f>
        <v>6–8 Years</v>
      </c>
      <c r="J3025">
        <v>3</v>
      </c>
      <c r="K3025" t="s">
        <v>20</v>
      </c>
      <c r="L3025">
        <v>109900</v>
      </c>
      <c r="M3025">
        <v>3700</v>
      </c>
      <c r="N3025">
        <v>113600</v>
      </c>
      <c r="O3025" t="s">
        <v>57</v>
      </c>
      <c r="P3025" s="3">
        <v>42930</v>
      </c>
      <c r="Q3025" t="s">
        <v>36</v>
      </c>
    </row>
    <row r="3026" spans="1:17" x14ac:dyDescent="0.35">
      <c r="A3026" t="s">
        <v>3078</v>
      </c>
      <c r="B3026" t="s">
        <v>16</v>
      </c>
      <c r="C3026">
        <v>28</v>
      </c>
      <c r="D3026" t="s">
        <v>38</v>
      </c>
      <c r="E3026" t="s">
        <v>39</v>
      </c>
      <c r="F3026" t="s">
        <v>36</v>
      </c>
      <c r="G3026">
        <v>3.9</v>
      </c>
      <c r="H3026">
        <v>2</v>
      </c>
      <c r="I3026" t="str" cm="1">
        <f t="array" ref="I3026">_xlfn.IFS(G3026&lt;3, "0–2 Years", G3026&lt;6, "3–5 Years", G3026&lt;9, "6–8 Years", G3026&lt;12, "9-11 Years", G3026&gt;=12, "12-14 Years")</f>
        <v>3–5 Years</v>
      </c>
      <c r="J3026">
        <v>3</v>
      </c>
      <c r="K3026" t="s">
        <v>20</v>
      </c>
      <c r="L3026">
        <v>72000</v>
      </c>
      <c r="M3026">
        <v>5300</v>
      </c>
      <c r="N3026">
        <v>77300</v>
      </c>
      <c r="O3026" t="s">
        <v>21</v>
      </c>
      <c r="P3026" s="3">
        <v>44582</v>
      </c>
      <c r="Q3026" t="s">
        <v>36</v>
      </c>
    </row>
    <row r="3027" spans="1:17" x14ac:dyDescent="0.35">
      <c r="A3027" t="s">
        <v>3079</v>
      </c>
      <c r="B3027" t="s">
        <v>23</v>
      </c>
      <c r="C3027" s="7">
        <v>40</v>
      </c>
      <c r="D3027" t="s">
        <v>55</v>
      </c>
      <c r="E3027" t="s">
        <v>92</v>
      </c>
      <c r="F3027" t="s">
        <v>28</v>
      </c>
      <c r="G3027" s="9">
        <v>13.8</v>
      </c>
      <c r="H3027" s="7">
        <v>9.5</v>
      </c>
      <c r="I3027" t="str" cm="1">
        <f t="array" ref="I3027">_xlfn.IFS(G3027&lt;3, "0–2 Years", G3027&lt;6, "3–5 Years", G3027&lt;9, "6–8 Years", G3027&lt;12, "9-11 Years", G3027&gt;=12, "12-14 Years")</f>
        <v>12-14 Years</v>
      </c>
      <c r="J3027" s="7">
        <v>3</v>
      </c>
      <c r="K3027" t="s">
        <v>24</v>
      </c>
      <c r="L3027" s="7">
        <v>69400</v>
      </c>
      <c r="M3027" s="7">
        <v>8300</v>
      </c>
      <c r="N3027" s="7">
        <v>77700</v>
      </c>
      <c r="O3027" t="s">
        <v>21</v>
      </c>
      <c r="P3027" s="3">
        <v>40980</v>
      </c>
      <c r="Q3027" t="s">
        <v>28</v>
      </c>
    </row>
    <row r="3028" spans="1:17" x14ac:dyDescent="0.35">
      <c r="A3028" t="s">
        <v>3080</v>
      </c>
      <c r="B3028" t="s">
        <v>16</v>
      </c>
      <c r="C3028">
        <v>33</v>
      </c>
      <c r="D3028" t="s">
        <v>44</v>
      </c>
      <c r="E3028" t="s">
        <v>51</v>
      </c>
      <c r="F3028" t="s">
        <v>62</v>
      </c>
      <c r="G3028">
        <v>8</v>
      </c>
      <c r="H3028">
        <v>4.7</v>
      </c>
      <c r="I3028" t="str" cm="1">
        <f t="array" ref="I3028">_xlfn.IFS(G3028&lt;3, "0–2 Years", G3028&lt;6, "3–5 Years", G3028&lt;9, "6–8 Years", G3028&lt;12, "9-11 Years", G3028&gt;=12, "12-14 Years")</f>
        <v>6–8 Years</v>
      </c>
      <c r="J3028">
        <v>3</v>
      </c>
      <c r="K3028" t="s">
        <v>20</v>
      </c>
      <c r="L3028">
        <v>100500</v>
      </c>
      <c r="M3028">
        <v>7200</v>
      </c>
      <c r="N3028">
        <v>107700</v>
      </c>
      <c r="O3028" t="s">
        <v>57</v>
      </c>
      <c r="P3028" s="3">
        <v>43092</v>
      </c>
      <c r="Q3028" t="s">
        <v>62</v>
      </c>
    </row>
    <row r="3029" spans="1:17" x14ac:dyDescent="0.35">
      <c r="A3029" t="s">
        <v>3081</v>
      </c>
      <c r="B3029" t="s">
        <v>23</v>
      </c>
      <c r="C3029">
        <v>33</v>
      </c>
      <c r="D3029" t="s">
        <v>38</v>
      </c>
      <c r="E3029" t="s">
        <v>39</v>
      </c>
      <c r="F3029" t="s">
        <v>36</v>
      </c>
      <c r="G3029">
        <v>8.6999999999999993</v>
      </c>
      <c r="H3029">
        <v>5.6</v>
      </c>
      <c r="I3029" t="str" cm="1">
        <f t="array" ref="I3029">_xlfn.IFS(G3029&lt;3, "0–2 Years", G3029&lt;6, "3–5 Years", G3029&lt;9, "6–8 Years", G3029&lt;12, "9-11 Years", G3029&gt;=12, "12-14 Years")</f>
        <v>6–8 Years</v>
      </c>
      <c r="J3029">
        <v>3</v>
      </c>
      <c r="K3029" t="s">
        <v>20</v>
      </c>
      <c r="L3029">
        <v>83400</v>
      </c>
      <c r="M3029">
        <v>7500</v>
      </c>
      <c r="N3029">
        <v>90900</v>
      </c>
      <c r="O3029" t="s">
        <v>30</v>
      </c>
      <c r="P3029" s="3">
        <v>42849</v>
      </c>
      <c r="Q3029" t="s">
        <v>36</v>
      </c>
    </row>
    <row r="3030" spans="1:17" x14ac:dyDescent="0.35">
      <c r="A3030" t="s">
        <v>3082</v>
      </c>
      <c r="B3030" t="s">
        <v>23</v>
      </c>
      <c r="C3030">
        <v>43</v>
      </c>
      <c r="D3030" t="s">
        <v>41</v>
      </c>
      <c r="E3030" t="s">
        <v>42</v>
      </c>
      <c r="F3030" t="s">
        <v>19</v>
      </c>
      <c r="G3030">
        <v>11.6</v>
      </c>
      <c r="H3030">
        <v>6.2</v>
      </c>
      <c r="I3030" t="str" cm="1">
        <f t="array" ref="I3030">_xlfn.IFS(G3030&lt;3, "0–2 Years", G3030&lt;6, "3–5 Years", G3030&lt;9, "6–8 Years", G3030&lt;12, "9-11 Years", G3030&gt;=12, "12-14 Years")</f>
        <v>9-11 Years</v>
      </c>
      <c r="J3030">
        <v>2</v>
      </c>
      <c r="K3030" t="s">
        <v>20</v>
      </c>
      <c r="L3030">
        <v>71100</v>
      </c>
      <c r="M3030">
        <v>2900</v>
      </c>
      <c r="N3030">
        <v>74000</v>
      </c>
      <c r="O3030" t="s">
        <v>21</v>
      </c>
      <c r="P3030" s="3">
        <v>41783</v>
      </c>
      <c r="Q3030" t="s">
        <v>19</v>
      </c>
    </row>
    <row r="3031" spans="1:17" x14ac:dyDescent="0.35">
      <c r="A3031" t="s">
        <v>3083</v>
      </c>
      <c r="B3031" t="s">
        <v>23</v>
      </c>
      <c r="C3031" s="7">
        <v>38</v>
      </c>
      <c r="D3031" t="s">
        <v>17</v>
      </c>
      <c r="E3031" t="s">
        <v>18</v>
      </c>
      <c r="F3031" t="s">
        <v>28</v>
      </c>
      <c r="G3031" s="9">
        <v>13.2</v>
      </c>
      <c r="H3031" s="7">
        <v>8.3000000000000007</v>
      </c>
      <c r="I3031" t="str" cm="1">
        <f t="array" ref="I3031">_xlfn.IFS(G3031&lt;3, "0–2 Years", G3031&lt;6, "3–5 Years", G3031&lt;9, "6–8 Years", G3031&lt;12, "9-11 Years", G3031&gt;=12, "12-14 Years")</f>
        <v>12-14 Years</v>
      </c>
      <c r="J3031" s="7">
        <v>4</v>
      </c>
      <c r="K3031" t="s">
        <v>20</v>
      </c>
      <c r="L3031" s="7">
        <v>125100</v>
      </c>
      <c r="M3031" s="7">
        <v>7400</v>
      </c>
      <c r="N3031" s="7">
        <v>132500</v>
      </c>
      <c r="O3031" t="s">
        <v>57</v>
      </c>
      <c r="P3031" s="3">
        <v>41196</v>
      </c>
      <c r="Q3031" t="s">
        <v>28</v>
      </c>
    </row>
    <row r="3032" spans="1:17" x14ac:dyDescent="0.35">
      <c r="A3032" t="s">
        <v>3084</v>
      </c>
      <c r="B3032" t="s">
        <v>16</v>
      </c>
      <c r="C3032" s="7">
        <v>34</v>
      </c>
      <c r="D3032" t="s">
        <v>34</v>
      </c>
      <c r="E3032" t="s">
        <v>59</v>
      </c>
      <c r="F3032" t="s">
        <v>36</v>
      </c>
      <c r="G3032" s="9">
        <v>12.6</v>
      </c>
      <c r="H3032" s="7">
        <v>9</v>
      </c>
      <c r="I3032" t="str" cm="1">
        <f t="array" ref="I3032">_xlfn.IFS(G3032&lt;3, "0–2 Years", G3032&lt;6, "3–5 Years", G3032&lt;9, "6–8 Years", G3032&lt;12, "9-11 Years", G3032&gt;=12, "12-14 Years")</f>
        <v>12-14 Years</v>
      </c>
      <c r="J3032" s="7">
        <v>3</v>
      </c>
      <c r="K3032" t="s">
        <v>20</v>
      </c>
      <c r="L3032" s="7">
        <v>131600</v>
      </c>
      <c r="M3032" s="7">
        <v>14500</v>
      </c>
      <c r="N3032" s="7">
        <v>146100</v>
      </c>
      <c r="O3032" t="s">
        <v>57</v>
      </c>
      <c r="P3032" s="3">
        <v>41410</v>
      </c>
      <c r="Q3032" t="s">
        <v>36</v>
      </c>
    </row>
    <row r="3033" spans="1:17" x14ac:dyDescent="0.35">
      <c r="A3033" t="s">
        <v>3085</v>
      </c>
      <c r="B3033" t="s">
        <v>23</v>
      </c>
      <c r="C3033">
        <v>21</v>
      </c>
      <c r="D3033" t="s">
        <v>17</v>
      </c>
      <c r="E3033" t="s">
        <v>32</v>
      </c>
      <c r="F3033" t="s">
        <v>36</v>
      </c>
      <c r="G3033">
        <v>8.9</v>
      </c>
      <c r="H3033">
        <v>6.4</v>
      </c>
      <c r="I3033" t="str" cm="1">
        <f t="array" ref="I3033">_xlfn.IFS(G3033&lt;3, "0–2 Years", G3033&lt;6, "3–5 Years", G3033&lt;9, "6–8 Years", G3033&lt;12, "9-11 Years", G3033&gt;=12, "12-14 Years")</f>
        <v>6–8 Years</v>
      </c>
      <c r="J3033">
        <v>5</v>
      </c>
      <c r="K3033" t="s">
        <v>20</v>
      </c>
      <c r="L3033">
        <v>64800</v>
      </c>
      <c r="M3033">
        <v>3700</v>
      </c>
      <c r="N3033">
        <v>68500</v>
      </c>
      <c r="O3033" t="s">
        <v>25</v>
      </c>
      <c r="P3033" s="3">
        <v>42781</v>
      </c>
      <c r="Q3033" t="s">
        <v>36</v>
      </c>
    </row>
    <row r="3034" spans="1:17" x14ac:dyDescent="0.35">
      <c r="A3034" t="s">
        <v>3086</v>
      </c>
      <c r="B3034" t="s">
        <v>16</v>
      </c>
      <c r="C3034">
        <v>36</v>
      </c>
      <c r="D3034" t="s">
        <v>38</v>
      </c>
      <c r="E3034" t="s">
        <v>61</v>
      </c>
      <c r="F3034" t="s">
        <v>28</v>
      </c>
      <c r="G3034">
        <v>6.3</v>
      </c>
      <c r="H3034">
        <v>6.1</v>
      </c>
      <c r="I3034" t="str" cm="1">
        <f t="array" ref="I3034">_xlfn.IFS(G3034&lt;3, "0–2 Years", G3034&lt;6, "3–5 Years", G3034&lt;9, "6–8 Years", G3034&lt;12, "9-11 Years", G3034&gt;=12, "12-14 Years")</f>
        <v>6–8 Years</v>
      </c>
      <c r="J3034">
        <v>2</v>
      </c>
      <c r="K3034" t="s">
        <v>69</v>
      </c>
      <c r="L3034">
        <v>83400</v>
      </c>
      <c r="M3034">
        <v>4300</v>
      </c>
      <c r="N3034">
        <v>87700</v>
      </c>
      <c r="O3034" t="s">
        <v>30</v>
      </c>
      <c r="P3034" s="3">
        <v>43718</v>
      </c>
      <c r="Q3034" t="s">
        <v>28</v>
      </c>
    </row>
    <row r="3035" spans="1:17" x14ac:dyDescent="0.35">
      <c r="A3035" t="s">
        <v>3087</v>
      </c>
      <c r="B3035" t="s">
        <v>16</v>
      </c>
      <c r="C3035">
        <v>48</v>
      </c>
      <c r="D3035" t="s">
        <v>17</v>
      </c>
      <c r="E3035" t="s">
        <v>27</v>
      </c>
      <c r="F3035" t="s">
        <v>28</v>
      </c>
      <c r="G3035">
        <v>8.8000000000000007</v>
      </c>
      <c r="H3035">
        <v>7.8</v>
      </c>
      <c r="I3035" t="str" cm="1">
        <f t="array" ref="I3035">_xlfn.IFS(G3035&lt;3, "0–2 Years", G3035&lt;6, "3–5 Years", G3035&lt;9, "6–8 Years", G3035&lt;12, "9-11 Years", G3035&gt;=12, "12-14 Years")</f>
        <v>6–8 Years</v>
      </c>
      <c r="J3035">
        <v>5</v>
      </c>
      <c r="K3035" t="s">
        <v>20</v>
      </c>
      <c r="L3035">
        <v>96100</v>
      </c>
      <c r="M3035">
        <v>5400</v>
      </c>
      <c r="N3035">
        <v>101500</v>
      </c>
      <c r="O3035" t="s">
        <v>30</v>
      </c>
      <c r="P3035" s="3">
        <v>42823</v>
      </c>
      <c r="Q3035" t="s">
        <v>28</v>
      </c>
    </row>
    <row r="3036" spans="1:17" x14ac:dyDescent="0.35">
      <c r="A3036" t="s">
        <v>3088</v>
      </c>
      <c r="B3036" t="s">
        <v>16</v>
      </c>
      <c r="C3036">
        <v>30</v>
      </c>
      <c r="D3036" t="s">
        <v>44</v>
      </c>
      <c r="E3036" t="s">
        <v>81</v>
      </c>
      <c r="F3036" t="s">
        <v>28</v>
      </c>
      <c r="G3036">
        <v>6.4</v>
      </c>
      <c r="H3036">
        <v>3.3</v>
      </c>
      <c r="I3036" t="str" cm="1">
        <f t="array" ref="I3036">_xlfn.IFS(G3036&lt;3, "0–2 Years", G3036&lt;6, "3–5 Years", G3036&lt;9, "6–8 Years", G3036&lt;12, "9-11 Years", G3036&gt;=12, "12-14 Years")</f>
        <v>6–8 Years</v>
      </c>
      <c r="J3036">
        <v>4</v>
      </c>
      <c r="K3036" t="s">
        <v>20</v>
      </c>
      <c r="L3036">
        <v>106800</v>
      </c>
      <c r="M3036">
        <v>10400</v>
      </c>
      <c r="N3036">
        <v>117200</v>
      </c>
      <c r="O3036" t="s">
        <v>57</v>
      </c>
      <c r="P3036" s="3">
        <v>43677</v>
      </c>
      <c r="Q3036" t="s">
        <v>28</v>
      </c>
    </row>
    <row r="3037" spans="1:17" x14ac:dyDescent="0.35">
      <c r="A3037" t="s">
        <v>3089</v>
      </c>
      <c r="B3037" t="s">
        <v>16</v>
      </c>
      <c r="C3037">
        <v>41</v>
      </c>
      <c r="D3037" t="s">
        <v>38</v>
      </c>
      <c r="E3037" t="s">
        <v>39</v>
      </c>
      <c r="F3037" t="s">
        <v>19</v>
      </c>
      <c r="G3037">
        <v>2.2999999999999998</v>
      </c>
      <c r="H3037">
        <v>0</v>
      </c>
      <c r="I3037" t="str" cm="1">
        <f t="array" ref="I3037">_xlfn.IFS(G3037&lt;3, "0–2 Years", G3037&lt;6, "3–5 Years", G3037&lt;9, "6–8 Years", G3037&lt;12, "9-11 Years", G3037&gt;=12, "12-14 Years")</f>
        <v>0–2 Years</v>
      </c>
      <c r="J3037">
        <v>3</v>
      </c>
      <c r="K3037" t="s">
        <v>20</v>
      </c>
      <c r="L3037">
        <v>67100</v>
      </c>
      <c r="M3037">
        <v>7000</v>
      </c>
      <c r="N3037">
        <v>74100</v>
      </c>
      <c r="O3037" t="s">
        <v>21</v>
      </c>
      <c r="P3037" s="3">
        <v>45199</v>
      </c>
      <c r="Q3037" t="s">
        <v>19</v>
      </c>
    </row>
    <row r="3038" spans="1:17" x14ac:dyDescent="0.35">
      <c r="A3038" t="s">
        <v>3090</v>
      </c>
      <c r="B3038" t="s">
        <v>23</v>
      </c>
      <c r="C3038" s="7">
        <v>32</v>
      </c>
      <c r="D3038" t="s">
        <v>55</v>
      </c>
      <c r="E3038" t="s">
        <v>79</v>
      </c>
      <c r="F3038" t="s">
        <v>36</v>
      </c>
      <c r="G3038" s="9">
        <v>12.5</v>
      </c>
      <c r="H3038" s="7">
        <v>7.3</v>
      </c>
      <c r="I3038" t="str" cm="1">
        <f t="array" ref="I3038">_xlfn.IFS(G3038&lt;3, "0–2 Years", G3038&lt;6, "3–5 Years", G3038&lt;9, "6–8 Years", G3038&lt;12, "9-11 Years", G3038&gt;=12, "12-14 Years")</f>
        <v>12-14 Years</v>
      </c>
      <c r="J3038" s="7">
        <v>1</v>
      </c>
      <c r="K3038" t="s">
        <v>20</v>
      </c>
      <c r="L3038" s="7">
        <v>68500</v>
      </c>
      <c r="M3038" s="7">
        <v>12400</v>
      </c>
      <c r="N3038" s="7">
        <v>80900</v>
      </c>
      <c r="O3038" t="s">
        <v>21</v>
      </c>
      <c r="P3038" s="3">
        <v>41461</v>
      </c>
      <c r="Q3038" t="s">
        <v>36</v>
      </c>
    </row>
    <row r="3039" spans="1:17" x14ac:dyDescent="0.35">
      <c r="A3039" t="s">
        <v>3091</v>
      </c>
      <c r="B3039" t="s">
        <v>16</v>
      </c>
      <c r="C3039">
        <v>33</v>
      </c>
      <c r="D3039" t="s">
        <v>17</v>
      </c>
      <c r="E3039" t="s">
        <v>32</v>
      </c>
      <c r="F3039" t="s">
        <v>19</v>
      </c>
      <c r="G3039">
        <v>8.1999999999999993</v>
      </c>
      <c r="H3039">
        <v>7</v>
      </c>
      <c r="I3039" t="str" cm="1">
        <f t="array" ref="I3039">_xlfn.IFS(G3039&lt;3, "0–2 Years", G3039&lt;6, "3–5 Years", G3039&lt;9, "6–8 Years", G3039&lt;12, "9-11 Years", G3039&gt;=12, "12-14 Years")</f>
        <v>6–8 Years</v>
      </c>
      <c r="J3039">
        <v>5</v>
      </c>
      <c r="K3039" t="s">
        <v>20</v>
      </c>
      <c r="L3039">
        <v>56900</v>
      </c>
      <c r="M3039">
        <v>2600</v>
      </c>
      <c r="N3039">
        <v>59500</v>
      </c>
      <c r="O3039" t="s">
        <v>25</v>
      </c>
      <c r="P3039" s="3">
        <v>43027</v>
      </c>
      <c r="Q3039" t="s">
        <v>19</v>
      </c>
    </row>
    <row r="3040" spans="1:17" x14ac:dyDescent="0.35">
      <c r="A3040" t="s">
        <v>3092</v>
      </c>
      <c r="B3040" t="s">
        <v>23</v>
      </c>
      <c r="C3040">
        <v>30</v>
      </c>
      <c r="D3040" t="s">
        <v>55</v>
      </c>
      <c r="E3040" t="s">
        <v>92</v>
      </c>
      <c r="F3040" t="s">
        <v>28</v>
      </c>
      <c r="G3040">
        <v>8.5</v>
      </c>
      <c r="H3040">
        <v>4.5</v>
      </c>
      <c r="I3040" t="str" cm="1">
        <f t="array" ref="I3040">_xlfn.IFS(G3040&lt;3, "0–2 Years", G3040&lt;6, "3–5 Years", G3040&lt;9, "6–8 Years", G3040&lt;12, "9-11 Years", G3040&gt;=12, "12-14 Years")</f>
        <v>6–8 Years</v>
      </c>
      <c r="J3040">
        <v>5</v>
      </c>
      <c r="K3040" t="s">
        <v>20</v>
      </c>
      <c r="L3040">
        <v>102300</v>
      </c>
      <c r="M3040">
        <v>17900</v>
      </c>
      <c r="N3040">
        <v>120200</v>
      </c>
      <c r="O3040" t="s">
        <v>57</v>
      </c>
      <c r="P3040" s="3">
        <v>42913</v>
      </c>
      <c r="Q3040" t="s">
        <v>28</v>
      </c>
    </row>
    <row r="3041" spans="1:17" x14ac:dyDescent="0.35">
      <c r="A3041" t="s">
        <v>3093</v>
      </c>
      <c r="B3041" t="s">
        <v>16</v>
      </c>
      <c r="C3041" s="7">
        <v>35</v>
      </c>
      <c r="D3041" t="s">
        <v>38</v>
      </c>
      <c r="E3041" t="s">
        <v>61</v>
      </c>
      <c r="F3041" t="s">
        <v>36</v>
      </c>
      <c r="G3041" s="9">
        <v>13.1</v>
      </c>
      <c r="H3041" s="7">
        <v>8.1</v>
      </c>
      <c r="I3041" t="str" cm="1">
        <f t="array" ref="I3041">_xlfn.IFS(G3041&lt;3, "0–2 Years", G3041&lt;6, "3–5 Years", G3041&lt;9, "6–8 Years", G3041&lt;12, "9-11 Years", G3041&gt;=12, "12-14 Years")</f>
        <v>12-14 Years</v>
      </c>
      <c r="J3041" s="7">
        <v>5</v>
      </c>
      <c r="K3041" t="s">
        <v>20</v>
      </c>
      <c r="L3041" s="7">
        <v>102300</v>
      </c>
      <c r="M3041" s="7">
        <v>9900</v>
      </c>
      <c r="N3041" s="7">
        <v>112200</v>
      </c>
      <c r="O3041" t="s">
        <v>57</v>
      </c>
      <c r="P3041" s="3">
        <v>41220</v>
      </c>
      <c r="Q3041" t="s">
        <v>36</v>
      </c>
    </row>
    <row r="3042" spans="1:17" x14ac:dyDescent="0.35">
      <c r="A3042" t="s">
        <v>3094</v>
      </c>
      <c r="B3042" t="s">
        <v>23</v>
      </c>
      <c r="C3042">
        <v>43</v>
      </c>
      <c r="D3042" t="s">
        <v>17</v>
      </c>
      <c r="E3042" t="s">
        <v>32</v>
      </c>
      <c r="F3042" t="s">
        <v>28</v>
      </c>
      <c r="G3042">
        <v>11.3</v>
      </c>
      <c r="H3042">
        <v>5.6</v>
      </c>
      <c r="I3042" t="str" cm="1">
        <f t="array" ref="I3042">_xlfn.IFS(G3042&lt;3, "0–2 Years", G3042&lt;6, "3–5 Years", G3042&lt;9, "6–8 Years", G3042&lt;12, "9-11 Years", G3042&gt;=12, "12-14 Years")</f>
        <v>9-11 Years</v>
      </c>
      <c r="J3042">
        <v>3</v>
      </c>
      <c r="K3042" t="s">
        <v>20</v>
      </c>
      <c r="L3042">
        <v>74700</v>
      </c>
      <c r="M3042">
        <v>7900</v>
      </c>
      <c r="N3042">
        <v>82600</v>
      </c>
      <c r="O3042" t="s">
        <v>21</v>
      </c>
      <c r="P3042" s="3">
        <v>41882</v>
      </c>
      <c r="Q3042" t="s">
        <v>28</v>
      </c>
    </row>
    <row r="3043" spans="1:17" x14ac:dyDescent="0.35">
      <c r="A3043" t="s">
        <v>3095</v>
      </c>
      <c r="B3043" t="s">
        <v>16</v>
      </c>
      <c r="C3043">
        <v>35</v>
      </c>
      <c r="D3043" t="s">
        <v>41</v>
      </c>
      <c r="E3043" t="s">
        <v>42</v>
      </c>
      <c r="F3043" t="s">
        <v>28</v>
      </c>
      <c r="G3043">
        <v>7.1</v>
      </c>
      <c r="H3043">
        <v>2.6</v>
      </c>
      <c r="I3043" t="str" cm="1">
        <f t="array" ref="I3043">_xlfn.IFS(G3043&lt;3, "0–2 Years", G3043&lt;6, "3–5 Years", G3043&lt;9, "6–8 Years", G3043&lt;12, "9-11 Years", G3043&gt;=12, "12-14 Years")</f>
        <v>6–8 Years</v>
      </c>
      <c r="J3043">
        <v>3</v>
      </c>
      <c r="K3043" t="s">
        <v>69</v>
      </c>
      <c r="L3043">
        <v>69600</v>
      </c>
      <c r="M3043">
        <v>2400</v>
      </c>
      <c r="N3043">
        <v>72000</v>
      </c>
      <c r="O3043" t="s">
        <v>21</v>
      </c>
      <c r="P3043" s="3">
        <v>43447</v>
      </c>
      <c r="Q3043" t="s">
        <v>28</v>
      </c>
    </row>
    <row r="3044" spans="1:17" x14ac:dyDescent="0.35">
      <c r="A3044" t="s">
        <v>3096</v>
      </c>
      <c r="B3044" t="s">
        <v>23</v>
      </c>
      <c r="C3044">
        <v>24</v>
      </c>
      <c r="D3044" t="s">
        <v>34</v>
      </c>
      <c r="E3044" t="s">
        <v>35</v>
      </c>
      <c r="F3044" t="s">
        <v>28</v>
      </c>
      <c r="G3044">
        <v>4.4000000000000004</v>
      </c>
      <c r="H3044">
        <v>1.1000000000000001</v>
      </c>
      <c r="I3044" t="str" cm="1">
        <f t="array" ref="I3044">_xlfn.IFS(G3044&lt;3, "0–2 Years", G3044&lt;6, "3–5 Years", G3044&lt;9, "6–8 Years", G3044&lt;12, "9-11 Years", G3044&gt;=12, "12-14 Years")</f>
        <v>3–5 Years</v>
      </c>
      <c r="J3044">
        <v>2</v>
      </c>
      <c r="K3044" t="s">
        <v>20</v>
      </c>
      <c r="L3044">
        <v>74300</v>
      </c>
      <c r="M3044">
        <v>5700</v>
      </c>
      <c r="N3044">
        <v>80000</v>
      </c>
      <c r="O3044" t="s">
        <v>21</v>
      </c>
      <c r="P3044" s="3">
        <v>44400</v>
      </c>
      <c r="Q3044" t="s">
        <v>28</v>
      </c>
    </row>
    <row r="3045" spans="1:17" x14ac:dyDescent="0.35">
      <c r="A3045" t="s">
        <v>3097</v>
      </c>
      <c r="B3045" t="s">
        <v>16</v>
      </c>
      <c r="C3045">
        <v>23</v>
      </c>
      <c r="D3045" t="s">
        <v>34</v>
      </c>
      <c r="E3045" t="s">
        <v>35</v>
      </c>
      <c r="F3045" t="s">
        <v>19</v>
      </c>
      <c r="G3045">
        <v>9.1999999999999993</v>
      </c>
      <c r="H3045">
        <v>5.4</v>
      </c>
      <c r="I3045" t="str" cm="1">
        <f t="array" ref="I3045">_xlfn.IFS(G3045&lt;3, "0–2 Years", G3045&lt;6, "3–5 Years", G3045&lt;9, "6–8 Years", G3045&lt;12, "9-11 Years", G3045&gt;=12, "12-14 Years")</f>
        <v>9-11 Years</v>
      </c>
      <c r="J3045">
        <v>3</v>
      </c>
      <c r="K3045" t="s">
        <v>20</v>
      </c>
      <c r="L3045">
        <v>80400</v>
      </c>
      <c r="M3045">
        <v>5500</v>
      </c>
      <c r="N3045">
        <v>85900</v>
      </c>
      <c r="O3045" t="s">
        <v>30</v>
      </c>
      <c r="P3045" s="3">
        <v>42650</v>
      </c>
      <c r="Q3045" t="s">
        <v>19</v>
      </c>
    </row>
    <row r="3046" spans="1:17" x14ac:dyDescent="0.35">
      <c r="A3046" t="s">
        <v>3098</v>
      </c>
      <c r="B3046" t="s">
        <v>16</v>
      </c>
      <c r="C3046">
        <v>44</v>
      </c>
      <c r="D3046" t="s">
        <v>44</v>
      </c>
      <c r="E3046" t="s">
        <v>81</v>
      </c>
      <c r="F3046" t="s">
        <v>28</v>
      </c>
      <c r="G3046">
        <v>7.3</v>
      </c>
      <c r="H3046">
        <v>3.2</v>
      </c>
      <c r="I3046" t="str" cm="1">
        <f t="array" ref="I3046">_xlfn.IFS(G3046&lt;3, "0–2 Years", G3046&lt;6, "3–5 Years", G3046&lt;9, "6–8 Years", G3046&lt;12, "9-11 Years", G3046&gt;=12, "12-14 Years")</f>
        <v>6–8 Years</v>
      </c>
      <c r="J3046">
        <v>3</v>
      </c>
      <c r="K3046" t="s">
        <v>20</v>
      </c>
      <c r="L3046">
        <v>87100</v>
      </c>
      <c r="M3046">
        <v>6600</v>
      </c>
      <c r="N3046">
        <v>93700</v>
      </c>
      <c r="O3046" t="s">
        <v>30</v>
      </c>
      <c r="P3046" s="3">
        <v>43369</v>
      </c>
      <c r="Q3046" t="s">
        <v>28</v>
      </c>
    </row>
    <row r="3047" spans="1:17" x14ac:dyDescent="0.35">
      <c r="A3047" t="s">
        <v>3099</v>
      </c>
      <c r="B3047" t="s">
        <v>16</v>
      </c>
      <c r="C3047">
        <v>35</v>
      </c>
      <c r="D3047" t="s">
        <v>44</v>
      </c>
      <c r="E3047" t="s">
        <v>76</v>
      </c>
      <c r="F3047" t="s">
        <v>36</v>
      </c>
      <c r="G3047">
        <v>6.2</v>
      </c>
      <c r="H3047">
        <v>2.8</v>
      </c>
      <c r="I3047" t="str" cm="1">
        <f t="array" ref="I3047">_xlfn.IFS(G3047&lt;3, "0–2 Years", G3047&lt;6, "3–5 Years", G3047&lt;9, "6–8 Years", G3047&lt;12, "9-11 Years", G3047&gt;=12, "12-14 Years")</f>
        <v>6–8 Years</v>
      </c>
      <c r="J3047">
        <v>4</v>
      </c>
      <c r="K3047" t="s">
        <v>20</v>
      </c>
      <c r="L3047">
        <v>120200</v>
      </c>
      <c r="M3047">
        <v>11200</v>
      </c>
      <c r="N3047">
        <v>131400</v>
      </c>
      <c r="O3047" t="s">
        <v>57</v>
      </c>
      <c r="P3047" s="3">
        <v>43743</v>
      </c>
      <c r="Q3047" t="s">
        <v>36</v>
      </c>
    </row>
    <row r="3048" spans="1:17" x14ac:dyDescent="0.35">
      <c r="A3048" t="s">
        <v>3100</v>
      </c>
      <c r="B3048" t="s">
        <v>23</v>
      </c>
      <c r="C3048">
        <v>29</v>
      </c>
      <c r="D3048" t="s">
        <v>55</v>
      </c>
      <c r="E3048" t="s">
        <v>56</v>
      </c>
      <c r="F3048" t="s">
        <v>36</v>
      </c>
      <c r="G3048">
        <v>8.6999999999999993</v>
      </c>
      <c r="H3048">
        <v>5.6</v>
      </c>
      <c r="I3048" t="str" cm="1">
        <f t="array" ref="I3048">_xlfn.IFS(G3048&lt;3, "0–2 Years", G3048&lt;6, "3–5 Years", G3048&lt;9, "6–8 Years", G3048&lt;12, "9-11 Years", G3048&gt;=12, "12-14 Years")</f>
        <v>6–8 Years</v>
      </c>
      <c r="J3048">
        <v>5</v>
      </c>
      <c r="K3048" t="s">
        <v>20</v>
      </c>
      <c r="L3048">
        <v>114500</v>
      </c>
      <c r="M3048">
        <v>23300</v>
      </c>
      <c r="N3048">
        <v>137800</v>
      </c>
      <c r="O3048" t="s">
        <v>57</v>
      </c>
      <c r="P3048" s="3">
        <v>42862</v>
      </c>
      <c r="Q3048" t="s">
        <v>36</v>
      </c>
    </row>
    <row r="3049" spans="1:17" x14ac:dyDescent="0.35">
      <c r="A3049" t="s">
        <v>3101</v>
      </c>
      <c r="B3049" t="s">
        <v>23</v>
      </c>
      <c r="C3049">
        <v>33</v>
      </c>
      <c r="D3049" t="s">
        <v>34</v>
      </c>
      <c r="E3049" t="s">
        <v>35</v>
      </c>
      <c r="F3049" t="s">
        <v>28</v>
      </c>
      <c r="G3049">
        <v>9.5</v>
      </c>
      <c r="H3049">
        <v>4.7</v>
      </c>
      <c r="I3049" t="str" cm="1">
        <f t="array" ref="I3049">_xlfn.IFS(G3049&lt;3, "0–2 Years", G3049&lt;6, "3–5 Years", G3049&lt;9, "6–8 Years", G3049&lt;12, "9-11 Years", G3049&gt;=12, "12-14 Years")</f>
        <v>9-11 Years</v>
      </c>
      <c r="J3049">
        <v>3</v>
      </c>
      <c r="K3049" t="s">
        <v>20</v>
      </c>
      <c r="L3049">
        <v>82100</v>
      </c>
      <c r="M3049">
        <v>9300</v>
      </c>
      <c r="N3049">
        <v>91400</v>
      </c>
      <c r="O3049" t="s">
        <v>30</v>
      </c>
      <c r="P3049" s="3">
        <v>42556</v>
      </c>
      <c r="Q3049" t="s">
        <v>28</v>
      </c>
    </row>
    <row r="3050" spans="1:17" x14ac:dyDescent="0.35">
      <c r="A3050" t="s">
        <v>3102</v>
      </c>
      <c r="B3050" t="s">
        <v>23</v>
      </c>
      <c r="C3050">
        <v>35</v>
      </c>
      <c r="D3050" t="s">
        <v>55</v>
      </c>
      <c r="E3050" t="s">
        <v>56</v>
      </c>
      <c r="F3050" t="s">
        <v>19</v>
      </c>
      <c r="G3050">
        <v>11</v>
      </c>
      <c r="H3050">
        <v>7</v>
      </c>
      <c r="I3050" t="str" cm="1">
        <f t="array" ref="I3050">_xlfn.IFS(G3050&lt;3, "0–2 Years", G3050&lt;6, "3–5 Years", G3050&lt;9, "6–8 Years", G3050&lt;12, "9-11 Years", G3050&gt;=12, "12-14 Years")</f>
        <v>9-11 Years</v>
      </c>
      <c r="J3050">
        <v>4</v>
      </c>
      <c r="K3050" t="s">
        <v>24</v>
      </c>
      <c r="L3050">
        <v>66200</v>
      </c>
      <c r="M3050">
        <v>5400</v>
      </c>
      <c r="N3050">
        <v>71600</v>
      </c>
      <c r="O3050" t="s">
        <v>21</v>
      </c>
      <c r="P3050" s="3">
        <v>41988</v>
      </c>
      <c r="Q3050" t="s">
        <v>19</v>
      </c>
    </row>
    <row r="3051" spans="1:17" x14ac:dyDescent="0.35">
      <c r="A3051" t="s">
        <v>3103</v>
      </c>
      <c r="B3051" t="s">
        <v>23</v>
      </c>
      <c r="C3051">
        <v>41</v>
      </c>
      <c r="D3051" t="s">
        <v>17</v>
      </c>
      <c r="E3051" t="s">
        <v>32</v>
      </c>
      <c r="F3051" t="s">
        <v>28</v>
      </c>
      <c r="G3051">
        <v>2.8</v>
      </c>
      <c r="H3051">
        <v>2.8</v>
      </c>
      <c r="I3051" t="str" cm="1">
        <f t="array" ref="I3051">_xlfn.IFS(G3051&lt;3, "0–2 Years", G3051&lt;6, "3–5 Years", G3051&lt;9, "6–8 Years", G3051&lt;12, "9-11 Years", G3051&gt;=12, "12-14 Years")</f>
        <v>0–2 Years</v>
      </c>
      <c r="J3051">
        <v>3</v>
      </c>
      <c r="K3051" t="s">
        <v>20</v>
      </c>
      <c r="L3051">
        <v>60300</v>
      </c>
      <c r="M3051">
        <v>5900</v>
      </c>
      <c r="N3051">
        <v>66200</v>
      </c>
      <c r="O3051" t="s">
        <v>25</v>
      </c>
      <c r="P3051" s="3">
        <v>45009</v>
      </c>
      <c r="Q3051" t="s">
        <v>28</v>
      </c>
    </row>
    <row r="3052" spans="1:17" x14ac:dyDescent="0.35">
      <c r="A3052" t="s">
        <v>3104</v>
      </c>
      <c r="B3052" t="s">
        <v>23</v>
      </c>
      <c r="C3052">
        <v>31</v>
      </c>
      <c r="D3052" t="s">
        <v>44</v>
      </c>
      <c r="E3052" t="s">
        <v>76</v>
      </c>
      <c r="F3052" t="s">
        <v>28</v>
      </c>
      <c r="G3052">
        <v>9</v>
      </c>
      <c r="H3052">
        <v>4.5</v>
      </c>
      <c r="I3052" t="str" cm="1">
        <f t="array" ref="I3052">_xlfn.IFS(G3052&lt;3, "0–2 Years", G3052&lt;6, "3–5 Years", G3052&lt;9, "6–8 Years", G3052&lt;12, "9-11 Years", G3052&gt;=12, "12-14 Years")</f>
        <v>9-11 Years</v>
      </c>
      <c r="J3052">
        <v>3</v>
      </c>
      <c r="K3052" t="s">
        <v>24</v>
      </c>
      <c r="L3052">
        <v>64400</v>
      </c>
      <c r="M3052">
        <v>6900</v>
      </c>
      <c r="N3052">
        <v>71300</v>
      </c>
      <c r="O3052" t="s">
        <v>25</v>
      </c>
      <c r="P3052" s="3">
        <v>42734</v>
      </c>
      <c r="Q3052" t="s">
        <v>28</v>
      </c>
    </row>
    <row r="3053" spans="1:17" x14ac:dyDescent="0.35">
      <c r="A3053" t="s">
        <v>3105</v>
      </c>
      <c r="B3053" t="s">
        <v>23</v>
      </c>
      <c r="C3053">
        <v>35</v>
      </c>
      <c r="D3053" t="s">
        <v>34</v>
      </c>
      <c r="E3053" t="s">
        <v>47</v>
      </c>
      <c r="F3053" t="s">
        <v>36</v>
      </c>
      <c r="G3053">
        <v>1.5</v>
      </c>
      <c r="H3053">
        <v>0.9</v>
      </c>
      <c r="I3053" t="str" cm="1">
        <f t="array" ref="I3053">_xlfn.IFS(G3053&lt;3, "0–2 Years", G3053&lt;6, "3–5 Years", G3053&lt;9, "6–8 Years", G3053&lt;12, "9-11 Years", G3053&gt;=12, "12-14 Years")</f>
        <v>0–2 Years</v>
      </c>
      <c r="J3053">
        <v>5</v>
      </c>
      <c r="K3053" t="s">
        <v>69</v>
      </c>
      <c r="L3053">
        <v>70100</v>
      </c>
      <c r="M3053">
        <v>7600</v>
      </c>
      <c r="N3053">
        <v>77700</v>
      </c>
      <c r="O3053" t="s">
        <v>21</v>
      </c>
      <c r="P3053" s="3">
        <v>45490</v>
      </c>
      <c r="Q3053" t="s">
        <v>36</v>
      </c>
    </row>
    <row r="3054" spans="1:17" x14ac:dyDescent="0.35">
      <c r="A3054" t="s">
        <v>3106</v>
      </c>
      <c r="B3054" t="s">
        <v>16</v>
      </c>
      <c r="C3054">
        <v>34</v>
      </c>
      <c r="D3054" t="s">
        <v>17</v>
      </c>
      <c r="E3054" t="s">
        <v>18</v>
      </c>
      <c r="F3054" t="s">
        <v>28</v>
      </c>
      <c r="G3054">
        <v>1.4</v>
      </c>
      <c r="H3054">
        <v>1.4</v>
      </c>
      <c r="I3054" t="str" cm="1">
        <f t="array" ref="I3054">_xlfn.IFS(G3054&lt;3, "0–2 Years", G3054&lt;6, "3–5 Years", G3054&lt;9, "6–8 Years", G3054&lt;12, "9-11 Years", G3054&gt;=12, "12-14 Years")</f>
        <v>0–2 Years</v>
      </c>
      <c r="J3054">
        <v>2</v>
      </c>
      <c r="K3054" t="s">
        <v>69</v>
      </c>
      <c r="L3054">
        <v>73600</v>
      </c>
      <c r="M3054">
        <v>9300</v>
      </c>
      <c r="N3054">
        <v>82900</v>
      </c>
      <c r="O3054" t="s">
        <v>21</v>
      </c>
      <c r="P3054" s="3">
        <v>45501</v>
      </c>
      <c r="Q3054" t="s">
        <v>28</v>
      </c>
    </row>
    <row r="3055" spans="1:17" x14ac:dyDescent="0.35">
      <c r="A3055" t="s">
        <v>3107</v>
      </c>
      <c r="B3055" t="s">
        <v>16</v>
      </c>
      <c r="C3055">
        <v>40</v>
      </c>
      <c r="D3055" t="s">
        <v>17</v>
      </c>
      <c r="E3055" t="s">
        <v>27</v>
      </c>
      <c r="F3055" t="s">
        <v>36</v>
      </c>
      <c r="G3055">
        <v>5.6</v>
      </c>
      <c r="H3055">
        <v>2.1</v>
      </c>
      <c r="I3055" t="str" cm="1">
        <f t="array" ref="I3055">_xlfn.IFS(G3055&lt;3, "0–2 Years", G3055&lt;6, "3–5 Years", G3055&lt;9, "6–8 Years", G3055&lt;12, "9-11 Years", G3055&gt;=12, "12-14 Years")</f>
        <v>3–5 Years</v>
      </c>
      <c r="J3055">
        <v>3</v>
      </c>
      <c r="K3055" t="s">
        <v>20</v>
      </c>
      <c r="L3055">
        <v>84200</v>
      </c>
      <c r="M3055">
        <v>10100</v>
      </c>
      <c r="N3055">
        <v>94300</v>
      </c>
      <c r="O3055" t="s">
        <v>30</v>
      </c>
      <c r="P3055" s="3">
        <v>43981</v>
      </c>
      <c r="Q3055" t="s">
        <v>36</v>
      </c>
    </row>
    <row r="3056" spans="1:17" x14ac:dyDescent="0.35">
      <c r="A3056" t="s">
        <v>3108</v>
      </c>
      <c r="B3056" t="s">
        <v>16</v>
      </c>
      <c r="C3056">
        <v>21</v>
      </c>
      <c r="D3056" t="s">
        <v>38</v>
      </c>
      <c r="E3056" t="s">
        <v>61</v>
      </c>
      <c r="F3056" t="s">
        <v>19</v>
      </c>
      <c r="G3056">
        <v>5.0999999999999996</v>
      </c>
      <c r="H3056">
        <v>2.1</v>
      </c>
      <c r="I3056" t="str" cm="1">
        <f t="array" ref="I3056">_xlfn.IFS(G3056&lt;3, "0–2 Years", G3056&lt;6, "3–5 Years", G3056&lt;9, "6–8 Years", G3056&lt;12, "9-11 Years", G3056&gt;=12, "12-14 Years")</f>
        <v>3–5 Years</v>
      </c>
      <c r="J3056">
        <v>3</v>
      </c>
      <c r="K3056" t="s">
        <v>20</v>
      </c>
      <c r="L3056">
        <v>81300</v>
      </c>
      <c r="M3056">
        <v>6500</v>
      </c>
      <c r="N3056">
        <v>87800</v>
      </c>
      <c r="O3056" t="s">
        <v>30</v>
      </c>
      <c r="P3056" s="3">
        <v>44162</v>
      </c>
      <c r="Q3056" t="s">
        <v>19</v>
      </c>
    </row>
    <row r="3057" spans="1:17" x14ac:dyDescent="0.35">
      <c r="A3057" t="s">
        <v>3109</v>
      </c>
      <c r="B3057" t="s">
        <v>23</v>
      </c>
      <c r="C3057" s="7">
        <v>32</v>
      </c>
      <c r="D3057" t="s">
        <v>34</v>
      </c>
      <c r="E3057" t="s">
        <v>47</v>
      </c>
      <c r="F3057" t="s">
        <v>36</v>
      </c>
      <c r="G3057" s="9">
        <v>13.4</v>
      </c>
      <c r="H3057" s="7">
        <v>6.9</v>
      </c>
      <c r="I3057" t="str" cm="1">
        <f t="array" ref="I3057">_xlfn.IFS(G3057&lt;3, "0–2 Years", G3057&lt;6, "3–5 Years", G3057&lt;9, "6–8 Years", G3057&lt;12, "9-11 Years", G3057&gt;=12, "12-14 Years")</f>
        <v>12-14 Years</v>
      </c>
      <c r="J3057" s="7">
        <v>3</v>
      </c>
      <c r="K3057" t="s">
        <v>20</v>
      </c>
      <c r="L3057" s="7">
        <v>89200</v>
      </c>
      <c r="M3057" s="7">
        <v>6200</v>
      </c>
      <c r="N3057" s="7">
        <v>95400</v>
      </c>
      <c r="O3057" t="s">
        <v>30</v>
      </c>
      <c r="P3057" s="3">
        <v>41123</v>
      </c>
      <c r="Q3057" t="s">
        <v>36</v>
      </c>
    </row>
    <row r="3058" spans="1:17" x14ac:dyDescent="0.35">
      <c r="A3058" t="s">
        <v>3110</v>
      </c>
      <c r="B3058" t="s">
        <v>23</v>
      </c>
      <c r="C3058">
        <v>38</v>
      </c>
      <c r="D3058" t="s">
        <v>38</v>
      </c>
      <c r="E3058" t="s">
        <v>39</v>
      </c>
      <c r="F3058" t="s">
        <v>28</v>
      </c>
      <c r="G3058">
        <v>3.1</v>
      </c>
      <c r="H3058">
        <v>3.1</v>
      </c>
      <c r="I3058" t="str" cm="1">
        <f t="array" ref="I3058">_xlfn.IFS(G3058&lt;3, "0–2 Years", G3058&lt;6, "3–5 Years", G3058&lt;9, "6–8 Years", G3058&lt;12, "9-11 Years", G3058&gt;=12, "12-14 Years")</f>
        <v>3–5 Years</v>
      </c>
      <c r="J3058">
        <v>3</v>
      </c>
      <c r="K3058" t="s">
        <v>20</v>
      </c>
      <c r="L3058">
        <v>77000</v>
      </c>
      <c r="M3058">
        <v>4400</v>
      </c>
      <c r="N3058">
        <v>81400</v>
      </c>
      <c r="O3058" t="s">
        <v>21</v>
      </c>
      <c r="P3058" s="3">
        <v>44907</v>
      </c>
      <c r="Q3058" t="s">
        <v>28</v>
      </c>
    </row>
    <row r="3059" spans="1:17" x14ac:dyDescent="0.35">
      <c r="A3059" t="s">
        <v>3111</v>
      </c>
      <c r="B3059" t="s">
        <v>16</v>
      </c>
      <c r="C3059">
        <v>30</v>
      </c>
      <c r="D3059" t="s">
        <v>55</v>
      </c>
      <c r="E3059" t="s">
        <v>79</v>
      </c>
      <c r="F3059" t="s">
        <v>28</v>
      </c>
      <c r="G3059">
        <v>8.1</v>
      </c>
      <c r="H3059">
        <v>5.7</v>
      </c>
      <c r="I3059" t="str" cm="1">
        <f t="array" ref="I3059">_xlfn.IFS(G3059&lt;3, "0–2 Years", G3059&lt;6, "3–5 Years", G3059&lt;9, "6–8 Years", G3059&lt;12, "9-11 Years", G3059&gt;=12, "12-14 Years")</f>
        <v>6–8 Years</v>
      </c>
      <c r="J3059">
        <v>4</v>
      </c>
      <c r="K3059" t="s">
        <v>20</v>
      </c>
      <c r="L3059">
        <v>69300</v>
      </c>
      <c r="M3059">
        <v>13500</v>
      </c>
      <c r="N3059">
        <v>82800</v>
      </c>
      <c r="O3059" t="s">
        <v>21</v>
      </c>
      <c r="P3059" s="3">
        <v>43081</v>
      </c>
      <c r="Q3059" t="s">
        <v>28</v>
      </c>
    </row>
    <row r="3060" spans="1:17" x14ac:dyDescent="0.35">
      <c r="A3060" t="s">
        <v>3112</v>
      </c>
      <c r="B3060" t="s">
        <v>23</v>
      </c>
      <c r="C3060">
        <v>21</v>
      </c>
      <c r="D3060" t="s">
        <v>41</v>
      </c>
      <c r="E3060" t="s">
        <v>42</v>
      </c>
      <c r="F3060" t="s">
        <v>28</v>
      </c>
      <c r="G3060">
        <v>8.9</v>
      </c>
      <c r="H3060">
        <v>5.4</v>
      </c>
      <c r="I3060" t="str" cm="1">
        <f t="array" ref="I3060">_xlfn.IFS(G3060&lt;3, "0–2 Years", G3060&lt;6, "3–5 Years", G3060&lt;9, "6–8 Years", G3060&lt;12, "9-11 Years", G3060&gt;=12, "12-14 Years")</f>
        <v>6–8 Years</v>
      </c>
      <c r="J3060">
        <v>4</v>
      </c>
      <c r="K3060" t="s">
        <v>20</v>
      </c>
      <c r="L3060">
        <v>85800</v>
      </c>
      <c r="M3060">
        <v>7600</v>
      </c>
      <c r="N3060">
        <v>93400</v>
      </c>
      <c r="O3060" t="s">
        <v>30</v>
      </c>
      <c r="P3060" s="3">
        <v>42763</v>
      </c>
      <c r="Q3060" t="s">
        <v>28</v>
      </c>
    </row>
    <row r="3061" spans="1:17" x14ac:dyDescent="0.35">
      <c r="A3061" t="s">
        <v>3113</v>
      </c>
      <c r="B3061" t="s">
        <v>23</v>
      </c>
      <c r="C3061">
        <v>33</v>
      </c>
      <c r="D3061" t="s">
        <v>41</v>
      </c>
      <c r="E3061" t="s">
        <v>73</v>
      </c>
      <c r="F3061" t="s">
        <v>19</v>
      </c>
      <c r="G3061">
        <v>11.1</v>
      </c>
      <c r="H3061">
        <v>8.8000000000000007</v>
      </c>
      <c r="I3061" t="str" cm="1">
        <f t="array" ref="I3061">_xlfn.IFS(G3061&lt;3, "0–2 Years", G3061&lt;6, "3–5 Years", G3061&lt;9, "6–8 Years", G3061&lt;12, "9-11 Years", G3061&gt;=12, "12-14 Years")</f>
        <v>9-11 Years</v>
      </c>
      <c r="J3061">
        <v>3</v>
      </c>
      <c r="K3061" t="s">
        <v>20</v>
      </c>
      <c r="L3061">
        <v>114300</v>
      </c>
      <c r="M3061">
        <v>7700</v>
      </c>
      <c r="N3061">
        <v>122000</v>
      </c>
      <c r="O3061" t="s">
        <v>57</v>
      </c>
      <c r="P3061" s="3">
        <v>41979</v>
      </c>
      <c r="Q3061" t="s">
        <v>19</v>
      </c>
    </row>
    <row r="3062" spans="1:17" x14ac:dyDescent="0.35">
      <c r="A3062" t="s">
        <v>3114</v>
      </c>
      <c r="B3062" t="s">
        <v>23</v>
      </c>
      <c r="C3062">
        <v>35</v>
      </c>
      <c r="D3062" t="s">
        <v>41</v>
      </c>
      <c r="E3062" t="s">
        <v>42</v>
      </c>
      <c r="F3062" t="s">
        <v>19</v>
      </c>
      <c r="G3062">
        <v>3.7</v>
      </c>
      <c r="H3062">
        <v>2.5</v>
      </c>
      <c r="I3062" t="str" cm="1">
        <f t="array" ref="I3062">_xlfn.IFS(G3062&lt;3, "0–2 Years", G3062&lt;6, "3–5 Years", G3062&lt;9, "6–8 Years", G3062&lt;12, "9-11 Years", G3062&gt;=12, "12-14 Years")</f>
        <v>3–5 Years</v>
      </c>
      <c r="J3062">
        <v>3</v>
      </c>
      <c r="K3062" t="s">
        <v>20</v>
      </c>
      <c r="L3062">
        <v>69200</v>
      </c>
      <c r="M3062">
        <v>3000</v>
      </c>
      <c r="N3062">
        <v>72200</v>
      </c>
      <c r="O3062" t="s">
        <v>21</v>
      </c>
      <c r="P3062" s="3">
        <v>44657</v>
      </c>
      <c r="Q3062" t="s">
        <v>19</v>
      </c>
    </row>
    <row r="3063" spans="1:17" x14ac:dyDescent="0.35">
      <c r="A3063" t="s">
        <v>3115</v>
      </c>
      <c r="B3063" t="s">
        <v>23</v>
      </c>
      <c r="C3063" s="7">
        <v>42</v>
      </c>
      <c r="D3063" t="s">
        <v>41</v>
      </c>
      <c r="E3063" t="s">
        <v>73</v>
      </c>
      <c r="F3063" t="s">
        <v>36</v>
      </c>
      <c r="G3063" s="9">
        <v>13.3</v>
      </c>
      <c r="H3063" s="7">
        <v>7.3</v>
      </c>
      <c r="I3063" t="str" cm="1">
        <f t="array" ref="I3063">_xlfn.IFS(G3063&lt;3, "0–2 Years", G3063&lt;6, "3–5 Years", G3063&lt;9, "6–8 Years", G3063&lt;12, "9-11 Years", G3063&gt;=12, "12-14 Years")</f>
        <v>12-14 Years</v>
      </c>
      <c r="J3063" s="7">
        <v>3</v>
      </c>
      <c r="K3063" t="s">
        <v>20</v>
      </c>
      <c r="L3063" s="7">
        <v>10860</v>
      </c>
      <c r="M3063" s="7">
        <v>9100</v>
      </c>
      <c r="N3063" s="7">
        <v>19960</v>
      </c>
      <c r="O3063" t="s">
        <v>65</v>
      </c>
      <c r="P3063" s="3">
        <v>41180</v>
      </c>
      <c r="Q3063" t="s">
        <v>36</v>
      </c>
    </row>
    <row r="3064" spans="1:17" x14ac:dyDescent="0.35">
      <c r="A3064" t="s">
        <v>3116</v>
      </c>
      <c r="B3064" t="s">
        <v>16</v>
      </c>
      <c r="C3064">
        <v>43</v>
      </c>
      <c r="D3064" t="s">
        <v>41</v>
      </c>
      <c r="E3064" t="s">
        <v>73</v>
      </c>
      <c r="F3064" t="s">
        <v>36</v>
      </c>
      <c r="G3064">
        <v>8.5</v>
      </c>
      <c r="H3064">
        <v>4.8</v>
      </c>
      <c r="I3064" t="str" cm="1">
        <f t="array" ref="I3064">_xlfn.IFS(G3064&lt;3, "0–2 Years", G3064&lt;6, "3–5 Years", G3064&lt;9, "6–8 Years", G3064&lt;12, "9-11 Years", G3064&gt;=12, "12-14 Years")</f>
        <v>6–8 Years</v>
      </c>
      <c r="J3064">
        <v>3</v>
      </c>
      <c r="K3064" t="s">
        <v>20</v>
      </c>
      <c r="L3064">
        <v>110800</v>
      </c>
      <c r="M3064">
        <v>9400</v>
      </c>
      <c r="N3064">
        <v>120200</v>
      </c>
      <c r="O3064" t="s">
        <v>57</v>
      </c>
      <c r="P3064" s="3">
        <v>42931</v>
      </c>
      <c r="Q3064" t="s">
        <v>36</v>
      </c>
    </row>
    <row r="3065" spans="1:17" x14ac:dyDescent="0.35">
      <c r="A3065" t="s">
        <v>3117</v>
      </c>
      <c r="B3065" t="s">
        <v>23</v>
      </c>
      <c r="C3065">
        <v>44</v>
      </c>
      <c r="D3065" t="s">
        <v>41</v>
      </c>
      <c r="E3065" t="s">
        <v>73</v>
      </c>
      <c r="F3065" t="s">
        <v>28</v>
      </c>
      <c r="G3065">
        <v>4.2</v>
      </c>
      <c r="I3065" t="str" cm="1">
        <f t="array" ref="I3065">_xlfn.IFS(G3065&lt;3, "0–2 Years", G3065&lt;6, "3–5 Years", G3065&lt;9, "6–8 Years", G3065&lt;12, "9-11 Years", G3065&gt;=12, "12-14 Years")</f>
        <v>3–5 Years</v>
      </c>
      <c r="J3065">
        <v>3</v>
      </c>
      <c r="K3065" t="s">
        <v>20</v>
      </c>
      <c r="L3065">
        <v>100200</v>
      </c>
      <c r="M3065">
        <v>3400</v>
      </c>
      <c r="N3065">
        <v>103600</v>
      </c>
      <c r="O3065" t="s">
        <v>57</v>
      </c>
      <c r="P3065" s="3">
        <v>44480</v>
      </c>
      <c r="Q3065" t="s">
        <v>28</v>
      </c>
    </row>
    <row r="3066" spans="1:17" x14ac:dyDescent="0.35">
      <c r="A3066" t="s">
        <v>3118</v>
      </c>
      <c r="B3066" t="s">
        <v>23</v>
      </c>
      <c r="C3066">
        <v>32</v>
      </c>
      <c r="D3066" t="s">
        <v>55</v>
      </c>
      <c r="E3066" t="s">
        <v>92</v>
      </c>
      <c r="F3066" t="s">
        <v>62</v>
      </c>
      <c r="G3066">
        <v>11.7</v>
      </c>
      <c r="H3066">
        <v>7.4</v>
      </c>
      <c r="I3066" t="str" cm="1">
        <f t="array" ref="I3066">_xlfn.IFS(G3066&lt;3, "0–2 Years", G3066&lt;6, "3–5 Years", G3066&lt;9, "6–8 Years", G3066&lt;12, "9-11 Years", G3066&gt;=12, "12-14 Years")</f>
        <v>9-11 Years</v>
      </c>
      <c r="J3066">
        <v>3</v>
      </c>
      <c r="K3066" t="s">
        <v>20</v>
      </c>
      <c r="L3066">
        <v>113300</v>
      </c>
      <c r="M3066">
        <v>21900</v>
      </c>
      <c r="N3066">
        <v>135200</v>
      </c>
      <c r="O3066" t="s">
        <v>57</v>
      </c>
      <c r="P3066" s="3">
        <v>41752</v>
      </c>
      <c r="Q3066" t="s">
        <v>62</v>
      </c>
    </row>
    <row r="3067" spans="1:17" x14ac:dyDescent="0.35">
      <c r="A3067" t="s">
        <v>3119</v>
      </c>
      <c r="B3067" t="s">
        <v>23</v>
      </c>
      <c r="C3067" s="7">
        <v>43</v>
      </c>
      <c r="D3067" t="s">
        <v>55</v>
      </c>
      <c r="E3067" t="s">
        <v>56</v>
      </c>
      <c r="F3067" t="s">
        <v>62</v>
      </c>
      <c r="G3067" s="9">
        <v>12.3</v>
      </c>
      <c r="H3067" s="7">
        <v>9.6999999999999993</v>
      </c>
      <c r="I3067" t="str" cm="1">
        <f t="array" ref="I3067">_xlfn.IFS(G3067&lt;3, "0–2 Years", G3067&lt;6, "3–5 Years", G3067&lt;9, "6–8 Years", G3067&lt;12, "9-11 Years", G3067&gt;=12, "12-14 Years")</f>
        <v>12-14 Years</v>
      </c>
      <c r="J3067" s="7">
        <v>4</v>
      </c>
      <c r="K3067" t="s">
        <v>20</v>
      </c>
      <c r="L3067" s="7">
        <v>133300</v>
      </c>
      <c r="M3067" s="7">
        <v>22500</v>
      </c>
      <c r="N3067" s="7">
        <v>155800</v>
      </c>
      <c r="O3067" t="s">
        <v>57</v>
      </c>
      <c r="P3067" s="3">
        <v>41540</v>
      </c>
      <c r="Q3067" t="s">
        <v>62</v>
      </c>
    </row>
    <row r="3068" spans="1:17" x14ac:dyDescent="0.35">
      <c r="A3068" t="s">
        <v>3120</v>
      </c>
      <c r="B3068" t="s">
        <v>23</v>
      </c>
      <c r="C3068">
        <v>39</v>
      </c>
      <c r="D3068" t="s">
        <v>34</v>
      </c>
      <c r="E3068" t="s">
        <v>47</v>
      </c>
      <c r="F3068" t="s">
        <v>36</v>
      </c>
      <c r="G3068">
        <v>6.2</v>
      </c>
      <c r="H3068">
        <v>3.6</v>
      </c>
      <c r="I3068" t="str" cm="1">
        <f t="array" ref="I3068">_xlfn.IFS(G3068&lt;3, "0–2 Years", G3068&lt;6, "3–5 Years", G3068&lt;9, "6–8 Years", G3068&lt;12, "9-11 Years", G3068&gt;=12, "12-14 Years")</f>
        <v>6–8 Years</v>
      </c>
      <c r="J3068">
        <v>3</v>
      </c>
      <c r="K3068" t="s">
        <v>20</v>
      </c>
      <c r="L3068">
        <v>83900</v>
      </c>
      <c r="M3068">
        <v>3600</v>
      </c>
      <c r="N3068">
        <v>87500</v>
      </c>
      <c r="O3068" t="s">
        <v>30</v>
      </c>
      <c r="P3068" s="3">
        <v>43776</v>
      </c>
      <c r="Q3068" t="s">
        <v>36</v>
      </c>
    </row>
    <row r="3069" spans="1:17" x14ac:dyDescent="0.35">
      <c r="A3069" t="s">
        <v>3121</v>
      </c>
      <c r="B3069" t="s">
        <v>16</v>
      </c>
      <c r="C3069">
        <v>21</v>
      </c>
      <c r="D3069" t="s">
        <v>44</v>
      </c>
      <c r="E3069" t="s">
        <v>81</v>
      </c>
      <c r="F3069" t="s">
        <v>36</v>
      </c>
      <c r="G3069">
        <v>7.2</v>
      </c>
      <c r="H3069">
        <v>2.4</v>
      </c>
      <c r="I3069" t="str" cm="1">
        <f t="array" ref="I3069">_xlfn.IFS(G3069&lt;3, "0–2 Years", G3069&lt;6, "3–5 Years", G3069&lt;9, "6–8 Years", G3069&lt;12, "9-11 Years", G3069&gt;=12, "12-14 Years")</f>
        <v>6–8 Years</v>
      </c>
      <c r="J3069">
        <v>3</v>
      </c>
      <c r="K3069" t="s">
        <v>20</v>
      </c>
      <c r="L3069">
        <v>105500</v>
      </c>
      <c r="M3069">
        <v>8200</v>
      </c>
      <c r="N3069">
        <v>113700</v>
      </c>
      <c r="O3069" t="s">
        <v>57</v>
      </c>
      <c r="P3069" s="3">
        <v>43380</v>
      </c>
      <c r="Q3069" t="s">
        <v>36</v>
      </c>
    </row>
    <row r="3070" spans="1:17" x14ac:dyDescent="0.35">
      <c r="A3070" t="s">
        <v>3122</v>
      </c>
      <c r="B3070" t="s">
        <v>16</v>
      </c>
      <c r="C3070" s="7">
        <v>37</v>
      </c>
      <c r="D3070" t="s">
        <v>38</v>
      </c>
      <c r="E3070" t="s">
        <v>61</v>
      </c>
      <c r="F3070" t="s">
        <v>28</v>
      </c>
      <c r="G3070" s="9">
        <v>12.4</v>
      </c>
      <c r="H3070" s="7">
        <v>9.5</v>
      </c>
      <c r="I3070" t="str" cm="1">
        <f t="array" ref="I3070">_xlfn.IFS(G3070&lt;3, "0–2 Years", G3070&lt;6, "3–5 Years", G3070&lt;9, "6–8 Years", G3070&lt;12, "9-11 Years", G3070&gt;=12, "12-14 Years")</f>
        <v>12-14 Years</v>
      </c>
      <c r="J3070" s="7">
        <v>4</v>
      </c>
      <c r="K3070" t="s">
        <v>20</v>
      </c>
      <c r="L3070" s="7">
        <v>113700</v>
      </c>
      <c r="M3070" s="7">
        <v>6300</v>
      </c>
      <c r="N3070" s="7">
        <v>120000</v>
      </c>
      <c r="O3070" t="s">
        <v>57</v>
      </c>
      <c r="P3070" s="3">
        <v>41502</v>
      </c>
      <c r="Q3070" t="s">
        <v>28</v>
      </c>
    </row>
    <row r="3071" spans="1:17" x14ac:dyDescent="0.35">
      <c r="A3071" t="s">
        <v>3123</v>
      </c>
      <c r="B3071" t="s">
        <v>16</v>
      </c>
      <c r="C3071">
        <v>21</v>
      </c>
      <c r="D3071" t="s">
        <v>41</v>
      </c>
      <c r="E3071" t="s">
        <v>67</v>
      </c>
      <c r="F3071" t="s">
        <v>28</v>
      </c>
      <c r="G3071">
        <v>2.2999999999999998</v>
      </c>
      <c r="H3071">
        <v>0.6</v>
      </c>
      <c r="I3071" t="str" cm="1">
        <f t="array" ref="I3071">_xlfn.IFS(G3071&lt;3, "0–2 Years", G3071&lt;6, "3–5 Years", G3071&lt;9, "6–8 Years", G3071&lt;12, "9-11 Years", G3071&gt;=12, "12-14 Years")</f>
        <v>0–2 Years</v>
      </c>
      <c r="J3071">
        <v>2</v>
      </c>
      <c r="K3071" t="s">
        <v>20</v>
      </c>
      <c r="L3071">
        <v>62600</v>
      </c>
      <c r="M3071">
        <v>5100</v>
      </c>
      <c r="N3071">
        <v>67700</v>
      </c>
      <c r="O3071" t="s">
        <v>25</v>
      </c>
      <c r="P3071" s="3">
        <v>45189</v>
      </c>
      <c r="Q3071" t="s">
        <v>28</v>
      </c>
    </row>
    <row r="3072" spans="1:17" x14ac:dyDescent="0.35">
      <c r="A3072" t="s">
        <v>3124</v>
      </c>
      <c r="B3072" t="s">
        <v>23</v>
      </c>
      <c r="C3072">
        <v>48</v>
      </c>
      <c r="D3072" t="s">
        <v>44</v>
      </c>
      <c r="E3072" t="s">
        <v>81</v>
      </c>
      <c r="F3072" t="s">
        <v>28</v>
      </c>
      <c r="G3072">
        <v>11.6</v>
      </c>
      <c r="H3072">
        <v>8</v>
      </c>
      <c r="I3072" t="str" cm="1">
        <f t="array" ref="I3072">_xlfn.IFS(G3072&lt;3, "0–2 Years", G3072&lt;6, "3–5 Years", G3072&lt;9, "6–8 Years", G3072&lt;12, "9-11 Years", G3072&gt;=12, "12-14 Years")</f>
        <v>9-11 Years</v>
      </c>
      <c r="J3072">
        <v>4</v>
      </c>
      <c r="K3072" t="s">
        <v>20</v>
      </c>
      <c r="L3072">
        <v>106100</v>
      </c>
      <c r="M3072">
        <v>9200</v>
      </c>
      <c r="N3072">
        <v>115300</v>
      </c>
      <c r="O3072" t="s">
        <v>57</v>
      </c>
      <c r="P3072" s="3">
        <v>41801</v>
      </c>
      <c r="Q3072" t="s">
        <v>28</v>
      </c>
    </row>
    <row r="3073" spans="1:17" x14ac:dyDescent="0.35">
      <c r="A3073" t="s">
        <v>3125</v>
      </c>
      <c r="B3073" t="s">
        <v>16</v>
      </c>
      <c r="C3073">
        <v>35</v>
      </c>
      <c r="D3073" t="s">
        <v>17</v>
      </c>
      <c r="E3073" t="s">
        <v>32</v>
      </c>
      <c r="F3073" t="s">
        <v>19</v>
      </c>
      <c r="G3073">
        <v>2.2000000000000002</v>
      </c>
      <c r="H3073">
        <v>0.5</v>
      </c>
      <c r="I3073" t="str" cm="1">
        <f t="array" ref="I3073">_xlfn.IFS(G3073&lt;3, "0–2 Years", G3073&lt;6, "3–5 Years", G3073&lt;9, "6–8 Years", G3073&lt;12, "9-11 Years", G3073&gt;=12, "12-14 Years")</f>
        <v>0–2 Years</v>
      </c>
      <c r="J3073">
        <v>3</v>
      </c>
      <c r="K3073" t="s">
        <v>20</v>
      </c>
      <c r="L3073">
        <v>59000</v>
      </c>
      <c r="M3073">
        <v>4400</v>
      </c>
      <c r="N3073">
        <v>63400</v>
      </c>
      <c r="O3073" t="s">
        <v>25</v>
      </c>
      <c r="P3073" s="3">
        <v>45213</v>
      </c>
      <c r="Q3073" t="s">
        <v>19</v>
      </c>
    </row>
    <row r="3074" spans="1:17" x14ac:dyDescent="0.35">
      <c r="A3074" t="s">
        <v>3126</v>
      </c>
      <c r="B3074" t="s">
        <v>16</v>
      </c>
      <c r="C3074">
        <v>30</v>
      </c>
      <c r="D3074" t="s">
        <v>34</v>
      </c>
      <c r="E3074" t="s">
        <v>35</v>
      </c>
      <c r="F3074" t="s">
        <v>36</v>
      </c>
      <c r="G3074">
        <v>9.3000000000000007</v>
      </c>
      <c r="H3074">
        <v>5.3</v>
      </c>
      <c r="I3074" t="str" cm="1">
        <f t="array" ref="I3074">_xlfn.IFS(G3074&lt;3, "0–2 Years", G3074&lt;6, "3–5 Years", G3074&lt;9, "6–8 Years", G3074&lt;12, "9-11 Years", G3074&gt;=12, "12-14 Years")</f>
        <v>9-11 Years</v>
      </c>
      <c r="J3074">
        <v>3</v>
      </c>
      <c r="K3074" t="s">
        <v>20</v>
      </c>
      <c r="L3074">
        <v>81000</v>
      </c>
      <c r="M3074">
        <v>4500</v>
      </c>
      <c r="N3074">
        <v>85500</v>
      </c>
      <c r="O3074" t="s">
        <v>30</v>
      </c>
      <c r="P3074" s="3">
        <v>42618</v>
      </c>
      <c r="Q3074" t="s">
        <v>36</v>
      </c>
    </row>
    <row r="3075" spans="1:17" x14ac:dyDescent="0.35">
      <c r="A3075" t="s">
        <v>3127</v>
      </c>
      <c r="B3075" t="s">
        <v>16</v>
      </c>
      <c r="C3075">
        <v>25</v>
      </c>
      <c r="D3075" t="s">
        <v>38</v>
      </c>
      <c r="E3075" t="s">
        <v>39</v>
      </c>
      <c r="F3075" t="s">
        <v>28</v>
      </c>
      <c r="G3075">
        <v>5.5</v>
      </c>
      <c r="H3075">
        <v>2.2000000000000002</v>
      </c>
      <c r="I3075" t="str" cm="1">
        <f t="array" ref="I3075">_xlfn.IFS(G3075&lt;3, "0–2 Years", G3075&lt;6, "3–5 Years", G3075&lt;9, "6–8 Years", G3075&lt;12, "9-11 Years", G3075&gt;=12, "12-14 Years")</f>
        <v>3–5 Years</v>
      </c>
      <c r="J3075">
        <v>2</v>
      </c>
      <c r="K3075" t="s">
        <v>20</v>
      </c>
      <c r="L3075">
        <v>78400</v>
      </c>
      <c r="M3075">
        <v>3600</v>
      </c>
      <c r="N3075">
        <v>82000</v>
      </c>
      <c r="O3075" t="s">
        <v>21</v>
      </c>
      <c r="P3075" s="3">
        <v>44005</v>
      </c>
      <c r="Q3075" t="s">
        <v>28</v>
      </c>
    </row>
    <row r="3076" spans="1:17" x14ac:dyDescent="0.35">
      <c r="A3076" t="s">
        <v>3128</v>
      </c>
      <c r="B3076" t="s">
        <v>16</v>
      </c>
      <c r="C3076">
        <v>43</v>
      </c>
      <c r="D3076" t="s">
        <v>44</v>
      </c>
      <c r="E3076" t="s">
        <v>51</v>
      </c>
      <c r="F3076" t="s">
        <v>36</v>
      </c>
      <c r="G3076">
        <v>7</v>
      </c>
      <c r="H3076">
        <v>2.9</v>
      </c>
      <c r="I3076" t="str" cm="1">
        <f t="array" ref="I3076">_xlfn.IFS(G3076&lt;3, "0–2 Years", G3076&lt;6, "3–5 Years", G3076&lt;9, "6–8 Years", G3076&lt;12, "9-11 Years", G3076&gt;=12, "12-14 Years")</f>
        <v>6–8 Years</v>
      </c>
      <c r="J3076">
        <v>5</v>
      </c>
      <c r="K3076" t="s">
        <v>20</v>
      </c>
      <c r="L3076">
        <v>94800</v>
      </c>
      <c r="M3076">
        <v>12300</v>
      </c>
      <c r="N3076">
        <v>107100</v>
      </c>
      <c r="O3076" t="s">
        <v>30</v>
      </c>
      <c r="P3076" s="3">
        <v>43470</v>
      </c>
      <c r="Q3076" t="s">
        <v>36</v>
      </c>
    </row>
    <row r="3077" spans="1:17" x14ac:dyDescent="0.35">
      <c r="A3077" t="s">
        <v>3129</v>
      </c>
      <c r="B3077" t="s">
        <v>23</v>
      </c>
      <c r="C3077">
        <v>40</v>
      </c>
      <c r="D3077" t="s">
        <v>17</v>
      </c>
      <c r="E3077" t="s">
        <v>18</v>
      </c>
      <c r="F3077" t="s">
        <v>28</v>
      </c>
      <c r="G3077">
        <v>9</v>
      </c>
      <c r="H3077">
        <v>5.6</v>
      </c>
      <c r="I3077" t="str" cm="1">
        <f t="array" ref="I3077">_xlfn.IFS(G3077&lt;3, "0–2 Years", G3077&lt;6, "3–5 Years", G3077&lt;9, "6–8 Years", G3077&lt;12, "9-11 Years", G3077&gt;=12, "12-14 Years")</f>
        <v>9-11 Years</v>
      </c>
      <c r="J3077">
        <v>4</v>
      </c>
      <c r="K3077" t="s">
        <v>69</v>
      </c>
      <c r="L3077">
        <v>84400</v>
      </c>
      <c r="M3077">
        <v>4800</v>
      </c>
      <c r="N3077">
        <v>89200</v>
      </c>
      <c r="O3077" t="s">
        <v>30</v>
      </c>
      <c r="P3077" s="3">
        <v>42743</v>
      </c>
      <c r="Q3077" t="s">
        <v>28</v>
      </c>
    </row>
    <row r="3078" spans="1:17" x14ac:dyDescent="0.35">
      <c r="A3078" t="s">
        <v>3130</v>
      </c>
      <c r="B3078" t="s">
        <v>23</v>
      </c>
      <c r="C3078">
        <v>39</v>
      </c>
      <c r="D3078" t="s">
        <v>34</v>
      </c>
      <c r="E3078" t="s">
        <v>59</v>
      </c>
      <c r="F3078" t="s">
        <v>28</v>
      </c>
      <c r="G3078">
        <v>3.3</v>
      </c>
      <c r="H3078">
        <v>0.8</v>
      </c>
      <c r="I3078" t="str" cm="1">
        <f t="array" ref="I3078">_xlfn.IFS(G3078&lt;3, "0–2 Years", G3078&lt;6, "3–5 Years", G3078&lt;9, "6–8 Years", G3078&lt;12, "9-11 Years", G3078&gt;=12, "12-14 Years")</f>
        <v>3–5 Years</v>
      </c>
      <c r="J3078">
        <v>2</v>
      </c>
      <c r="K3078" t="s">
        <v>24</v>
      </c>
      <c r="L3078">
        <v>56500</v>
      </c>
      <c r="M3078">
        <v>3700</v>
      </c>
      <c r="N3078">
        <v>60200</v>
      </c>
      <c r="O3078" t="s">
        <v>25</v>
      </c>
      <c r="P3078" s="3">
        <v>44833</v>
      </c>
      <c r="Q3078" t="s">
        <v>28</v>
      </c>
    </row>
    <row r="3079" spans="1:17" x14ac:dyDescent="0.35">
      <c r="A3079" t="s">
        <v>3131</v>
      </c>
      <c r="B3079" t="s">
        <v>16</v>
      </c>
      <c r="C3079">
        <v>44</v>
      </c>
      <c r="D3079" t="s">
        <v>55</v>
      </c>
      <c r="E3079" t="s">
        <v>56</v>
      </c>
      <c r="F3079" t="s">
        <v>36</v>
      </c>
      <c r="G3079">
        <v>2.2999999999999998</v>
      </c>
      <c r="H3079">
        <v>1.2</v>
      </c>
      <c r="I3079" t="str" cm="1">
        <f t="array" ref="I3079">_xlfn.IFS(G3079&lt;3, "0–2 Years", G3079&lt;6, "3–5 Years", G3079&lt;9, "6–8 Years", G3079&lt;12, "9-11 Years", G3079&gt;=12, "12-14 Years")</f>
        <v>0–2 Years</v>
      </c>
      <c r="J3079">
        <v>4</v>
      </c>
      <c r="K3079" t="s">
        <v>20</v>
      </c>
      <c r="L3079">
        <v>112500</v>
      </c>
      <c r="M3079">
        <v>8900</v>
      </c>
      <c r="N3079">
        <v>121400</v>
      </c>
      <c r="O3079" t="s">
        <v>57</v>
      </c>
      <c r="P3079" s="3">
        <v>45179</v>
      </c>
      <c r="Q3079" t="s">
        <v>36</v>
      </c>
    </row>
    <row r="3080" spans="1:17" x14ac:dyDescent="0.35">
      <c r="A3080" t="s">
        <v>3132</v>
      </c>
      <c r="B3080" t="s">
        <v>23</v>
      </c>
      <c r="C3080">
        <v>21</v>
      </c>
      <c r="D3080" t="s">
        <v>38</v>
      </c>
      <c r="E3080" t="s">
        <v>112</v>
      </c>
      <c r="F3080" t="s">
        <v>28</v>
      </c>
      <c r="G3080">
        <v>2.9</v>
      </c>
      <c r="H3080">
        <v>0</v>
      </c>
      <c r="I3080" t="str" cm="1">
        <f t="array" ref="I3080">_xlfn.IFS(G3080&lt;3, "0–2 Years", G3080&lt;6, "3–5 Years", G3080&lt;9, "6–8 Years", G3080&lt;12, "9-11 Years", G3080&gt;=12, "12-14 Years")</f>
        <v>0–2 Years</v>
      </c>
      <c r="J3080">
        <v>3</v>
      </c>
      <c r="K3080" t="s">
        <v>20</v>
      </c>
      <c r="L3080">
        <v>59600</v>
      </c>
      <c r="M3080">
        <v>5400</v>
      </c>
      <c r="N3080">
        <v>65000</v>
      </c>
      <c r="O3080" t="s">
        <v>25</v>
      </c>
      <c r="P3080" s="3">
        <v>44981</v>
      </c>
      <c r="Q3080" t="s">
        <v>28</v>
      </c>
    </row>
    <row r="3081" spans="1:17" x14ac:dyDescent="0.35">
      <c r="A3081" t="s">
        <v>3133</v>
      </c>
      <c r="B3081" t="s">
        <v>16</v>
      </c>
      <c r="C3081">
        <v>38</v>
      </c>
      <c r="D3081" t="s">
        <v>34</v>
      </c>
      <c r="E3081" t="s">
        <v>35</v>
      </c>
      <c r="F3081" t="s">
        <v>36</v>
      </c>
      <c r="G3081">
        <v>11.1</v>
      </c>
      <c r="H3081">
        <v>4.4000000000000004</v>
      </c>
      <c r="I3081" t="str" cm="1">
        <f t="array" ref="I3081">_xlfn.IFS(G3081&lt;3, "0–2 Years", G3081&lt;6, "3–5 Years", G3081&lt;9, "6–8 Years", G3081&lt;12, "9-11 Years", G3081&gt;=12, "12-14 Years")</f>
        <v>9-11 Years</v>
      </c>
      <c r="J3081">
        <v>3</v>
      </c>
      <c r="K3081" t="s">
        <v>24</v>
      </c>
      <c r="L3081">
        <v>57000</v>
      </c>
      <c r="M3081">
        <v>6400</v>
      </c>
      <c r="N3081">
        <v>63400</v>
      </c>
      <c r="O3081" t="s">
        <v>25</v>
      </c>
      <c r="P3081" s="3">
        <v>41971</v>
      </c>
      <c r="Q3081" t="s">
        <v>36</v>
      </c>
    </row>
    <row r="3082" spans="1:17" x14ac:dyDescent="0.35">
      <c r="A3082" t="s">
        <v>3134</v>
      </c>
      <c r="B3082" t="s">
        <v>23</v>
      </c>
      <c r="C3082">
        <v>38</v>
      </c>
      <c r="D3082" t="s">
        <v>34</v>
      </c>
      <c r="E3082" t="s">
        <v>35</v>
      </c>
      <c r="F3082" t="s">
        <v>36</v>
      </c>
      <c r="G3082">
        <v>11.5</v>
      </c>
      <c r="H3082">
        <v>6.1</v>
      </c>
      <c r="I3082" t="str" cm="1">
        <f t="array" ref="I3082">_xlfn.IFS(G3082&lt;3, "0–2 Years", G3082&lt;6, "3–5 Years", G3082&lt;9, "6–8 Years", G3082&lt;12, "9-11 Years", G3082&gt;=12, "12-14 Years")</f>
        <v>9-11 Years</v>
      </c>
      <c r="J3082">
        <v>4</v>
      </c>
      <c r="K3082" t="s">
        <v>24</v>
      </c>
      <c r="L3082">
        <v>54500</v>
      </c>
      <c r="M3082">
        <v>6100</v>
      </c>
      <c r="N3082">
        <v>60600</v>
      </c>
      <c r="O3082" t="s">
        <v>25</v>
      </c>
      <c r="P3082" s="3">
        <v>41807</v>
      </c>
      <c r="Q3082" t="s">
        <v>36</v>
      </c>
    </row>
    <row r="3083" spans="1:17" x14ac:dyDescent="0.35">
      <c r="A3083" t="s">
        <v>3135</v>
      </c>
      <c r="B3083" t="s">
        <v>23</v>
      </c>
      <c r="C3083">
        <v>39</v>
      </c>
      <c r="D3083" t="s">
        <v>34</v>
      </c>
      <c r="E3083" t="s">
        <v>35</v>
      </c>
      <c r="F3083" t="s">
        <v>36</v>
      </c>
      <c r="G3083">
        <v>11.3</v>
      </c>
      <c r="H3083">
        <v>8.4</v>
      </c>
      <c r="I3083" t="str" cm="1">
        <f t="array" ref="I3083">_xlfn.IFS(G3083&lt;3, "0–2 Years", G3083&lt;6, "3–5 Years", G3083&lt;9, "6–8 Years", G3083&lt;12, "9-11 Years", G3083&gt;=12, "12-14 Years")</f>
        <v>9-11 Years</v>
      </c>
      <c r="J3083">
        <v>4</v>
      </c>
      <c r="K3083" t="s">
        <v>20</v>
      </c>
      <c r="L3083">
        <v>96100</v>
      </c>
      <c r="M3083">
        <v>7700</v>
      </c>
      <c r="N3083">
        <v>103800</v>
      </c>
      <c r="O3083" t="s">
        <v>30</v>
      </c>
      <c r="P3083" s="3">
        <v>41878</v>
      </c>
      <c r="Q3083" t="s">
        <v>36</v>
      </c>
    </row>
    <row r="3084" spans="1:17" x14ac:dyDescent="0.35">
      <c r="A3084" t="s">
        <v>3136</v>
      </c>
      <c r="B3084" t="s">
        <v>16</v>
      </c>
      <c r="C3084">
        <v>36</v>
      </c>
      <c r="D3084" t="s">
        <v>38</v>
      </c>
      <c r="E3084" t="s">
        <v>112</v>
      </c>
      <c r="F3084" t="s">
        <v>28</v>
      </c>
      <c r="G3084">
        <v>4.7</v>
      </c>
      <c r="H3084">
        <v>4</v>
      </c>
      <c r="I3084" t="str" cm="1">
        <f t="array" ref="I3084">_xlfn.IFS(G3084&lt;3, "0–2 Years", G3084&lt;6, "3–5 Years", G3084&lt;9, "6–8 Years", G3084&lt;12, "9-11 Years", G3084&gt;=12, "12-14 Years")</f>
        <v>3–5 Years</v>
      </c>
      <c r="J3084">
        <v>3</v>
      </c>
      <c r="K3084" t="s">
        <v>20</v>
      </c>
      <c r="L3084">
        <v>62800</v>
      </c>
      <c r="M3084">
        <v>5200</v>
      </c>
      <c r="N3084">
        <v>68000</v>
      </c>
      <c r="O3084" t="s">
        <v>25</v>
      </c>
      <c r="P3084" s="3">
        <v>44314</v>
      </c>
      <c r="Q3084" t="s">
        <v>28</v>
      </c>
    </row>
    <row r="3085" spans="1:17" x14ac:dyDescent="0.35">
      <c r="A3085" t="s">
        <v>3137</v>
      </c>
      <c r="B3085" t="s">
        <v>16</v>
      </c>
      <c r="C3085">
        <v>29</v>
      </c>
      <c r="D3085" t="s">
        <v>55</v>
      </c>
      <c r="E3085" t="s">
        <v>92</v>
      </c>
      <c r="F3085" t="s">
        <v>28</v>
      </c>
      <c r="G3085">
        <v>2</v>
      </c>
      <c r="H3085">
        <v>0</v>
      </c>
      <c r="I3085" t="str" cm="1">
        <f t="array" ref="I3085">_xlfn.IFS(G3085&lt;3, "0–2 Years", G3085&lt;6, "3–5 Years", G3085&lt;9, "6–8 Years", G3085&lt;12, "9-11 Years", G3085&gt;=12, "12-14 Years")</f>
        <v>0–2 Years</v>
      </c>
      <c r="J3085">
        <v>5</v>
      </c>
      <c r="K3085" t="s">
        <v>69</v>
      </c>
      <c r="L3085">
        <v>74500</v>
      </c>
      <c r="M3085">
        <v>13200</v>
      </c>
      <c r="N3085">
        <v>87700</v>
      </c>
      <c r="O3085" t="s">
        <v>21</v>
      </c>
      <c r="P3085" s="3">
        <v>45292</v>
      </c>
      <c r="Q3085" t="s">
        <v>28</v>
      </c>
    </row>
    <row r="3086" spans="1:17" x14ac:dyDescent="0.35">
      <c r="A3086" t="s">
        <v>3138</v>
      </c>
      <c r="B3086" t="s">
        <v>16</v>
      </c>
      <c r="C3086">
        <v>21</v>
      </c>
      <c r="D3086" t="s">
        <v>38</v>
      </c>
      <c r="E3086" t="s">
        <v>61</v>
      </c>
      <c r="F3086" t="s">
        <v>28</v>
      </c>
      <c r="G3086">
        <v>4.2</v>
      </c>
      <c r="H3086">
        <v>3.8</v>
      </c>
      <c r="I3086" t="str" cm="1">
        <f t="array" ref="I3086">_xlfn.IFS(G3086&lt;3, "0–2 Years", G3086&lt;6, "3–5 Years", G3086&lt;9, "6–8 Years", G3086&lt;12, "9-11 Years", G3086&gt;=12, "12-14 Years")</f>
        <v>3–5 Years</v>
      </c>
      <c r="J3086">
        <v>1</v>
      </c>
      <c r="K3086" t="s">
        <v>20</v>
      </c>
      <c r="L3086">
        <v>97900</v>
      </c>
      <c r="M3086">
        <v>3600</v>
      </c>
      <c r="N3086">
        <v>101500</v>
      </c>
      <c r="O3086" t="s">
        <v>30</v>
      </c>
      <c r="P3086" s="3">
        <v>44471</v>
      </c>
      <c r="Q3086" t="s">
        <v>28</v>
      </c>
    </row>
    <row r="3087" spans="1:17" x14ac:dyDescent="0.35">
      <c r="A3087" t="s">
        <v>3139</v>
      </c>
      <c r="B3087" t="s">
        <v>23</v>
      </c>
      <c r="C3087">
        <v>37</v>
      </c>
      <c r="D3087" t="s">
        <v>41</v>
      </c>
      <c r="E3087" t="s">
        <v>67</v>
      </c>
      <c r="F3087" t="s">
        <v>36</v>
      </c>
      <c r="G3087">
        <v>9</v>
      </c>
      <c r="H3087">
        <v>5.5</v>
      </c>
      <c r="I3087" t="str" cm="1">
        <f t="array" ref="I3087">_xlfn.IFS(G3087&lt;3, "0–2 Years", G3087&lt;6, "3–5 Years", G3087&lt;9, "6–8 Years", G3087&lt;12, "9-11 Years", G3087&gt;=12, "12-14 Years")</f>
        <v>9-11 Years</v>
      </c>
      <c r="J3087">
        <v>2</v>
      </c>
      <c r="K3087" t="s">
        <v>20</v>
      </c>
      <c r="L3087">
        <v>84500</v>
      </c>
      <c r="M3087">
        <v>4700</v>
      </c>
      <c r="N3087">
        <v>89200</v>
      </c>
      <c r="O3087" t="s">
        <v>30</v>
      </c>
      <c r="P3087" s="3">
        <v>42728</v>
      </c>
      <c r="Q3087" t="s">
        <v>36</v>
      </c>
    </row>
    <row r="3088" spans="1:17" x14ac:dyDescent="0.35">
      <c r="A3088" t="s">
        <v>3140</v>
      </c>
      <c r="B3088" t="s">
        <v>23</v>
      </c>
      <c r="C3088">
        <v>24</v>
      </c>
      <c r="D3088" t="s">
        <v>41</v>
      </c>
      <c r="E3088" t="s">
        <v>73</v>
      </c>
      <c r="F3088" t="s">
        <v>36</v>
      </c>
      <c r="G3088">
        <v>11.8</v>
      </c>
      <c r="H3088">
        <v>7.1</v>
      </c>
      <c r="I3088" t="str" cm="1">
        <f t="array" ref="I3088">_xlfn.IFS(G3088&lt;3, "0–2 Years", G3088&lt;6, "3–5 Years", G3088&lt;9, "6–8 Years", G3088&lt;12, "9-11 Years", G3088&gt;=12, "12-14 Years")</f>
        <v>9-11 Years</v>
      </c>
      <c r="J3088">
        <v>4</v>
      </c>
      <c r="K3088" t="s">
        <v>20</v>
      </c>
      <c r="L3088">
        <v>112500</v>
      </c>
      <c r="M3088">
        <v>9100</v>
      </c>
      <c r="N3088">
        <v>121600</v>
      </c>
      <c r="O3088" t="s">
        <v>57</v>
      </c>
      <c r="P3088" s="3">
        <v>41726</v>
      </c>
      <c r="Q3088" t="s">
        <v>36</v>
      </c>
    </row>
    <row r="3089" spans="1:17" x14ac:dyDescent="0.35">
      <c r="A3089" t="s">
        <v>3141</v>
      </c>
      <c r="B3089" t="s">
        <v>16</v>
      </c>
      <c r="C3089">
        <v>50</v>
      </c>
      <c r="D3089" t="s">
        <v>44</v>
      </c>
      <c r="E3089" t="s">
        <v>51</v>
      </c>
      <c r="F3089" t="s">
        <v>19</v>
      </c>
      <c r="G3089">
        <v>7.1</v>
      </c>
      <c r="H3089">
        <v>5.3</v>
      </c>
      <c r="I3089" t="str" cm="1">
        <f t="array" ref="I3089">_xlfn.IFS(G3089&lt;3, "0–2 Years", G3089&lt;6, "3–5 Years", G3089&lt;9, "6–8 Years", G3089&lt;12, "9-11 Years", G3089&gt;=12, "12-14 Years")</f>
        <v>6–8 Years</v>
      </c>
      <c r="J3089">
        <v>2</v>
      </c>
      <c r="K3089" t="s">
        <v>20</v>
      </c>
      <c r="L3089">
        <v>74400</v>
      </c>
      <c r="M3089">
        <v>11100</v>
      </c>
      <c r="N3089">
        <v>85500</v>
      </c>
      <c r="O3089" t="s">
        <v>21</v>
      </c>
      <c r="P3089" s="3">
        <v>43437</v>
      </c>
      <c r="Q3089" t="s">
        <v>19</v>
      </c>
    </row>
    <row r="3090" spans="1:17" x14ac:dyDescent="0.35">
      <c r="A3090" t="s">
        <v>3142</v>
      </c>
      <c r="B3090" t="s">
        <v>23</v>
      </c>
      <c r="C3090" s="7">
        <v>33</v>
      </c>
      <c r="D3090" t="s">
        <v>34</v>
      </c>
      <c r="E3090" t="s">
        <v>59</v>
      </c>
      <c r="F3090" t="s">
        <v>36</v>
      </c>
      <c r="G3090" s="9">
        <v>12.6</v>
      </c>
      <c r="H3090" s="7">
        <v>9.3000000000000007</v>
      </c>
      <c r="I3090" t="str" cm="1">
        <f t="array" ref="I3090">_xlfn.IFS(G3090&lt;3, "0–2 Years", G3090&lt;6, "3–5 Years", G3090&lt;9, "6–8 Years", G3090&lt;12, "9-11 Years", G3090&gt;=12, "12-14 Years")</f>
        <v>12-14 Years</v>
      </c>
      <c r="J3090" s="7">
        <v>3</v>
      </c>
      <c r="K3090" t="s">
        <v>69</v>
      </c>
      <c r="L3090" s="7">
        <v>106700</v>
      </c>
      <c r="M3090" s="7">
        <v>9500</v>
      </c>
      <c r="N3090" s="7">
        <v>116200</v>
      </c>
      <c r="O3090" t="s">
        <v>57</v>
      </c>
      <c r="P3090" s="3">
        <v>41426</v>
      </c>
      <c r="Q3090" t="s">
        <v>36</v>
      </c>
    </row>
    <row r="3091" spans="1:17" x14ac:dyDescent="0.35">
      <c r="A3091" t="s">
        <v>3143</v>
      </c>
      <c r="B3091" t="s">
        <v>23</v>
      </c>
      <c r="C3091">
        <v>34</v>
      </c>
      <c r="D3091" t="s">
        <v>41</v>
      </c>
      <c r="E3091" t="s">
        <v>73</v>
      </c>
      <c r="F3091" t="s">
        <v>28</v>
      </c>
      <c r="G3091">
        <v>9.1</v>
      </c>
      <c r="H3091">
        <v>7.6</v>
      </c>
      <c r="I3091" t="str" cm="1">
        <f t="array" ref="I3091">_xlfn.IFS(G3091&lt;3, "0–2 Years", G3091&lt;6, "3–5 Years", G3091&lt;9, "6–8 Years", G3091&lt;12, "9-11 Years", G3091&gt;=12, "12-14 Years")</f>
        <v>9-11 Years</v>
      </c>
      <c r="J3091">
        <v>4</v>
      </c>
      <c r="K3091" t="s">
        <v>20</v>
      </c>
      <c r="L3091">
        <v>104500</v>
      </c>
      <c r="M3091">
        <v>6500</v>
      </c>
      <c r="N3091">
        <v>111000</v>
      </c>
      <c r="O3091" t="s">
        <v>57</v>
      </c>
      <c r="P3091" s="3">
        <v>42711</v>
      </c>
      <c r="Q3091" t="s">
        <v>28</v>
      </c>
    </row>
    <row r="3092" spans="1:17" x14ac:dyDescent="0.35">
      <c r="A3092" t="s">
        <v>3144</v>
      </c>
      <c r="B3092" t="s">
        <v>16</v>
      </c>
      <c r="C3092">
        <v>50</v>
      </c>
      <c r="D3092" t="s">
        <v>55</v>
      </c>
      <c r="E3092" t="s">
        <v>56</v>
      </c>
      <c r="F3092" t="s">
        <v>28</v>
      </c>
      <c r="G3092">
        <v>2.2999999999999998</v>
      </c>
      <c r="H3092">
        <v>2.2999999999999998</v>
      </c>
      <c r="I3092" t="str" cm="1">
        <f t="array" ref="I3092">_xlfn.IFS(G3092&lt;3, "0–2 Years", G3092&lt;6, "3–5 Years", G3092&lt;9, "6–8 Years", G3092&lt;12, "9-11 Years", G3092&gt;=12, "12-14 Years")</f>
        <v>0–2 Years</v>
      </c>
      <c r="J3092">
        <v>3</v>
      </c>
      <c r="K3092" t="s">
        <v>20</v>
      </c>
      <c r="L3092">
        <v>86000</v>
      </c>
      <c r="M3092">
        <v>14300</v>
      </c>
      <c r="N3092">
        <v>100300</v>
      </c>
      <c r="O3092" t="s">
        <v>30</v>
      </c>
      <c r="P3092" s="3">
        <v>45168</v>
      </c>
      <c r="Q3092" t="s">
        <v>28</v>
      </c>
    </row>
    <row r="3093" spans="1:17" x14ac:dyDescent="0.35">
      <c r="A3093" t="s">
        <v>3145</v>
      </c>
      <c r="B3093" t="s">
        <v>16</v>
      </c>
      <c r="C3093">
        <v>28</v>
      </c>
      <c r="D3093" t="s">
        <v>41</v>
      </c>
      <c r="E3093" t="s">
        <v>42</v>
      </c>
      <c r="F3093" t="s">
        <v>36</v>
      </c>
      <c r="G3093">
        <v>8.6</v>
      </c>
      <c r="H3093">
        <v>6.8</v>
      </c>
      <c r="I3093" t="str" cm="1">
        <f t="array" ref="I3093">_xlfn.IFS(G3093&lt;3, "0–2 Years", G3093&lt;6, "3–5 Years", G3093&lt;9, "6–8 Years", G3093&lt;12, "9-11 Years", G3093&gt;=12, "12-14 Years")</f>
        <v>6–8 Years</v>
      </c>
      <c r="J3093">
        <v>4</v>
      </c>
      <c r="K3093" t="s">
        <v>20</v>
      </c>
      <c r="L3093">
        <v>94200</v>
      </c>
      <c r="M3093">
        <v>6100</v>
      </c>
      <c r="N3093">
        <v>100300</v>
      </c>
      <c r="O3093" t="s">
        <v>30</v>
      </c>
      <c r="P3093" s="3">
        <v>42878</v>
      </c>
      <c r="Q3093" t="s">
        <v>36</v>
      </c>
    </row>
    <row r="3094" spans="1:17" x14ac:dyDescent="0.35">
      <c r="A3094" t="s">
        <v>3146</v>
      </c>
      <c r="B3094" t="s">
        <v>16</v>
      </c>
      <c r="C3094">
        <v>29</v>
      </c>
      <c r="D3094" t="s">
        <v>55</v>
      </c>
      <c r="E3094" t="s">
        <v>79</v>
      </c>
      <c r="F3094" t="s">
        <v>19</v>
      </c>
      <c r="G3094">
        <v>5.6</v>
      </c>
      <c r="H3094">
        <v>4.5</v>
      </c>
      <c r="I3094" t="str" cm="1">
        <f t="array" ref="I3094">_xlfn.IFS(G3094&lt;3, "0–2 Years", G3094&lt;6, "3–5 Years", G3094&lt;9, "6–8 Years", G3094&lt;12, "9-11 Years", G3094&gt;=12, "12-14 Years")</f>
        <v>3–5 Years</v>
      </c>
      <c r="J3094">
        <v>5</v>
      </c>
      <c r="K3094" t="s">
        <v>20</v>
      </c>
      <c r="L3094">
        <v>68500</v>
      </c>
      <c r="M3094">
        <v>14400</v>
      </c>
      <c r="N3094">
        <v>82900</v>
      </c>
      <c r="O3094" t="s">
        <v>21</v>
      </c>
      <c r="P3094" s="3">
        <v>43974</v>
      </c>
      <c r="Q3094" t="s">
        <v>19</v>
      </c>
    </row>
    <row r="3095" spans="1:17" x14ac:dyDescent="0.35">
      <c r="A3095" t="s">
        <v>3147</v>
      </c>
      <c r="B3095" t="s">
        <v>16</v>
      </c>
      <c r="C3095">
        <v>28</v>
      </c>
      <c r="D3095" t="s">
        <v>17</v>
      </c>
      <c r="E3095" t="s">
        <v>18</v>
      </c>
      <c r="F3095" t="s">
        <v>28</v>
      </c>
      <c r="G3095">
        <v>6.7</v>
      </c>
      <c r="H3095">
        <v>5.3</v>
      </c>
      <c r="I3095" t="str" cm="1">
        <f t="array" ref="I3095">_xlfn.IFS(G3095&lt;3, "0–2 Years", G3095&lt;6, "3–5 Years", G3095&lt;9, "6–8 Years", G3095&lt;12, "9-11 Years", G3095&gt;=12, "12-14 Years")</f>
        <v>6–8 Years</v>
      </c>
      <c r="J3095">
        <v>4</v>
      </c>
      <c r="K3095" t="s">
        <v>20</v>
      </c>
      <c r="L3095">
        <v>106900</v>
      </c>
      <c r="M3095">
        <v>9900</v>
      </c>
      <c r="N3095">
        <v>116800</v>
      </c>
      <c r="O3095" t="s">
        <v>57</v>
      </c>
      <c r="P3095" s="3">
        <v>43587</v>
      </c>
      <c r="Q3095" t="s">
        <v>28</v>
      </c>
    </row>
    <row r="3096" spans="1:17" x14ac:dyDescent="0.35">
      <c r="A3096" t="s">
        <v>3148</v>
      </c>
      <c r="B3096" t="s">
        <v>23</v>
      </c>
      <c r="C3096">
        <v>21</v>
      </c>
      <c r="D3096" t="s">
        <v>17</v>
      </c>
      <c r="E3096" t="s">
        <v>27</v>
      </c>
      <c r="F3096" t="s">
        <v>19</v>
      </c>
      <c r="G3096">
        <v>11.7</v>
      </c>
      <c r="H3096">
        <v>6.3</v>
      </c>
      <c r="I3096" t="str" cm="1">
        <f t="array" ref="I3096">_xlfn.IFS(G3096&lt;3, "0–2 Years", G3096&lt;6, "3–5 Years", G3096&lt;9, "6–8 Years", G3096&lt;12, "9-11 Years", G3096&gt;=12, "12-14 Years")</f>
        <v>9-11 Years</v>
      </c>
      <c r="J3096">
        <v>4</v>
      </c>
      <c r="K3096" t="s">
        <v>20</v>
      </c>
      <c r="L3096">
        <v>70600</v>
      </c>
      <c r="M3096">
        <v>7500</v>
      </c>
      <c r="N3096">
        <v>78100</v>
      </c>
      <c r="O3096" t="s">
        <v>21</v>
      </c>
      <c r="P3096" s="3">
        <v>41733</v>
      </c>
      <c r="Q3096" t="s">
        <v>19</v>
      </c>
    </row>
    <row r="3097" spans="1:17" x14ac:dyDescent="0.35">
      <c r="A3097" t="s">
        <v>3149</v>
      </c>
      <c r="B3097" t="s">
        <v>16</v>
      </c>
      <c r="C3097">
        <v>43</v>
      </c>
      <c r="D3097" t="s">
        <v>34</v>
      </c>
      <c r="E3097" t="s">
        <v>47</v>
      </c>
      <c r="F3097" t="s">
        <v>19</v>
      </c>
      <c r="G3097">
        <v>3.8</v>
      </c>
      <c r="H3097">
        <v>2.7</v>
      </c>
      <c r="I3097" t="str" cm="1">
        <f t="array" ref="I3097">_xlfn.IFS(G3097&lt;3, "0–2 Years", G3097&lt;6, "3–5 Years", G3097&lt;9, "6–8 Years", G3097&lt;12, "9-11 Years", G3097&gt;=12, "12-14 Years")</f>
        <v>3–5 Years</v>
      </c>
      <c r="J3097">
        <v>3</v>
      </c>
      <c r="K3097" t="s">
        <v>20</v>
      </c>
      <c r="L3097">
        <v>67600</v>
      </c>
      <c r="M3097">
        <v>4800</v>
      </c>
      <c r="N3097">
        <v>72400</v>
      </c>
      <c r="O3097" t="s">
        <v>21</v>
      </c>
      <c r="P3097" s="3">
        <v>44633</v>
      </c>
      <c r="Q3097" t="s">
        <v>19</v>
      </c>
    </row>
    <row r="3098" spans="1:17" x14ac:dyDescent="0.35">
      <c r="A3098" t="s">
        <v>3150</v>
      </c>
      <c r="B3098" t="s">
        <v>16</v>
      </c>
      <c r="C3098">
        <v>23</v>
      </c>
      <c r="D3098" t="s">
        <v>34</v>
      </c>
      <c r="E3098" t="s">
        <v>47</v>
      </c>
      <c r="F3098" t="s">
        <v>28</v>
      </c>
      <c r="G3098">
        <v>2.8</v>
      </c>
      <c r="H3098">
        <v>2.8</v>
      </c>
      <c r="I3098" t="str" cm="1">
        <f t="array" ref="I3098">_xlfn.IFS(G3098&lt;3, "0–2 Years", G3098&lt;6, "3–5 Years", G3098&lt;9, "6–8 Years", G3098&lt;12, "9-11 Years", G3098&gt;=12, "12-14 Years")</f>
        <v>0–2 Years</v>
      </c>
      <c r="J3098">
        <v>3</v>
      </c>
      <c r="K3098" t="s">
        <v>69</v>
      </c>
      <c r="L3098">
        <v>61400</v>
      </c>
      <c r="M3098">
        <v>7100</v>
      </c>
      <c r="N3098">
        <v>68500</v>
      </c>
      <c r="O3098" t="s">
        <v>25</v>
      </c>
      <c r="P3098" s="3">
        <v>45014</v>
      </c>
      <c r="Q3098" t="s">
        <v>28</v>
      </c>
    </row>
    <row r="3099" spans="1:17" x14ac:dyDescent="0.35">
      <c r="A3099" t="s">
        <v>3151</v>
      </c>
      <c r="B3099" t="s">
        <v>16</v>
      </c>
      <c r="C3099">
        <v>30</v>
      </c>
      <c r="D3099" t="s">
        <v>38</v>
      </c>
      <c r="E3099" t="s">
        <v>112</v>
      </c>
      <c r="F3099" t="s">
        <v>62</v>
      </c>
      <c r="G3099">
        <v>7.3</v>
      </c>
      <c r="H3099">
        <v>7</v>
      </c>
      <c r="I3099" t="str" cm="1">
        <f t="array" ref="I3099">_xlfn.IFS(G3099&lt;3, "0–2 Years", G3099&lt;6, "3–5 Years", G3099&lt;9, "6–8 Years", G3099&lt;12, "9-11 Years", G3099&gt;=12, "12-14 Years")</f>
        <v>6–8 Years</v>
      </c>
      <c r="J3099">
        <v>4</v>
      </c>
      <c r="K3099" t="s">
        <v>20</v>
      </c>
      <c r="L3099">
        <v>81500</v>
      </c>
      <c r="M3099">
        <v>5300</v>
      </c>
      <c r="N3099">
        <v>86800</v>
      </c>
      <c r="O3099" t="s">
        <v>30</v>
      </c>
      <c r="P3099" s="3">
        <v>43342</v>
      </c>
      <c r="Q3099" t="s">
        <v>62</v>
      </c>
    </row>
    <row r="3100" spans="1:17" x14ac:dyDescent="0.35">
      <c r="A3100" t="s">
        <v>3152</v>
      </c>
      <c r="B3100" t="s">
        <v>23</v>
      </c>
      <c r="C3100">
        <v>43</v>
      </c>
      <c r="D3100" t="s">
        <v>41</v>
      </c>
      <c r="E3100" t="s">
        <v>67</v>
      </c>
      <c r="F3100" t="s">
        <v>28</v>
      </c>
      <c r="G3100">
        <v>11.1</v>
      </c>
      <c r="H3100">
        <v>7.1</v>
      </c>
      <c r="I3100" t="str" cm="1">
        <f t="array" ref="I3100">_xlfn.IFS(G3100&lt;3, "0–2 Years", G3100&lt;6, "3–5 Years", G3100&lt;9, "6–8 Years", G3100&lt;12, "9-11 Years", G3100&gt;=12, "12-14 Years")</f>
        <v>9-11 Years</v>
      </c>
      <c r="J3100">
        <v>1</v>
      </c>
      <c r="K3100" t="s">
        <v>20</v>
      </c>
      <c r="L3100">
        <v>63100</v>
      </c>
      <c r="M3100">
        <v>4600</v>
      </c>
      <c r="N3100">
        <v>67700</v>
      </c>
      <c r="O3100" t="s">
        <v>25</v>
      </c>
      <c r="P3100" s="3">
        <v>41980</v>
      </c>
      <c r="Q3100" t="s">
        <v>28</v>
      </c>
    </row>
    <row r="3101" spans="1:17" x14ac:dyDescent="0.35">
      <c r="A3101" t="s">
        <v>3153</v>
      </c>
      <c r="B3101" t="s">
        <v>16</v>
      </c>
      <c r="C3101">
        <v>44</v>
      </c>
      <c r="D3101" t="s">
        <v>55</v>
      </c>
      <c r="E3101" t="s">
        <v>56</v>
      </c>
      <c r="F3101" t="s">
        <v>28</v>
      </c>
      <c r="G3101">
        <v>7.3</v>
      </c>
      <c r="H3101">
        <v>6.2</v>
      </c>
      <c r="I3101" t="str" cm="1">
        <f t="array" ref="I3101">_xlfn.IFS(G3101&lt;3, "0–2 Years", G3101&lt;6, "3–5 Years", G3101&lt;9, "6–8 Years", G3101&lt;12, "9-11 Years", G3101&gt;=12, "12-14 Years")</f>
        <v>6–8 Years</v>
      </c>
      <c r="J3101">
        <v>3</v>
      </c>
      <c r="K3101" t="s">
        <v>20</v>
      </c>
      <c r="L3101">
        <v>102500</v>
      </c>
      <c r="M3101">
        <v>12800</v>
      </c>
      <c r="N3101">
        <v>115300</v>
      </c>
      <c r="O3101" t="s">
        <v>57</v>
      </c>
      <c r="P3101" s="3">
        <v>43344</v>
      </c>
      <c r="Q3101" t="s">
        <v>28</v>
      </c>
    </row>
    <row r="3102" spans="1:17" x14ac:dyDescent="0.35">
      <c r="A3102" t="s">
        <v>3154</v>
      </c>
      <c r="B3102" t="s">
        <v>16</v>
      </c>
      <c r="C3102" s="7">
        <v>33</v>
      </c>
      <c r="D3102" t="s">
        <v>38</v>
      </c>
      <c r="E3102" t="s">
        <v>61</v>
      </c>
      <c r="F3102" t="s">
        <v>19</v>
      </c>
      <c r="G3102" s="9">
        <v>14</v>
      </c>
      <c r="H3102" s="7">
        <v>8.9</v>
      </c>
      <c r="I3102" t="str" cm="1">
        <f t="array" ref="I3102">_xlfn.IFS(G3102&lt;3, "0–2 Years", G3102&lt;6, "3–5 Years", G3102&lt;9, "6–8 Years", G3102&lt;12, "9-11 Years", G3102&gt;=12, "12-14 Years")</f>
        <v>12-14 Years</v>
      </c>
      <c r="J3102" s="7">
        <v>3</v>
      </c>
      <c r="K3102" t="s">
        <v>20</v>
      </c>
      <c r="L3102" s="7">
        <v>108900</v>
      </c>
      <c r="M3102" s="7">
        <v>7800</v>
      </c>
      <c r="N3102" s="7">
        <v>116700</v>
      </c>
      <c r="O3102" t="s">
        <v>57</v>
      </c>
      <c r="P3102" s="3">
        <v>40917</v>
      </c>
      <c r="Q3102" t="s">
        <v>19</v>
      </c>
    </row>
    <row r="3103" spans="1:17" x14ac:dyDescent="0.35">
      <c r="A3103" t="s">
        <v>3155</v>
      </c>
      <c r="B3103" t="s">
        <v>16</v>
      </c>
      <c r="C3103">
        <v>21</v>
      </c>
      <c r="D3103" t="s">
        <v>44</v>
      </c>
      <c r="E3103" t="s">
        <v>51</v>
      </c>
      <c r="F3103" t="s">
        <v>28</v>
      </c>
      <c r="G3103">
        <v>11.9</v>
      </c>
      <c r="H3103">
        <v>7.3</v>
      </c>
      <c r="I3103" t="str" cm="1">
        <f t="array" ref="I3103">_xlfn.IFS(G3103&lt;3, "0–2 Years", G3103&lt;6, "3–5 Years", G3103&lt;9, "6–8 Years", G3103&lt;12, "9-11 Years", G3103&gt;=12, "12-14 Years")</f>
        <v>9-11 Years</v>
      </c>
      <c r="J3103">
        <v>4</v>
      </c>
      <c r="K3103" t="s">
        <v>20</v>
      </c>
      <c r="L3103">
        <v>98100</v>
      </c>
      <c r="M3103">
        <v>9500</v>
      </c>
      <c r="N3103">
        <v>107600</v>
      </c>
      <c r="O3103" t="s">
        <v>30</v>
      </c>
      <c r="P3103" s="3">
        <v>41690</v>
      </c>
      <c r="Q3103" t="s">
        <v>28</v>
      </c>
    </row>
    <row r="3104" spans="1:17" x14ac:dyDescent="0.35">
      <c r="A3104" t="s">
        <v>3156</v>
      </c>
      <c r="B3104" t="s">
        <v>23</v>
      </c>
      <c r="C3104">
        <v>29</v>
      </c>
      <c r="D3104" t="s">
        <v>41</v>
      </c>
      <c r="E3104" t="s">
        <v>42</v>
      </c>
      <c r="F3104" t="s">
        <v>19</v>
      </c>
      <c r="G3104">
        <v>6.1</v>
      </c>
      <c r="H3104">
        <v>4</v>
      </c>
      <c r="I3104" t="str" cm="1">
        <f t="array" ref="I3104">_xlfn.IFS(G3104&lt;3, "0–2 Years", G3104&lt;6, "3–5 Years", G3104&lt;9, "6–8 Years", G3104&lt;12, "9-11 Years", G3104&gt;=12, "12-14 Years")</f>
        <v>6–8 Years</v>
      </c>
      <c r="J3104">
        <v>1</v>
      </c>
      <c r="K3104" t="s">
        <v>20</v>
      </c>
      <c r="L3104">
        <v>80900</v>
      </c>
      <c r="M3104">
        <v>5600</v>
      </c>
      <c r="N3104">
        <v>86500</v>
      </c>
      <c r="O3104" t="s">
        <v>30</v>
      </c>
      <c r="P3104" s="3">
        <v>43777</v>
      </c>
      <c r="Q3104" t="s">
        <v>19</v>
      </c>
    </row>
    <row r="3105" spans="1:17" x14ac:dyDescent="0.35">
      <c r="A3105" t="s">
        <v>3157</v>
      </c>
      <c r="B3105" t="s">
        <v>16</v>
      </c>
      <c r="C3105">
        <v>53</v>
      </c>
      <c r="D3105" t="s">
        <v>55</v>
      </c>
      <c r="E3105" t="s">
        <v>79</v>
      </c>
      <c r="F3105" t="s">
        <v>19</v>
      </c>
      <c r="G3105">
        <v>7.1</v>
      </c>
      <c r="H3105">
        <v>6.2</v>
      </c>
      <c r="I3105" t="str" cm="1">
        <f t="array" ref="I3105">_xlfn.IFS(G3105&lt;3, "0–2 Years", G3105&lt;6, "3–5 Years", G3105&lt;9, "6–8 Years", G3105&lt;12, "9-11 Years", G3105&gt;=12, "12-14 Years")</f>
        <v>6–8 Years</v>
      </c>
      <c r="J3105">
        <v>2</v>
      </c>
      <c r="K3105" t="s">
        <v>20</v>
      </c>
      <c r="L3105">
        <v>64500</v>
      </c>
      <c r="M3105">
        <v>5700</v>
      </c>
      <c r="N3105">
        <v>70200</v>
      </c>
      <c r="O3105" t="s">
        <v>25</v>
      </c>
      <c r="P3105" s="3">
        <v>43432</v>
      </c>
      <c r="Q3105" t="s">
        <v>19</v>
      </c>
    </row>
    <row r="3106" spans="1:17" x14ac:dyDescent="0.35">
      <c r="A3106" t="s">
        <v>3158</v>
      </c>
      <c r="B3106" t="s">
        <v>23</v>
      </c>
      <c r="C3106">
        <v>47</v>
      </c>
      <c r="D3106" t="s">
        <v>17</v>
      </c>
      <c r="E3106" t="s">
        <v>32</v>
      </c>
      <c r="F3106" t="s">
        <v>36</v>
      </c>
      <c r="G3106">
        <v>7</v>
      </c>
      <c r="H3106">
        <v>5.4</v>
      </c>
      <c r="I3106" t="str" cm="1">
        <f t="array" ref="I3106">_xlfn.IFS(G3106&lt;3, "0–2 Years", G3106&lt;6, "3–5 Years", G3106&lt;9, "6–8 Years", G3106&lt;12, "9-11 Years", G3106&gt;=12, "12-14 Years")</f>
        <v>6–8 Years</v>
      </c>
      <c r="J3106">
        <v>3</v>
      </c>
      <c r="K3106" t="s">
        <v>20</v>
      </c>
      <c r="L3106">
        <v>76200</v>
      </c>
      <c r="M3106">
        <v>10200</v>
      </c>
      <c r="N3106">
        <v>86400</v>
      </c>
      <c r="O3106" t="s">
        <v>21</v>
      </c>
      <c r="P3106" s="3">
        <v>43471</v>
      </c>
      <c r="Q3106" t="s">
        <v>36</v>
      </c>
    </row>
    <row r="3107" spans="1:17" x14ac:dyDescent="0.35">
      <c r="A3107" t="s">
        <v>3159</v>
      </c>
      <c r="B3107" t="s">
        <v>16</v>
      </c>
      <c r="C3107">
        <v>21</v>
      </c>
      <c r="D3107" t="s">
        <v>17</v>
      </c>
      <c r="E3107" t="s">
        <v>27</v>
      </c>
      <c r="F3107" t="s">
        <v>62</v>
      </c>
      <c r="G3107">
        <v>10.199999999999999</v>
      </c>
      <c r="H3107">
        <v>8.3000000000000007</v>
      </c>
      <c r="I3107" t="str" cm="1">
        <f t="array" ref="I3107">_xlfn.IFS(G3107&lt;3, "0–2 Years", G3107&lt;6, "3–5 Years", G3107&lt;9, "6–8 Years", G3107&lt;12, "9-11 Years", G3107&gt;=12, "12-14 Years")</f>
        <v>9-11 Years</v>
      </c>
      <c r="J3107">
        <v>4</v>
      </c>
      <c r="K3107" t="s">
        <v>20</v>
      </c>
      <c r="L3107">
        <v>100500</v>
      </c>
      <c r="M3107">
        <v>5500</v>
      </c>
      <c r="N3107">
        <v>106000</v>
      </c>
      <c r="O3107" t="s">
        <v>57</v>
      </c>
      <c r="P3107" s="3">
        <v>42290</v>
      </c>
      <c r="Q3107" t="s">
        <v>62</v>
      </c>
    </row>
    <row r="3108" spans="1:17" x14ac:dyDescent="0.35">
      <c r="A3108" t="s">
        <v>3160</v>
      </c>
      <c r="B3108" t="s">
        <v>23</v>
      </c>
      <c r="C3108">
        <v>49</v>
      </c>
      <c r="D3108" t="s">
        <v>41</v>
      </c>
      <c r="E3108" t="s">
        <v>73</v>
      </c>
      <c r="F3108" t="s">
        <v>36</v>
      </c>
      <c r="G3108">
        <v>5.0999999999999996</v>
      </c>
      <c r="H3108">
        <v>3.6</v>
      </c>
      <c r="I3108" t="str" cm="1">
        <f t="array" ref="I3108">_xlfn.IFS(G3108&lt;3, "0–2 Years", G3108&lt;6, "3–5 Years", G3108&lt;9, "6–8 Years", G3108&lt;12, "9-11 Years", G3108&gt;=12, "12-14 Years")</f>
        <v>3–5 Years</v>
      </c>
      <c r="J3108">
        <v>1</v>
      </c>
      <c r="K3108" t="s">
        <v>20</v>
      </c>
      <c r="L3108">
        <v>98300</v>
      </c>
      <c r="M3108">
        <v>8600</v>
      </c>
      <c r="N3108">
        <v>106900</v>
      </c>
      <c r="O3108" t="s">
        <v>30</v>
      </c>
      <c r="P3108" s="3">
        <v>44156</v>
      </c>
      <c r="Q3108" t="s">
        <v>36</v>
      </c>
    </row>
    <row r="3109" spans="1:17" x14ac:dyDescent="0.35">
      <c r="A3109" t="s">
        <v>3161</v>
      </c>
      <c r="B3109" t="s">
        <v>23</v>
      </c>
      <c r="C3109">
        <v>44</v>
      </c>
      <c r="D3109" t="s">
        <v>38</v>
      </c>
      <c r="E3109" t="s">
        <v>61</v>
      </c>
      <c r="F3109" t="s">
        <v>62</v>
      </c>
      <c r="G3109">
        <v>7.4</v>
      </c>
      <c r="H3109">
        <v>4.8</v>
      </c>
      <c r="I3109" t="str" cm="1">
        <f t="array" ref="I3109">_xlfn.IFS(G3109&lt;3, "0–2 Years", G3109&lt;6, "3–5 Years", G3109&lt;9, "6–8 Years", G3109&lt;12, "9-11 Years", G3109&gt;=12, "12-14 Years")</f>
        <v>6–8 Years</v>
      </c>
      <c r="J3109">
        <v>3</v>
      </c>
      <c r="K3109" t="s">
        <v>24</v>
      </c>
      <c r="L3109">
        <v>70200</v>
      </c>
      <c r="M3109">
        <v>4800</v>
      </c>
      <c r="N3109">
        <v>75000</v>
      </c>
      <c r="O3109" t="s">
        <v>21</v>
      </c>
      <c r="P3109" s="3">
        <v>43330</v>
      </c>
      <c r="Q3109" t="s">
        <v>62</v>
      </c>
    </row>
    <row r="3110" spans="1:17" x14ac:dyDescent="0.35">
      <c r="A3110" t="s">
        <v>3162</v>
      </c>
      <c r="B3110" t="s">
        <v>23</v>
      </c>
      <c r="C3110">
        <v>40</v>
      </c>
      <c r="D3110" t="s">
        <v>38</v>
      </c>
      <c r="E3110" t="s">
        <v>112</v>
      </c>
      <c r="F3110" t="s">
        <v>28</v>
      </c>
      <c r="G3110">
        <v>4.2</v>
      </c>
      <c r="H3110">
        <v>3.4</v>
      </c>
      <c r="I3110" t="str" cm="1">
        <f t="array" ref="I3110">_xlfn.IFS(G3110&lt;3, "0–2 Years", G3110&lt;6, "3–5 Years", G3110&lt;9, "6–8 Years", G3110&lt;12, "9-11 Years", G3110&gt;=12, "12-14 Years")</f>
        <v>3–5 Years</v>
      </c>
      <c r="J3110">
        <v>4</v>
      </c>
      <c r="K3110" t="s">
        <v>20</v>
      </c>
      <c r="L3110">
        <v>75600</v>
      </c>
      <c r="M3110">
        <v>6100</v>
      </c>
      <c r="N3110">
        <v>81700</v>
      </c>
      <c r="O3110" t="s">
        <v>21</v>
      </c>
      <c r="P3110" s="3">
        <v>44480</v>
      </c>
      <c r="Q3110" t="s">
        <v>28</v>
      </c>
    </row>
    <row r="3111" spans="1:17" x14ac:dyDescent="0.35">
      <c r="A3111" t="s">
        <v>3163</v>
      </c>
      <c r="B3111" t="s">
        <v>23</v>
      </c>
      <c r="C3111">
        <v>34</v>
      </c>
      <c r="D3111" t="s">
        <v>44</v>
      </c>
      <c r="E3111" t="s">
        <v>45</v>
      </c>
      <c r="F3111" t="s">
        <v>28</v>
      </c>
      <c r="G3111">
        <v>10.1</v>
      </c>
      <c r="H3111">
        <v>6.8</v>
      </c>
      <c r="I3111" t="str" cm="1">
        <f t="array" ref="I3111">_xlfn.IFS(G3111&lt;3, "0–2 Years", G3111&lt;6, "3–5 Years", G3111&lt;9, "6–8 Years", G3111&lt;12, "9-11 Years", G3111&gt;=12, "12-14 Years")</f>
        <v>9-11 Years</v>
      </c>
      <c r="J3111">
        <v>5</v>
      </c>
      <c r="K3111" t="s">
        <v>20</v>
      </c>
      <c r="L3111">
        <v>69300</v>
      </c>
      <c r="M3111">
        <v>3700</v>
      </c>
      <c r="N3111">
        <v>73000</v>
      </c>
      <c r="O3111" t="s">
        <v>21</v>
      </c>
      <c r="P3111" s="3">
        <v>42340</v>
      </c>
      <c r="Q3111" t="s">
        <v>28</v>
      </c>
    </row>
    <row r="3112" spans="1:17" x14ac:dyDescent="0.35">
      <c r="A3112" t="s">
        <v>3164</v>
      </c>
      <c r="B3112" t="s">
        <v>23</v>
      </c>
      <c r="C3112">
        <v>33</v>
      </c>
      <c r="D3112" t="s">
        <v>34</v>
      </c>
      <c r="E3112" t="s">
        <v>35</v>
      </c>
      <c r="F3112" t="s">
        <v>36</v>
      </c>
      <c r="G3112">
        <v>8.5</v>
      </c>
      <c r="H3112">
        <v>8.5</v>
      </c>
      <c r="I3112" t="str" cm="1">
        <f t="array" ref="I3112">_xlfn.IFS(G3112&lt;3, "0–2 Years", G3112&lt;6, "3–5 Years", G3112&lt;9, "6–8 Years", G3112&lt;12, "9-11 Years", G3112&gt;=12, "12-14 Years")</f>
        <v>6–8 Years</v>
      </c>
      <c r="J3112">
        <v>3</v>
      </c>
      <c r="K3112" t="s">
        <v>20</v>
      </c>
      <c r="L3112">
        <v>78000</v>
      </c>
      <c r="M3112">
        <v>7700</v>
      </c>
      <c r="N3112">
        <v>85700</v>
      </c>
      <c r="O3112" t="s">
        <v>21</v>
      </c>
      <c r="P3112" s="3">
        <v>42919</v>
      </c>
      <c r="Q3112" t="s">
        <v>36</v>
      </c>
    </row>
    <row r="3113" spans="1:17" x14ac:dyDescent="0.35">
      <c r="A3113" t="s">
        <v>3165</v>
      </c>
      <c r="B3113" t="s">
        <v>16</v>
      </c>
      <c r="C3113">
        <v>31</v>
      </c>
      <c r="D3113" t="s">
        <v>34</v>
      </c>
      <c r="E3113" t="s">
        <v>59</v>
      </c>
      <c r="F3113" t="s">
        <v>36</v>
      </c>
      <c r="G3113">
        <v>1.2</v>
      </c>
      <c r="H3113">
        <v>1.1000000000000001</v>
      </c>
      <c r="I3113" t="str" cm="1">
        <f t="array" ref="I3113">_xlfn.IFS(G3113&lt;3, "0–2 Years", G3113&lt;6, "3–5 Years", G3113&lt;9, "6–8 Years", G3113&lt;12, "9-11 Years", G3113&gt;=12, "12-14 Years")</f>
        <v>0–2 Years</v>
      </c>
      <c r="J3113">
        <v>4</v>
      </c>
      <c r="K3113" t="s">
        <v>20</v>
      </c>
      <c r="L3113">
        <v>183600</v>
      </c>
      <c r="M3113">
        <v>11400</v>
      </c>
      <c r="N3113">
        <v>195000</v>
      </c>
      <c r="O3113" t="s">
        <v>57</v>
      </c>
      <c r="P3113" s="3">
        <v>45572</v>
      </c>
      <c r="Q3113" t="s">
        <v>36</v>
      </c>
    </row>
    <row r="3114" spans="1:17" x14ac:dyDescent="0.35">
      <c r="A3114" t="s">
        <v>3166</v>
      </c>
      <c r="B3114" t="s">
        <v>16</v>
      </c>
      <c r="C3114">
        <v>29</v>
      </c>
      <c r="D3114" t="s">
        <v>17</v>
      </c>
      <c r="E3114" t="s">
        <v>27</v>
      </c>
      <c r="F3114" t="s">
        <v>19</v>
      </c>
      <c r="G3114">
        <v>5.2</v>
      </c>
      <c r="H3114">
        <v>3</v>
      </c>
      <c r="I3114" t="str" cm="1">
        <f t="array" ref="I3114">_xlfn.IFS(G3114&lt;3, "0–2 Years", G3114&lt;6, "3–5 Years", G3114&lt;9, "6–8 Years", G3114&lt;12, "9-11 Years", G3114&gt;=12, "12-14 Years")</f>
        <v>3–5 Years</v>
      </c>
      <c r="J3114">
        <v>3</v>
      </c>
      <c r="K3114" t="s">
        <v>20</v>
      </c>
      <c r="L3114">
        <v>69500</v>
      </c>
      <c r="M3114">
        <v>8200</v>
      </c>
      <c r="N3114">
        <v>77700</v>
      </c>
      <c r="O3114" t="s">
        <v>21</v>
      </c>
      <c r="P3114" s="3">
        <v>44136</v>
      </c>
      <c r="Q3114" t="s">
        <v>19</v>
      </c>
    </row>
    <row r="3115" spans="1:17" x14ac:dyDescent="0.35">
      <c r="A3115" t="s">
        <v>3167</v>
      </c>
      <c r="B3115" t="s">
        <v>16</v>
      </c>
      <c r="C3115">
        <v>32</v>
      </c>
      <c r="D3115" t="s">
        <v>17</v>
      </c>
      <c r="E3115" t="s">
        <v>18</v>
      </c>
      <c r="F3115" t="s">
        <v>36</v>
      </c>
      <c r="G3115">
        <v>4.0999999999999996</v>
      </c>
      <c r="H3115">
        <v>3.1</v>
      </c>
      <c r="I3115" t="str" cm="1">
        <f t="array" ref="I3115">_xlfn.IFS(G3115&lt;3, "0–2 Years", G3115&lt;6, "3–5 Years", G3115&lt;9, "6–8 Years", G3115&lt;12, "9-11 Years", G3115&gt;=12, "12-14 Years")</f>
        <v>3–5 Years</v>
      </c>
      <c r="J3115">
        <v>4</v>
      </c>
      <c r="K3115" t="s">
        <v>20</v>
      </c>
      <c r="L3115">
        <v>100400</v>
      </c>
      <c r="M3115">
        <v>12200</v>
      </c>
      <c r="N3115">
        <v>112600</v>
      </c>
      <c r="O3115" t="s">
        <v>57</v>
      </c>
      <c r="P3115" s="3">
        <v>44541</v>
      </c>
      <c r="Q3115" t="s">
        <v>36</v>
      </c>
    </row>
    <row r="3116" spans="1:17" x14ac:dyDescent="0.35">
      <c r="A3116" t="s">
        <v>3168</v>
      </c>
      <c r="B3116" t="s">
        <v>16</v>
      </c>
      <c r="C3116">
        <v>29</v>
      </c>
      <c r="D3116" t="s">
        <v>34</v>
      </c>
      <c r="E3116" t="s">
        <v>59</v>
      </c>
      <c r="F3116" t="s">
        <v>28</v>
      </c>
      <c r="G3116">
        <v>9</v>
      </c>
      <c r="H3116">
        <v>6.3</v>
      </c>
      <c r="I3116" t="str" cm="1">
        <f t="array" ref="I3116">_xlfn.IFS(G3116&lt;3, "0–2 Years", G3116&lt;6, "3–5 Years", G3116&lt;9, "6–8 Years", G3116&lt;12, "9-11 Years", G3116&gt;=12, "12-14 Years")</f>
        <v>9-11 Years</v>
      </c>
      <c r="J3116">
        <v>2</v>
      </c>
      <c r="K3116" t="s">
        <v>69</v>
      </c>
      <c r="L3116">
        <v>82800</v>
      </c>
      <c r="M3116">
        <v>5900</v>
      </c>
      <c r="N3116">
        <v>88700</v>
      </c>
      <c r="O3116" t="s">
        <v>30</v>
      </c>
      <c r="P3116" s="3">
        <v>42731</v>
      </c>
      <c r="Q3116" t="s">
        <v>28</v>
      </c>
    </row>
    <row r="3117" spans="1:17" x14ac:dyDescent="0.35">
      <c r="A3117" t="s">
        <v>3169</v>
      </c>
      <c r="B3117" t="s">
        <v>16</v>
      </c>
      <c r="C3117">
        <v>37</v>
      </c>
      <c r="D3117" t="s">
        <v>38</v>
      </c>
      <c r="E3117" t="s">
        <v>112</v>
      </c>
      <c r="F3117" t="s">
        <v>36</v>
      </c>
      <c r="G3117">
        <v>9.5</v>
      </c>
      <c r="H3117">
        <v>6.2</v>
      </c>
      <c r="I3117" t="str" cm="1">
        <f t="array" ref="I3117">_xlfn.IFS(G3117&lt;3, "0–2 Years", G3117&lt;6, "3–5 Years", G3117&lt;9, "6–8 Years", G3117&lt;12, "9-11 Years", G3117&gt;=12, "12-14 Years")</f>
        <v>9-11 Years</v>
      </c>
      <c r="J3117">
        <v>5</v>
      </c>
      <c r="K3117" t="s">
        <v>20</v>
      </c>
      <c r="L3117">
        <v>86400</v>
      </c>
      <c r="M3117">
        <v>3700</v>
      </c>
      <c r="N3117">
        <v>90100</v>
      </c>
      <c r="O3117" t="s">
        <v>30</v>
      </c>
      <c r="P3117" s="3">
        <v>42551</v>
      </c>
      <c r="Q3117" t="s">
        <v>36</v>
      </c>
    </row>
    <row r="3118" spans="1:17" x14ac:dyDescent="0.35">
      <c r="A3118" t="s">
        <v>3170</v>
      </c>
      <c r="B3118" t="s">
        <v>23</v>
      </c>
      <c r="C3118" s="7">
        <v>37</v>
      </c>
      <c r="D3118" t="s">
        <v>34</v>
      </c>
      <c r="E3118" t="s">
        <v>59</v>
      </c>
      <c r="F3118" t="s">
        <v>28</v>
      </c>
      <c r="G3118" s="9">
        <v>12.2</v>
      </c>
      <c r="H3118" s="7">
        <v>6</v>
      </c>
      <c r="I3118" t="str" cm="1">
        <f t="array" ref="I3118">_xlfn.IFS(G3118&lt;3, "0–2 Years", G3118&lt;6, "3–5 Years", G3118&lt;9, "6–8 Years", G3118&lt;12, "9-11 Years", G3118&gt;=12, "12-14 Years")</f>
        <v>12-14 Years</v>
      </c>
      <c r="J3118" s="7">
        <v>4</v>
      </c>
      <c r="K3118" t="s">
        <v>20</v>
      </c>
      <c r="L3118" s="7">
        <v>119500</v>
      </c>
      <c r="M3118" s="7">
        <v>9300</v>
      </c>
      <c r="N3118" s="7">
        <v>128800</v>
      </c>
      <c r="O3118" t="s">
        <v>57</v>
      </c>
      <c r="P3118" s="3">
        <v>41553</v>
      </c>
      <c r="Q3118" t="s">
        <v>28</v>
      </c>
    </row>
    <row r="3119" spans="1:17" x14ac:dyDescent="0.35">
      <c r="A3119" t="s">
        <v>3171</v>
      </c>
      <c r="B3119" t="s">
        <v>23</v>
      </c>
      <c r="C3119">
        <v>40</v>
      </c>
      <c r="D3119" t="s">
        <v>17</v>
      </c>
      <c r="E3119" t="s">
        <v>32</v>
      </c>
      <c r="F3119" t="s">
        <v>28</v>
      </c>
      <c r="G3119">
        <v>8</v>
      </c>
      <c r="H3119">
        <v>5.8</v>
      </c>
      <c r="I3119" t="str" cm="1">
        <f t="array" ref="I3119">_xlfn.IFS(G3119&lt;3, "0–2 Years", G3119&lt;6, "3–5 Years", G3119&lt;9, "6–8 Years", G3119&lt;12, "9-11 Years", G3119&gt;=12, "12-14 Years")</f>
        <v>6–8 Years</v>
      </c>
      <c r="J3119">
        <v>3</v>
      </c>
      <c r="K3119" t="s">
        <v>69</v>
      </c>
      <c r="L3119">
        <v>56600</v>
      </c>
      <c r="M3119">
        <v>4000</v>
      </c>
      <c r="N3119">
        <v>60600</v>
      </c>
      <c r="O3119" t="s">
        <v>25</v>
      </c>
      <c r="P3119" s="3">
        <v>43103</v>
      </c>
      <c r="Q3119" t="s">
        <v>28</v>
      </c>
    </row>
    <row r="3120" spans="1:17" x14ac:dyDescent="0.35">
      <c r="A3120" t="s">
        <v>3172</v>
      </c>
      <c r="B3120" t="s">
        <v>16</v>
      </c>
      <c r="C3120">
        <v>34</v>
      </c>
      <c r="D3120" t="s">
        <v>55</v>
      </c>
      <c r="E3120" t="s">
        <v>79</v>
      </c>
      <c r="F3120" t="s">
        <v>28</v>
      </c>
      <c r="G3120">
        <v>3.1</v>
      </c>
      <c r="H3120">
        <v>2</v>
      </c>
      <c r="I3120" t="str" cm="1">
        <f t="array" ref="I3120">_xlfn.IFS(G3120&lt;3, "0–2 Years", G3120&lt;6, "3–5 Years", G3120&lt;9, "6–8 Years", G3120&lt;12, "9-11 Years", G3120&gt;=12, "12-14 Years")</f>
        <v>3–5 Years</v>
      </c>
      <c r="J3120">
        <v>3</v>
      </c>
      <c r="K3120" t="s">
        <v>20</v>
      </c>
      <c r="L3120">
        <v>53800</v>
      </c>
      <c r="M3120">
        <v>6900</v>
      </c>
      <c r="N3120">
        <v>60700</v>
      </c>
      <c r="O3120" t="s">
        <v>25</v>
      </c>
      <c r="P3120" s="3">
        <v>44882</v>
      </c>
      <c r="Q3120" t="s">
        <v>28</v>
      </c>
    </row>
    <row r="3121" spans="1:17" x14ac:dyDescent="0.35">
      <c r="A3121" t="s">
        <v>3173</v>
      </c>
      <c r="B3121" t="s">
        <v>16</v>
      </c>
      <c r="C3121" s="7">
        <v>25</v>
      </c>
      <c r="D3121" t="s">
        <v>17</v>
      </c>
      <c r="E3121" t="s">
        <v>32</v>
      </c>
      <c r="F3121" t="s">
        <v>28</v>
      </c>
      <c r="G3121" s="9">
        <v>13.9</v>
      </c>
      <c r="H3121" s="7">
        <v>6.9</v>
      </c>
      <c r="I3121" t="str" cm="1">
        <f t="array" ref="I3121">_xlfn.IFS(G3121&lt;3, "0–2 Years", G3121&lt;6, "3–5 Years", G3121&lt;9, "6–8 Years", G3121&lt;12, "9-11 Years", G3121&gt;=12, "12-14 Years")</f>
        <v>12-14 Years</v>
      </c>
      <c r="J3121" s="7">
        <v>4</v>
      </c>
      <c r="K3121" t="s">
        <v>20</v>
      </c>
      <c r="L3121" s="7">
        <v>72400</v>
      </c>
      <c r="M3121" s="7">
        <v>5400</v>
      </c>
      <c r="N3121" s="7">
        <v>77800</v>
      </c>
      <c r="O3121" t="s">
        <v>21</v>
      </c>
      <c r="P3121" s="3">
        <v>40929</v>
      </c>
      <c r="Q3121" t="s">
        <v>28</v>
      </c>
    </row>
    <row r="3122" spans="1:17" x14ac:dyDescent="0.35">
      <c r="A3122" t="s">
        <v>3174</v>
      </c>
      <c r="B3122" t="s">
        <v>16</v>
      </c>
      <c r="C3122">
        <v>32</v>
      </c>
      <c r="D3122" t="s">
        <v>44</v>
      </c>
      <c r="E3122" t="s">
        <v>76</v>
      </c>
      <c r="F3122" t="s">
        <v>28</v>
      </c>
      <c r="G3122">
        <v>7.3</v>
      </c>
      <c r="H3122">
        <v>3.3</v>
      </c>
      <c r="I3122" t="str" cm="1">
        <f t="array" ref="I3122">_xlfn.IFS(G3122&lt;3, "0–2 Years", G3122&lt;6, "3–5 Years", G3122&lt;9, "6–8 Years", G3122&lt;12, "9-11 Years", G3122&gt;=12, "12-14 Years")</f>
        <v>6–8 Years</v>
      </c>
      <c r="J3122">
        <v>3</v>
      </c>
      <c r="K3122" t="s">
        <v>20</v>
      </c>
      <c r="L3122">
        <v>88100</v>
      </c>
      <c r="M3122">
        <v>13100</v>
      </c>
      <c r="N3122">
        <v>101200</v>
      </c>
      <c r="O3122" t="s">
        <v>30</v>
      </c>
      <c r="P3122" s="3">
        <v>43361</v>
      </c>
      <c r="Q3122" t="s">
        <v>28</v>
      </c>
    </row>
    <row r="3123" spans="1:17" x14ac:dyDescent="0.35">
      <c r="A3123" t="s">
        <v>3175</v>
      </c>
      <c r="B3123" t="s">
        <v>23</v>
      </c>
      <c r="C3123">
        <v>30</v>
      </c>
      <c r="D3123" t="s">
        <v>34</v>
      </c>
      <c r="E3123" t="s">
        <v>59</v>
      </c>
      <c r="F3123" t="s">
        <v>36</v>
      </c>
      <c r="G3123">
        <v>11.6</v>
      </c>
      <c r="H3123">
        <v>6.5</v>
      </c>
      <c r="I3123" t="str" cm="1">
        <f t="array" ref="I3123">_xlfn.IFS(G3123&lt;3, "0–2 Years", G3123&lt;6, "3–5 Years", G3123&lt;9, "6–8 Years", G3123&lt;12, "9-11 Years", G3123&gt;=12, "12-14 Years")</f>
        <v>9-11 Years</v>
      </c>
      <c r="J3123">
        <v>3</v>
      </c>
      <c r="K3123" t="s">
        <v>20</v>
      </c>
      <c r="L3123">
        <v>125800</v>
      </c>
      <c r="M3123">
        <v>9900</v>
      </c>
      <c r="N3123">
        <v>135700</v>
      </c>
      <c r="O3123" t="s">
        <v>57</v>
      </c>
      <c r="P3123" s="3">
        <v>41780</v>
      </c>
      <c r="Q3123" t="s">
        <v>36</v>
      </c>
    </row>
    <row r="3124" spans="1:17" x14ac:dyDescent="0.35">
      <c r="A3124" t="s">
        <v>3176</v>
      </c>
      <c r="B3124" t="s">
        <v>16</v>
      </c>
      <c r="C3124">
        <v>36</v>
      </c>
      <c r="D3124" t="s">
        <v>38</v>
      </c>
      <c r="E3124" t="s">
        <v>112</v>
      </c>
      <c r="F3124" t="s">
        <v>28</v>
      </c>
      <c r="G3124">
        <v>5.4</v>
      </c>
      <c r="H3124">
        <v>3.3</v>
      </c>
      <c r="I3124" t="str" cm="1">
        <f t="array" ref="I3124">_xlfn.IFS(G3124&lt;3, "0–2 Years", G3124&lt;6, "3–5 Years", G3124&lt;9, "6–8 Years", G3124&lt;12, "9-11 Years", G3124&gt;=12, "12-14 Years")</f>
        <v>3–5 Years</v>
      </c>
      <c r="J3124">
        <v>4</v>
      </c>
      <c r="K3124" t="s">
        <v>20</v>
      </c>
      <c r="L3124">
        <v>68100</v>
      </c>
      <c r="M3124">
        <v>6000</v>
      </c>
      <c r="N3124">
        <v>74100</v>
      </c>
      <c r="O3124" t="s">
        <v>21</v>
      </c>
      <c r="P3124" s="3">
        <v>44067</v>
      </c>
      <c r="Q3124" t="s">
        <v>28</v>
      </c>
    </row>
    <row r="3125" spans="1:17" x14ac:dyDescent="0.35">
      <c r="A3125" t="s">
        <v>3177</v>
      </c>
      <c r="B3125" t="s">
        <v>16</v>
      </c>
      <c r="C3125">
        <v>36</v>
      </c>
      <c r="D3125" t="s">
        <v>55</v>
      </c>
      <c r="E3125" t="s">
        <v>56</v>
      </c>
      <c r="F3125" t="s">
        <v>36</v>
      </c>
      <c r="G3125">
        <v>1.8</v>
      </c>
      <c r="H3125">
        <v>0.6</v>
      </c>
      <c r="I3125" t="str" cm="1">
        <f t="array" ref="I3125">_xlfn.IFS(G3125&lt;3, "0–2 Years", G3125&lt;6, "3–5 Years", G3125&lt;9, "6–8 Years", G3125&lt;12, "9-11 Years", G3125&gt;=12, "12-14 Years")</f>
        <v>0–2 Years</v>
      </c>
      <c r="J3125">
        <v>2</v>
      </c>
      <c r="K3125" t="s">
        <v>20</v>
      </c>
      <c r="L3125">
        <v>108500</v>
      </c>
      <c r="M3125">
        <v>11200</v>
      </c>
      <c r="N3125">
        <v>119700</v>
      </c>
      <c r="O3125" t="s">
        <v>57</v>
      </c>
      <c r="P3125" s="3">
        <v>45359</v>
      </c>
      <c r="Q3125" t="s">
        <v>36</v>
      </c>
    </row>
    <row r="3126" spans="1:17" x14ac:dyDescent="0.35">
      <c r="A3126" t="s">
        <v>3178</v>
      </c>
      <c r="B3126" t="s">
        <v>16</v>
      </c>
      <c r="C3126">
        <v>51</v>
      </c>
      <c r="D3126" t="s">
        <v>44</v>
      </c>
      <c r="E3126" t="s">
        <v>76</v>
      </c>
      <c r="F3126" t="s">
        <v>28</v>
      </c>
      <c r="G3126">
        <v>5.7</v>
      </c>
      <c r="H3126">
        <v>4.5</v>
      </c>
      <c r="I3126" t="str" cm="1">
        <f t="array" ref="I3126">_xlfn.IFS(G3126&lt;3, "0–2 Years", G3126&lt;6, "3–5 Years", G3126&lt;9, "6–8 Years", G3126&lt;12, "9-11 Years", G3126&gt;=12, "12-14 Years")</f>
        <v>3–5 Years</v>
      </c>
      <c r="J3126">
        <v>4</v>
      </c>
      <c r="K3126" t="s">
        <v>20</v>
      </c>
      <c r="L3126">
        <v>111900</v>
      </c>
      <c r="M3126">
        <v>10100</v>
      </c>
      <c r="N3126">
        <v>122000</v>
      </c>
      <c r="O3126" t="s">
        <v>57</v>
      </c>
      <c r="P3126" s="3">
        <v>43935</v>
      </c>
      <c r="Q3126" t="s">
        <v>28</v>
      </c>
    </row>
    <row r="3127" spans="1:17" x14ac:dyDescent="0.35">
      <c r="A3127" t="s">
        <v>3179</v>
      </c>
      <c r="B3127" t="s">
        <v>23</v>
      </c>
      <c r="C3127">
        <v>51</v>
      </c>
      <c r="D3127" t="s">
        <v>41</v>
      </c>
      <c r="E3127" t="s">
        <v>67</v>
      </c>
      <c r="F3127" t="s">
        <v>36</v>
      </c>
      <c r="G3127">
        <v>7.9</v>
      </c>
      <c r="H3127">
        <v>5.7</v>
      </c>
      <c r="I3127" t="str" cm="1">
        <f t="array" ref="I3127">_xlfn.IFS(G3127&lt;3, "0–2 Years", G3127&lt;6, "3–5 Years", G3127&lt;9, "6–8 Years", G3127&lt;12, "9-11 Years", G3127&gt;=12, "12-14 Years")</f>
        <v>6–8 Years</v>
      </c>
      <c r="J3127">
        <v>4</v>
      </c>
      <c r="K3127" t="s">
        <v>20</v>
      </c>
      <c r="L3127">
        <v>73800</v>
      </c>
      <c r="M3127">
        <v>3500</v>
      </c>
      <c r="N3127">
        <v>77300</v>
      </c>
      <c r="O3127" t="s">
        <v>21</v>
      </c>
      <c r="P3127" s="3">
        <v>43150</v>
      </c>
      <c r="Q3127" t="s">
        <v>36</v>
      </c>
    </row>
    <row r="3128" spans="1:17" x14ac:dyDescent="0.35">
      <c r="A3128" t="s">
        <v>3180</v>
      </c>
      <c r="B3128" t="s">
        <v>23</v>
      </c>
      <c r="C3128">
        <v>39</v>
      </c>
      <c r="D3128" t="s">
        <v>17</v>
      </c>
      <c r="E3128" t="s">
        <v>27</v>
      </c>
      <c r="F3128" t="s">
        <v>28</v>
      </c>
      <c r="G3128">
        <v>10.6</v>
      </c>
      <c r="H3128">
        <v>6.6</v>
      </c>
      <c r="I3128" t="str" cm="1">
        <f t="array" ref="I3128">_xlfn.IFS(G3128&lt;3, "0–2 Years", G3128&lt;6, "3–5 Years", G3128&lt;9, "6–8 Years", G3128&lt;12, "9-11 Years", G3128&gt;=12, "12-14 Years")</f>
        <v>9-11 Years</v>
      </c>
      <c r="J3128">
        <v>3</v>
      </c>
      <c r="K3128" t="s">
        <v>20</v>
      </c>
      <c r="L3128">
        <v>83900</v>
      </c>
      <c r="M3128">
        <v>5300</v>
      </c>
      <c r="N3128">
        <v>89200</v>
      </c>
      <c r="O3128" t="s">
        <v>30</v>
      </c>
      <c r="P3128" s="3">
        <v>42168</v>
      </c>
      <c r="Q3128" t="s">
        <v>28</v>
      </c>
    </row>
    <row r="3129" spans="1:17" x14ac:dyDescent="0.35">
      <c r="A3129" t="s">
        <v>3181</v>
      </c>
      <c r="B3129" t="s">
        <v>16</v>
      </c>
      <c r="C3129">
        <v>44</v>
      </c>
      <c r="D3129" t="s">
        <v>44</v>
      </c>
      <c r="E3129" t="s">
        <v>51</v>
      </c>
      <c r="F3129" t="s">
        <v>19</v>
      </c>
      <c r="G3129">
        <v>10.199999999999999</v>
      </c>
      <c r="H3129">
        <v>6.5</v>
      </c>
      <c r="I3129" t="str" cm="1">
        <f t="array" ref="I3129">_xlfn.IFS(G3129&lt;3, "0–2 Years", G3129&lt;6, "3–5 Years", G3129&lt;9, "6–8 Years", G3129&lt;12, "9-11 Years", G3129&gt;=12, "12-14 Years")</f>
        <v>9-11 Years</v>
      </c>
      <c r="J3129">
        <v>4</v>
      </c>
      <c r="K3129" t="s">
        <v>20</v>
      </c>
      <c r="L3129">
        <v>83200</v>
      </c>
      <c r="M3129">
        <v>10400</v>
      </c>
      <c r="N3129">
        <v>93600</v>
      </c>
      <c r="O3129" t="s">
        <v>30</v>
      </c>
      <c r="P3129" s="3">
        <v>42283</v>
      </c>
      <c r="Q3129" t="s">
        <v>19</v>
      </c>
    </row>
    <row r="3130" spans="1:17" x14ac:dyDescent="0.35">
      <c r="A3130" t="s">
        <v>3182</v>
      </c>
      <c r="B3130" t="s">
        <v>16</v>
      </c>
      <c r="C3130">
        <v>48</v>
      </c>
      <c r="D3130" t="s">
        <v>44</v>
      </c>
      <c r="E3130" t="s">
        <v>51</v>
      </c>
      <c r="F3130" t="s">
        <v>28</v>
      </c>
      <c r="G3130">
        <v>10.9</v>
      </c>
      <c r="H3130">
        <v>7.2</v>
      </c>
      <c r="I3130" t="str" cm="1">
        <f t="array" ref="I3130">_xlfn.IFS(G3130&lt;3, "0–2 Years", G3130&lt;6, "3–5 Years", G3130&lt;9, "6–8 Years", G3130&lt;12, "9-11 Years", G3130&gt;=12, "12-14 Years")</f>
        <v>9-11 Years</v>
      </c>
      <c r="J3130">
        <v>3</v>
      </c>
      <c r="K3130" t="s">
        <v>20</v>
      </c>
      <c r="L3130">
        <v>84200</v>
      </c>
      <c r="M3130">
        <v>11000</v>
      </c>
      <c r="N3130">
        <v>95200</v>
      </c>
      <c r="O3130" t="s">
        <v>30</v>
      </c>
      <c r="P3130" s="3">
        <v>42037</v>
      </c>
      <c r="Q3130" t="s">
        <v>28</v>
      </c>
    </row>
    <row r="3131" spans="1:17" x14ac:dyDescent="0.35">
      <c r="A3131" t="s">
        <v>3183</v>
      </c>
      <c r="B3131" t="s">
        <v>16</v>
      </c>
      <c r="C3131">
        <v>30</v>
      </c>
      <c r="D3131" t="s">
        <v>41</v>
      </c>
      <c r="E3131" t="s">
        <v>42</v>
      </c>
      <c r="F3131" t="s">
        <v>36</v>
      </c>
      <c r="G3131">
        <v>10.8</v>
      </c>
      <c r="H3131">
        <v>6.2</v>
      </c>
      <c r="I3131" t="str" cm="1">
        <f t="array" ref="I3131">_xlfn.IFS(G3131&lt;3, "0–2 Years", G3131&lt;6, "3–5 Years", G3131&lt;9, "6–8 Years", G3131&lt;12, "9-11 Years", G3131&gt;=12, "12-14 Years")</f>
        <v>9-11 Years</v>
      </c>
      <c r="J3131">
        <v>3</v>
      </c>
      <c r="K3131" t="s">
        <v>20</v>
      </c>
      <c r="L3131">
        <v>90600</v>
      </c>
      <c r="M3131">
        <v>5200</v>
      </c>
      <c r="N3131">
        <v>95800</v>
      </c>
      <c r="O3131" t="s">
        <v>30</v>
      </c>
      <c r="P3131" s="3">
        <v>42068</v>
      </c>
      <c r="Q3131" t="s">
        <v>36</v>
      </c>
    </row>
    <row r="3132" spans="1:17" x14ac:dyDescent="0.35">
      <c r="A3132" t="s">
        <v>3184</v>
      </c>
      <c r="B3132" t="s">
        <v>23</v>
      </c>
      <c r="C3132">
        <v>30</v>
      </c>
      <c r="D3132" t="s">
        <v>44</v>
      </c>
      <c r="E3132" t="s">
        <v>81</v>
      </c>
      <c r="F3132" t="s">
        <v>19</v>
      </c>
      <c r="G3132">
        <v>5.9</v>
      </c>
      <c r="H3132">
        <v>5.9</v>
      </c>
      <c r="I3132" t="str" cm="1">
        <f t="array" ref="I3132">_xlfn.IFS(G3132&lt;3, "0–2 Years", G3132&lt;6, "3–5 Years", G3132&lt;9, "6–8 Years", G3132&lt;12, "9-11 Years", G3132&gt;=12, "12-14 Years")</f>
        <v>3–5 Years</v>
      </c>
      <c r="J3132">
        <v>3</v>
      </c>
      <c r="K3132" t="s">
        <v>20</v>
      </c>
      <c r="L3132">
        <v>98500</v>
      </c>
      <c r="M3132">
        <v>10000</v>
      </c>
      <c r="N3132">
        <v>108500</v>
      </c>
      <c r="O3132" t="s">
        <v>30</v>
      </c>
      <c r="P3132" s="3">
        <v>43863</v>
      </c>
      <c r="Q3132" t="s">
        <v>19</v>
      </c>
    </row>
    <row r="3133" spans="1:17" x14ac:dyDescent="0.35">
      <c r="A3133" t="s">
        <v>3185</v>
      </c>
      <c r="B3133" t="s">
        <v>16</v>
      </c>
      <c r="C3133">
        <v>21</v>
      </c>
      <c r="D3133" t="s">
        <v>38</v>
      </c>
      <c r="E3133" t="s">
        <v>112</v>
      </c>
      <c r="F3133" t="s">
        <v>36</v>
      </c>
      <c r="G3133">
        <v>8.6999999999999993</v>
      </c>
      <c r="H3133">
        <v>3.4</v>
      </c>
      <c r="I3133" t="str" cm="1">
        <f t="array" ref="I3133">_xlfn.IFS(G3133&lt;3, "0–2 Years", G3133&lt;6, "3–5 Years", G3133&lt;9, "6–8 Years", G3133&lt;12, "9-11 Years", G3133&gt;=12, "12-14 Years")</f>
        <v>6–8 Years</v>
      </c>
      <c r="J3133">
        <v>3</v>
      </c>
      <c r="K3133" t="s">
        <v>20</v>
      </c>
      <c r="L3133">
        <v>63300</v>
      </c>
      <c r="M3133">
        <v>4000</v>
      </c>
      <c r="N3133">
        <v>67300</v>
      </c>
      <c r="O3133" t="s">
        <v>25</v>
      </c>
      <c r="P3133" s="3">
        <v>42848</v>
      </c>
      <c r="Q3133" t="s">
        <v>36</v>
      </c>
    </row>
    <row r="3134" spans="1:17" x14ac:dyDescent="0.35">
      <c r="A3134" t="s">
        <v>3186</v>
      </c>
      <c r="B3134" t="s">
        <v>16</v>
      </c>
      <c r="C3134">
        <v>36</v>
      </c>
      <c r="D3134" t="s">
        <v>38</v>
      </c>
      <c r="E3134" t="s">
        <v>112</v>
      </c>
      <c r="F3134" t="s">
        <v>28</v>
      </c>
      <c r="G3134">
        <v>9.9</v>
      </c>
      <c r="H3134">
        <v>5</v>
      </c>
      <c r="I3134" t="str" cm="1">
        <f t="array" ref="I3134">_xlfn.IFS(G3134&lt;3, "0–2 Years", G3134&lt;6, "3–5 Years", G3134&lt;9, "6–8 Years", G3134&lt;12, "9-11 Years", G3134&gt;=12, "12-14 Years")</f>
        <v>9-11 Years</v>
      </c>
      <c r="J3134">
        <v>3</v>
      </c>
      <c r="K3134" t="s">
        <v>20</v>
      </c>
      <c r="L3134">
        <v>79800</v>
      </c>
      <c r="M3134">
        <v>7400</v>
      </c>
      <c r="N3134">
        <v>87200</v>
      </c>
      <c r="O3134" t="s">
        <v>21</v>
      </c>
      <c r="P3134" s="3">
        <v>42421</v>
      </c>
      <c r="Q3134" t="s">
        <v>28</v>
      </c>
    </row>
    <row r="3135" spans="1:17" x14ac:dyDescent="0.35">
      <c r="A3135" t="s">
        <v>3187</v>
      </c>
      <c r="B3135" t="s">
        <v>23</v>
      </c>
      <c r="C3135">
        <v>35</v>
      </c>
      <c r="D3135" t="s">
        <v>34</v>
      </c>
      <c r="E3135" t="s">
        <v>59</v>
      </c>
      <c r="F3135" t="s">
        <v>28</v>
      </c>
      <c r="G3135">
        <v>6</v>
      </c>
      <c r="H3135">
        <v>4.3</v>
      </c>
      <c r="I3135" t="str" cm="1">
        <f t="array" ref="I3135">_xlfn.IFS(G3135&lt;3, "0–2 Years", G3135&lt;6, "3–5 Years", G3135&lt;9, "6–8 Years", G3135&lt;12, "9-11 Years", G3135&gt;=12, "12-14 Years")</f>
        <v>6–8 Years</v>
      </c>
      <c r="J3135">
        <v>3</v>
      </c>
      <c r="K3135" t="s">
        <v>69</v>
      </c>
      <c r="L3135">
        <v>86300</v>
      </c>
      <c r="M3135">
        <v>5400</v>
      </c>
      <c r="N3135">
        <v>91700</v>
      </c>
      <c r="O3135" t="s">
        <v>30</v>
      </c>
      <c r="P3135" s="3">
        <v>43840</v>
      </c>
      <c r="Q3135" t="s">
        <v>28</v>
      </c>
    </row>
    <row r="3136" spans="1:17" x14ac:dyDescent="0.35">
      <c r="A3136" t="s">
        <v>3188</v>
      </c>
      <c r="B3136" t="s">
        <v>16</v>
      </c>
      <c r="C3136">
        <v>37</v>
      </c>
      <c r="D3136" t="s">
        <v>44</v>
      </c>
      <c r="E3136" t="s">
        <v>81</v>
      </c>
      <c r="F3136" t="s">
        <v>28</v>
      </c>
      <c r="G3136">
        <v>11.3</v>
      </c>
      <c r="H3136">
        <v>6.9</v>
      </c>
      <c r="I3136" t="str" cm="1">
        <f t="array" ref="I3136">_xlfn.IFS(G3136&lt;3, "0–2 Years", G3136&lt;6, "3–5 Years", G3136&lt;9, "6–8 Years", G3136&lt;12, "9-11 Years", G3136&gt;=12, "12-14 Years")</f>
        <v>9-11 Years</v>
      </c>
      <c r="J3136">
        <v>4</v>
      </c>
      <c r="K3136" t="s">
        <v>20</v>
      </c>
      <c r="L3136">
        <v>113300</v>
      </c>
      <c r="M3136">
        <v>16400</v>
      </c>
      <c r="N3136">
        <v>129700</v>
      </c>
      <c r="O3136" t="s">
        <v>57</v>
      </c>
      <c r="P3136" s="3">
        <v>41898</v>
      </c>
      <c r="Q3136" t="s">
        <v>28</v>
      </c>
    </row>
    <row r="3137" spans="1:17" x14ac:dyDescent="0.35">
      <c r="A3137" t="s">
        <v>3189</v>
      </c>
      <c r="B3137" t="s">
        <v>16</v>
      </c>
      <c r="C3137" s="7">
        <v>28</v>
      </c>
      <c r="D3137" t="s">
        <v>17</v>
      </c>
      <c r="E3137" t="s">
        <v>27</v>
      </c>
      <c r="F3137" t="s">
        <v>28</v>
      </c>
      <c r="G3137" s="9">
        <v>12.3</v>
      </c>
      <c r="H3137" s="7">
        <v>6.3</v>
      </c>
      <c r="I3137" t="str" cm="1">
        <f t="array" ref="I3137">_xlfn.IFS(G3137&lt;3, "0–2 Years", G3137&lt;6, "3–5 Years", G3137&lt;9, "6–8 Years", G3137&lt;12, "9-11 Years", G3137&gt;=12, "12-14 Years")</f>
        <v>12-14 Years</v>
      </c>
      <c r="J3137" s="7">
        <v>3</v>
      </c>
      <c r="K3137" t="s">
        <v>20</v>
      </c>
      <c r="L3137" s="7">
        <v>90300</v>
      </c>
      <c r="M3137" s="7">
        <v>11800</v>
      </c>
      <c r="N3137" s="7">
        <v>102100</v>
      </c>
      <c r="O3137" t="s">
        <v>30</v>
      </c>
      <c r="P3137" s="3">
        <v>41548</v>
      </c>
      <c r="Q3137" t="s">
        <v>28</v>
      </c>
    </row>
    <row r="3138" spans="1:17" x14ac:dyDescent="0.35">
      <c r="A3138" t="s">
        <v>3190</v>
      </c>
      <c r="B3138" t="s">
        <v>23</v>
      </c>
      <c r="C3138">
        <v>26</v>
      </c>
      <c r="D3138" t="s">
        <v>44</v>
      </c>
      <c r="E3138" t="s">
        <v>76</v>
      </c>
      <c r="F3138" t="s">
        <v>28</v>
      </c>
      <c r="G3138">
        <v>11.9</v>
      </c>
      <c r="H3138">
        <v>9.3000000000000007</v>
      </c>
      <c r="I3138" t="str" cm="1">
        <f t="array" ref="I3138">_xlfn.IFS(G3138&lt;3, "0–2 Years", G3138&lt;6, "3–5 Years", G3138&lt;9, "6–8 Years", G3138&lt;12, "9-11 Years", G3138&gt;=12, "12-14 Years")</f>
        <v>9-11 Years</v>
      </c>
      <c r="J3138">
        <v>3</v>
      </c>
      <c r="K3138" t="s">
        <v>20</v>
      </c>
      <c r="L3138">
        <v>128000</v>
      </c>
      <c r="M3138">
        <v>14100</v>
      </c>
      <c r="N3138">
        <v>142100</v>
      </c>
      <c r="O3138" t="s">
        <v>57</v>
      </c>
      <c r="P3138" s="3">
        <v>41681</v>
      </c>
      <c r="Q3138" t="s">
        <v>28</v>
      </c>
    </row>
    <row r="3139" spans="1:17" x14ac:dyDescent="0.35">
      <c r="A3139" t="s">
        <v>3191</v>
      </c>
      <c r="B3139" t="s">
        <v>16</v>
      </c>
      <c r="C3139">
        <v>21</v>
      </c>
      <c r="D3139" t="s">
        <v>34</v>
      </c>
      <c r="E3139" t="s">
        <v>35</v>
      </c>
      <c r="F3139" t="s">
        <v>19</v>
      </c>
      <c r="G3139">
        <v>4</v>
      </c>
      <c r="H3139">
        <v>3.5</v>
      </c>
      <c r="I3139" t="str" cm="1">
        <f t="array" ref="I3139">_xlfn.IFS(G3139&lt;3, "0–2 Years", G3139&lt;6, "3–5 Years", G3139&lt;9, "6–8 Years", G3139&lt;12, "9-11 Years", G3139&gt;=12, "12-14 Years")</f>
        <v>3–5 Years</v>
      </c>
      <c r="J3139">
        <v>3</v>
      </c>
      <c r="K3139" t="s">
        <v>20</v>
      </c>
      <c r="L3139">
        <v>77200</v>
      </c>
      <c r="M3139">
        <v>5400</v>
      </c>
      <c r="N3139">
        <v>82600</v>
      </c>
      <c r="O3139" t="s">
        <v>21</v>
      </c>
      <c r="P3139" s="3">
        <v>44550</v>
      </c>
      <c r="Q3139" t="s">
        <v>19</v>
      </c>
    </row>
    <row r="3140" spans="1:17" x14ac:dyDescent="0.35">
      <c r="A3140" t="s">
        <v>3192</v>
      </c>
      <c r="B3140" t="s">
        <v>23</v>
      </c>
      <c r="C3140">
        <v>33</v>
      </c>
      <c r="D3140" t="s">
        <v>41</v>
      </c>
      <c r="E3140" t="s">
        <v>67</v>
      </c>
      <c r="F3140" t="s">
        <v>28</v>
      </c>
      <c r="G3140">
        <v>9.8000000000000007</v>
      </c>
      <c r="H3140">
        <v>6.5</v>
      </c>
      <c r="I3140" t="str" cm="1">
        <f t="array" ref="I3140">_xlfn.IFS(G3140&lt;3, "0–2 Years", G3140&lt;6, "3–5 Years", G3140&lt;9, "6–8 Years", G3140&lt;12, "9-11 Years", G3140&gt;=12, "12-14 Years")</f>
        <v>9-11 Years</v>
      </c>
      <c r="J3140">
        <v>4</v>
      </c>
      <c r="K3140" t="s">
        <v>20</v>
      </c>
      <c r="L3140">
        <v>73900</v>
      </c>
      <c r="M3140">
        <v>4800</v>
      </c>
      <c r="N3140">
        <v>78700</v>
      </c>
      <c r="O3140" t="s">
        <v>21</v>
      </c>
      <c r="P3140" s="3">
        <v>42459</v>
      </c>
      <c r="Q3140" t="s">
        <v>28</v>
      </c>
    </row>
    <row r="3141" spans="1:17" x14ac:dyDescent="0.35">
      <c r="A3141" t="s">
        <v>3193</v>
      </c>
      <c r="B3141" t="s">
        <v>16</v>
      </c>
      <c r="C3141">
        <v>34</v>
      </c>
      <c r="D3141" t="s">
        <v>44</v>
      </c>
      <c r="E3141" t="s">
        <v>76</v>
      </c>
      <c r="F3141" t="s">
        <v>36</v>
      </c>
      <c r="G3141">
        <v>8.1999999999999993</v>
      </c>
      <c r="H3141">
        <v>3.5</v>
      </c>
      <c r="I3141" t="str" cm="1">
        <f t="array" ref="I3141">_xlfn.IFS(G3141&lt;3, "0–2 Years", G3141&lt;6, "3–5 Years", G3141&lt;9, "6–8 Years", G3141&lt;12, "9-11 Years", G3141&gt;=12, "12-14 Years")</f>
        <v>6–8 Years</v>
      </c>
      <c r="J3141">
        <v>3</v>
      </c>
      <c r="K3141" t="s">
        <v>20</v>
      </c>
      <c r="L3141">
        <v>117200</v>
      </c>
      <c r="M3141">
        <v>10200</v>
      </c>
      <c r="N3141">
        <v>127400</v>
      </c>
      <c r="O3141" t="s">
        <v>57</v>
      </c>
      <c r="P3141" s="3">
        <v>43013</v>
      </c>
      <c r="Q3141" t="s">
        <v>36</v>
      </c>
    </row>
    <row r="3142" spans="1:17" x14ac:dyDescent="0.35">
      <c r="A3142" t="s">
        <v>3194</v>
      </c>
      <c r="B3142" t="s">
        <v>23</v>
      </c>
      <c r="C3142">
        <v>30</v>
      </c>
      <c r="D3142" t="s">
        <v>55</v>
      </c>
      <c r="E3142" t="s">
        <v>92</v>
      </c>
      <c r="F3142" t="s">
        <v>28</v>
      </c>
      <c r="G3142">
        <v>2.4</v>
      </c>
      <c r="H3142">
        <v>1.9</v>
      </c>
      <c r="I3142" t="str" cm="1">
        <f t="array" ref="I3142">_xlfn.IFS(G3142&lt;3, "0–2 Years", G3142&lt;6, "3–5 Years", G3142&lt;9, "6–8 Years", G3142&lt;12, "9-11 Years", G3142&gt;=12, "12-14 Years")</f>
        <v>0–2 Years</v>
      </c>
      <c r="J3142">
        <v>3</v>
      </c>
      <c r="K3142" t="s">
        <v>20</v>
      </c>
      <c r="L3142">
        <v>102000</v>
      </c>
      <c r="M3142">
        <v>8500</v>
      </c>
      <c r="N3142">
        <v>110500</v>
      </c>
      <c r="O3142" t="s">
        <v>57</v>
      </c>
      <c r="P3142" s="3">
        <v>45155</v>
      </c>
      <c r="Q3142" t="s">
        <v>28</v>
      </c>
    </row>
    <row r="3143" spans="1:17" x14ac:dyDescent="0.35">
      <c r="A3143" t="s">
        <v>3195</v>
      </c>
      <c r="B3143" t="s">
        <v>16</v>
      </c>
      <c r="C3143">
        <v>51</v>
      </c>
      <c r="D3143" t="s">
        <v>55</v>
      </c>
      <c r="E3143" t="s">
        <v>79</v>
      </c>
      <c r="F3143" t="s">
        <v>28</v>
      </c>
      <c r="G3143">
        <v>6.7</v>
      </c>
      <c r="H3143">
        <v>2.8</v>
      </c>
      <c r="I3143" t="str" cm="1">
        <f t="array" ref="I3143">_xlfn.IFS(G3143&lt;3, "0–2 Years", G3143&lt;6, "3–5 Years", G3143&lt;9, "6–8 Years", G3143&lt;12, "9-11 Years", G3143&gt;=12, "12-14 Years")</f>
        <v>6–8 Years</v>
      </c>
      <c r="J3143">
        <v>4</v>
      </c>
      <c r="K3143" t="s">
        <v>20</v>
      </c>
      <c r="L3143">
        <v>68400</v>
      </c>
      <c r="M3143">
        <v>14300</v>
      </c>
      <c r="N3143">
        <v>82700</v>
      </c>
      <c r="O3143" t="s">
        <v>21</v>
      </c>
      <c r="P3143" s="3">
        <v>43572</v>
      </c>
      <c r="Q3143" t="s">
        <v>28</v>
      </c>
    </row>
    <row r="3144" spans="1:17" x14ac:dyDescent="0.35">
      <c r="A3144" t="s">
        <v>3196</v>
      </c>
      <c r="B3144" t="s">
        <v>23</v>
      </c>
      <c r="C3144">
        <v>45</v>
      </c>
      <c r="D3144" t="s">
        <v>38</v>
      </c>
      <c r="E3144" t="s">
        <v>61</v>
      </c>
      <c r="F3144" t="s">
        <v>28</v>
      </c>
      <c r="G3144">
        <v>6.6</v>
      </c>
      <c r="H3144">
        <v>5.9</v>
      </c>
      <c r="I3144" t="str" cm="1">
        <f t="array" ref="I3144">_xlfn.IFS(G3144&lt;3, "0–2 Years", G3144&lt;6, "3–5 Years", G3144&lt;9, "6–8 Years", G3144&lt;12, "9-11 Years", G3144&gt;=12, "12-14 Years")</f>
        <v>6–8 Years</v>
      </c>
      <c r="J3144">
        <v>4</v>
      </c>
      <c r="K3144" t="s">
        <v>20</v>
      </c>
      <c r="L3144">
        <v>95500</v>
      </c>
      <c r="M3144">
        <v>3400</v>
      </c>
      <c r="N3144">
        <v>98900</v>
      </c>
      <c r="O3144" t="s">
        <v>30</v>
      </c>
      <c r="P3144" s="3">
        <v>43603</v>
      </c>
      <c r="Q3144" t="s">
        <v>28</v>
      </c>
    </row>
    <row r="3145" spans="1:17" x14ac:dyDescent="0.35">
      <c r="A3145" t="s">
        <v>3197</v>
      </c>
      <c r="B3145" t="s">
        <v>16</v>
      </c>
      <c r="C3145">
        <v>29</v>
      </c>
      <c r="D3145" t="s">
        <v>44</v>
      </c>
      <c r="E3145" t="s">
        <v>76</v>
      </c>
      <c r="F3145" t="s">
        <v>28</v>
      </c>
      <c r="G3145">
        <v>8.1</v>
      </c>
      <c r="H3145">
        <v>5.8</v>
      </c>
      <c r="I3145" t="str" cm="1">
        <f t="array" ref="I3145">_xlfn.IFS(G3145&lt;3, "0–2 Years", G3145&lt;6, "3–5 Years", G3145&lt;9, "6–8 Years", G3145&lt;12, "9-11 Years", G3145&gt;=12, "12-14 Years")</f>
        <v>6–8 Years</v>
      </c>
      <c r="J3145">
        <v>3</v>
      </c>
      <c r="K3145" t="s">
        <v>20</v>
      </c>
      <c r="L3145">
        <v>101100</v>
      </c>
      <c r="M3145">
        <v>6200</v>
      </c>
      <c r="N3145">
        <v>107300</v>
      </c>
      <c r="O3145" t="s">
        <v>57</v>
      </c>
      <c r="P3145" s="3">
        <v>43068</v>
      </c>
      <c r="Q3145" t="s">
        <v>28</v>
      </c>
    </row>
    <row r="3146" spans="1:17" x14ac:dyDescent="0.35">
      <c r="A3146" t="s">
        <v>3198</v>
      </c>
      <c r="B3146" t="s">
        <v>16</v>
      </c>
      <c r="C3146" s="7">
        <v>28</v>
      </c>
      <c r="D3146" t="s">
        <v>55</v>
      </c>
      <c r="E3146" t="s">
        <v>79</v>
      </c>
      <c r="F3146" t="s">
        <v>36</v>
      </c>
      <c r="G3146" s="9">
        <v>13</v>
      </c>
      <c r="H3146" s="7">
        <v>11.1</v>
      </c>
      <c r="I3146" t="str" cm="1">
        <f t="array" ref="I3146">_xlfn.IFS(G3146&lt;3, "0–2 Years", G3146&lt;6, "3–5 Years", G3146&lt;9, "6–8 Years", G3146&lt;12, "9-11 Years", G3146&gt;=12, "12-14 Years")</f>
        <v>12-14 Years</v>
      </c>
      <c r="J3146" s="7">
        <v>3</v>
      </c>
      <c r="K3146" t="s">
        <v>20</v>
      </c>
      <c r="L3146" s="7">
        <v>79000</v>
      </c>
      <c r="M3146" s="7">
        <v>9600</v>
      </c>
      <c r="N3146" s="7">
        <v>88600</v>
      </c>
      <c r="O3146" t="s">
        <v>21</v>
      </c>
      <c r="P3146" s="3">
        <v>41270</v>
      </c>
      <c r="Q3146" t="s">
        <v>36</v>
      </c>
    </row>
    <row r="3147" spans="1:17" x14ac:dyDescent="0.35">
      <c r="A3147" t="s">
        <v>3199</v>
      </c>
      <c r="B3147" t="s">
        <v>16</v>
      </c>
      <c r="C3147">
        <v>28</v>
      </c>
      <c r="D3147" t="s">
        <v>38</v>
      </c>
      <c r="E3147" t="s">
        <v>61</v>
      </c>
      <c r="F3147" t="s">
        <v>19</v>
      </c>
      <c r="G3147">
        <v>1.4</v>
      </c>
      <c r="H3147">
        <v>0.8</v>
      </c>
      <c r="I3147" t="str" cm="1">
        <f t="array" ref="I3147">_xlfn.IFS(G3147&lt;3, "0–2 Years", G3147&lt;6, "3–5 Years", G3147&lt;9, "6–8 Years", G3147&lt;12, "9-11 Years", G3147&gt;=12, "12-14 Years")</f>
        <v>0–2 Years</v>
      </c>
      <c r="J3147">
        <v>3</v>
      </c>
      <c r="K3147" t="s">
        <v>20</v>
      </c>
      <c r="L3147">
        <v>93300</v>
      </c>
      <c r="M3147">
        <v>9200</v>
      </c>
      <c r="N3147">
        <v>102500</v>
      </c>
      <c r="O3147" t="s">
        <v>30</v>
      </c>
      <c r="P3147" s="3">
        <v>45503</v>
      </c>
      <c r="Q3147" t="s">
        <v>19</v>
      </c>
    </row>
    <row r="3148" spans="1:17" x14ac:dyDescent="0.35">
      <c r="A3148" t="s">
        <v>3200</v>
      </c>
      <c r="B3148" t="s">
        <v>23</v>
      </c>
      <c r="C3148">
        <v>28</v>
      </c>
      <c r="D3148" t="s">
        <v>44</v>
      </c>
      <c r="E3148" t="s">
        <v>51</v>
      </c>
      <c r="F3148" t="s">
        <v>19</v>
      </c>
      <c r="G3148">
        <v>5.9</v>
      </c>
      <c r="H3148">
        <v>4.2</v>
      </c>
      <c r="I3148" t="str" cm="1">
        <f t="array" ref="I3148">_xlfn.IFS(G3148&lt;3, "0–2 Years", G3148&lt;6, "3–5 Years", G3148&lt;9, "6–8 Years", G3148&lt;12, "9-11 Years", G3148&gt;=12, "12-14 Years")</f>
        <v>3–5 Years</v>
      </c>
      <c r="J3148">
        <v>4</v>
      </c>
      <c r="K3148" t="s">
        <v>69</v>
      </c>
      <c r="L3148">
        <v>63100</v>
      </c>
      <c r="M3148">
        <v>4100</v>
      </c>
      <c r="N3148">
        <v>67200</v>
      </c>
      <c r="O3148" t="s">
        <v>25</v>
      </c>
      <c r="P3148" s="3">
        <v>43852</v>
      </c>
      <c r="Q3148" t="s">
        <v>19</v>
      </c>
    </row>
    <row r="3149" spans="1:17" x14ac:dyDescent="0.35">
      <c r="A3149" t="s">
        <v>3201</v>
      </c>
      <c r="B3149" t="s">
        <v>23</v>
      </c>
      <c r="C3149">
        <v>35</v>
      </c>
      <c r="D3149" t="s">
        <v>17</v>
      </c>
      <c r="E3149" t="s">
        <v>27</v>
      </c>
      <c r="F3149" t="s">
        <v>36</v>
      </c>
      <c r="G3149">
        <v>5.9</v>
      </c>
      <c r="H3149">
        <v>3.7</v>
      </c>
      <c r="I3149" t="str" cm="1">
        <f t="array" ref="I3149">_xlfn.IFS(G3149&lt;3, "0–2 Years", G3149&lt;6, "3–5 Years", G3149&lt;9, "6–8 Years", G3149&lt;12, "9-11 Years", G3149&gt;=12, "12-14 Years")</f>
        <v>3–5 Years</v>
      </c>
      <c r="J3149">
        <v>4</v>
      </c>
      <c r="K3149" t="s">
        <v>20</v>
      </c>
      <c r="L3149">
        <v>86800</v>
      </c>
      <c r="M3149">
        <v>10800</v>
      </c>
      <c r="N3149">
        <v>97600</v>
      </c>
      <c r="O3149" t="s">
        <v>30</v>
      </c>
      <c r="P3149" s="3">
        <v>43871</v>
      </c>
      <c r="Q3149" t="s">
        <v>36</v>
      </c>
    </row>
    <row r="3150" spans="1:17" x14ac:dyDescent="0.35">
      <c r="A3150" t="s">
        <v>3202</v>
      </c>
      <c r="B3150" t="s">
        <v>16</v>
      </c>
      <c r="C3150">
        <v>34</v>
      </c>
      <c r="D3150" t="s">
        <v>34</v>
      </c>
      <c r="E3150" t="s">
        <v>47</v>
      </c>
      <c r="F3150" t="s">
        <v>28</v>
      </c>
      <c r="G3150">
        <v>1.3</v>
      </c>
      <c r="H3150">
        <v>0.6</v>
      </c>
      <c r="I3150" t="str" cm="1">
        <f t="array" ref="I3150">_xlfn.IFS(G3150&lt;3, "0–2 Years", G3150&lt;6, "3–5 Years", G3150&lt;9, "6–8 Years", G3150&lt;12, "9-11 Years", G3150&gt;=12, "12-14 Years")</f>
        <v>0–2 Years</v>
      </c>
      <c r="J3150">
        <v>4</v>
      </c>
      <c r="K3150" t="s">
        <v>24</v>
      </c>
      <c r="L3150">
        <v>52500</v>
      </c>
      <c r="M3150">
        <v>3400</v>
      </c>
      <c r="N3150">
        <v>55900</v>
      </c>
      <c r="O3150" t="s">
        <v>25</v>
      </c>
      <c r="P3150" s="3">
        <v>45558</v>
      </c>
      <c r="Q3150" t="s">
        <v>28</v>
      </c>
    </row>
    <row r="3151" spans="1:17" x14ac:dyDescent="0.35">
      <c r="A3151" t="s">
        <v>3203</v>
      </c>
      <c r="B3151" t="s">
        <v>16</v>
      </c>
      <c r="C3151">
        <v>36</v>
      </c>
      <c r="D3151" t="s">
        <v>17</v>
      </c>
      <c r="E3151" t="s">
        <v>32</v>
      </c>
      <c r="F3151" t="s">
        <v>36</v>
      </c>
      <c r="G3151">
        <v>1.8</v>
      </c>
      <c r="H3151">
        <v>0</v>
      </c>
      <c r="I3151" t="str" cm="1">
        <f t="array" ref="I3151">_xlfn.IFS(G3151&lt;3, "0–2 Years", G3151&lt;6, "3–5 Years", G3151&lt;9, "6–8 Years", G3151&lt;12, "9-11 Years", G3151&gt;=12, "12-14 Years")</f>
        <v>0–2 Years</v>
      </c>
      <c r="J3151">
        <v>4</v>
      </c>
      <c r="K3151" t="s">
        <v>20</v>
      </c>
      <c r="L3151">
        <v>70100</v>
      </c>
      <c r="M3151">
        <v>9200</v>
      </c>
      <c r="N3151">
        <v>79300</v>
      </c>
      <c r="O3151" t="s">
        <v>21</v>
      </c>
      <c r="P3151" s="3">
        <v>45376</v>
      </c>
      <c r="Q3151" t="s">
        <v>36</v>
      </c>
    </row>
    <row r="3152" spans="1:17" x14ac:dyDescent="0.35">
      <c r="A3152" t="s">
        <v>3204</v>
      </c>
      <c r="B3152" t="s">
        <v>16</v>
      </c>
      <c r="C3152" s="7">
        <v>21</v>
      </c>
      <c r="D3152" t="s">
        <v>38</v>
      </c>
      <c r="E3152" t="s">
        <v>61</v>
      </c>
      <c r="F3152" t="s">
        <v>36</v>
      </c>
      <c r="G3152" s="9">
        <v>12.8</v>
      </c>
      <c r="H3152" s="7">
        <v>7.7</v>
      </c>
      <c r="I3152" t="str" cm="1">
        <f t="array" ref="I3152">_xlfn.IFS(G3152&lt;3, "0–2 Years", G3152&lt;6, "3–5 Years", G3152&lt;9, "6–8 Years", G3152&lt;12, "9-11 Years", G3152&gt;=12, "12-14 Years")</f>
        <v>12-14 Years</v>
      </c>
      <c r="J3152" s="7">
        <v>4</v>
      </c>
      <c r="K3152" t="s">
        <v>20</v>
      </c>
      <c r="L3152" s="7">
        <v>108100</v>
      </c>
      <c r="M3152" s="7">
        <v>8100</v>
      </c>
      <c r="N3152" s="7">
        <v>116200</v>
      </c>
      <c r="O3152" t="s">
        <v>57</v>
      </c>
      <c r="P3152" s="3">
        <v>41364</v>
      </c>
      <c r="Q3152" t="s">
        <v>36</v>
      </c>
    </row>
    <row r="3153" spans="1:17" x14ac:dyDescent="0.35">
      <c r="A3153" t="s">
        <v>3205</v>
      </c>
      <c r="B3153" t="s">
        <v>16</v>
      </c>
      <c r="C3153">
        <v>49</v>
      </c>
      <c r="D3153" t="s">
        <v>44</v>
      </c>
      <c r="E3153" t="s">
        <v>76</v>
      </c>
      <c r="F3153" t="s">
        <v>28</v>
      </c>
      <c r="G3153">
        <v>3.7</v>
      </c>
      <c r="H3153">
        <v>1.8</v>
      </c>
      <c r="I3153" t="str" cm="1">
        <f t="array" ref="I3153">_xlfn.IFS(G3153&lt;3, "0–2 Years", G3153&lt;6, "3–5 Years", G3153&lt;9, "6–8 Years", G3153&lt;12, "9-11 Years", G3153&gt;=12, "12-14 Years")</f>
        <v>3–5 Years</v>
      </c>
      <c r="J3153">
        <v>3</v>
      </c>
      <c r="K3153" t="s">
        <v>24</v>
      </c>
      <c r="L3153">
        <v>62500</v>
      </c>
      <c r="M3153">
        <v>8300</v>
      </c>
      <c r="N3153">
        <v>70800</v>
      </c>
      <c r="O3153" t="s">
        <v>25</v>
      </c>
      <c r="P3153" s="3">
        <v>44666</v>
      </c>
      <c r="Q3153" t="s">
        <v>28</v>
      </c>
    </row>
    <row r="3154" spans="1:17" x14ac:dyDescent="0.35">
      <c r="A3154" t="s">
        <v>3206</v>
      </c>
      <c r="B3154" t="s">
        <v>16</v>
      </c>
      <c r="C3154">
        <v>30</v>
      </c>
      <c r="D3154" t="s">
        <v>17</v>
      </c>
      <c r="E3154" t="s">
        <v>32</v>
      </c>
      <c r="F3154" t="s">
        <v>28</v>
      </c>
      <c r="G3154">
        <v>1.7</v>
      </c>
      <c r="H3154">
        <v>1.7</v>
      </c>
      <c r="I3154" t="str" cm="1">
        <f t="array" ref="I3154">_xlfn.IFS(G3154&lt;3, "0–2 Years", G3154&lt;6, "3–5 Years", G3154&lt;9, "6–8 Years", G3154&lt;12, "9-11 Years", G3154&gt;=12, "12-14 Years")</f>
        <v>0–2 Years</v>
      </c>
      <c r="J3154">
        <v>3</v>
      </c>
      <c r="K3154" t="s">
        <v>20</v>
      </c>
      <c r="L3154">
        <v>54300</v>
      </c>
      <c r="M3154">
        <v>5900</v>
      </c>
      <c r="N3154">
        <v>60200</v>
      </c>
      <c r="O3154" t="s">
        <v>25</v>
      </c>
      <c r="P3154" s="3">
        <v>45402</v>
      </c>
      <c r="Q3154" t="s">
        <v>28</v>
      </c>
    </row>
    <row r="3155" spans="1:17" x14ac:dyDescent="0.35">
      <c r="A3155" t="s">
        <v>3207</v>
      </c>
      <c r="B3155" t="s">
        <v>16</v>
      </c>
      <c r="C3155">
        <v>47</v>
      </c>
      <c r="D3155" t="s">
        <v>41</v>
      </c>
      <c r="E3155" t="s">
        <v>42</v>
      </c>
      <c r="F3155" t="s">
        <v>28</v>
      </c>
      <c r="G3155">
        <v>9.4</v>
      </c>
      <c r="H3155">
        <v>6.5</v>
      </c>
      <c r="I3155" t="str" cm="1">
        <f t="array" ref="I3155">_xlfn.IFS(G3155&lt;3, "0–2 Years", G3155&lt;6, "3–5 Years", G3155&lt;9, "6–8 Years", G3155&lt;12, "9-11 Years", G3155&gt;=12, "12-14 Years")</f>
        <v>9-11 Years</v>
      </c>
      <c r="J3155">
        <v>3</v>
      </c>
      <c r="K3155" t="s">
        <v>24</v>
      </c>
      <c r="L3155">
        <v>48700</v>
      </c>
      <c r="M3155">
        <v>2600</v>
      </c>
      <c r="N3155">
        <v>51300</v>
      </c>
      <c r="O3155" t="s">
        <v>65</v>
      </c>
      <c r="P3155" s="3">
        <v>42586</v>
      </c>
      <c r="Q3155" t="s">
        <v>28</v>
      </c>
    </row>
    <row r="3156" spans="1:17" x14ac:dyDescent="0.35">
      <c r="A3156" t="s">
        <v>3208</v>
      </c>
      <c r="B3156" t="s">
        <v>23</v>
      </c>
      <c r="C3156">
        <v>21</v>
      </c>
      <c r="D3156" t="s">
        <v>44</v>
      </c>
      <c r="E3156" t="s">
        <v>81</v>
      </c>
      <c r="F3156" t="s">
        <v>62</v>
      </c>
      <c r="G3156">
        <v>4.9000000000000004</v>
      </c>
      <c r="H3156">
        <v>2.7</v>
      </c>
      <c r="I3156" t="str" cm="1">
        <f t="array" ref="I3156">_xlfn.IFS(G3156&lt;3, "0–2 Years", G3156&lt;6, "3–5 Years", G3156&lt;9, "6–8 Years", G3156&lt;12, "9-11 Years", G3156&gt;=12, "12-14 Years")</f>
        <v>3–5 Years</v>
      </c>
      <c r="J3156">
        <v>3</v>
      </c>
      <c r="K3156" t="s">
        <v>20</v>
      </c>
      <c r="L3156">
        <v>93200</v>
      </c>
      <c r="M3156">
        <v>13400</v>
      </c>
      <c r="N3156">
        <v>106600</v>
      </c>
      <c r="O3156" t="s">
        <v>30</v>
      </c>
      <c r="P3156" s="3">
        <v>44245</v>
      </c>
      <c r="Q3156" t="s">
        <v>62</v>
      </c>
    </row>
    <row r="3157" spans="1:17" x14ac:dyDescent="0.35">
      <c r="A3157" t="s">
        <v>3209</v>
      </c>
      <c r="B3157" t="s">
        <v>16</v>
      </c>
      <c r="C3157" s="7">
        <v>37</v>
      </c>
      <c r="D3157" t="s">
        <v>55</v>
      </c>
      <c r="E3157" t="s">
        <v>92</v>
      </c>
      <c r="F3157" t="s">
        <v>28</v>
      </c>
      <c r="G3157" s="9">
        <v>13.1</v>
      </c>
      <c r="H3157" s="7">
        <v>8.1</v>
      </c>
      <c r="I3157" t="str" cm="1">
        <f t="array" ref="I3157">_xlfn.IFS(G3157&lt;3, "0–2 Years", G3157&lt;6, "3–5 Years", G3157&lt;9, "6–8 Years", G3157&lt;12, "9-11 Years", G3157&gt;=12, "12-14 Years")</f>
        <v>12-14 Years</v>
      </c>
      <c r="J3157" s="7">
        <v>3</v>
      </c>
      <c r="K3157" t="s">
        <v>20</v>
      </c>
      <c r="L3157" s="7">
        <v>95300</v>
      </c>
      <c r="M3157" s="7">
        <v>7500</v>
      </c>
      <c r="N3157" s="7">
        <v>102800</v>
      </c>
      <c r="O3157" t="s">
        <v>30</v>
      </c>
      <c r="P3157" s="3">
        <v>41229</v>
      </c>
      <c r="Q3157" t="s">
        <v>28</v>
      </c>
    </row>
    <row r="3158" spans="1:17" x14ac:dyDescent="0.35">
      <c r="A3158" t="s">
        <v>3210</v>
      </c>
      <c r="B3158" t="s">
        <v>23</v>
      </c>
      <c r="C3158" s="7">
        <v>38</v>
      </c>
      <c r="D3158" t="s">
        <v>17</v>
      </c>
      <c r="E3158" t="s">
        <v>27</v>
      </c>
      <c r="F3158" t="s">
        <v>28</v>
      </c>
      <c r="G3158" s="9">
        <v>12.5</v>
      </c>
      <c r="H3158" s="7">
        <v>7.1</v>
      </c>
      <c r="I3158" t="str" cm="1">
        <f t="array" ref="I3158">_xlfn.IFS(G3158&lt;3, "0–2 Years", G3158&lt;6, "3–5 Years", G3158&lt;9, "6–8 Years", G3158&lt;12, "9-11 Years", G3158&gt;=12, "12-14 Years")</f>
        <v>12-14 Years</v>
      </c>
      <c r="J3158" s="7">
        <v>3</v>
      </c>
      <c r="K3158" t="s">
        <v>20</v>
      </c>
      <c r="L3158" s="7">
        <v>77000</v>
      </c>
      <c r="M3158" s="7">
        <v>3700</v>
      </c>
      <c r="N3158" s="7">
        <v>80700</v>
      </c>
      <c r="O3158" t="s">
        <v>21</v>
      </c>
      <c r="P3158" s="3">
        <v>41474</v>
      </c>
      <c r="Q3158" t="s">
        <v>28</v>
      </c>
    </row>
    <row r="3159" spans="1:17" x14ac:dyDescent="0.35">
      <c r="A3159" t="s">
        <v>3211</v>
      </c>
      <c r="B3159" t="s">
        <v>23</v>
      </c>
      <c r="C3159">
        <v>38</v>
      </c>
      <c r="D3159" t="s">
        <v>38</v>
      </c>
      <c r="E3159" t="s">
        <v>61</v>
      </c>
      <c r="F3159" t="s">
        <v>19</v>
      </c>
      <c r="G3159">
        <v>8.5</v>
      </c>
      <c r="H3159">
        <v>5.0999999999999996</v>
      </c>
      <c r="I3159" t="str" cm="1">
        <f t="array" ref="I3159">_xlfn.IFS(G3159&lt;3, "0–2 Years", G3159&lt;6, "3–5 Years", G3159&lt;9, "6–8 Years", G3159&lt;12, "9-11 Years", G3159&gt;=12, "12-14 Years")</f>
        <v>6–8 Years</v>
      </c>
      <c r="J3159">
        <v>4</v>
      </c>
      <c r="K3159" t="s">
        <v>20</v>
      </c>
      <c r="L3159">
        <v>96100</v>
      </c>
      <c r="M3159">
        <v>9100</v>
      </c>
      <c r="N3159">
        <v>105200</v>
      </c>
      <c r="O3159" t="s">
        <v>30</v>
      </c>
      <c r="P3159" s="3">
        <v>42903</v>
      </c>
      <c r="Q3159" t="s">
        <v>19</v>
      </c>
    </row>
    <row r="3160" spans="1:17" x14ac:dyDescent="0.35">
      <c r="A3160" t="s">
        <v>3212</v>
      </c>
      <c r="B3160" t="s">
        <v>23</v>
      </c>
      <c r="C3160" s="7">
        <v>23</v>
      </c>
      <c r="D3160" t="s">
        <v>55</v>
      </c>
      <c r="E3160" t="s">
        <v>56</v>
      </c>
      <c r="F3160" t="s">
        <v>36</v>
      </c>
      <c r="G3160" s="9">
        <v>13.8</v>
      </c>
      <c r="H3160" s="7">
        <v>7.2</v>
      </c>
      <c r="I3160" t="str" cm="1">
        <f t="array" ref="I3160">_xlfn.IFS(G3160&lt;3, "0–2 Years", G3160&lt;6, "3–5 Years", G3160&lt;9, "6–8 Years", G3160&lt;12, "9-11 Years", G3160&gt;=12, "12-14 Years")</f>
        <v>12-14 Years</v>
      </c>
      <c r="J3160" s="7">
        <v>2</v>
      </c>
      <c r="K3160" t="s">
        <v>20</v>
      </c>
      <c r="L3160" s="7">
        <v>116100</v>
      </c>
      <c r="M3160" s="7">
        <v>11700</v>
      </c>
      <c r="N3160" s="7">
        <v>127800</v>
      </c>
      <c r="O3160" t="s">
        <v>57</v>
      </c>
      <c r="P3160" s="3">
        <v>40978</v>
      </c>
      <c r="Q3160" t="s">
        <v>36</v>
      </c>
    </row>
    <row r="3161" spans="1:17" x14ac:dyDescent="0.35">
      <c r="A3161" t="s">
        <v>3213</v>
      </c>
      <c r="B3161" t="s">
        <v>23</v>
      </c>
      <c r="C3161" s="7">
        <v>24</v>
      </c>
      <c r="D3161" t="s">
        <v>38</v>
      </c>
      <c r="E3161" t="s">
        <v>39</v>
      </c>
      <c r="F3161" t="s">
        <v>28</v>
      </c>
      <c r="G3161" s="9">
        <v>12.3</v>
      </c>
      <c r="H3161" s="7">
        <v>8.1999999999999993</v>
      </c>
      <c r="I3161" t="str" cm="1">
        <f t="array" ref="I3161">_xlfn.IFS(G3161&lt;3, "0–2 Years", G3161&lt;6, "3–5 Years", G3161&lt;9, "6–8 Years", G3161&lt;12, "9-11 Years", G3161&gt;=12, "12-14 Years")</f>
        <v>12-14 Years</v>
      </c>
      <c r="J3161" s="7">
        <v>1</v>
      </c>
      <c r="K3161" t="s">
        <v>24</v>
      </c>
      <c r="L3161" s="7">
        <v>48100</v>
      </c>
      <c r="M3161" s="7">
        <v>2100</v>
      </c>
      <c r="N3161" s="7">
        <v>50200</v>
      </c>
      <c r="O3161" t="s">
        <v>65</v>
      </c>
      <c r="P3161" s="3">
        <v>41540</v>
      </c>
      <c r="Q3161" t="s">
        <v>28</v>
      </c>
    </row>
    <row r="3162" spans="1:17" x14ac:dyDescent="0.35">
      <c r="A3162" t="s">
        <v>3214</v>
      </c>
      <c r="B3162" t="s">
        <v>16</v>
      </c>
      <c r="C3162">
        <v>41</v>
      </c>
      <c r="D3162" t="s">
        <v>55</v>
      </c>
      <c r="E3162" t="s">
        <v>56</v>
      </c>
      <c r="G3162">
        <v>10.199999999999999</v>
      </c>
      <c r="H3162">
        <v>5.6</v>
      </c>
      <c r="I3162" t="str" cm="1">
        <f t="array" ref="I3162">_xlfn.IFS(G3162&lt;3, "0–2 Years", G3162&lt;6, "3–5 Years", G3162&lt;9, "6–8 Years", G3162&lt;12, "9-11 Years", G3162&gt;=12, "12-14 Years")</f>
        <v>9-11 Years</v>
      </c>
      <c r="J3162">
        <v>3</v>
      </c>
      <c r="K3162" t="s">
        <v>24</v>
      </c>
      <c r="L3162">
        <v>64700</v>
      </c>
      <c r="M3162">
        <v>9600</v>
      </c>
      <c r="N3162">
        <v>74300</v>
      </c>
      <c r="O3162" t="s">
        <v>25</v>
      </c>
      <c r="P3162" s="3">
        <v>42315</v>
      </c>
      <c r="Q3162" t="s">
        <v>5104</v>
      </c>
    </row>
    <row r="3163" spans="1:17" x14ac:dyDescent="0.35">
      <c r="A3163" t="s">
        <v>3215</v>
      </c>
      <c r="B3163" t="s">
        <v>16</v>
      </c>
      <c r="C3163">
        <v>51</v>
      </c>
      <c r="D3163" t="s">
        <v>17</v>
      </c>
      <c r="E3163" t="s">
        <v>18</v>
      </c>
      <c r="F3163" t="s">
        <v>62</v>
      </c>
      <c r="G3163">
        <v>7.4</v>
      </c>
      <c r="H3163">
        <v>3.9</v>
      </c>
      <c r="I3163" t="str" cm="1">
        <f t="array" ref="I3163">_xlfn.IFS(G3163&lt;3, "0–2 Years", G3163&lt;6, "3–5 Years", G3163&lt;9, "6–8 Years", G3163&lt;12, "9-11 Years", G3163&gt;=12, "12-14 Years")</f>
        <v>6–8 Years</v>
      </c>
      <c r="J3163">
        <v>5</v>
      </c>
      <c r="K3163" t="s">
        <v>20</v>
      </c>
      <c r="L3163">
        <v>99000</v>
      </c>
      <c r="M3163">
        <v>8900</v>
      </c>
      <c r="N3163">
        <v>107900</v>
      </c>
      <c r="O3163" t="s">
        <v>30</v>
      </c>
      <c r="P3163" s="3">
        <v>43329</v>
      </c>
      <c r="Q3163" t="s">
        <v>62</v>
      </c>
    </row>
    <row r="3164" spans="1:17" x14ac:dyDescent="0.35">
      <c r="A3164" t="s">
        <v>3216</v>
      </c>
      <c r="B3164" t="s">
        <v>16</v>
      </c>
      <c r="C3164">
        <v>26</v>
      </c>
      <c r="D3164" t="s">
        <v>55</v>
      </c>
      <c r="E3164" t="s">
        <v>56</v>
      </c>
      <c r="F3164" t="s">
        <v>36</v>
      </c>
      <c r="G3164">
        <v>7.8</v>
      </c>
      <c r="H3164">
        <v>3.9</v>
      </c>
      <c r="I3164" t="str" cm="1">
        <f t="array" ref="I3164">_xlfn.IFS(G3164&lt;3, "0–2 Years", G3164&lt;6, "3–5 Years", G3164&lt;9, "6–8 Years", G3164&lt;12, "9-11 Years", G3164&gt;=12, "12-14 Years")</f>
        <v>6–8 Years</v>
      </c>
      <c r="J3164">
        <v>3</v>
      </c>
      <c r="K3164" t="s">
        <v>20</v>
      </c>
      <c r="L3164">
        <v>105400</v>
      </c>
      <c r="M3164">
        <v>19100</v>
      </c>
      <c r="N3164">
        <v>124500</v>
      </c>
      <c r="O3164" t="s">
        <v>57</v>
      </c>
      <c r="P3164" s="3">
        <v>43168</v>
      </c>
      <c r="Q3164" t="s">
        <v>36</v>
      </c>
    </row>
    <row r="3165" spans="1:17" x14ac:dyDescent="0.35">
      <c r="A3165" t="s">
        <v>3217</v>
      </c>
      <c r="B3165" t="s">
        <v>23</v>
      </c>
      <c r="C3165">
        <v>34</v>
      </c>
      <c r="D3165" t="s">
        <v>44</v>
      </c>
      <c r="E3165" t="s">
        <v>51</v>
      </c>
      <c r="F3165" t="s">
        <v>28</v>
      </c>
      <c r="G3165">
        <v>5</v>
      </c>
      <c r="H3165">
        <v>4.2</v>
      </c>
      <c r="I3165" t="str" cm="1">
        <f t="array" ref="I3165">_xlfn.IFS(G3165&lt;3, "0–2 Years", G3165&lt;6, "3–5 Years", G3165&lt;9, "6–8 Years", G3165&lt;12, "9-11 Years", G3165&gt;=12, "12-14 Years")</f>
        <v>3–5 Years</v>
      </c>
      <c r="J3165">
        <v>3</v>
      </c>
      <c r="K3165" t="s">
        <v>20</v>
      </c>
      <c r="L3165">
        <v>85100</v>
      </c>
      <c r="M3165">
        <v>10100</v>
      </c>
      <c r="N3165">
        <v>95200</v>
      </c>
      <c r="O3165" t="s">
        <v>30</v>
      </c>
      <c r="P3165" s="3">
        <v>44179</v>
      </c>
      <c r="Q3165" t="s">
        <v>28</v>
      </c>
    </row>
    <row r="3166" spans="1:17" x14ac:dyDescent="0.35">
      <c r="A3166" t="s">
        <v>3218</v>
      </c>
      <c r="B3166" t="s">
        <v>16</v>
      </c>
      <c r="C3166">
        <v>45</v>
      </c>
      <c r="D3166" t="s">
        <v>38</v>
      </c>
      <c r="E3166" t="s">
        <v>112</v>
      </c>
      <c r="F3166" t="s">
        <v>28</v>
      </c>
      <c r="G3166">
        <v>10.8</v>
      </c>
      <c r="H3166">
        <v>6.1</v>
      </c>
      <c r="I3166" t="str" cm="1">
        <f t="array" ref="I3166">_xlfn.IFS(G3166&lt;3, "0–2 Years", G3166&lt;6, "3–5 Years", G3166&lt;9, "6–8 Years", G3166&lt;12, "9-11 Years", G3166&gt;=12, "12-14 Years")</f>
        <v>9-11 Years</v>
      </c>
      <c r="J3166">
        <v>4</v>
      </c>
      <c r="K3166" t="s">
        <v>20</v>
      </c>
      <c r="L3166">
        <v>84400</v>
      </c>
      <c r="M3166">
        <v>6600</v>
      </c>
      <c r="N3166">
        <v>91000</v>
      </c>
      <c r="O3166" t="s">
        <v>30</v>
      </c>
      <c r="P3166" s="3">
        <v>42088</v>
      </c>
      <c r="Q3166" t="s">
        <v>28</v>
      </c>
    </row>
    <row r="3167" spans="1:17" x14ac:dyDescent="0.35">
      <c r="A3167" t="s">
        <v>3219</v>
      </c>
      <c r="B3167" t="s">
        <v>23</v>
      </c>
      <c r="C3167">
        <v>42</v>
      </c>
      <c r="D3167" t="s">
        <v>44</v>
      </c>
      <c r="E3167" t="s">
        <v>51</v>
      </c>
      <c r="F3167" t="s">
        <v>36</v>
      </c>
      <c r="G3167">
        <v>6.7</v>
      </c>
      <c r="H3167">
        <v>4.5999999999999996</v>
      </c>
      <c r="I3167" t="str" cm="1">
        <f t="array" ref="I3167">_xlfn.IFS(G3167&lt;3, "0–2 Years", G3167&lt;6, "3–5 Years", G3167&lt;9, "6–8 Years", G3167&lt;12, "9-11 Years", G3167&gt;=12, "12-14 Years")</f>
        <v>6–8 Years</v>
      </c>
      <c r="J3167">
        <v>3</v>
      </c>
      <c r="K3167" t="s">
        <v>20</v>
      </c>
      <c r="L3167">
        <v>90100</v>
      </c>
      <c r="M3167">
        <v>11100</v>
      </c>
      <c r="N3167">
        <v>101200</v>
      </c>
      <c r="O3167" t="s">
        <v>30</v>
      </c>
      <c r="P3167" s="3">
        <v>43592</v>
      </c>
      <c r="Q3167" t="s">
        <v>36</v>
      </c>
    </row>
    <row r="3168" spans="1:17" x14ac:dyDescent="0.35">
      <c r="A3168" t="s">
        <v>3220</v>
      </c>
      <c r="B3168" t="s">
        <v>16</v>
      </c>
      <c r="C3168" s="7">
        <v>49</v>
      </c>
      <c r="D3168" t="s">
        <v>55</v>
      </c>
      <c r="E3168" t="s">
        <v>92</v>
      </c>
      <c r="F3168" t="s">
        <v>28</v>
      </c>
      <c r="G3168" s="9">
        <v>12.4</v>
      </c>
      <c r="H3168" s="7">
        <v>7.9</v>
      </c>
      <c r="I3168" t="str" cm="1">
        <f t="array" ref="I3168">_xlfn.IFS(G3168&lt;3, "0–2 Years", G3168&lt;6, "3–5 Years", G3168&lt;9, "6–8 Years", G3168&lt;12, "9-11 Years", G3168&gt;=12, "12-14 Years")</f>
        <v>12-14 Years</v>
      </c>
      <c r="J3168" s="7">
        <v>4</v>
      </c>
      <c r="K3168" t="s">
        <v>69</v>
      </c>
      <c r="L3168" s="7">
        <v>104400</v>
      </c>
      <c r="M3168" s="7">
        <v>8000</v>
      </c>
      <c r="N3168" s="7">
        <v>112400</v>
      </c>
      <c r="O3168" t="s">
        <v>57</v>
      </c>
      <c r="P3168" s="3">
        <v>41484</v>
      </c>
      <c r="Q3168" t="s">
        <v>28</v>
      </c>
    </row>
    <row r="3169" spans="1:17" x14ac:dyDescent="0.35">
      <c r="A3169" t="s">
        <v>3221</v>
      </c>
      <c r="B3169" t="s">
        <v>16</v>
      </c>
      <c r="C3169">
        <v>50</v>
      </c>
      <c r="D3169" t="s">
        <v>34</v>
      </c>
      <c r="E3169" t="s">
        <v>47</v>
      </c>
      <c r="F3169" t="s">
        <v>36</v>
      </c>
      <c r="G3169">
        <v>6.4</v>
      </c>
      <c r="H3169">
        <v>1.4</v>
      </c>
      <c r="I3169" t="str" cm="1">
        <f t="array" ref="I3169">_xlfn.IFS(G3169&lt;3, "0–2 Years", G3169&lt;6, "3–5 Years", G3169&lt;9, "6–8 Years", G3169&lt;12, "9-11 Years", G3169&gt;=12, "12-14 Years")</f>
        <v>6–8 Years</v>
      </c>
      <c r="J3169">
        <v>3</v>
      </c>
      <c r="K3169" t="s">
        <v>20</v>
      </c>
      <c r="L3169">
        <v>93400</v>
      </c>
      <c r="M3169">
        <v>10900</v>
      </c>
      <c r="N3169">
        <v>104300</v>
      </c>
      <c r="O3169" t="s">
        <v>30</v>
      </c>
      <c r="P3169" s="3">
        <v>43680</v>
      </c>
      <c r="Q3169" t="s">
        <v>36</v>
      </c>
    </row>
    <row r="3170" spans="1:17" x14ac:dyDescent="0.35">
      <c r="A3170" t="s">
        <v>3222</v>
      </c>
      <c r="B3170" t="s">
        <v>16</v>
      </c>
      <c r="C3170" s="7">
        <v>32</v>
      </c>
      <c r="D3170" t="s">
        <v>17</v>
      </c>
      <c r="E3170" t="s">
        <v>32</v>
      </c>
      <c r="F3170" t="s">
        <v>28</v>
      </c>
      <c r="G3170" s="9">
        <v>12.3</v>
      </c>
      <c r="H3170" s="7">
        <v>8.1</v>
      </c>
      <c r="I3170" t="str" cm="1">
        <f t="array" ref="I3170">_xlfn.IFS(G3170&lt;3, "0–2 Years", G3170&lt;6, "3–5 Years", G3170&lt;9, "6–8 Years", G3170&lt;12, "9-11 Years", G3170&gt;=12, "12-14 Years")</f>
        <v>12-14 Years</v>
      </c>
      <c r="J3170" s="7">
        <v>4</v>
      </c>
      <c r="K3170" t="s">
        <v>20</v>
      </c>
      <c r="L3170" s="7">
        <v>81400</v>
      </c>
      <c r="M3170" s="7">
        <v>10600</v>
      </c>
      <c r="N3170" s="7">
        <v>92000</v>
      </c>
      <c r="O3170" t="s">
        <v>30</v>
      </c>
      <c r="P3170" s="3">
        <v>41524</v>
      </c>
      <c r="Q3170" t="s">
        <v>28</v>
      </c>
    </row>
    <row r="3171" spans="1:17" x14ac:dyDescent="0.35">
      <c r="A3171" t="s">
        <v>3223</v>
      </c>
      <c r="B3171" t="s">
        <v>16</v>
      </c>
      <c r="C3171">
        <v>26</v>
      </c>
      <c r="D3171" t="s">
        <v>34</v>
      </c>
      <c r="E3171" t="s">
        <v>47</v>
      </c>
      <c r="F3171" t="s">
        <v>28</v>
      </c>
      <c r="G3171">
        <v>2.2000000000000002</v>
      </c>
      <c r="H3171">
        <v>1.6</v>
      </c>
      <c r="I3171" t="str" cm="1">
        <f t="array" ref="I3171">_xlfn.IFS(G3171&lt;3, "0–2 Years", G3171&lt;6, "3–5 Years", G3171&lt;9, "6–8 Years", G3171&lt;12, "9-11 Years", G3171&gt;=12, "12-14 Years")</f>
        <v>0–2 Years</v>
      </c>
      <c r="J3171">
        <v>4</v>
      </c>
      <c r="K3171" t="s">
        <v>24</v>
      </c>
      <c r="L3171">
        <v>53300</v>
      </c>
      <c r="M3171">
        <v>3100</v>
      </c>
      <c r="N3171">
        <v>56400</v>
      </c>
      <c r="O3171" t="s">
        <v>25</v>
      </c>
      <c r="P3171" s="3">
        <v>45206</v>
      </c>
      <c r="Q3171" t="s">
        <v>28</v>
      </c>
    </row>
    <row r="3172" spans="1:17" x14ac:dyDescent="0.35">
      <c r="A3172" t="s">
        <v>3224</v>
      </c>
      <c r="B3172" t="s">
        <v>23</v>
      </c>
      <c r="C3172" s="7">
        <v>39</v>
      </c>
      <c r="D3172" t="s">
        <v>34</v>
      </c>
      <c r="E3172" t="s">
        <v>47</v>
      </c>
      <c r="F3172" t="s">
        <v>36</v>
      </c>
      <c r="G3172" s="9">
        <v>12.4</v>
      </c>
      <c r="H3172" s="7">
        <v>8.9</v>
      </c>
      <c r="I3172" t="str" cm="1">
        <f t="array" ref="I3172">_xlfn.IFS(G3172&lt;3, "0–2 Years", G3172&lt;6, "3–5 Years", G3172&lt;9, "6–8 Years", G3172&lt;12, "9-11 Years", G3172&gt;=12, "12-14 Years")</f>
        <v>12-14 Years</v>
      </c>
      <c r="J3172" s="7">
        <v>4</v>
      </c>
      <c r="K3172" t="s">
        <v>20</v>
      </c>
      <c r="L3172" s="7">
        <v>94900</v>
      </c>
      <c r="M3172" s="7">
        <v>4600</v>
      </c>
      <c r="N3172" s="7">
        <v>99500</v>
      </c>
      <c r="O3172" t="s">
        <v>30</v>
      </c>
      <c r="P3172" s="3">
        <v>41484</v>
      </c>
      <c r="Q3172" t="s">
        <v>36</v>
      </c>
    </row>
    <row r="3173" spans="1:17" x14ac:dyDescent="0.35">
      <c r="A3173" t="s">
        <v>3225</v>
      </c>
      <c r="B3173" t="s">
        <v>16</v>
      </c>
      <c r="C3173">
        <v>24</v>
      </c>
      <c r="D3173" t="s">
        <v>41</v>
      </c>
      <c r="E3173" t="s">
        <v>67</v>
      </c>
      <c r="F3173" t="s">
        <v>36</v>
      </c>
      <c r="G3173">
        <v>2.2000000000000002</v>
      </c>
      <c r="H3173">
        <v>0</v>
      </c>
      <c r="I3173" t="str" cm="1">
        <f t="array" ref="I3173">_xlfn.IFS(G3173&lt;3, "0–2 Years", G3173&lt;6, "3–5 Years", G3173&lt;9, "6–8 Years", G3173&lt;12, "9-11 Years", G3173&gt;=12, "12-14 Years")</f>
        <v>0–2 Years</v>
      </c>
      <c r="J3173">
        <v>5</v>
      </c>
      <c r="K3173" t="s">
        <v>20</v>
      </c>
      <c r="L3173">
        <v>70200</v>
      </c>
      <c r="M3173">
        <v>2900</v>
      </c>
      <c r="N3173">
        <v>73100</v>
      </c>
      <c r="O3173" t="s">
        <v>21</v>
      </c>
      <c r="P3173" s="3">
        <v>45237</v>
      </c>
      <c r="Q3173" t="s">
        <v>36</v>
      </c>
    </row>
    <row r="3174" spans="1:17" x14ac:dyDescent="0.35">
      <c r="A3174" t="s">
        <v>3226</v>
      </c>
      <c r="B3174" t="s">
        <v>16</v>
      </c>
      <c r="C3174">
        <v>45</v>
      </c>
      <c r="D3174" t="s">
        <v>41</v>
      </c>
      <c r="E3174" t="s">
        <v>67</v>
      </c>
      <c r="F3174" t="s">
        <v>28</v>
      </c>
      <c r="G3174">
        <v>8</v>
      </c>
      <c r="H3174">
        <v>7.1</v>
      </c>
      <c r="I3174" t="str" cm="1">
        <f t="array" ref="I3174">_xlfn.IFS(G3174&lt;3, "0–2 Years", G3174&lt;6, "3–5 Years", G3174&lt;9, "6–8 Years", G3174&lt;12, "9-11 Years", G3174&gt;=12, "12-14 Years")</f>
        <v>6–8 Years</v>
      </c>
      <c r="J3174">
        <v>3</v>
      </c>
      <c r="K3174" t="s">
        <v>20</v>
      </c>
      <c r="L3174">
        <v>78200</v>
      </c>
      <c r="M3174">
        <v>4900</v>
      </c>
      <c r="N3174">
        <v>83100</v>
      </c>
      <c r="O3174" t="s">
        <v>21</v>
      </c>
      <c r="P3174" s="3">
        <v>43089</v>
      </c>
      <c r="Q3174" t="s">
        <v>28</v>
      </c>
    </row>
    <row r="3175" spans="1:17" x14ac:dyDescent="0.35">
      <c r="A3175" t="s">
        <v>3227</v>
      </c>
      <c r="B3175" t="s">
        <v>23</v>
      </c>
      <c r="C3175">
        <v>55</v>
      </c>
      <c r="D3175" t="s">
        <v>34</v>
      </c>
      <c r="E3175" t="s">
        <v>35</v>
      </c>
      <c r="F3175" t="s">
        <v>28</v>
      </c>
      <c r="G3175">
        <v>8.4</v>
      </c>
      <c r="H3175">
        <v>3.8</v>
      </c>
      <c r="I3175" t="str" cm="1">
        <f t="array" ref="I3175">_xlfn.IFS(G3175&lt;3, "0–2 Years", G3175&lt;6, "3–5 Years", G3175&lt;9, "6–8 Years", G3175&lt;12, "9-11 Years", G3175&gt;=12, "12-14 Years")</f>
        <v>6–8 Years</v>
      </c>
      <c r="J3175">
        <v>5</v>
      </c>
      <c r="K3175" t="s">
        <v>20</v>
      </c>
      <c r="L3175">
        <v>81700</v>
      </c>
      <c r="M3175">
        <v>4200</v>
      </c>
      <c r="N3175">
        <v>85900</v>
      </c>
      <c r="O3175" t="s">
        <v>30</v>
      </c>
      <c r="P3175" s="3">
        <v>42949</v>
      </c>
      <c r="Q3175" t="s">
        <v>28</v>
      </c>
    </row>
    <row r="3176" spans="1:17" x14ac:dyDescent="0.35">
      <c r="A3176" t="s">
        <v>3228</v>
      </c>
      <c r="B3176" t="s">
        <v>23</v>
      </c>
      <c r="C3176">
        <v>38</v>
      </c>
      <c r="D3176" t="s">
        <v>38</v>
      </c>
      <c r="E3176" t="s">
        <v>112</v>
      </c>
      <c r="F3176" t="s">
        <v>28</v>
      </c>
      <c r="G3176">
        <v>2.4</v>
      </c>
      <c r="H3176">
        <v>1.5</v>
      </c>
      <c r="I3176" t="str" cm="1">
        <f t="array" ref="I3176">_xlfn.IFS(G3176&lt;3, "0–2 Years", G3176&lt;6, "3–5 Years", G3176&lt;9, "6–8 Years", G3176&lt;12, "9-11 Years", G3176&gt;=12, "12-14 Years")</f>
        <v>0–2 Years</v>
      </c>
      <c r="J3176">
        <v>3</v>
      </c>
      <c r="K3176" t="s">
        <v>20</v>
      </c>
      <c r="L3176">
        <v>59100</v>
      </c>
      <c r="M3176">
        <v>6000</v>
      </c>
      <c r="N3176">
        <v>65100</v>
      </c>
      <c r="O3176" t="s">
        <v>25</v>
      </c>
      <c r="P3176" s="3">
        <v>45159</v>
      </c>
      <c r="Q3176" t="s">
        <v>28</v>
      </c>
    </row>
    <row r="3177" spans="1:17" x14ac:dyDescent="0.35">
      <c r="A3177" t="s">
        <v>3229</v>
      </c>
      <c r="B3177" t="s">
        <v>16</v>
      </c>
      <c r="C3177">
        <v>36</v>
      </c>
      <c r="D3177" t="s">
        <v>41</v>
      </c>
      <c r="E3177" t="s">
        <v>42</v>
      </c>
      <c r="F3177" t="s">
        <v>36</v>
      </c>
      <c r="G3177">
        <v>1.1000000000000001</v>
      </c>
      <c r="H3177">
        <v>1.1000000000000001</v>
      </c>
      <c r="I3177" t="str" cm="1">
        <f t="array" ref="I3177">_xlfn.IFS(G3177&lt;3, "0–2 Years", G3177&lt;6, "3–5 Years", G3177&lt;9, "6–8 Years", G3177&lt;12, "9-11 Years", G3177&gt;=12, "12-14 Years")</f>
        <v>0–2 Years</v>
      </c>
      <c r="J3177">
        <v>4</v>
      </c>
      <c r="K3177" t="s">
        <v>20</v>
      </c>
      <c r="L3177">
        <v>66700</v>
      </c>
      <c r="M3177">
        <v>2500</v>
      </c>
      <c r="N3177">
        <v>69200</v>
      </c>
      <c r="O3177" t="s">
        <v>21</v>
      </c>
      <c r="P3177" s="3">
        <v>45613</v>
      </c>
      <c r="Q3177" t="s">
        <v>36</v>
      </c>
    </row>
    <row r="3178" spans="1:17" x14ac:dyDescent="0.35">
      <c r="A3178" t="s">
        <v>3230</v>
      </c>
      <c r="B3178" t="s">
        <v>16</v>
      </c>
      <c r="C3178">
        <v>37</v>
      </c>
      <c r="D3178" t="s">
        <v>17</v>
      </c>
      <c r="E3178" t="s">
        <v>27</v>
      </c>
      <c r="F3178" t="s">
        <v>28</v>
      </c>
      <c r="G3178">
        <v>10.6</v>
      </c>
      <c r="H3178">
        <v>7.7</v>
      </c>
      <c r="I3178" t="str" cm="1">
        <f t="array" ref="I3178">_xlfn.IFS(G3178&lt;3, "0–2 Years", G3178&lt;6, "3–5 Years", G3178&lt;9, "6–8 Years", G3178&lt;12, "9-11 Years", G3178&gt;=12, "12-14 Years")</f>
        <v>9-11 Years</v>
      </c>
      <c r="J3178">
        <v>4</v>
      </c>
      <c r="K3178" t="s">
        <v>20</v>
      </c>
      <c r="L3178">
        <v>83400</v>
      </c>
      <c r="M3178">
        <v>8800</v>
      </c>
      <c r="N3178">
        <v>92200</v>
      </c>
      <c r="O3178" t="s">
        <v>30</v>
      </c>
      <c r="P3178" s="3">
        <v>42151</v>
      </c>
      <c r="Q3178" t="s">
        <v>28</v>
      </c>
    </row>
    <row r="3179" spans="1:17" x14ac:dyDescent="0.35">
      <c r="A3179" t="s">
        <v>3231</v>
      </c>
      <c r="B3179" t="s">
        <v>16</v>
      </c>
      <c r="C3179">
        <v>41</v>
      </c>
      <c r="D3179" t="s">
        <v>38</v>
      </c>
      <c r="E3179" t="s">
        <v>112</v>
      </c>
      <c r="F3179" t="s">
        <v>28</v>
      </c>
      <c r="G3179">
        <v>2.2000000000000002</v>
      </c>
      <c r="H3179">
        <v>1.1000000000000001</v>
      </c>
      <c r="I3179" t="str" cm="1">
        <f t="array" ref="I3179">_xlfn.IFS(G3179&lt;3, "0–2 Years", G3179&lt;6, "3–5 Years", G3179&lt;9, "6–8 Years", G3179&lt;12, "9-11 Years", G3179&gt;=12, "12-14 Years")</f>
        <v>0–2 Years</v>
      </c>
      <c r="J3179">
        <v>4</v>
      </c>
      <c r="K3179" t="s">
        <v>24</v>
      </c>
      <c r="L3179">
        <v>40600</v>
      </c>
      <c r="M3179">
        <v>3700</v>
      </c>
      <c r="N3179">
        <v>44300</v>
      </c>
      <c r="O3179" t="s">
        <v>65</v>
      </c>
      <c r="P3179" s="3">
        <v>45237</v>
      </c>
      <c r="Q3179" t="s">
        <v>28</v>
      </c>
    </row>
    <row r="3180" spans="1:17" x14ac:dyDescent="0.35">
      <c r="A3180" t="s">
        <v>3232</v>
      </c>
      <c r="B3180" t="s">
        <v>16</v>
      </c>
      <c r="C3180" s="7">
        <v>37</v>
      </c>
      <c r="D3180" t="s">
        <v>44</v>
      </c>
      <c r="E3180" t="s">
        <v>76</v>
      </c>
      <c r="F3180" t="s">
        <v>28</v>
      </c>
      <c r="G3180" s="9">
        <v>13.6</v>
      </c>
      <c r="H3180" s="7">
        <v>12.6</v>
      </c>
      <c r="I3180" t="str" cm="1">
        <f t="array" ref="I3180">_xlfn.IFS(G3180&lt;3, "0–2 Years", G3180&lt;6, "3–5 Years", G3180&lt;9, "6–8 Years", G3180&lt;12, "9-11 Years", G3180&gt;=12, "12-14 Years")</f>
        <v>12-14 Years</v>
      </c>
      <c r="J3180" s="7">
        <v>2</v>
      </c>
      <c r="K3180" t="s">
        <v>20</v>
      </c>
      <c r="L3180" s="7">
        <v>109700</v>
      </c>
      <c r="M3180" s="7">
        <v>14500</v>
      </c>
      <c r="N3180" s="7">
        <v>124200</v>
      </c>
      <c r="O3180" t="s">
        <v>57</v>
      </c>
      <c r="P3180" s="3">
        <v>41057</v>
      </c>
      <c r="Q3180" t="s">
        <v>28</v>
      </c>
    </row>
    <row r="3181" spans="1:17" x14ac:dyDescent="0.35">
      <c r="A3181" t="s">
        <v>3233</v>
      </c>
      <c r="B3181" t="s">
        <v>16</v>
      </c>
      <c r="C3181" s="7">
        <v>28</v>
      </c>
      <c r="D3181" t="s">
        <v>41</v>
      </c>
      <c r="E3181" t="s">
        <v>67</v>
      </c>
      <c r="F3181" t="s">
        <v>28</v>
      </c>
      <c r="G3181" s="9">
        <v>13.2</v>
      </c>
      <c r="H3181" s="7">
        <v>7.3</v>
      </c>
      <c r="I3181" t="str" cm="1">
        <f t="array" ref="I3181">_xlfn.IFS(G3181&lt;3, "0–2 Years", G3181&lt;6, "3–5 Years", G3181&lt;9, "6–8 Years", G3181&lt;12, "9-11 Years", G3181&gt;=12, "12-14 Years")</f>
        <v>12-14 Years</v>
      </c>
      <c r="J3181" s="7">
        <v>3</v>
      </c>
      <c r="K3181" t="s">
        <v>24</v>
      </c>
      <c r="L3181" s="7">
        <v>41800</v>
      </c>
      <c r="M3181" s="7">
        <v>2200</v>
      </c>
      <c r="N3181" s="7">
        <v>44000</v>
      </c>
      <c r="O3181" t="s">
        <v>65</v>
      </c>
      <c r="P3181" s="3">
        <v>41189</v>
      </c>
      <c r="Q3181" t="s">
        <v>28</v>
      </c>
    </row>
    <row r="3182" spans="1:17" x14ac:dyDescent="0.35">
      <c r="A3182" t="s">
        <v>3234</v>
      </c>
      <c r="B3182" t="s">
        <v>16</v>
      </c>
      <c r="C3182">
        <v>26</v>
      </c>
      <c r="D3182" t="s">
        <v>17</v>
      </c>
      <c r="E3182" t="s">
        <v>32</v>
      </c>
      <c r="F3182" t="s">
        <v>28</v>
      </c>
      <c r="G3182">
        <v>10.199999999999999</v>
      </c>
      <c r="H3182">
        <v>8.4</v>
      </c>
      <c r="I3182" t="str" cm="1">
        <f t="array" ref="I3182">_xlfn.IFS(G3182&lt;3, "0–2 Years", G3182&lt;6, "3–5 Years", G3182&lt;9, "6–8 Years", G3182&lt;12, "9-11 Years", G3182&gt;=12, "12-14 Years")</f>
        <v>9-11 Years</v>
      </c>
      <c r="J3182">
        <v>3</v>
      </c>
      <c r="K3182" t="s">
        <v>20</v>
      </c>
      <c r="L3182">
        <v>69600</v>
      </c>
      <c r="M3182">
        <v>8700</v>
      </c>
      <c r="N3182">
        <v>78300</v>
      </c>
      <c r="O3182" t="s">
        <v>21</v>
      </c>
      <c r="P3182" s="3">
        <v>42300</v>
      </c>
      <c r="Q3182" t="s">
        <v>28</v>
      </c>
    </row>
    <row r="3183" spans="1:17" x14ac:dyDescent="0.35">
      <c r="A3183" t="s">
        <v>3235</v>
      </c>
      <c r="B3183" t="s">
        <v>16</v>
      </c>
      <c r="C3183">
        <v>34</v>
      </c>
      <c r="D3183" t="s">
        <v>34</v>
      </c>
      <c r="E3183" t="s">
        <v>35</v>
      </c>
      <c r="F3183" t="s">
        <v>28</v>
      </c>
      <c r="G3183">
        <v>9.6999999999999993</v>
      </c>
      <c r="H3183">
        <v>4.0999999999999996</v>
      </c>
      <c r="I3183" t="str" cm="1">
        <f t="array" ref="I3183">_xlfn.IFS(G3183&lt;3, "0–2 Years", G3183&lt;6, "3–5 Years", G3183&lt;9, "6–8 Years", G3183&lt;12, "9-11 Years", G3183&gt;=12, "12-14 Years")</f>
        <v>9-11 Years</v>
      </c>
      <c r="J3183">
        <v>4</v>
      </c>
      <c r="K3183" t="s">
        <v>20</v>
      </c>
      <c r="L3183">
        <v>85700</v>
      </c>
      <c r="M3183">
        <v>6500</v>
      </c>
      <c r="N3183">
        <v>92200</v>
      </c>
      <c r="O3183" t="s">
        <v>30</v>
      </c>
      <c r="P3183" s="3">
        <v>42495</v>
      </c>
      <c r="Q3183" t="s">
        <v>28</v>
      </c>
    </row>
    <row r="3184" spans="1:17" x14ac:dyDescent="0.35">
      <c r="A3184" t="s">
        <v>3236</v>
      </c>
      <c r="B3184" t="s">
        <v>23</v>
      </c>
      <c r="C3184">
        <v>34</v>
      </c>
      <c r="D3184" t="s">
        <v>55</v>
      </c>
      <c r="E3184" t="s">
        <v>92</v>
      </c>
      <c r="F3184" t="s">
        <v>19</v>
      </c>
      <c r="G3184">
        <v>9.1999999999999993</v>
      </c>
      <c r="H3184">
        <v>5.2</v>
      </c>
      <c r="I3184" t="str" cm="1">
        <f t="array" ref="I3184">_xlfn.IFS(G3184&lt;3, "0–2 Years", G3184&lt;6, "3–5 Years", G3184&lt;9, "6–8 Years", G3184&lt;12, "9-11 Years", G3184&gt;=12, "12-14 Years")</f>
        <v>9-11 Years</v>
      </c>
      <c r="J3184">
        <v>2</v>
      </c>
      <c r="K3184" t="s">
        <v>20</v>
      </c>
      <c r="L3184">
        <v>93900</v>
      </c>
      <c r="M3184">
        <v>18500</v>
      </c>
      <c r="N3184">
        <v>112400</v>
      </c>
      <c r="O3184" t="s">
        <v>30</v>
      </c>
      <c r="P3184" s="3">
        <v>42676</v>
      </c>
      <c r="Q3184" t="s">
        <v>19</v>
      </c>
    </row>
    <row r="3185" spans="1:17" x14ac:dyDescent="0.35">
      <c r="A3185" t="s">
        <v>3237</v>
      </c>
      <c r="B3185" t="s">
        <v>16</v>
      </c>
      <c r="C3185">
        <v>42</v>
      </c>
      <c r="D3185" t="s">
        <v>38</v>
      </c>
      <c r="E3185" t="s">
        <v>61</v>
      </c>
      <c r="F3185" t="s">
        <v>62</v>
      </c>
      <c r="G3185">
        <v>5.6</v>
      </c>
      <c r="H3185">
        <v>4.0999999999999996</v>
      </c>
      <c r="I3185" t="str" cm="1">
        <f t="array" ref="I3185">_xlfn.IFS(G3185&lt;3, "0–2 Years", G3185&lt;6, "3–5 Years", G3185&lt;9, "6–8 Years", G3185&lt;12, "9-11 Years", G3185&gt;=12, "12-14 Years")</f>
        <v>3–5 Years</v>
      </c>
      <c r="J3185">
        <v>3</v>
      </c>
      <c r="K3185" t="s">
        <v>20</v>
      </c>
      <c r="L3185">
        <v>93600</v>
      </c>
      <c r="M3185">
        <v>4200</v>
      </c>
      <c r="N3185">
        <v>97800</v>
      </c>
      <c r="O3185" t="s">
        <v>30</v>
      </c>
      <c r="P3185" s="3">
        <v>43994</v>
      </c>
      <c r="Q3185" t="s">
        <v>62</v>
      </c>
    </row>
    <row r="3186" spans="1:17" x14ac:dyDescent="0.35">
      <c r="A3186" t="s">
        <v>3238</v>
      </c>
      <c r="B3186" t="s">
        <v>16</v>
      </c>
      <c r="C3186">
        <v>36</v>
      </c>
      <c r="D3186" t="s">
        <v>44</v>
      </c>
      <c r="E3186" t="s">
        <v>81</v>
      </c>
      <c r="F3186" t="s">
        <v>19</v>
      </c>
      <c r="G3186">
        <v>7.2</v>
      </c>
      <c r="H3186">
        <v>3.6</v>
      </c>
      <c r="I3186" t="str" cm="1">
        <f t="array" ref="I3186">_xlfn.IFS(G3186&lt;3, "0–2 Years", G3186&lt;6, "3–5 Years", G3186&lt;9, "6–8 Years", G3186&lt;12, "9-11 Years", G3186&gt;=12, "12-14 Years")</f>
        <v>6–8 Years</v>
      </c>
      <c r="J3186">
        <v>4</v>
      </c>
      <c r="K3186" t="s">
        <v>20</v>
      </c>
      <c r="L3186">
        <v>101400</v>
      </c>
      <c r="M3186">
        <v>7600</v>
      </c>
      <c r="N3186">
        <v>109000</v>
      </c>
      <c r="O3186" t="s">
        <v>57</v>
      </c>
      <c r="P3186" s="3">
        <v>43389</v>
      </c>
      <c r="Q3186" t="s">
        <v>19</v>
      </c>
    </row>
    <row r="3187" spans="1:17" x14ac:dyDescent="0.35">
      <c r="A3187" t="s">
        <v>3239</v>
      </c>
      <c r="B3187" t="s">
        <v>16</v>
      </c>
      <c r="C3187">
        <v>21</v>
      </c>
      <c r="D3187" t="s">
        <v>44</v>
      </c>
      <c r="E3187" t="s">
        <v>76</v>
      </c>
      <c r="F3187" t="s">
        <v>36</v>
      </c>
      <c r="G3187">
        <v>9.8000000000000007</v>
      </c>
      <c r="H3187">
        <v>6.9</v>
      </c>
      <c r="I3187" t="str" cm="1">
        <f t="array" ref="I3187">_xlfn.IFS(G3187&lt;3, "0–2 Years", G3187&lt;6, "3–5 Years", G3187&lt;9, "6–8 Years", G3187&lt;12, "9-11 Years", G3187&gt;=12, "12-14 Years")</f>
        <v>9-11 Years</v>
      </c>
      <c r="J3187">
        <v>4</v>
      </c>
      <c r="K3187" t="s">
        <v>20</v>
      </c>
      <c r="L3187">
        <v>93900</v>
      </c>
      <c r="M3187">
        <v>13600</v>
      </c>
      <c r="N3187">
        <v>107500</v>
      </c>
      <c r="O3187" t="s">
        <v>30</v>
      </c>
      <c r="P3187" s="3">
        <v>42451</v>
      </c>
      <c r="Q3187" t="s">
        <v>36</v>
      </c>
    </row>
    <row r="3188" spans="1:17" x14ac:dyDescent="0.35">
      <c r="A3188" t="s">
        <v>3240</v>
      </c>
      <c r="B3188" t="s">
        <v>16</v>
      </c>
      <c r="C3188">
        <v>34</v>
      </c>
      <c r="D3188" t="s">
        <v>41</v>
      </c>
      <c r="E3188" t="s">
        <v>67</v>
      </c>
      <c r="F3188" t="s">
        <v>28</v>
      </c>
      <c r="G3188">
        <v>8.5</v>
      </c>
      <c r="H3188">
        <v>4.7</v>
      </c>
      <c r="I3188" t="str" cm="1">
        <f t="array" ref="I3188">_xlfn.IFS(G3188&lt;3, "0–2 Years", G3188&lt;6, "3–5 Years", G3188&lt;9, "6–8 Years", G3188&lt;12, "9-11 Years", G3188&gt;=12, "12-14 Years")</f>
        <v>6–8 Years</v>
      </c>
      <c r="J3188">
        <v>3</v>
      </c>
      <c r="K3188" t="s">
        <v>69</v>
      </c>
      <c r="L3188">
        <v>59300</v>
      </c>
      <c r="M3188">
        <v>5200</v>
      </c>
      <c r="N3188">
        <v>64500</v>
      </c>
      <c r="O3188" t="s">
        <v>25</v>
      </c>
      <c r="P3188" s="3">
        <v>42923</v>
      </c>
      <c r="Q3188" t="s">
        <v>28</v>
      </c>
    </row>
    <row r="3189" spans="1:17" x14ac:dyDescent="0.35">
      <c r="A3189" t="s">
        <v>3241</v>
      </c>
      <c r="B3189" t="s">
        <v>23</v>
      </c>
      <c r="C3189">
        <v>21</v>
      </c>
      <c r="D3189" t="s">
        <v>17</v>
      </c>
      <c r="E3189" t="s">
        <v>32</v>
      </c>
      <c r="F3189" t="s">
        <v>36</v>
      </c>
      <c r="G3189">
        <v>10.5</v>
      </c>
      <c r="H3189">
        <v>9.5</v>
      </c>
      <c r="I3189" t="str" cm="1">
        <f t="array" ref="I3189">_xlfn.IFS(G3189&lt;3, "0–2 Years", G3189&lt;6, "3–5 Years", G3189&lt;9, "6–8 Years", G3189&lt;12, "9-11 Years", G3189&gt;=12, "12-14 Years")</f>
        <v>9-11 Years</v>
      </c>
      <c r="J3189">
        <v>4</v>
      </c>
      <c r="K3189" t="s">
        <v>20</v>
      </c>
      <c r="L3189">
        <v>77700</v>
      </c>
      <c r="M3189">
        <v>5700</v>
      </c>
      <c r="N3189">
        <v>83400</v>
      </c>
      <c r="O3189" t="s">
        <v>21</v>
      </c>
      <c r="P3189" s="3">
        <v>42183</v>
      </c>
      <c r="Q3189" t="s">
        <v>36</v>
      </c>
    </row>
    <row r="3190" spans="1:17" x14ac:dyDescent="0.35">
      <c r="A3190" t="s">
        <v>3242</v>
      </c>
      <c r="B3190" t="s">
        <v>23</v>
      </c>
      <c r="C3190">
        <v>32</v>
      </c>
      <c r="D3190" t="s">
        <v>38</v>
      </c>
      <c r="E3190" t="s">
        <v>112</v>
      </c>
      <c r="F3190" t="s">
        <v>36</v>
      </c>
      <c r="G3190">
        <v>1.6</v>
      </c>
      <c r="H3190">
        <v>1.6</v>
      </c>
      <c r="I3190" t="str" cm="1">
        <f t="array" ref="I3190">_xlfn.IFS(G3190&lt;3, "0–2 Years", G3190&lt;6, "3–5 Years", G3190&lt;9, "6–8 Years", G3190&lt;12, "9-11 Years", G3190&gt;=12, "12-14 Years")</f>
        <v>0–2 Years</v>
      </c>
      <c r="J3190">
        <v>2</v>
      </c>
      <c r="K3190" t="s">
        <v>69</v>
      </c>
      <c r="L3190">
        <v>61800</v>
      </c>
      <c r="M3190">
        <v>2200</v>
      </c>
      <c r="N3190">
        <v>64000</v>
      </c>
      <c r="O3190" t="s">
        <v>25</v>
      </c>
      <c r="P3190" s="3">
        <v>45440</v>
      </c>
      <c r="Q3190" t="s">
        <v>36</v>
      </c>
    </row>
    <row r="3191" spans="1:17" x14ac:dyDescent="0.35">
      <c r="A3191" t="s">
        <v>3243</v>
      </c>
      <c r="B3191" t="s">
        <v>23</v>
      </c>
      <c r="C3191">
        <v>23</v>
      </c>
      <c r="D3191" t="s">
        <v>34</v>
      </c>
      <c r="E3191" t="s">
        <v>35</v>
      </c>
      <c r="F3191" t="s">
        <v>36</v>
      </c>
      <c r="G3191">
        <v>8.4</v>
      </c>
      <c r="H3191">
        <v>4.0999999999999996</v>
      </c>
      <c r="I3191" t="str" cm="1">
        <f t="array" ref="I3191">_xlfn.IFS(G3191&lt;3, "0–2 Years", G3191&lt;6, "3–5 Years", G3191&lt;9, "6–8 Years", G3191&lt;12, "9-11 Years", G3191&gt;=12, "12-14 Years")</f>
        <v>6–8 Years</v>
      </c>
      <c r="J3191">
        <v>3</v>
      </c>
      <c r="K3191" t="s">
        <v>20</v>
      </c>
      <c r="L3191">
        <v>86100</v>
      </c>
      <c r="M3191">
        <v>10200</v>
      </c>
      <c r="N3191">
        <v>96300</v>
      </c>
      <c r="O3191" t="s">
        <v>30</v>
      </c>
      <c r="P3191" s="3">
        <v>42961</v>
      </c>
      <c r="Q3191" t="s">
        <v>36</v>
      </c>
    </row>
    <row r="3192" spans="1:17" x14ac:dyDescent="0.35">
      <c r="A3192" t="s">
        <v>3244</v>
      </c>
      <c r="B3192" t="s">
        <v>23</v>
      </c>
      <c r="C3192">
        <v>53</v>
      </c>
      <c r="D3192" t="s">
        <v>41</v>
      </c>
      <c r="E3192" t="s">
        <v>42</v>
      </c>
      <c r="F3192" t="s">
        <v>28</v>
      </c>
      <c r="G3192">
        <v>8.3000000000000007</v>
      </c>
      <c r="H3192">
        <v>5.7</v>
      </c>
      <c r="I3192" t="str" cm="1">
        <f t="array" ref="I3192">_xlfn.IFS(G3192&lt;3, "0–2 Years", G3192&lt;6, "3–5 Years", G3192&lt;9, "6–8 Years", G3192&lt;12, "9-11 Years", G3192&gt;=12, "12-14 Years")</f>
        <v>6–8 Years</v>
      </c>
      <c r="J3192">
        <v>3</v>
      </c>
      <c r="K3192" t="s">
        <v>20</v>
      </c>
      <c r="L3192">
        <v>74800</v>
      </c>
      <c r="M3192">
        <v>2400</v>
      </c>
      <c r="N3192">
        <v>77200</v>
      </c>
      <c r="O3192" t="s">
        <v>21</v>
      </c>
      <c r="P3192" s="3">
        <v>42993</v>
      </c>
      <c r="Q3192" t="s">
        <v>28</v>
      </c>
    </row>
    <row r="3193" spans="1:17" x14ac:dyDescent="0.35">
      <c r="A3193" t="s">
        <v>3245</v>
      </c>
      <c r="B3193" t="s">
        <v>23</v>
      </c>
      <c r="C3193">
        <v>42</v>
      </c>
      <c r="D3193" t="s">
        <v>44</v>
      </c>
      <c r="E3193" t="s">
        <v>45</v>
      </c>
      <c r="F3193" t="s">
        <v>28</v>
      </c>
      <c r="G3193">
        <v>3.3</v>
      </c>
      <c r="H3193">
        <v>1.1000000000000001</v>
      </c>
      <c r="I3193" t="str" cm="1">
        <f t="array" ref="I3193">_xlfn.IFS(G3193&lt;3, "0–2 Years", G3193&lt;6, "3–5 Years", G3193&lt;9, "6–8 Years", G3193&lt;12, "9-11 Years", G3193&gt;=12, "12-14 Years")</f>
        <v>3–5 Years</v>
      </c>
      <c r="J3193">
        <v>4</v>
      </c>
      <c r="K3193" t="s">
        <v>20</v>
      </c>
      <c r="L3193">
        <v>65800</v>
      </c>
      <c r="M3193">
        <v>6500</v>
      </c>
      <c r="N3193">
        <v>72300</v>
      </c>
      <c r="O3193" t="s">
        <v>21</v>
      </c>
      <c r="P3193" s="3">
        <v>44805</v>
      </c>
      <c r="Q3193" t="s">
        <v>28</v>
      </c>
    </row>
    <row r="3194" spans="1:17" x14ac:dyDescent="0.35">
      <c r="A3194" t="s">
        <v>3246</v>
      </c>
      <c r="B3194" t="s">
        <v>16</v>
      </c>
      <c r="C3194">
        <v>38</v>
      </c>
      <c r="D3194" t="s">
        <v>55</v>
      </c>
      <c r="E3194" t="s">
        <v>56</v>
      </c>
      <c r="F3194" t="s">
        <v>36</v>
      </c>
      <c r="G3194">
        <v>5.4</v>
      </c>
      <c r="H3194">
        <v>5.4</v>
      </c>
      <c r="I3194" t="str" cm="1">
        <f t="array" ref="I3194">_xlfn.IFS(G3194&lt;3, "0–2 Years", G3194&lt;6, "3–5 Years", G3194&lt;9, "6–8 Years", G3194&lt;12, "9-11 Years", G3194&gt;=12, "12-14 Years")</f>
        <v>3–5 Years</v>
      </c>
      <c r="J3194">
        <v>5</v>
      </c>
      <c r="K3194" t="s">
        <v>20</v>
      </c>
      <c r="L3194">
        <v>107800</v>
      </c>
      <c r="M3194">
        <v>22100</v>
      </c>
      <c r="N3194">
        <v>129900</v>
      </c>
      <c r="O3194" t="s">
        <v>57</v>
      </c>
      <c r="P3194" s="3">
        <v>44041</v>
      </c>
      <c r="Q3194" t="s">
        <v>36</v>
      </c>
    </row>
    <row r="3195" spans="1:17" x14ac:dyDescent="0.35">
      <c r="A3195" t="s">
        <v>3247</v>
      </c>
      <c r="B3195" t="s">
        <v>23</v>
      </c>
      <c r="C3195">
        <v>37</v>
      </c>
      <c r="D3195" t="s">
        <v>38</v>
      </c>
      <c r="E3195" t="s">
        <v>39</v>
      </c>
      <c r="F3195" t="s">
        <v>28</v>
      </c>
      <c r="G3195">
        <v>10.7</v>
      </c>
      <c r="H3195">
        <v>6.8</v>
      </c>
      <c r="I3195" t="str" cm="1">
        <f t="array" ref="I3195">_xlfn.IFS(G3195&lt;3, "0–2 Years", G3195&lt;6, "3–5 Years", G3195&lt;9, "6–8 Years", G3195&lt;12, "9-11 Years", G3195&gt;=12, "12-14 Years")</f>
        <v>9-11 Years</v>
      </c>
      <c r="J3195">
        <v>3</v>
      </c>
      <c r="K3195" t="s">
        <v>20</v>
      </c>
      <c r="L3195">
        <v>76100</v>
      </c>
      <c r="M3195">
        <v>5100</v>
      </c>
      <c r="N3195">
        <v>81200</v>
      </c>
      <c r="O3195" t="s">
        <v>21</v>
      </c>
      <c r="P3195" s="3">
        <v>42111</v>
      </c>
      <c r="Q3195" t="s">
        <v>28</v>
      </c>
    </row>
    <row r="3196" spans="1:17" x14ac:dyDescent="0.35">
      <c r="A3196" t="s">
        <v>3248</v>
      </c>
      <c r="B3196" t="s">
        <v>23</v>
      </c>
      <c r="C3196">
        <v>40</v>
      </c>
      <c r="D3196" t="s">
        <v>38</v>
      </c>
      <c r="E3196" t="s">
        <v>39</v>
      </c>
      <c r="F3196" t="s">
        <v>36</v>
      </c>
      <c r="G3196">
        <v>1.1000000000000001</v>
      </c>
      <c r="H3196">
        <v>0</v>
      </c>
      <c r="I3196" t="str" cm="1">
        <f t="array" ref="I3196">_xlfn.IFS(G3196&lt;3, "0–2 Years", G3196&lt;6, "3–5 Years", G3196&lt;9, "6–8 Years", G3196&lt;12, "9-11 Years", G3196&gt;=12, "12-14 Years")</f>
        <v>0–2 Years</v>
      </c>
      <c r="J3196">
        <v>4</v>
      </c>
      <c r="K3196" t="s">
        <v>69</v>
      </c>
      <c r="L3196">
        <v>62400</v>
      </c>
      <c r="M3196">
        <v>3000</v>
      </c>
      <c r="N3196">
        <v>65400</v>
      </c>
      <c r="O3196" t="s">
        <v>25</v>
      </c>
      <c r="P3196" s="3">
        <v>45625</v>
      </c>
      <c r="Q3196" t="s">
        <v>36</v>
      </c>
    </row>
    <row r="3197" spans="1:17" x14ac:dyDescent="0.35">
      <c r="A3197" t="s">
        <v>3249</v>
      </c>
      <c r="B3197" t="s">
        <v>23</v>
      </c>
      <c r="C3197">
        <v>27</v>
      </c>
      <c r="D3197" t="s">
        <v>44</v>
      </c>
      <c r="E3197" t="s">
        <v>45</v>
      </c>
      <c r="F3197" t="s">
        <v>28</v>
      </c>
      <c r="G3197">
        <v>8.3000000000000007</v>
      </c>
      <c r="H3197">
        <v>8.3000000000000007</v>
      </c>
      <c r="I3197" t="str" cm="1">
        <f t="array" ref="I3197">_xlfn.IFS(G3197&lt;3, "0–2 Years", G3197&lt;6, "3–5 Years", G3197&lt;9, "6–8 Years", G3197&lt;12, "9-11 Years", G3197&gt;=12, "12-14 Years")</f>
        <v>6–8 Years</v>
      </c>
      <c r="J3197">
        <v>3</v>
      </c>
      <c r="K3197" t="s">
        <v>20</v>
      </c>
      <c r="L3197">
        <v>82100</v>
      </c>
      <c r="M3197">
        <v>10600</v>
      </c>
      <c r="N3197">
        <v>92700</v>
      </c>
      <c r="O3197" t="s">
        <v>30</v>
      </c>
      <c r="P3197" s="3">
        <v>42991</v>
      </c>
      <c r="Q3197" t="s">
        <v>28</v>
      </c>
    </row>
    <row r="3198" spans="1:17" x14ac:dyDescent="0.35">
      <c r="A3198" t="s">
        <v>3250</v>
      </c>
      <c r="B3198" t="s">
        <v>16</v>
      </c>
      <c r="C3198">
        <v>24</v>
      </c>
      <c r="D3198" t="s">
        <v>17</v>
      </c>
      <c r="E3198" t="s">
        <v>27</v>
      </c>
      <c r="F3198" t="s">
        <v>28</v>
      </c>
      <c r="G3198">
        <v>4.9000000000000004</v>
      </c>
      <c r="H3198">
        <v>2.6</v>
      </c>
      <c r="I3198" t="str" cm="1">
        <f t="array" ref="I3198">_xlfn.IFS(G3198&lt;3, "0–2 Years", G3198&lt;6, "3–5 Years", G3198&lt;9, "6–8 Years", G3198&lt;12, "9-11 Years", G3198&gt;=12, "12-14 Years")</f>
        <v>3–5 Years</v>
      </c>
      <c r="J3198">
        <v>2</v>
      </c>
      <c r="K3198" t="s">
        <v>24</v>
      </c>
      <c r="L3198">
        <v>46200</v>
      </c>
      <c r="M3198">
        <v>3900</v>
      </c>
      <c r="N3198">
        <v>50100</v>
      </c>
      <c r="O3198" t="s">
        <v>65</v>
      </c>
      <c r="P3198" s="3">
        <v>44250</v>
      </c>
      <c r="Q3198" t="s">
        <v>28</v>
      </c>
    </row>
    <row r="3199" spans="1:17" x14ac:dyDescent="0.35">
      <c r="A3199" t="s">
        <v>3251</v>
      </c>
      <c r="B3199" t="s">
        <v>16</v>
      </c>
      <c r="C3199" s="7">
        <v>33</v>
      </c>
      <c r="D3199" t="s">
        <v>38</v>
      </c>
      <c r="E3199" t="s">
        <v>61</v>
      </c>
      <c r="F3199" t="s">
        <v>19</v>
      </c>
      <c r="G3199" s="9">
        <v>13.5</v>
      </c>
      <c r="H3199" s="7">
        <v>8.8000000000000007</v>
      </c>
      <c r="I3199" t="str" cm="1">
        <f t="array" ref="I3199">_xlfn.IFS(G3199&lt;3, "0–2 Years", G3199&lt;6, "3–5 Years", G3199&lt;9, "6–8 Years", G3199&lt;12, "9-11 Years", G3199&gt;=12, "12-14 Years")</f>
        <v>12-14 Years</v>
      </c>
      <c r="J3199" s="7">
        <v>4</v>
      </c>
      <c r="K3199" t="s">
        <v>20</v>
      </c>
      <c r="L3199" s="7">
        <v>117100</v>
      </c>
      <c r="M3199" s="7">
        <v>5600</v>
      </c>
      <c r="N3199" s="7">
        <v>122700</v>
      </c>
      <c r="O3199" t="s">
        <v>57</v>
      </c>
      <c r="P3199" s="3">
        <v>41096</v>
      </c>
      <c r="Q3199" t="s">
        <v>19</v>
      </c>
    </row>
    <row r="3200" spans="1:17" x14ac:dyDescent="0.35">
      <c r="A3200" t="s">
        <v>3252</v>
      </c>
      <c r="B3200" t="s">
        <v>23</v>
      </c>
      <c r="C3200">
        <v>40</v>
      </c>
      <c r="D3200" t="s">
        <v>55</v>
      </c>
      <c r="E3200" t="s">
        <v>79</v>
      </c>
      <c r="F3200" t="s">
        <v>28</v>
      </c>
      <c r="G3200">
        <v>8.1999999999999993</v>
      </c>
      <c r="H3200">
        <v>7.2</v>
      </c>
      <c r="I3200" t="str" cm="1">
        <f t="array" ref="I3200">_xlfn.IFS(G3200&lt;3, "0–2 Years", G3200&lt;6, "3–5 Years", G3200&lt;9, "6–8 Years", G3200&lt;12, "9-11 Years", G3200&gt;=12, "12-14 Years")</f>
        <v>6–8 Years</v>
      </c>
      <c r="J3200">
        <v>3</v>
      </c>
      <c r="K3200" t="s">
        <v>20</v>
      </c>
      <c r="L3200">
        <v>66800</v>
      </c>
      <c r="M3200">
        <v>13000</v>
      </c>
      <c r="N3200">
        <v>79800</v>
      </c>
      <c r="O3200" t="s">
        <v>21</v>
      </c>
      <c r="P3200" s="3">
        <v>43038</v>
      </c>
      <c r="Q3200" t="s">
        <v>28</v>
      </c>
    </row>
    <row r="3201" spans="1:17" x14ac:dyDescent="0.35">
      <c r="A3201" t="s">
        <v>3253</v>
      </c>
      <c r="B3201" t="s">
        <v>23</v>
      </c>
      <c r="C3201" s="7">
        <v>21</v>
      </c>
      <c r="D3201" t="s">
        <v>44</v>
      </c>
      <c r="E3201" t="s">
        <v>76</v>
      </c>
      <c r="F3201" t="s">
        <v>62</v>
      </c>
      <c r="G3201" s="9">
        <v>12.3</v>
      </c>
      <c r="H3201" s="7">
        <v>10.1</v>
      </c>
      <c r="I3201" t="str" cm="1">
        <f t="array" ref="I3201">_xlfn.IFS(G3201&lt;3, "0–2 Years", G3201&lt;6, "3–5 Years", G3201&lt;9, "6–8 Years", G3201&lt;12, "9-11 Years", G3201&gt;=12, "12-14 Years")</f>
        <v>12-14 Years</v>
      </c>
      <c r="J3201" s="7">
        <v>3</v>
      </c>
      <c r="K3201" t="s">
        <v>24</v>
      </c>
      <c r="L3201" s="7">
        <v>83600</v>
      </c>
      <c r="M3201" s="7">
        <v>7300</v>
      </c>
      <c r="N3201" s="7">
        <v>90900</v>
      </c>
      <c r="O3201" t="s">
        <v>30</v>
      </c>
      <c r="P3201" s="3">
        <v>41524</v>
      </c>
      <c r="Q3201" t="s">
        <v>62</v>
      </c>
    </row>
    <row r="3202" spans="1:17" x14ac:dyDescent="0.35">
      <c r="A3202" t="s">
        <v>3254</v>
      </c>
      <c r="B3202" t="s">
        <v>23</v>
      </c>
      <c r="C3202">
        <v>38</v>
      </c>
      <c r="D3202" t="s">
        <v>17</v>
      </c>
      <c r="E3202" t="s">
        <v>18</v>
      </c>
      <c r="F3202" t="s">
        <v>36</v>
      </c>
      <c r="G3202">
        <v>3.6</v>
      </c>
      <c r="H3202">
        <v>1.5</v>
      </c>
      <c r="I3202" t="str" cm="1">
        <f t="array" ref="I3202">_xlfn.IFS(G3202&lt;3, "0–2 Years", G3202&lt;6, "3–5 Years", G3202&lt;9, "6–8 Years", G3202&lt;12, "9-11 Years", G3202&gt;=12, "12-14 Years")</f>
        <v>3–5 Years</v>
      </c>
      <c r="J3202">
        <v>2</v>
      </c>
      <c r="K3202" t="s">
        <v>20</v>
      </c>
      <c r="L3202">
        <v>102300</v>
      </c>
      <c r="M3202">
        <v>5900</v>
      </c>
      <c r="N3202">
        <v>108200</v>
      </c>
      <c r="O3202" t="s">
        <v>57</v>
      </c>
      <c r="P3202" s="3">
        <v>44704</v>
      </c>
      <c r="Q3202" t="s">
        <v>36</v>
      </c>
    </row>
    <row r="3203" spans="1:17" x14ac:dyDescent="0.35">
      <c r="A3203" t="s">
        <v>3255</v>
      </c>
      <c r="B3203" t="s">
        <v>16</v>
      </c>
      <c r="C3203">
        <v>25</v>
      </c>
      <c r="D3203" t="s">
        <v>44</v>
      </c>
      <c r="E3203" t="s">
        <v>51</v>
      </c>
      <c r="F3203" t="s">
        <v>28</v>
      </c>
      <c r="G3203">
        <v>2.9</v>
      </c>
      <c r="H3203">
        <v>0.1</v>
      </c>
      <c r="I3203" t="str" cm="1">
        <f t="array" ref="I3203">_xlfn.IFS(G3203&lt;3, "0–2 Years", G3203&lt;6, "3–5 Years", G3203&lt;9, "6–8 Years", G3203&lt;12, "9-11 Years", G3203&gt;=12, "12-14 Years")</f>
        <v>0–2 Years</v>
      </c>
      <c r="J3203">
        <v>3</v>
      </c>
      <c r="K3203" t="s">
        <v>20</v>
      </c>
      <c r="L3203">
        <v>78300</v>
      </c>
      <c r="M3203">
        <v>11500</v>
      </c>
      <c r="N3203">
        <v>89800</v>
      </c>
      <c r="O3203" t="s">
        <v>21</v>
      </c>
      <c r="P3203" s="3">
        <v>44957</v>
      </c>
      <c r="Q3203" t="s">
        <v>28</v>
      </c>
    </row>
    <row r="3204" spans="1:17" x14ac:dyDescent="0.35">
      <c r="A3204" t="s">
        <v>3256</v>
      </c>
      <c r="B3204" t="s">
        <v>23</v>
      </c>
      <c r="C3204">
        <v>21</v>
      </c>
      <c r="D3204" t="s">
        <v>44</v>
      </c>
      <c r="E3204" t="s">
        <v>45</v>
      </c>
      <c r="F3204" t="s">
        <v>28</v>
      </c>
      <c r="G3204">
        <v>1.5</v>
      </c>
      <c r="H3204">
        <v>1.5</v>
      </c>
      <c r="I3204" t="str" cm="1">
        <f t="array" ref="I3204">_xlfn.IFS(G3204&lt;3, "0–2 Years", G3204&lt;6, "3–5 Years", G3204&lt;9, "6–8 Years", G3204&lt;12, "9-11 Years", G3204&gt;=12, "12-14 Years")</f>
        <v>0–2 Years</v>
      </c>
      <c r="J3204">
        <v>2</v>
      </c>
      <c r="K3204" t="s">
        <v>20</v>
      </c>
      <c r="L3204">
        <v>68300</v>
      </c>
      <c r="M3204">
        <v>7100</v>
      </c>
      <c r="N3204">
        <v>75400</v>
      </c>
      <c r="O3204" t="s">
        <v>21</v>
      </c>
      <c r="P3204" s="3">
        <v>45469</v>
      </c>
      <c r="Q3204" t="s">
        <v>28</v>
      </c>
    </row>
    <row r="3205" spans="1:17" x14ac:dyDescent="0.35">
      <c r="A3205" t="s">
        <v>3257</v>
      </c>
      <c r="B3205" t="s">
        <v>23</v>
      </c>
      <c r="C3205">
        <v>26</v>
      </c>
      <c r="D3205" t="s">
        <v>17</v>
      </c>
      <c r="E3205" t="s">
        <v>27</v>
      </c>
      <c r="F3205" t="s">
        <v>19</v>
      </c>
      <c r="G3205">
        <v>9.1</v>
      </c>
      <c r="H3205">
        <v>5.3</v>
      </c>
      <c r="I3205" t="str" cm="1">
        <f t="array" ref="I3205">_xlfn.IFS(G3205&lt;3, "0–2 Years", G3205&lt;6, "3–5 Years", G3205&lt;9, "6–8 Years", G3205&lt;12, "9-11 Years", G3205&gt;=12, "12-14 Years")</f>
        <v>9-11 Years</v>
      </c>
      <c r="J3205">
        <v>3</v>
      </c>
      <c r="K3205" t="s">
        <v>20</v>
      </c>
      <c r="L3205">
        <v>80300</v>
      </c>
      <c r="M3205">
        <v>8500</v>
      </c>
      <c r="N3205">
        <v>88800</v>
      </c>
      <c r="O3205" t="s">
        <v>30</v>
      </c>
      <c r="P3205" s="3">
        <v>42702</v>
      </c>
      <c r="Q3205" t="s">
        <v>19</v>
      </c>
    </row>
    <row r="3206" spans="1:17" x14ac:dyDescent="0.35">
      <c r="A3206" t="s">
        <v>3258</v>
      </c>
      <c r="B3206" t="s">
        <v>23</v>
      </c>
      <c r="C3206">
        <v>31</v>
      </c>
      <c r="D3206" t="s">
        <v>17</v>
      </c>
      <c r="E3206" t="s">
        <v>27</v>
      </c>
      <c r="F3206" t="s">
        <v>19</v>
      </c>
      <c r="G3206">
        <v>1.9</v>
      </c>
      <c r="H3206">
        <v>0.6</v>
      </c>
      <c r="I3206" t="str" cm="1">
        <f t="array" ref="I3206">_xlfn.IFS(G3206&lt;3, "0–2 Years", G3206&lt;6, "3–5 Years", G3206&lt;9, "6–8 Years", G3206&lt;12, "9-11 Years", G3206&gt;=12, "12-14 Years")</f>
        <v>0–2 Years</v>
      </c>
      <c r="J3206">
        <v>3</v>
      </c>
      <c r="K3206" t="s">
        <v>24</v>
      </c>
      <c r="L3206">
        <v>40700</v>
      </c>
      <c r="M3206">
        <v>5000</v>
      </c>
      <c r="N3206">
        <v>45700</v>
      </c>
      <c r="O3206" t="s">
        <v>65</v>
      </c>
      <c r="P3206" s="3">
        <v>45322</v>
      </c>
      <c r="Q3206" t="s">
        <v>19</v>
      </c>
    </row>
    <row r="3207" spans="1:17" x14ac:dyDescent="0.35">
      <c r="A3207" t="s">
        <v>3259</v>
      </c>
      <c r="B3207" t="s">
        <v>16</v>
      </c>
      <c r="C3207">
        <v>32</v>
      </c>
      <c r="D3207" t="s">
        <v>41</v>
      </c>
      <c r="E3207" t="s">
        <v>73</v>
      </c>
      <c r="F3207" t="s">
        <v>36</v>
      </c>
      <c r="G3207">
        <v>11.1</v>
      </c>
      <c r="H3207">
        <v>7</v>
      </c>
      <c r="I3207" t="str" cm="1">
        <f t="array" ref="I3207">_xlfn.IFS(G3207&lt;3, "0–2 Years", G3207&lt;6, "3–5 Years", G3207&lt;9, "6–8 Years", G3207&lt;12, "9-11 Years", G3207&gt;=12, "12-14 Years")</f>
        <v>9-11 Years</v>
      </c>
      <c r="J3207">
        <v>3</v>
      </c>
      <c r="K3207" t="s">
        <v>20</v>
      </c>
      <c r="L3207">
        <v>103300</v>
      </c>
      <c r="M3207">
        <v>8500</v>
      </c>
      <c r="N3207">
        <v>111800</v>
      </c>
      <c r="O3207" t="s">
        <v>57</v>
      </c>
      <c r="P3207" s="3">
        <v>41952</v>
      </c>
      <c r="Q3207" t="s">
        <v>36</v>
      </c>
    </row>
    <row r="3208" spans="1:17" x14ac:dyDescent="0.35">
      <c r="A3208" t="s">
        <v>3260</v>
      </c>
      <c r="B3208" t="s">
        <v>23</v>
      </c>
      <c r="C3208">
        <v>28</v>
      </c>
      <c r="D3208" t="s">
        <v>38</v>
      </c>
      <c r="E3208" t="s">
        <v>39</v>
      </c>
      <c r="F3208" t="s">
        <v>28</v>
      </c>
      <c r="G3208">
        <v>11.3</v>
      </c>
      <c r="H3208">
        <v>5.7</v>
      </c>
      <c r="I3208" t="str" cm="1">
        <f t="array" ref="I3208">_xlfn.IFS(G3208&lt;3, "0–2 Years", G3208&lt;6, "3–5 Years", G3208&lt;9, "6–8 Years", G3208&lt;12, "9-11 Years", G3208&gt;=12, "12-14 Years")</f>
        <v>9-11 Years</v>
      </c>
      <c r="J3208">
        <v>3</v>
      </c>
      <c r="K3208" t="s">
        <v>20</v>
      </c>
      <c r="L3208">
        <v>89000</v>
      </c>
      <c r="M3208">
        <v>5200</v>
      </c>
      <c r="N3208">
        <v>94200</v>
      </c>
      <c r="O3208" t="s">
        <v>30</v>
      </c>
      <c r="P3208" s="3">
        <v>41908</v>
      </c>
      <c r="Q3208" t="s">
        <v>28</v>
      </c>
    </row>
    <row r="3209" spans="1:17" x14ac:dyDescent="0.35">
      <c r="A3209" t="s">
        <v>3261</v>
      </c>
      <c r="B3209" t="s">
        <v>16</v>
      </c>
      <c r="C3209">
        <v>52</v>
      </c>
      <c r="D3209" t="s">
        <v>34</v>
      </c>
      <c r="E3209" t="s">
        <v>47</v>
      </c>
      <c r="F3209" t="s">
        <v>28</v>
      </c>
      <c r="G3209">
        <v>3</v>
      </c>
      <c r="H3209">
        <v>2.2000000000000002</v>
      </c>
      <c r="I3209" t="str" cm="1">
        <f t="array" ref="I3209">_xlfn.IFS(G3209&lt;3, "0–2 Years", G3209&lt;6, "3–5 Years", G3209&lt;9, "6–8 Years", G3209&lt;12, "9-11 Years", G3209&gt;=12, "12-14 Years")</f>
        <v>3–5 Years</v>
      </c>
      <c r="J3209">
        <v>3</v>
      </c>
      <c r="K3209" t="s">
        <v>69</v>
      </c>
      <c r="L3209">
        <v>75500</v>
      </c>
      <c r="M3209">
        <v>7900</v>
      </c>
      <c r="N3209">
        <v>83400</v>
      </c>
      <c r="O3209" t="s">
        <v>21</v>
      </c>
      <c r="P3209" s="3">
        <v>44933</v>
      </c>
      <c r="Q3209" t="s">
        <v>28</v>
      </c>
    </row>
    <row r="3210" spans="1:17" x14ac:dyDescent="0.35">
      <c r="A3210" t="s">
        <v>3262</v>
      </c>
      <c r="B3210" t="s">
        <v>23</v>
      </c>
      <c r="C3210">
        <v>50</v>
      </c>
      <c r="D3210" t="s">
        <v>34</v>
      </c>
      <c r="E3210" t="s">
        <v>47</v>
      </c>
      <c r="F3210" t="s">
        <v>28</v>
      </c>
      <c r="G3210">
        <v>4.2</v>
      </c>
      <c r="H3210">
        <v>0.6</v>
      </c>
      <c r="I3210" t="str" cm="1">
        <f t="array" ref="I3210">_xlfn.IFS(G3210&lt;3, "0–2 Years", G3210&lt;6, "3–5 Years", G3210&lt;9, "6–8 Years", G3210&lt;12, "9-11 Years", G3210&gt;=12, "12-14 Years")</f>
        <v>3–5 Years</v>
      </c>
      <c r="J3210">
        <v>4</v>
      </c>
      <c r="K3210" t="s">
        <v>20</v>
      </c>
      <c r="L3210">
        <v>77300</v>
      </c>
      <c r="M3210">
        <v>3700</v>
      </c>
      <c r="N3210">
        <v>81000</v>
      </c>
      <c r="O3210" t="s">
        <v>21</v>
      </c>
      <c r="P3210" s="3">
        <v>44505</v>
      </c>
      <c r="Q3210" t="s">
        <v>28</v>
      </c>
    </row>
    <row r="3211" spans="1:17" x14ac:dyDescent="0.35">
      <c r="A3211" t="s">
        <v>3263</v>
      </c>
      <c r="B3211" t="s">
        <v>16</v>
      </c>
      <c r="C3211">
        <v>33</v>
      </c>
      <c r="D3211" t="s">
        <v>17</v>
      </c>
      <c r="E3211" t="s">
        <v>32</v>
      </c>
      <c r="F3211" t="s">
        <v>28</v>
      </c>
      <c r="G3211">
        <v>9.8000000000000007</v>
      </c>
      <c r="H3211">
        <v>5.8</v>
      </c>
      <c r="I3211" t="str" cm="1">
        <f t="array" ref="I3211">_xlfn.IFS(G3211&lt;3, "0–2 Years", G3211&lt;6, "3–5 Years", G3211&lt;9, "6–8 Years", G3211&lt;12, "9-11 Years", G3211&gt;=12, "12-14 Years")</f>
        <v>9-11 Years</v>
      </c>
      <c r="J3211">
        <v>4</v>
      </c>
      <c r="K3211" t="s">
        <v>20</v>
      </c>
      <c r="L3211">
        <v>81300</v>
      </c>
      <c r="M3211">
        <v>5800</v>
      </c>
      <c r="N3211">
        <v>87100</v>
      </c>
      <c r="O3211" t="s">
        <v>30</v>
      </c>
      <c r="P3211" s="3">
        <v>42430</v>
      </c>
      <c r="Q3211" t="s">
        <v>28</v>
      </c>
    </row>
    <row r="3212" spans="1:17" x14ac:dyDescent="0.35">
      <c r="A3212" t="s">
        <v>3264</v>
      </c>
      <c r="B3212" t="s">
        <v>23</v>
      </c>
      <c r="C3212">
        <v>40</v>
      </c>
      <c r="D3212" t="s">
        <v>41</v>
      </c>
      <c r="E3212" t="s">
        <v>67</v>
      </c>
      <c r="F3212" t="s">
        <v>62</v>
      </c>
      <c r="G3212">
        <v>9.1</v>
      </c>
      <c r="H3212">
        <v>5.8</v>
      </c>
      <c r="I3212" t="str" cm="1">
        <f t="array" ref="I3212">_xlfn.IFS(G3212&lt;3, "0–2 Years", G3212&lt;6, "3–5 Years", G3212&lt;9, "6–8 Years", G3212&lt;12, "9-11 Years", G3212&gt;=12, "12-14 Years")</f>
        <v>9-11 Years</v>
      </c>
      <c r="J3212">
        <v>5</v>
      </c>
      <c r="K3212" t="s">
        <v>20</v>
      </c>
      <c r="L3212">
        <v>75600</v>
      </c>
      <c r="M3212">
        <v>3200</v>
      </c>
      <c r="N3212">
        <v>78800</v>
      </c>
      <c r="O3212" t="s">
        <v>21</v>
      </c>
      <c r="P3212" s="3">
        <v>42683</v>
      </c>
      <c r="Q3212" t="s">
        <v>62</v>
      </c>
    </row>
    <row r="3213" spans="1:17" x14ac:dyDescent="0.35">
      <c r="A3213" t="s">
        <v>3265</v>
      </c>
      <c r="B3213" t="s">
        <v>23</v>
      </c>
      <c r="C3213">
        <v>28</v>
      </c>
      <c r="D3213" t="s">
        <v>55</v>
      </c>
      <c r="E3213" t="s">
        <v>92</v>
      </c>
      <c r="F3213" t="s">
        <v>28</v>
      </c>
      <c r="G3213">
        <v>8</v>
      </c>
      <c r="H3213">
        <v>5.5</v>
      </c>
      <c r="I3213" t="str" cm="1">
        <f t="array" ref="I3213">_xlfn.IFS(G3213&lt;3, "0–2 Years", G3213&lt;6, "3–5 Years", G3213&lt;9, "6–8 Years", G3213&lt;12, "9-11 Years", G3213&gt;=12, "12-14 Years")</f>
        <v>6–8 Years</v>
      </c>
      <c r="J3213">
        <v>2</v>
      </c>
      <c r="K3213" t="s">
        <v>20</v>
      </c>
      <c r="L3213">
        <v>99700</v>
      </c>
      <c r="M3213">
        <v>11400</v>
      </c>
      <c r="N3213">
        <v>111100</v>
      </c>
      <c r="O3213" t="s">
        <v>30</v>
      </c>
      <c r="P3213" s="3">
        <v>43109</v>
      </c>
      <c r="Q3213" t="s">
        <v>28</v>
      </c>
    </row>
    <row r="3214" spans="1:17" x14ac:dyDescent="0.35">
      <c r="A3214" t="s">
        <v>3266</v>
      </c>
      <c r="B3214" t="s">
        <v>16</v>
      </c>
      <c r="C3214">
        <v>34</v>
      </c>
      <c r="D3214" t="s">
        <v>55</v>
      </c>
      <c r="E3214" t="s">
        <v>92</v>
      </c>
      <c r="F3214" t="s">
        <v>28</v>
      </c>
      <c r="G3214">
        <v>5.3</v>
      </c>
      <c r="H3214">
        <v>3.6</v>
      </c>
      <c r="I3214" t="str" cm="1">
        <f t="array" ref="I3214">_xlfn.IFS(G3214&lt;3, "0–2 Years", G3214&lt;6, "3–5 Years", G3214&lt;9, "6–8 Years", G3214&lt;12, "9-11 Years", G3214&gt;=12, "12-14 Years")</f>
        <v>3–5 Years</v>
      </c>
      <c r="J3214">
        <v>3</v>
      </c>
      <c r="K3214" t="s">
        <v>20</v>
      </c>
      <c r="L3214">
        <v>91900</v>
      </c>
      <c r="M3214">
        <v>14200</v>
      </c>
      <c r="N3214">
        <v>106100</v>
      </c>
      <c r="O3214" t="s">
        <v>30</v>
      </c>
      <c r="P3214" s="3">
        <v>44086</v>
      </c>
      <c r="Q3214" t="s">
        <v>28</v>
      </c>
    </row>
    <row r="3215" spans="1:17" x14ac:dyDescent="0.35">
      <c r="A3215" t="s">
        <v>3267</v>
      </c>
      <c r="B3215" t="s">
        <v>23</v>
      </c>
      <c r="C3215">
        <v>24</v>
      </c>
      <c r="D3215" t="s">
        <v>38</v>
      </c>
      <c r="E3215" t="s">
        <v>61</v>
      </c>
      <c r="F3215" t="s">
        <v>28</v>
      </c>
      <c r="G3215">
        <v>9.4</v>
      </c>
      <c r="H3215">
        <v>6.1</v>
      </c>
      <c r="I3215" t="str" cm="1">
        <f t="array" ref="I3215">_xlfn.IFS(G3215&lt;3, "0–2 Years", G3215&lt;6, "3–5 Years", G3215&lt;9, "6–8 Years", G3215&lt;12, "9-11 Years", G3215&gt;=12, "12-14 Years")</f>
        <v>9-11 Years</v>
      </c>
      <c r="J3215">
        <v>2</v>
      </c>
      <c r="K3215" t="s">
        <v>69</v>
      </c>
      <c r="L3215">
        <v>90100</v>
      </c>
      <c r="M3215">
        <v>6800</v>
      </c>
      <c r="N3215">
        <v>96900</v>
      </c>
      <c r="O3215" t="s">
        <v>30</v>
      </c>
      <c r="P3215" s="3">
        <v>42574</v>
      </c>
      <c r="Q3215" t="s">
        <v>28</v>
      </c>
    </row>
    <row r="3216" spans="1:17" x14ac:dyDescent="0.35">
      <c r="A3216" t="s">
        <v>3268</v>
      </c>
      <c r="B3216" t="s">
        <v>16</v>
      </c>
      <c r="C3216">
        <v>34</v>
      </c>
      <c r="D3216" t="s">
        <v>41</v>
      </c>
      <c r="E3216" t="s">
        <v>67</v>
      </c>
      <c r="F3216" t="s">
        <v>36</v>
      </c>
      <c r="G3216">
        <v>4.8</v>
      </c>
      <c r="H3216">
        <v>4</v>
      </c>
      <c r="I3216" t="str" cm="1">
        <f t="array" ref="I3216">_xlfn.IFS(G3216&lt;3, "0–2 Years", G3216&lt;6, "3–5 Years", G3216&lt;9, "6–8 Years", G3216&lt;12, "9-11 Years", G3216&gt;=12, "12-14 Years")</f>
        <v>3–5 Years</v>
      </c>
      <c r="J3216">
        <v>4</v>
      </c>
      <c r="K3216" t="s">
        <v>20</v>
      </c>
      <c r="L3216">
        <v>63200</v>
      </c>
      <c r="M3216">
        <v>2000</v>
      </c>
      <c r="N3216">
        <v>65200</v>
      </c>
      <c r="O3216" t="s">
        <v>25</v>
      </c>
      <c r="P3216" s="3">
        <v>44253</v>
      </c>
      <c r="Q3216" t="s">
        <v>36</v>
      </c>
    </row>
    <row r="3217" spans="1:17" x14ac:dyDescent="0.35">
      <c r="A3217" t="s">
        <v>3269</v>
      </c>
      <c r="B3217" t="s">
        <v>23</v>
      </c>
      <c r="C3217">
        <v>43</v>
      </c>
      <c r="D3217" t="s">
        <v>17</v>
      </c>
      <c r="E3217" t="s">
        <v>32</v>
      </c>
      <c r="F3217" t="s">
        <v>36</v>
      </c>
      <c r="G3217">
        <v>6.5</v>
      </c>
      <c r="H3217">
        <v>4.5</v>
      </c>
      <c r="I3217" t="str" cm="1">
        <f t="array" ref="I3217">_xlfn.IFS(G3217&lt;3, "0–2 Years", G3217&lt;6, "3–5 Years", G3217&lt;9, "6–8 Years", G3217&lt;12, "9-11 Years", G3217&gt;=12, "12-14 Years")</f>
        <v>6–8 Years</v>
      </c>
      <c r="J3217">
        <v>3</v>
      </c>
      <c r="K3217" t="s">
        <v>20</v>
      </c>
      <c r="L3217">
        <v>74800</v>
      </c>
      <c r="M3217">
        <v>7300</v>
      </c>
      <c r="N3217">
        <v>82100</v>
      </c>
      <c r="O3217" t="s">
        <v>21</v>
      </c>
      <c r="P3217" s="3">
        <v>43654</v>
      </c>
      <c r="Q3217" t="s">
        <v>36</v>
      </c>
    </row>
    <row r="3218" spans="1:17" x14ac:dyDescent="0.35">
      <c r="A3218" t="s">
        <v>3270</v>
      </c>
      <c r="B3218" t="s">
        <v>16</v>
      </c>
      <c r="C3218">
        <v>36</v>
      </c>
      <c r="D3218" t="s">
        <v>34</v>
      </c>
      <c r="E3218" t="s">
        <v>59</v>
      </c>
      <c r="F3218" t="s">
        <v>36</v>
      </c>
      <c r="G3218">
        <v>3.9</v>
      </c>
      <c r="H3218">
        <v>2.4</v>
      </c>
      <c r="I3218" t="str" cm="1">
        <f t="array" ref="I3218">_xlfn.IFS(G3218&lt;3, "0–2 Years", G3218&lt;6, "3–5 Years", G3218&lt;9, "6–8 Years", G3218&lt;12, "9-11 Years", G3218&gt;=12, "12-14 Years")</f>
        <v>3–5 Years</v>
      </c>
      <c r="J3218">
        <v>3</v>
      </c>
      <c r="K3218" t="s">
        <v>20</v>
      </c>
      <c r="L3218">
        <v>92000</v>
      </c>
      <c r="M3218">
        <v>6300</v>
      </c>
      <c r="N3218">
        <v>98300</v>
      </c>
      <c r="O3218" t="s">
        <v>30</v>
      </c>
      <c r="P3218" s="3">
        <v>44587</v>
      </c>
      <c r="Q3218" t="s">
        <v>36</v>
      </c>
    </row>
    <row r="3219" spans="1:17" x14ac:dyDescent="0.35">
      <c r="A3219" t="s">
        <v>3271</v>
      </c>
      <c r="B3219" t="s">
        <v>23</v>
      </c>
      <c r="C3219">
        <v>37</v>
      </c>
      <c r="D3219" t="s">
        <v>17</v>
      </c>
      <c r="E3219" t="s">
        <v>18</v>
      </c>
      <c r="F3219" t="s">
        <v>36</v>
      </c>
      <c r="G3219">
        <v>4.2</v>
      </c>
      <c r="H3219">
        <v>2.1</v>
      </c>
      <c r="I3219" t="str" cm="1">
        <f t="array" ref="I3219">_xlfn.IFS(G3219&lt;3, "0–2 Years", G3219&lt;6, "3–5 Years", G3219&lt;9, "6–8 Years", G3219&lt;12, "9-11 Years", G3219&gt;=12, "12-14 Years")</f>
        <v>3–5 Years</v>
      </c>
      <c r="J3219">
        <v>3</v>
      </c>
      <c r="K3219" t="s">
        <v>20</v>
      </c>
      <c r="L3219">
        <v>99200</v>
      </c>
      <c r="M3219">
        <v>12000</v>
      </c>
      <c r="N3219">
        <v>111200</v>
      </c>
      <c r="O3219" t="s">
        <v>30</v>
      </c>
      <c r="P3219" s="3">
        <v>44506</v>
      </c>
      <c r="Q3219" t="s">
        <v>36</v>
      </c>
    </row>
    <row r="3220" spans="1:17" x14ac:dyDescent="0.35">
      <c r="A3220" t="s">
        <v>3272</v>
      </c>
      <c r="B3220" t="s">
        <v>23</v>
      </c>
      <c r="C3220">
        <v>30</v>
      </c>
      <c r="D3220" t="s">
        <v>55</v>
      </c>
      <c r="E3220" t="s">
        <v>92</v>
      </c>
      <c r="F3220" t="s">
        <v>28</v>
      </c>
      <c r="G3220">
        <v>9.5</v>
      </c>
      <c r="H3220">
        <v>6.3</v>
      </c>
      <c r="I3220" t="str" cm="1">
        <f t="array" ref="I3220">_xlfn.IFS(G3220&lt;3, "0–2 Years", G3220&lt;6, "3–5 Years", G3220&lt;9, "6–8 Years", G3220&lt;12, "9-11 Years", G3220&gt;=12, "12-14 Years")</f>
        <v>9-11 Years</v>
      </c>
      <c r="J3220">
        <v>3</v>
      </c>
      <c r="K3220" t="s">
        <v>24</v>
      </c>
      <c r="L3220">
        <v>64400</v>
      </c>
      <c r="M3220">
        <v>6100</v>
      </c>
      <c r="N3220">
        <v>70500</v>
      </c>
      <c r="O3220" t="s">
        <v>25</v>
      </c>
      <c r="P3220" s="3">
        <v>42535</v>
      </c>
      <c r="Q3220" t="s">
        <v>28</v>
      </c>
    </row>
    <row r="3221" spans="1:17" x14ac:dyDescent="0.35">
      <c r="A3221" t="s">
        <v>3273</v>
      </c>
      <c r="B3221" t="s">
        <v>23</v>
      </c>
      <c r="C3221">
        <v>33</v>
      </c>
      <c r="D3221" t="s">
        <v>55</v>
      </c>
      <c r="E3221" t="s">
        <v>56</v>
      </c>
      <c r="F3221" t="s">
        <v>28</v>
      </c>
      <c r="G3221">
        <v>4.5</v>
      </c>
      <c r="H3221">
        <v>4.5</v>
      </c>
      <c r="I3221" t="str" cm="1">
        <f t="array" ref="I3221">_xlfn.IFS(G3221&lt;3, "0–2 Years", G3221&lt;6, "3–5 Years", G3221&lt;9, "6–8 Years", G3221&lt;12, "9-11 Years", G3221&gt;=12, "12-14 Years")</f>
        <v>3–5 Years</v>
      </c>
      <c r="J3221">
        <v>3</v>
      </c>
      <c r="K3221" t="s">
        <v>20</v>
      </c>
      <c r="L3221">
        <v>86200</v>
      </c>
      <c r="M3221">
        <v>16500</v>
      </c>
      <c r="N3221">
        <v>102700</v>
      </c>
      <c r="O3221" t="s">
        <v>30</v>
      </c>
      <c r="P3221" s="3">
        <v>44367</v>
      </c>
      <c r="Q3221" t="s">
        <v>28</v>
      </c>
    </row>
    <row r="3222" spans="1:17" x14ac:dyDescent="0.35">
      <c r="A3222" t="s">
        <v>3274</v>
      </c>
      <c r="B3222" t="s">
        <v>16</v>
      </c>
      <c r="C3222">
        <v>27</v>
      </c>
      <c r="D3222" t="s">
        <v>17</v>
      </c>
      <c r="E3222" t="s">
        <v>27</v>
      </c>
      <c r="F3222" t="s">
        <v>28</v>
      </c>
      <c r="G3222">
        <v>1.5</v>
      </c>
      <c r="H3222">
        <v>1.5</v>
      </c>
      <c r="I3222" t="str" cm="1">
        <f t="array" ref="I3222">_xlfn.IFS(G3222&lt;3, "0–2 Years", G3222&lt;6, "3–5 Years", G3222&lt;9, "6–8 Years", G3222&lt;12, "9-11 Years", G3222&gt;=12, "12-14 Years")</f>
        <v>0–2 Years</v>
      </c>
      <c r="J3222">
        <v>3</v>
      </c>
      <c r="K3222" t="s">
        <v>20</v>
      </c>
      <c r="L3222">
        <v>64300</v>
      </c>
      <c r="M3222">
        <v>7900</v>
      </c>
      <c r="N3222">
        <v>72200</v>
      </c>
      <c r="O3222" t="s">
        <v>25</v>
      </c>
      <c r="P3222" s="3">
        <v>45484</v>
      </c>
      <c r="Q3222" t="s">
        <v>28</v>
      </c>
    </row>
    <row r="3223" spans="1:17" x14ac:dyDescent="0.35">
      <c r="A3223" t="s">
        <v>3275</v>
      </c>
      <c r="B3223" t="s">
        <v>23</v>
      </c>
      <c r="C3223">
        <v>34</v>
      </c>
      <c r="D3223" t="s">
        <v>17</v>
      </c>
      <c r="E3223" t="s">
        <v>27</v>
      </c>
      <c r="F3223" t="s">
        <v>28</v>
      </c>
      <c r="G3223">
        <v>1.1000000000000001</v>
      </c>
      <c r="H3223">
        <v>0.3</v>
      </c>
      <c r="I3223" t="str" cm="1">
        <f t="array" ref="I3223">_xlfn.IFS(G3223&lt;3, "0–2 Years", G3223&lt;6, "3–5 Years", G3223&lt;9, "6–8 Years", G3223&lt;12, "9-11 Years", G3223&gt;=12, "12-14 Years")</f>
        <v>0–2 Years</v>
      </c>
      <c r="J3223">
        <v>3</v>
      </c>
      <c r="K3223" t="s">
        <v>20</v>
      </c>
      <c r="L3223">
        <v>82200</v>
      </c>
      <c r="M3223">
        <v>5600</v>
      </c>
      <c r="N3223">
        <v>87800</v>
      </c>
      <c r="O3223" t="s">
        <v>30</v>
      </c>
      <c r="P3223" s="3">
        <v>45621</v>
      </c>
      <c r="Q3223" t="s">
        <v>28</v>
      </c>
    </row>
    <row r="3224" spans="1:17" x14ac:dyDescent="0.35">
      <c r="A3224" t="s">
        <v>3276</v>
      </c>
      <c r="B3224" t="s">
        <v>16</v>
      </c>
      <c r="C3224">
        <v>31</v>
      </c>
      <c r="D3224" t="s">
        <v>41</v>
      </c>
      <c r="E3224" t="s">
        <v>73</v>
      </c>
      <c r="F3224" t="s">
        <v>36</v>
      </c>
      <c r="G3224">
        <v>5.3</v>
      </c>
      <c r="H3224">
        <v>3.5</v>
      </c>
      <c r="I3224" t="str" cm="1">
        <f t="array" ref="I3224">_xlfn.IFS(G3224&lt;3, "0–2 Years", G3224&lt;6, "3–5 Years", G3224&lt;9, "6–8 Years", G3224&lt;12, "9-11 Years", G3224&gt;=12, "12-14 Years")</f>
        <v>3–5 Years</v>
      </c>
      <c r="J3224">
        <v>3</v>
      </c>
      <c r="K3224" t="s">
        <v>20</v>
      </c>
      <c r="L3224">
        <v>94100</v>
      </c>
      <c r="M3224">
        <v>5200</v>
      </c>
      <c r="N3224">
        <v>99300</v>
      </c>
      <c r="O3224" t="s">
        <v>30</v>
      </c>
      <c r="P3224" s="3">
        <v>44098</v>
      </c>
      <c r="Q3224" t="s">
        <v>36</v>
      </c>
    </row>
    <row r="3225" spans="1:17" x14ac:dyDescent="0.35">
      <c r="A3225" t="s">
        <v>3277</v>
      </c>
      <c r="B3225" t="s">
        <v>16</v>
      </c>
      <c r="C3225" s="7">
        <v>44</v>
      </c>
      <c r="D3225" t="s">
        <v>44</v>
      </c>
      <c r="E3225" t="s">
        <v>76</v>
      </c>
      <c r="F3225" t="s">
        <v>36</v>
      </c>
      <c r="G3225" s="9">
        <v>12.4</v>
      </c>
      <c r="H3225" s="7">
        <v>9.8000000000000007</v>
      </c>
      <c r="I3225" t="str" cm="1">
        <f t="array" ref="I3225">_xlfn.IFS(G3225&lt;3, "0–2 Years", G3225&lt;6, "3–5 Years", G3225&lt;9, "6–8 Years", G3225&lt;12, "9-11 Years", G3225&gt;=12, "12-14 Years")</f>
        <v>12-14 Years</v>
      </c>
      <c r="J3225" s="7">
        <v>3</v>
      </c>
      <c r="K3225" t="s">
        <v>69</v>
      </c>
      <c r="L3225" s="7">
        <v>94600</v>
      </c>
      <c r="M3225" s="7">
        <v>5400</v>
      </c>
      <c r="N3225" s="7">
        <v>100000</v>
      </c>
      <c r="O3225" t="s">
        <v>30</v>
      </c>
      <c r="P3225" s="3">
        <v>41489</v>
      </c>
      <c r="Q3225" t="s">
        <v>36</v>
      </c>
    </row>
    <row r="3226" spans="1:17" x14ac:dyDescent="0.35">
      <c r="A3226" t="s">
        <v>3278</v>
      </c>
      <c r="B3226" t="s">
        <v>16</v>
      </c>
      <c r="C3226">
        <v>42</v>
      </c>
      <c r="D3226" t="s">
        <v>34</v>
      </c>
      <c r="E3226" t="s">
        <v>35</v>
      </c>
      <c r="F3226" t="s">
        <v>62</v>
      </c>
      <c r="G3226">
        <v>10.199999999999999</v>
      </c>
      <c r="H3226">
        <v>6</v>
      </c>
      <c r="I3226" t="str" cm="1">
        <f t="array" ref="I3226">_xlfn.IFS(G3226&lt;3, "0–2 Years", G3226&lt;6, "3–5 Years", G3226&lt;9, "6–8 Years", G3226&lt;12, "9-11 Years", G3226&gt;=12, "12-14 Years")</f>
        <v>9-11 Years</v>
      </c>
      <c r="J3226">
        <v>2</v>
      </c>
      <c r="K3226" t="s">
        <v>24</v>
      </c>
      <c r="L3226">
        <v>48700</v>
      </c>
      <c r="M3226">
        <v>3600</v>
      </c>
      <c r="N3226">
        <v>52300</v>
      </c>
      <c r="O3226" t="s">
        <v>65</v>
      </c>
      <c r="P3226" s="3">
        <v>42298</v>
      </c>
      <c r="Q3226" t="s">
        <v>62</v>
      </c>
    </row>
    <row r="3227" spans="1:17" x14ac:dyDescent="0.35">
      <c r="A3227" t="s">
        <v>3279</v>
      </c>
      <c r="B3227" t="s">
        <v>16</v>
      </c>
      <c r="C3227">
        <v>28</v>
      </c>
      <c r="D3227" t="s">
        <v>34</v>
      </c>
      <c r="E3227" t="s">
        <v>35</v>
      </c>
      <c r="F3227" t="s">
        <v>28</v>
      </c>
      <c r="G3227">
        <v>5.4</v>
      </c>
      <c r="H3227">
        <v>4.0999999999999996</v>
      </c>
      <c r="I3227" t="str" cm="1">
        <f t="array" ref="I3227">_xlfn.IFS(G3227&lt;3, "0–2 Years", G3227&lt;6, "3–5 Years", G3227&lt;9, "6–8 Years", G3227&lt;12, "9-11 Years", G3227&gt;=12, "12-14 Years")</f>
        <v>3–5 Years</v>
      </c>
      <c r="J3227">
        <v>3</v>
      </c>
      <c r="K3227" t="s">
        <v>20</v>
      </c>
      <c r="L3227">
        <v>80200</v>
      </c>
      <c r="M3227">
        <v>6400</v>
      </c>
      <c r="N3227">
        <v>86600</v>
      </c>
      <c r="O3227" t="s">
        <v>30</v>
      </c>
      <c r="P3227" s="3">
        <v>44058</v>
      </c>
      <c r="Q3227" t="s">
        <v>28</v>
      </c>
    </row>
    <row r="3228" spans="1:17" x14ac:dyDescent="0.35">
      <c r="A3228" t="s">
        <v>3280</v>
      </c>
      <c r="B3228" t="s">
        <v>16</v>
      </c>
      <c r="C3228">
        <v>39</v>
      </c>
      <c r="D3228" t="s">
        <v>34</v>
      </c>
      <c r="E3228" t="s">
        <v>35</v>
      </c>
      <c r="F3228" t="s">
        <v>36</v>
      </c>
      <c r="G3228">
        <v>4.5999999999999996</v>
      </c>
      <c r="H3228">
        <v>4.5999999999999996</v>
      </c>
      <c r="I3228" t="str" cm="1">
        <f t="array" ref="I3228">_xlfn.IFS(G3228&lt;3, "0–2 Years", G3228&lt;6, "3–5 Years", G3228&lt;9, "6–8 Years", G3228&lt;12, "9-11 Years", G3228&gt;=12, "12-14 Years")</f>
        <v>3–5 Years</v>
      </c>
      <c r="J3228">
        <v>2</v>
      </c>
      <c r="K3228" t="s">
        <v>20</v>
      </c>
      <c r="L3228">
        <v>84800</v>
      </c>
      <c r="M3228">
        <v>4300</v>
      </c>
      <c r="N3228">
        <v>89100</v>
      </c>
      <c r="O3228" t="s">
        <v>30</v>
      </c>
      <c r="P3228" s="3">
        <v>44343</v>
      </c>
      <c r="Q3228" t="s">
        <v>36</v>
      </c>
    </row>
    <row r="3229" spans="1:17" x14ac:dyDescent="0.35">
      <c r="A3229" t="s">
        <v>3281</v>
      </c>
      <c r="B3229" t="s">
        <v>23</v>
      </c>
      <c r="C3229">
        <v>31</v>
      </c>
      <c r="D3229" t="s">
        <v>34</v>
      </c>
      <c r="E3229" t="s">
        <v>59</v>
      </c>
      <c r="F3229" t="s">
        <v>28</v>
      </c>
      <c r="G3229">
        <v>10.5</v>
      </c>
      <c r="H3229">
        <v>8.6</v>
      </c>
      <c r="I3229" t="str" cm="1">
        <f t="array" ref="I3229">_xlfn.IFS(G3229&lt;3, "0–2 Years", G3229&lt;6, "3–5 Years", G3229&lt;9, "6–8 Years", G3229&lt;12, "9-11 Years", G3229&gt;=12, "12-14 Years")</f>
        <v>9-11 Years</v>
      </c>
      <c r="J3229">
        <v>4</v>
      </c>
      <c r="K3229" t="s">
        <v>20</v>
      </c>
      <c r="L3229">
        <v>115700</v>
      </c>
      <c r="M3229">
        <v>12600</v>
      </c>
      <c r="N3229">
        <v>128300</v>
      </c>
      <c r="O3229" t="s">
        <v>57</v>
      </c>
      <c r="P3229" s="3">
        <v>42198</v>
      </c>
      <c r="Q3229" t="s">
        <v>28</v>
      </c>
    </row>
    <row r="3230" spans="1:17" x14ac:dyDescent="0.35">
      <c r="A3230" t="s">
        <v>3282</v>
      </c>
      <c r="B3230" t="s">
        <v>23</v>
      </c>
      <c r="C3230">
        <v>26</v>
      </c>
      <c r="D3230" t="s">
        <v>44</v>
      </c>
      <c r="E3230" t="s">
        <v>51</v>
      </c>
      <c r="F3230" t="s">
        <v>28</v>
      </c>
      <c r="G3230">
        <v>9.5</v>
      </c>
      <c r="H3230">
        <v>6.9</v>
      </c>
      <c r="I3230" t="str" cm="1">
        <f t="array" ref="I3230">_xlfn.IFS(G3230&lt;3, "0–2 Years", G3230&lt;6, "3–5 Years", G3230&lt;9, "6–8 Years", G3230&lt;12, "9-11 Years", G3230&gt;=12, "12-14 Years")</f>
        <v>9-11 Years</v>
      </c>
      <c r="J3230">
        <v>2</v>
      </c>
      <c r="K3230" t="s">
        <v>20</v>
      </c>
      <c r="L3230">
        <v>82400</v>
      </c>
      <c r="M3230">
        <v>9000</v>
      </c>
      <c r="N3230">
        <v>91400</v>
      </c>
      <c r="O3230" t="s">
        <v>30</v>
      </c>
      <c r="P3230" s="3">
        <v>42538</v>
      </c>
      <c r="Q3230" t="s">
        <v>28</v>
      </c>
    </row>
    <row r="3231" spans="1:17" x14ac:dyDescent="0.35">
      <c r="A3231" t="s">
        <v>3283</v>
      </c>
      <c r="B3231" t="s">
        <v>23</v>
      </c>
      <c r="C3231">
        <v>30</v>
      </c>
      <c r="D3231" t="s">
        <v>38</v>
      </c>
      <c r="E3231" t="s">
        <v>39</v>
      </c>
      <c r="F3231" t="s">
        <v>36</v>
      </c>
      <c r="G3231">
        <v>6</v>
      </c>
      <c r="H3231">
        <v>4.7</v>
      </c>
      <c r="I3231" t="str" cm="1">
        <f t="array" ref="I3231">_xlfn.IFS(G3231&lt;3, "0–2 Years", G3231&lt;6, "3–5 Years", G3231&lt;9, "6–8 Years", G3231&lt;12, "9-11 Years", G3231&gt;=12, "12-14 Years")</f>
        <v>6–8 Years</v>
      </c>
      <c r="J3231">
        <v>3</v>
      </c>
      <c r="K3231" t="s">
        <v>20</v>
      </c>
      <c r="L3231">
        <v>87600</v>
      </c>
      <c r="M3231">
        <v>3900</v>
      </c>
      <c r="N3231">
        <v>91500</v>
      </c>
      <c r="O3231" t="s">
        <v>30</v>
      </c>
      <c r="P3231" s="3">
        <v>43818</v>
      </c>
      <c r="Q3231" t="s">
        <v>36</v>
      </c>
    </row>
    <row r="3232" spans="1:17" x14ac:dyDescent="0.35">
      <c r="A3232" t="s">
        <v>3284</v>
      </c>
      <c r="B3232" t="s">
        <v>23</v>
      </c>
      <c r="C3232">
        <v>31</v>
      </c>
      <c r="D3232" t="s">
        <v>17</v>
      </c>
      <c r="E3232" t="s">
        <v>18</v>
      </c>
      <c r="F3232" t="s">
        <v>36</v>
      </c>
      <c r="G3232">
        <v>1.5</v>
      </c>
      <c r="H3232">
        <v>0.5</v>
      </c>
      <c r="I3232" t="str" cm="1">
        <f t="array" ref="I3232">_xlfn.IFS(G3232&lt;3, "0–2 Years", G3232&lt;6, "3–5 Years", G3232&lt;9, "6–8 Years", G3232&lt;12, "9-11 Years", G3232&gt;=12, "12-14 Years")</f>
        <v>0–2 Years</v>
      </c>
      <c r="J3232">
        <v>4</v>
      </c>
      <c r="K3232" t="s">
        <v>20</v>
      </c>
      <c r="L3232">
        <v>87600</v>
      </c>
      <c r="M3232">
        <v>9200</v>
      </c>
      <c r="N3232">
        <v>96800</v>
      </c>
      <c r="O3232" t="s">
        <v>30</v>
      </c>
      <c r="P3232" s="3">
        <v>45460</v>
      </c>
      <c r="Q3232" t="s">
        <v>36</v>
      </c>
    </row>
    <row r="3233" spans="1:17" x14ac:dyDescent="0.35">
      <c r="A3233" t="s">
        <v>3285</v>
      </c>
      <c r="B3233" t="s">
        <v>16</v>
      </c>
      <c r="C3233">
        <v>26</v>
      </c>
      <c r="D3233" t="s">
        <v>17</v>
      </c>
      <c r="E3233" t="s">
        <v>27</v>
      </c>
      <c r="F3233" t="s">
        <v>28</v>
      </c>
      <c r="G3233">
        <v>11.3</v>
      </c>
      <c r="H3233">
        <v>8.3000000000000007</v>
      </c>
      <c r="I3233" t="str" cm="1">
        <f t="array" ref="I3233">_xlfn.IFS(G3233&lt;3, "0–2 Years", G3233&lt;6, "3–5 Years", G3233&lt;9, "6–8 Years", G3233&lt;12, "9-11 Years", G3233&gt;=12, "12-14 Years")</f>
        <v>9-11 Years</v>
      </c>
      <c r="J3233">
        <v>3</v>
      </c>
      <c r="K3233" t="s">
        <v>20</v>
      </c>
      <c r="L3233">
        <v>87700</v>
      </c>
      <c r="M3233">
        <v>5300</v>
      </c>
      <c r="N3233">
        <v>93000</v>
      </c>
      <c r="O3233" t="s">
        <v>30</v>
      </c>
      <c r="P3233" s="3">
        <v>41903</v>
      </c>
      <c r="Q3233" t="s">
        <v>28</v>
      </c>
    </row>
    <row r="3234" spans="1:17" x14ac:dyDescent="0.35">
      <c r="A3234" t="s">
        <v>3286</v>
      </c>
      <c r="B3234" t="s">
        <v>23</v>
      </c>
      <c r="C3234">
        <v>34</v>
      </c>
      <c r="D3234" t="s">
        <v>38</v>
      </c>
      <c r="E3234" t="s">
        <v>112</v>
      </c>
      <c r="F3234" t="s">
        <v>28</v>
      </c>
      <c r="G3234">
        <v>7.2</v>
      </c>
      <c r="H3234">
        <v>3.9</v>
      </c>
      <c r="I3234" t="str" cm="1">
        <f t="array" ref="I3234">_xlfn.IFS(G3234&lt;3, "0–2 Years", G3234&lt;6, "3–5 Years", G3234&lt;9, "6–8 Years", G3234&lt;12, "9-11 Years", G3234&gt;=12, "12-14 Years")</f>
        <v>6–8 Years</v>
      </c>
      <c r="J3234">
        <v>2</v>
      </c>
      <c r="K3234" t="s">
        <v>20</v>
      </c>
      <c r="L3234">
        <v>63100</v>
      </c>
      <c r="M3234">
        <v>2500</v>
      </c>
      <c r="N3234">
        <v>65600</v>
      </c>
      <c r="O3234" t="s">
        <v>25</v>
      </c>
      <c r="P3234" s="3">
        <v>43397</v>
      </c>
      <c r="Q3234" t="s">
        <v>28</v>
      </c>
    </row>
    <row r="3235" spans="1:17" x14ac:dyDescent="0.35">
      <c r="A3235" t="s">
        <v>3287</v>
      </c>
      <c r="B3235" t="s">
        <v>16</v>
      </c>
      <c r="C3235">
        <v>22</v>
      </c>
      <c r="D3235" t="s">
        <v>55</v>
      </c>
      <c r="E3235" t="s">
        <v>92</v>
      </c>
      <c r="F3235" t="s">
        <v>28</v>
      </c>
      <c r="G3235">
        <v>2.1</v>
      </c>
      <c r="H3235">
        <v>2.1</v>
      </c>
      <c r="I3235" t="str" cm="1">
        <f t="array" ref="I3235">_xlfn.IFS(G3235&lt;3, "0–2 Years", G3235&lt;6, "3–5 Years", G3235&lt;9, "6–8 Years", G3235&lt;12, "9-11 Years", G3235&gt;=12, "12-14 Years")</f>
        <v>0–2 Years</v>
      </c>
      <c r="J3235">
        <v>2</v>
      </c>
      <c r="K3235" t="s">
        <v>20</v>
      </c>
      <c r="L3235">
        <v>100300</v>
      </c>
      <c r="M3235">
        <v>8100</v>
      </c>
      <c r="N3235">
        <v>108400</v>
      </c>
      <c r="O3235" t="s">
        <v>57</v>
      </c>
      <c r="P3235" s="3">
        <v>45258</v>
      </c>
      <c r="Q3235" t="s">
        <v>28</v>
      </c>
    </row>
    <row r="3236" spans="1:17" x14ac:dyDescent="0.35">
      <c r="A3236" t="s">
        <v>3288</v>
      </c>
      <c r="B3236" t="s">
        <v>16</v>
      </c>
      <c r="C3236" s="7">
        <v>39</v>
      </c>
      <c r="D3236" t="s">
        <v>34</v>
      </c>
      <c r="E3236" t="s">
        <v>47</v>
      </c>
      <c r="F3236" t="s">
        <v>28</v>
      </c>
      <c r="G3236" s="9">
        <v>13.7</v>
      </c>
      <c r="H3236" s="7">
        <v>10.6</v>
      </c>
      <c r="I3236" t="str" cm="1">
        <f t="array" ref="I3236">_xlfn.IFS(G3236&lt;3, "0–2 Years", G3236&lt;6, "3–5 Years", G3236&lt;9, "6–8 Years", G3236&lt;12, "9-11 Years", G3236&gt;=12, "12-14 Years")</f>
        <v>12-14 Years</v>
      </c>
      <c r="J3236" s="7">
        <v>3</v>
      </c>
      <c r="K3236" t="s">
        <v>24</v>
      </c>
      <c r="L3236" s="7">
        <v>54600</v>
      </c>
      <c r="M3236" s="7">
        <v>6200</v>
      </c>
      <c r="N3236" s="7">
        <v>60800</v>
      </c>
      <c r="O3236" t="s">
        <v>25</v>
      </c>
      <c r="P3236" s="3">
        <v>41024</v>
      </c>
      <c r="Q3236" t="s">
        <v>28</v>
      </c>
    </row>
    <row r="3237" spans="1:17" x14ac:dyDescent="0.35">
      <c r="A3237" t="s">
        <v>3289</v>
      </c>
      <c r="B3237" t="s">
        <v>16</v>
      </c>
      <c r="C3237">
        <v>39</v>
      </c>
      <c r="D3237" t="s">
        <v>44</v>
      </c>
      <c r="E3237" t="s">
        <v>51</v>
      </c>
      <c r="F3237" t="s">
        <v>28</v>
      </c>
      <c r="G3237">
        <v>11</v>
      </c>
      <c r="H3237">
        <v>8</v>
      </c>
      <c r="I3237" t="str" cm="1">
        <f t="array" ref="I3237">_xlfn.IFS(G3237&lt;3, "0–2 Years", G3237&lt;6, "3–5 Years", G3237&lt;9, "6–8 Years", G3237&lt;12, "9-11 Years", G3237&gt;=12, "12-14 Years")</f>
        <v>9-11 Years</v>
      </c>
      <c r="J3237">
        <v>4</v>
      </c>
      <c r="K3237" t="s">
        <v>20</v>
      </c>
      <c r="L3237">
        <v>87800</v>
      </c>
      <c r="M3237">
        <v>9500</v>
      </c>
      <c r="N3237">
        <v>97300</v>
      </c>
      <c r="O3237" t="s">
        <v>30</v>
      </c>
      <c r="P3237" s="3">
        <v>42009</v>
      </c>
      <c r="Q3237" t="s">
        <v>28</v>
      </c>
    </row>
    <row r="3238" spans="1:17" x14ac:dyDescent="0.35">
      <c r="A3238" t="s">
        <v>3290</v>
      </c>
      <c r="B3238" t="s">
        <v>23</v>
      </c>
      <c r="C3238">
        <v>31</v>
      </c>
      <c r="D3238" t="s">
        <v>55</v>
      </c>
      <c r="E3238" t="s">
        <v>56</v>
      </c>
      <c r="F3238" t="s">
        <v>62</v>
      </c>
      <c r="G3238">
        <v>7.6</v>
      </c>
      <c r="H3238">
        <v>5.5</v>
      </c>
      <c r="I3238" t="str" cm="1">
        <f t="array" ref="I3238">_xlfn.IFS(G3238&lt;3, "0–2 Years", G3238&lt;6, "3–5 Years", G3238&lt;9, "6–8 Years", G3238&lt;12, "9-11 Years", G3238&gt;=12, "12-14 Years")</f>
        <v>6–8 Years</v>
      </c>
      <c r="J3238">
        <v>4</v>
      </c>
      <c r="K3238" t="s">
        <v>20</v>
      </c>
      <c r="L3238">
        <v>101300</v>
      </c>
      <c r="M3238">
        <v>9800</v>
      </c>
      <c r="N3238">
        <v>111100</v>
      </c>
      <c r="O3238" t="s">
        <v>57</v>
      </c>
      <c r="P3238" s="3">
        <v>43251</v>
      </c>
      <c r="Q3238" t="s">
        <v>62</v>
      </c>
    </row>
    <row r="3239" spans="1:17" x14ac:dyDescent="0.35">
      <c r="A3239" t="s">
        <v>3291</v>
      </c>
      <c r="B3239" t="s">
        <v>16</v>
      </c>
      <c r="C3239">
        <v>21</v>
      </c>
      <c r="D3239" t="s">
        <v>17</v>
      </c>
      <c r="E3239" t="s">
        <v>27</v>
      </c>
      <c r="F3239" t="s">
        <v>19</v>
      </c>
      <c r="G3239">
        <v>1.3</v>
      </c>
      <c r="H3239">
        <v>0</v>
      </c>
      <c r="I3239" t="str" cm="1">
        <f t="array" ref="I3239">_xlfn.IFS(G3239&lt;3, "0–2 Years", G3239&lt;6, "3–5 Years", G3239&lt;9, "6–8 Years", G3239&lt;12, "9-11 Years", G3239&gt;=12, "12-14 Years")</f>
        <v>0–2 Years</v>
      </c>
      <c r="J3239">
        <v>3</v>
      </c>
      <c r="K3239" t="s">
        <v>20</v>
      </c>
      <c r="L3239">
        <v>64700</v>
      </c>
      <c r="M3239">
        <v>5400</v>
      </c>
      <c r="N3239">
        <v>70100</v>
      </c>
      <c r="O3239" t="s">
        <v>25</v>
      </c>
      <c r="P3239" s="3">
        <v>45535</v>
      </c>
      <c r="Q3239" t="s">
        <v>19</v>
      </c>
    </row>
    <row r="3240" spans="1:17" x14ac:dyDescent="0.35">
      <c r="A3240" t="s">
        <v>3292</v>
      </c>
      <c r="B3240" t="s">
        <v>16</v>
      </c>
      <c r="C3240" s="7">
        <v>21</v>
      </c>
      <c r="D3240" t="s">
        <v>17</v>
      </c>
      <c r="E3240" t="s">
        <v>27</v>
      </c>
      <c r="F3240" t="s">
        <v>62</v>
      </c>
      <c r="G3240" s="9">
        <v>12.9</v>
      </c>
      <c r="H3240" s="7">
        <v>11.6</v>
      </c>
      <c r="I3240" t="str" cm="1">
        <f t="array" ref="I3240">_xlfn.IFS(G3240&lt;3, "0–2 Years", G3240&lt;6, "3–5 Years", G3240&lt;9, "6–8 Years", G3240&lt;12, "9-11 Years", G3240&gt;=12, "12-14 Years")</f>
        <v>12-14 Years</v>
      </c>
      <c r="J3240" s="7">
        <v>4</v>
      </c>
      <c r="K3240" t="s">
        <v>69</v>
      </c>
      <c r="L3240" s="7">
        <v>78100</v>
      </c>
      <c r="M3240" s="7">
        <v>8400</v>
      </c>
      <c r="N3240" s="7">
        <v>86500</v>
      </c>
      <c r="O3240" t="s">
        <v>21</v>
      </c>
      <c r="P3240" s="3">
        <v>41313</v>
      </c>
      <c r="Q3240" t="s">
        <v>62</v>
      </c>
    </row>
    <row r="3241" spans="1:17" x14ac:dyDescent="0.35">
      <c r="A3241" t="s">
        <v>3293</v>
      </c>
      <c r="B3241" t="s">
        <v>23</v>
      </c>
      <c r="C3241">
        <v>36</v>
      </c>
      <c r="D3241" t="s">
        <v>34</v>
      </c>
      <c r="E3241" t="s">
        <v>47</v>
      </c>
      <c r="F3241" t="s">
        <v>36</v>
      </c>
      <c r="G3241">
        <v>7.6</v>
      </c>
      <c r="H3241">
        <v>4.2</v>
      </c>
      <c r="I3241" t="str" cm="1">
        <f t="array" ref="I3241">_xlfn.IFS(G3241&lt;3, "0–2 Years", G3241&lt;6, "3–5 Years", G3241&lt;9, "6–8 Years", G3241&lt;12, "9-11 Years", G3241&gt;=12, "12-14 Years")</f>
        <v>6–8 Years</v>
      </c>
      <c r="J3241">
        <v>3</v>
      </c>
      <c r="K3241" t="s">
        <v>20</v>
      </c>
      <c r="L3241">
        <v>81000</v>
      </c>
      <c r="M3241">
        <v>4000</v>
      </c>
      <c r="N3241">
        <v>85000</v>
      </c>
      <c r="O3241" t="s">
        <v>30</v>
      </c>
      <c r="P3241" s="3">
        <v>43264</v>
      </c>
      <c r="Q3241" t="s">
        <v>36</v>
      </c>
    </row>
    <row r="3242" spans="1:17" x14ac:dyDescent="0.35">
      <c r="A3242" t="s">
        <v>3294</v>
      </c>
      <c r="B3242" t="s">
        <v>16</v>
      </c>
      <c r="C3242">
        <v>32</v>
      </c>
      <c r="D3242" t="s">
        <v>34</v>
      </c>
      <c r="E3242" t="s">
        <v>47</v>
      </c>
      <c r="F3242" t="s">
        <v>62</v>
      </c>
      <c r="G3242">
        <v>7.6</v>
      </c>
      <c r="H3242">
        <v>4.4000000000000004</v>
      </c>
      <c r="I3242" t="str" cm="1">
        <f t="array" ref="I3242">_xlfn.IFS(G3242&lt;3, "0–2 Years", G3242&lt;6, "3–5 Years", G3242&lt;9, "6–8 Years", G3242&lt;12, "9-11 Years", G3242&gt;=12, "12-14 Years")</f>
        <v>6–8 Years</v>
      </c>
      <c r="J3242">
        <v>2</v>
      </c>
      <c r="K3242" t="s">
        <v>69</v>
      </c>
      <c r="L3242">
        <v>69700</v>
      </c>
      <c r="M3242">
        <v>5800</v>
      </c>
      <c r="N3242">
        <v>75500</v>
      </c>
      <c r="O3242" t="s">
        <v>21</v>
      </c>
      <c r="P3242" s="3">
        <v>43249</v>
      </c>
      <c r="Q3242" t="s">
        <v>62</v>
      </c>
    </row>
    <row r="3243" spans="1:17" x14ac:dyDescent="0.35">
      <c r="A3243" t="s">
        <v>3295</v>
      </c>
      <c r="B3243" t="s">
        <v>23</v>
      </c>
      <c r="C3243">
        <v>36</v>
      </c>
      <c r="D3243" t="s">
        <v>41</v>
      </c>
      <c r="E3243" t="s">
        <v>67</v>
      </c>
      <c r="F3243" t="s">
        <v>28</v>
      </c>
      <c r="G3243">
        <v>10.8</v>
      </c>
      <c r="H3243">
        <v>7.9</v>
      </c>
      <c r="I3243" t="str" cm="1">
        <f t="array" ref="I3243">_xlfn.IFS(G3243&lt;3, "0–2 Years", G3243&lt;6, "3–5 Years", G3243&lt;9, "6–8 Years", G3243&lt;12, "9-11 Years", G3243&gt;=12, "12-14 Years")</f>
        <v>9-11 Years</v>
      </c>
      <c r="J3243">
        <v>4</v>
      </c>
      <c r="K3243" t="s">
        <v>69</v>
      </c>
      <c r="L3243">
        <v>58500</v>
      </c>
      <c r="M3243">
        <v>2600</v>
      </c>
      <c r="N3243">
        <v>61100</v>
      </c>
      <c r="O3243" t="s">
        <v>25</v>
      </c>
      <c r="P3243" s="3">
        <v>42081</v>
      </c>
      <c r="Q3243" t="s">
        <v>28</v>
      </c>
    </row>
    <row r="3244" spans="1:17" x14ac:dyDescent="0.35">
      <c r="A3244" t="s">
        <v>3296</v>
      </c>
      <c r="B3244" t="s">
        <v>23</v>
      </c>
      <c r="C3244">
        <v>33</v>
      </c>
      <c r="D3244" t="s">
        <v>55</v>
      </c>
      <c r="E3244" t="s">
        <v>79</v>
      </c>
      <c r="F3244" t="s">
        <v>28</v>
      </c>
      <c r="G3244">
        <v>6.5</v>
      </c>
      <c r="H3244">
        <v>3.1</v>
      </c>
      <c r="I3244" t="str" cm="1">
        <f t="array" ref="I3244">_xlfn.IFS(G3244&lt;3, "0–2 Years", G3244&lt;6, "3–5 Years", G3244&lt;9, "6–8 Years", G3244&lt;12, "9-11 Years", G3244&gt;=12, "12-14 Years")</f>
        <v>6–8 Years</v>
      </c>
      <c r="J3244">
        <v>4</v>
      </c>
      <c r="K3244" t="s">
        <v>20</v>
      </c>
      <c r="L3244">
        <v>64600</v>
      </c>
      <c r="M3244">
        <v>12700</v>
      </c>
      <c r="N3244">
        <v>77300</v>
      </c>
      <c r="O3244" t="s">
        <v>25</v>
      </c>
      <c r="P3244" s="3">
        <v>43631</v>
      </c>
      <c r="Q3244" t="s">
        <v>28</v>
      </c>
    </row>
    <row r="3245" spans="1:17" x14ac:dyDescent="0.35">
      <c r="A3245" t="s">
        <v>3297</v>
      </c>
      <c r="B3245" t="s">
        <v>23</v>
      </c>
      <c r="C3245">
        <v>41</v>
      </c>
      <c r="D3245" t="s">
        <v>17</v>
      </c>
      <c r="E3245" t="s">
        <v>32</v>
      </c>
      <c r="F3245" t="s">
        <v>28</v>
      </c>
      <c r="G3245">
        <v>3</v>
      </c>
      <c r="H3245">
        <v>3</v>
      </c>
      <c r="I3245" t="str" cm="1">
        <f t="array" ref="I3245">_xlfn.IFS(G3245&lt;3, "0–2 Years", G3245&lt;6, "3–5 Years", G3245&lt;9, "6–8 Years", G3245&lt;12, "9-11 Years", G3245&gt;=12, "12-14 Years")</f>
        <v>3–5 Years</v>
      </c>
      <c r="J3245">
        <v>3</v>
      </c>
      <c r="K3245" t="s">
        <v>20</v>
      </c>
      <c r="L3245">
        <v>63700</v>
      </c>
      <c r="M3245">
        <v>8100</v>
      </c>
      <c r="N3245">
        <v>71800</v>
      </c>
      <c r="O3245" t="s">
        <v>25</v>
      </c>
      <c r="P3245" s="3">
        <v>44930</v>
      </c>
      <c r="Q3245" t="s">
        <v>28</v>
      </c>
    </row>
    <row r="3246" spans="1:17" x14ac:dyDescent="0.35">
      <c r="A3246" t="s">
        <v>3298</v>
      </c>
      <c r="B3246" t="s">
        <v>16</v>
      </c>
      <c r="C3246">
        <v>37</v>
      </c>
      <c r="D3246" t="s">
        <v>17</v>
      </c>
      <c r="E3246" t="s">
        <v>32</v>
      </c>
      <c r="F3246" t="s">
        <v>28</v>
      </c>
      <c r="G3246">
        <v>9.6</v>
      </c>
      <c r="H3246">
        <v>6.6</v>
      </c>
      <c r="I3246" t="str" cm="1">
        <f t="array" ref="I3246">_xlfn.IFS(G3246&lt;3, "0–2 Years", G3246&lt;6, "3–5 Years", G3246&lt;9, "6–8 Years", G3246&lt;12, "9-11 Years", G3246&gt;=12, "12-14 Years")</f>
        <v>9-11 Years</v>
      </c>
      <c r="J3246">
        <v>3</v>
      </c>
      <c r="K3246" t="s">
        <v>20</v>
      </c>
      <c r="L3246">
        <v>71400</v>
      </c>
      <c r="M3246">
        <v>3700</v>
      </c>
      <c r="N3246">
        <v>75100</v>
      </c>
      <c r="O3246" t="s">
        <v>21</v>
      </c>
      <c r="P3246" s="3">
        <v>42500</v>
      </c>
      <c r="Q3246" t="s">
        <v>28</v>
      </c>
    </row>
    <row r="3247" spans="1:17" x14ac:dyDescent="0.35">
      <c r="A3247" t="s">
        <v>3299</v>
      </c>
      <c r="B3247" t="s">
        <v>23</v>
      </c>
      <c r="C3247">
        <v>42</v>
      </c>
      <c r="D3247" t="s">
        <v>38</v>
      </c>
      <c r="E3247" t="s">
        <v>39</v>
      </c>
      <c r="F3247" t="s">
        <v>36</v>
      </c>
      <c r="G3247">
        <v>5.7</v>
      </c>
      <c r="H3247">
        <v>5.7</v>
      </c>
      <c r="I3247" t="str" cm="1">
        <f t="array" ref="I3247">_xlfn.IFS(G3247&lt;3, "0–2 Years", G3247&lt;6, "3–5 Years", G3247&lt;9, "6–8 Years", G3247&lt;12, "9-11 Years", G3247&gt;=12, "12-14 Years")</f>
        <v>3–5 Years</v>
      </c>
      <c r="J3247">
        <v>3</v>
      </c>
      <c r="K3247" t="s">
        <v>20</v>
      </c>
      <c r="L3247">
        <v>77400</v>
      </c>
      <c r="M3247">
        <v>7800</v>
      </c>
      <c r="N3247">
        <v>85200</v>
      </c>
      <c r="O3247" t="s">
        <v>21</v>
      </c>
      <c r="P3247" s="3">
        <v>43954</v>
      </c>
      <c r="Q3247" t="s">
        <v>36</v>
      </c>
    </row>
    <row r="3248" spans="1:17" x14ac:dyDescent="0.35">
      <c r="A3248" t="s">
        <v>3300</v>
      </c>
      <c r="B3248" t="s">
        <v>23</v>
      </c>
      <c r="C3248">
        <v>38</v>
      </c>
      <c r="D3248" t="s">
        <v>44</v>
      </c>
      <c r="E3248" t="s">
        <v>81</v>
      </c>
      <c r="F3248" t="s">
        <v>28</v>
      </c>
      <c r="G3248">
        <v>7</v>
      </c>
      <c r="H3248">
        <v>3.4</v>
      </c>
      <c r="I3248" t="str" cm="1">
        <f t="array" ref="I3248">_xlfn.IFS(G3248&lt;3, "0–2 Years", G3248&lt;6, "3–5 Years", G3248&lt;9, "6–8 Years", G3248&lt;12, "9-11 Years", G3248&gt;=12, "12-14 Years")</f>
        <v>6–8 Years</v>
      </c>
      <c r="J3248">
        <v>3</v>
      </c>
      <c r="K3248" t="s">
        <v>20</v>
      </c>
      <c r="L3248">
        <v>106700</v>
      </c>
      <c r="M3248">
        <v>7600</v>
      </c>
      <c r="N3248">
        <v>114300</v>
      </c>
      <c r="O3248" t="s">
        <v>57</v>
      </c>
      <c r="P3248" s="3">
        <v>43484</v>
      </c>
      <c r="Q3248" t="s">
        <v>28</v>
      </c>
    </row>
    <row r="3249" spans="1:17" x14ac:dyDescent="0.35">
      <c r="A3249" t="s">
        <v>3301</v>
      </c>
      <c r="B3249" t="s">
        <v>16</v>
      </c>
      <c r="C3249">
        <v>29</v>
      </c>
      <c r="D3249" t="s">
        <v>55</v>
      </c>
      <c r="E3249" t="s">
        <v>79</v>
      </c>
      <c r="F3249" t="s">
        <v>36</v>
      </c>
      <c r="G3249">
        <v>10.6</v>
      </c>
      <c r="H3249">
        <v>7.3</v>
      </c>
      <c r="I3249" t="str" cm="1">
        <f t="array" ref="I3249">_xlfn.IFS(G3249&lt;3, "0–2 Years", G3249&lt;6, "3–5 Years", G3249&lt;9, "6–8 Years", G3249&lt;12, "9-11 Years", G3249&gt;=12, "12-14 Years")</f>
        <v>9-11 Years</v>
      </c>
      <c r="J3249">
        <v>3</v>
      </c>
      <c r="K3249" t="s">
        <v>24</v>
      </c>
      <c r="L3249">
        <v>46200</v>
      </c>
      <c r="M3249">
        <v>5200</v>
      </c>
      <c r="N3249">
        <v>51400</v>
      </c>
      <c r="O3249" t="s">
        <v>65</v>
      </c>
      <c r="P3249" s="3">
        <v>42147</v>
      </c>
      <c r="Q3249" t="s">
        <v>36</v>
      </c>
    </row>
    <row r="3250" spans="1:17" x14ac:dyDescent="0.35">
      <c r="A3250" t="s">
        <v>3302</v>
      </c>
      <c r="B3250" t="s">
        <v>16</v>
      </c>
      <c r="C3250">
        <v>30</v>
      </c>
      <c r="D3250" t="s">
        <v>55</v>
      </c>
      <c r="E3250" t="s">
        <v>56</v>
      </c>
      <c r="F3250" t="s">
        <v>28</v>
      </c>
      <c r="G3250">
        <v>3</v>
      </c>
      <c r="H3250">
        <v>2.5</v>
      </c>
      <c r="I3250" t="str" cm="1">
        <f t="array" ref="I3250">_xlfn.IFS(G3250&lt;3, "0–2 Years", G3250&lt;6, "3–5 Years", G3250&lt;9, "6–8 Years", G3250&lt;12, "9-11 Years", G3250&gt;=12, "12-14 Years")</f>
        <v>3–5 Years</v>
      </c>
      <c r="J3250">
        <v>5</v>
      </c>
      <c r="K3250" t="s">
        <v>24</v>
      </c>
      <c r="L3250">
        <v>60700</v>
      </c>
      <c r="M3250">
        <v>12300</v>
      </c>
      <c r="N3250">
        <v>73000</v>
      </c>
      <c r="O3250" t="s">
        <v>25</v>
      </c>
      <c r="P3250" s="3">
        <v>44915</v>
      </c>
      <c r="Q3250" t="s">
        <v>28</v>
      </c>
    </row>
    <row r="3251" spans="1:17" x14ac:dyDescent="0.35">
      <c r="A3251" t="s">
        <v>3303</v>
      </c>
      <c r="B3251" t="s">
        <v>16</v>
      </c>
      <c r="C3251" s="7">
        <v>27</v>
      </c>
      <c r="D3251" t="s">
        <v>44</v>
      </c>
      <c r="E3251" t="s">
        <v>51</v>
      </c>
      <c r="F3251" t="s">
        <v>19</v>
      </c>
      <c r="G3251" s="9">
        <v>12.8</v>
      </c>
      <c r="H3251" s="7">
        <v>7.5</v>
      </c>
      <c r="I3251" t="str" cm="1">
        <f t="array" ref="I3251">_xlfn.IFS(G3251&lt;3, "0–2 Years", G3251&lt;6, "3–5 Years", G3251&lt;9, "6–8 Years", G3251&lt;12, "9-11 Years", G3251&gt;=12, "12-14 Years")</f>
        <v>12-14 Years</v>
      </c>
      <c r="J3251" s="7">
        <v>2</v>
      </c>
      <c r="K3251" t="s">
        <v>20</v>
      </c>
      <c r="L3251" s="7">
        <v>70600</v>
      </c>
      <c r="M3251" s="7">
        <v>3800</v>
      </c>
      <c r="N3251" s="7">
        <v>74400</v>
      </c>
      <c r="O3251" t="s">
        <v>21</v>
      </c>
      <c r="P3251" s="3">
        <v>41361</v>
      </c>
      <c r="Q3251" t="s">
        <v>19</v>
      </c>
    </row>
    <row r="3252" spans="1:17" x14ac:dyDescent="0.35">
      <c r="A3252" t="s">
        <v>3304</v>
      </c>
      <c r="B3252" t="s">
        <v>16</v>
      </c>
      <c r="C3252">
        <v>36</v>
      </c>
      <c r="D3252" t="s">
        <v>41</v>
      </c>
      <c r="E3252" t="s">
        <v>42</v>
      </c>
      <c r="F3252" t="s">
        <v>36</v>
      </c>
      <c r="G3252">
        <v>1.9</v>
      </c>
      <c r="H3252">
        <v>1.9</v>
      </c>
      <c r="I3252" t="str" cm="1">
        <f t="array" ref="I3252">_xlfn.IFS(G3252&lt;3, "0–2 Years", G3252&lt;6, "3–5 Years", G3252&lt;9, "6–8 Years", G3252&lt;12, "9-11 Years", G3252&gt;=12, "12-14 Years")</f>
        <v>0–2 Years</v>
      </c>
      <c r="J3252">
        <v>1</v>
      </c>
      <c r="K3252" t="s">
        <v>20</v>
      </c>
      <c r="L3252">
        <v>75200</v>
      </c>
      <c r="M3252">
        <v>3100</v>
      </c>
      <c r="N3252">
        <v>78300</v>
      </c>
      <c r="O3252" t="s">
        <v>21</v>
      </c>
      <c r="P3252" s="3">
        <v>45314</v>
      </c>
      <c r="Q3252" t="s">
        <v>36</v>
      </c>
    </row>
    <row r="3253" spans="1:17" x14ac:dyDescent="0.35">
      <c r="A3253" t="s">
        <v>3305</v>
      </c>
      <c r="B3253" t="s">
        <v>23</v>
      </c>
      <c r="C3253">
        <v>34</v>
      </c>
      <c r="D3253" t="s">
        <v>34</v>
      </c>
      <c r="E3253" t="s">
        <v>59</v>
      </c>
      <c r="F3253" t="s">
        <v>28</v>
      </c>
      <c r="G3253">
        <v>11.2</v>
      </c>
      <c r="H3253">
        <v>8</v>
      </c>
      <c r="I3253" t="str" cm="1">
        <f t="array" ref="I3253">_xlfn.IFS(G3253&lt;3, "0–2 Years", G3253&lt;6, "3–5 Years", G3253&lt;9, "6–8 Years", G3253&lt;12, "9-11 Years", G3253&gt;=12, "12-14 Years")</f>
        <v>9-11 Years</v>
      </c>
      <c r="J3253">
        <v>3</v>
      </c>
      <c r="K3253" t="s">
        <v>20</v>
      </c>
      <c r="L3253">
        <v>109800</v>
      </c>
      <c r="M3253">
        <v>8800</v>
      </c>
      <c r="N3253">
        <v>118600</v>
      </c>
      <c r="O3253" t="s">
        <v>57</v>
      </c>
      <c r="P3253" s="3">
        <v>41937</v>
      </c>
      <c r="Q3253" t="s">
        <v>28</v>
      </c>
    </row>
    <row r="3254" spans="1:17" x14ac:dyDescent="0.35">
      <c r="A3254" t="s">
        <v>3306</v>
      </c>
      <c r="B3254" t="s">
        <v>23</v>
      </c>
      <c r="C3254">
        <v>50</v>
      </c>
      <c r="D3254" t="s">
        <v>17</v>
      </c>
      <c r="E3254" t="s">
        <v>18</v>
      </c>
      <c r="F3254" t="s">
        <v>36</v>
      </c>
      <c r="G3254">
        <v>6.1</v>
      </c>
      <c r="H3254">
        <v>5.8</v>
      </c>
      <c r="I3254" t="str" cm="1">
        <f t="array" ref="I3254">_xlfn.IFS(G3254&lt;3, "0–2 Years", G3254&lt;6, "3–5 Years", G3254&lt;9, "6–8 Years", G3254&lt;12, "9-11 Years", G3254&gt;=12, "12-14 Years")</f>
        <v>6–8 Years</v>
      </c>
      <c r="J3254">
        <v>3</v>
      </c>
      <c r="K3254" t="s">
        <v>20</v>
      </c>
      <c r="L3254">
        <v>94800</v>
      </c>
      <c r="M3254">
        <v>9700</v>
      </c>
      <c r="N3254">
        <v>104500</v>
      </c>
      <c r="O3254" t="s">
        <v>30</v>
      </c>
      <c r="P3254" s="3">
        <v>43797</v>
      </c>
      <c r="Q3254" t="s">
        <v>36</v>
      </c>
    </row>
    <row r="3255" spans="1:17" x14ac:dyDescent="0.35">
      <c r="A3255" t="s">
        <v>3307</v>
      </c>
      <c r="B3255" t="s">
        <v>16</v>
      </c>
      <c r="C3255">
        <v>25</v>
      </c>
      <c r="D3255" t="s">
        <v>55</v>
      </c>
      <c r="E3255" t="s">
        <v>92</v>
      </c>
      <c r="F3255" t="s">
        <v>36</v>
      </c>
      <c r="G3255">
        <v>8.4</v>
      </c>
      <c r="H3255">
        <v>6.1</v>
      </c>
      <c r="I3255" t="str" cm="1">
        <f t="array" ref="I3255">_xlfn.IFS(G3255&lt;3, "0–2 Years", G3255&lt;6, "3–5 Years", G3255&lt;9, "6–8 Years", G3255&lt;12, "9-11 Years", G3255&gt;=12, "12-14 Years")</f>
        <v>6–8 Years</v>
      </c>
      <c r="J3255">
        <v>4</v>
      </c>
      <c r="K3255" t="s">
        <v>20</v>
      </c>
      <c r="L3255">
        <v>126000</v>
      </c>
      <c r="M3255">
        <v>8900</v>
      </c>
      <c r="N3255">
        <v>134900</v>
      </c>
      <c r="O3255" t="s">
        <v>57</v>
      </c>
      <c r="P3255" s="3">
        <v>42962</v>
      </c>
      <c r="Q3255" t="s">
        <v>36</v>
      </c>
    </row>
    <row r="3256" spans="1:17" x14ac:dyDescent="0.35">
      <c r="A3256" t="s">
        <v>3308</v>
      </c>
      <c r="B3256" t="s">
        <v>16</v>
      </c>
      <c r="C3256">
        <v>33</v>
      </c>
      <c r="D3256" t="s">
        <v>41</v>
      </c>
      <c r="E3256" t="s">
        <v>73</v>
      </c>
      <c r="F3256" t="s">
        <v>19</v>
      </c>
      <c r="G3256">
        <v>2.9</v>
      </c>
      <c r="H3256">
        <v>1.5</v>
      </c>
      <c r="I3256" t="str" cm="1">
        <f t="array" ref="I3256">_xlfn.IFS(G3256&lt;3, "0–2 Years", G3256&lt;6, "3–5 Years", G3256&lt;9, "6–8 Years", G3256&lt;12, "9-11 Years", G3256&gt;=12, "12-14 Years")</f>
        <v>0–2 Years</v>
      </c>
      <c r="J3256">
        <v>4</v>
      </c>
      <c r="K3256" t="s">
        <v>20</v>
      </c>
      <c r="L3256">
        <v>97100</v>
      </c>
      <c r="M3256">
        <v>6500</v>
      </c>
      <c r="N3256">
        <v>103600</v>
      </c>
      <c r="O3256" t="s">
        <v>30</v>
      </c>
      <c r="P3256" s="3">
        <v>44951</v>
      </c>
      <c r="Q3256" t="s">
        <v>19</v>
      </c>
    </row>
    <row r="3257" spans="1:17" x14ac:dyDescent="0.35">
      <c r="A3257" t="s">
        <v>3309</v>
      </c>
      <c r="B3257" t="s">
        <v>23</v>
      </c>
      <c r="C3257">
        <v>40</v>
      </c>
      <c r="D3257" t="s">
        <v>38</v>
      </c>
      <c r="E3257" t="s">
        <v>39</v>
      </c>
      <c r="F3257" t="s">
        <v>28</v>
      </c>
      <c r="G3257">
        <v>2.2999999999999998</v>
      </c>
      <c r="H3257">
        <v>0.6</v>
      </c>
      <c r="I3257" t="str" cm="1">
        <f t="array" ref="I3257">_xlfn.IFS(G3257&lt;3, "0–2 Years", G3257&lt;6, "3–5 Years", G3257&lt;9, "6–8 Years", G3257&lt;12, "9-11 Years", G3257&gt;=12, "12-14 Years")</f>
        <v>0–2 Years</v>
      </c>
      <c r="J3257">
        <v>3</v>
      </c>
      <c r="K3257" t="s">
        <v>20</v>
      </c>
      <c r="L3257">
        <v>69500</v>
      </c>
      <c r="M3257">
        <v>2500</v>
      </c>
      <c r="N3257">
        <v>72000</v>
      </c>
      <c r="O3257" t="s">
        <v>21</v>
      </c>
      <c r="P3257" s="3">
        <v>45193</v>
      </c>
      <c r="Q3257" t="s">
        <v>28</v>
      </c>
    </row>
    <row r="3258" spans="1:17" x14ac:dyDescent="0.35">
      <c r="A3258" t="s">
        <v>3310</v>
      </c>
      <c r="B3258" t="s">
        <v>23</v>
      </c>
      <c r="C3258" s="7">
        <v>36</v>
      </c>
      <c r="D3258" t="s">
        <v>17</v>
      </c>
      <c r="E3258" t="s">
        <v>27</v>
      </c>
      <c r="F3258" t="s">
        <v>36</v>
      </c>
      <c r="G3258" s="9">
        <v>13</v>
      </c>
      <c r="H3258" s="7">
        <v>8.4</v>
      </c>
      <c r="I3258" t="str" cm="1">
        <f t="array" ref="I3258">_xlfn.IFS(G3258&lt;3, "0–2 Years", G3258&lt;6, "3–5 Years", G3258&lt;9, "6–8 Years", G3258&lt;12, "9-11 Years", G3258&gt;=12, "12-14 Years")</f>
        <v>12-14 Years</v>
      </c>
      <c r="J3258" s="7">
        <v>3</v>
      </c>
      <c r="K3258" t="s">
        <v>20</v>
      </c>
      <c r="L3258" s="7">
        <v>80200</v>
      </c>
      <c r="M3258" s="7">
        <v>6100</v>
      </c>
      <c r="N3258" s="7">
        <v>86300</v>
      </c>
      <c r="O3258" t="s">
        <v>30</v>
      </c>
      <c r="P3258" s="3">
        <v>41292</v>
      </c>
      <c r="Q3258" t="s">
        <v>36</v>
      </c>
    </row>
    <row r="3259" spans="1:17" x14ac:dyDescent="0.35">
      <c r="A3259" t="s">
        <v>3311</v>
      </c>
      <c r="B3259" t="s">
        <v>16</v>
      </c>
      <c r="C3259">
        <v>30</v>
      </c>
      <c r="D3259" t="s">
        <v>38</v>
      </c>
      <c r="E3259" t="s">
        <v>112</v>
      </c>
      <c r="F3259" t="s">
        <v>28</v>
      </c>
      <c r="G3259">
        <v>2.6</v>
      </c>
      <c r="H3259">
        <v>1.8</v>
      </c>
      <c r="I3259" t="str" cm="1">
        <f t="array" ref="I3259">_xlfn.IFS(G3259&lt;3, "0–2 Years", G3259&lt;6, "3–5 Years", G3259&lt;9, "6–8 Years", G3259&lt;12, "9-11 Years", G3259&gt;=12, "12-14 Years")</f>
        <v>0–2 Years</v>
      </c>
      <c r="J3259">
        <v>3</v>
      </c>
      <c r="K3259" t="s">
        <v>20</v>
      </c>
      <c r="L3259">
        <v>58100</v>
      </c>
      <c r="M3259">
        <v>5800</v>
      </c>
      <c r="N3259">
        <v>63900</v>
      </c>
      <c r="O3259" t="s">
        <v>25</v>
      </c>
      <c r="P3259" s="3">
        <v>45060</v>
      </c>
      <c r="Q3259" t="s">
        <v>28</v>
      </c>
    </row>
    <row r="3260" spans="1:17" x14ac:dyDescent="0.35">
      <c r="A3260" t="s">
        <v>3312</v>
      </c>
      <c r="B3260" t="s">
        <v>23</v>
      </c>
      <c r="C3260">
        <v>36</v>
      </c>
      <c r="D3260" t="s">
        <v>41</v>
      </c>
      <c r="E3260" t="s">
        <v>42</v>
      </c>
      <c r="F3260" t="s">
        <v>28</v>
      </c>
      <c r="G3260">
        <v>3.5</v>
      </c>
      <c r="H3260">
        <v>3.1</v>
      </c>
      <c r="I3260" t="str" cm="1">
        <f t="array" ref="I3260">_xlfn.IFS(G3260&lt;3, "0–2 Years", G3260&lt;6, "3–5 Years", G3260&lt;9, "6–8 Years", G3260&lt;12, "9-11 Years", G3260&gt;=12, "12-14 Years")</f>
        <v>3–5 Years</v>
      </c>
      <c r="J3260">
        <v>2</v>
      </c>
      <c r="K3260" t="s">
        <v>20</v>
      </c>
      <c r="L3260">
        <v>75600</v>
      </c>
      <c r="M3260">
        <v>3200</v>
      </c>
      <c r="N3260">
        <v>78800</v>
      </c>
      <c r="O3260" t="s">
        <v>21</v>
      </c>
      <c r="P3260" s="3">
        <v>44733</v>
      </c>
      <c r="Q3260" t="s">
        <v>28</v>
      </c>
    </row>
    <row r="3261" spans="1:17" x14ac:dyDescent="0.35">
      <c r="A3261" t="s">
        <v>3313</v>
      </c>
      <c r="B3261" t="s">
        <v>16</v>
      </c>
      <c r="C3261">
        <v>28</v>
      </c>
      <c r="D3261" t="s">
        <v>44</v>
      </c>
      <c r="E3261" t="s">
        <v>81</v>
      </c>
      <c r="F3261" t="s">
        <v>62</v>
      </c>
      <c r="G3261">
        <v>7.2</v>
      </c>
      <c r="H3261">
        <v>4.0999999999999996</v>
      </c>
      <c r="I3261" t="str" cm="1">
        <f t="array" ref="I3261">_xlfn.IFS(G3261&lt;3, "0–2 Years", G3261&lt;6, "3–5 Years", G3261&lt;9, "6–8 Years", G3261&lt;12, "9-11 Years", G3261&gt;=12, "12-14 Years")</f>
        <v>6–8 Years</v>
      </c>
      <c r="J3261">
        <v>2</v>
      </c>
      <c r="K3261" t="s">
        <v>20</v>
      </c>
      <c r="L3261">
        <v>101300</v>
      </c>
      <c r="M3261">
        <v>8600</v>
      </c>
      <c r="N3261">
        <v>109900</v>
      </c>
      <c r="O3261" t="s">
        <v>57</v>
      </c>
      <c r="P3261" s="3">
        <v>43388</v>
      </c>
      <c r="Q3261" t="s">
        <v>62</v>
      </c>
    </row>
    <row r="3262" spans="1:17" x14ac:dyDescent="0.35">
      <c r="A3262" t="s">
        <v>3314</v>
      </c>
      <c r="B3262" t="s">
        <v>16</v>
      </c>
      <c r="C3262">
        <v>46</v>
      </c>
      <c r="D3262" t="s">
        <v>41</v>
      </c>
      <c r="E3262" t="s">
        <v>73</v>
      </c>
      <c r="F3262" t="s">
        <v>19</v>
      </c>
      <c r="G3262">
        <v>10.6</v>
      </c>
      <c r="H3262">
        <v>8.1999999999999993</v>
      </c>
      <c r="I3262" t="str" cm="1">
        <f t="array" ref="I3262">_xlfn.IFS(G3262&lt;3, "0–2 Years", G3262&lt;6, "3–5 Years", G3262&lt;9, "6–8 Years", G3262&lt;12, "9-11 Years", G3262&gt;=12, "12-14 Years")</f>
        <v>9-11 Years</v>
      </c>
      <c r="J3262">
        <v>3</v>
      </c>
      <c r="K3262" t="s">
        <v>20</v>
      </c>
      <c r="L3262">
        <v>95500</v>
      </c>
      <c r="M3262">
        <v>5500</v>
      </c>
      <c r="N3262">
        <v>101000</v>
      </c>
      <c r="O3262" t="s">
        <v>30</v>
      </c>
      <c r="P3262" s="3">
        <v>42158</v>
      </c>
      <c r="Q3262" t="s">
        <v>19</v>
      </c>
    </row>
    <row r="3263" spans="1:17" x14ac:dyDescent="0.35">
      <c r="A3263" t="s">
        <v>3315</v>
      </c>
      <c r="B3263" t="s">
        <v>16</v>
      </c>
      <c r="C3263">
        <v>39</v>
      </c>
      <c r="D3263" t="s">
        <v>38</v>
      </c>
      <c r="E3263" t="s">
        <v>39</v>
      </c>
      <c r="F3263" t="s">
        <v>19</v>
      </c>
      <c r="G3263">
        <v>8.9</v>
      </c>
      <c r="H3263">
        <v>6.8</v>
      </c>
      <c r="I3263" t="str" cm="1">
        <f t="array" ref="I3263">_xlfn.IFS(G3263&lt;3, "0–2 Years", G3263&lt;6, "3–5 Years", G3263&lt;9, "6–8 Years", G3263&lt;12, "9-11 Years", G3263&gt;=12, "12-14 Years")</f>
        <v>6–8 Years</v>
      </c>
      <c r="J3263">
        <v>3</v>
      </c>
      <c r="K3263" t="s">
        <v>20</v>
      </c>
      <c r="L3263">
        <v>73400</v>
      </c>
      <c r="M3263">
        <v>5900</v>
      </c>
      <c r="N3263">
        <v>79300</v>
      </c>
      <c r="O3263" t="s">
        <v>21</v>
      </c>
      <c r="P3263" s="3">
        <v>42783</v>
      </c>
      <c r="Q3263" t="s">
        <v>19</v>
      </c>
    </row>
    <row r="3264" spans="1:17" x14ac:dyDescent="0.35">
      <c r="A3264" t="s">
        <v>3316</v>
      </c>
      <c r="B3264" t="s">
        <v>23</v>
      </c>
      <c r="C3264">
        <v>34</v>
      </c>
      <c r="D3264" t="s">
        <v>38</v>
      </c>
      <c r="E3264" t="s">
        <v>39</v>
      </c>
      <c r="F3264" t="s">
        <v>28</v>
      </c>
      <c r="G3264">
        <v>5.0999999999999996</v>
      </c>
      <c r="H3264">
        <v>5.0999999999999996</v>
      </c>
      <c r="I3264" t="str" cm="1">
        <f t="array" ref="I3264">_xlfn.IFS(G3264&lt;3, "0–2 Years", G3264&lt;6, "3–5 Years", G3264&lt;9, "6–8 Years", G3264&lt;12, "9-11 Years", G3264&gt;=12, "12-14 Years")</f>
        <v>3–5 Years</v>
      </c>
      <c r="J3264">
        <v>3</v>
      </c>
      <c r="K3264" t="s">
        <v>20</v>
      </c>
      <c r="L3264">
        <v>72900</v>
      </c>
      <c r="M3264">
        <v>6200</v>
      </c>
      <c r="N3264">
        <v>79100</v>
      </c>
      <c r="O3264" t="s">
        <v>21</v>
      </c>
      <c r="P3264" s="3">
        <v>44153</v>
      </c>
      <c r="Q3264" t="s">
        <v>28</v>
      </c>
    </row>
    <row r="3265" spans="1:17" x14ac:dyDescent="0.35">
      <c r="A3265" t="s">
        <v>3317</v>
      </c>
      <c r="B3265" t="s">
        <v>16</v>
      </c>
      <c r="C3265">
        <v>28</v>
      </c>
      <c r="D3265" t="s">
        <v>38</v>
      </c>
      <c r="E3265" t="s">
        <v>61</v>
      </c>
      <c r="F3265" t="s">
        <v>36</v>
      </c>
      <c r="G3265">
        <v>5.9</v>
      </c>
      <c r="H3265">
        <v>3.7</v>
      </c>
      <c r="I3265" t="str" cm="1">
        <f t="array" ref="I3265">_xlfn.IFS(G3265&lt;3, "0–2 Years", G3265&lt;6, "3–5 Years", G3265&lt;9, "6–8 Years", G3265&lt;12, "9-11 Years", G3265&gt;=12, "12-14 Years")</f>
        <v>3–5 Years</v>
      </c>
      <c r="J3265">
        <v>4</v>
      </c>
      <c r="K3265" t="s">
        <v>20</v>
      </c>
      <c r="L3265">
        <v>99700</v>
      </c>
      <c r="M3265">
        <v>5100</v>
      </c>
      <c r="N3265">
        <v>104800</v>
      </c>
      <c r="O3265" t="s">
        <v>30</v>
      </c>
      <c r="P3265" s="3">
        <v>43866</v>
      </c>
      <c r="Q3265" t="s">
        <v>36</v>
      </c>
    </row>
    <row r="3266" spans="1:17" x14ac:dyDescent="0.35">
      <c r="A3266" t="s">
        <v>3318</v>
      </c>
      <c r="B3266" t="s">
        <v>23</v>
      </c>
      <c r="C3266">
        <v>35</v>
      </c>
      <c r="D3266" t="s">
        <v>41</v>
      </c>
      <c r="E3266" t="s">
        <v>42</v>
      </c>
      <c r="F3266" t="s">
        <v>28</v>
      </c>
      <c r="G3266">
        <v>3.7</v>
      </c>
      <c r="H3266">
        <v>3.7</v>
      </c>
      <c r="I3266" t="str" cm="1">
        <f t="array" ref="I3266">_xlfn.IFS(G3266&lt;3, "0–2 Years", G3266&lt;6, "3–5 Years", G3266&lt;9, "6–8 Years", G3266&lt;12, "9-11 Years", G3266&gt;=12, "12-14 Years")</f>
        <v>3–5 Years</v>
      </c>
      <c r="J3266">
        <v>4</v>
      </c>
      <c r="K3266" t="s">
        <v>20</v>
      </c>
      <c r="L3266">
        <v>66500</v>
      </c>
      <c r="M3266">
        <v>5400</v>
      </c>
      <c r="N3266">
        <v>71900</v>
      </c>
      <c r="O3266" t="s">
        <v>21</v>
      </c>
      <c r="P3266" s="3">
        <v>44669</v>
      </c>
      <c r="Q3266" t="s">
        <v>28</v>
      </c>
    </row>
    <row r="3267" spans="1:17" x14ac:dyDescent="0.35">
      <c r="A3267" t="s">
        <v>3319</v>
      </c>
      <c r="B3267" t="s">
        <v>23</v>
      </c>
      <c r="C3267">
        <v>32</v>
      </c>
      <c r="D3267" t="s">
        <v>55</v>
      </c>
      <c r="E3267" t="s">
        <v>79</v>
      </c>
      <c r="F3267" t="s">
        <v>36</v>
      </c>
      <c r="G3267">
        <v>5.8</v>
      </c>
      <c r="H3267">
        <v>3</v>
      </c>
      <c r="I3267" t="str" cm="1">
        <f t="array" ref="I3267">_xlfn.IFS(G3267&lt;3, "0–2 Years", G3267&lt;6, "3–5 Years", G3267&lt;9, "6–8 Years", G3267&lt;12, "9-11 Years", G3267&gt;=12, "12-14 Years")</f>
        <v>3–5 Years</v>
      </c>
      <c r="J3267">
        <v>3</v>
      </c>
      <c r="K3267" t="s">
        <v>20</v>
      </c>
      <c r="L3267">
        <v>73400</v>
      </c>
      <c r="M3267">
        <v>7200</v>
      </c>
      <c r="N3267">
        <v>80600</v>
      </c>
      <c r="O3267" t="s">
        <v>21</v>
      </c>
      <c r="P3267" s="3">
        <v>43899</v>
      </c>
      <c r="Q3267" t="s">
        <v>36</v>
      </c>
    </row>
    <row r="3268" spans="1:17" x14ac:dyDescent="0.35">
      <c r="A3268" t="s">
        <v>3320</v>
      </c>
      <c r="B3268" t="s">
        <v>23</v>
      </c>
      <c r="C3268">
        <v>34</v>
      </c>
      <c r="D3268" t="s">
        <v>55</v>
      </c>
      <c r="E3268" t="s">
        <v>92</v>
      </c>
      <c r="F3268" t="s">
        <v>36</v>
      </c>
      <c r="G3268">
        <v>11.6</v>
      </c>
      <c r="H3268">
        <v>7.3</v>
      </c>
      <c r="I3268" t="str" cm="1">
        <f t="array" ref="I3268">_xlfn.IFS(G3268&lt;3, "0–2 Years", G3268&lt;6, "3–5 Years", G3268&lt;9, "6–8 Years", G3268&lt;12, "9-11 Years", G3268&gt;=12, "12-14 Years")</f>
        <v>9-11 Years</v>
      </c>
      <c r="J3268">
        <v>4</v>
      </c>
      <c r="K3268" t="s">
        <v>20</v>
      </c>
      <c r="L3268">
        <v>119800</v>
      </c>
      <c r="M3268">
        <v>18500</v>
      </c>
      <c r="N3268">
        <v>138300</v>
      </c>
      <c r="O3268" t="s">
        <v>57</v>
      </c>
      <c r="P3268" s="3">
        <v>41776</v>
      </c>
      <c r="Q3268" t="s">
        <v>36</v>
      </c>
    </row>
    <row r="3269" spans="1:17" x14ac:dyDescent="0.35">
      <c r="A3269" t="s">
        <v>3321</v>
      </c>
      <c r="B3269" t="s">
        <v>23</v>
      </c>
      <c r="C3269">
        <v>56</v>
      </c>
      <c r="D3269" t="s">
        <v>55</v>
      </c>
      <c r="E3269" t="s">
        <v>56</v>
      </c>
      <c r="F3269" t="s">
        <v>36</v>
      </c>
      <c r="G3269">
        <v>1.7</v>
      </c>
      <c r="H3269">
        <v>0.7</v>
      </c>
      <c r="I3269" t="str" cm="1">
        <f t="array" ref="I3269">_xlfn.IFS(G3269&lt;3, "0–2 Years", G3269&lt;6, "3–5 Years", G3269&lt;9, "6–8 Years", G3269&lt;12, "9-11 Years", G3269&gt;=12, "12-14 Years")</f>
        <v>0–2 Years</v>
      </c>
      <c r="J3269">
        <v>3</v>
      </c>
      <c r="K3269" t="s">
        <v>20</v>
      </c>
      <c r="L3269">
        <v>94900</v>
      </c>
      <c r="M3269">
        <v>11900</v>
      </c>
      <c r="N3269">
        <v>106800</v>
      </c>
      <c r="O3269" t="s">
        <v>30</v>
      </c>
      <c r="P3269" s="3">
        <v>45405</v>
      </c>
      <c r="Q3269" t="s">
        <v>36</v>
      </c>
    </row>
    <row r="3270" spans="1:17" x14ac:dyDescent="0.35">
      <c r="A3270" t="s">
        <v>3322</v>
      </c>
      <c r="B3270" t="s">
        <v>23</v>
      </c>
      <c r="C3270" s="7">
        <v>41</v>
      </c>
      <c r="D3270" t="s">
        <v>41</v>
      </c>
      <c r="E3270" t="s">
        <v>73</v>
      </c>
      <c r="F3270" t="s">
        <v>28</v>
      </c>
      <c r="G3270" s="9">
        <v>12</v>
      </c>
      <c r="H3270" s="7">
        <v>6.6</v>
      </c>
      <c r="I3270" t="str" cm="1">
        <f t="array" ref="I3270">_xlfn.IFS(G3270&lt;3, "0–2 Years", G3270&lt;6, "3–5 Years", G3270&lt;9, "6–8 Years", G3270&lt;12, "9-11 Years", G3270&gt;=12, "12-14 Years")</f>
        <v>12-14 Years</v>
      </c>
      <c r="J3270" s="7">
        <v>3</v>
      </c>
      <c r="K3270" t="s">
        <v>20</v>
      </c>
      <c r="L3270" s="7">
        <v>95100</v>
      </c>
      <c r="M3270" s="7">
        <v>6000</v>
      </c>
      <c r="N3270" s="7">
        <v>101100</v>
      </c>
      <c r="O3270" t="s">
        <v>30</v>
      </c>
      <c r="P3270" s="3">
        <v>41645</v>
      </c>
      <c r="Q3270" t="s">
        <v>28</v>
      </c>
    </row>
    <row r="3271" spans="1:17" x14ac:dyDescent="0.35">
      <c r="A3271" t="s">
        <v>3323</v>
      </c>
      <c r="B3271" t="s">
        <v>23</v>
      </c>
      <c r="C3271">
        <v>32</v>
      </c>
      <c r="D3271" t="s">
        <v>34</v>
      </c>
      <c r="E3271" t="s">
        <v>59</v>
      </c>
      <c r="G3271">
        <v>1.8</v>
      </c>
      <c r="H3271">
        <v>1.8</v>
      </c>
      <c r="I3271" t="str" cm="1">
        <f t="array" ref="I3271">_xlfn.IFS(G3271&lt;3, "0–2 Years", G3271&lt;6, "3–5 Years", G3271&lt;9, "6–8 Years", G3271&lt;12, "9-11 Years", G3271&gt;=12, "12-14 Years")</f>
        <v>0–2 Years</v>
      </c>
      <c r="J3271">
        <v>4</v>
      </c>
      <c r="K3271" t="s">
        <v>20</v>
      </c>
      <c r="L3271">
        <v>103500</v>
      </c>
      <c r="M3271">
        <v>4500</v>
      </c>
      <c r="N3271">
        <v>108000</v>
      </c>
      <c r="O3271" t="s">
        <v>57</v>
      </c>
      <c r="P3271" s="3">
        <v>45354</v>
      </c>
      <c r="Q3271" t="s">
        <v>5104</v>
      </c>
    </row>
    <row r="3272" spans="1:17" x14ac:dyDescent="0.35">
      <c r="A3272" t="s">
        <v>3324</v>
      </c>
      <c r="B3272" t="s">
        <v>23</v>
      </c>
      <c r="C3272">
        <v>33</v>
      </c>
      <c r="D3272" t="s">
        <v>41</v>
      </c>
      <c r="E3272" t="s">
        <v>73</v>
      </c>
      <c r="F3272" t="s">
        <v>36</v>
      </c>
      <c r="G3272">
        <v>10</v>
      </c>
      <c r="H3272">
        <v>7</v>
      </c>
      <c r="I3272" t="str" cm="1">
        <f t="array" ref="I3272">_xlfn.IFS(G3272&lt;3, "0–2 Years", G3272&lt;6, "3–5 Years", G3272&lt;9, "6–8 Years", G3272&lt;12, "9-11 Years", G3272&gt;=12, "12-14 Years")</f>
        <v>9-11 Years</v>
      </c>
      <c r="J3272">
        <v>2</v>
      </c>
      <c r="K3272" t="s">
        <v>20</v>
      </c>
      <c r="L3272">
        <v>98400</v>
      </c>
      <c r="M3272">
        <v>7000</v>
      </c>
      <c r="N3272">
        <v>105400</v>
      </c>
      <c r="O3272" t="s">
        <v>30</v>
      </c>
      <c r="P3272" s="3">
        <v>42381</v>
      </c>
      <c r="Q3272" t="s">
        <v>36</v>
      </c>
    </row>
    <row r="3273" spans="1:17" x14ac:dyDescent="0.35">
      <c r="A3273" t="s">
        <v>3325</v>
      </c>
      <c r="B3273" t="s">
        <v>23</v>
      </c>
      <c r="C3273">
        <v>30</v>
      </c>
      <c r="D3273" t="s">
        <v>38</v>
      </c>
      <c r="E3273" t="s">
        <v>39</v>
      </c>
      <c r="F3273" t="s">
        <v>36</v>
      </c>
      <c r="G3273">
        <v>10.3</v>
      </c>
      <c r="H3273">
        <v>6.5</v>
      </c>
      <c r="I3273" t="str" cm="1">
        <f t="array" ref="I3273">_xlfn.IFS(G3273&lt;3, "0–2 Years", G3273&lt;6, "3–5 Years", G3273&lt;9, "6–8 Years", G3273&lt;12, "9-11 Years", G3273&gt;=12, "12-14 Years")</f>
        <v>9-11 Years</v>
      </c>
      <c r="J3273">
        <v>2</v>
      </c>
      <c r="K3273" t="s">
        <v>20</v>
      </c>
      <c r="L3273">
        <v>76400</v>
      </c>
      <c r="M3273">
        <v>6600</v>
      </c>
      <c r="N3273">
        <v>83000</v>
      </c>
      <c r="O3273" t="s">
        <v>21</v>
      </c>
      <c r="P3273" s="3">
        <v>42260</v>
      </c>
      <c r="Q3273" t="s">
        <v>36</v>
      </c>
    </row>
    <row r="3274" spans="1:17" x14ac:dyDescent="0.35">
      <c r="A3274" t="s">
        <v>3326</v>
      </c>
      <c r="B3274" t="s">
        <v>23</v>
      </c>
      <c r="C3274">
        <v>32</v>
      </c>
      <c r="D3274" t="s">
        <v>38</v>
      </c>
      <c r="E3274" t="s">
        <v>61</v>
      </c>
      <c r="F3274" t="s">
        <v>28</v>
      </c>
      <c r="G3274">
        <v>6.6</v>
      </c>
      <c r="H3274">
        <v>5.2</v>
      </c>
      <c r="I3274" t="str" cm="1">
        <f t="array" ref="I3274">_xlfn.IFS(G3274&lt;3, "0–2 Years", G3274&lt;6, "3–5 Years", G3274&lt;9, "6–8 Years", G3274&lt;12, "9-11 Years", G3274&gt;=12, "12-14 Years")</f>
        <v>6–8 Years</v>
      </c>
      <c r="J3274">
        <v>4</v>
      </c>
      <c r="K3274" t="s">
        <v>20</v>
      </c>
      <c r="L3274">
        <v>105200</v>
      </c>
      <c r="M3274">
        <v>8200</v>
      </c>
      <c r="N3274">
        <v>113400</v>
      </c>
      <c r="O3274" t="s">
        <v>57</v>
      </c>
      <c r="P3274" s="3">
        <v>43616</v>
      </c>
      <c r="Q3274" t="s">
        <v>28</v>
      </c>
    </row>
    <row r="3275" spans="1:17" x14ac:dyDescent="0.35">
      <c r="A3275" t="s">
        <v>3327</v>
      </c>
      <c r="B3275" t="s">
        <v>16</v>
      </c>
      <c r="C3275">
        <v>21</v>
      </c>
      <c r="D3275" t="s">
        <v>55</v>
      </c>
      <c r="E3275" t="s">
        <v>92</v>
      </c>
      <c r="F3275" t="s">
        <v>36</v>
      </c>
      <c r="G3275">
        <v>11.6</v>
      </c>
      <c r="H3275">
        <v>7.3</v>
      </c>
      <c r="I3275" t="str" cm="1">
        <f t="array" ref="I3275">_xlfn.IFS(G3275&lt;3, "0–2 Years", G3275&lt;6, "3–5 Years", G3275&lt;9, "6–8 Years", G3275&lt;12, "9-11 Years", G3275&gt;=12, "12-14 Years")</f>
        <v>9-11 Years</v>
      </c>
      <c r="J3275">
        <v>3</v>
      </c>
      <c r="K3275" t="s">
        <v>20</v>
      </c>
      <c r="L3275">
        <v>111600</v>
      </c>
      <c r="M3275">
        <v>17100</v>
      </c>
      <c r="N3275">
        <v>128700</v>
      </c>
      <c r="O3275" t="s">
        <v>57</v>
      </c>
      <c r="P3275" s="3">
        <v>41781</v>
      </c>
      <c r="Q3275" t="s">
        <v>36</v>
      </c>
    </row>
    <row r="3276" spans="1:17" x14ac:dyDescent="0.35">
      <c r="A3276" t="s">
        <v>3328</v>
      </c>
      <c r="B3276" t="s">
        <v>23</v>
      </c>
      <c r="C3276">
        <v>34</v>
      </c>
      <c r="D3276" t="s">
        <v>17</v>
      </c>
      <c r="E3276" t="s">
        <v>18</v>
      </c>
      <c r="F3276" t="s">
        <v>36</v>
      </c>
      <c r="G3276">
        <v>9.1</v>
      </c>
      <c r="H3276">
        <v>6.5</v>
      </c>
      <c r="I3276" t="str" cm="1">
        <f t="array" ref="I3276">_xlfn.IFS(G3276&lt;3, "0–2 Years", G3276&lt;6, "3–5 Years", G3276&lt;9, "6–8 Years", G3276&lt;12, "9-11 Years", G3276&gt;=12, "12-14 Years")</f>
        <v>9-11 Years</v>
      </c>
      <c r="J3276">
        <v>3</v>
      </c>
      <c r="K3276" t="s">
        <v>20</v>
      </c>
      <c r="L3276">
        <v>118700</v>
      </c>
      <c r="M3276">
        <v>13900</v>
      </c>
      <c r="N3276">
        <v>132600</v>
      </c>
      <c r="O3276" t="s">
        <v>57</v>
      </c>
      <c r="P3276" s="3">
        <v>42686</v>
      </c>
      <c r="Q3276" t="s">
        <v>36</v>
      </c>
    </row>
    <row r="3277" spans="1:17" x14ac:dyDescent="0.35">
      <c r="A3277" t="s">
        <v>3329</v>
      </c>
      <c r="B3277" t="s">
        <v>16</v>
      </c>
      <c r="C3277">
        <v>36</v>
      </c>
      <c r="D3277" t="s">
        <v>41</v>
      </c>
      <c r="E3277" t="s">
        <v>42</v>
      </c>
      <c r="F3277" t="s">
        <v>28</v>
      </c>
      <c r="G3277">
        <v>4.3</v>
      </c>
      <c r="H3277">
        <v>3.2</v>
      </c>
      <c r="I3277" t="str" cm="1">
        <f t="array" ref="I3277">_xlfn.IFS(G3277&lt;3, "0–2 Years", G3277&lt;6, "3–5 Years", G3277&lt;9, "6–8 Years", G3277&lt;12, "9-11 Years", G3277&gt;=12, "12-14 Years")</f>
        <v>3–5 Years</v>
      </c>
      <c r="J3277">
        <v>3</v>
      </c>
      <c r="K3277" t="s">
        <v>24</v>
      </c>
      <c r="L3277">
        <v>43900</v>
      </c>
      <c r="M3277">
        <v>2800</v>
      </c>
      <c r="N3277">
        <v>46700</v>
      </c>
      <c r="O3277" t="s">
        <v>65</v>
      </c>
      <c r="P3277" s="3">
        <v>44467</v>
      </c>
      <c r="Q3277" t="s">
        <v>28</v>
      </c>
    </row>
    <row r="3278" spans="1:17" x14ac:dyDescent="0.35">
      <c r="A3278" t="s">
        <v>3330</v>
      </c>
      <c r="B3278" t="s">
        <v>16</v>
      </c>
      <c r="C3278">
        <v>37</v>
      </c>
      <c r="D3278" t="s">
        <v>34</v>
      </c>
      <c r="E3278" t="s">
        <v>35</v>
      </c>
      <c r="F3278" t="s">
        <v>36</v>
      </c>
      <c r="G3278">
        <v>2.2999999999999998</v>
      </c>
      <c r="H3278">
        <v>1.8</v>
      </c>
      <c r="I3278" t="str" cm="1">
        <f t="array" ref="I3278">_xlfn.IFS(G3278&lt;3, "0–2 Years", G3278&lt;6, "3–5 Years", G3278&lt;9, "6–8 Years", G3278&lt;12, "9-11 Years", G3278&gt;=12, "12-14 Years")</f>
        <v>0–2 Years</v>
      </c>
      <c r="J3278">
        <v>4</v>
      </c>
      <c r="K3278" t="s">
        <v>20</v>
      </c>
      <c r="L3278">
        <v>80900</v>
      </c>
      <c r="M3278">
        <v>6200</v>
      </c>
      <c r="N3278">
        <v>87100</v>
      </c>
      <c r="O3278" t="s">
        <v>30</v>
      </c>
      <c r="P3278" s="3">
        <v>45169</v>
      </c>
      <c r="Q3278" t="s">
        <v>36</v>
      </c>
    </row>
    <row r="3279" spans="1:17" x14ac:dyDescent="0.35">
      <c r="A3279" t="s">
        <v>3331</v>
      </c>
      <c r="B3279" t="s">
        <v>16</v>
      </c>
      <c r="C3279">
        <v>38</v>
      </c>
      <c r="D3279" t="s">
        <v>41</v>
      </c>
      <c r="E3279" t="s">
        <v>67</v>
      </c>
      <c r="F3279" t="s">
        <v>28</v>
      </c>
      <c r="G3279">
        <v>9.3000000000000007</v>
      </c>
      <c r="H3279">
        <v>5.8</v>
      </c>
      <c r="I3279" t="str" cm="1">
        <f t="array" ref="I3279">_xlfn.IFS(G3279&lt;3, "0–2 Years", G3279&lt;6, "3–5 Years", G3279&lt;9, "6–8 Years", G3279&lt;12, "9-11 Years", G3279&gt;=12, "12-14 Years")</f>
        <v>9-11 Years</v>
      </c>
      <c r="J3279">
        <v>3</v>
      </c>
      <c r="K3279" t="s">
        <v>69</v>
      </c>
      <c r="L3279">
        <v>67000</v>
      </c>
      <c r="M3279">
        <v>2300</v>
      </c>
      <c r="N3279">
        <v>69300</v>
      </c>
      <c r="O3279" t="s">
        <v>21</v>
      </c>
      <c r="P3279" s="3">
        <v>42638</v>
      </c>
      <c r="Q3279" t="s">
        <v>28</v>
      </c>
    </row>
    <row r="3280" spans="1:17" x14ac:dyDescent="0.35">
      <c r="A3280" t="s">
        <v>3332</v>
      </c>
      <c r="B3280" t="s">
        <v>23</v>
      </c>
      <c r="C3280">
        <v>35</v>
      </c>
      <c r="D3280" t="s">
        <v>55</v>
      </c>
      <c r="E3280" t="s">
        <v>56</v>
      </c>
      <c r="F3280" t="s">
        <v>36</v>
      </c>
      <c r="G3280">
        <v>11.4</v>
      </c>
      <c r="H3280">
        <v>7</v>
      </c>
      <c r="I3280" t="str" cm="1">
        <f t="array" ref="I3280">_xlfn.IFS(G3280&lt;3, "0–2 Years", G3280&lt;6, "3–5 Years", G3280&lt;9, "6–8 Years", G3280&lt;12, "9-11 Years", G3280&gt;=12, "12-14 Years")</f>
        <v>9-11 Years</v>
      </c>
      <c r="J3280">
        <v>5</v>
      </c>
      <c r="K3280" t="s">
        <v>24</v>
      </c>
      <c r="L3280">
        <v>74200</v>
      </c>
      <c r="M3280">
        <v>13300</v>
      </c>
      <c r="N3280">
        <v>87500</v>
      </c>
      <c r="O3280" t="s">
        <v>21</v>
      </c>
      <c r="P3280" s="3">
        <v>41847</v>
      </c>
      <c r="Q3280" t="s">
        <v>36</v>
      </c>
    </row>
    <row r="3281" spans="1:17" x14ac:dyDescent="0.35">
      <c r="A3281" t="s">
        <v>3333</v>
      </c>
      <c r="B3281" t="s">
        <v>16</v>
      </c>
      <c r="C3281" s="7">
        <v>54</v>
      </c>
      <c r="D3281" t="s">
        <v>55</v>
      </c>
      <c r="E3281" t="s">
        <v>56</v>
      </c>
      <c r="F3281" t="s">
        <v>28</v>
      </c>
      <c r="G3281" s="9">
        <v>12</v>
      </c>
      <c r="H3281" s="7">
        <v>7.5</v>
      </c>
      <c r="I3281" t="str" cm="1">
        <f t="array" ref="I3281">_xlfn.IFS(G3281&lt;3, "0–2 Years", G3281&lt;6, "3–5 Years", G3281&lt;9, "6–8 Years", G3281&lt;12, "9-11 Years", G3281&gt;=12, "12-14 Years")</f>
        <v>12-14 Years</v>
      </c>
      <c r="J3281" s="7">
        <v>3</v>
      </c>
      <c r="K3281" t="s">
        <v>20</v>
      </c>
      <c r="L3281" s="7">
        <v>105400</v>
      </c>
      <c r="M3281" s="7">
        <v>16100</v>
      </c>
      <c r="N3281" s="7">
        <v>121500</v>
      </c>
      <c r="O3281" t="s">
        <v>57</v>
      </c>
      <c r="P3281" s="3">
        <v>41630</v>
      </c>
      <c r="Q3281" t="s">
        <v>28</v>
      </c>
    </row>
    <row r="3282" spans="1:17" x14ac:dyDescent="0.35">
      <c r="A3282" t="s">
        <v>3334</v>
      </c>
      <c r="B3282" t="s">
        <v>23</v>
      </c>
      <c r="C3282">
        <v>36</v>
      </c>
      <c r="D3282" t="s">
        <v>34</v>
      </c>
      <c r="E3282" t="s">
        <v>35</v>
      </c>
      <c r="F3282" t="s">
        <v>28</v>
      </c>
      <c r="G3282">
        <v>1.7</v>
      </c>
      <c r="H3282">
        <v>1.7</v>
      </c>
      <c r="I3282" t="str" cm="1">
        <f t="array" ref="I3282">_xlfn.IFS(G3282&lt;3, "0–2 Years", G3282&lt;6, "3–5 Years", G3282&lt;9, "6–8 Years", G3282&lt;12, "9-11 Years", G3282&gt;=12, "12-14 Years")</f>
        <v>0–2 Years</v>
      </c>
      <c r="J3282">
        <v>4</v>
      </c>
      <c r="K3282" t="s">
        <v>20</v>
      </c>
      <c r="L3282">
        <v>55700</v>
      </c>
      <c r="M3282">
        <v>4400</v>
      </c>
      <c r="N3282">
        <v>60100</v>
      </c>
      <c r="O3282" t="s">
        <v>25</v>
      </c>
      <c r="P3282" s="3">
        <v>45396</v>
      </c>
      <c r="Q3282" t="s">
        <v>28</v>
      </c>
    </row>
    <row r="3283" spans="1:17" x14ac:dyDescent="0.35">
      <c r="A3283" t="s">
        <v>3335</v>
      </c>
      <c r="B3283" t="s">
        <v>23</v>
      </c>
      <c r="C3283">
        <v>33</v>
      </c>
      <c r="D3283" t="s">
        <v>44</v>
      </c>
      <c r="E3283" t="s">
        <v>76</v>
      </c>
      <c r="F3283" t="s">
        <v>28</v>
      </c>
      <c r="G3283">
        <v>6.1</v>
      </c>
      <c r="H3283">
        <v>3.1</v>
      </c>
      <c r="I3283" t="str" cm="1">
        <f t="array" ref="I3283">_xlfn.IFS(G3283&lt;3, "0–2 Years", G3283&lt;6, "3–5 Years", G3283&lt;9, "6–8 Years", G3283&lt;12, "9-11 Years", G3283&gt;=12, "12-14 Years")</f>
        <v>6–8 Years</v>
      </c>
      <c r="J3283">
        <v>3</v>
      </c>
      <c r="K3283" t="s">
        <v>20</v>
      </c>
      <c r="L3283">
        <v>94500</v>
      </c>
      <c r="M3283">
        <v>11000</v>
      </c>
      <c r="N3283">
        <v>105500</v>
      </c>
      <c r="O3283" t="s">
        <v>30</v>
      </c>
      <c r="P3283" s="3">
        <v>43810</v>
      </c>
      <c r="Q3283" t="s">
        <v>28</v>
      </c>
    </row>
    <row r="3284" spans="1:17" x14ac:dyDescent="0.35">
      <c r="A3284" t="s">
        <v>3336</v>
      </c>
      <c r="B3284" t="s">
        <v>16</v>
      </c>
      <c r="C3284">
        <v>42</v>
      </c>
      <c r="D3284" t="s">
        <v>41</v>
      </c>
      <c r="E3284" t="s">
        <v>73</v>
      </c>
      <c r="F3284" t="s">
        <v>28</v>
      </c>
      <c r="G3284">
        <v>4.5</v>
      </c>
      <c r="H3284">
        <v>2.2999999999999998</v>
      </c>
      <c r="I3284" t="str" cm="1">
        <f t="array" ref="I3284">_xlfn.IFS(G3284&lt;3, "0–2 Years", G3284&lt;6, "3–5 Years", G3284&lt;9, "6–8 Years", G3284&lt;12, "9-11 Years", G3284&gt;=12, "12-14 Years")</f>
        <v>3–5 Years</v>
      </c>
      <c r="J3284">
        <v>4</v>
      </c>
      <c r="K3284" t="s">
        <v>20</v>
      </c>
      <c r="L3284">
        <v>97600</v>
      </c>
      <c r="M3284">
        <v>7900</v>
      </c>
      <c r="N3284">
        <v>105500</v>
      </c>
      <c r="O3284" t="s">
        <v>30</v>
      </c>
      <c r="P3284" s="3">
        <v>44364</v>
      </c>
      <c r="Q3284" t="s">
        <v>28</v>
      </c>
    </row>
    <row r="3285" spans="1:17" x14ac:dyDescent="0.35">
      <c r="A3285" t="s">
        <v>3337</v>
      </c>
      <c r="B3285" t="s">
        <v>23</v>
      </c>
      <c r="C3285">
        <v>36</v>
      </c>
      <c r="D3285" t="s">
        <v>38</v>
      </c>
      <c r="E3285" t="s">
        <v>61</v>
      </c>
      <c r="F3285" t="s">
        <v>36</v>
      </c>
      <c r="G3285">
        <v>10.9</v>
      </c>
      <c r="H3285">
        <v>6.9</v>
      </c>
      <c r="I3285" t="str" cm="1">
        <f t="array" ref="I3285">_xlfn.IFS(G3285&lt;3, "0–2 Years", G3285&lt;6, "3–5 Years", G3285&lt;9, "6–8 Years", G3285&lt;12, "9-11 Years", G3285&gt;=12, "12-14 Years")</f>
        <v>9-11 Years</v>
      </c>
      <c r="J3285">
        <v>4</v>
      </c>
      <c r="K3285" t="s">
        <v>20</v>
      </c>
      <c r="L3285">
        <v>107300</v>
      </c>
      <c r="M3285">
        <v>11200</v>
      </c>
      <c r="N3285">
        <v>118500</v>
      </c>
      <c r="O3285" t="s">
        <v>57</v>
      </c>
      <c r="P3285" s="3">
        <v>42027</v>
      </c>
      <c r="Q3285" t="s">
        <v>36</v>
      </c>
    </row>
    <row r="3286" spans="1:17" x14ac:dyDescent="0.35">
      <c r="A3286" t="s">
        <v>3338</v>
      </c>
      <c r="B3286" t="s">
        <v>16</v>
      </c>
      <c r="C3286">
        <v>53</v>
      </c>
      <c r="D3286" t="s">
        <v>55</v>
      </c>
      <c r="E3286" t="s">
        <v>92</v>
      </c>
      <c r="F3286" t="s">
        <v>28</v>
      </c>
      <c r="G3286">
        <v>1.9</v>
      </c>
      <c r="H3286">
        <v>1.5</v>
      </c>
      <c r="I3286" t="str" cm="1">
        <f t="array" ref="I3286">_xlfn.IFS(G3286&lt;3, "0–2 Years", G3286&lt;6, "3–5 Years", G3286&lt;9, "6–8 Years", G3286&lt;12, "9-11 Years", G3286&gt;=12, "12-14 Years")</f>
        <v>0–2 Years</v>
      </c>
      <c r="J3286">
        <v>2</v>
      </c>
      <c r="K3286" t="s">
        <v>20</v>
      </c>
      <c r="L3286">
        <v>98500</v>
      </c>
      <c r="M3286">
        <v>9500</v>
      </c>
      <c r="N3286">
        <v>108000</v>
      </c>
      <c r="O3286" t="s">
        <v>30</v>
      </c>
      <c r="P3286" s="3">
        <v>45326</v>
      </c>
      <c r="Q3286" t="s">
        <v>28</v>
      </c>
    </row>
    <row r="3287" spans="1:17" x14ac:dyDescent="0.35">
      <c r="A3287" t="s">
        <v>3339</v>
      </c>
      <c r="B3287" t="s">
        <v>16</v>
      </c>
      <c r="C3287" s="7">
        <v>36</v>
      </c>
      <c r="D3287" t="s">
        <v>44</v>
      </c>
      <c r="E3287" t="s">
        <v>81</v>
      </c>
      <c r="F3287" t="s">
        <v>28</v>
      </c>
      <c r="G3287" s="9">
        <v>13.6</v>
      </c>
      <c r="H3287" s="7">
        <v>9.1</v>
      </c>
      <c r="I3287" t="str" cm="1">
        <f t="array" ref="I3287">_xlfn.IFS(G3287&lt;3, "0–2 Years", G3287&lt;6, "3–5 Years", G3287&lt;9, "6–8 Years", G3287&lt;12, "9-11 Years", G3287&gt;=12, "12-14 Years")</f>
        <v>12-14 Years</v>
      </c>
      <c r="J3287" s="7">
        <v>2</v>
      </c>
      <c r="K3287" t="s">
        <v>69</v>
      </c>
      <c r="L3287" s="7">
        <v>84100</v>
      </c>
      <c r="M3287" s="7">
        <v>6200</v>
      </c>
      <c r="N3287" s="7">
        <v>90300</v>
      </c>
      <c r="O3287" t="s">
        <v>30</v>
      </c>
      <c r="P3287" s="3">
        <v>41071</v>
      </c>
      <c r="Q3287" t="s">
        <v>28</v>
      </c>
    </row>
    <row r="3288" spans="1:17" x14ac:dyDescent="0.35">
      <c r="A3288" t="s">
        <v>3340</v>
      </c>
      <c r="B3288" t="s">
        <v>23</v>
      </c>
      <c r="C3288" s="7">
        <v>39</v>
      </c>
      <c r="D3288" t="s">
        <v>44</v>
      </c>
      <c r="E3288" t="s">
        <v>76</v>
      </c>
      <c r="F3288" t="s">
        <v>36</v>
      </c>
      <c r="G3288" s="9">
        <v>12.7</v>
      </c>
      <c r="H3288" s="7">
        <v>7.2</v>
      </c>
      <c r="I3288" t="str" cm="1">
        <f t="array" ref="I3288">_xlfn.IFS(G3288&lt;3, "0–2 Years", G3288&lt;6, "3–5 Years", G3288&lt;9, "6–8 Years", G3288&lt;12, "9-11 Years", G3288&gt;=12, "12-14 Years")</f>
        <v>12-14 Years</v>
      </c>
      <c r="J3288" s="7">
        <v>3</v>
      </c>
      <c r="K3288" t="s">
        <v>69</v>
      </c>
      <c r="L3288" s="7">
        <v>94700</v>
      </c>
      <c r="M3288" s="7">
        <v>5800</v>
      </c>
      <c r="N3288" s="7">
        <v>100500</v>
      </c>
      <c r="O3288" t="s">
        <v>30</v>
      </c>
      <c r="P3288" s="3">
        <v>41367</v>
      </c>
      <c r="Q3288" t="s">
        <v>36</v>
      </c>
    </row>
    <row r="3289" spans="1:17" x14ac:dyDescent="0.35">
      <c r="A3289" t="s">
        <v>3341</v>
      </c>
      <c r="B3289" t="s">
        <v>23</v>
      </c>
      <c r="C3289">
        <v>32</v>
      </c>
      <c r="D3289" t="s">
        <v>55</v>
      </c>
      <c r="E3289" t="s">
        <v>79</v>
      </c>
      <c r="F3289" t="s">
        <v>62</v>
      </c>
      <c r="G3289">
        <v>2.2000000000000002</v>
      </c>
      <c r="H3289">
        <v>1.6</v>
      </c>
      <c r="I3289" t="str" cm="1">
        <f t="array" ref="I3289">_xlfn.IFS(G3289&lt;3, "0–2 Years", G3289&lt;6, "3–5 Years", G3289&lt;9, "6–8 Years", G3289&lt;12, "9-11 Years", G3289&gt;=12, "12-14 Years")</f>
        <v>0–2 Years</v>
      </c>
      <c r="J3289">
        <v>4</v>
      </c>
      <c r="K3289" t="s">
        <v>20</v>
      </c>
      <c r="L3289">
        <v>73600</v>
      </c>
      <c r="M3289">
        <v>9800</v>
      </c>
      <c r="N3289">
        <v>83400</v>
      </c>
      <c r="O3289" t="s">
        <v>21</v>
      </c>
      <c r="P3289" s="3">
        <v>45235</v>
      </c>
      <c r="Q3289" t="s">
        <v>62</v>
      </c>
    </row>
    <row r="3290" spans="1:17" x14ac:dyDescent="0.35">
      <c r="A3290" t="s">
        <v>3342</v>
      </c>
      <c r="B3290" t="s">
        <v>16</v>
      </c>
      <c r="C3290">
        <v>45</v>
      </c>
      <c r="D3290" t="s">
        <v>41</v>
      </c>
      <c r="E3290" t="s">
        <v>67</v>
      </c>
      <c r="F3290" t="s">
        <v>28</v>
      </c>
      <c r="G3290">
        <v>5.5</v>
      </c>
      <c r="H3290">
        <v>2.2000000000000002</v>
      </c>
      <c r="I3290" t="str" cm="1">
        <f t="array" ref="I3290">_xlfn.IFS(G3290&lt;3, "0–2 Years", G3290&lt;6, "3–5 Years", G3290&lt;9, "6–8 Years", G3290&lt;12, "9-11 Years", G3290&gt;=12, "12-14 Years")</f>
        <v>3–5 Years</v>
      </c>
      <c r="J3290">
        <v>2</v>
      </c>
      <c r="K3290" t="s">
        <v>20</v>
      </c>
      <c r="L3290">
        <v>64800</v>
      </c>
      <c r="M3290">
        <v>5100</v>
      </c>
      <c r="N3290">
        <v>69900</v>
      </c>
      <c r="O3290" t="s">
        <v>25</v>
      </c>
      <c r="P3290" s="3">
        <v>44020</v>
      </c>
      <c r="Q3290" t="s">
        <v>28</v>
      </c>
    </row>
    <row r="3291" spans="1:17" x14ac:dyDescent="0.35">
      <c r="A3291" t="s">
        <v>3343</v>
      </c>
      <c r="B3291" t="s">
        <v>23</v>
      </c>
      <c r="C3291">
        <v>41</v>
      </c>
      <c r="D3291" t="s">
        <v>55</v>
      </c>
      <c r="E3291" t="s">
        <v>56</v>
      </c>
      <c r="F3291" t="s">
        <v>36</v>
      </c>
      <c r="G3291">
        <v>6.1</v>
      </c>
      <c r="H3291">
        <v>3.4</v>
      </c>
      <c r="I3291" t="str" cm="1">
        <f t="array" ref="I3291">_xlfn.IFS(G3291&lt;3, "0–2 Years", G3291&lt;6, "3–5 Years", G3291&lt;9, "6–8 Years", G3291&lt;12, "9-11 Years", G3291&gt;=12, "12-14 Years")</f>
        <v>6–8 Years</v>
      </c>
      <c r="J3291">
        <v>4</v>
      </c>
      <c r="K3291" t="s">
        <v>20</v>
      </c>
      <c r="L3291">
        <v>86900</v>
      </c>
      <c r="M3291">
        <v>18200</v>
      </c>
      <c r="N3291">
        <v>105100</v>
      </c>
      <c r="O3291" t="s">
        <v>30</v>
      </c>
      <c r="P3291" s="3">
        <v>43806</v>
      </c>
      <c r="Q3291" t="s">
        <v>36</v>
      </c>
    </row>
    <row r="3292" spans="1:17" x14ac:dyDescent="0.35">
      <c r="A3292" t="s">
        <v>3344</v>
      </c>
      <c r="B3292" t="s">
        <v>23</v>
      </c>
      <c r="C3292">
        <v>37</v>
      </c>
      <c r="D3292" t="s">
        <v>17</v>
      </c>
      <c r="E3292" t="s">
        <v>27</v>
      </c>
      <c r="F3292" t="s">
        <v>28</v>
      </c>
      <c r="G3292">
        <v>4</v>
      </c>
      <c r="H3292">
        <v>4</v>
      </c>
      <c r="I3292" t="str" cm="1">
        <f t="array" ref="I3292">_xlfn.IFS(G3292&lt;3, "0–2 Years", G3292&lt;6, "3–5 Years", G3292&lt;9, "6–8 Years", G3292&lt;12, "9-11 Years", G3292&gt;=12, "12-14 Years")</f>
        <v>3–5 Years</v>
      </c>
      <c r="J3292">
        <v>3</v>
      </c>
      <c r="K3292" t="s">
        <v>20</v>
      </c>
      <c r="L3292">
        <v>74900</v>
      </c>
      <c r="M3292">
        <v>3600</v>
      </c>
      <c r="N3292">
        <v>78500</v>
      </c>
      <c r="O3292" t="s">
        <v>21</v>
      </c>
      <c r="P3292" s="3">
        <v>44565</v>
      </c>
      <c r="Q3292" t="s">
        <v>28</v>
      </c>
    </row>
    <row r="3293" spans="1:17" x14ac:dyDescent="0.35">
      <c r="A3293" t="s">
        <v>3345</v>
      </c>
      <c r="B3293" t="s">
        <v>16</v>
      </c>
      <c r="C3293">
        <v>47</v>
      </c>
      <c r="D3293" t="s">
        <v>34</v>
      </c>
      <c r="E3293" t="s">
        <v>35</v>
      </c>
      <c r="F3293" t="s">
        <v>36</v>
      </c>
      <c r="G3293">
        <v>2.2999999999999998</v>
      </c>
      <c r="H3293">
        <v>0</v>
      </c>
      <c r="I3293" t="str" cm="1">
        <f t="array" ref="I3293">_xlfn.IFS(G3293&lt;3, "0–2 Years", G3293&lt;6, "3–5 Years", G3293&lt;9, "6–8 Years", G3293&lt;12, "9-11 Years", G3293&gt;=12, "12-14 Years")</f>
        <v>0–2 Years</v>
      </c>
      <c r="J3293">
        <v>3</v>
      </c>
      <c r="K3293" t="s">
        <v>20</v>
      </c>
      <c r="L3293">
        <v>65800</v>
      </c>
      <c r="M3293">
        <v>3200</v>
      </c>
      <c r="N3293">
        <v>69000</v>
      </c>
      <c r="O3293" t="s">
        <v>21</v>
      </c>
      <c r="P3293" s="3">
        <v>45168</v>
      </c>
      <c r="Q3293" t="s">
        <v>36</v>
      </c>
    </row>
    <row r="3294" spans="1:17" x14ac:dyDescent="0.35">
      <c r="A3294" t="s">
        <v>3346</v>
      </c>
      <c r="B3294" t="s">
        <v>23</v>
      </c>
      <c r="C3294">
        <v>25</v>
      </c>
      <c r="D3294" t="s">
        <v>44</v>
      </c>
      <c r="E3294" t="s">
        <v>51</v>
      </c>
      <c r="F3294" t="s">
        <v>28</v>
      </c>
      <c r="G3294">
        <v>1.3</v>
      </c>
      <c r="H3294">
        <v>1.3</v>
      </c>
      <c r="I3294" t="str" cm="1">
        <f t="array" ref="I3294">_xlfn.IFS(G3294&lt;3, "0–2 Years", G3294&lt;6, "3–5 Years", G3294&lt;9, "6–8 Years", G3294&lt;12, "9-11 Years", G3294&gt;=12, "12-14 Years")</f>
        <v>0–2 Years</v>
      </c>
      <c r="J3294">
        <v>3</v>
      </c>
      <c r="K3294" t="s">
        <v>24</v>
      </c>
      <c r="L3294">
        <v>45500</v>
      </c>
      <c r="M3294">
        <v>2800</v>
      </c>
      <c r="N3294">
        <v>48300</v>
      </c>
      <c r="O3294" t="s">
        <v>65</v>
      </c>
      <c r="P3294" s="3">
        <v>45538</v>
      </c>
      <c r="Q3294" t="s">
        <v>28</v>
      </c>
    </row>
    <row r="3295" spans="1:17" x14ac:dyDescent="0.35">
      <c r="A3295" t="s">
        <v>3347</v>
      </c>
      <c r="B3295" t="s">
        <v>16</v>
      </c>
      <c r="C3295">
        <v>45</v>
      </c>
      <c r="D3295" t="s">
        <v>41</v>
      </c>
      <c r="E3295" t="s">
        <v>73</v>
      </c>
      <c r="F3295" t="s">
        <v>36</v>
      </c>
      <c r="G3295">
        <v>10.6</v>
      </c>
      <c r="H3295">
        <v>7.5</v>
      </c>
      <c r="I3295" t="str" cm="1">
        <f t="array" ref="I3295">_xlfn.IFS(G3295&lt;3, "0–2 Years", G3295&lt;6, "3–5 Years", G3295&lt;9, "6–8 Years", G3295&lt;12, "9-11 Years", G3295&gt;=12, "12-14 Years")</f>
        <v>9-11 Years</v>
      </c>
      <c r="J3295">
        <v>4</v>
      </c>
      <c r="K3295" t="s">
        <v>20</v>
      </c>
      <c r="L3295">
        <v>102700</v>
      </c>
      <c r="M3295">
        <v>5700</v>
      </c>
      <c r="N3295">
        <v>108400</v>
      </c>
      <c r="O3295" t="s">
        <v>57</v>
      </c>
      <c r="P3295" s="3">
        <v>42134</v>
      </c>
      <c r="Q3295" t="s">
        <v>36</v>
      </c>
    </row>
    <row r="3296" spans="1:17" x14ac:dyDescent="0.35">
      <c r="A3296" t="s">
        <v>3348</v>
      </c>
      <c r="B3296" t="s">
        <v>23</v>
      </c>
      <c r="C3296">
        <v>53</v>
      </c>
      <c r="D3296" t="s">
        <v>44</v>
      </c>
      <c r="E3296" t="s">
        <v>45</v>
      </c>
      <c r="F3296" t="s">
        <v>28</v>
      </c>
      <c r="G3296">
        <v>8.3000000000000007</v>
      </c>
      <c r="H3296">
        <v>5.0999999999999996</v>
      </c>
      <c r="I3296" t="str" cm="1">
        <f t="array" ref="I3296">_xlfn.IFS(G3296&lt;3, "0–2 Years", G3296&lt;6, "3–5 Years", G3296&lt;9, "6–8 Years", G3296&lt;12, "9-11 Years", G3296&gt;=12, "12-14 Years")</f>
        <v>6–8 Years</v>
      </c>
      <c r="J3296">
        <v>5</v>
      </c>
      <c r="K3296" t="s">
        <v>20</v>
      </c>
      <c r="L3296">
        <v>73800</v>
      </c>
      <c r="M3296">
        <v>5700</v>
      </c>
      <c r="N3296">
        <v>79500</v>
      </c>
      <c r="O3296" t="s">
        <v>21</v>
      </c>
      <c r="P3296" s="3">
        <v>42975</v>
      </c>
      <c r="Q3296" t="s">
        <v>28</v>
      </c>
    </row>
    <row r="3297" spans="1:17" x14ac:dyDescent="0.35">
      <c r="A3297" t="s">
        <v>3349</v>
      </c>
      <c r="B3297" t="s">
        <v>23</v>
      </c>
      <c r="C3297">
        <v>36</v>
      </c>
      <c r="D3297" t="s">
        <v>38</v>
      </c>
      <c r="E3297" t="s">
        <v>61</v>
      </c>
      <c r="F3297" t="s">
        <v>28</v>
      </c>
      <c r="G3297">
        <v>3.4</v>
      </c>
      <c r="H3297">
        <v>0.7</v>
      </c>
      <c r="I3297" t="str" cm="1">
        <f t="array" ref="I3297">_xlfn.IFS(G3297&lt;3, "0–2 Years", G3297&lt;6, "3–5 Years", G3297&lt;9, "6–8 Years", G3297&lt;12, "9-11 Years", G3297&gt;=12, "12-14 Years")</f>
        <v>3–5 Years</v>
      </c>
      <c r="J3297">
        <v>3</v>
      </c>
      <c r="K3297" t="s">
        <v>20</v>
      </c>
      <c r="L3297">
        <v>100000</v>
      </c>
      <c r="M3297">
        <v>4500</v>
      </c>
      <c r="N3297">
        <v>104500</v>
      </c>
      <c r="O3297" t="s">
        <v>57</v>
      </c>
      <c r="P3297" s="3">
        <v>44784</v>
      </c>
      <c r="Q3297" t="s">
        <v>28</v>
      </c>
    </row>
    <row r="3298" spans="1:17" x14ac:dyDescent="0.35">
      <c r="A3298" t="s">
        <v>3350</v>
      </c>
      <c r="B3298" t="s">
        <v>23</v>
      </c>
      <c r="C3298">
        <v>38</v>
      </c>
      <c r="D3298" t="s">
        <v>41</v>
      </c>
      <c r="E3298" t="s">
        <v>42</v>
      </c>
      <c r="F3298" t="s">
        <v>36</v>
      </c>
      <c r="G3298">
        <v>1.1000000000000001</v>
      </c>
      <c r="H3298">
        <v>0.9</v>
      </c>
      <c r="I3298" t="str" cm="1">
        <f t="array" ref="I3298">_xlfn.IFS(G3298&lt;3, "0–2 Years", G3298&lt;6, "3–5 Years", G3298&lt;9, "6–8 Years", G3298&lt;12, "9-11 Years", G3298&gt;=12, "12-14 Years")</f>
        <v>0–2 Years</v>
      </c>
      <c r="J3298">
        <v>4</v>
      </c>
      <c r="K3298" t="s">
        <v>20</v>
      </c>
      <c r="L3298">
        <v>73100</v>
      </c>
      <c r="M3298">
        <v>6500</v>
      </c>
      <c r="N3298">
        <v>79600</v>
      </c>
      <c r="O3298" t="s">
        <v>21</v>
      </c>
      <c r="P3298" s="3">
        <v>45613</v>
      </c>
      <c r="Q3298" t="s">
        <v>36</v>
      </c>
    </row>
    <row r="3299" spans="1:17" x14ac:dyDescent="0.35">
      <c r="A3299" t="s">
        <v>3351</v>
      </c>
      <c r="B3299" t="s">
        <v>16</v>
      </c>
      <c r="C3299">
        <v>34</v>
      </c>
      <c r="D3299" t="s">
        <v>44</v>
      </c>
      <c r="E3299" t="s">
        <v>45</v>
      </c>
      <c r="F3299" t="s">
        <v>62</v>
      </c>
      <c r="G3299">
        <v>7.6</v>
      </c>
      <c r="H3299">
        <v>3.6</v>
      </c>
      <c r="I3299" t="str" cm="1">
        <f t="array" ref="I3299">_xlfn.IFS(G3299&lt;3, "0–2 Years", G3299&lt;6, "3–5 Years", G3299&lt;9, "6–8 Years", G3299&lt;12, "9-11 Years", G3299&gt;=12, "12-14 Years")</f>
        <v>6–8 Years</v>
      </c>
      <c r="J3299">
        <v>1</v>
      </c>
      <c r="K3299" t="s">
        <v>20</v>
      </c>
      <c r="L3299">
        <v>80500</v>
      </c>
      <c r="M3299">
        <v>11300</v>
      </c>
      <c r="N3299">
        <v>91800</v>
      </c>
      <c r="O3299" t="s">
        <v>30</v>
      </c>
      <c r="P3299" s="3">
        <v>43260</v>
      </c>
      <c r="Q3299" t="s">
        <v>62</v>
      </c>
    </row>
    <row r="3300" spans="1:17" x14ac:dyDescent="0.35">
      <c r="A3300" t="s">
        <v>3352</v>
      </c>
      <c r="B3300" t="s">
        <v>16</v>
      </c>
      <c r="C3300" s="7">
        <v>33</v>
      </c>
      <c r="D3300" t="s">
        <v>44</v>
      </c>
      <c r="E3300" t="s">
        <v>81</v>
      </c>
      <c r="F3300" t="s">
        <v>28</v>
      </c>
      <c r="G3300" s="9">
        <v>13.9</v>
      </c>
      <c r="H3300" s="7">
        <v>8.5</v>
      </c>
      <c r="I3300" t="str" cm="1">
        <f t="array" ref="I3300">_xlfn.IFS(G3300&lt;3, "0–2 Years", G3300&lt;6, "3–5 Years", G3300&lt;9, "6–8 Years", G3300&lt;12, "9-11 Years", G3300&gt;=12, "12-14 Years")</f>
        <v>12-14 Years</v>
      </c>
      <c r="J3300" s="7">
        <v>3</v>
      </c>
      <c r="K3300" t="s">
        <v>20</v>
      </c>
      <c r="L3300" s="7">
        <v>107500</v>
      </c>
      <c r="M3300" s="7">
        <v>7900</v>
      </c>
      <c r="N3300" s="7">
        <v>115400</v>
      </c>
      <c r="O3300" t="s">
        <v>57</v>
      </c>
      <c r="P3300" s="3">
        <v>40953</v>
      </c>
      <c r="Q3300" t="s">
        <v>28</v>
      </c>
    </row>
    <row r="3301" spans="1:17" x14ac:dyDescent="0.35">
      <c r="A3301" t="s">
        <v>3353</v>
      </c>
      <c r="B3301" t="s">
        <v>23</v>
      </c>
      <c r="C3301">
        <v>45</v>
      </c>
      <c r="D3301" t="s">
        <v>38</v>
      </c>
      <c r="E3301" t="s">
        <v>61</v>
      </c>
      <c r="F3301" t="s">
        <v>28</v>
      </c>
      <c r="G3301">
        <v>11.2</v>
      </c>
      <c r="H3301">
        <v>6.1</v>
      </c>
      <c r="I3301" t="str" cm="1">
        <f t="array" ref="I3301">_xlfn.IFS(G3301&lt;3, "0–2 Years", G3301&lt;6, "3–5 Years", G3301&lt;9, "6–8 Years", G3301&lt;12, "9-11 Years", G3301&gt;=12, "12-14 Years")</f>
        <v>9-11 Years</v>
      </c>
      <c r="J3301">
        <v>2</v>
      </c>
      <c r="K3301" t="s">
        <v>20</v>
      </c>
      <c r="L3301">
        <v>114200</v>
      </c>
      <c r="M3301">
        <v>6600</v>
      </c>
      <c r="N3301">
        <v>120800</v>
      </c>
      <c r="O3301" t="s">
        <v>57</v>
      </c>
      <c r="P3301" s="3">
        <v>41947</v>
      </c>
      <c r="Q3301" t="s">
        <v>28</v>
      </c>
    </row>
    <row r="3302" spans="1:17" x14ac:dyDescent="0.35">
      <c r="A3302" t="s">
        <v>3354</v>
      </c>
      <c r="B3302" t="s">
        <v>16</v>
      </c>
      <c r="C3302" s="7">
        <v>28</v>
      </c>
      <c r="D3302" t="s">
        <v>44</v>
      </c>
      <c r="E3302" t="s">
        <v>76</v>
      </c>
      <c r="F3302" t="s">
        <v>28</v>
      </c>
      <c r="G3302" s="9">
        <v>12.2</v>
      </c>
      <c r="H3302" s="7">
        <v>8.1</v>
      </c>
      <c r="I3302" t="str" cm="1">
        <f t="array" ref="I3302">_xlfn.IFS(G3302&lt;3, "0–2 Years", G3302&lt;6, "3–5 Years", G3302&lt;9, "6–8 Years", G3302&lt;12, "9-11 Years", G3302&gt;=12, "12-14 Years")</f>
        <v>12-14 Years</v>
      </c>
      <c r="J3302" s="7">
        <v>4</v>
      </c>
      <c r="K3302" t="s">
        <v>20</v>
      </c>
      <c r="L3302" s="7">
        <v>104300</v>
      </c>
      <c r="M3302" s="7">
        <v>11100</v>
      </c>
      <c r="N3302" s="7">
        <v>115400</v>
      </c>
      <c r="O3302" t="s">
        <v>57</v>
      </c>
      <c r="P3302" s="3">
        <v>41580</v>
      </c>
      <c r="Q3302" t="s">
        <v>28</v>
      </c>
    </row>
    <row r="3303" spans="1:17" x14ac:dyDescent="0.35">
      <c r="A3303" t="s">
        <v>3355</v>
      </c>
      <c r="B3303" t="s">
        <v>16</v>
      </c>
      <c r="C3303">
        <v>37</v>
      </c>
      <c r="D3303" t="s">
        <v>17</v>
      </c>
      <c r="E3303" t="s">
        <v>18</v>
      </c>
      <c r="F3303" t="s">
        <v>28</v>
      </c>
      <c r="G3303">
        <v>2.6</v>
      </c>
      <c r="H3303">
        <v>1.5</v>
      </c>
      <c r="I3303" t="str" cm="1">
        <f t="array" ref="I3303">_xlfn.IFS(G3303&lt;3, "0–2 Years", G3303&lt;6, "3–5 Years", G3303&lt;9, "6–8 Years", G3303&lt;12, "9-11 Years", G3303&gt;=12, "12-14 Years")</f>
        <v>0–2 Years</v>
      </c>
      <c r="J3303">
        <v>4</v>
      </c>
      <c r="K3303" t="s">
        <v>20</v>
      </c>
      <c r="L3303">
        <v>102700</v>
      </c>
      <c r="M3303">
        <v>11500</v>
      </c>
      <c r="N3303">
        <v>114200</v>
      </c>
      <c r="O3303" t="s">
        <v>57</v>
      </c>
      <c r="P3303" s="3">
        <v>45056</v>
      </c>
      <c r="Q3303" t="s">
        <v>28</v>
      </c>
    </row>
    <row r="3304" spans="1:17" x14ac:dyDescent="0.35">
      <c r="A3304" t="s">
        <v>3356</v>
      </c>
      <c r="B3304" t="s">
        <v>23</v>
      </c>
      <c r="C3304" s="7">
        <v>22</v>
      </c>
      <c r="D3304" t="s">
        <v>38</v>
      </c>
      <c r="E3304" t="s">
        <v>61</v>
      </c>
      <c r="F3304" t="s">
        <v>36</v>
      </c>
      <c r="G3304" s="9">
        <v>13.6</v>
      </c>
      <c r="H3304" s="7">
        <v>8.5</v>
      </c>
      <c r="I3304" t="str" cm="1">
        <f t="array" ref="I3304">_xlfn.IFS(G3304&lt;3, "0–2 Years", G3304&lt;6, "3–5 Years", G3304&lt;9, "6–8 Years", G3304&lt;12, "9-11 Years", G3304&gt;=12, "12-14 Years")</f>
        <v>12-14 Years</v>
      </c>
      <c r="J3304" s="7">
        <v>4</v>
      </c>
      <c r="K3304" t="s">
        <v>20</v>
      </c>
      <c r="L3304" s="7">
        <v>127800</v>
      </c>
      <c r="M3304" s="7">
        <v>5800</v>
      </c>
      <c r="N3304" s="7">
        <v>133600</v>
      </c>
      <c r="O3304" t="s">
        <v>57</v>
      </c>
      <c r="P3304" s="3">
        <v>41049</v>
      </c>
      <c r="Q3304" t="s">
        <v>36</v>
      </c>
    </row>
    <row r="3305" spans="1:17" x14ac:dyDescent="0.35">
      <c r="A3305" t="s">
        <v>3357</v>
      </c>
      <c r="B3305" t="s">
        <v>16</v>
      </c>
      <c r="C3305">
        <v>39</v>
      </c>
      <c r="D3305" t="s">
        <v>44</v>
      </c>
      <c r="E3305" t="s">
        <v>45</v>
      </c>
      <c r="F3305" t="s">
        <v>19</v>
      </c>
      <c r="G3305">
        <v>3.9</v>
      </c>
      <c r="H3305">
        <v>1.3</v>
      </c>
      <c r="I3305" t="str" cm="1">
        <f t="array" ref="I3305">_xlfn.IFS(G3305&lt;3, "0–2 Years", G3305&lt;6, "3–5 Years", G3305&lt;9, "6–8 Years", G3305&lt;12, "9-11 Years", G3305&gt;=12, "12-14 Years")</f>
        <v>3–5 Years</v>
      </c>
      <c r="J3305">
        <v>3</v>
      </c>
      <c r="K3305" t="s">
        <v>20</v>
      </c>
      <c r="L3305">
        <v>69400</v>
      </c>
      <c r="M3305">
        <v>5500</v>
      </c>
      <c r="N3305">
        <v>74900</v>
      </c>
      <c r="O3305" t="s">
        <v>21</v>
      </c>
      <c r="P3305" s="3">
        <v>44582</v>
      </c>
      <c r="Q3305" t="s">
        <v>19</v>
      </c>
    </row>
    <row r="3306" spans="1:17" x14ac:dyDescent="0.35">
      <c r="A3306" t="s">
        <v>3358</v>
      </c>
      <c r="B3306" t="s">
        <v>16</v>
      </c>
      <c r="C3306">
        <v>35</v>
      </c>
      <c r="D3306" t="s">
        <v>41</v>
      </c>
      <c r="E3306" t="s">
        <v>73</v>
      </c>
      <c r="F3306" t="s">
        <v>28</v>
      </c>
      <c r="G3306">
        <v>10.9</v>
      </c>
      <c r="H3306">
        <v>8.9</v>
      </c>
      <c r="I3306" t="str" cm="1">
        <f t="array" ref="I3306">_xlfn.IFS(G3306&lt;3, "0–2 Years", G3306&lt;6, "3–5 Years", G3306&lt;9, "6–8 Years", G3306&lt;12, "9-11 Years", G3306&gt;=12, "12-14 Years")</f>
        <v>9-11 Years</v>
      </c>
      <c r="J3306">
        <v>3</v>
      </c>
      <c r="K3306" t="s">
        <v>24</v>
      </c>
      <c r="L3306">
        <v>58300</v>
      </c>
      <c r="M3306">
        <v>3800</v>
      </c>
      <c r="N3306">
        <v>62100</v>
      </c>
      <c r="O3306" t="s">
        <v>25</v>
      </c>
      <c r="P3306" s="3">
        <v>42041</v>
      </c>
      <c r="Q3306" t="s">
        <v>28</v>
      </c>
    </row>
    <row r="3307" spans="1:17" x14ac:dyDescent="0.35">
      <c r="A3307" t="s">
        <v>3359</v>
      </c>
      <c r="B3307" t="s">
        <v>16</v>
      </c>
      <c r="C3307">
        <v>26</v>
      </c>
      <c r="D3307" t="s">
        <v>44</v>
      </c>
      <c r="E3307" t="s">
        <v>81</v>
      </c>
      <c r="F3307" t="s">
        <v>62</v>
      </c>
      <c r="G3307">
        <v>5.4</v>
      </c>
      <c r="H3307">
        <v>3.6</v>
      </c>
      <c r="I3307" t="str" cm="1">
        <f t="array" ref="I3307">_xlfn.IFS(G3307&lt;3, "0–2 Years", G3307&lt;6, "3–5 Years", G3307&lt;9, "6–8 Years", G3307&lt;12, "9-11 Years", G3307&gt;=12, "12-14 Years")</f>
        <v>3–5 Years</v>
      </c>
      <c r="J3307">
        <v>4</v>
      </c>
      <c r="K3307" t="s">
        <v>20</v>
      </c>
      <c r="L3307">
        <v>88200</v>
      </c>
      <c r="M3307">
        <v>4800</v>
      </c>
      <c r="N3307">
        <v>93000</v>
      </c>
      <c r="O3307" t="s">
        <v>30</v>
      </c>
      <c r="P3307" s="3">
        <v>44053</v>
      </c>
      <c r="Q3307" t="s">
        <v>62</v>
      </c>
    </row>
    <row r="3308" spans="1:17" x14ac:dyDescent="0.35">
      <c r="A3308" t="s">
        <v>3360</v>
      </c>
      <c r="B3308" t="s">
        <v>23</v>
      </c>
      <c r="C3308">
        <v>21</v>
      </c>
      <c r="D3308" t="s">
        <v>44</v>
      </c>
      <c r="E3308" t="s">
        <v>76</v>
      </c>
      <c r="F3308" t="s">
        <v>19</v>
      </c>
      <c r="G3308">
        <v>7</v>
      </c>
      <c r="H3308">
        <v>3.4</v>
      </c>
      <c r="I3308" t="str" cm="1">
        <f t="array" ref="I3308">_xlfn.IFS(G3308&lt;3, "0–2 Years", G3308&lt;6, "3–5 Years", G3308&lt;9, "6–8 Years", G3308&lt;12, "9-11 Years", G3308&gt;=12, "12-14 Years")</f>
        <v>6–8 Years</v>
      </c>
      <c r="J3308">
        <v>4</v>
      </c>
      <c r="K3308" t="s">
        <v>20</v>
      </c>
      <c r="L3308">
        <v>119100</v>
      </c>
      <c r="M3308">
        <v>13400</v>
      </c>
      <c r="N3308">
        <v>132500</v>
      </c>
      <c r="O3308" t="s">
        <v>57</v>
      </c>
      <c r="P3308" s="3">
        <v>43464</v>
      </c>
      <c r="Q3308" t="s">
        <v>19</v>
      </c>
    </row>
    <row r="3309" spans="1:17" x14ac:dyDescent="0.35">
      <c r="A3309" t="s">
        <v>3361</v>
      </c>
      <c r="B3309" t="s">
        <v>23</v>
      </c>
      <c r="C3309">
        <v>24</v>
      </c>
      <c r="D3309" t="s">
        <v>41</v>
      </c>
      <c r="E3309" t="s">
        <v>42</v>
      </c>
      <c r="F3309" t="s">
        <v>62</v>
      </c>
      <c r="G3309">
        <v>11.1</v>
      </c>
      <c r="H3309">
        <v>7.7</v>
      </c>
      <c r="I3309" t="str" cm="1">
        <f t="array" ref="I3309">_xlfn.IFS(G3309&lt;3, "0–2 Years", G3309&lt;6, "3–5 Years", G3309&lt;9, "6–8 Years", G3309&lt;12, "9-11 Years", G3309&gt;=12, "12-14 Years")</f>
        <v>9-11 Years</v>
      </c>
      <c r="J3309">
        <v>3</v>
      </c>
      <c r="K3309" t="s">
        <v>69</v>
      </c>
      <c r="L3309">
        <v>63200</v>
      </c>
      <c r="M3309">
        <v>2200</v>
      </c>
      <c r="N3309">
        <v>65400</v>
      </c>
      <c r="O3309" t="s">
        <v>25</v>
      </c>
      <c r="P3309" s="3">
        <v>41956</v>
      </c>
      <c r="Q3309" t="s">
        <v>62</v>
      </c>
    </row>
    <row r="3310" spans="1:17" x14ac:dyDescent="0.35">
      <c r="A3310" t="s">
        <v>3362</v>
      </c>
      <c r="B3310" t="s">
        <v>23</v>
      </c>
      <c r="C3310" s="7">
        <v>38</v>
      </c>
      <c r="D3310" t="s">
        <v>55</v>
      </c>
      <c r="E3310" t="s">
        <v>92</v>
      </c>
      <c r="F3310" t="s">
        <v>62</v>
      </c>
      <c r="G3310" s="9">
        <v>13.9</v>
      </c>
      <c r="H3310" s="7">
        <v>7.8</v>
      </c>
      <c r="I3310" t="str" cm="1">
        <f t="array" ref="I3310">_xlfn.IFS(G3310&lt;3, "0–2 Years", G3310&lt;6, "3–5 Years", G3310&lt;9, "6–8 Years", G3310&lt;12, "9-11 Years", G3310&gt;=12, "12-14 Years")</f>
        <v>12-14 Years</v>
      </c>
      <c r="J3310" s="7">
        <v>3</v>
      </c>
      <c r="K3310" t="s">
        <v>20</v>
      </c>
      <c r="L3310" s="7">
        <v>113200</v>
      </c>
      <c r="M3310" s="7">
        <v>22100</v>
      </c>
      <c r="N3310" s="7">
        <v>135300</v>
      </c>
      <c r="O3310" t="s">
        <v>57</v>
      </c>
      <c r="P3310" s="3">
        <v>40957</v>
      </c>
      <c r="Q3310" t="s">
        <v>62</v>
      </c>
    </row>
    <row r="3311" spans="1:17" x14ac:dyDescent="0.35">
      <c r="A3311" t="s">
        <v>3363</v>
      </c>
      <c r="B3311" t="s">
        <v>16</v>
      </c>
      <c r="C3311">
        <v>29</v>
      </c>
      <c r="D3311" t="s">
        <v>38</v>
      </c>
      <c r="E3311" t="s">
        <v>39</v>
      </c>
      <c r="F3311" t="s">
        <v>36</v>
      </c>
      <c r="G3311">
        <v>3.8</v>
      </c>
      <c r="H3311">
        <v>3.1</v>
      </c>
      <c r="I3311" t="str" cm="1">
        <f t="array" ref="I3311">_xlfn.IFS(G3311&lt;3, "0–2 Years", G3311&lt;6, "3–5 Years", G3311&lt;9, "6–8 Years", G3311&lt;12, "9-11 Years", G3311&gt;=12, "12-14 Years")</f>
        <v>3–5 Years</v>
      </c>
      <c r="J3311">
        <v>5</v>
      </c>
      <c r="K3311" t="s">
        <v>20</v>
      </c>
      <c r="L3311">
        <v>91400</v>
      </c>
      <c r="M3311">
        <v>9500</v>
      </c>
      <c r="N3311">
        <v>100900</v>
      </c>
      <c r="O3311" t="s">
        <v>30</v>
      </c>
      <c r="P3311" s="3">
        <v>44625</v>
      </c>
      <c r="Q3311" t="s">
        <v>36</v>
      </c>
    </row>
    <row r="3312" spans="1:17" x14ac:dyDescent="0.35">
      <c r="A3312" t="s">
        <v>3364</v>
      </c>
      <c r="B3312" t="s">
        <v>23</v>
      </c>
      <c r="C3312">
        <v>29</v>
      </c>
      <c r="D3312" t="s">
        <v>41</v>
      </c>
      <c r="E3312" t="s">
        <v>73</v>
      </c>
      <c r="F3312" t="s">
        <v>36</v>
      </c>
      <c r="G3312">
        <v>10.4</v>
      </c>
      <c r="H3312">
        <v>8.3000000000000007</v>
      </c>
      <c r="I3312" t="str" cm="1">
        <f t="array" ref="I3312">_xlfn.IFS(G3312&lt;3, "0–2 Years", G3312&lt;6, "3–5 Years", G3312&lt;9, "6–8 Years", G3312&lt;12, "9-11 Years", G3312&gt;=12, "12-14 Years")</f>
        <v>9-11 Years</v>
      </c>
      <c r="J3312">
        <v>5</v>
      </c>
      <c r="K3312" t="s">
        <v>69</v>
      </c>
      <c r="L3312">
        <v>85400</v>
      </c>
      <c r="M3312">
        <v>6500</v>
      </c>
      <c r="N3312">
        <v>91900</v>
      </c>
      <c r="O3312" t="s">
        <v>30</v>
      </c>
      <c r="P3312" s="3">
        <v>42214</v>
      </c>
      <c r="Q3312" t="s">
        <v>36</v>
      </c>
    </row>
    <row r="3313" spans="1:17" x14ac:dyDescent="0.35">
      <c r="A3313" t="s">
        <v>3365</v>
      </c>
      <c r="B3313" t="s">
        <v>16</v>
      </c>
      <c r="C3313">
        <v>37</v>
      </c>
      <c r="D3313" t="s">
        <v>41</v>
      </c>
      <c r="E3313" t="s">
        <v>67</v>
      </c>
      <c r="F3313" t="s">
        <v>62</v>
      </c>
      <c r="G3313">
        <v>9.3000000000000007</v>
      </c>
      <c r="H3313">
        <v>4.9000000000000004</v>
      </c>
      <c r="I3313" t="str" cm="1">
        <f t="array" ref="I3313">_xlfn.IFS(G3313&lt;3, "0–2 Years", G3313&lt;6, "3–5 Years", G3313&lt;9, "6–8 Years", G3313&lt;12, "9-11 Years", G3313&gt;=12, "12-14 Years")</f>
        <v>9-11 Years</v>
      </c>
      <c r="J3313">
        <v>4</v>
      </c>
      <c r="K3313" t="s">
        <v>20</v>
      </c>
      <c r="L3313">
        <v>82500</v>
      </c>
      <c r="M3313">
        <v>6100</v>
      </c>
      <c r="N3313">
        <v>88600</v>
      </c>
      <c r="O3313" t="s">
        <v>30</v>
      </c>
      <c r="P3313" s="3">
        <v>42617</v>
      </c>
      <c r="Q3313" t="s">
        <v>62</v>
      </c>
    </row>
    <row r="3314" spans="1:17" x14ac:dyDescent="0.35">
      <c r="A3314" t="s">
        <v>3366</v>
      </c>
      <c r="B3314" t="s">
        <v>16</v>
      </c>
      <c r="C3314">
        <v>43</v>
      </c>
      <c r="D3314" t="s">
        <v>41</v>
      </c>
      <c r="E3314" t="s">
        <v>42</v>
      </c>
      <c r="F3314" t="s">
        <v>36</v>
      </c>
      <c r="G3314">
        <v>6.7</v>
      </c>
      <c r="H3314">
        <v>6.3</v>
      </c>
      <c r="I3314" t="str" cm="1">
        <f t="array" ref="I3314">_xlfn.IFS(G3314&lt;3, "0–2 Years", G3314&lt;6, "3–5 Years", G3314&lt;9, "6–8 Years", G3314&lt;12, "9-11 Years", G3314&gt;=12, "12-14 Years")</f>
        <v>6–8 Years</v>
      </c>
      <c r="J3314">
        <v>2</v>
      </c>
      <c r="K3314" t="s">
        <v>20</v>
      </c>
      <c r="L3314">
        <v>74700</v>
      </c>
      <c r="M3314">
        <v>3300</v>
      </c>
      <c r="N3314">
        <v>78000</v>
      </c>
      <c r="O3314" t="s">
        <v>21</v>
      </c>
      <c r="P3314" s="3">
        <v>43578</v>
      </c>
      <c r="Q3314" t="s">
        <v>36</v>
      </c>
    </row>
    <row r="3315" spans="1:17" x14ac:dyDescent="0.35">
      <c r="A3315" t="s">
        <v>3367</v>
      </c>
      <c r="B3315" t="s">
        <v>16</v>
      </c>
      <c r="C3315">
        <v>28</v>
      </c>
      <c r="D3315" t="s">
        <v>38</v>
      </c>
      <c r="E3315" t="s">
        <v>112</v>
      </c>
      <c r="F3315" t="s">
        <v>28</v>
      </c>
      <c r="G3315">
        <v>4.7</v>
      </c>
      <c r="H3315">
        <v>0</v>
      </c>
      <c r="I3315" t="str" cm="1">
        <f t="array" ref="I3315">_xlfn.IFS(G3315&lt;3, "0–2 Years", G3315&lt;6, "3–5 Years", G3315&lt;9, "6–8 Years", G3315&lt;12, "9-11 Years", G3315&gt;=12, "12-14 Years")</f>
        <v>3–5 Years</v>
      </c>
      <c r="J3315">
        <v>3</v>
      </c>
      <c r="K3315" t="s">
        <v>20</v>
      </c>
      <c r="L3315">
        <v>61600</v>
      </c>
      <c r="M3315">
        <v>4000</v>
      </c>
      <c r="N3315">
        <v>65600</v>
      </c>
      <c r="O3315" t="s">
        <v>25</v>
      </c>
      <c r="P3315" s="3">
        <v>44318</v>
      </c>
      <c r="Q3315" t="s">
        <v>28</v>
      </c>
    </row>
    <row r="3316" spans="1:17" x14ac:dyDescent="0.35">
      <c r="A3316" t="s">
        <v>3368</v>
      </c>
      <c r="B3316" t="s">
        <v>23</v>
      </c>
      <c r="C3316">
        <v>42</v>
      </c>
      <c r="D3316" t="s">
        <v>41</v>
      </c>
      <c r="E3316" t="s">
        <v>42</v>
      </c>
      <c r="F3316" t="s">
        <v>28</v>
      </c>
      <c r="G3316">
        <v>7.5</v>
      </c>
      <c r="H3316">
        <v>2.6</v>
      </c>
      <c r="I3316" t="str" cm="1">
        <f t="array" ref="I3316">_xlfn.IFS(G3316&lt;3, "0–2 Years", G3316&lt;6, "3–5 Years", G3316&lt;9, "6–8 Years", G3316&lt;12, "9-11 Years", G3316&gt;=12, "12-14 Years")</f>
        <v>6–8 Years</v>
      </c>
      <c r="J3316">
        <v>2</v>
      </c>
      <c r="K3316" t="s">
        <v>20</v>
      </c>
      <c r="L3316">
        <v>69000</v>
      </c>
      <c r="M3316">
        <v>2500</v>
      </c>
      <c r="N3316">
        <v>71500</v>
      </c>
      <c r="O3316" t="s">
        <v>21</v>
      </c>
      <c r="P3316" s="3">
        <v>43295</v>
      </c>
      <c r="Q3316" t="s">
        <v>28</v>
      </c>
    </row>
    <row r="3317" spans="1:17" x14ac:dyDescent="0.35">
      <c r="A3317" t="s">
        <v>3369</v>
      </c>
      <c r="B3317" t="s">
        <v>16</v>
      </c>
      <c r="C3317" s="7">
        <v>31</v>
      </c>
      <c r="D3317" t="s">
        <v>34</v>
      </c>
      <c r="E3317" t="s">
        <v>59</v>
      </c>
      <c r="F3317" t="s">
        <v>62</v>
      </c>
      <c r="G3317" s="9">
        <v>12.1</v>
      </c>
      <c r="H3317" s="7">
        <v>9.4</v>
      </c>
      <c r="I3317" t="str" cm="1">
        <f t="array" ref="I3317">_xlfn.IFS(G3317&lt;3, "0–2 Years", G3317&lt;6, "3–5 Years", G3317&lt;9, "6–8 Years", G3317&lt;12, "9-11 Years", G3317&gt;=12, "12-14 Years")</f>
        <v>12-14 Years</v>
      </c>
      <c r="J3317" s="7">
        <v>2</v>
      </c>
      <c r="K3317" t="s">
        <v>20</v>
      </c>
      <c r="L3317" s="7">
        <v>89100</v>
      </c>
      <c r="M3317" s="7">
        <v>6700</v>
      </c>
      <c r="N3317" s="7">
        <v>95800</v>
      </c>
      <c r="O3317" t="s">
        <v>30</v>
      </c>
      <c r="P3317" s="3">
        <v>41611</v>
      </c>
      <c r="Q3317" t="s">
        <v>62</v>
      </c>
    </row>
    <row r="3318" spans="1:17" x14ac:dyDescent="0.35">
      <c r="A3318" t="s">
        <v>3370</v>
      </c>
      <c r="B3318" t="s">
        <v>23</v>
      </c>
      <c r="C3318">
        <v>44</v>
      </c>
      <c r="D3318" t="s">
        <v>38</v>
      </c>
      <c r="E3318" t="s">
        <v>61</v>
      </c>
      <c r="F3318" t="s">
        <v>19</v>
      </c>
      <c r="G3318">
        <v>5.4</v>
      </c>
      <c r="H3318">
        <v>2.4</v>
      </c>
      <c r="I3318" t="str" cm="1">
        <f t="array" ref="I3318">_xlfn.IFS(G3318&lt;3, "0–2 Years", G3318&lt;6, "3–5 Years", G3318&lt;9, "6–8 Years", G3318&lt;12, "9-11 Years", G3318&gt;=12, "12-14 Years")</f>
        <v>3–5 Years</v>
      </c>
      <c r="J3318">
        <v>3</v>
      </c>
      <c r="K3318" t="s">
        <v>20</v>
      </c>
      <c r="L3318">
        <v>106700</v>
      </c>
      <c r="M3318">
        <v>8200</v>
      </c>
      <c r="N3318">
        <v>114900</v>
      </c>
      <c r="O3318" t="s">
        <v>57</v>
      </c>
      <c r="P3318" s="3">
        <v>44040</v>
      </c>
      <c r="Q3318" t="s">
        <v>19</v>
      </c>
    </row>
    <row r="3319" spans="1:17" x14ac:dyDescent="0.35">
      <c r="A3319" t="s">
        <v>3371</v>
      </c>
      <c r="B3319" t="s">
        <v>23</v>
      </c>
      <c r="C3319">
        <v>29</v>
      </c>
      <c r="D3319" t="s">
        <v>38</v>
      </c>
      <c r="E3319" t="s">
        <v>39</v>
      </c>
      <c r="F3319" t="s">
        <v>36</v>
      </c>
      <c r="G3319">
        <v>7.5</v>
      </c>
      <c r="H3319">
        <v>3</v>
      </c>
      <c r="I3319" t="str" cm="1">
        <f t="array" ref="I3319">_xlfn.IFS(G3319&lt;3, "0–2 Years", G3319&lt;6, "3–5 Years", G3319&lt;9, "6–8 Years", G3319&lt;12, "9-11 Years", G3319&gt;=12, "12-14 Years")</f>
        <v>6–8 Years</v>
      </c>
      <c r="J3319">
        <v>4</v>
      </c>
      <c r="K3319" t="s">
        <v>20</v>
      </c>
      <c r="L3319">
        <v>88400</v>
      </c>
      <c r="M3319">
        <v>3400</v>
      </c>
      <c r="N3319">
        <v>91800</v>
      </c>
      <c r="O3319" t="s">
        <v>30</v>
      </c>
      <c r="P3319" s="3">
        <v>43301</v>
      </c>
      <c r="Q3319" t="s">
        <v>36</v>
      </c>
    </row>
    <row r="3320" spans="1:17" x14ac:dyDescent="0.35">
      <c r="A3320" t="s">
        <v>3372</v>
      </c>
      <c r="B3320" t="s">
        <v>23</v>
      </c>
      <c r="C3320">
        <v>45</v>
      </c>
      <c r="D3320" t="s">
        <v>44</v>
      </c>
      <c r="E3320" t="s">
        <v>51</v>
      </c>
      <c r="F3320" t="s">
        <v>28</v>
      </c>
      <c r="G3320">
        <v>1.3</v>
      </c>
      <c r="H3320">
        <v>1.3</v>
      </c>
      <c r="I3320" t="str" cm="1">
        <f t="array" ref="I3320">_xlfn.IFS(G3320&lt;3, "0–2 Years", G3320&lt;6, "3–5 Years", G3320&lt;9, "6–8 Years", G3320&lt;12, "9-11 Years", G3320&gt;=12, "12-14 Years")</f>
        <v>0–2 Years</v>
      </c>
      <c r="J3320">
        <v>4</v>
      </c>
      <c r="K3320" t="s">
        <v>24</v>
      </c>
      <c r="L3320">
        <v>41100</v>
      </c>
      <c r="M3320">
        <v>4600</v>
      </c>
      <c r="N3320">
        <v>45700</v>
      </c>
      <c r="O3320" t="s">
        <v>65</v>
      </c>
      <c r="P3320" s="3">
        <v>45543</v>
      </c>
      <c r="Q3320" t="s">
        <v>28</v>
      </c>
    </row>
    <row r="3321" spans="1:17" x14ac:dyDescent="0.35">
      <c r="A3321" t="s">
        <v>3373</v>
      </c>
      <c r="B3321" t="s">
        <v>16</v>
      </c>
      <c r="C3321">
        <v>33</v>
      </c>
      <c r="D3321" t="s">
        <v>17</v>
      </c>
      <c r="E3321" t="s">
        <v>32</v>
      </c>
      <c r="F3321" t="s">
        <v>28</v>
      </c>
      <c r="G3321">
        <v>11.3</v>
      </c>
      <c r="H3321">
        <v>7.8</v>
      </c>
      <c r="I3321" t="str" cm="1">
        <f t="array" ref="I3321">_xlfn.IFS(G3321&lt;3, "0–2 Years", G3321&lt;6, "3–5 Years", G3321&lt;9, "6–8 Years", G3321&lt;12, "9-11 Years", G3321&gt;=12, "12-14 Years")</f>
        <v>9-11 Years</v>
      </c>
      <c r="J3321">
        <v>2</v>
      </c>
      <c r="K3321" t="s">
        <v>20</v>
      </c>
      <c r="L3321">
        <v>68300</v>
      </c>
      <c r="M3321">
        <v>3900</v>
      </c>
      <c r="N3321">
        <v>72200</v>
      </c>
      <c r="O3321" t="s">
        <v>21</v>
      </c>
      <c r="P3321" s="3">
        <v>41881</v>
      </c>
      <c r="Q3321" t="s">
        <v>28</v>
      </c>
    </row>
    <row r="3322" spans="1:17" x14ac:dyDescent="0.35">
      <c r="A3322" t="s">
        <v>3374</v>
      </c>
      <c r="B3322" t="s">
        <v>16</v>
      </c>
      <c r="C3322">
        <v>32</v>
      </c>
      <c r="D3322" t="s">
        <v>44</v>
      </c>
      <c r="E3322" t="s">
        <v>81</v>
      </c>
      <c r="F3322" t="s">
        <v>62</v>
      </c>
      <c r="G3322">
        <v>4.4000000000000004</v>
      </c>
      <c r="H3322">
        <v>2.8</v>
      </c>
      <c r="I3322" t="str" cm="1">
        <f t="array" ref="I3322">_xlfn.IFS(G3322&lt;3, "0–2 Years", G3322&lt;6, "3–5 Years", G3322&lt;9, "6–8 Years", G3322&lt;12, "9-11 Years", G3322&gt;=12, "12-14 Years")</f>
        <v>3–5 Years</v>
      </c>
      <c r="J3322">
        <v>3</v>
      </c>
      <c r="K3322" t="s">
        <v>20</v>
      </c>
      <c r="L3322">
        <v>96100</v>
      </c>
      <c r="M3322">
        <v>12000</v>
      </c>
      <c r="N3322">
        <v>108100</v>
      </c>
      <c r="O3322" t="s">
        <v>30</v>
      </c>
      <c r="P3322" s="3">
        <v>44407</v>
      </c>
      <c r="Q3322" t="s">
        <v>62</v>
      </c>
    </row>
    <row r="3323" spans="1:17" x14ac:dyDescent="0.35">
      <c r="A3323" t="s">
        <v>3375</v>
      </c>
      <c r="B3323" t="s">
        <v>23</v>
      </c>
      <c r="C3323" s="7">
        <v>34</v>
      </c>
      <c r="D3323" t="s">
        <v>44</v>
      </c>
      <c r="E3323" t="s">
        <v>45</v>
      </c>
      <c r="G3323" s="9">
        <v>12.5</v>
      </c>
      <c r="H3323" s="7">
        <v>8.1999999999999993</v>
      </c>
      <c r="I3323" t="str" cm="1">
        <f t="array" ref="I3323">_xlfn.IFS(G3323&lt;3, "0–2 Years", G3323&lt;6, "3–5 Years", G3323&lt;9, "6–8 Years", G3323&lt;12, "9-11 Years", G3323&gt;=12, "12-14 Years")</f>
        <v>12-14 Years</v>
      </c>
      <c r="J3323" s="7">
        <v>2</v>
      </c>
      <c r="K3323" t="s">
        <v>20</v>
      </c>
      <c r="L3323" s="7">
        <v>76200</v>
      </c>
      <c r="M3323" s="7">
        <v>8400</v>
      </c>
      <c r="N3323" s="7">
        <v>84600</v>
      </c>
      <c r="O3323" t="s">
        <v>21</v>
      </c>
      <c r="P3323" s="3">
        <v>41448</v>
      </c>
      <c r="Q3323" t="s">
        <v>5104</v>
      </c>
    </row>
    <row r="3324" spans="1:17" x14ac:dyDescent="0.35">
      <c r="A3324" t="s">
        <v>3376</v>
      </c>
      <c r="B3324" t="s">
        <v>23</v>
      </c>
      <c r="C3324">
        <v>22</v>
      </c>
      <c r="D3324" t="s">
        <v>34</v>
      </c>
      <c r="E3324" t="s">
        <v>47</v>
      </c>
      <c r="F3324" t="s">
        <v>36</v>
      </c>
      <c r="G3324">
        <v>1.4</v>
      </c>
      <c r="H3324">
        <v>1</v>
      </c>
      <c r="I3324" t="str" cm="1">
        <f t="array" ref="I3324">_xlfn.IFS(G3324&lt;3, "0–2 Years", G3324&lt;6, "3–5 Years", G3324&lt;9, "6–8 Years", G3324&lt;12, "9-11 Years", G3324&gt;=12, "12-14 Years")</f>
        <v>0–2 Years</v>
      </c>
      <c r="J3324">
        <v>3</v>
      </c>
      <c r="K3324" t="s">
        <v>20</v>
      </c>
      <c r="L3324">
        <v>72700</v>
      </c>
      <c r="M3324">
        <v>7600</v>
      </c>
      <c r="N3324">
        <v>80300</v>
      </c>
      <c r="O3324" t="s">
        <v>21</v>
      </c>
      <c r="P3324" s="3">
        <v>45496</v>
      </c>
      <c r="Q3324" t="s">
        <v>36</v>
      </c>
    </row>
    <row r="3325" spans="1:17" x14ac:dyDescent="0.35">
      <c r="A3325" t="s">
        <v>3377</v>
      </c>
      <c r="B3325" t="s">
        <v>16</v>
      </c>
      <c r="C3325" s="7">
        <v>49</v>
      </c>
      <c r="D3325" t="s">
        <v>55</v>
      </c>
      <c r="E3325" t="s">
        <v>92</v>
      </c>
      <c r="F3325" t="s">
        <v>62</v>
      </c>
      <c r="G3325" s="9">
        <v>13.4</v>
      </c>
      <c r="H3325" s="7">
        <v>9.3000000000000007</v>
      </c>
      <c r="I3325" t="str" cm="1">
        <f t="array" ref="I3325">_xlfn.IFS(G3325&lt;3, "0–2 Years", G3325&lt;6, "3–5 Years", G3325&lt;9, "6–8 Years", G3325&lt;12, "9-11 Years", G3325&gt;=12, "12-14 Years")</f>
        <v>12-14 Years</v>
      </c>
      <c r="J3325" s="7">
        <v>3</v>
      </c>
      <c r="K3325" t="s">
        <v>20</v>
      </c>
      <c r="L3325" s="7">
        <v>138700</v>
      </c>
      <c r="M3325" s="7">
        <v>26400</v>
      </c>
      <c r="N3325" s="7">
        <v>165100</v>
      </c>
      <c r="O3325" t="s">
        <v>57</v>
      </c>
      <c r="P3325" s="3">
        <v>41131</v>
      </c>
      <c r="Q3325" t="s">
        <v>62</v>
      </c>
    </row>
    <row r="3326" spans="1:17" x14ac:dyDescent="0.35">
      <c r="A3326" t="s">
        <v>3378</v>
      </c>
      <c r="B3326" t="s">
        <v>16</v>
      </c>
      <c r="C3326">
        <v>24</v>
      </c>
      <c r="D3326" t="s">
        <v>44</v>
      </c>
      <c r="E3326" t="s">
        <v>51</v>
      </c>
      <c r="F3326" t="s">
        <v>36</v>
      </c>
      <c r="G3326">
        <v>3.9</v>
      </c>
      <c r="H3326">
        <v>2.2999999999999998</v>
      </c>
      <c r="I3326" t="str" cm="1">
        <f t="array" ref="I3326">_xlfn.IFS(G3326&lt;3, "0–2 Years", G3326&lt;6, "3–5 Years", G3326&lt;9, "6–8 Years", G3326&lt;12, "9-11 Years", G3326&gt;=12, "12-14 Years")</f>
        <v>3–5 Years</v>
      </c>
      <c r="J3326">
        <v>3</v>
      </c>
      <c r="K3326" t="s">
        <v>20</v>
      </c>
      <c r="L3326">
        <v>78100</v>
      </c>
      <c r="M3326">
        <v>4700</v>
      </c>
      <c r="N3326">
        <v>82800</v>
      </c>
      <c r="O3326" t="s">
        <v>21</v>
      </c>
      <c r="P3326" s="3">
        <v>44614</v>
      </c>
      <c r="Q3326" t="s">
        <v>36</v>
      </c>
    </row>
    <row r="3327" spans="1:17" x14ac:dyDescent="0.35">
      <c r="A3327" t="s">
        <v>3379</v>
      </c>
      <c r="B3327" t="s">
        <v>16</v>
      </c>
      <c r="C3327">
        <v>24</v>
      </c>
      <c r="D3327" t="s">
        <v>38</v>
      </c>
      <c r="E3327" t="s">
        <v>61</v>
      </c>
      <c r="F3327" t="s">
        <v>28</v>
      </c>
      <c r="G3327">
        <v>10.199999999999999</v>
      </c>
      <c r="H3327">
        <v>7.1</v>
      </c>
      <c r="I3327" t="str" cm="1">
        <f t="array" ref="I3327">_xlfn.IFS(G3327&lt;3, "0–2 Years", G3327&lt;6, "3–5 Years", G3327&lt;9, "6–8 Years", G3327&lt;12, "9-11 Years", G3327&gt;=12, "12-14 Years")</f>
        <v>9-11 Years</v>
      </c>
      <c r="J3327">
        <v>3</v>
      </c>
      <c r="K3327" t="s">
        <v>20</v>
      </c>
      <c r="L3327">
        <v>110700</v>
      </c>
      <c r="M3327">
        <v>6400</v>
      </c>
      <c r="N3327">
        <v>117100</v>
      </c>
      <c r="O3327" t="s">
        <v>57</v>
      </c>
      <c r="P3327" s="3">
        <v>42282</v>
      </c>
      <c r="Q3327" t="s">
        <v>28</v>
      </c>
    </row>
    <row r="3328" spans="1:17" x14ac:dyDescent="0.35">
      <c r="A3328" t="s">
        <v>3380</v>
      </c>
      <c r="B3328" t="s">
        <v>23</v>
      </c>
      <c r="C3328">
        <v>35</v>
      </c>
      <c r="D3328" t="s">
        <v>55</v>
      </c>
      <c r="E3328" t="s">
        <v>92</v>
      </c>
      <c r="F3328" t="s">
        <v>36</v>
      </c>
      <c r="G3328">
        <v>8.5</v>
      </c>
      <c r="H3328">
        <v>5.8</v>
      </c>
      <c r="I3328" t="str" cm="1">
        <f t="array" ref="I3328">_xlfn.IFS(G3328&lt;3, "0–2 Years", G3328&lt;6, "3–5 Years", G3328&lt;9, "6–8 Years", G3328&lt;12, "9-11 Years", G3328&gt;=12, "12-14 Years")</f>
        <v>6–8 Years</v>
      </c>
      <c r="J3328">
        <v>3</v>
      </c>
      <c r="K3328" t="s">
        <v>20</v>
      </c>
      <c r="L3328">
        <v>114600</v>
      </c>
      <c r="M3328">
        <v>13200</v>
      </c>
      <c r="N3328">
        <v>127800</v>
      </c>
      <c r="O3328" t="s">
        <v>57</v>
      </c>
      <c r="P3328" s="3">
        <v>42909</v>
      </c>
      <c r="Q3328" t="s">
        <v>36</v>
      </c>
    </row>
    <row r="3329" spans="1:17" x14ac:dyDescent="0.35">
      <c r="A3329" t="s">
        <v>3381</v>
      </c>
      <c r="B3329" t="s">
        <v>16</v>
      </c>
      <c r="C3329">
        <v>32</v>
      </c>
      <c r="D3329" t="s">
        <v>44</v>
      </c>
      <c r="E3329" t="s">
        <v>51</v>
      </c>
      <c r="F3329" t="s">
        <v>28</v>
      </c>
      <c r="G3329">
        <v>2.1</v>
      </c>
      <c r="H3329">
        <v>0.7</v>
      </c>
      <c r="I3329" t="str" cm="1">
        <f t="array" ref="I3329">_xlfn.IFS(G3329&lt;3, "0–2 Years", G3329&lt;6, "3–5 Years", G3329&lt;9, "6–8 Years", G3329&lt;12, "9-11 Years", G3329&gt;=12, "12-14 Years")</f>
        <v>0–2 Years</v>
      </c>
      <c r="J3329">
        <v>5</v>
      </c>
      <c r="K3329" t="s">
        <v>20</v>
      </c>
      <c r="L3329">
        <v>73700</v>
      </c>
      <c r="M3329">
        <v>9500</v>
      </c>
      <c r="N3329">
        <v>83200</v>
      </c>
      <c r="O3329" t="s">
        <v>21</v>
      </c>
      <c r="P3329" s="3">
        <v>45250</v>
      </c>
      <c r="Q3329" t="s">
        <v>28</v>
      </c>
    </row>
    <row r="3330" spans="1:17" x14ac:dyDescent="0.35">
      <c r="A3330" t="s">
        <v>3382</v>
      </c>
      <c r="B3330" t="s">
        <v>23</v>
      </c>
      <c r="C3330">
        <v>51</v>
      </c>
      <c r="D3330" t="s">
        <v>34</v>
      </c>
      <c r="E3330" t="s">
        <v>35</v>
      </c>
      <c r="F3330" t="s">
        <v>28</v>
      </c>
      <c r="G3330">
        <v>1.5</v>
      </c>
      <c r="H3330">
        <v>0.9</v>
      </c>
      <c r="I3330" t="str" cm="1">
        <f t="array" ref="I3330">_xlfn.IFS(G3330&lt;3, "0–2 Years", G3330&lt;6, "3–5 Years", G3330&lt;9, "6–8 Years", G3330&lt;12, "9-11 Years", G3330&gt;=12, "12-14 Years")</f>
        <v>0–2 Years</v>
      </c>
      <c r="J3330">
        <v>1</v>
      </c>
      <c r="K3330" t="s">
        <v>20</v>
      </c>
      <c r="L3330">
        <v>63300</v>
      </c>
      <c r="M3330">
        <v>3500</v>
      </c>
      <c r="N3330">
        <v>66800</v>
      </c>
      <c r="O3330" t="s">
        <v>25</v>
      </c>
      <c r="P3330" s="3">
        <v>45478</v>
      </c>
      <c r="Q3330" t="s">
        <v>28</v>
      </c>
    </row>
    <row r="3331" spans="1:17" x14ac:dyDescent="0.35">
      <c r="A3331" t="s">
        <v>3383</v>
      </c>
      <c r="B3331" t="s">
        <v>16</v>
      </c>
      <c r="C3331">
        <v>36</v>
      </c>
      <c r="D3331" t="s">
        <v>55</v>
      </c>
      <c r="E3331" t="s">
        <v>92</v>
      </c>
      <c r="F3331" t="s">
        <v>28</v>
      </c>
      <c r="G3331">
        <v>3.2</v>
      </c>
      <c r="H3331">
        <v>3.2</v>
      </c>
      <c r="I3331" t="str" cm="1">
        <f t="array" ref="I3331">_xlfn.IFS(G3331&lt;3, "0–2 Years", G3331&lt;6, "3–5 Years", G3331&lt;9, "6–8 Years", G3331&lt;12, "9-11 Years", G3331&gt;=12, "12-14 Years")</f>
        <v>3–5 Years</v>
      </c>
      <c r="J3331">
        <v>3</v>
      </c>
      <c r="K3331" t="s">
        <v>20</v>
      </c>
      <c r="L3331">
        <v>89600</v>
      </c>
      <c r="M3331">
        <v>16000</v>
      </c>
      <c r="N3331">
        <v>105600</v>
      </c>
      <c r="O3331" t="s">
        <v>30</v>
      </c>
      <c r="P3331" s="3">
        <v>44847</v>
      </c>
      <c r="Q3331" t="s">
        <v>28</v>
      </c>
    </row>
    <row r="3332" spans="1:17" x14ac:dyDescent="0.35">
      <c r="A3332" t="s">
        <v>3384</v>
      </c>
      <c r="B3332" t="s">
        <v>16</v>
      </c>
      <c r="C3332">
        <v>40</v>
      </c>
      <c r="D3332" t="s">
        <v>44</v>
      </c>
      <c r="E3332" t="s">
        <v>76</v>
      </c>
      <c r="F3332" t="s">
        <v>62</v>
      </c>
      <c r="G3332">
        <v>7</v>
      </c>
      <c r="H3332">
        <v>4.5999999999999996</v>
      </c>
      <c r="I3332" t="str" cm="1">
        <f t="array" ref="I3332">_xlfn.IFS(G3332&lt;3, "0–2 Years", G3332&lt;6, "3–5 Years", G3332&lt;9, "6–8 Years", G3332&lt;12, "9-11 Years", G3332&gt;=12, "12-14 Years")</f>
        <v>6–8 Years</v>
      </c>
      <c r="J3332">
        <v>5</v>
      </c>
      <c r="K3332" t="s">
        <v>20</v>
      </c>
      <c r="L3332">
        <v>116400</v>
      </c>
      <c r="M3332">
        <v>13100</v>
      </c>
      <c r="N3332">
        <v>129500</v>
      </c>
      <c r="O3332" t="s">
        <v>57</v>
      </c>
      <c r="P3332" s="3">
        <v>43465</v>
      </c>
      <c r="Q3332" t="s">
        <v>62</v>
      </c>
    </row>
    <row r="3333" spans="1:17" x14ac:dyDescent="0.35">
      <c r="A3333" t="s">
        <v>3385</v>
      </c>
      <c r="B3333" t="s">
        <v>16</v>
      </c>
      <c r="C3333">
        <v>43</v>
      </c>
      <c r="D3333" t="s">
        <v>41</v>
      </c>
      <c r="E3333" t="s">
        <v>42</v>
      </c>
      <c r="F3333" t="s">
        <v>28</v>
      </c>
      <c r="G3333">
        <v>6.4</v>
      </c>
      <c r="H3333">
        <v>3</v>
      </c>
      <c r="I3333" t="str" cm="1">
        <f t="array" ref="I3333">_xlfn.IFS(G3333&lt;3, "0–2 Years", G3333&lt;6, "3–5 Years", G3333&lt;9, "6–8 Years", G3333&lt;12, "9-11 Years", G3333&gt;=12, "12-14 Years")</f>
        <v>6–8 Years</v>
      </c>
      <c r="J3333">
        <v>4</v>
      </c>
      <c r="K3333" t="s">
        <v>20</v>
      </c>
      <c r="L3333">
        <v>75700</v>
      </c>
      <c r="M3333">
        <v>4400</v>
      </c>
      <c r="N3333">
        <v>80100</v>
      </c>
      <c r="O3333" t="s">
        <v>21</v>
      </c>
      <c r="P3333" s="3">
        <v>43697</v>
      </c>
      <c r="Q3333" t="s">
        <v>28</v>
      </c>
    </row>
    <row r="3334" spans="1:17" x14ac:dyDescent="0.35">
      <c r="A3334" t="s">
        <v>3386</v>
      </c>
      <c r="B3334" t="s">
        <v>23</v>
      </c>
      <c r="C3334">
        <v>40</v>
      </c>
      <c r="D3334" t="s">
        <v>55</v>
      </c>
      <c r="E3334" t="s">
        <v>79</v>
      </c>
      <c r="F3334" t="s">
        <v>28</v>
      </c>
      <c r="G3334">
        <v>3</v>
      </c>
      <c r="H3334">
        <v>2.5</v>
      </c>
      <c r="I3334" t="str" cm="1">
        <f t="array" ref="I3334">_xlfn.IFS(G3334&lt;3, "0–2 Years", G3334&lt;6, "3–5 Years", G3334&lt;9, "6–8 Years", G3334&lt;12, "9-11 Years", G3334&gt;=12, "12-14 Years")</f>
        <v>3–5 Years</v>
      </c>
      <c r="J3334">
        <v>3</v>
      </c>
      <c r="K3334" t="s">
        <v>20</v>
      </c>
      <c r="L3334">
        <v>59000</v>
      </c>
      <c r="M3334">
        <v>6000</v>
      </c>
      <c r="N3334">
        <v>65000</v>
      </c>
      <c r="O3334" t="s">
        <v>25</v>
      </c>
      <c r="P3334" s="3">
        <v>44941</v>
      </c>
      <c r="Q3334" t="s">
        <v>28</v>
      </c>
    </row>
    <row r="3335" spans="1:17" x14ac:dyDescent="0.35">
      <c r="A3335" t="s">
        <v>3387</v>
      </c>
      <c r="B3335" t="s">
        <v>16</v>
      </c>
      <c r="C3335" s="7">
        <v>38</v>
      </c>
      <c r="D3335" t="s">
        <v>41</v>
      </c>
      <c r="E3335" t="s">
        <v>42</v>
      </c>
      <c r="F3335" t="s">
        <v>36</v>
      </c>
      <c r="G3335" s="9">
        <v>12.5</v>
      </c>
      <c r="H3335" s="7">
        <v>8.1</v>
      </c>
      <c r="I3335" t="str" cm="1">
        <f t="array" ref="I3335">_xlfn.IFS(G3335&lt;3, "0–2 Years", G3335&lt;6, "3–5 Years", G3335&lt;9, "6–8 Years", G3335&lt;12, "9-11 Years", G3335&gt;=12, "12-14 Years")</f>
        <v>12-14 Years</v>
      </c>
      <c r="J3335" s="7">
        <v>4</v>
      </c>
      <c r="K3335" t="s">
        <v>24</v>
      </c>
      <c r="L3335" s="7">
        <v>60900</v>
      </c>
      <c r="M3335" s="7">
        <v>5400</v>
      </c>
      <c r="N3335" s="7">
        <v>66300</v>
      </c>
      <c r="O3335" t="s">
        <v>25</v>
      </c>
      <c r="P3335" s="3">
        <v>41473</v>
      </c>
      <c r="Q3335" t="s">
        <v>36</v>
      </c>
    </row>
    <row r="3336" spans="1:17" x14ac:dyDescent="0.35">
      <c r="A3336" t="s">
        <v>3388</v>
      </c>
      <c r="B3336" t="s">
        <v>16</v>
      </c>
      <c r="C3336" s="7">
        <v>38</v>
      </c>
      <c r="D3336" t="s">
        <v>38</v>
      </c>
      <c r="E3336" t="s">
        <v>61</v>
      </c>
      <c r="F3336" t="s">
        <v>28</v>
      </c>
      <c r="G3336" s="9">
        <v>12.1</v>
      </c>
      <c r="H3336" s="7">
        <v>9.1999999999999993</v>
      </c>
      <c r="I3336" t="str" cm="1">
        <f t="array" ref="I3336">_xlfn.IFS(G3336&lt;3, "0–2 Years", G3336&lt;6, "3–5 Years", G3336&lt;9, "6–8 Years", G3336&lt;12, "9-11 Years", G3336&gt;=12, "12-14 Years")</f>
        <v>12-14 Years</v>
      </c>
      <c r="J3336" s="7">
        <v>4</v>
      </c>
      <c r="K3336" t="s">
        <v>20</v>
      </c>
      <c r="L3336" s="7">
        <v>107600</v>
      </c>
      <c r="M3336" s="7">
        <v>11200</v>
      </c>
      <c r="N3336" s="7">
        <v>118800</v>
      </c>
      <c r="O3336" t="s">
        <v>57</v>
      </c>
      <c r="P3336" s="3">
        <v>41609</v>
      </c>
      <c r="Q3336" t="s">
        <v>28</v>
      </c>
    </row>
    <row r="3337" spans="1:17" x14ac:dyDescent="0.35">
      <c r="A3337" t="s">
        <v>3389</v>
      </c>
      <c r="B3337" t="s">
        <v>23</v>
      </c>
      <c r="C3337">
        <v>28</v>
      </c>
      <c r="D3337" t="s">
        <v>41</v>
      </c>
      <c r="E3337" t="s">
        <v>42</v>
      </c>
      <c r="F3337" t="s">
        <v>28</v>
      </c>
      <c r="G3337">
        <v>9.6</v>
      </c>
      <c r="H3337">
        <v>6</v>
      </c>
      <c r="I3337" t="str" cm="1">
        <f t="array" ref="I3337">_xlfn.IFS(G3337&lt;3, "0–2 Years", G3337&lt;6, "3–5 Years", G3337&lt;9, "6–8 Years", G3337&lt;12, "9-11 Years", G3337&gt;=12, "12-14 Years")</f>
        <v>9-11 Years</v>
      </c>
      <c r="J3337">
        <v>4</v>
      </c>
      <c r="K3337" t="s">
        <v>20</v>
      </c>
      <c r="L3337">
        <v>90200</v>
      </c>
      <c r="M3337">
        <v>4800</v>
      </c>
      <c r="N3337">
        <v>95000</v>
      </c>
      <c r="O3337" t="s">
        <v>30</v>
      </c>
      <c r="P3337" s="3">
        <v>42501</v>
      </c>
      <c r="Q3337" t="s">
        <v>28</v>
      </c>
    </row>
    <row r="3338" spans="1:17" x14ac:dyDescent="0.35">
      <c r="A3338" t="s">
        <v>3390</v>
      </c>
      <c r="B3338" t="s">
        <v>16</v>
      </c>
      <c r="C3338">
        <v>27</v>
      </c>
      <c r="D3338" t="s">
        <v>38</v>
      </c>
      <c r="E3338" t="s">
        <v>61</v>
      </c>
      <c r="F3338" t="s">
        <v>36</v>
      </c>
      <c r="G3338">
        <v>8.9</v>
      </c>
      <c r="H3338">
        <v>4.9000000000000004</v>
      </c>
      <c r="I3338" t="str" cm="1">
        <f t="array" ref="I3338">_xlfn.IFS(G3338&lt;3, "0–2 Years", G3338&lt;6, "3–5 Years", G3338&lt;9, "6–8 Years", G3338&lt;12, "9-11 Years", G3338&gt;=12, "12-14 Years")</f>
        <v>6–8 Years</v>
      </c>
      <c r="J3338">
        <v>4</v>
      </c>
      <c r="K3338" t="s">
        <v>20</v>
      </c>
      <c r="L3338">
        <v>92200</v>
      </c>
      <c r="M3338">
        <v>4300</v>
      </c>
      <c r="N3338">
        <v>96500</v>
      </c>
      <c r="O3338" t="s">
        <v>30</v>
      </c>
      <c r="P3338" s="3">
        <v>42777</v>
      </c>
      <c r="Q3338" t="s">
        <v>36</v>
      </c>
    </row>
    <row r="3339" spans="1:17" x14ac:dyDescent="0.35">
      <c r="A3339" t="s">
        <v>3391</v>
      </c>
      <c r="B3339" t="s">
        <v>23</v>
      </c>
      <c r="C3339">
        <v>37</v>
      </c>
      <c r="D3339" t="s">
        <v>55</v>
      </c>
      <c r="E3339" t="s">
        <v>92</v>
      </c>
      <c r="F3339" t="s">
        <v>28</v>
      </c>
      <c r="G3339">
        <v>4.8</v>
      </c>
      <c r="H3339">
        <v>3.4</v>
      </c>
      <c r="I3339" t="str" cm="1">
        <f t="array" ref="I3339">_xlfn.IFS(G3339&lt;3, "0–2 Years", G3339&lt;6, "3–5 Years", G3339&lt;9, "6–8 Years", G3339&lt;12, "9-11 Years", G3339&gt;=12, "12-14 Years")</f>
        <v>3–5 Years</v>
      </c>
      <c r="J3339">
        <v>3</v>
      </c>
      <c r="K3339" t="s">
        <v>20</v>
      </c>
      <c r="L3339">
        <v>96100</v>
      </c>
      <c r="M3339">
        <v>10000</v>
      </c>
      <c r="N3339">
        <v>106100</v>
      </c>
      <c r="O3339" t="s">
        <v>30</v>
      </c>
      <c r="P3339" s="3">
        <v>44272</v>
      </c>
      <c r="Q3339" t="s">
        <v>28</v>
      </c>
    </row>
    <row r="3340" spans="1:17" x14ac:dyDescent="0.35">
      <c r="A3340" t="s">
        <v>3392</v>
      </c>
      <c r="B3340" t="s">
        <v>23</v>
      </c>
      <c r="C3340">
        <v>33</v>
      </c>
      <c r="D3340" t="s">
        <v>38</v>
      </c>
      <c r="E3340" t="s">
        <v>61</v>
      </c>
      <c r="F3340" t="s">
        <v>36</v>
      </c>
      <c r="G3340">
        <v>7.1</v>
      </c>
      <c r="H3340">
        <v>5.6</v>
      </c>
      <c r="I3340" t="str" cm="1">
        <f t="array" ref="I3340">_xlfn.IFS(G3340&lt;3, "0–2 Years", G3340&lt;6, "3–5 Years", G3340&lt;9, "6–8 Years", G3340&lt;12, "9-11 Years", G3340&gt;=12, "12-14 Years")</f>
        <v>6–8 Years</v>
      </c>
      <c r="J3340">
        <v>3</v>
      </c>
      <c r="K3340" t="s">
        <v>20</v>
      </c>
      <c r="L3340">
        <v>104300</v>
      </c>
      <c r="M3340">
        <v>10300</v>
      </c>
      <c r="N3340">
        <v>114600</v>
      </c>
      <c r="O3340" t="s">
        <v>57</v>
      </c>
      <c r="P3340" s="3">
        <v>43437</v>
      </c>
      <c r="Q3340" t="s">
        <v>36</v>
      </c>
    </row>
    <row r="3341" spans="1:17" x14ac:dyDescent="0.35">
      <c r="A3341" t="s">
        <v>3393</v>
      </c>
      <c r="B3341" t="s">
        <v>16</v>
      </c>
      <c r="C3341">
        <v>42</v>
      </c>
      <c r="D3341" t="s">
        <v>41</v>
      </c>
      <c r="E3341" t="s">
        <v>73</v>
      </c>
      <c r="F3341" t="s">
        <v>19</v>
      </c>
      <c r="G3341">
        <v>11.8</v>
      </c>
      <c r="H3341">
        <v>8.6999999999999993</v>
      </c>
      <c r="I3341" t="str" cm="1">
        <f t="array" ref="I3341">_xlfn.IFS(G3341&lt;3, "0–2 Years", G3341&lt;6, "3–5 Years", G3341&lt;9, "6–8 Years", G3341&lt;12, "9-11 Years", G3341&gt;=12, "12-14 Years")</f>
        <v>9-11 Years</v>
      </c>
      <c r="J3341">
        <v>4</v>
      </c>
      <c r="K3341" t="s">
        <v>20</v>
      </c>
      <c r="L3341">
        <v>113100</v>
      </c>
      <c r="M3341">
        <v>10000</v>
      </c>
      <c r="N3341">
        <v>123100</v>
      </c>
      <c r="O3341" t="s">
        <v>57</v>
      </c>
      <c r="P3341" s="3">
        <v>41727</v>
      </c>
      <c r="Q3341" t="s">
        <v>19</v>
      </c>
    </row>
    <row r="3342" spans="1:17" x14ac:dyDescent="0.35">
      <c r="A3342" t="s">
        <v>3394</v>
      </c>
      <c r="B3342" t="s">
        <v>23</v>
      </c>
      <c r="C3342" s="7">
        <v>28</v>
      </c>
      <c r="D3342" t="s">
        <v>17</v>
      </c>
      <c r="E3342" t="s">
        <v>27</v>
      </c>
      <c r="F3342" t="s">
        <v>28</v>
      </c>
      <c r="G3342" s="9">
        <v>13.9</v>
      </c>
      <c r="H3342" s="7">
        <v>11.1</v>
      </c>
      <c r="I3342" t="str" cm="1">
        <f t="array" ref="I3342">_xlfn.IFS(G3342&lt;3, "0–2 Years", G3342&lt;6, "3–5 Years", G3342&lt;9, "6–8 Years", G3342&lt;12, "9-11 Years", G3342&gt;=12, "12-14 Years")</f>
        <v>12-14 Years</v>
      </c>
      <c r="J3342" s="7">
        <v>4</v>
      </c>
      <c r="K3342" t="s">
        <v>20</v>
      </c>
      <c r="L3342" s="7">
        <v>87600</v>
      </c>
      <c r="M3342" s="7">
        <v>5600</v>
      </c>
      <c r="N3342" s="7">
        <v>93200</v>
      </c>
      <c r="O3342" t="s">
        <v>30</v>
      </c>
      <c r="P3342" s="3">
        <v>40952</v>
      </c>
      <c r="Q3342" t="s">
        <v>28</v>
      </c>
    </row>
    <row r="3343" spans="1:17" x14ac:dyDescent="0.35">
      <c r="A3343" t="s">
        <v>3395</v>
      </c>
      <c r="B3343" t="s">
        <v>23</v>
      </c>
      <c r="C3343">
        <v>43</v>
      </c>
      <c r="D3343" t="s">
        <v>55</v>
      </c>
      <c r="E3343" t="s">
        <v>56</v>
      </c>
      <c r="F3343" t="s">
        <v>28</v>
      </c>
      <c r="G3343">
        <v>8.9</v>
      </c>
      <c r="H3343">
        <v>6.4</v>
      </c>
      <c r="I3343" t="str" cm="1">
        <f t="array" ref="I3343">_xlfn.IFS(G3343&lt;3, "0–2 Years", G3343&lt;6, "3–5 Years", G3343&lt;9, "6–8 Years", G3343&lt;12, "9-11 Years", G3343&gt;=12, "12-14 Years")</f>
        <v>6–8 Years</v>
      </c>
      <c r="J3343">
        <v>3</v>
      </c>
      <c r="K3343" t="s">
        <v>20</v>
      </c>
      <c r="L3343">
        <v>100600</v>
      </c>
      <c r="M3343">
        <v>19700</v>
      </c>
      <c r="N3343">
        <v>120300</v>
      </c>
      <c r="O3343" t="s">
        <v>57</v>
      </c>
      <c r="P3343" s="3">
        <v>42776</v>
      </c>
      <c r="Q3343" t="s">
        <v>28</v>
      </c>
    </row>
    <row r="3344" spans="1:17" x14ac:dyDescent="0.35">
      <c r="A3344" t="s">
        <v>3396</v>
      </c>
      <c r="B3344" t="s">
        <v>16</v>
      </c>
      <c r="C3344">
        <v>33</v>
      </c>
      <c r="D3344" t="s">
        <v>17</v>
      </c>
      <c r="E3344" t="s">
        <v>32</v>
      </c>
      <c r="F3344" t="s">
        <v>36</v>
      </c>
      <c r="G3344">
        <v>2</v>
      </c>
      <c r="H3344">
        <v>2</v>
      </c>
      <c r="I3344" t="str" cm="1">
        <f t="array" ref="I3344">_xlfn.IFS(G3344&lt;3, "0–2 Years", G3344&lt;6, "3–5 Years", G3344&lt;9, "6–8 Years", G3344&lt;12, "9-11 Years", G3344&gt;=12, "12-14 Years")</f>
        <v>0–2 Years</v>
      </c>
      <c r="J3344">
        <v>3</v>
      </c>
      <c r="K3344" t="s">
        <v>20</v>
      </c>
      <c r="L3344">
        <v>80500</v>
      </c>
      <c r="M3344">
        <v>10400</v>
      </c>
      <c r="N3344">
        <v>90900</v>
      </c>
      <c r="O3344" t="s">
        <v>30</v>
      </c>
      <c r="P3344" s="3">
        <v>45293</v>
      </c>
      <c r="Q3344" t="s">
        <v>36</v>
      </c>
    </row>
    <row r="3345" spans="1:17" x14ac:dyDescent="0.35">
      <c r="A3345" t="s">
        <v>3397</v>
      </c>
      <c r="B3345" t="s">
        <v>23</v>
      </c>
      <c r="C3345">
        <v>26</v>
      </c>
      <c r="D3345" t="s">
        <v>44</v>
      </c>
      <c r="E3345" t="s">
        <v>81</v>
      </c>
      <c r="F3345" t="s">
        <v>36</v>
      </c>
      <c r="G3345">
        <v>8</v>
      </c>
      <c r="H3345">
        <v>5.9</v>
      </c>
      <c r="I3345" t="str" cm="1">
        <f t="array" ref="I3345">_xlfn.IFS(G3345&lt;3, "0–2 Years", G3345&lt;6, "3–5 Years", G3345&lt;9, "6–8 Years", G3345&lt;12, "9-11 Years", G3345&gt;=12, "12-14 Years")</f>
        <v>6–8 Years</v>
      </c>
      <c r="J3345">
        <v>4</v>
      </c>
      <c r="K3345" t="s">
        <v>20</v>
      </c>
      <c r="L3345">
        <v>98900</v>
      </c>
      <c r="M3345">
        <v>14800</v>
      </c>
      <c r="N3345">
        <v>113700</v>
      </c>
      <c r="O3345" t="s">
        <v>30</v>
      </c>
      <c r="P3345" s="3">
        <v>43083</v>
      </c>
      <c r="Q3345" t="s">
        <v>36</v>
      </c>
    </row>
    <row r="3346" spans="1:17" x14ac:dyDescent="0.35">
      <c r="A3346" t="s">
        <v>3398</v>
      </c>
      <c r="B3346" t="s">
        <v>16</v>
      </c>
      <c r="C3346">
        <v>54</v>
      </c>
      <c r="D3346" t="s">
        <v>44</v>
      </c>
      <c r="E3346" t="s">
        <v>45</v>
      </c>
      <c r="F3346" t="s">
        <v>28</v>
      </c>
      <c r="G3346">
        <v>10.6</v>
      </c>
      <c r="H3346">
        <v>7.6</v>
      </c>
      <c r="I3346" t="str" cm="1">
        <f t="array" ref="I3346">_xlfn.IFS(G3346&lt;3, "0–2 Years", G3346&lt;6, "3–5 Years", G3346&lt;9, "6–8 Years", G3346&lt;12, "9-11 Years", G3346&gt;=12, "12-14 Years")</f>
        <v>9-11 Years</v>
      </c>
      <c r="J3346">
        <v>5</v>
      </c>
      <c r="K3346" t="s">
        <v>20</v>
      </c>
      <c r="L3346">
        <v>83200</v>
      </c>
      <c r="M3346">
        <v>10300</v>
      </c>
      <c r="N3346">
        <v>93500</v>
      </c>
      <c r="O3346" t="s">
        <v>30</v>
      </c>
      <c r="P3346" s="3">
        <v>42169</v>
      </c>
      <c r="Q3346" t="s">
        <v>28</v>
      </c>
    </row>
    <row r="3347" spans="1:17" x14ac:dyDescent="0.35">
      <c r="A3347" t="s">
        <v>3399</v>
      </c>
      <c r="B3347" t="s">
        <v>16</v>
      </c>
      <c r="C3347" s="7">
        <v>41</v>
      </c>
      <c r="D3347" t="s">
        <v>55</v>
      </c>
      <c r="E3347" t="s">
        <v>56</v>
      </c>
      <c r="F3347" t="s">
        <v>28</v>
      </c>
      <c r="G3347" s="9">
        <v>13.2</v>
      </c>
      <c r="H3347" s="7">
        <v>8.4</v>
      </c>
      <c r="I3347" t="str" cm="1">
        <f t="array" ref="I3347">_xlfn.IFS(G3347&lt;3, "0–2 Years", G3347&lt;6, "3–5 Years", G3347&lt;9, "6–8 Years", G3347&lt;12, "9-11 Years", G3347&gt;=12, "12-14 Years")</f>
        <v>12-14 Years</v>
      </c>
      <c r="J3347" s="7">
        <v>4</v>
      </c>
      <c r="K3347" t="s">
        <v>20</v>
      </c>
      <c r="L3347" s="7">
        <v>114000</v>
      </c>
      <c r="M3347" s="7">
        <v>14200</v>
      </c>
      <c r="N3347" s="7">
        <v>128200</v>
      </c>
      <c r="O3347" t="s">
        <v>57</v>
      </c>
      <c r="P3347" s="3">
        <v>41205</v>
      </c>
      <c r="Q3347" t="s">
        <v>28</v>
      </c>
    </row>
    <row r="3348" spans="1:17" x14ac:dyDescent="0.35">
      <c r="A3348" t="s">
        <v>3400</v>
      </c>
      <c r="B3348" t="s">
        <v>16</v>
      </c>
      <c r="C3348">
        <v>44</v>
      </c>
      <c r="D3348" t="s">
        <v>55</v>
      </c>
      <c r="E3348" t="s">
        <v>79</v>
      </c>
      <c r="F3348" t="s">
        <v>28</v>
      </c>
      <c r="G3348">
        <v>4.0999999999999996</v>
      </c>
      <c r="H3348">
        <v>0.4</v>
      </c>
      <c r="I3348" t="str" cm="1">
        <f t="array" ref="I3348">_xlfn.IFS(G3348&lt;3, "0–2 Years", G3348&lt;6, "3–5 Years", G3348&lt;9, "6–8 Years", G3348&lt;12, "9-11 Years", G3348&gt;=12, "12-14 Years")</f>
        <v>3–5 Years</v>
      </c>
      <c r="J3348">
        <v>3</v>
      </c>
      <c r="K3348" t="s">
        <v>20</v>
      </c>
      <c r="L3348">
        <v>59700</v>
      </c>
      <c r="M3348">
        <v>12300</v>
      </c>
      <c r="N3348">
        <v>72000</v>
      </c>
      <c r="O3348" t="s">
        <v>25</v>
      </c>
      <c r="P3348" s="3">
        <v>44537</v>
      </c>
      <c r="Q3348" t="s">
        <v>28</v>
      </c>
    </row>
    <row r="3349" spans="1:17" x14ac:dyDescent="0.35">
      <c r="A3349" t="s">
        <v>3401</v>
      </c>
      <c r="B3349" t="s">
        <v>16</v>
      </c>
      <c r="C3349">
        <v>45</v>
      </c>
      <c r="D3349" t="s">
        <v>55</v>
      </c>
      <c r="E3349" t="s">
        <v>56</v>
      </c>
      <c r="F3349" t="s">
        <v>36</v>
      </c>
      <c r="G3349">
        <v>8.1</v>
      </c>
      <c r="H3349">
        <v>6.5</v>
      </c>
      <c r="I3349" t="str" cm="1">
        <f t="array" ref="I3349">_xlfn.IFS(G3349&lt;3, "0–2 Years", G3349&lt;6, "3–5 Years", G3349&lt;9, "6–8 Years", G3349&lt;12, "9-11 Years", G3349&gt;=12, "12-14 Years")</f>
        <v>6–8 Years</v>
      </c>
      <c r="J3349">
        <v>3</v>
      </c>
      <c r="K3349" t="s">
        <v>20</v>
      </c>
      <c r="L3349">
        <v>93600</v>
      </c>
      <c r="M3349">
        <v>14700</v>
      </c>
      <c r="N3349">
        <v>108300</v>
      </c>
      <c r="O3349" t="s">
        <v>30</v>
      </c>
      <c r="P3349" s="3">
        <v>43071</v>
      </c>
      <c r="Q3349" t="s">
        <v>36</v>
      </c>
    </row>
    <row r="3350" spans="1:17" x14ac:dyDescent="0.35">
      <c r="A3350" t="s">
        <v>3402</v>
      </c>
      <c r="B3350" t="s">
        <v>23</v>
      </c>
      <c r="C3350">
        <v>38</v>
      </c>
      <c r="D3350" t="s">
        <v>55</v>
      </c>
      <c r="E3350" t="s">
        <v>92</v>
      </c>
      <c r="F3350" t="s">
        <v>28</v>
      </c>
      <c r="G3350">
        <v>1.5</v>
      </c>
      <c r="H3350">
        <v>1.5</v>
      </c>
      <c r="I3350" t="str" cm="1">
        <f t="array" ref="I3350">_xlfn.IFS(G3350&lt;3, "0–2 Years", G3350&lt;6, "3–5 Years", G3350&lt;9, "6–8 Years", G3350&lt;12, "9-11 Years", G3350&gt;=12, "12-14 Years")</f>
        <v>0–2 Years</v>
      </c>
      <c r="J3350">
        <v>3</v>
      </c>
      <c r="K3350" t="s">
        <v>20</v>
      </c>
      <c r="L3350">
        <v>96200</v>
      </c>
      <c r="M3350">
        <v>8700</v>
      </c>
      <c r="N3350">
        <v>104900</v>
      </c>
      <c r="O3350" t="s">
        <v>30</v>
      </c>
      <c r="P3350" s="3">
        <v>45457</v>
      </c>
      <c r="Q3350" t="s">
        <v>28</v>
      </c>
    </row>
    <row r="3351" spans="1:17" x14ac:dyDescent="0.35">
      <c r="A3351" t="s">
        <v>3403</v>
      </c>
      <c r="B3351" t="s">
        <v>23</v>
      </c>
      <c r="C3351" s="7">
        <v>42</v>
      </c>
      <c r="D3351" t="s">
        <v>44</v>
      </c>
      <c r="E3351" t="s">
        <v>81</v>
      </c>
      <c r="F3351" t="s">
        <v>19</v>
      </c>
      <c r="G3351" s="9">
        <v>13.4</v>
      </c>
      <c r="H3351" s="7">
        <v>9.1</v>
      </c>
      <c r="I3351" t="str" cm="1">
        <f t="array" ref="I3351">_xlfn.IFS(G3351&lt;3, "0–2 Years", G3351&lt;6, "3–5 Years", G3351&lt;9, "6–8 Years", G3351&lt;12, "9-11 Years", G3351&gt;=12, "12-14 Years")</f>
        <v>12-14 Years</v>
      </c>
      <c r="J3351" s="7">
        <v>3</v>
      </c>
      <c r="K3351" t="s">
        <v>20</v>
      </c>
      <c r="L3351" s="7">
        <v>93600</v>
      </c>
      <c r="M3351" s="7">
        <v>12600</v>
      </c>
      <c r="N3351" s="7">
        <v>106200</v>
      </c>
      <c r="O3351" t="s">
        <v>30</v>
      </c>
      <c r="P3351" s="3">
        <v>41123</v>
      </c>
      <c r="Q3351" t="s">
        <v>19</v>
      </c>
    </row>
    <row r="3352" spans="1:17" x14ac:dyDescent="0.35">
      <c r="A3352" t="s">
        <v>3404</v>
      </c>
      <c r="B3352" t="s">
        <v>16</v>
      </c>
      <c r="C3352">
        <v>44</v>
      </c>
      <c r="D3352" t="s">
        <v>34</v>
      </c>
      <c r="E3352" t="s">
        <v>59</v>
      </c>
      <c r="F3352" t="s">
        <v>28</v>
      </c>
      <c r="G3352">
        <v>11.9</v>
      </c>
      <c r="I3352" t="str" cm="1">
        <f t="array" ref="I3352">_xlfn.IFS(G3352&lt;3, "0–2 Years", G3352&lt;6, "3–5 Years", G3352&lt;9, "6–8 Years", G3352&lt;12, "9-11 Years", G3352&gt;=12, "12-14 Years")</f>
        <v>9-11 Years</v>
      </c>
      <c r="J3352">
        <v>3</v>
      </c>
      <c r="K3352" t="s">
        <v>24</v>
      </c>
      <c r="L3352">
        <v>59400</v>
      </c>
      <c r="M3352">
        <v>4900</v>
      </c>
      <c r="N3352">
        <v>64300</v>
      </c>
      <c r="O3352" t="s">
        <v>25</v>
      </c>
      <c r="P3352" s="3">
        <v>41677</v>
      </c>
      <c r="Q3352" t="s">
        <v>28</v>
      </c>
    </row>
    <row r="3353" spans="1:17" x14ac:dyDescent="0.35">
      <c r="A3353" t="s">
        <v>3405</v>
      </c>
      <c r="B3353" t="s">
        <v>23</v>
      </c>
      <c r="C3353">
        <v>31</v>
      </c>
      <c r="D3353" t="s">
        <v>55</v>
      </c>
      <c r="E3353" t="s">
        <v>79</v>
      </c>
      <c r="F3353" t="s">
        <v>62</v>
      </c>
      <c r="G3353">
        <v>3.3</v>
      </c>
      <c r="H3353">
        <v>1.7</v>
      </c>
      <c r="I3353" t="str" cm="1">
        <f t="array" ref="I3353">_xlfn.IFS(G3353&lt;3, "0–2 Years", G3353&lt;6, "3–5 Years", G3353&lt;9, "6–8 Years", G3353&lt;12, "9-11 Years", G3353&gt;=12, "12-14 Years")</f>
        <v>3–5 Years</v>
      </c>
      <c r="J3353">
        <v>4</v>
      </c>
      <c r="K3353" t="s">
        <v>24</v>
      </c>
      <c r="L3353">
        <v>42900</v>
      </c>
      <c r="M3353">
        <v>7400</v>
      </c>
      <c r="N3353">
        <v>50300</v>
      </c>
      <c r="O3353" t="s">
        <v>65</v>
      </c>
      <c r="P3353" s="3">
        <v>44816</v>
      </c>
      <c r="Q3353" t="s">
        <v>62</v>
      </c>
    </row>
    <row r="3354" spans="1:17" x14ac:dyDescent="0.35">
      <c r="A3354" t="s">
        <v>3406</v>
      </c>
      <c r="B3354" t="s">
        <v>16</v>
      </c>
      <c r="C3354" s="7">
        <v>25</v>
      </c>
      <c r="D3354" t="s">
        <v>55</v>
      </c>
      <c r="E3354" t="s">
        <v>92</v>
      </c>
      <c r="F3354" t="s">
        <v>28</v>
      </c>
      <c r="G3354" s="9">
        <v>12.3</v>
      </c>
      <c r="H3354" s="7">
        <v>10</v>
      </c>
      <c r="I3354" t="str" cm="1">
        <f t="array" ref="I3354">_xlfn.IFS(G3354&lt;3, "0–2 Years", G3354&lt;6, "3–5 Years", G3354&lt;9, "6–8 Years", G3354&lt;12, "9-11 Years", G3354&gt;=12, "12-14 Years")</f>
        <v>12-14 Years</v>
      </c>
      <c r="J3354" s="7">
        <v>2</v>
      </c>
      <c r="K3354" t="s">
        <v>69</v>
      </c>
      <c r="L3354" s="7">
        <v>78600</v>
      </c>
      <c r="M3354" s="7">
        <v>12100</v>
      </c>
      <c r="N3354" s="7">
        <v>90700</v>
      </c>
      <c r="O3354" t="s">
        <v>21</v>
      </c>
      <c r="P3354" s="3">
        <v>41525</v>
      </c>
      <c r="Q3354" t="s">
        <v>28</v>
      </c>
    </row>
    <row r="3355" spans="1:17" x14ac:dyDescent="0.35">
      <c r="A3355" t="s">
        <v>3407</v>
      </c>
      <c r="B3355" t="s">
        <v>23</v>
      </c>
      <c r="C3355">
        <v>32</v>
      </c>
      <c r="D3355" t="s">
        <v>17</v>
      </c>
      <c r="E3355" t="s">
        <v>32</v>
      </c>
      <c r="F3355" t="s">
        <v>28</v>
      </c>
      <c r="G3355">
        <v>3.6</v>
      </c>
      <c r="H3355">
        <v>3.6</v>
      </c>
      <c r="I3355" t="str" cm="1">
        <f t="array" ref="I3355">_xlfn.IFS(G3355&lt;3, "0–2 Years", G3355&lt;6, "3–5 Years", G3355&lt;9, "6–8 Years", G3355&lt;12, "9-11 Years", G3355&gt;=12, "12-14 Years")</f>
        <v>3–5 Years</v>
      </c>
      <c r="J3355">
        <v>4</v>
      </c>
      <c r="K3355" t="s">
        <v>24</v>
      </c>
      <c r="L3355">
        <v>38000</v>
      </c>
      <c r="M3355">
        <v>5000</v>
      </c>
      <c r="N3355">
        <v>43000</v>
      </c>
      <c r="O3355" t="s">
        <v>65</v>
      </c>
      <c r="P3355" s="3">
        <v>44718</v>
      </c>
      <c r="Q3355" t="s">
        <v>28</v>
      </c>
    </row>
    <row r="3356" spans="1:17" x14ac:dyDescent="0.35">
      <c r="A3356" t="s">
        <v>3408</v>
      </c>
      <c r="B3356" t="s">
        <v>16</v>
      </c>
      <c r="C3356">
        <v>30</v>
      </c>
      <c r="D3356" t="s">
        <v>17</v>
      </c>
      <c r="E3356" t="s">
        <v>18</v>
      </c>
      <c r="F3356" t="s">
        <v>28</v>
      </c>
      <c r="G3356">
        <v>7.6</v>
      </c>
      <c r="H3356">
        <v>4.8</v>
      </c>
      <c r="I3356" t="str" cm="1">
        <f t="array" ref="I3356">_xlfn.IFS(G3356&lt;3, "0–2 Years", G3356&lt;6, "3–5 Years", G3356&lt;9, "6–8 Years", G3356&lt;12, "9-11 Years", G3356&gt;=12, "12-14 Years")</f>
        <v>6–8 Years</v>
      </c>
      <c r="J3356">
        <v>3</v>
      </c>
      <c r="K3356" t="s">
        <v>20</v>
      </c>
      <c r="L3356">
        <v>111400</v>
      </c>
      <c r="M3356">
        <v>8200</v>
      </c>
      <c r="N3356">
        <v>119600</v>
      </c>
      <c r="O3356" t="s">
        <v>57</v>
      </c>
      <c r="P3356" s="3">
        <v>43264</v>
      </c>
      <c r="Q3356" t="s">
        <v>28</v>
      </c>
    </row>
    <row r="3357" spans="1:17" x14ac:dyDescent="0.35">
      <c r="A3357" t="s">
        <v>3409</v>
      </c>
      <c r="B3357" t="s">
        <v>23</v>
      </c>
      <c r="C3357">
        <v>21</v>
      </c>
      <c r="D3357" t="s">
        <v>34</v>
      </c>
      <c r="E3357" t="s">
        <v>47</v>
      </c>
      <c r="F3357" t="s">
        <v>36</v>
      </c>
      <c r="G3357">
        <v>3.8</v>
      </c>
      <c r="H3357">
        <v>3.8</v>
      </c>
      <c r="I3357" t="str" cm="1">
        <f t="array" ref="I3357">_xlfn.IFS(G3357&lt;3, "0–2 Years", G3357&lt;6, "3–5 Years", G3357&lt;9, "6–8 Years", G3357&lt;12, "9-11 Years", G3357&gt;=12, "12-14 Years")</f>
        <v>3–5 Years</v>
      </c>
      <c r="J3357">
        <v>2</v>
      </c>
      <c r="K3357" t="s">
        <v>20</v>
      </c>
      <c r="L3357">
        <v>90400</v>
      </c>
      <c r="M3357">
        <v>10800</v>
      </c>
      <c r="N3357">
        <v>101200</v>
      </c>
      <c r="O3357" t="s">
        <v>30</v>
      </c>
      <c r="P3357" s="3">
        <v>44640</v>
      </c>
      <c r="Q3357" t="s">
        <v>36</v>
      </c>
    </row>
    <row r="3358" spans="1:17" x14ac:dyDescent="0.35">
      <c r="A3358" t="s">
        <v>3410</v>
      </c>
      <c r="B3358" t="s">
        <v>23</v>
      </c>
      <c r="C3358">
        <v>39</v>
      </c>
      <c r="D3358" t="s">
        <v>44</v>
      </c>
      <c r="E3358" t="s">
        <v>51</v>
      </c>
      <c r="F3358" t="s">
        <v>62</v>
      </c>
      <c r="G3358">
        <v>9.1999999999999993</v>
      </c>
      <c r="H3358">
        <v>6.1</v>
      </c>
      <c r="I3358" t="str" cm="1">
        <f t="array" ref="I3358">_xlfn.IFS(G3358&lt;3, "0–2 Years", G3358&lt;6, "3–5 Years", G3358&lt;9, "6–8 Years", G3358&lt;12, "9-11 Years", G3358&gt;=12, "12-14 Years")</f>
        <v>9-11 Years</v>
      </c>
      <c r="J3358">
        <v>4</v>
      </c>
      <c r="K3358" t="s">
        <v>20</v>
      </c>
      <c r="L3358">
        <v>97900</v>
      </c>
      <c r="M3358">
        <v>13300</v>
      </c>
      <c r="N3358">
        <v>111200</v>
      </c>
      <c r="O3358" t="s">
        <v>30</v>
      </c>
      <c r="P3358" s="3">
        <v>42672</v>
      </c>
      <c r="Q3358" t="s">
        <v>62</v>
      </c>
    </row>
    <row r="3359" spans="1:17" x14ac:dyDescent="0.35">
      <c r="A3359" t="s">
        <v>3411</v>
      </c>
      <c r="B3359" t="s">
        <v>23</v>
      </c>
      <c r="C3359">
        <v>34</v>
      </c>
      <c r="D3359" t="s">
        <v>38</v>
      </c>
      <c r="E3359" t="s">
        <v>39</v>
      </c>
      <c r="F3359" t="s">
        <v>36</v>
      </c>
      <c r="G3359">
        <v>2.2999999999999998</v>
      </c>
      <c r="H3359">
        <v>2.2999999999999998</v>
      </c>
      <c r="I3359" t="str" cm="1">
        <f t="array" ref="I3359">_xlfn.IFS(G3359&lt;3, "0–2 Years", G3359&lt;6, "3–5 Years", G3359&lt;9, "6–8 Years", G3359&lt;12, "9-11 Years", G3359&gt;=12, "12-14 Years")</f>
        <v>0–2 Years</v>
      </c>
      <c r="J3359">
        <v>3</v>
      </c>
      <c r="K3359" t="s">
        <v>20</v>
      </c>
      <c r="L3359">
        <v>63200</v>
      </c>
      <c r="M3359">
        <v>5200</v>
      </c>
      <c r="N3359">
        <v>68400</v>
      </c>
      <c r="O3359" t="s">
        <v>25</v>
      </c>
      <c r="P3359" s="3">
        <v>45192</v>
      </c>
      <c r="Q3359" t="s">
        <v>36</v>
      </c>
    </row>
    <row r="3360" spans="1:17" x14ac:dyDescent="0.35">
      <c r="A3360" t="s">
        <v>3412</v>
      </c>
      <c r="B3360" t="s">
        <v>23</v>
      </c>
      <c r="C3360">
        <v>35</v>
      </c>
      <c r="D3360" t="s">
        <v>41</v>
      </c>
      <c r="E3360" t="s">
        <v>67</v>
      </c>
      <c r="F3360" t="s">
        <v>62</v>
      </c>
      <c r="G3360">
        <v>8</v>
      </c>
      <c r="H3360">
        <v>3.1</v>
      </c>
      <c r="I3360" t="str" cm="1">
        <f t="array" ref="I3360">_xlfn.IFS(G3360&lt;3, "0–2 Years", G3360&lt;6, "3–5 Years", G3360&lt;9, "6–8 Years", G3360&lt;12, "9-11 Years", G3360&gt;=12, "12-14 Years")</f>
        <v>6–8 Years</v>
      </c>
      <c r="J3360">
        <v>3</v>
      </c>
      <c r="K3360" t="s">
        <v>20</v>
      </c>
      <c r="L3360">
        <v>75000</v>
      </c>
      <c r="M3360">
        <v>3800</v>
      </c>
      <c r="N3360">
        <v>78800</v>
      </c>
      <c r="O3360" t="s">
        <v>21</v>
      </c>
      <c r="P3360" s="3">
        <v>43086</v>
      </c>
      <c r="Q3360" t="s">
        <v>62</v>
      </c>
    </row>
    <row r="3361" spans="1:17" x14ac:dyDescent="0.35">
      <c r="A3361" t="s">
        <v>3413</v>
      </c>
      <c r="B3361" t="s">
        <v>16</v>
      </c>
      <c r="C3361">
        <v>48</v>
      </c>
      <c r="D3361" t="s">
        <v>41</v>
      </c>
      <c r="E3361" t="s">
        <v>73</v>
      </c>
      <c r="F3361" t="s">
        <v>28</v>
      </c>
      <c r="G3361">
        <v>3.1</v>
      </c>
      <c r="H3361">
        <v>1.3</v>
      </c>
      <c r="I3361" t="str" cm="1">
        <f t="array" ref="I3361">_xlfn.IFS(G3361&lt;3, "0–2 Years", G3361&lt;6, "3–5 Years", G3361&lt;9, "6–8 Years", G3361&lt;12, "9-11 Years", G3361&gt;=12, "12-14 Years")</f>
        <v>3–5 Years</v>
      </c>
      <c r="J3361">
        <v>4</v>
      </c>
      <c r="K3361" t="s">
        <v>20</v>
      </c>
      <c r="L3361">
        <v>102600</v>
      </c>
      <c r="M3361">
        <v>6500</v>
      </c>
      <c r="N3361">
        <v>109100</v>
      </c>
      <c r="O3361" t="s">
        <v>57</v>
      </c>
      <c r="P3361" s="3">
        <v>44900</v>
      </c>
      <c r="Q3361" t="s">
        <v>28</v>
      </c>
    </row>
    <row r="3362" spans="1:17" x14ac:dyDescent="0.35">
      <c r="A3362" t="s">
        <v>3414</v>
      </c>
      <c r="B3362" t="s">
        <v>23</v>
      </c>
      <c r="C3362">
        <v>33</v>
      </c>
      <c r="D3362" t="s">
        <v>38</v>
      </c>
      <c r="E3362" t="s">
        <v>112</v>
      </c>
      <c r="F3362" t="s">
        <v>28</v>
      </c>
      <c r="G3362">
        <v>5.9</v>
      </c>
      <c r="H3362">
        <v>4.4000000000000004</v>
      </c>
      <c r="I3362" t="str" cm="1">
        <f t="array" ref="I3362">_xlfn.IFS(G3362&lt;3, "0–2 Years", G3362&lt;6, "3–5 Years", G3362&lt;9, "6–8 Years", G3362&lt;12, "9-11 Years", G3362&gt;=12, "12-14 Years")</f>
        <v>3–5 Years</v>
      </c>
      <c r="J3362">
        <v>3</v>
      </c>
      <c r="K3362" t="s">
        <v>20</v>
      </c>
      <c r="L3362">
        <v>73800</v>
      </c>
      <c r="M3362">
        <v>6400</v>
      </c>
      <c r="N3362">
        <v>80200</v>
      </c>
      <c r="O3362" t="s">
        <v>21</v>
      </c>
      <c r="P3362" s="3">
        <v>43855</v>
      </c>
      <c r="Q3362" t="s">
        <v>28</v>
      </c>
    </row>
    <row r="3363" spans="1:17" x14ac:dyDescent="0.35">
      <c r="A3363" t="s">
        <v>3415</v>
      </c>
      <c r="B3363" t="s">
        <v>23</v>
      </c>
      <c r="C3363">
        <v>43</v>
      </c>
      <c r="D3363" t="s">
        <v>41</v>
      </c>
      <c r="E3363" t="s">
        <v>42</v>
      </c>
      <c r="F3363" t="s">
        <v>28</v>
      </c>
      <c r="G3363">
        <v>6.3</v>
      </c>
      <c r="H3363">
        <v>5.2</v>
      </c>
      <c r="I3363" t="str" cm="1">
        <f t="array" ref="I3363">_xlfn.IFS(G3363&lt;3, "0–2 Years", G3363&lt;6, "3–5 Years", G3363&lt;9, "6–8 Years", G3363&lt;12, "9-11 Years", G3363&gt;=12, "12-14 Years")</f>
        <v>6–8 Years</v>
      </c>
      <c r="J3363">
        <v>3</v>
      </c>
      <c r="K3363" t="s">
        <v>20</v>
      </c>
      <c r="L3363">
        <v>77800</v>
      </c>
      <c r="M3363">
        <v>5300</v>
      </c>
      <c r="N3363">
        <v>83100</v>
      </c>
      <c r="O3363" t="s">
        <v>21</v>
      </c>
      <c r="P3363" s="3">
        <v>43733</v>
      </c>
      <c r="Q3363" t="s">
        <v>28</v>
      </c>
    </row>
    <row r="3364" spans="1:17" x14ac:dyDescent="0.35">
      <c r="A3364" t="s">
        <v>3416</v>
      </c>
      <c r="B3364" t="s">
        <v>16</v>
      </c>
      <c r="C3364">
        <v>47</v>
      </c>
      <c r="D3364" t="s">
        <v>34</v>
      </c>
      <c r="E3364" t="s">
        <v>59</v>
      </c>
      <c r="F3364" t="s">
        <v>36</v>
      </c>
      <c r="G3364">
        <v>8.4</v>
      </c>
      <c r="H3364">
        <v>4.4000000000000004</v>
      </c>
      <c r="I3364" t="str" cm="1">
        <f t="array" ref="I3364">_xlfn.IFS(G3364&lt;3, "0–2 Years", G3364&lt;6, "3–5 Years", G3364&lt;9, "6–8 Years", G3364&lt;12, "9-11 Years", G3364&gt;=12, "12-14 Years")</f>
        <v>6–8 Years</v>
      </c>
      <c r="J3364">
        <v>3</v>
      </c>
      <c r="K3364" t="s">
        <v>24</v>
      </c>
      <c r="L3364">
        <v>66800</v>
      </c>
      <c r="M3364">
        <v>6800</v>
      </c>
      <c r="N3364">
        <v>73600</v>
      </c>
      <c r="O3364" t="s">
        <v>21</v>
      </c>
      <c r="P3364" s="3">
        <v>42943</v>
      </c>
      <c r="Q3364" t="s">
        <v>36</v>
      </c>
    </row>
    <row r="3365" spans="1:17" x14ac:dyDescent="0.35">
      <c r="A3365" t="s">
        <v>3417</v>
      </c>
      <c r="B3365" t="s">
        <v>23</v>
      </c>
      <c r="C3365">
        <v>37</v>
      </c>
      <c r="D3365" t="s">
        <v>17</v>
      </c>
      <c r="E3365" t="s">
        <v>18</v>
      </c>
      <c r="F3365" t="s">
        <v>28</v>
      </c>
      <c r="G3365">
        <v>2.2999999999999998</v>
      </c>
      <c r="H3365">
        <v>2.2999999999999998</v>
      </c>
      <c r="I3365" t="str" cm="1">
        <f t="array" ref="I3365">_xlfn.IFS(G3365&lt;3, "0–2 Years", G3365&lt;6, "3–5 Years", G3365&lt;9, "6–8 Years", G3365&lt;12, "9-11 Years", G3365&gt;=12, "12-14 Years")</f>
        <v>0–2 Years</v>
      </c>
      <c r="J3365">
        <v>3</v>
      </c>
      <c r="K3365" t="s">
        <v>20</v>
      </c>
      <c r="L3365">
        <v>88400</v>
      </c>
      <c r="M3365">
        <v>5200</v>
      </c>
      <c r="N3365">
        <v>93600</v>
      </c>
      <c r="O3365" t="s">
        <v>30</v>
      </c>
      <c r="P3365" s="3">
        <v>45200</v>
      </c>
      <c r="Q3365" t="s">
        <v>28</v>
      </c>
    </row>
    <row r="3366" spans="1:17" x14ac:dyDescent="0.35">
      <c r="A3366" t="s">
        <v>3418</v>
      </c>
      <c r="B3366" t="s">
        <v>16</v>
      </c>
      <c r="C3366">
        <v>53</v>
      </c>
      <c r="D3366" t="s">
        <v>44</v>
      </c>
      <c r="E3366" t="s">
        <v>45</v>
      </c>
      <c r="F3366" t="s">
        <v>62</v>
      </c>
      <c r="G3366">
        <v>10.8</v>
      </c>
      <c r="H3366">
        <v>10.1</v>
      </c>
      <c r="I3366" t="str" cm="1">
        <f t="array" ref="I3366">_xlfn.IFS(G3366&lt;3, "0–2 Years", G3366&lt;6, "3–5 Years", G3366&lt;9, "6–8 Years", G3366&lt;12, "9-11 Years", G3366&gt;=12, "12-14 Years")</f>
        <v>9-11 Years</v>
      </c>
      <c r="J3366">
        <v>3</v>
      </c>
      <c r="K3366" t="s">
        <v>20</v>
      </c>
      <c r="L3366">
        <v>87400</v>
      </c>
      <c r="M3366">
        <v>9700</v>
      </c>
      <c r="N3366">
        <v>97100</v>
      </c>
      <c r="O3366" t="s">
        <v>30</v>
      </c>
      <c r="P3366" s="3">
        <v>42092</v>
      </c>
      <c r="Q3366" t="s">
        <v>62</v>
      </c>
    </row>
    <row r="3367" spans="1:17" x14ac:dyDescent="0.35">
      <c r="A3367" t="s">
        <v>3419</v>
      </c>
      <c r="B3367" t="s">
        <v>16</v>
      </c>
      <c r="C3367">
        <v>38</v>
      </c>
      <c r="D3367" t="s">
        <v>17</v>
      </c>
      <c r="E3367" t="s">
        <v>27</v>
      </c>
      <c r="F3367" t="s">
        <v>36</v>
      </c>
      <c r="G3367">
        <v>8.4</v>
      </c>
      <c r="H3367">
        <v>5.4</v>
      </c>
      <c r="I3367" t="str" cm="1">
        <f t="array" ref="I3367">_xlfn.IFS(G3367&lt;3, "0–2 Years", G3367&lt;6, "3–5 Years", G3367&lt;9, "6–8 Years", G3367&lt;12, "9-11 Years", G3367&gt;=12, "12-14 Years")</f>
        <v>6–8 Years</v>
      </c>
      <c r="J3367">
        <v>1</v>
      </c>
      <c r="K3367" t="s">
        <v>20</v>
      </c>
      <c r="L3367">
        <v>72000</v>
      </c>
      <c r="M3367">
        <v>8600</v>
      </c>
      <c r="N3367">
        <v>80600</v>
      </c>
      <c r="O3367" t="s">
        <v>21</v>
      </c>
      <c r="P3367" s="3">
        <v>42947</v>
      </c>
      <c r="Q3367" t="s">
        <v>36</v>
      </c>
    </row>
    <row r="3368" spans="1:17" x14ac:dyDescent="0.35">
      <c r="A3368" t="s">
        <v>3420</v>
      </c>
      <c r="B3368" t="s">
        <v>16</v>
      </c>
      <c r="C3368">
        <v>47</v>
      </c>
      <c r="D3368" t="s">
        <v>34</v>
      </c>
      <c r="E3368" t="s">
        <v>35</v>
      </c>
      <c r="F3368" t="s">
        <v>62</v>
      </c>
      <c r="G3368">
        <v>3</v>
      </c>
      <c r="H3368">
        <v>0.9</v>
      </c>
      <c r="I3368" t="str" cm="1">
        <f t="array" ref="I3368">_xlfn.IFS(G3368&lt;3, "0–2 Years", G3368&lt;6, "3–5 Years", G3368&lt;9, "6–8 Years", G3368&lt;12, "9-11 Years", G3368&gt;=12, "12-14 Years")</f>
        <v>3–5 Years</v>
      </c>
      <c r="J3368">
        <v>3</v>
      </c>
      <c r="K3368" t="s">
        <v>20</v>
      </c>
      <c r="L3368">
        <v>87900</v>
      </c>
      <c r="M3368">
        <v>7000</v>
      </c>
      <c r="N3368">
        <v>94900</v>
      </c>
      <c r="O3368" t="s">
        <v>30</v>
      </c>
      <c r="P3368" s="3">
        <v>44935</v>
      </c>
      <c r="Q3368" t="s">
        <v>62</v>
      </c>
    </row>
    <row r="3369" spans="1:17" x14ac:dyDescent="0.35">
      <c r="A3369" t="s">
        <v>3421</v>
      </c>
      <c r="B3369" t="s">
        <v>16</v>
      </c>
      <c r="C3369">
        <v>40</v>
      </c>
      <c r="D3369" t="s">
        <v>44</v>
      </c>
      <c r="E3369" t="s">
        <v>45</v>
      </c>
      <c r="F3369" t="s">
        <v>28</v>
      </c>
      <c r="G3369">
        <v>8.5</v>
      </c>
      <c r="H3369">
        <v>5.0999999999999996</v>
      </c>
      <c r="I3369" t="str" cm="1">
        <f t="array" ref="I3369">_xlfn.IFS(G3369&lt;3, "0–2 Years", G3369&lt;6, "3–5 Years", G3369&lt;9, "6–8 Years", G3369&lt;12, "9-11 Years", G3369&gt;=12, "12-14 Years")</f>
        <v>6–8 Years</v>
      </c>
      <c r="J3369">
        <v>4</v>
      </c>
      <c r="K3369" t="s">
        <v>20</v>
      </c>
      <c r="L3369">
        <v>80100</v>
      </c>
      <c r="M3369">
        <v>7100</v>
      </c>
      <c r="N3369">
        <v>87200</v>
      </c>
      <c r="O3369" t="s">
        <v>30</v>
      </c>
      <c r="P3369" s="3">
        <v>42915</v>
      </c>
      <c r="Q3369" t="s">
        <v>28</v>
      </c>
    </row>
    <row r="3370" spans="1:17" x14ac:dyDescent="0.35">
      <c r="A3370" t="s">
        <v>3422</v>
      </c>
      <c r="B3370" t="s">
        <v>16</v>
      </c>
      <c r="C3370" s="7">
        <v>40</v>
      </c>
      <c r="D3370" t="s">
        <v>44</v>
      </c>
      <c r="E3370" t="s">
        <v>45</v>
      </c>
      <c r="F3370" t="s">
        <v>28</v>
      </c>
      <c r="G3370" s="9">
        <v>12.9</v>
      </c>
      <c r="H3370" s="7">
        <v>7.9</v>
      </c>
      <c r="I3370" t="str" cm="1">
        <f t="array" ref="I3370">_xlfn.IFS(G3370&lt;3, "0–2 Years", G3370&lt;6, "3–5 Years", G3370&lt;9, "6–8 Years", G3370&lt;12, "9-11 Years", G3370&gt;=12, "12-14 Years")</f>
        <v>12-14 Years</v>
      </c>
      <c r="J3370" s="7">
        <v>2</v>
      </c>
      <c r="K3370" t="s">
        <v>20</v>
      </c>
      <c r="L3370" s="7">
        <v>68500</v>
      </c>
      <c r="M3370" s="7">
        <v>6100</v>
      </c>
      <c r="N3370" s="7">
        <v>74600</v>
      </c>
      <c r="O3370" t="s">
        <v>21</v>
      </c>
      <c r="P3370" s="3">
        <v>41309</v>
      </c>
      <c r="Q3370" t="s">
        <v>28</v>
      </c>
    </row>
    <row r="3371" spans="1:17" x14ac:dyDescent="0.35">
      <c r="A3371" t="s">
        <v>3423</v>
      </c>
      <c r="B3371" t="s">
        <v>16</v>
      </c>
      <c r="C3371">
        <v>39</v>
      </c>
      <c r="D3371" t="s">
        <v>41</v>
      </c>
      <c r="E3371" t="s">
        <v>67</v>
      </c>
      <c r="F3371" t="s">
        <v>19</v>
      </c>
      <c r="G3371">
        <v>4.3</v>
      </c>
      <c r="H3371">
        <v>4.0999999999999996</v>
      </c>
      <c r="I3371" t="str" cm="1">
        <f t="array" ref="I3371">_xlfn.IFS(G3371&lt;3, "0–2 Years", G3371&lt;6, "3–5 Years", G3371&lt;9, "6–8 Years", G3371&lt;12, "9-11 Years", G3371&gt;=12, "12-14 Years")</f>
        <v>3–5 Years</v>
      </c>
      <c r="J3371">
        <v>3</v>
      </c>
      <c r="K3371" t="s">
        <v>20</v>
      </c>
      <c r="L3371">
        <v>63400</v>
      </c>
      <c r="M3371">
        <v>3900</v>
      </c>
      <c r="N3371">
        <v>67300</v>
      </c>
      <c r="O3371" t="s">
        <v>25</v>
      </c>
      <c r="P3371" s="3">
        <v>44453</v>
      </c>
      <c r="Q3371" t="s">
        <v>19</v>
      </c>
    </row>
    <row r="3372" spans="1:17" x14ac:dyDescent="0.35">
      <c r="A3372" t="s">
        <v>3424</v>
      </c>
      <c r="B3372" t="s">
        <v>23</v>
      </c>
      <c r="C3372">
        <v>35</v>
      </c>
      <c r="D3372" t="s">
        <v>41</v>
      </c>
      <c r="E3372" t="s">
        <v>73</v>
      </c>
      <c r="F3372" t="s">
        <v>36</v>
      </c>
      <c r="G3372">
        <v>11.5</v>
      </c>
      <c r="H3372">
        <v>7.5</v>
      </c>
      <c r="I3372" t="str" cm="1">
        <f t="array" ref="I3372">_xlfn.IFS(G3372&lt;3, "0–2 Years", G3372&lt;6, "3–5 Years", G3372&lt;9, "6–8 Years", G3372&lt;12, "9-11 Years", G3372&gt;=12, "12-14 Years")</f>
        <v>9-11 Years</v>
      </c>
      <c r="J3372">
        <v>3</v>
      </c>
      <c r="K3372" t="s">
        <v>69</v>
      </c>
      <c r="L3372">
        <v>94700</v>
      </c>
      <c r="M3372">
        <v>5300</v>
      </c>
      <c r="N3372">
        <v>100000</v>
      </c>
      <c r="O3372" t="s">
        <v>30</v>
      </c>
      <c r="P3372" s="3">
        <v>41837</v>
      </c>
      <c r="Q3372" t="s">
        <v>36</v>
      </c>
    </row>
    <row r="3373" spans="1:17" x14ac:dyDescent="0.35">
      <c r="A3373" t="s">
        <v>3425</v>
      </c>
      <c r="B3373" t="s">
        <v>16</v>
      </c>
      <c r="C3373" s="7">
        <v>41</v>
      </c>
      <c r="D3373" t="s">
        <v>17</v>
      </c>
      <c r="E3373" t="s">
        <v>18</v>
      </c>
      <c r="F3373" t="s">
        <v>28</v>
      </c>
      <c r="G3373" s="9">
        <v>13.3</v>
      </c>
      <c r="H3373" s="7">
        <v>9.6999999999999993</v>
      </c>
      <c r="I3373" t="str" cm="1">
        <f t="array" ref="I3373">_xlfn.IFS(G3373&lt;3, "0–2 Years", G3373&lt;6, "3–5 Years", G3373&lt;9, "6–8 Years", G3373&lt;12, "9-11 Years", G3373&gt;=12, "12-14 Years")</f>
        <v>12-14 Years</v>
      </c>
      <c r="J3373" s="7">
        <v>3</v>
      </c>
      <c r="K3373" t="s">
        <v>20</v>
      </c>
      <c r="L3373" s="7">
        <v>108400</v>
      </c>
      <c r="M3373" s="7">
        <v>9900</v>
      </c>
      <c r="N3373" s="7">
        <v>118300</v>
      </c>
      <c r="O3373" t="s">
        <v>57</v>
      </c>
      <c r="P3373" s="3">
        <v>41168</v>
      </c>
      <c r="Q3373" t="s">
        <v>28</v>
      </c>
    </row>
    <row r="3374" spans="1:17" x14ac:dyDescent="0.35">
      <c r="A3374" t="s">
        <v>3426</v>
      </c>
      <c r="B3374" t="s">
        <v>23</v>
      </c>
      <c r="C3374">
        <v>29</v>
      </c>
      <c r="D3374" t="s">
        <v>34</v>
      </c>
      <c r="E3374" t="s">
        <v>59</v>
      </c>
      <c r="F3374" t="s">
        <v>19</v>
      </c>
      <c r="G3374">
        <v>10.199999999999999</v>
      </c>
      <c r="H3374">
        <v>7.3</v>
      </c>
      <c r="I3374" t="str" cm="1">
        <f t="array" ref="I3374">_xlfn.IFS(G3374&lt;3, "0–2 Years", G3374&lt;6, "3–5 Years", G3374&lt;9, "6–8 Years", G3374&lt;12, "9-11 Years", G3374&gt;=12, "12-14 Years")</f>
        <v>9-11 Years</v>
      </c>
      <c r="J3374">
        <v>2</v>
      </c>
      <c r="K3374" t="s">
        <v>20</v>
      </c>
      <c r="L3374">
        <v>101800</v>
      </c>
      <c r="M3374">
        <v>10600</v>
      </c>
      <c r="N3374">
        <v>112400</v>
      </c>
      <c r="O3374" t="s">
        <v>57</v>
      </c>
      <c r="P3374" s="3">
        <v>42285</v>
      </c>
      <c r="Q3374" t="s">
        <v>19</v>
      </c>
    </row>
    <row r="3375" spans="1:17" x14ac:dyDescent="0.35">
      <c r="A3375" t="s">
        <v>3427</v>
      </c>
      <c r="B3375" t="s">
        <v>16</v>
      </c>
      <c r="C3375">
        <v>31</v>
      </c>
      <c r="D3375" t="s">
        <v>44</v>
      </c>
      <c r="E3375" t="s">
        <v>81</v>
      </c>
      <c r="F3375" t="s">
        <v>36</v>
      </c>
      <c r="G3375">
        <v>8.3000000000000007</v>
      </c>
      <c r="H3375">
        <v>7.9</v>
      </c>
      <c r="I3375" t="str" cm="1">
        <f t="array" ref="I3375">_xlfn.IFS(G3375&lt;3, "0–2 Years", G3375&lt;6, "3–5 Years", G3375&lt;9, "6–8 Years", G3375&lt;12, "9-11 Years", G3375&gt;=12, "12-14 Years")</f>
        <v>6–8 Years</v>
      </c>
      <c r="J3375">
        <v>3</v>
      </c>
      <c r="K3375" t="s">
        <v>24</v>
      </c>
      <c r="L3375">
        <v>67900</v>
      </c>
      <c r="M3375">
        <v>9500</v>
      </c>
      <c r="N3375">
        <v>77400</v>
      </c>
      <c r="O3375" t="s">
        <v>21</v>
      </c>
      <c r="P3375" s="3">
        <v>42991</v>
      </c>
      <c r="Q3375" t="s">
        <v>36</v>
      </c>
    </row>
    <row r="3376" spans="1:17" x14ac:dyDescent="0.35">
      <c r="A3376" t="s">
        <v>3428</v>
      </c>
      <c r="B3376" t="s">
        <v>16</v>
      </c>
      <c r="C3376">
        <v>22</v>
      </c>
      <c r="D3376" t="s">
        <v>34</v>
      </c>
      <c r="E3376" t="s">
        <v>35</v>
      </c>
      <c r="F3376" t="s">
        <v>36</v>
      </c>
      <c r="G3376">
        <v>8.1</v>
      </c>
      <c r="H3376">
        <v>6.5</v>
      </c>
      <c r="I3376" t="str" cm="1">
        <f t="array" ref="I3376">_xlfn.IFS(G3376&lt;3, "0–2 Years", G3376&lt;6, "3–5 Years", G3376&lt;9, "6–8 Years", G3376&lt;12, "9-11 Years", G3376&gt;=12, "12-14 Years")</f>
        <v>6–8 Years</v>
      </c>
      <c r="J3376">
        <v>1</v>
      </c>
      <c r="K3376" t="s">
        <v>24</v>
      </c>
      <c r="L3376">
        <v>50700</v>
      </c>
      <c r="M3376">
        <v>2200</v>
      </c>
      <c r="N3376">
        <v>52900</v>
      </c>
      <c r="O3376" t="s">
        <v>25</v>
      </c>
      <c r="P3376" s="3">
        <v>43051</v>
      </c>
      <c r="Q3376" t="s">
        <v>36</v>
      </c>
    </row>
    <row r="3377" spans="1:17" x14ac:dyDescent="0.35">
      <c r="A3377" t="s">
        <v>3429</v>
      </c>
      <c r="B3377" t="s">
        <v>23</v>
      </c>
      <c r="C3377">
        <v>27</v>
      </c>
      <c r="D3377" t="s">
        <v>41</v>
      </c>
      <c r="E3377" t="s">
        <v>73</v>
      </c>
      <c r="F3377" t="s">
        <v>36</v>
      </c>
      <c r="G3377">
        <v>7.1</v>
      </c>
      <c r="H3377">
        <v>4.7</v>
      </c>
      <c r="I3377" t="str" cm="1">
        <f t="array" ref="I3377">_xlfn.IFS(G3377&lt;3, "0–2 Years", G3377&lt;6, "3–5 Years", G3377&lt;9, "6–8 Years", G3377&lt;12, "9-11 Years", G3377&gt;=12, "12-14 Years")</f>
        <v>6–8 Years</v>
      </c>
      <c r="J3377">
        <v>4</v>
      </c>
      <c r="K3377" t="s">
        <v>20</v>
      </c>
      <c r="L3377">
        <v>108600</v>
      </c>
      <c r="M3377">
        <v>6700</v>
      </c>
      <c r="N3377">
        <v>115300</v>
      </c>
      <c r="O3377" t="s">
        <v>57</v>
      </c>
      <c r="P3377" s="3">
        <v>43414</v>
      </c>
      <c r="Q3377" t="s">
        <v>36</v>
      </c>
    </row>
    <row r="3378" spans="1:17" x14ac:dyDescent="0.35">
      <c r="A3378" t="s">
        <v>3430</v>
      </c>
      <c r="B3378" t="s">
        <v>16</v>
      </c>
      <c r="C3378">
        <v>33</v>
      </c>
      <c r="D3378" t="s">
        <v>55</v>
      </c>
      <c r="E3378" t="s">
        <v>79</v>
      </c>
      <c r="F3378" t="s">
        <v>36</v>
      </c>
      <c r="G3378">
        <v>9.5</v>
      </c>
      <c r="H3378">
        <v>5.7</v>
      </c>
      <c r="I3378" t="str" cm="1">
        <f t="array" ref="I3378">_xlfn.IFS(G3378&lt;3, "0–2 Years", G3378&lt;6, "3–5 Years", G3378&lt;9, "6–8 Years", G3378&lt;12, "9-11 Years", G3378&gt;=12, "12-14 Years")</f>
        <v>9-11 Years</v>
      </c>
      <c r="J3378">
        <v>4</v>
      </c>
      <c r="K3378" t="s">
        <v>20</v>
      </c>
      <c r="L3378">
        <v>68500</v>
      </c>
      <c r="M3378">
        <v>11300</v>
      </c>
      <c r="N3378">
        <v>79800</v>
      </c>
      <c r="O3378" t="s">
        <v>21</v>
      </c>
      <c r="P3378" s="3">
        <v>42544</v>
      </c>
      <c r="Q3378" t="s">
        <v>36</v>
      </c>
    </row>
    <row r="3379" spans="1:17" x14ac:dyDescent="0.35">
      <c r="A3379" t="s">
        <v>3431</v>
      </c>
      <c r="B3379" t="s">
        <v>16</v>
      </c>
      <c r="C3379">
        <v>40</v>
      </c>
      <c r="D3379" t="s">
        <v>44</v>
      </c>
      <c r="E3379" t="s">
        <v>81</v>
      </c>
      <c r="F3379" t="s">
        <v>19</v>
      </c>
      <c r="G3379">
        <v>7.4</v>
      </c>
      <c r="H3379">
        <v>6</v>
      </c>
      <c r="I3379" t="str" cm="1">
        <f t="array" ref="I3379">_xlfn.IFS(G3379&lt;3, "0–2 Years", G3379&lt;6, "3–5 Years", G3379&lt;9, "6–8 Years", G3379&lt;12, "9-11 Years", G3379&gt;=12, "12-14 Years")</f>
        <v>6–8 Years</v>
      </c>
      <c r="J3379">
        <v>4</v>
      </c>
      <c r="K3379" t="s">
        <v>20</v>
      </c>
      <c r="L3379">
        <v>97700</v>
      </c>
      <c r="M3379">
        <v>5000</v>
      </c>
      <c r="N3379">
        <v>102700</v>
      </c>
      <c r="O3379" t="s">
        <v>30</v>
      </c>
      <c r="P3379" s="3">
        <v>43327</v>
      </c>
      <c r="Q3379" t="s">
        <v>19</v>
      </c>
    </row>
    <row r="3380" spans="1:17" x14ac:dyDescent="0.35">
      <c r="A3380" t="s">
        <v>3432</v>
      </c>
      <c r="B3380" t="s">
        <v>23</v>
      </c>
      <c r="C3380">
        <v>41</v>
      </c>
      <c r="D3380" t="s">
        <v>41</v>
      </c>
      <c r="E3380" t="s">
        <v>67</v>
      </c>
      <c r="F3380" t="s">
        <v>36</v>
      </c>
      <c r="G3380">
        <v>9.3000000000000007</v>
      </c>
      <c r="H3380">
        <v>3.1</v>
      </c>
      <c r="I3380" t="str" cm="1">
        <f t="array" ref="I3380">_xlfn.IFS(G3380&lt;3, "0–2 Years", G3380&lt;6, "3–5 Years", G3380&lt;9, "6–8 Years", G3380&lt;12, "9-11 Years", G3380&gt;=12, "12-14 Years")</f>
        <v>9-11 Years</v>
      </c>
      <c r="J3380">
        <v>4</v>
      </c>
      <c r="K3380" t="s">
        <v>20</v>
      </c>
      <c r="L3380">
        <v>68800</v>
      </c>
      <c r="M3380">
        <v>4600</v>
      </c>
      <c r="N3380">
        <v>73400</v>
      </c>
      <c r="O3380" t="s">
        <v>21</v>
      </c>
      <c r="P3380" s="3">
        <v>42627</v>
      </c>
      <c r="Q3380" t="s">
        <v>36</v>
      </c>
    </row>
    <row r="3381" spans="1:17" x14ac:dyDescent="0.35">
      <c r="A3381" t="s">
        <v>3433</v>
      </c>
      <c r="B3381" t="s">
        <v>16</v>
      </c>
      <c r="C3381">
        <v>48</v>
      </c>
      <c r="D3381" t="s">
        <v>44</v>
      </c>
      <c r="E3381" t="s">
        <v>51</v>
      </c>
      <c r="F3381" t="s">
        <v>36</v>
      </c>
      <c r="G3381">
        <v>4.9000000000000004</v>
      </c>
      <c r="H3381">
        <v>3.1</v>
      </c>
      <c r="I3381" t="str" cm="1">
        <f t="array" ref="I3381">_xlfn.IFS(G3381&lt;3, "0–2 Years", G3381&lt;6, "3–5 Years", G3381&lt;9, "6–8 Years", G3381&lt;12, "9-11 Years", G3381&gt;=12, "12-14 Years")</f>
        <v>3–5 Years</v>
      </c>
      <c r="J3381">
        <v>4</v>
      </c>
      <c r="K3381" t="s">
        <v>20</v>
      </c>
      <c r="L3381">
        <v>95800</v>
      </c>
      <c r="M3381">
        <v>8800</v>
      </c>
      <c r="N3381">
        <v>104600</v>
      </c>
      <c r="O3381" t="s">
        <v>30</v>
      </c>
      <c r="P3381" s="3">
        <v>44224</v>
      </c>
      <c r="Q3381" t="s">
        <v>36</v>
      </c>
    </row>
    <row r="3382" spans="1:17" x14ac:dyDescent="0.35">
      <c r="A3382" t="s">
        <v>3434</v>
      </c>
      <c r="B3382" t="s">
        <v>16</v>
      </c>
      <c r="C3382">
        <v>32</v>
      </c>
      <c r="D3382" t="s">
        <v>55</v>
      </c>
      <c r="E3382" t="s">
        <v>56</v>
      </c>
      <c r="F3382" t="s">
        <v>19</v>
      </c>
      <c r="G3382">
        <v>11.3</v>
      </c>
      <c r="H3382">
        <v>7.4</v>
      </c>
      <c r="I3382" t="str" cm="1">
        <f t="array" ref="I3382">_xlfn.IFS(G3382&lt;3, "0–2 Years", G3382&lt;6, "3–5 Years", G3382&lt;9, "6–8 Years", G3382&lt;12, "9-11 Years", G3382&gt;=12, "12-14 Years")</f>
        <v>9-11 Years</v>
      </c>
      <c r="J3382">
        <v>4</v>
      </c>
      <c r="K3382" t="s">
        <v>20</v>
      </c>
      <c r="L3382">
        <v>99400</v>
      </c>
      <c r="M3382">
        <v>16000</v>
      </c>
      <c r="N3382">
        <v>115400</v>
      </c>
      <c r="O3382" t="s">
        <v>30</v>
      </c>
      <c r="P3382" s="3">
        <v>41890</v>
      </c>
      <c r="Q3382" t="s">
        <v>19</v>
      </c>
    </row>
    <row r="3383" spans="1:17" x14ac:dyDescent="0.35">
      <c r="A3383" t="s">
        <v>3435</v>
      </c>
      <c r="B3383" t="s">
        <v>16</v>
      </c>
      <c r="C3383">
        <v>34</v>
      </c>
      <c r="D3383" t="s">
        <v>44</v>
      </c>
      <c r="E3383" t="s">
        <v>81</v>
      </c>
      <c r="F3383" t="s">
        <v>28</v>
      </c>
      <c r="G3383">
        <v>2.5</v>
      </c>
      <c r="H3383">
        <v>2.5</v>
      </c>
      <c r="I3383" t="str" cm="1">
        <f t="array" ref="I3383">_xlfn.IFS(G3383&lt;3, "0–2 Years", G3383&lt;6, "3–5 Years", G3383&lt;9, "6–8 Years", G3383&lt;12, "9-11 Years", G3383&gt;=12, "12-14 Years")</f>
        <v>0–2 Years</v>
      </c>
      <c r="J3383">
        <v>4</v>
      </c>
      <c r="K3383" t="s">
        <v>20</v>
      </c>
      <c r="L3383">
        <v>93200</v>
      </c>
      <c r="M3383">
        <v>13500</v>
      </c>
      <c r="N3383">
        <v>106700</v>
      </c>
      <c r="O3383" t="s">
        <v>30</v>
      </c>
      <c r="P3383" s="3">
        <v>45103</v>
      </c>
      <c r="Q3383" t="s">
        <v>28</v>
      </c>
    </row>
    <row r="3384" spans="1:17" x14ac:dyDescent="0.35">
      <c r="A3384" t="s">
        <v>3436</v>
      </c>
      <c r="B3384" t="s">
        <v>23</v>
      </c>
      <c r="C3384">
        <v>29</v>
      </c>
      <c r="D3384" t="s">
        <v>17</v>
      </c>
      <c r="E3384" t="s">
        <v>27</v>
      </c>
      <c r="F3384" t="s">
        <v>36</v>
      </c>
      <c r="G3384">
        <v>7.9</v>
      </c>
      <c r="H3384">
        <v>3.2</v>
      </c>
      <c r="I3384" t="str" cm="1">
        <f t="array" ref="I3384">_xlfn.IFS(G3384&lt;3, "0–2 Years", G3384&lt;6, "3–5 Years", G3384&lt;9, "6–8 Years", G3384&lt;12, "9-11 Years", G3384&gt;=12, "12-14 Years")</f>
        <v>6–8 Years</v>
      </c>
      <c r="J3384">
        <v>4</v>
      </c>
      <c r="K3384" t="s">
        <v>20</v>
      </c>
      <c r="L3384">
        <v>82600</v>
      </c>
      <c r="M3384">
        <v>11100</v>
      </c>
      <c r="N3384">
        <v>93700</v>
      </c>
      <c r="O3384" t="s">
        <v>30</v>
      </c>
      <c r="P3384" s="3">
        <v>43133</v>
      </c>
      <c r="Q3384" t="s">
        <v>36</v>
      </c>
    </row>
    <row r="3385" spans="1:17" x14ac:dyDescent="0.35">
      <c r="A3385" t="s">
        <v>3437</v>
      </c>
      <c r="B3385" t="s">
        <v>16</v>
      </c>
      <c r="C3385">
        <v>21</v>
      </c>
      <c r="D3385" t="s">
        <v>34</v>
      </c>
      <c r="E3385" t="s">
        <v>47</v>
      </c>
      <c r="F3385" t="s">
        <v>28</v>
      </c>
      <c r="G3385">
        <v>3.1</v>
      </c>
      <c r="H3385">
        <v>0</v>
      </c>
      <c r="I3385" t="str" cm="1">
        <f t="array" ref="I3385">_xlfn.IFS(G3385&lt;3, "0–2 Years", G3385&lt;6, "3–5 Years", G3385&lt;9, "6–8 Years", G3385&lt;12, "9-11 Years", G3385&gt;=12, "12-14 Years")</f>
        <v>3–5 Years</v>
      </c>
      <c r="J3385">
        <v>4</v>
      </c>
      <c r="K3385" t="s">
        <v>20</v>
      </c>
      <c r="L3385">
        <v>76300</v>
      </c>
      <c r="M3385">
        <v>6300</v>
      </c>
      <c r="N3385">
        <v>82600</v>
      </c>
      <c r="O3385" t="s">
        <v>21</v>
      </c>
      <c r="P3385" s="3">
        <v>44905</v>
      </c>
      <c r="Q3385" t="s">
        <v>28</v>
      </c>
    </row>
    <row r="3386" spans="1:17" x14ac:dyDescent="0.35">
      <c r="A3386" t="s">
        <v>3438</v>
      </c>
      <c r="B3386" t="s">
        <v>16</v>
      </c>
      <c r="C3386">
        <v>43</v>
      </c>
      <c r="D3386" t="s">
        <v>38</v>
      </c>
      <c r="E3386" t="s">
        <v>61</v>
      </c>
      <c r="F3386" t="s">
        <v>19</v>
      </c>
      <c r="G3386">
        <v>8</v>
      </c>
      <c r="H3386">
        <v>6.2</v>
      </c>
      <c r="I3386" t="str" cm="1">
        <f t="array" ref="I3386">_xlfn.IFS(G3386&lt;3, "0–2 Years", G3386&lt;6, "3–5 Years", G3386&lt;9, "6–8 Years", G3386&lt;12, "9-11 Years", G3386&gt;=12, "12-14 Years")</f>
        <v>6–8 Years</v>
      </c>
      <c r="J3386">
        <v>3</v>
      </c>
      <c r="K3386" t="s">
        <v>20</v>
      </c>
      <c r="L3386">
        <v>104800</v>
      </c>
      <c r="M3386">
        <v>5500</v>
      </c>
      <c r="N3386">
        <v>110300</v>
      </c>
      <c r="O3386" t="s">
        <v>57</v>
      </c>
      <c r="P3386" s="3">
        <v>43097</v>
      </c>
      <c r="Q3386" t="s">
        <v>19</v>
      </c>
    </row>
    <row r="3387" spans="1:17" x14ac:dyDescent="0.35">
      <c r="A3387" t="s">
        <v>3439</v>
      </c>
      <c r="B3387" t="s">
        <v>23</v>
      </c>
      <c r="C3387">
        <v>34</v>
      </c>
      <c r="D3387" t="s">
        <v>55</v>
      </c>
      <c r="E3387" t="s">
        <v>79</v>
      </c>
      <c r="F3387" t="s">
        <v>28</v>
      </c>
      <c r="G3387">
        <v>9.6999999999999993</v>
      </c>
      <c r="H3387">
        <v>7</v>
      </c>
      <c r="I3387" t="str" cm="1">
        <f t="array" ref="I3387">_xlfn.IFS(G3387&lt;3, "0–2 Years", G3387&lt;6, "3–5 Years", G3387&lt;9, "6–8 Years", G3387&lt;12, "9-11 Years", G3387&gt;=12, "12-14 Years")</f>
        <v>9-11 Years</v>
      </c>
      <c r="J3387">
        <v>4</v>
      </c>
      <c r="K3387" t="s">
        <v>20</v>
      </c>
      <c r="L3387">
        <v>72100</v>
      </c>
      <c r="M3387">
        <v>11500</v>
      </c>
      <c r="N3387">
        <v>83600</v>
      </c>
      <c r="O3387" t="s">
        <v>21</v>
      </c>
      <c r="P3387" s="3">
        <v>42491</v>
      </c>
      <c r="Q3387" t="s">
        <v>28</v>
      </c>
    </row>
    <row r="3388" spans="1:17" x14ac:dyDescent="0.35">
      <c r="A3388" t="s">
        <v>3440</v>
      </c>
      <c r="B3388" t="s">
        <v>23</v>
      </c>
      <c r="C3388">
        <v>48</v>
      </c>
      <c r="D3388" t="s">
        <v>38</v>
      </c>
      <c r="E3388" t="s">
        <v>112</v>
      </c>
      <c r="F3388" t="s">
        <v>62</v>
      </c>
      <c r="G3388">
        <v>9.9</v>
      </c>
      <c r="H3388">
        <v>7.2</v>
      </c>
      <c r="I3388" t="str" cm="1">
        <f t="array" ref="I3388">_xlfn.IFS(G3388&lt;3, "0–2 Years", G3388&lt;6, "3–5 Years", G3388&lt;9, "6–8 Years", G3388&lt;12, "9-11 Years", G3388&gt;=12, "12-14 Years")</f>
        <v>9-11 Years</v>
      </c>
      <c r="J3388">
        <v>3</v>
      </c>
      <c r="K3388" t="s">
        <v>20</v>
      </c>
      <c r="L3388">
        <v>74300</v>
      </c>
      <c r="M3388">
        <v>4900</v>
      </c>
      <c r="N3388">
        <v>79200</v>
      </c>
      <c r="O3388" t="s">
        <v>21</v>
      </c>
      <c r="P3388" s="3">
        <v>42406</v>
      </c>
      <c r="Q3388" t="s">
        <v>62</v>
      </c>
    </row>
    <row r="3389" spans="1:17" x14ac:dyDescent="0.35">
      <c r="A3389" t="s">
        <v>3441</v>
      </c>
      <c r="B3389" t="s">
        <v>16</v>
      </c>
      <c r="C3389">
        <v>44</v>
      </c>
      <c r="D3389" t="s">
        <v>17</v>
      </c>
      <c r="E3389" t="s">
        <v>27</v>
      </c>
      <c r="F3389" t="s">
        <v>36</v>
      </c>
      <c r="G3389">
        <v>5.3</v>
      </c>
      <c r="H3389">
        <v>5.3</v>
      </c>
      <c r="I3389" t="str" cm="1">
        <f t="array" ref="I3389">_xlfn.IFS(G3389&lt;3, "0–2 Years", G3389&lt;6, "3–5 Years", G3389&lt;9, "6–8 Years", G3389&lt;12, "9-11 Years", G3389&gt;=12, "12-14 Years")</f>
        <v>3–5 Years</v>
      </c>
      <c r="J3389">
        <v>3</v>
      </c>
      <c r="K3389" t="s">
        <v>20</v>
      </c>
      <c r="L3389">
        <v>77700</v>
      </c>
      <c r="M3389">
        <v>3500</v>
      </c>
      <c r="N3389">
        <v>81200</v>
      </c>
      <c r="O3389" t="s">
        <v>21</v>
      </c>
      <c r="P3389" s="3">
        <v>44102</v>
      </c>
      <c r="Q3389" t="s">
        <v>36</v>
      </c>
    </row>
    <row r="3390" spans="1:17" x14ac:dyDescent="0.35">
      <c r="A3390" t="s">
        <v>3442</v>
      </c>
      <c r="B3390" t="s">
        <v>23</v>
      </c>
      <c r="C3390">
        <v>38</v>
      </c>
      <c r="D3390" t="s">
        <v>55</v>
      </c>
      <c r="E3390" t="s">
        <v>56</v>
      </c>
      <c r="F3390" t="s">
        <v>62</v>
      </c>
      <c r="G3390">
        <v>9.1999999999999993</v>
      </c>
      <c r="H3390">
        <v>6.7</v>
      </c>
      <c r="I3390" t="str" cm="1">
        <f t="array" ref="I3390">_xlfn.IFS(G3390&lt;3, "0–2 Years", G3390&lt;6, "3–5 Years", G3390&lt;9, "6–8 Years", G3390&lt;12, "9-11 Years", G3390&gt;=12, "12-14 Years")</f>
        <v>9-11 Years</v>
      </c>
      <c r="J3390">
        <v>4</v>
      </c>
      <c r="K3390" t="s">
        <v>20</v>
      </c>
      <c r="L3390">
        <v>101600</v>
      </c>
      <c r="M3390">
        <v>11300</v>
      </c>
      <c r="N3390">
        <v>112900</v>
      </c>
      <c r="O3390" t="s">
        <v>57</v>
      </c>
      <c r="P3390" s="3">
        <v>42666</v>
      </c>
      <c r="Q3390" t="s">
        <v>62</v>
      </c>
    </row>
    <row r="3391" spans="1:17" x14ac:dyDescent="0.35">
      <c r="A3391" t="s">
        <v>3443</v>
      </c>
      <c r="B3391" t="s">
        <v>16</v>
      </c>
      <c r="C3391">
        <v>45</v>
      </c>
      <c r="D3391" t="s">
        <v>41</v>
      </c>
      <c r="E3391" t="s">
        <v>73</v>
      </c>
      <c r="F3391" t="s">
        <v>36</v>
      </c>
      <c r="G3391">
        <v>2.9</v>
      </c>
      <c r="H3391">
        <v>1.3</v>
      </c>
      <c r="I3391" t="str" cm="1">
        <f t="array" ref="I3391">_xlfn.IFS(G3391&lt;3, "0–2 Years", G3391&lt;6, "3–5 Years", G3391&lt;9, "6–8 Years", G3391&lt;12, "9-11 Years", G3391&gt;=12, "12-14 Years")</f>
        <v>0–2 Years</v>
      </c>
      <c r="J3391">
        <v>4</v>
      </c>
      <c r="K3391" t="s">
        <v>69</v>
      </c>
      <c r="L3391">
        <v>86500</v>
      </c>
      <c r="M3391">
        <v>5700</v>
      </c>
      <c r="N3391">
        <v>92200</v>
      </c>
      <c r="O3391" t="s">
        <v>30</v>
      </c>
      <c r="P3391" s="3">
        <v>44968</v>
      </c>
      <c r="Q3391" t="s">
        <v>36</v>
      </c>
    </row>
    <row r="3392" spans="1:17" x14ac:dyDescent="0.35">
      <c r="A3392" t="s">
        <v>3444</v>
      </c>
      <c r="B3392" t="s">
        <v>23</v>
      </c>
      <c r="C3392">
        <v>29</v>
      </c>
      <c r="D3392" t="s">
        <v>41</v>
      </c>
      <c r="E3392" t="s">
        <v>42</v>
      </c>
      <c r="F3392" t="s">
        <v>36</v>
      </c>
      <c r="G3392">
        <v>9</v>
      </c>
      <c r="H3392">
        <v>6.5</v>
      </c>
      <c r="I3392" t="str" cm="1">
        <f t="array" ref="I3392">_xlfn.IFS(G3392&lt;3, "0–2 Years", G3392&lt;6, "3–5 Years", G3392&lt;9, "6–8 Years", G3392&lt;12, "9-11 Years", G3392&gt;=12, "12-14 Years")</f>
        <v>9-11 Years</v>
      </c>
      <c r="J3392">
        <v>3</v>
      </c>
      <c r="K3392" t="s">
        <v>20</v>
      </c>
      <c r="L3392">
        <v>89800</v>
      </c>
      <c r="M3392">
        <v>4000</v>
      </c>
      <c r="N3392">
        <v>93800</v>
      </c>
      <c r="O3392" t="s">
        <v>30</v>
      </c>
      <c r="P3392" s="3">
        <v>42746</v>
      </c>
      <c r="Q3392" t="s">
        <v>36</v>
      </c>
    </row>
    <row r="3393" spans="1:17" x14ac:dyDescent="0.35">
      <c r="A3393" t="s">
        <v>3445</v>
      </c>
      <c r="B3393" t="s">
        <v>23</v>
      </c>
      <c r="C3393">
        <v>40</v>
      </c>
      <c r="D3393" t="s">
        <v>34</v>
      </c>
      <c r="E3393" t="s">
        <v>47</v>
      </c>
      <c r="F3393" t="s">
        <v>28</v>
      </c>
      <c r="G3393">
        <v>4.5</v>
      </c>
      <c r="H3393">
        <v>3.2</v>
      </c>
      <c r="I3393" t="str" cm="1">
        <f t="array" ref="I3393">_xlfn.IFS(G3393&lt;3, "0–2 Years", G3393&lt;6, "3–5 Years", G3393&lt;9, "6–8 Years", G3393&lt;12, "9-11 Years", G3393&gt;=12, "12-14 Years")</f>
        <v>3–5 Years</v>
      </c>
      <c r="J3393">
        <v>4</v>
      </c>
      <c r="K3393" t="s">
        <v>20</v>
      </c>
      <c r="L3393">
        <v>72100</v>
      </c>
      <c r="M3393">
        <v>3400</v>
      </c>
      <c r="N3393">
        <v>75500</v>
      </c>
      <c r="O3393" t="s">
        <v>21</v>
      </c>
      <c r="P3393" s="3">
        <v>44372</v>
      </c>
      <c r="Q3393" t="s">
        <v>28</v>
      </c>
    </row>
    <row r="3394" spans="1:17" x14ac:dyDescent="0.35">
      <c r="A3394" t="s">
        <v>3446</v>
      </c>
      <c r="B3394" t="s">
        <v>23</v>
      </c>
      <c r="C3394">
        <v>30</v>
      </c>
      <c r="D3394" t="s">
        <v>41</v>
      </c>
      <c r="E3394" t="s">
        <v>67</v>
      </c>
      <c r="F3394" t="s">
        <v>28</v>
      </c>
      <c r="G3394">
        <v>5.2</v>
      </c>
      <c r="H3394">
        <v>4.2</v>
      </c>
      <c r="I3394" t="str" cm="1">
        <f t="array" ref="I3394">_xlfn.IFS(G3394&lt;3, "0–2 Years", G3394&lt;6, "3–5 Years", G3394&lt;9, "6–8 Years", G3394&lt;12, "9-11 Years", G3394&gt;=12, "12-14 Years")</f>
        <v>3–5 Years</v>
      </c>
      <c r="J3394">
        <v>1</v>
      </c>
      <c r="K3394" t="s">
        <v>20</v>
      </c>
      <c r="L3394">
        <v>64200</v>
      </c>
      <c r="M3394">
        <v>3000</v>
      </c>
      <c r="N3394">
        <v>67200</v>
      </c>
      <c r="O3394" t="s">
        <v>25</v>
      </c>
      <c r="P3394" s="3">
        <v>44132</v>
      </c>
      <c r="Q3394" t="s">
        <v>28</v>
      </c>
    </row>
    <row r="3395" spans="1:17" x14ac:dyDescent="0.35">
      <c r="A3395" t="s">
        <v>3447</v>
      </c>
      <c r="B3395" t="s">
        <v>23</v>
      </c>
      <c r="C3395" s="7">
        <v>33</v>
      </c>
      <c r="D3395" t="s">
        <v>55</v>
      </c>
      <c r="E3395" t="s">
        <v>56</v>
      </c>
      <c r="F3395" t="s">
        <v>36</v>
      </c>
      <c r="G3395" s="9">
        <v>12.2</v>
      </c>
      <c r="H3395" s="7">
        <v>7.8</v>
      </c>
      <c r="I3395" t="str" cm="1">
        <f t="array" ref="I3395">_xlfn.IFS(G3395&lt;3, "0–2 Years", G3395&lt;6, "3–5 Years", G3395&lt;9, "6–8 Years", G3395&lt;12, "9-11 Years", G3395&gt;=12, "12-14 Years")</f>
        <v>12-14 Years</v>
      </c>
      <c r="J3395" s="7">
        <v>3</v>
      </c>
      <c r="K3395" t="s">
        <v>20</v>
      </c>
      <c r="L3395" s="7">
        <v>108000</v>
      </c>
      <c r="M3395" s="7">
        <v>21700</v>
      </c>
      <c r="N3395" s="7">
        <v>129700</v>
      </c>
      <c r="O3395" t="s">
        <v>57</v>
      </c>
      <c r="P3395" s="3">
        <v>41574</v>
      </c>
      <c r="Q3395" t="s">
        <v>36</v>
      </c>
    </row>
    <row r="3396" spans="1:17" x14ac:dyDescent="0.35">
      <c r="A3396" t="s">
        <v>3448</v>
      </c>
      <c r="B3396" t="s">
        <v>16</v>
      </c>
      <c r="C3396">
        <v>21</v>
      </c>
      <c r="D3396" t="s">
        <v>44</v>
      </c>
      <c r="E3396" t="s">
        <v>51</v>
      </c>
      <c r="F3396" t="s">
        <v>28</v>
      </c>
      <c r="G3396">
        <v>7.9</v>
      </c>
      <c r="H3396">
        <v>4.2</v>
      </c>
      <c r="I3396" t="str" cm="1">
        <f t="array" ref="I3396">_xlfn.IFS(G3396&lt;3, "0–2 Years", G3396&lt;6, "3–5 Years", G3396&lt;9, "6–8 Years", G3396&lt;12, "9-11 Years", G3396&gt;=12, "12-14 Years")</f>
        <v>6–8 Years</v>
      </c>
      <c r="J3396">
        <v>3</v>
      </c>
      <c r="K3396" t="s">
        <v>24</v>
      </c>
      <c r="L3396">
        <v>52500</v>
      </c>
      <c r="M3396">
        <v>7800</v>
      </c>
      <c r="N3396">
        <v>60300</v>
      </c>
      <c r="O3396" t="s">
        <v>25</v>
      </c>
      <c r="P3396" s="3">
        <v>43127</v>
      </c>
      <c r="Q3396" t="s">
        <v>28</v>
      </c>
    </row>
    <row r="3397" spans="1:17" x14ac:dyDescent="0.35">
      <c r="A3397" t="s">
        <v>3449</v>
      </c>
      <c r="B3397" t="s">
        <v>16</v>
      </c>
      <c r="C3397" s="7">
        <v>40</v>
      </c>
      <c r="D3397" t="s">
        <v>55</v>
      </c>
      <c r="E3397" t="s">
        <v>56</v>
      </c>
      <c r="F3397" t="s">
        <v>28</v>
      </c>
      <c r="G3397" s="9">
        <v>13.4</v>
      </c>
      <c r="H3397" s="7">
        <v>8.8000000000000007</v>
      </c>
      <c r="I3397" t="str" cm="1">
        <f t="array" ref="I3397">_xlfn.IFS(G3397&lt;3, "0–2 Years", G3397&lt;6, "3–5 Years", G3397&lt;9, "6–8 Years", G3397&lt;12, "9-11 Years", G3397&gt;=12, "12-14 Years")</f>
        <v>12-14 Years</v>
      </c>
      <c r="J3397" s="7">
        <v>3</v>
      </c>
      <c r="K3397" t="s">
        <v>20</v>
      </c>
      <c r="L3397" s="7">
        <v>104700</v>
      </c>
      <c r="M3397" s="7">
        <v>20800</v>
      </c>
      <c r="N3397" s="7">
        <v>125500</v>
      </c>
      <c r="O3397" t="s">
        <v>57</v>
      </c>
      <c r="P3397" s="3">
        <v>41120</v>
      </c>
      <c r="Q3397" t="s">
        <v>28</v>
      </c>
    </row>
    <row r="3398" spans="1:17" x14ac:dyDescent="0.35">
      <c r="A3398" t="s">
        <v>3450</v>
      </c>
      <c r="B3398" t="s">
        <v>16</v>
      </c>
      <c r="C3398">
        <v>34</v>
      </c>
      <c r="D3398" t="s">
        <v>17</v>
      </c>
      <c r="E3398" t="s">
        <v>27</v>
      </c>
      <c r="F3398" t="s">
        <v>28</v>
      </c>
      <c r="G3398">
        <v>1.9</v>
      </c>
      <c r="H3398">
        <v>1.3</v>
      </c>
      <c r="I3398" t="str" cm="1">
        <f t="array" ref="I3398">_xlfn.IFS(G3398&lt;3, "0–2 Years", G3398&lt;6, "3–5 Years", G3398&lt;9, "6–8 Years", G3398&lt;12, "9-11 Years", G3398&gt;=12, "12-14 Years")</f>
        <v>0–2 Years</v>
      </c>
      <c r="J3398">
        <v>2</v>
      </c>
      <c r="K3398" t="s">
        <v>20</v>
      </c>
      <c r="L3398">
        <v>58300</v>
      </c>
      <c r="M3398">
        <v>5700</v>
      </c>
      <c r="N3398">
        <v>64000</v>
      </c>
      <c r="O3398" t="s">
        <v>25</v>
      </c>
      <c r="P3398" s="3">
        <v>45323</v>
      </c>
      <c r="Q3398" t="s">
        <v>28</v>
      </c>
    </row>
    <row r="3399" spans="1:17" x14ac:dyDescent="0.35">
      <c r="A3399" t="s">
        <v>3451</v>
      </c>
      <c r="B3399" t="s">
        <v>23</v>
      </c>
      <c r="C3399">
        <v>32</v>
      </c>
      <c r="D3399" t="s">
        <v>41</v>
      </c>
      <c r="E3399" t="s">
        <v>42</v>
      </c>
      <c r="F3399" t="s">
        <v>36</v>
      </c>
      <c r="G3399">
        <v>3.5</v>
      </c>
      <c r="H3399">
        <v>0.8</v>
      </c>
      <c r="I3399" t="str" cm="1">
        <f t="array" ref="I3399">_xlfn.IFS(G3399&lt;3, "0–2 Years", G3399&lt;6, "3–5 Years", G3399&lt;9, "6–8 Years", G3399&lt;12, "9-11 Years", G3399&gt;=12, "12-14 Years")</f>
        <v>3–5 Years</v>
      </c>
      <c r="J3399">
        <v>2</v>
      </c>
      <c r="K3399" t="s">
        <v>69</v>
      </c>
      <c r="L3399">
        <v>57600</v>
      </c>
      <c r="M3399">
        <v>2300</v>
      </c>
      <c r="N3399">
        <v>59900</v>
      </c>
      <c r="O3399" t="s">
        <v>25</v>
      </c>
      <c r="P3399" s="3">
        <v>44742</v>
      </c>
      <c r="Q3399" t="s">
        <v>36</v>
      </c>
    </row>
    <row r="3400" spans="1:17" x14ac:dyDescent="0.35">
      <c r="A3400" t="s">
        <v>3452</v>
      </c>
      <c r="B3400" t="s">
        <v>16</v>
      </c>
      <c r="C3400" s="7">
        <v>28</v>
      </c>
      <c r="D3400" t="s">
        <v>41</v>
      </c>
      <c r="E3400" t="s">
        <v>42</v>
      </c>
      <c r="F3400" t="s">
        <v>36</v>
      </c>
      <c r="G3400" s="9">
        <v>13.3</v>
      </c>
      <c r="H3400" s="7">
        <v>8.5</v>
      </c>
      <c r="I3400" t="str" cm="1">
        <f t="array" ref="I3400">_xlfn.IFS(G3400&lt;3, "0–2 Years", G3400&lt;6, "3–5 Years", G3400&lt;9, "6–8 Years", G3400&lt;12, "9-11 Years", G3400&gt;=12, "12-14 Years")</f>
        <v>12-14 Years</v>
      </c>
      <c r="J3400" s="7">
        <v>4</v>
      </c>
      <c r="K3400" t="s">
        <v>20</v>
      </c>
      <c r="L3400" s="7">
        <v>93900</v>
      </c>
      <c r="M3400" s="7">
        <v>7400</v>
      </c>
      <c r="N3400" s="7">
        <v>101300</v>
      </c>
      <c r="O3400" t="s">
        <v>30</v>
      </c>
      <c r="P3400" s="3">
        <v>41182</v>
      </c>
      <c r="Q3400" t="s">
        <v>36</v>
      </c>
    </row>
    <row r="3401" spans="1:17" x14ac:dyDescent="0.35">
      <c r="A3401" t="s">
        <v>3453</v>
      </c>
      <c r="B3401" t="s">
        <v>23</v>
      </c>
      <c r="C3401">
        <v>24</v>
      </c>
      <c r="D3401" t="s">
        <v>17</v>
      </c>
      <c r="E3401" t="s">
        <v>18</v>
      </c>
      <c r="F3401" t="s">
        <v>28</v>
      </c>
      <c r="G3401">
        <v>3.3</v>
      </c>
      <c r="H3401">
        <v>3.1</v>
      </c>
      <c r="I3401" t="str" cm="1">
        <f t="array" ref="I3401">_xlfn.IFS(G3401&lt;3, "0–2 Years", G3401&lt;6, "3–5 Years", G3401&lt;9, "6–8 Years", G3401&lt;12, "9-11 Years", G3401&gt;=12, "12-14 Years")</f>
        <v>3–5 Years</v>
      </c>
      <c r="J3401">
        <v>3</v>
      </c>
      <c r="K3401" t="s">
        <v>24</v>
      </c>
      <c r="L3401">
        <v>60500</v>
      </c>
      <c r="M3401">
        <v>5300</v>
      </c>
      <c r="N3401">
        <v>65800</v>
      </c>
      <c r="O3401" t="s">
        <v>25</v>
      </c>
      <c r="P3401" s="3">
        <v>44800</v>
      </c>
      <c r="Q3401" t="s">
        <v>28</v>
      </c>
    </row>
    <row r="3402" spans="1:17" x14ac:dyDescent="0.35">
      <c r="A3402" t="s">
        <v>3454</v>
      </c>
      <c r="B3402" t="s">
        <v>23</v>
      </c>
      <c r="C3402">
        <v>31</v>
      </c>
      <c r="D3402" t="s">
        <v>41</v>
      </c>
      <c r="E3402" t="s">
        <v>42</v>
      </c>
      <c r="F3402" t="s">
        <v>62</v>
      </c>
      <c r="G3402">
        <v>10.9</v>
      </c>
      <c r="H3402">
        <v>7.7</v>
      </c>
      <c r="I3402" t="str" cm="1">
        <f t="array" ref="I3402">_xlfn.IFS(G3402&lt;3, "0–2 Years", G3402&lt;6, "3–5 Years", G3402&lt;9, "6–8 Years", G3402&lt;12, "9-11 Years", G3402&gt;=12, "12-14 Years")</f>
        <v>9-11 Years</v>
      </c>
      <c r="J3402">
        <v>3</v>
      </c>
      <c r="K3402" t="s">
        <v>20</v>
      </c>
      <c r="L3402">
        <v>85300</v>
      </c>
      <c r="M3402">
        <v>5900</v>
      </c>
      <c r="N3402">
        <v>91200</v>
      </c>
      <c r="O3402" t="s">
        <v>30</v>
      </c>
      <c r="P3402" s="3">
        <v>42025</v>
      </c>
      <c r="Q3402" t="s">
        <v>62</v>
      </c>
    </row>
    <row r="3403" spans="1:17" x14ac:dyDescent="0.35">
      <c r="A3403" t="s">
        <v>3455</v>
      </c>
      <c r="B3403" t="s">
        <v>23</v>
      </c>
      <c r="C3403">
        <v>30</v>
      </c>
      <c r="D3403" t="s">
        <v>55</v>
      </c>
      <c r="E3403" t="s">
        <v>56</v>
      </c>
      <c r="F3403" t="s">
        <v>28</v>
      </c>
      <c r="G3403">
        <v>1.4</v>
      </c>
      <c r="H3403">
        <v>1.1000000000000001</v>
      </c>
      <c r="I3403" t="str" cm="1">
        <f t="array" ref="I3403">_xlfn.IFS(G3403&lt;3, "0–2 Years", G3403&lt;6, "3–5 Years", G3403&lt;9, "6–8 Years", G3403&lt;12, "9-11 Years", G3403&gt;=12, "12-14 Years")</f>
        <v>0–2 Years</v>
      </c>
      <c r="J3403">
        <v>4</v>
      </c>
      <c r="K3403" t="s">
        <v>20</v>
      </c>
      <c r="L3403">
        <v>100600</v>
      </c>
      <c r="M3403">
        <v>19500</v>
      </c>
      <c r="N3403">
        <v>120100</v>
      </c>
      <c r="O3403" t="s">
        <v>57</v>
      </c>
      <c r="P3403" s="3">
        <v>45510</v>
      </c>
      <c r="Q3403" t="s">
        <v>28</v>
      </c>
    </row>
    <row r="3404" spans="1:17" x14ac:dyDescent="0.35">
      <c r="A3404" t="s">
        <v>3456</v>
      </c>
      <c r="B3404" t="s">
        <v>23</v>
      </c>
      <c r="C3404">
        <v>40</v>
      </c>
      <c r="D3404" t="s">
        <v>55</v>
      </c>
      <c r="E3404" t="s">
        <v>56</v>
      </c>
      <c r="F3404" t="s">
        <v>36</v>
      </c>
      <c r="G3404">
        <v>7</v>
      </c>
      <c r="H3404">
        <v>3.3</v>
      </c>
      <c r="I3404" t="str" cm="1">
        <f t="array" ref="I3404">_xlfn.IFS(G3404&lt;3, "0–2 Years", G3404&lt;6, "3–5 Years", G3404&lt;9, "6–8 Years", G3404&lt;12, "9-11 Years", G3404&gt;=12, "12-14 Years")</f>
        <v>6–8 Years</v>
      </c>
      <c r="J3404">
        <v>4</v>
      </c>
      <c r="K3404" t="s">
        <v>20</v>
      </c>
      <c r="L3404">
        <v>92100</v>
      </c>
      <c r="M3404">
        <v>10600</v>
      </c>
      <c r="N3404">
        <v>102700</v>
      </c>
      <c r="O3404" t="s">
        <v>30</v>
      </c>
      <c r="P3404" s="3">
        <v>43449</v>
      </c>
      <c r="Q3404" t="s">
        <v>36</v>
      </c>
    </row>
    <row r="3405" spans="1:17" x14ac:dyDescent="0.35">
      <c r="A3405" t="s">
        <v>3457</v>
      </c>
      <c r="B3405" t="s">
        <v>23</v>
      </c>
      <c r="C3405">
        <v>43</v>
      </c>
      <c r="D3405" t="s">
        <v>34</v>
      </c>
      <c r="E3405" t="s">
        <v>47</v>
      </c>
      <c r="F3405" t="s">
        <v>36</v>
      </c>
      <c r="G3405">
        <v>8.4</v>
      </c>
      <c r="H3405">
        <v>5.7</v>
      </c>
      <c r="I3405" t="str" cm="1">
        <f t="array" ref="I3405">_xlfn.IFS(G3405&lt;3, "0–2 Years", G3405&lt;6, "3–5 Years", G3405&lt;9, "6–8 Years", G3405&lt;12, "9-11 Years", G3405&gt;=12, "12-14 Years")</f>
        <v>6–8 Years</v>
      </c>
      <c r="J3405">
        <v>3</v>
      </c>
      <c r="K3405" t="s">
        <v>69</v>
      </c>
      <c r="L3405">
        <v>63700</v>
      </c>
      <c r="M3405">
        <v>5900</v>
      </c>
      <c r="N3405">
        <v>69600</v>
      </c>
      <c r="O3405" t="s">
        <v>25</v>
      </c>
      <c r="P3405" s="3">
        <v>42957</v>
      </c>
      <c r="Q3405" t="s">
        <v>36</v>
      </c>
    </row>
    <row r="3406" spans="1:17" x14ac:dyDescent="0.35">
      <c r="A3406" t="s">
        <v>3458</v>
      </c>
      <c r="B3406" t="s">
        <v>23</v>
      </c>
      <c r="C3406">
        <v>31</v>
      </c>
      <c r="D3406" t="s">
        <v>34</v>
      </c>
      <c r="E3406" t="s">
        <v>47</v>
      </c>
      <c r="F3406" t="s">
        <v>28</v>
      </c>
      <c r="G3406">
        <v>2.2999999999999998</v>
      </c>
      <c r="H3406">
        <v>0.6</v>
      </c>
      <c r="I3406" t="str" cm="1">
        <f t="array" ref="I3406">_xlfn.IFS(G3406&lt;3, "0–2 Years", G3406&lt;6, "3–5 Years", G3406&lt;9, "6–8 Years", G3406&lt;12, "9-11 Years", G3406&gt;=12, "12-14 Years")</f>
        <v>0–2 Years</v>
      </c>
      <c r="J3406">
        <v>3</v>
      </c>
      <c r="K3406" t="s">
        <v>24</v>
      </c>
      <c r="L3406">
        <v>44000</v>
      </c>
      <c r="M3406">
        <v>3000</v>
      </c>
      <c r="N3406">
        <v>47000</v>
      </c>
      <c r="O3406" t="s">
        <v>65</v>
      </c>
      <c r="P3406" s="3">
        <v>45194</v>
      </c>
      <c r="Q3406" t="s">
        <v>28</v>
      </c>
    </row>
    <row r="3407" spans="1:17" x14ac:dyDescent="0.35">
      <c r="A3407" t="s">
        <v>3459</v>
      </c>
      <c r="B3407" t="s">
        <v>16</v>
      </c>
      <c r="C3407">
        <v>34</v>
      </c>
      <c r="D3407" t="s">
        <v>34</v>
      </c>
      <c r="E3407" t="s">
        <v>59</v>
      </c>
      <c r="F3407" t="s">
        <v>28</v>
      </c>
      <c r="G3407">
        <v>8.1999999999999993</v>
      </c>
      <c r="H3407">
        <v>4.2</v>
      </c>
      <c r="I3407" t="str" cm="1">
        <f t="array" ref="I3407">_xlfn.IFS(G3407&lt;3, "0–2 Years", G3407&lt;6, "3–5 Years", G3407&lt;9, "6–8 Years", G3407&lt;12, "9-11 Years", G3407&gt;=12, "12-14 Years")</f>
        <v>6–8 Years</v>
      </c>
      <c r="J3407">
        <v>3</v>
      </c>
      <c r="K3407" t="s">
        <v>20</v>
      </c>
      <c r="L3407">
        <v>113300</v>
      </c>
      <c r="M3407">
        <v>11000</v>
      </c>
      <c r="N3407">
        <v>124300</v>
      </c>
      <c r="O3407" t="s">
        <v>57</v>
      </c>
      <c r="P3407" s="3">
        <v>43025</v>
      </c>
      <c r="Q3407" t="s">
        <v>28</v>
      </c>
    </row>
    <row r="3408" spans="1:17" x14ac:dyDescent="0.35">
      <c r="A3408" t="s">
        <v>3460</v>
      </c>
      <c r="B3408" t="s">
        <v>16</v>
      </c>
      <c r="C3408">
        <v>47</v>
      </c>
      <c r="D3408" t="s">
        <v>38</v>
      </c>
      <c r="E3408" t="s">
        <v>61</v>
      </c>
      <c r="F3408" t="s">
        <v>28</v>
      </c>
      <c r="G3408">
        <v>9.5</v>
      </c>
      <c r="H3408">
        <v>9.1</v>
      </c>
      <c r="I3408" t="str" cm="1">
        <f t="array" ref="I3408">_xlfn.IFS(G3408&lt;3, "0–2 Years", G3408&lt;6, "3–5 Years", G3408&lt;9, "6–8 Years", G3408&lt;12, "9-11 Years", G3408&gt;=12, "12-14 Years")</f>
        <v>9-11 Years</v>
      </c>
      <c r="J3408">
        <v>3</v>
      </c>
      <c r="K3408" t="s">
        <v>20</v>
      </c>
      <c r="L3408">
        <v>88200</v>
      </c>
      <c r="M3408">
        <v>5600</v>
      </c>
      <c r="N3408">
        <v>93800</v>
      </c>
      <c r="O3408" t="s">
        <v>30</v>
      </c>
      <c r="P3408" s="3">
        <v>42544</v>
      </c>
      <c r="Q3408" t="s">
        <v>28</v>
      </c>
    </row>
    <row r="3409" spans="1:17" x14ac:dyDescent="0.35">
      <c r="A3409" t="s">
        <v>3461</v>
      </c>
      <c r="B3409" t="s">
        <v>16</v>
      </c>
      <c r="C3409" s="7">
        <v>33</v>
      </c>
      <c r="D3409" t="s">
        <v>41</v>
      </c>
      <c r="E3409" t="s">
        <v>73</v>
      </c>
      <c r="F3409" t="s">
        <v>36</v>
      </c>
      <c r="G3409" s="9">
        <v>12.8</v>
      </c>
      <c r="H3409" s="7">
        <v>8.1999999999999993</v>
      </c>
      <c r="I3409" t="str" cm="1">
        <f t="array" ref="I3409">_xlfn.IFS(G3409&lt;3, "0–2 Years", G3409&lt;6, "3–5 Years", G3409&lt;9, "6–8 Years", G3409&lt;12, "9-11 Years", G3409&gt;=12, "12-14 Years")</f>
        <v>12-14 Years</v>
      </c>
      <c r="J3409" s="7">
        <v>4</v>
      </c>
      <c r="K3409" t="s">
        <v>20</v>
      </c>
      <c r="L3409" s="7">
        <v>117100</v>
      </c>
      <c r="M3409" s="7">
        <v>8400</v>
      </c>
      <c r="N3409" s="7">
        <v>125500</v>
      </c>
      <c r="O3409" t="s">
        <v>57</v>
      </c>
      <c r="P3409" s="3">
        <v>41350</v>
      </c>
      <c r="Q3409" t="s">
        <v>36</v>
      </c>
    </row>
    <row r="3410" spans="1:17" x14ac:dyDescent="0.35">
      <c r="A3410" t="s">
        <v>3462</v>
      </c>
      <c r="B3410" t="s">
        <v>16</v>
      </c>
      <c r="C3410" s="7">
        <v>44</v>
      </c>
      <c r="D3410" t="s">
        <v>41</v>
      </c>
      <c r="E3410" t="s">
        <v>73</v>
      </c>
      <c r="F3410" t="s">
        <v>28</v>
      </c>
      <c r="G3410" s="9">
        <v>12.6</v>
      </c>
      <c r="H3410" s="7">
        <v>8.9</v>
      </c>
      <c r="I3410" t="str" cm="1">
        <f t="array" ref="I3410">_xlfn.IFS(G3410&lt;3, "0–2 Years", G3410&lt;6, "3–5 Years", G3410&lt;9, "6–8 Years", G3410&lt;12, "9-11 Years", G3410&gt;=12, "12-14 Years")</f>
        <v>12-14 Years</v>
      </c>
      <c r="J3410" s="7">
        <v>5</v>
      </c>
      <c r="K3410" t="s">
        <v>20</v>
      </c>
      <c r="L3410" s="7">
        <v>106200</v>
      </c>
      <c r="M3410" s="7">
        <v>7000</v>
      </c>
      <c r="N3410" s="7">
        <v>113200</v>
      </c>
      <c r="O3410" t="s">
        <v>57</v>
      </c>
      <c r="P3410" s="3">
        <v>41409</v>
      </c>
      <c r="Q3410" t="s">
        <v>28</v>
      </c>
    </row>
    <row r="3411" spans="1:17" x14ac:dyDescent="0.35">
      <c r="A3411" t="s">
        <v>3463</v>
      </c>
      <c r="B3411" t="s">
        <v>16</v>
      </c>
      <c r="C3411">
        <v>33</v>
      </c>
      <c r="D3411" t="s">
        <v>44</v>
      </c>
      <c r="E3411" t="s">
        <v>76</v>
      </c>
      <c r="F3411" t="s">
        <v>28</v>
      </c>
      <c r="G3411">
        <v>4.7</v>
      </c>
      <c r="H3411">
        <v>2.7</v>
      </c>
      <c r="I3411" t="str" cm="1">
        <f t="array" ref="I3411">_xlfn.IFS(G3411&lt;3, "0–2 Years", G3411&lt;6, "3–5 Years", G3411&lt;9, "6–8 Years", G3411&lt;12, "9-11 Years", G3411&gt;=12, "12-14 Years")</f>
        <v>3–5 Years</v>
      </c>
      <c r="J3411">
        <v>3</v>
      </c>
      <c r="K3411" t="s">
        <v>20</v>
      </c>
      <c r="L3411">
        <v>113500</v>
      </c>
      <c r="M3411">
        <v>16500</v>
      </c>
      <c r="N3411">
        <v>130000</v>
      </c>
      <c r="O3411" t="s">
        <v>57</v>
      </c>
      <c r="P3411" s="3">
        <v>44291</v>
      </c>
      <c r="Q3411" t="s">
        <v>28</v>
      </c>
    </row>
    <row r="3412" spans="1:17" x14ac:dyDescent="0.35">
      <c r="A3412" t="s">
        <v>3464</v>
      </c>
      <c r="B3412" t="s">
        <v>23</v>
      </c>
      <c r="C3412">
        <v>40</v>
      </c>
      <c r="D3412" t="s">
        <v>34</v>
      </c>
      <c r="E3412" t="s">
        <v>47</v>
      </c>
      <c r="F3412" t="s">
        <v>28</v>
      </c>
      <c r="G3412">
        <v>9.6</v>
      </c>
      <c r="H3412">
        <v>5.2</v>
      </c>
      <c r="I3412" t="str" cm="1">
        <f t="array" ref="I3412">_xlfn.IFS(G3412&lt;3, "0–2 Years", G3412&lt;6, "3–5 Years", G3412&lt;9, "6–8 Years", G3412&lt;12, "9-11 Years", G3412&gt;=12, "12-14 Years")</f>
        <v>9-11 Years</v>
      </c>
      <c r="J3412">
        <v>5</v>
      </c>
      <c r="K3412" t="s">
        <v>69</v>
      </c>
      <c r="L3412">
        <v>76800</v>
      </c>
      <c r="M3412">
        <v>4900</v>
      </c>
      <c r="N3412">
        <v>81700</v>
      </c>
      <c r="O3412" t="s">
        <v>21</v>
      </c>
      <c r="P3412" s="3">
        <v>42516</v>
      </c>
      <c r="Q3412" t="s">
        <v>28</v>
      </c>
    </row>
    <row r="3413" spans="1:17" x14ac:dyDescent="0.35">
      <c r="A3413" t="s">
        <v>3465</v>
      </c>
      <c r="B3413" t="s">
        <v>16</v>
      </c>
      <c r="C3413">
        <v>43</v>
      </c>
      <c r="D3413" t="s">
        <v>38</v>
      </c>
      <c r="E3413" t="s">
        <v>39</v>
      </c>
      <c r="F3413" t="s">
        <v>28</v>
      </c>
      <c r="G3413">
        <v>1.7</v>
      </c>
      <c r="H3413">
        <v>0.5</v>
      </c>
      <c r="I3413" t="str" cm="1">
        <f t="array" ref="I3413">_xlfn.IFS(G3413&lt;3, "0–2 Years", G3413&lt;6, "3–5 Years", G3413&lt;9, "6–8 Years", G3413&lt;12, "9-11 Years", G3413&gt;=12, "12-14 Years")</f>
        <v>0–2 Years</v>
      </c>
      <c r="J3413">
        <v>5</v>
      </c>
      <c r="K3413" t="s">
        <v>20</v>
      </c>
      <c r="L3413">
        <v>63800</v>
      </c>
      <c r="M3413">
        <v>4400</v>
      </c>
      <c r="N3413">
        <v>68200</v>
      </c>
      <c r="O3413" t="s">
        <v>25</v>
      </c>
      <c r="P3413" s="3">
        <v>45404</v>
      </c>
      <c r="Q3413" t="s">
        <v>28</v>
      </c>
    </row>
    <row r="3414" spans="1:17" x14ac:dyDescent="0.35">
      <c r="A3414" t="s">
        <v>3466</v>
      </c>
      <c r="B3414" t="s">
        <v>23</v>
      </c>
      <c r="C3414">
        <v>40</v>
      </c>
      <c r="D3414" t="s">
        <v>44</v>
      </c>
      <c r="E3414" t="s">
        <v>81</v>
      </c>
      <c r="F3414" t="s">
        <v>19</v>
      </c>
      <c r="G3414">
        <v>11</v>
      </c>
      <c r="H3414">
        <v>8.1999999999999993</v>
      </c>
      <c r="I3414" t="str" cm="1">
        <f t="array" ref="I3414">_xlfn.IFS(G3414&lt;3, "0–2 Years", G3414&lt;6, "3–5 Years", G3414&lt;9, "6–8 Years", G3414&lt;12, "9-11 Years", G3414&gt;=12, "12-14 Years")</f>
        <v>9-11 Years</v>
      </c>
      <c r="J3414">
        <v>3</v>
      </c>
      <c r="K3414" t="s">
        <v>20</v>
      </c>
      <c r="L3414">
        <v>99900</v>
      </c>
      <c r="M3414">
        <v>11700</v>
      </c>
      <c r="N3414">
        <v>111600</v>
      </c>
      <c r="O3414" t="s">
        <v>30</v>
      </c>
      <c r="P3414" s="3">
        <v>42009</v>
      </c>
      <c r="Q3414" t="s">
        <v>19</v>
      </c>
    </row>
    <row r="3415" spans="1:17" x14ac:dyDescent="0.35">
      <c r="A3415" t="s">
        <v>3467</v>
      </c>
      <c r="B3415" t="s">
        <v>16</v>
      </c>
      <c r="C3415">
        <v>44</v>
      </c>
      <c r="D3415" t="s">
        <v>38</v>
      </c>
      <c r="E3415" t="s">
        <v>112</v>
      </c>
      <c r="F3415" t="s">
        <v>28</v>
      </c>
      <c r="G3415">
        <v>3.1</v>
      </c>
      <c r="H3415">
        <v>0.9</v>
      </c>
      <c r="I3415" t="str" cm="1">
        <f t="array" ref="I3415">_xlfn.IFS(G3415&lt;3, "0–2 Years", G3415&lt;6, "3–5 Years", G3415&lt;9, "6–8 Years", G3415&lt;12, "9-11 Years", G3415&gt;=12, "12-14 Years")</f>
        <v>3–5 Years</v>
      </c>
      <c r="J3415">
        <v>4</v>
      </c>
      <c r="K3415" t="s">
        <v>20</v>
      </c>
      <c r="L3415">
        <v>66100</v>
      </c>
      <c r="M3415">
        <v>6700</v>
      </c>
      <c r="N3415">
        <v>72800</v>
      </c>
      <c r="O3415" t="s">
        <v>21</v>
      </c>
      <c r="P3415" s="3">
        <v>44873</v>
      </c>
      <c r="Q3415" t="s">
        <v>28</v>
      </c>
    </row>
    <row r="3416" spans="1:17" x14ac:dyDescent="0.35">
      <c r="A3416" t="s">
        <v>3468</v>
      </c>
      <c r="B3416" t="s">
        <v>23</v>
      </c>
      <c r="C3416">
        <v>23</v>
      </c>
      <c r="D3416" t="s">
        <v>41</v>
      </c>
      <c r="E3416" t="s">
        <v>42</v>
      </c>
      <c r="F3416" t="s">
        <v>28</v>
      </c>
      <c r="G3416">
        <v>6.7</v>
      </c>
      <c r="H3416">
        <v>2.6</v>
      </c>
      <c r="I3416" t="str" cm="1">
        <f t="array" ref="I3416">_xlfn.IFS(G3416&lt;3, "0–2 Years", G3416&lt;6, "3–5 Years", G3416&lt;9, "6–8 Years", G3416&lt;12, "9-11 Years", G3416&gt;=12, "12-14 Years")</f>
        <v>6–8 Years</v>
      </c>
      <c r="J3416">
        <v>4</v>
      </c>
      <c r="K3416" t="s">
        <v>20</v>
      </c>
      <c r="L3416">
        <v>72600</v>
      </c>
      <c r="M3416">
        <v>3400</v>
      </c>
      <c r="N3416">
        <v>76000</v>
      </c>
      <c r="O3416" t="s">
        <v>21</v>
      </c>
      <c r="P3416" s="3">
        <v>43569</v>
      </c>
      <c r="Q3416" t="s">
        <v>28</v>
      </c>
    </row>
    <row r="3417" spans="1:17" x14ac:dyDescent="0.35">
      <c r="A3417" t="s">
        <v>3469</v>
      </c>
      <c r="B3417" t="s">
        <v>23</v>
      </c>
      <c r="C3417">
        <v>42</v>
      </c>
      <c r="D3417" t="s">
        <v>55</v>
      </c>
      <c r="E3417" t="s">
        <v>79</v>
      </c>
      <c r="G3417">
        <v>10.6</v>
      </c>
      <c r="H3417">
        <v>4.8</v>
      </c>
      <c r="I3417" t="str" cm="1">
        <f t="array" ref="I3417">_xlfn.IFS(G3417&lt;3, "0–2 Years", G3417&lt;6, "3–5 Years", G3417&lt;9, "6–8 Years", G3417&lt;12, "9-11 Years", G3417&gt;=12, "12-14 Years")</f>
        <v>9-11 Years</v>
      </c>
      <c r="J3417">
        <v>5</v>
      </c>
      <c r="K3417" t="s">
        <v>20</v>
      </c>
      <c r="L3417">
        <v>65100</v>
      </c>
      <c r="M3417">
        <v>8700</v>
      </c>
      <c r="N3417">
        <v>73800</v>
      </c>
      <c r="O3417" t="s">
        <v>21</v>
      </c>
      <c r="P3417" s="3">
        <v>42136</v>
      </c>
      <c r="Q3417" t="s">
        <v>5104</v>
      </c>
    </row>
    <row r="3418" spans="1:17" x14ac:dyDescent="0.35">
      <c r="A3418" t="s">
        <v>3470</v>
      </c>
      <c r="B3418" t="s">
        <v>16</v>
      </c>
      <c r="C3418">
        <v>28</v>
      </c>
      <c r="D3418" t="s">
        <v>17</v>
      </c>
      <c r="E3418" t="s">
        <v>27</v>
      </c>
      <c r="F3418" t="s">
        <v>28</v>
      </c>
      <c r="G3418">
        <v>7.7</v>
      </c>
      <c r="H3418">
        <v>4.9000000000000004</v>
      </c>
      <c r="I3418" t="str" cm="1">
        <f t="array" ref="I3418">_xlfn.IFS(G3418&lt;3, "0–2 Years", G3418&lt;6, "3–5 Years", G3418&lt;9, "6–8 Years", G3418&lt;12, "9-11 Years", G3418&gt;=12, "12-14 Years")</f>
        <v>6–8 Years</v>
      </c>
      <c r="J3418">
        <v>3</v>
      </c>
      <c r="K3418" t="s">
        <v>20</v>
      </c>
      <c r="L3418">
        <v>79100</v>
      </c>
      <c r="M3418">
        <v>5200</v>
      </c>
      <c r="N3418">
        <v>84300</v>
      </c>
      <c r="O3418" t="s">
        <v>21</v>
      </c>
      <c r="P3418" s="3">
        <v>43203</v>
      </c>
      <c r="Q3418" t="s">
        <v>28</v>
      </c>
    </row>
    <row r="3419" spans="1:17" x14ac:dyDescent="0.35">
      <c r="A3419" t="s">
        <v>3471</v>
      </c>
      <c r="B3419" t="s">
        <v>16</v>
      </c>
      <c r="C3419" s="7">
        <v>33</v>
      </c>
      <c r="D3419" t="s">
        <v>55</v>
      </c>
      <c r="E3419" t="s">
        <v>56</v>
      </c>
      <c r="F3419" t="s">
        <v>28</v>
      </c>
      <c r="G3419" s="9">
        <v>13.8</v>
      </c>
      <c r="H3419" s="7">
        <v>8.8000000000000007</v>
      </c>
      <c r="I3419" t="str" cm="1">
        <f t="array" ref="I3419">_xlfn.IFS(G3419&lt;3, "0–2 Years", G3419&lt;6, "3–5 Years", G3419&lt;9, "6–8 Years", G3419&lt;12, "9-11 Years", G3419&gt;=12, "12-14 Years")</f>
        <v>12-14 Years</v>
      </c>
      <c r="J3419" s="7">
        <v>3</v>
      </c>
      <c r="K3419" t="s">
        <v>20</v>
      </c>
      <c r="L3419" s="7">
        <v>98400</v>
      </c>
      <c r="M3419" s="7">
        <v>19800</v>
      </c>
      <c r="N3419" s="7">
        <v>118200</v>
      </c>
      <c r="O3419" t="s">
        <v>30</v>
      </c>
      <c r="P3419" s="3">
        <v>41000</v>
      </c>
      <c r="Q3419" t="s">
        <v>28</v>
      </c>
    </row>
    <row r="3420" spans="1:17" x14ac:dyDescent="0.35">
      <c r="A3420" t="s">
        <v>3472</v>
      </c>
      <c r="B3420" t="s">
        <v>16</v>
      </c>
      <c r="C3420">
        <v>33</v>
      </c>
      <c r="D3420" t="s">
        <v>44</v>
      </c>
      <c r="E3420" t="s">
        <v>51</v>
      </c>
      <c r="F3420" t="s">
        <v>62</v>
      </c>
      <c r="G3420">
        <v>9.1999999999999993</v>
      </c>
      <c r="H3420">
        <v>3.1</v>
      </c>
      <c r="I3420" t="str" cm="1">
        <f t="array" ref="I3420">_xlfn.IFS(G3420&lt;3, "0–2 Years", G3420&lt;6, "3–5 Years", G3420&lt;9, "6–8 Years", G3420&lt;12, "9-11 Years", G3420&gt;=12, "12-14 Years")</f>
        <v>9-11 Years</v>
      </c>
      <c r="J3420">
        <v>4</v>
      </c>
      <c r="K3420" t="s">
        <v>20</v>
      </c>
      <c r="L3420">
        <v>90000</v>
      </c>
      <c r="M3420">
        <v>10300</v>
      </c>
      <c r="N3420">
        <v>100300</v>
      </c>
      <c r="O3420" t="s">
        <v>30</v>
      </c>
      <c r="P3420" s="3">
        <v>42672</v>
      </c>
      <c r="Q3420" t="s">
        <v>62</v>
      </c>
    </row>
    <row r="3421" spans="1:17" x14ac:dyDescent="0.35">
      <c r="A3421" t="s">
        <v>3473</v>
      </c>
      <c r="B3421" t="s">
        <v>16</v>
      </c>
      <c r="C3421">
        <v>30</v>
      </c>
      <c r="D3421" t="s">
        <v>34</v>
      </c>
      <c r="E3421" t="s">
        <v>47</v>
      </c>
      <c r="F3421" t="s">
        <v>28</v>
      </c>
      <c r="G3421">
        <v>6</v>
      </c>
      <c r="H3421">
        <v>4.9000000000000004</v>
      </c>
      <c r="I3421" t="str" cm="1">
        <f t="array" ref="I3421">_xlfn.IFS(G3421&lt;3, "0–2 Years", G3421&lt;6, "3–5 Years", G3421&lt;9, "6–8 Years", G3421&lt;12, "9-11 Years", G3421&gt;=12, "12-14 Years")</f>
        <v>6–8 Years</v>
      </c>
      <c r="J3421">
        <v>4</v>
      </c>
      <c r="K3421" t="s">
        <v>20</v>
      </c>
      <c r="L3421">
        <v>80000</v>
      </c>
      <c r="M3421">
        <v>6300</v>
      </c>
      <c r="N3421">
        <v>86300</v>
      </c>
      <c r="O3421" t="s">
        <v>30</v>
      </c>
      <c r="P3421" s="3">
        <v>43843</v>
      </c>
      <c r="Q3421" t="s">
        <v>28</v>
      </c>
    </row>
    <row r="3422" spans="1:17" x14ac:dyDescent="0.35">
      <c r="A3422" t="s">
        <v>3474</v>
      </c>
      <c r="B3422" t="s">
        <v>16</v>
      </c>
      <c r="C3422">
        <v>23</v>
      </c>
      <c r="D3422" t="s">
        <v>55</v>
      </c>
      <c r="E3422" t="s">
        <v>56</v>
      </c>
      <c r="F3422" t="s">
        <v>28</v>
      </c>
      <c r="G3422">
        <v>1.4</v>
      </c>
      <c r="H3422">
        <v>1.4</v>
      </c>
      <c r="I3422" t="str" cm="1">
        <f t="array" ref="I3422">_xlfn.IFS(G3422&lt;3, "0–2 Years", G3422&lt;6, "3–5 Years", G3422&lt;9, "6–8 Years", G3422&lt;12, "9-11 Years", G3422&gt;=12, "12-14 Years")</f>
        <v>0–2 Years</v>
      </c>
      <c r="J3422">
        <v>5</v>
      </c>
      <c r="K3422" t="s">
        <v>24</v>
      </c>
      <c r="L3422">
        <v>65400</v>
      </c>
      <c r="M3422">
        <v>6500</v>
      </c>
      <c r="N3422">
        <v>71900</v>
      </c>
      <c r="O3422" t="s">
        <v>21</v>
      </c>
      <c r="P3422" s="3">
        <v>45513</v>
      </c>
      <c r="Q3422" t="s">
        <v>28</v>
      </c>
    </row>
    <row r="3423" spans="1:17" x14ac:dyDescent="0.35">
      <c r="A3423" t="s">
        <v>3475</v>
      </c>
      <c r="B3423" t="s">
        <v>16</v>
      </c>
      <c r="C3423">
        <v>36</v>
      </c>
      <c r="D3423" t="s">
        <v>38</v>
      </c>
      <c r="E3423" t="s">
        <v>39</v>
      </c>
      <c r="F3423" t="s">
        <v>28</v>
      </c>
      <c r="G3423">
        <v>2.7</v>
      </c>
      <c r="H3423">
        <v>1.9</v>
      </c>
      <c r="I3423" t="str" cm="1">
        <f t="array" ref="I3423">_xlfn.IFS(G3423&lt;3, "0–2 Years", G3423&lt;6, "3–5 Years", G3423&lt;9, "6–8 Years", G3423&lt;12, "9-11 Years", G3423&gt;=12, "12-14 Years")</f>
        <v>0–2 Years</v>
      </c>
      <c r="J3423">
        <v>4</v>
      </c>
      <c r="K3423" t="s">
        <v>20</v>
      </c>
      <c r="L3423">
        <v>71900</v>
      </c>
      <c r="M3423">
        <v>6100</v>
      </c>
      <c r="N3423">
        <v>78000</v>
      </c>
      <c r="O3423" t="s">
        <v>21</v>
      </c>
      <c r="P3423" s="3">
        <v>45026</v>
      </c>
      <c r="Q3423" t="s">
        <v>28</v>
      </c>
    </row>
    <row r="3424" spans="1:17" x14ac:dyDescent="0.35">
      <c r="A3424" t="s">
        <v>3476</v>
      </c>
      <c r="B3424" t="s">
        <v>23</v>
      </c>
      <c r="C3424" s="7">
        <v>39</v>
      </c>
      <c r="D3424" t="s">
        <v>17</v>
      </c>
      <c r="E3424" t="s">
        <v>32</v>
      </c>
      <c r="F3424" t="s">
        <v>28</v>
      </c>
      <c r="G3424" s="9">
        <v>12.2</v>
      </c>
      <c r="H3424" s="7">
        <v>5.9</v>
      </c>
      <c r="I3424" t="str" cm="1">
        <f t="array" ref="I3424">_xlfn.IFS(G3424&lt;3, "0–2 Years", G3424&lt;6, "3–5 Years", G3424&lt;9, "6–8 Years", G3424&lt;12, "9-11 Years", G3424&gt;=12, "12-14 Years")</f>
        <v>12-14 Years</v>
      </c>
      <c r="J3424" s="7">
        <v>2</v>
      </c>
      <c r="K3424" t="s">
        <v>20</v>
      </c>
      <c r="L3424" s="7">
        <v>72100</v>
      </c>
      <c r="M3424" s="7">
        <v>6300</v>
      </c>
      <c r="N3424" s="7">
        <v>78400</v>
      </c>
      <c r="O3424" t="s">
        <v>21</v>
      </c>
      <c r="P3424" s="3">
        <v>41574</v>
      </c>
      <c r="Q3424" t="s">
        <v>28</v>
      </c>
    </row>
    <row r="3425" spans="1:17" x14ac:dyDescent="0.35">
      <c r="A3425" t="s">
        <v>3477</v>
      </c>
      <c r="B3425" t="s">
        <v>23</v>
      </c>
      <c r="C3425">
        <v>51</v>
      </c>
      <c r="D3425" t="s">
        <v>17</v>
      </c>
      <c r="E3425" t="s">
        <v>32</v>
      </c>
      <c r="F3425" t="s">
        <v>28</v>
      </c>
      <c r="G3425">
        <v>11.3</v>
      </c>
      <c r="H3425">
        <v>8.1999999999999993</v>
      </c>
      <c r="I3425" t="str" cm="1">
        <f t="array" ref="I3425">_xlfn.IFS(G3425&lt;3, "0–2 Years", G3425&lt;6, "3–5 Years", G3425&lt;9, "6–8 Years", G3425&lt;12, "9-11 Years", G3425&gt;=12, "12-14 Years")</f>
        <v>9-11 Years</v>
      </c>
      <c r="J3425">
        <v>3</v>
      </c>
      <c r="K3425" t="s">
        <v>24</v>
      </c>
      <c r="L3425">
        <v>47300</v>
      </c>
      <c r="M3425">
        <v>6200</v>
      </c>
      <c r="N3425">
        <v>53500</v>
      </c>
      <c r="O3425" t="s">
        <v>65</v>
      </c>
      <c r="P3425" s="3">
        <v>41878</v>
      </c>
      <c r="Q3425" t="s">
        <v>28</v>
      </c>
    </row>
    <row r="3426" spans="1:17" x14ac:dyDescent="0.35">
      <c r="A3426" t="s">
        <v>3478</v>
      </c>
      <c r="B3426" t="s">
        <v>23</v>
      </c>
      <c r="C3426">
        <v>37</v>
      </c>
      <c r="D3426" t="s">
        <v>38</v>
      </c>
      <c r="E3426" t="s">
        <v>112</v>
      </c>
      <c r="F3426" t="s">
        <v>36</v>
      </c>
      <c r="G3426">
        <v>11.4</v>
      </c>
      <c r="H3426">
        <v>8</v>
      </c>
      <c r="I3426" t="str" cm="1">
        <f t="array" ref="I3426">_xlfn.IFS(G3426&lt;3, "0–2 Years", G3426&lt;6, "3–5 Years", G3426&lt;9, "6–8 Years", G3426&lt;12, "9-11 Years", G3426&gt;=12, "12-14 Years")</f>
        <v>9-11 Years</v>
      </c>
      <c r="J3426">
        <v>2</v>
      </c>
      <c r="K3426" t="s">
        <v>20</v>
      </c>
      <c r="L3426">
        <v>78800</v>
      </c>
      <c r="M3426">
        <v>6200</v>
      </c>
      <c r="N3426">
        <v>85000</v>
      </c>
      <c r="O3426" t="s">
        <v>21</v>
      </c>
      <c r="P3426" s="3">
        <v>41852</v>
      </c>
      <c r="Q3426" t="s">
        <v>36</v>
      </c>
    </row>
    <row r="3427" spans="1:17" x14ac:dyDescent="0.35">
      <c r="A3427" t="s">
        <v>3479</v>
      </c>
      <c r="B3427" t="s">
        <v>16</v>
      </c>
      <c r="C3427">
        <v>31</v>
      </c>
      <c r="D3427" t="s">
        <v>41</v>
      </c>
      <c r="E3427" t="s">
        <v>73</v>
      </c>
      <c r="F3427" t="s">
        <v>36</v>
      </c>
      <c r="G3427">
        <v>4.3</v>
      </c>
      <c r="H3427">
        <v>4.3</v>
      </c>
      <c r="I3427" t="str" cm="1">
        <f t="array" ref="I3427">_xlfn.IFS(G3427&lt;3, "0–2 Years", G3427&lt;6, "3–5 Years", G3427&lt;9, "6–8 Years", G3427&lt;12, "9-11 Years", G3427&gt;=12, "12-14 Years")</f>
        <v>3–5 Years</v>
      </c>
      <c r="J3427">
        <v>3</v>
      </c>
      <c r="K3427" t="s">
        <v>20</v>
      </c>
      <c r="L3427">
        <v>104400</v>
      </c>
      <c r="M3427">
        <v>7600</v>
      </c>
      <c r="N3427">
        <v>112000</v>
      </c>
      <c r="O3427" t="s">
        <v>57</v>
      </c>
      <c r="P3427" s="3">
        <v>44448</v>
      </c>
      <c r="Q3427" t="s">
        <v>36</v>
      </c>
    </row>
    <row r="3428" spans="1:17" x14ac:dyDescent="0.35">
      <c r="A3428" t="s">
        <v>3480</v>
      </c>
      <c r="B3428" t="s">
        <v>23</v>
      </c>
      <c r="C3428" s="7">
        <v>35</v>
      </c>
      <c r="D3428" t="s">
        <v>34</v>
      </c>
      <c r="E3428" t="s">
        <v>47</v>
      </c>
      <c r="F3428" t="s">
        <v>36</v>
      </c>
      <c r="G3428" s="9">
        <v>13.2</v>
      </c>
      <c r="H3428" s="7">
        <v>8.1999999999999993</v>
      </c>
      <c r="I3428" t="str" cm="1">
        <f t="array" ref="I3428">_xlfn.IFS(G3428&lt;3, "0–2 Years", G3428&lt;6, "3–5 Years", G3428&lt;9, "6–8 Years", G3428&lt;12, "9-11 Years", G3428&gt;=12, "12-14 Years")</f>
        <v>12-14 Years</v>
      </c>
      <c r="J3428" s="7">
        <v>3</v>
      </c>
      <c r="K3428" t="s">
        <v>24</v>
      </c>
      <c r="L3428" s="7">
        <v>61300</v>
      </c>
      <c r="M3428" s="7">
        <v>5100</v>
      </c>
      <c r="N3428" s="7">
        <v>66400</v>
      </c>
      <c r="O3428" t="s">
        <v>25</v>
      </c>
      <c r="P3428" s="3">
        <v>41196</v>
      </c>
      <c r="Q3428" t="s">
        <v>36</v>
      </c>
    </row>
    <row r="3429" spans="1:17" x14ac:dyDescent="0.35">
      <c r="A3429" t="s">
        <v>3481</v>
      </c>
      <c r="B3429" t="s">
        <v>23</v>
      </c>
      <c r="C3429" s="7">
        <v>30</v>
      </c>
      <c r="D3429" t="s">
        <v>55</v>
      </c>
      <c r="E3429" t="s">
        <v>92</v>
      </c>
      <c r="F3429" t="s">
        <v>19</v>
      </c>
      <c r="G3429" s="9">
        <v>13</v>
      </c>
      <c r="H3429" s="7">
        <v>11.3</v>
      </c>
      <c r="I3429" t="str" cm="1">
        <f t="array" ref="I3429">_xlfn.IFS(G3429&lt;3, "0–2 Years", G3429&lt;6, "3–5 Years", G3429&lt;9, "6–8 Years", G3429&lt;12, "9-11 Years", G3429&gt;=12, "12-14 Years")</f>
        <v>12-14 Years</v>
      </c>
      <c r="J3429" s="7">
        <v>3</v>
      </c>
      <c r="K3429" t="s">
        <v>20</v>
      </c>
      <c r="L3429" s="7">
        <v>107100</v>
      </c>
      <c r="M3429" s="7">
        <v>17100</v>
      </c>
      <c r="N3429" s="7">
        <v>124200</v>
      </c>
      <c r="O3429" t="s">
        <v>57</v>
      </c>
      <c r="P3429" s="3">
        <v>41284</v>
      </c>
      <c r="Q3429" t="s">
        <v>19</v>
      </c>
    </row>
    <row r="3430" spans="1:17" x14ac:dyDescent="0.35">
      <c r="A3430" t="s">
        <v>3482</v>
      </c>
      <c r="B3430" t="s">
        <v>16</v>
      </c>
      <c r="C3430">
        <v>46</v>
      </c>
      <c r="D3430" t="s">
        <v>34</v>
      </c>
      <c r="E3430" t="s">
        <v>35</v>
      </c>
      <c r="F3430" t="s">
        <v>28</v>
      </c>
      <c r="G3430">
        <v>8.4</v>
      </c>
      <c r="H3430">
        <v>4.0999999999999996</v>
      </c>
      <c r="I3430" t="str" cm="1">
        <f t="array" ref="I3430">_xlfn.IFS(G3430&lt;3, "0–2 Years", G3430&lt;6, "3–5 Years", G3430&lt;9, "6–8 Years", G3430&lt;12, "9-11 Years", G3430&gt;=12, "12-14 Years")</f>
        <v>6–8 Years</v>
      </c>
      <c r="J3430">
        <v>3</v>
      </c>
      <c r="K3430" t="s">
        <v>20</v>
      </c>
      <c r="L3430">
        <v>74200</v>
      </c>
      <c r="M3430">
        <v>3900</v>
      </c>
      <c r="N3430">
        <v>78100</v>
      </c>
      <c r="O3430" t="s">
        <v>21</v>
      </c>
      <c r="P3430" s="3">
        <v>42959</v>
      </c>
      <c r="Q3430" t="s">
        <v>28</v>
      </c>
    </row>
    <row r="3431" spans="1:17" x14ac:dyDescent="0.35">
      <c r="A3431" t="s">
        <v>3483</v>
      </c>
      <c r="B3431" t="s">
        <v>23</v>
      </c>
      <c r="C3431">
        <v>25</v>
      </c>
      <c r="D3431" t="s">
        <v>44</v>
      </c>
      <c r="E3431" t="s">
        <v>51</v>
      </c>
      <c r="F3431" t="s">
        <v>62</v>
      </c>
      <c r="G3431">
        <v>10.1</v>
      </c>
      <c r="H3431">
        <v>6.6</v>
      </c>
      <c r="I3431" t="str" cm="1">
        <f t="array" ref="I3431">_xlfn.IFS(G3431&lt;3, "0–2 Years", G3431&lt;6, "3–5 Years", G3431&lt;9, "6–8 Years", G3431&lt;12, "9-11 Years", G3431&gt;=12, "12-14 Years")</f>
        <v>9-11 Years</v>
      </c>
      <c r="J3431">
        <v>3</v>
      </c>
      <c r="K3431" t="s">
        <v>20</v>
      </c>
      <c r="L3431">
        <v>108600</v>
      </c>
      <c r="M3431">
        <v>12300</v>
      </c>
      <c r="N3431">
        <v>120900</v>
      </c>
      <c r="O3431" t="s">
        <v>57</v>
      </c>
      <c r="P3431" s="3">
        <v>42338</v>
      </c>
      <c r="Q3431" t="s">
        <v>62</v>
      </c>
    </row>
    <row r="3432" spans="1:17" x14ac:dyDescent="0.35">
      <c r="A3432" t="s">
        <v>3484</v>
      </c>
      <c r="B3432" t="s">
        <v>23</v>
      </c>
      <c r="C3432">
        <v>34</v>
      </c>
      <c r="D3432" t="s">
        <v>41</v>
      </c>
      <c r="E3432" t="s">
        <v>73</v>
      </c>
      <c r="F3432" t="s">
        <v>36</v>
      </c>
      <c r="G3432">
        <v>7.3</v>
      </c>
      <c r="H3432">
        <v>5.7</v>
      </c>
      <c r="I3432" t="str" cm="1">
        <f t="array" ref="I3432">_xlfn.IFS(G3432&lt;3, "0–2 Years", G3432&lt;6, "3–5 Years", G3432&lt;9, "6–8 Years", G3432&lt;12, "9-11 Years", G3432&gt;=12, "12-14 Years")</f>
        <v>6–8 Years</v>
      </c>
      <c r="J3432">
        <v>3</v>
      </c>
      <c r="K3432" t="s">
        <v>20</v>
      </c>
      <c r="L3432">
        <v>109900</v>
      </c>
      <c r="M3432">
        <v>7000</v>
      </c>
      <c r="N3432">
        <v>116900</v>
      </c>
      <c r="O3432" t="s">
        <v>57</v>
      </c>
      <c r="P3432" s="3">
        <v>43374</v>
      </c>
      <c r="Q3432" t="s">
        <v>36</v>
      </c>
    </row>
    <row r="3433" spans="1:17" x14ac:dyDescent="0.35">
      <c r="A3433" t="s">
        <v>3485</v>
      </c>
      <c r="B3433" t="s">
        <v>16</v>
      </c>
      <c r="C3433">
        <v>31</v>
      </c>
      <c r="D3433" t="s">
        <v>41</v>
      </c>
      <c r="E3433" t="s">
        <v>42</v>
      </c>
      <c r="F3433" t="s">
        <v>28</v>
      </c>
      <c r="G3433">
        <v>2.8</v>
      </c>
      <c r="H3433">
        <v>2.8</v>
      </c>
      <c r="I3433" t="str" cm="1">
        <f t="array" ref="I3433">_xlfn.IFS(G3433&lt;3, "0–2 Years", G3433&lt;6, "3–5 Years", G3433&lt;9, "6–8 Years", G3433&lt;12, "9-11 Years", G3433&gt;=12, "12-14 Years")</f>
        <v>0–2 Years</v>
      </c>
      <c r="J3433">
        <v>3</v>
      </c>
      <c r="K3433" t="s">
        <v>20</v>
      </c>
      <c r="L3433">
        <v>76700</v>
      </c>
      <c r="M3433">
        <v>6600</v>
      </c>
      <c r="N3433">
        <v>83300</v>
      </c>
      <c r="O3433" t="s">
        <v>21</v>
      </c>
      <c r="P3433" s="3">
        <v>45007</v>
      </c>
      <c r="Q3433" t="s">
        <v>28</v>
      </c>
    </row>
    <row r="3434" spans="1:17" x14ac:dyDescent="0.35">
      <c r="A3434" t="s">
        <v>3486</v>
      </c>
      <c r="B3434" t="s">
        <v>16</v>
      </c>
      <c r="C3434">
        <v>28</v>
      </c>
      <c r="D3434" t="s">
        <v>38</v>
      </c>
      <c r="E3434" t="s">
        <v>61</v>
      </c>
      <c r="F3434" t="s">
        <v>28</v>
      </c>
      <c r="G3434">
        <v>3.2</v>
      </c>
      <c r="H3434">
        <v>2.9</v>
      </c>
      <c r="I3434" t="str" cm="1">
        <f t="array" ref="I3434">_xlfn.IFS(G3434&lt;3, "0–2 Years", G3434&lt;6, "3–5 Years", G3434&lt;9, "6–8 Years", G3434&lt;12, "9-11 Years", G3434&gt;=12, "12-14 Years")</f>
        <v>3–5 Years</v>
      </c>
      <c r="J3434">
        <v>4</v>
      </c>
      <c r="K3434" t="s">
        <v>20</v>
      </c>
      <c r="L3434">
        <v>106300</v>
      </c>
      <c r="M3434">
        <v>9700</v>
      </c>
      <c r="N3434">
        <v>116000</v>
      </c>
      <c r="O3434" t="s">
        <v>57</v>
      </c>
      <c r="P3434" s="3">
        <v>44849</v>
      </c>
      <c r="Q3434" t="s">
        <v>28</v>
      </c>
    </row>
    <row r="3435" spans="1:17" x14ac:dyDescent="0.35">
      <c r="A3435" t="s">
        <v>3487</v>
      </c>
      <c r="B3435" t="s">
        <v>23</v>
      </c>
      <c r="C3435">
        <v>33</v>
      </c>
      <c r="D3435" t="s">
        <v>34</v>
      </c>
      <c r="E3435" t="s">
        <v>59</v>
      </c>
      <c r="F3435" t="s">
        <v>36</v>
      </c>
      <c r="G3435">
        <v>7.5</v>
      </c>
      <c r="H3435">
        <v>5.3</v>
      </c>
      <c r="I3435" t="str" cm="1">
        <f t="array" ref="I3435">_xlfn.IFS(G3435&lt;3, "0–2 Years", G3435&lt;6, "3–5 Years", G3435&lt;9, "6–8 Years", G3435&lt;12, "9-11 Years", G3435&gt;=12, "12-14 Years")</f>
        <v>6–8 Years</v>
      </c>
      <c r="J3435">
        <v>4</v>
      </c>
      <c r="K3435" t="s">
        <v>20</v>
      </c>
      <c r="L3435">
        <v>116400</v>
      </c>
      <c r="M3435">
        <v>13300</v>
      </c>
      <c r="N3435">
        <v>129700</v>
      </c>
      <c r="O3435" t="s">
        <v>57</v>
      </c>
      <c r="P3435" s="3">
        <v>43269</v>
      </c>
      <c r="Q3435" t="s">
        <v>36</v>
      </c>
    </row>
    <row r="3436" spans="1:17" x14ac:dyDescent="0.35">
      <c r="A3436" t="s">
        <v>3488</v>
      </c>
      <c r="B3436" t="s">
        <v>23</v>
      </c>
      <c r="C3436">
        <v>44</v>
      </c>
      <c r="D3436" t="s">
        <v>17</v>
      </c>
      <c r="E3436" t="s">
        <v>18</v>
      </c>
      <c r="F3436" t="s">
        <v>36</v>
      </c>
      <c r="G3436">
        <v>7</v>
      </c>
      <c r="H3436">
        <v>5.8</v>
      </c>
      <c r="I3436" t="str" cm="1">
        <f t="array" ref="I3436">_xlfn.IFS(G3436&lt;3, "0–2 Years", G3436&lt;6, "3–5 Years", G3436&lt;9, "6–8 Years", G3436&lt;12, "9-11 Years", G3436&gt;=12, "12-14 Years")</f>
        <v>6–8 Years</v>
      </c>
      <c r="J3436">
        <v>3</v>
      </c>
      <c r="K3436" t="s">
        <v>24</v>
      </c>
      <c r="L3436">
        <v>60600</v>
      </c>
      <c r="M3436">
        <v>4600</v>
      </c>
      <c r="N3436">
        <v>65200</v>
      </c>
      <c r="O3436" t="s">
        <v>25</v>
      </c>
      <c r="P3436" s="3">
        <v>43458</v>
      </c>
      <c r="Q3436" t="s">
        <v>36</v>
      </c>
    </row>
    <row r="3437" spans="1:17" x14ac:dyDescent="0.35">
      <c r="A3437" t="s">
        <v>3489</v>
      </c>
      <c r="B3437" t="s">
        <v>16</v>
      </c>
      <c r="C3437">
        <v>46</v>
      </c>
      <c r="D3437" t="s">
        <v>41</v>
      </c>
      <c r="E3437" t="s">
        <v>73</v>
      </c>
      <c r="F3437" t="s">
        <v>36</v>
      </c>
      <c r="G3437">
        <v>6.1</v>
      </c>
      <c r="H3437">
        <v>4.8</v>
      </c>
      <c r="I3437" t="str" cm="1">
        <f t="array" ref="I3437">_xlfn.IFS(G3437&lt;3, "0–2 Years", G3437&lt;6, "3–5 Years", G3437&lt;9, "6–8 Years", G3437&lt;12, "9-11 Years", G3437&gt;=12, "12-14 Years")</f>
        <v>6–8 Years</v>
      </c>
      <c r="J3437">
        <v>3</v>
      </c>
      <c r="K3437" t="s">
        <v>20</v>
      </c>
      <c r="L3437">
        <v>108400</v>
      </c>
      <c r="M3437">
        <v>8500</v>
      </c>
      <c r="N3437">
        <v>116900</v>
      </c>
      <c r="O3437" t="s">
        <v>57</v>
      </c>
      <c r="P3437" s="3">
        <v>43779</v>
      </c>
      <c r="Q3437" t="s">
        <v>36</v>
      </c>
    </row>
    <row r="3438" spans="1:17" x14ac:dyDescent="0.35">
      <c r="A3438" t="s">
        <v>3490</v>
      </c>
      <c r="B3438" t="s">
        <v>23</v>
      </c>
      <c r="C3438">
        <v>31</v>
      </c>
      <c r="D3438" t="s">
        <v>34</v>
      </c>
      <c r="E3438" t="s">
        <v>35</v>
      </c>
      <c r="F3438" t="s">
        <v>36</v>
      </c>
      <c r="G3438">
        <v>9.4</v>
      </c>
      <c r="H3438">
        <v>5.8</v>
      </c>
      <c r="I3438" t="str" cm="1">
        <f t="array" ref="I3438">_xlfn.IFS(G3438&lt;3, "0–2 Years", G3438&lt;6, "3–5 Years", G3438&lt;9, "6–8 Years", G3438&lt;12, "9-11 Years", G3438&gt;=12, "12-14 Years")</f>
        <v>9-11 Years</v>
      </c>
      <c r="J3438">
        <v>4</v>
      </c>
      <c r="K3438" t="s">
        <v>20</v>
      </c>
      <c r="L3438">
        <v>92400</v>
      </c>
      <c r="M3438">
        <v>5600</v>
      </c>
      <c r="N3438">
        <v>98000</v>
      </c>
      <c r="O3438" t="s">
        <v>30</v>
      </c>
      <c r="P3438" s="3">
        <v>42594</v>
      </c>
      <c r="Q3438" t="s">
        <v>36</v>
      </c>
    </row>
    <row r="3439" spans="1:17" x14ac:dyDescent="0.35">
      <c r="A3439" t="s">
        <v>3491</v>
      </c>
      <c r="B3439" t="s">
        <v>16</v>
      </c>
      <c r="C3439">
        <v>30</v>
      </c>
      <c r="D3439" t="s">
        <v>55</v>
      </c>
      <c r="E3439" t="s">
        <v>92</v>
      </c>
      <c r="F3439" t="s">
        <v>62</v>
      </c>
      <c r="G3439">
        <v>5.3</v>
      </c>
      <c r="H3439">
        <v>4.8</v>
      </c>
      <c r="I3439" t="str" cm="1">
        <f t="array" ref="I3439">_xlfn.IFS(G3439&lt;3, "0–2 Years", G3439&lt;6, "3–5 Years", G3439&lt;9, "6–8 Years", G3439&lt;12, "9-11 Years", G3439&gt;=12, "12-14 Years")</f>
        <v>3–5 Years</v>
      </c>
      <c r="J3439">
        <v>3</v>
      </c>
      <c r="K3439" t="s">
        <v>20</v>
      </c>
      <c r="L3439">
        <v>92300</v>
      </c>
      <c r="M3439">
        <v>16300</v>
      </c>
      <c r="N3439">
        <v>108600</v>
      </c>
      <c r="O3439" t="s">
        <v>30</v>
      </c>
      <c r="P3439" s="3">
        <v>44080</v>
      </c>
      <c r="Q3439" t="s">
        <v>62</v>
      </c>
    </row>
    <row r="3440" spans="1:17" x14ac:dyDescent="0.35">
      <c r="A3440" t="s">
        <v>3492</v>
      </c>
      <c r="B3440" t="s">
        <v>23</v>
      </c>
      <c r="C3440" s="7">
        <v>38</v>
      </c>
      <c r="D3440" t="s">
        <v>34</v>
      </c>
      <c r="E3440" t="s">
        <v>47</v>
      </c>
      <c r="F3440" t="s">
        <v>19</v>
      </c>
      <c r="G3440" s="9">
        <v>13.5</v>
      </c>
      <c r="H3440" s="7">
        <v>10</v>
      </c>
      <c r="I3440" t="str" cm="1">
        <f t="array" ref="I3440">_xlfn.IFS(G3440&lt;3, "0–2 Years", G3440&lt;6, "3–5 Years", G3440&lt;9, "6–8 Years", G3440&lt;12, "9-11 Years", G3440&gt;=12, "12-14 Years")</f>
        <v>12-14 Years</v>
      </c>
      <c r="J3440" s="7">
        <v>1</v>
      </c>
      <c r="K3440" t="s">
        <v>20</v>
      </c>
      <c r="L3440" s="7">
        <v>76900</v>
      </c>
      <c r="M3440" s="7">
        <v>8800</v>
      </c>
      <c r="N3440" s="7">
        <v>85700</v>
      </c>
      <c r="O3440" t="s">
        <v>21</v>
      </c>
      <c r="P3440" s="3">
        <v>41095</v>
      </c>
      <c r="Q3440" t="s">
        <v>19</v>
      </c>
    </row>
    <row r="3441" spans="1:17" x14ac:dyDescent="0.35">
      <c r="A3441" t="s">
        <v>3493</v>
      </c>
      <c r="B3441" t="s">
        <v>23</v>
      </c>
      <c r="C3441">
        <v>33</v>
      </c>
      <c r="D3441" t="s">
        <v>38</v>
      </c>
      <c r="E3441" t="s">
        <v>61</v>
      </c>
      <c r="F3441" t="s">
        <v>28</v>
      </c>
      <c r="G3441">
        <v>11.7</v>
      </c>
      <c r="H3441">
        <v>7.8</v>
      </c>
      <c r="I3441" t="str" cm="1">
        <f t="array" ref="I3441">_xlfn.IFS(G3441&lt;3, "0–2 Years", G3441&lt;6, "3–5 Years", G3441&lt;9, "6–8 Years", G3441&lt;12, "9-11 Years", G3441&gt;=12, "12-14 Years")</f>
        <v>9-11 Years</v>
      </c>
      <c r="J3441">
        <v>3</v>
      </c>
      <c r="K3441" t="s">
        <v>20</v>
      </c>
      <c r="L3441">
        <v>108500</v>
      </c>
      <c r="M3441">
        <v>8400</v>
      </c>
      <c r="N3441">
        <v>116900</v>
      </c>
      <c r="O3441" t="s">
        <v>57</v>
      </c>
      <c r="P3441" s="3">
        <v>41756</v>
      </c>
      <c r="Q3441" t="s">
        <v>28</v>
      </c>
    </row>
    <row r="3442" spans="1:17" x14ac:dyDescent="0.35">
      <c r="A3442" t="s">
        <v>3494</v>
      </c>
      <c r="B3442" t="s">
        <v>23</v>
      </c>
      <c r="C3442">
        <v>33</v>
      </c>
      <c r="D3442" t="s">
        <v>55</v>
      </c>
      <c r="E3442" t="s">
        <v>79</v>
      </c>
      <c r="F3442" t="s">
        <v>36</v>
      </c>
      <c r="G3442">
        <v>10.5</v>
      </c>
      <c r="H3442">
        <v>6.3</v>
      </c>
      <c r="I3442" t="str" cm="1">
        <f t="array" ref="I3442">_xlfn.IFS(G3442&lt;3, "0–2 Years", G3442&lt;6, "3–5 Years", G3442&lt;9, "6–8 Years", G3442&lt;12, "9-11 Years", G3442&gt;=12, "12-14 Years")</f>
        <v>9-11 Years</v>
      </c>
      <c r="J3442">
        <v>3</v>
      </c>
      <c r="K3442" t="s">
        <v>20</v>
      </c>
      <c r="L3442">
        <v>83100</v>
      </c>
      <c r="M3442">
        <v>8100</v>
      </c>
      <c r="N3442">
        <v>91200</v>
      </c>
      <c r="O3442" t="s">
        <v>30</v>
      </c>
      <c r="P3442" s="3">
        <v>42192</v>
      </c>
      <c r="Q3442" t="s">
        <v>36</v>
      </c>
    </row>
    <row r="3443" spans="1:17" x14ac:dyDescent="0.35">
      <c r="A3443" t="s">
        <v>3495</v>
      </c>
      <c r="B3443" t="s">
        <v>23</v>
      </c>
      <c r="C3443">
        <v>39</v>
      </c>
      <c r="D3443" t="s">
        <v>41</v>
      </c>
      <c r="E3443" t="s">
        <v>73</v>
      </c>
      <c r="F3443" t="s">
        <v>28</v>
      </c>
      <c r="G3443">
        <v>10.1</v>
      </c>
      <c r="H3443">
        <v>7.2</v>
      </c>
      <c r="I3443" t="str" cm="1">
        <f t="array" ref="I3443">_xlfn.IFS(G3443&lt;3, "0–2 Years", G3443&lt;6, "3–5 Years", G3443&lt;9, "6–8 Years", G3443&lt;12, "9-11 Years", G3443&gt;=12, "12-14 Years")</f>
        <v>9-11 Years</v>
      </c>
      <c r="J3443">
        <v>2</v>
      </c>
      <c r="K3443" t="s">
        <v>20</v>
      </c>
      <c r="L3443">
        <v>100700</v>
      </c>
      <c r="M3443">
        <v>6200</v>
      </c>
      <c r="N3443">
        <v>106900</v>
      </c>
      <c r="O3443" t="s">
        <v>57</v>
      </c>
      <c r="P3443" s="3">
        <v>42321</v>
      </c>
      <c r="Q3443" t="s">
        <v>28</v>
      </c>
    </row>
    <row r="3444" spans="1:17" x14ac:dyDescent="0.35">
      <c r="A3444" t="s">
        <v>3496</v>
      </c>
      <c r="B3444" t="s">
        <v>23</v>
      </c>
      <c r="C3444">
        <v>44</v>
      </c>
      <c r="D3444" t="s">
        <v>34</v>
      </c>
      <c r="E3444" t="s">
        <v>59</v>
      </c>
      <c r="F3444" t="s">
        <v>36</v>
      </c>
      <c r="G3444">
        <v>4.0999999999999996</v>
      </c>
      <c r="H3444">
        <v>1.8</v>
      </c>
      <c r="I3444" t="str" cm="1">
        <f t="array" ref="I3444">_xlfn.IFS(G3444&lt;3, "0–2 Years", G3444&lt;6, "3–5 Years", G3444&lt;9, "6–8 Years", G3444&lt;12, "9-11 Years", G3444&gt;=12, "12-14 Years")</f>
        <v>3–5 Years</v>
      </c>
      <c r="J3444">
        <v>5</v>
      </c>
      <c r="K3444" t="s">
        <v>69</v>
      </c>
      <c r="L3444">
        <v>90700</v>
      </c>
      <c r="M3444">
        <v>7000</v>
      </c>
      <c r="N3444">
        <v>97700</v>
      </c>
      <c r="O3444" t="s">
        <v>30</v>
      </c>
      <c r="P3444" s="3">
        <v>44532</v>
      </c>
      <c r="Q3444" t="s">
        <v>36</v>
      </c>
    </row>
    <row r="3445" spans="1:17" x14ac:dyDescent="0.35">
      <c r="A3445" t="s">
        <v>3497</v>
      </c>
      <c r="B3445" t="s">
        <v>23</v>
      </c>
      <c r="C3445">
        <v>24</v>
      </c>
      <c r="D3445" t="s">
        <v>55</v>
      </c>
      <c r="E3445" t="s">
        <v>56</v>
      </c>
      <c r="F3445" t="s">
        <v>28</v>
      </c>
      <c r="G3445">
        <v>9.8000000000000007</v>
      </c>
      <c r="H3445">
        <v>6.9</v>
      </c>
      <c r="I3445" t="str" cm="1">
        <f t="array" ref="I3445">_xlfn.IFS(G3445&lt;3, "0–2 Years", G3445&lt;6, "3–5 Years", G3445&lt;9, "6–8 Years", G3445&lt;12, "9-11 Years", G3445&gt;=12, "12-14 Years")</f>
        <v>9-11 Years</v>
      </c>
      <c r="J3445">
        <v>2</v>
      </c>
      <c r="K3445" t="s">
        <v>20</v>
      </c>
      <c r="L3445">
        <v>116500</v>
      </c>
      <c r="M3445">
        <v>13000</v>
      </c>
      <c r="N3445">
        <v>129500</v>
      </c>
      <c r="O3445" t="s">
        <v>57</v>
      </c>
      <c r="P3445" s="3">
        <v>42426</v>
      </c>
      <c r="Q3445" t="s">
        <v>28</v>
      </c>
    </row>
    <row r="3446" spans="1:17" x14ac:dyDescent="0.35">
      <c r="A3446" t="s">
        <v>3498</v>
      </c>
      <c r="B3446" t="s">
        <v>16</v>
      </c>
      <c r="C3446">
        <v>21</v>
      </c>
      <c r="D3446" t="s">
        <v>38</v>
      </c>
      <c r="E3446" t="s">
        <v>39</v>
      </c>
      <c r="F3446" t="s">
        <v>19</v>
      </c>
      <c r="G3446">
        <v>6.3</v>
      </c>
      <c r="H3446">
        <v>5.3</v>
      </c>
      <c r="I3446" t="str" cm="1">
        <f t="array" ref="I3446">_xlfn.IFS(G3446&lt;3, "0–2 Years", G3446&lt;6, "3–5 Years", G3446&lt;9, "6–8 Years", G3446&lt;12, "9-11 Years", G3446&gt;=12, "12-14 Years")</f>
        <v>6–8 Years</v>
      </c>
      <c r="J3446">
        <v>5</v>
      </c>
      <c r="K3446" t="s">
        <v>69</v>
      </c>
      <c r="L3446">
        <v>63600</v>
      </c>
      <c r="M3446">
        <v>4000</v>
      </c>
      <c r="N3446">
        <v>67600</v>
      </c>
      <c r="O3446" t="s">
        <v>25</v>
      </c>
      <c r="P3446" s="3">
        <v>43735</v>
      </c>
      <c r="Q3446" t="s">
        <v>19</v>
      </c>
    </row>
    <row r="3447" spans="1:17" x14ac:dyDescent="0.35">
      <c r="A3447" t="s">
        <v>3499</v>
      </c>
      <c r="B3447" t="s">
        <v>16</v>
      </c>
      <c r="C3447" s="7">
        <v>26</v>
      </c>
      <c r="D3447" t="s">
        <v>17</v>
      </c>
      <c r="E3447" t="s">
        <v>32</v>
      </c>
      <c r="F3447" t="s">
        <v>28</v>
      </c>
      <c r="G3447" s="9">
        <v>13.2</v>
      </c>
      <c r="H3447" s="7">
        <v>7.5</v>
      </c>
      <c r="I3447" t="str" cm="1">
        <f t="array" ref="I3447">_xlfn.IFS(G3447&lt;3, "0–2 Years", G3447&lt;6, "3–5 Years", G3447&lt;9, "6–8 Years", G3447&lt;12, "9-11 Years", G3447&gt;=12, "12-14 Years")</f>
        <v>12-14 Years</v>
      </c>
      <c r="J3447" s="7">
        <v>3</v>
      </c>
      <c r="K3447" t="s">
        <v>69</v>
      </c>
      <c r="L3447" s="7">
        <v>62000</v>
      </c>
      <c r="M3447" s="7">
        <v>4800</v>
      </c>
      <c r="N3447" s="7">
        <v>66800</v>
      </c>
      <c r="O3447" t="s">
        <v>25</v>
      </c>
      <c r="P3447" s="3">
        <v>41205</v>
      </c>
      <c r="Q3447" t="s">
        <v>28</v>
      </c>
    </row>
    <row r="3448" spans="1:17" x14ac:dyDescent="0.35">
      <c r="A3448" t="s">
        <v>3500</v>
      </c>
      <c r="B3448" t="s">
        <v>23</v>
      </c>
      <c r="C3448">
        <v>32</v>
      </c>
      <c r="D3448" t="s">
        <v>34</v>
      </c>
      <c r="E3448" t="s">
        <v>47</v>
      </c>
      <c r="F3448" t="s">
        <v>36</v>
      </c>
      <c r="G3448">
        <v>8.1</v>
      </c>
      <c r="H3448">
        <v>4.7</v>
      </c>
      <c r="I3448" t="str" cm="1">
        <f t="array" ref="I3448">_xlfn.IFS(G3448&lt;3, "0–2 Years", G3448&lt;6, "3–5 Years", G3448&lt;9, "6–8 Years", G3448&lt;12, "9-11 Years", G3448&gt;=12, "12-14 Years")</f>
        <v>6–8 Years</v>
      </c>
      <c r="J3448">
        <v>4</v>
      </c>
      <c r="K3448" t="s">
        <v>20</v>
      </c>
      <c r="L3448">
        <v>95700</v>
      </c>
      <c r="M3448">
        <v>7100</v>
      </c>
      <c r="N3448">
        <v>102800</v>
      </c>
      <c r="O3448" t="s">
        <v>30</v>
      </c>
      <c r="P3448" s="3">
        <v>43082</v>
      </c>
      <c r="Q3448" t="s">
        <v>36</v>
      </c>
    </row>
    <row r="3449" spans="1:17" x14ac:dyDescent="0.35">
      <c r="A3449" t="s">
        <v>3501</v>
      </c>
      <c r="B3449" t="s">
        <v>16</v>
      </c>
      <c r="C3449">
        <v>38</v>
      </c>
      <c r="D3449" t="s">
        <v>44</v>
      </c>
      <c r="E3449" t="s">
        <v>51</v>
      </c>
      <c r="F3449" t="s">
        <v>28</v>
      </c>
      <c r="G3449">
        <v>7.9</v>
      </c>
      <c r="H3449">
        <v>7.7</v>
      </c>
      <c r="I3449" t="str" cm="1">
        <f t="array" ref="I3449">_xlfn.IFS(G3449&lt;3, "0–2 Years", G3449&lt;6, "3–5 Years", G3449&lt;9, "6–8 Years", G3449&lt;12, "9-11 Years", G3449&gt;=12, "12-14 Years")</f>
        <v>6–8 Years</v>
      </c>
      <c r="J3449">
        <v>4</v>
      </c>
      <c r="K3449" t="s">
        <v>20</v>
      </c>
      <c r="L3449">
        <v>74700</v>
      </c>
      <c r="M3449">
        <v>8800</v>
      </c>
      <c r="N3449">
        <v>83500</v>
      </c>
      <c r="O3449" t="s">
        <v>21</v>
      </c>
      <c r="P3449" s="3">
        <v>43127</v>
      </c>
      <c r="Q3449" t="s">
        <v>28</v>
      </c>
    </row>
    <row r="3450" spans="1:17" x14ac:dyDescent="0.35">
      <c r="A3450" t="s">
        <v>3502</v>
      </c>
      <c r="B3450" t="s">
        <v>23</v>
      </c>
      <c r="C3450" s="7">
        <v>29</v>
      </c>
      <c r="D3450" t="s">
        <v>55</v>
      </c>
      <c r="E3450" t="s">
        <v>56</v>
      </c>
      <c r="F3450" t="s">
        <v>19</v>
      </c>
      <c r="G3450" s="9">
        <v>13.2</v>
      </c>
      <c r="H3450" s="7">
        <v>9</v>
      </c>
      <c r="I3450" t="str" cm="1">
        <f t="array" ref="I3450">_xlfn.IFS(G3450&lt;3, "0–2 Years", G3450&lt;6, "3–5 Years", G3450&lt;9, "6–8 Years", G3450&lt;12, "9-11 Years", G3450&gt;=12, "12-14 Years")</f>
        <v>12-14 Years</v>
      </c>
      <c r="J3450" s="7">
        <v>3</v>
      </c>
      <c r="K3450" t="s">
        <v>20</v>
      </c>
      <c r="L3450" s="7">
        <v>107000</v>
      </c>
      <c r="M3450" s="7">
        <v>9800</v>
      </c>
      <c r="N3450" s="7">
        <v>116800</v>
      </c>
      <c r="O3450" t="s">
        <v>57</v>
      </c>
      <c r="P3450" s="3">
        <v>41202</v>
      </c>
      <c r="Q3450" t="s">
        <v>19</v>
      </c>
    </row>
    <row r="3451" spans="1:17" x14ac:dyDescent="0.35">
      <c r="A3451" t="s">
        <v>3503</v>
      </c>
      <c r="B3451" t="s">
        <v>16</v>
      </c>
      <c r="C3451">
        <v>43</v>
      </c>
      <c r="D3451" t="s">
        <v>17</v>
      </c>
      <c r="E3451" t="s">
        <v>32</v>
      </c>
      <c r="F3451" t="s">
        <v>36</v>
      </c>
      <c r="G3451">
        <v>6.1</v>
      </c>
      <c r="H3451">
        <v>4.9000000000000004</v>
      </c>
      <c r="I3451" t="str" cm="1">
        <f t="array" ref="I3451">_xlfn.IFS(G3451&lt;3, "0–2 Years", G3451&lt;6, "3–5 Years", G3451&lt;9, "6–8 Years", G3451&lt;12, "9-11 Years", G3451&gt;=12, "12-14 Years")</f>
        <v>6–8 Years</v>
      </c>
      <c r="J3451">
        <v>4</v>
      </c>
      <c r="K3451" t="s">
        <v>24</v>
      </c>
      <c r="L3451">
        <v>42900</v>
      </c>
      <c r="M3451">
        <v>2900</v>
      </c>
      <c r="N3451">
        <v>45800</v>
      </c>
      <c r="O3451" t="s">
        <v>65</v>
      </c>
      <c r="P3451" s="3">
        <v>43788</v>
      </c>
      <c r="Q3451" t="s">
        <v>36</v>
      </c>
    </row>
    <row r="3452" spans="1:17" x14ac:dyDescent="0.35">
      <c r="A3452" t="s">
        <v>3504</v>
      </c>
      <c r="B3452" t="s">
        <v>23</v>
      </c>
      <c r="C3452">
        <v>21</v>
      </c>
      <c r="D3452" t="s">
        <v>55</v>
      </c>
      <c r="E3452" t="s">
        <v>79</v>
      </c>
      <c r="F3452" t="s">
        <v>19</v>
      </c>
      <c r="G3452">
        <v>9</v>
      </c>
      <c r="H3452">
        <v>6</v>
      </c>
      <c r="I3452" t="str" cm="1">
        <f t="array" ref="I3452">_xlfn.IFS(G3452&lt;3, "0–2 Years", G3452&lt;6, "3–5 Years", G3452&lt;9, "6–8 Years", G3452&lt;12, "9-11 Years", G3452&gt;=12, "12-14 Years")</f>
        <v>9-11 Years</v>
      </c>
      <c r="J3452">
        <v>3</v>
      </c>
      <c r="K3452" t="s">
        <v>20</v>
      </c>
      <c r="L3452">
        <v>55500</v>
      </c>
      <c r="M3452">
        <v>4200</v>
      </c>
      <c r="N3452">
        <v>59700</v>
      </c>
      <c r="O3452" t="s">
        <v>25</v>
      </c>
      <c r="P3452" s="3">
        <v>42724</v>
      </c>
      <c r="Q3452" t="s">
        <v>19</v>
      </c>
    </row>
    <row r="3453" spans="1:17" x14ac:dyDescent="0.35">
      <c r="A3453" t="s">
        <v>3505</v>
      </c>
      <c r="B3453" t="s">
        <v>23</v>
      </c>
      <c r="C3453">
        <v>22</v>
      </c>
      <c r="D3453" t="s">
        <v>38</v>
      </c>
      <c r="E3453" t="s">
        <v>39</v>
      </c>
      <c r="F3453" t="s">
        <v>36</v>
      </c>
      <c r="G3453">
        <v>6.5</v>
      </c>
      <c r="H3453">
        <v>2.7</v>
      </c>
      <c r="I3453" t="str" cm="1">
        <f t="array" ref="I3453">_xlfn.IFS(G3453&lt;3, "0–2 Years", G3453&lt;6, "3–5 Years", G3453&lt;9, "6–8 Years", G3453&lt;12, "9-11 Years", G3453&gt;=12, "12-14 Years")</f>
        <v>6–8 Years</v>
      </c>
      <c r="J3453">
        <v>3</v>
      </c>
      <c r="K3453" t="s">
        <v>20</v>
      </c>
      <c r="L3453">
        <v>81300</v>
      </c>
      <c r="M3453">
        <v>6400</v>
      </c>
      <c r="N3453">
        <v>87700</v>
      </c>
      <c r="O3453" t="s">
        <v>30</v>
      </c>
      <c r="P3453" s="3">
        <v>43656</v>
      </c>
      <c r="Q3453" t="s">
        <v>36</v>
      </c>
    </row>
    <row r="3454" spans="1:17" x14ac:dyDescent="0.35">
      <c r="A3454" t="s">
        <v>3506</v>
      </c>
      <c r="B3454" t="s">
        <v>16</v>
      </c>
      <c r="C3454">
        <v>30</v>
      </c>
      <c r="D3454" t="s">
        <v>34</v>
      </c>
      <c r="E3454" t="s">
        <v>59</v>
      </c>
      <c r="F3454" t="s">
        <v>28</v>
      </c>
      <c r="G3454">
        <v>3.1</v>
      </c>
      <c r="H3454">
        <v>1.6</v>
      </c>
      <c r="I3454" t="str" cm="1">
        <f t="array" ref="I3454">_xlfn.IFS(G3454&lt;3, "0–2 Years", G3454&lt;6, "3–5 Years", G3454&lt;9, "6–8 Years", G3454&lt;12, "9-11 Years", G3454&gt;=12, "12-14 Years")</f>
        <v>3–5 Years</v>
      </c>
      <c r="J3454">
        <v>5</v>
      </c>
      <c r="K3454" t="s">
        <v>20</v>
      </c>
      <c r="L3454">
        <v>110200</v>
      </c>
      <c r="M3454">
        <v>13100</v>
      </c>
      <c r="N3454">
        <v>123300</v>
      </c>
      <c r="O3454" t="s">
        <v>57</v>
      </c>
      <c r="P3454" s="3">
        <v>44873</v>
      </c>
      <c r="Q3454" t="s">
        <v>28</v>
      </c>
    </row>
    <row r="3455" spans="1:17" x14ac:dyDescent="0.35">
      <c r="A3455" t="s">
        <v>3507</v>
      </c>
      <c r="B3455" t="s">
        <v>23</v>
      </c>
      <c r="C3455">
        <v>38</v>
      </c>
      <c r="D3455" t="s">
        <v>44</v>
      </c>
      <c r="E3455" t="s">
        <v>45</v>
      </c>
      <c r="F3455" t="s">
        <v>36</v>
      </c>
      <c r="G3455">
        <v>5.5</v>
      </c>
      <c r="H3455">
        <v>5.2</v>
      </c>
      <c r="I3455" t="str" cm="1">
        <f t="array" ref="I3455">_xlfn.IFS(G3455&lt;3, "0–2 Years", G3455&lt;6, "3–5 Years", G3455&lt;9, "6–8 Years", G3455&lt;12, "9-11 Years", G3455&gt;=12, "12-14 Years")</f>
        <v>3–5 Years</v>
      </c>
      <c r="J3455">
        <v>3</v>
      </c>
      <c r="K3455" t="s">
        <v>20</v>
      </c>
      <c r="L3455">
        <v>78800</v>
      </c>
      <c r="M3455">
        <v>8400</v>
      </c>
      <c r="N3455">
        <v>87200</v>
      </c>
      <c r="O3455" t="s">
        <v>21</v>
      </c>
      <c r="P3455" s="3">
        <v>44030</v>
      </c>
      <c r="Q3455" t="s">
        <v>36</v>
      </c>
    </row>
    <row r="3456" spans="1:17" x14ac:dyDescent="0.35">
      <c r="A3456" t="s">
        <v>3508</v>
      </c>
      <c r="B3456" t="s">
        <v>23</v>
      </c>
      <c r="C3456">
        <v>38</v>
      </c>
      <c r="D3456" t="s">
        <v>55</v>
      </c>
      <c r="E3456" t="s">
        <v>79</v>
      </c>
      <c r="F3456" t="s">
        <v>19</v>
      </c>
      <c r="G3456">
        <v>7.5</v>
      </c>
      <c r="H3456">
        <v>5.4</v>
      </c>
      <c r="I3456" t="str" cm="1">
        <f t="array" ref="I3456">_xlfn.IFS(G3456&lt;3, "0–2 Years", G3456&lt;6, "3–5 Years", G3456&lt;9, "6–8 Years", G3456&lt;12, "9-11 Years", G3456&gt;=12, "12-14 Years")</f>
        <v>6–8 Years</v>
      </c>
      <c r="J3456">
        <v>3</v>
      </c>
      <c r="K3456" t="s">
        <v>20</v>
      </c>
      <c r="L3456">
        <v>61000</v>
      </c>
      <c r="M3456">
        <v>12500</v>
      </c>
      <c r="N3456">
        <v>73500</v>
      </c>
      <c r="O3456" t="s">
        <v>25</v>
      </c>
      <c r="P3456" s="3">
        <v>43301</v>
      </c>
      <c r="Q3456" t="s">
        <v>19</v>
      </c>
    </row>
    <row r="3457" spans="1:17" x14ac:dyDescent="0.35">
      <c r="A3457" t="s">
        <v>3509</v>
      </c>
      <c r="B3457" t="s">
        <v>23</v>
      </c>
      <c r="C3457">
        <v>41</v>
      </c>
      <c r="D3457" t="s">
        <v>17</v>
      </c>
      <c r="E3457" t="s">
        <v>32</v>
      </c>
      <c r="F3457" t="s">
        <v>36</v>
      </c>
      <c r="G3457">
        <v>9.5</v>
      </c>
      <c r="H3457">
        <v>5.8</v>
      </c>
      <c r="I3457" t="str" cm="1">
        <f t="array" ref="I3457">_xlfn.IFS(G3457&lt;3, "0–2 Years", G3457&lt;6, "3–5 Years", G3457&lt;9, "6–8 Years", G3457&lt;12, "9-11 Years", G3457&gt;=12, "12-14 Years")</f>
        <v>9-11 Years</v>
      </c>
      <c r="J3457">
        <v>3</v>
      </c>
      <c r="K3457" t="s">
        <v>20</v>
      </c>
      <c r="L3457">
        <v>81200</v>
      </c>
      <c r="M3457">
        <v>10400</v>
      </c>
      <c r="N3457">
        <v>91600</v>
      </c>
      <c r="O3457" t="s">
        <v>30</v>
      </c>
      <c r="P3457" s="3">
        <v>42543</v>
      </c>
      <c r="Q3457" t="s">
        <v>36</v>
      </c>
    </row>
    <row r="3458" spans="1:17" x14ac:dyDescent="0.35">
      <c r="A3458" t="s">
        <v>3510</v>
      </c>
      <c r="B3458" t="s">
        <v>23</v>
      </c>
      <c r="C3458">
        <v>35</v>
      </c>
      <c r="D3458" t="s">
        <v>34</v>
      </c>
      <c r="E3458" t="s">
        <v>35</v>
      </c>
      <c r="F3458" t="s">
        <v>36</v>
      </c>
      <c r="G3458">
        <v>7.8</v>
      </c>
      <c r="H3458">
        <v>4</v>
      </c>
      <c r="I3458" t="str" cm="1">
        <f t="array" ref="I3458">_xlfn.IFS(G3458&lt;3, "0–2 Years", G3458&lt;6, "3–5 Years", G3458&lt;9, "6–8 Years", G3458&lt;12, "9-11 Years", G3458&gt;=12, "12-14 Years")</f>
        <v>6–8 Years</v>
      </c>
      <c r="J3458">
        <v>1</v>
      </c>
      <c r="K3458" t="s">
        <v>20</v>
      </c>
      <c r="L3458">
        <v>84300</v>
      </c>
      <c r="M3458">
        <v>7100</v>
      </c>
      <c r="N3458">
        <v>91400</v>
      </c>
      <c r="O3458" t="s">
        <v>30</v>
      </c>
      <c r="P3458" s="3">
        <v>43177</v>
      </c>
      <c r="Q3458" t="s">
        <v>36</v>
      </c>
    </row>
    <row r="3459" spans="1:17" x14ac:dyDescent="0.35">
      <c r="A3459" t="s">
        <v>3511</v>
      </c>
      <c r="B3459" t="s">
        <v>23</v>
      </c>
      <c r="C3459">
        <v>50</v>
      </c>
      <c r="D3459" t="s">
        <v>41</v>
      </c>
      <c r="E3459" t="s">
        <v>73</v>
      </c>
      <c r="F3459" t="s">
        <v>28</v>
      </c>
      <c r="G3459">
        <v>5.4</v>
      </c>
      <c r="H3459">
        <v>3.6</v>
      </c>
      <c r="I3459" t="str" cm="1">
        <f t="array" ref="I3459">_xlfn.IFS(G3459&lt;3, "0–2 Years", G3459&lt;6, "3–5 Years", G3459&lt;9, "6–8 Years", G3459&lt;12, "9-11 Years", G3459&gt;=12, "12-14 Years")</f>
        <v>3–5 Years</v>
      </c>
      <c r="J3459">
        <v>3</v>
      </c>
      <c r="K3459" t="s">
        <v>20</v>
      </c>
      <c r="L3459">
        <v>97700</v>
      </c>
      <c r="M3459">
        <v>7600</v>
      </c>
      <c r="N3459">
        <v>105300</v>
      </c>
      <c r="O3459" t="s">
        <v>30</v>
      </c>
      <c r="P3459" s="3">
        <v>44039</v>
      </c>
      <c r="Q3459" t="s">
        <v>28</v>
      </c>
    </row>
    <row r="3460" spans="1:17" x14ac:dyDescent="0.35">
      <c r="A3460" t="s">
        <v>3512</v>
      </c>
      <c r="B3460" t="s">
        <v>16</v>
      </c>
      <c r="C3460">
        <v>35</v>
      </c>
      <c r="D3460" t="s">
        <v>17</v>
      </c>
      <c r="E3460" t="s">
        <v>27</v>
      </c>
      <c r="F3460" t="s">
        <v>28</v>
      </c>
      <c r="G3460">
        <v>11.5</v>
      </c>
      <c r="H3460">
        <v>6.4</v>
      </c>
      <c r="I3460" t="str" cm="1">
        <f t="array" ref="I3460">_xlfn.IFS(G3460&lt;3, "0–2 Years", G3460&lt;6, "3–5 Years", G3460&lt;9, "6–8 Years", G3460&lt;12, "9-11 Years", G3460&gt;=12, "12-14 Years")</f>
        <v>9-11 Years</v>
      </c>
      <c r="J3460">
        <v>2</v>
      </c>
      <c r="K3460" t="s">
        <v>20</v>
      </c>
      <c r="L3460">
        <v>77800</v>
      </c>
      <c r="M3460">
        <v>10100</v>
      </c>
      <c r="N3460">
        <v>87900</v>
      </c>
      <c r="O3460" t="s">
        <v>21</v>
      </c>
      <c r="P3460" s="3">
        <v>41831</v>
      </c>
      <c r="Q3460" t="s">
        <v>28</v>
      </c>
    </row>
    <row r="3461" spans="1:17" x14ac:dyDescent="0.35">
      <c r="A3461" t="s">
        <v>3513</v>
      </c>
      <c r="B3461" t="s">
        <v>16</v>
      </c>
      <c r="C3461">
        <v>34</v>
      </c>
      <c r="D3461" t="s">
        <v>55</v>
      </c>
      <c r="E3461" t="s">
        <v>92</v>
      </c>
      <c r="F3461" t="s">
        <v>28</v>
      </c>
      <c r="G3461">
        <v>2.4</v>
      </c>
      <c r="H3461">
        <v>0.7</v>
      </c>
      <c r="I3461" t="str" cm="1">
        <f t="array" ref="I3461">_xlfn.IFS(G3461&lt;3, "0–2 Years", G3461&lt;6, "3–5 Years", G3461&lt;9, "6–8 Years", G3461&lt;12, "9-11 Years", G3461&gt;=12, "12-14 Years")</f>
        <v>0–2 Years</v>
      </c>
      <c r="J3461">
        <v>3</v>
      </c>
      <c r="K3461" t="s">
        <v>69</v>
      </c>
      <c r="L3461">
        <v>77700</v>
      </c>
      <c r="M3461">
        <v>6200</v>
      </c>
      <c r="N3461">
        <v>83900</v>
      </c>
      <c r="O3461" t="s">
        <v>21</v>
      </c>
      <c r="P3461" s="3">
        <v>45151</v>
      </c>
      <c r="Q3461" t="s">
        <v>28</v>
      </c>
    </row>
    <row r="3462" spans="1:17" x14ac:dyDescent="0.35">
      <c r="A3462" t="s">
        <v>3514</v>
      </c>
      <c r="B3462" t="s">
        <v>16</v>
      </c>
      <c r="C3462">
        <v>32</v>
      </c>
      <c r="D3462" t="s">
        <v>44</v>
      </c>
      <c r="E3462" t="s">
        <v>45</v>
      </c>
      <c r="F3462" t="s">
        <v>28</v>
      </c>
      <c r="G3462">
        <v>10.7</v>
      </c>
      <c r="H3462">
        <v>6.5</v>
      </c>
      <c r="I3462" t="str" cm="1">
        <f t="array" ref="I3462">_xlfn.IFS(G3462&lt;3, "0–2 Years", G3462&lt;6, "3–5 Years", G3462&lt;9, "6–8 Years", G3462&lt;12, "9-11 Years", G3462&gt;=12, "12-14 Years")</f>
        <v>9-11 Years</v>
      </c>
      <c r="J3462">
        <v>2</v>
      </c>
      <c r="K3462" t="s">
        <v>20</v>
      </c>
      <c r="L3462">
        <v>78900</v>
      </c>
      <c r="M3462">
        <v>11500</v>
      </c>
      <c r="N3462">
        <v>90400</v>
      </c>
      <c r="O3462" t="s">
        <v>21</v>
      </c>
      <c r="P3462" s="3">
        <v>42104</v>
      </c>
      <c r="Q3462" t="s">
        <v>28</v>
      </c>
    </row>
    <row r="3463" spans="1:17" x14ac:dyDescent="0.35">
      <c r="A3463" t="s">
        <v>3515</v>
      </c>
      <c r="B3463" t="s">
        <v>16</v>
      </c>
      <c r="C3463">
        <v>54</v>
      </c>
      <c r="D3463" t="s">
        <v>55</v>
      </c>
      <c r="E3463" t="s">
        <v>56</v>
      </c>
      <c r="F3463" t="s">
        <v>28</v>
      </c>
      <c r="G3463">
        <v>8.1999999999999993</v>
      </c>
      <c r="H3463">
        <v>5.2</v>
      </c>
      <c r="I3463" t="str" cm="1">
        <f t="array" ref="I3463">_xlfn.IFS(G3463&lt;3, "0–2 Years", G3463&lt;6, "3–5 Years", G3463&lt;9, "6–8 Years", G3463&lt;12, "9-11 Years", G3463&gt;=12, "12-14 Years")</f>
        <v>6–8 Years</v>
      </c>
      <c r="J3463">
        <v>3</v>
      </c>
      <c r="K3463" t="s">
        <v>69</v>
      </c>
      <c r="L3463">
        <v>78800</v>
      </c>
      <c r="M3463">
        <v>14700</v>
      </c>
      <c r="N3463">
        <v>93500</v>
      </c>
      <c r="O3463" t="s">
        <v>21</v>
      </c>
      <c r="P3463" s="3">
        <v>43013</v>
      </c>
      <c r="Q3463" t="s">
        <v>28</v>
      </c>
    </row>
    <row r="3464" spans="1:17" x14ac:dyDescent="0.35">
      <c r="A3464" t="s">
        <v>3516</v>
      </c>
      <c r="B3464" t="s">
        <v>16</v>
      </c>
      <c r="C3464">
        <v>41</v>
      </c>
      <c r="D3464" t="s">
        <v>38</v>
      </c>
      <c r="E3464" t="s">
        <v>112</v>
      </c>
      <c r="F3464" t="s">
        <v>28</v>
      </c>
      <c r="G3464">
        <v>1.7</v>
      </c>
      <c r="H3464">
        <v>0</v>
      </c>
      <c r="I3464" t="str" cm="1">
        <f t="array" ref="I3464">_xlfn.IFS(G3464&lt;3, "0–2 Years", G3464&lt;6, "3–5 Years", G3464&lt;9, "6–8 Years", G3464&lt;12, "9-11 Years", G3464&gt;=12, "12-14 Years")</f>
        <v>0–2 Years</v>
      </c>
      <c r="J3464">
        <v>3</v>
      </c>
      <c r="K3464" t="s">
        <v>20</v>
      </c>
      <c r="L3464">
        <v>61100</v>
      </c>
      <c r="M3464">
        <v>3200</v>
      </c>
      <c r="N3464">
        <v>64300</v>
      </c>
      <c r="O3464" t="s">
        <v>25</v>
      </c>
      <c r="P3464" s="3">
        <v>45394</v>
      </c>
      <c r="Q3464" t="s">
        <v>28</v>
      </c>
    </row>
    <row r="3465" spans="1:17" x14ac:dyDescent="0.35">
      <c r="A3465" t="s">
        <v>3517</v>
      </c>
      <c r="B3465" t="s">
        <v>23</v>
      </c>
      <c r="C3465" s="7">
        <v>24</v>
      </c>
      <c r="D3465" t="s">
        <v>41</v>
      </c>
      <c r="E3465" t="s">
        <v>67</v>
      </c>
      <c r="F3465" t="s">
        <v>19</v>
      </c>
      <c r="G3465" s="9">
        <v>13.4</v>
      </c>
      <c r="H3465" s="7">
        <v>9.3000000000000007</v>
      </c>
      <c r="I3465" t="str" cm="1">
        <f t="array" ref="I3465">_xlfn.IFS(G3465&lt;3, "0–2 Years", G3465&lt;6, "3–5 Years", G3465&lt;9, "6–8 Years", G3465&lt;12, "9-11 Years", G3465&gt;=12, "12-14 Years")</f>
        <v>12-14 Years</v>
      </c>
      <c r="J3465" s="7">
        <v>3</v>
      </c>
      <c r="K3465" t="s">
        <v>24</v>
      </c>
      <c r="L3465" s="7">
        <v>47700</v>
      </c>
      <c r="M3465" s="7">
        <v>1800</v>
      </c>
      <c r="N3465" s="7">
        <v>49500</v>
      </c>
      <c r="O3465" t="s">
        <v>65</v>
      </c>
      <c r="P3465" s="3">
        <v>41128</v>
      </c>
      <c r="Q3465" t="s">
        <v>19</v>
      </c>
    </row>
    <row r="3466" spans="1:17" x14ac:dyDescent="0.35">
      <c r="A3466" t="s">
        <v>3518</v>
      </c>
      <c r="B3466" t="s">
        <v>16</v>
      </c>
      <c r="C3466">
        <v>36</v>
      </c>
      <c r="D3466" t="s">
        <v>38</v>
      </c>
      <c r="E3466" t="s">
        <v>112</v>
      </c>
      <c r="F3466" t="s">
        <v>62</v>
      </c>
      <c r="G3466">
        <v>8.9</v>
      </c>
      <c r="H3466">
        <v>4.3</v>
      </c>
      <c r="I3466" t="str" cm="1">
        <f t="array" ref="I3466">_xlfn.IFS(G3466&lt;3, "0–2 Years", G3466&lt;6, "3–5 Years", G3466&lt;9, "6–8 Years", G3466&lt;12, "9-11 Years", G3466&gt;=12, "12-14 Years")</f>
        <v>6–8 Years</v>
      </c>
      <c r="J3466">
        <v>3</v>
      </c>
      <c r="K3466" t="s">
        <v>20</v>
      </c>
      <c r="L3466">
        <v>82400</v>
      </c>
      <c r="M3466">
        <v>8200</v>
      </c>
      <c r="N3466">
        <v>90600</v>
      </c>
      <c r="O3466" t="s">
        <v>30</v>
      </c>
      <c r="P3466" s="3">
        <v>42785</v>
      </c>
      <c r="Q3466" t="s">
        <v>62</v>
      </c>
    </row>
    <row r="3467" spans="1:17" x14ac:dyDescent="0.35">
      <c r="A3467" t="s">
        <v>3519</v>
      </c>
      <c r="B3467" t="s">
        <v>16</v>
      </c>
      <c r="C3467">
        <v>36</v>
      </c>
      <c r="D3467" t="s">
        <v>44</v>
      </c>
      <c r="E3467" t="s">
        <v>45</v>
      </c>
      <c r="F3467" t="s">
        <v>19</v>
      </c>
      <c r="G3467">
        <v>3.8</v>
      </c>
      <c r="H3467">
        <v>0.8</v>
      </c>
      <c r="I3467" t="str" cm="1">
        <f t="array" ref="I3467">_xlfn.IFS(G3467&lt;3, "0–2 Years", G3467&lt;6, "3–5 Years", G3467&lt;9, "6–8 Years", G3467&lt;12, "9-11 Years", G3467&gt;=12, "12-14 Years")</f>
        <v>3–5 Years</v>
      </c>
      <c r="J3467">
        <v>5</v>
      </c>
      <c r="K3467" t="s">
        <v>20</v>
      </c>
      <c r="L3467">
        <v>67900</v>
      </c>
      <c r="M3467">
        <v>7200</v>
      </c>
      <c r="N3467">
        <v>75100</v>
      </c>
      <c r="O3467" t="s">
        <v>21</v>
      </c>
      <c r="P3467" s="3">
        <v>44634</v>
      </c>
      <c r="Q3467" t="s">
        <v>19</v>
      </c>
    </row>
    <row r="3468" spans="1:17" x14ac:dyDescent="0.35">
      <c r="A3468" t="s">
        <v>3520</v>
      </c>
      <c r="B3468" t="s">
        <v>16</v>
      </c>
      <c r="C3468">
        <v>34</v>
      </c>
      <c r="D3468" t="s">
        <v>34</v>
      </c>
      <c r="E3468" t="s">
        <v>35</v>
      </c>
      <c r="F3468" t="s">
        <v>28</v>
      </c>
      <c r="G3468">
        <v>6.2</v>
      </c>
      <c r="H3468">
        <v>1.1000000000000001</v>
      </c>
      <c r="I3468" t="str" cm="1">
        <f t="array" ref="I3468">_xlfn.IFS(G3468&lt;3, "0–2 Years", G3468&lt;6, "3–5 Years", G3468&lt;9, "6–8 Years", G3468&lt;12, "9-11 Years", G3468&gt;=12, "12-14 Years")</f>
        <v>6–8 Years</v>
      </c>
      <c r="J3468">
        <v>2</v>
      </c>
      <c r="K3468" t="s">
        <v>20</v>
      </c>
      <c r="L3468">
        <v>84600</v>
      </c>
      <c r="M3468">
        <v>8800</v>
      </c>
      <c r="N3468">
        <v>93400</v>
      </c>
      <c r="O3468" t="s">
        <v>30</v>
      </c>
      <c r="P3468" s="3">
        <v>43774</v>
      </c>
      <c r="Q3468" t="s">
        <v>28</v>
      </c>
    </row>
    <row r="3469" spans="1:17" x14ac:dyDescent="0.35">
      <c r="A3469" t="s">
        <v>3521</v>
      </c>
      <c r="B3469" t="s">
        <v>16</v>
      </c>
      <c r="C3469" s="7">
        <v>29</v>
      </c>
      <c r="D3469" t="s">
        <v>55</v>
      </c>
      <c r="E3469" t="s">
        <v>92</v>
      </c>
      <c r="F3469" t="s">
        <v>62</v>
      </c>
      <c r="G3469" s="9">
        <v>13</v>
      </c>
      <c r="H3469" s="7">
        <v>9.6</v>
      </c>
      <c r="I3469" t="str" cm="1">
        <f t="array" ref="I3469">_xlfn.IFS(G3469&lt;3, "0–2 Years", G3469&lt;6, "3–5 Years", G3469&lt;9, "6–8 Years", G3469&lt;12, "9-11 Years", G3469&gt;=12, "12-14 Years")</f>
        <v>12-14 Years</v>
      </c>
      <c r="J3469" s="7">
        <v>4</v>
      </c>
      <c r="K3469" t="s">
        <v>24</v>
      </c>
      <c r="L3469" s="7">
        <v>73900</v>
      </c>
      <c r="M3469" s="7">
        <v>8000</v>
      </c>
      <c r="N3469" s="7">
        <v>81900</v>
      </c>
      <c r="O3469" t="s">
        <v>21</v>
      </c>
      <c r="P3469" s="3">
        <v>41285</v>
      </c>
      <c r="Q3469" t="s">
        <v>62</v>
      </c>
    </row>
    <row r="3470" spans="1:17" x14ac:dyDescent="0.35">
      <c r="A3470" t="s">
        <v>3522</v>
      </c>
      <c r="B3470" t="s">
        <v>23</v>
      </c>
      <c r="C3470">
        <v>30</v>
      </c>
      <c r="D3470" t="s">
        <v>34</v>
      </c>
      <c r="E3470" t="s">
        <v>35</v>
      </c>
      <c r="F3470" t="s">
        <v>28</v>
      </c>
      <c r="G3470">
        <v>7.6</v>
      </c>
      <c r="H3470">
        <v>4.5</v>
      </c>
      <c r="I3470" t="str" cm="1">
        <f t="array" ref="I3470">_xlfn.IFS(G3470&lt;3, "0–2 Years", G3470&lt;6, "3–5 Years", G3470&lt;9, "6–8 Years", G3470&lt;12, "9-11 Years", G3470&gt;=12, "12-14 Years")</f>
        <v>6–8 Years</v>
      </c>
      <c r="J3470">
        <v>3</v>
      </c>
      <c r="K3470" t="s">
        <v>20</v>
      </c>
      <c r="L3470">
        <v>72200</v>
      </c>
      <c r="M3470">
        <v>4700</v>
      </c>
      <c r="N3470">
        <v>76900</v>
      </c>
      <c r="O3470" t="s">
        <v>21</v>
      </c>
      <c r="P3470" s="3">
        <v>43234</v>
      </c>
      <c r="Q3470" t="s">
        <v>28</v>
      </c>
    </row>
    <row r="3471" spans="1:17" x14ac:dyDescent="0.35">
      <c r="A3471" t="s">
        <v>3523</v>
      </c>
      <c r="B3471" t="s">
        <v>16</v>
      </c>
      <c r="C3471" s="7">
        <v>44</v>
      </c>
      <c r="D3471" t="s">
        <v>55</v>
      </c>
      <c r="E3471" t="s">
        <v>92</v>
      </c>
      <c r="F3471" t="s">
        <v>28</v>
      </c>
      <c r="G3471" s="9">
        <v>13.7</v>
      </c>
      <c r="H3471" s="7">
        <v>7.4</v>
      </c>
      <c r="I3471" t="str" cm="1">
        <f t="array" ref="I3471">_xlfn.IFS(G3471&lt;3, "0–2 Years", G3471&lt;6, "3–5 Years", G3471&lt;9, "6–8 Years", G3471&lt;12, "9-11 Years", G3471&gt;=12, "12-14 Years")</f>
        <v>12-14 Years</v>
      </c>
      <c r="J3471" s="7">
        <v>3</v>
      </c>
      <c r="K3471" t="s">
        <v>20</v>
      </c>
      <c r="L3471" s="7">
        <v>97200</v>
      </c>
      <c r="M3471" s="7">
        <v>14700</v>
      </c>
      <c r="N3471" s="7">
        <v>111900</v>
      </c>
      <c r="O3471" t="s">
        <v>30</v>
      </c>
      <c r="P3471" s="3">
        <v>41028</v>
      </c>
      <c r="Q3471" t="s">
        <v>28</v>
      </c>
    </row>
    <row r="3472" spans="1:17" x14ac:dyDescent="0.35">
      <c r="A3472" t="s">
        <v>3524</v>
      </c>
      <c r="B3472" t="s">
        <v>16</v>
      </c>
      <c r="C3472" s="7">
        <v>30</v>
      </c>
      <c r="D3472" t="s">
        <v>38</v>
      </c>
      <c r="E3472" t="s">
        <v>61</v>
      </c>
      <c r="F3472" t="s">
        <v>19</v>
      </c>
      <c r="G3472" s="9">
        <v>12.6</v>
      </c>
      <c r="H3472" s="7">
        <v>6</v>
      </c>
      <c r="I3472" t="str" cm="1">
        <f t="array" ref="I3472">_xlfn.IFS(G3472&lt;3, "0–2 Years", G3472&lt;6, "3–5 Years", G3472&lt;9, "6–8 Years", G3472&lt;12, "9-11 Years", G3472&gt;=12, "12-14 Years")</f>
        <v>12-14 Years</v>
      </c>
      <c r="J3472" s="7">
        <v>4</v>
      </c>
      <c r="K3472" t="s">
        <v>20</v>
      </c>
      <c r="L3472" s="7">
        <v>92700</v>
      </c>
      <c r="M3472" s="7">
        <v>7600</v>
      </c>
      <c r="N3472" s="7">
        <v>100300</v>
      </c>
      <c r="O3472" t="s">
        <v>30</v>
      </c>
      <c r="P3472" s="3">
        <v>41436</v>
      </c>
      <c r="Q3472" t="s">
        <v>19</v>
      </c>
    </row>
    <row r="3473" spans="1:17" x14ac:dyDescent="0.35">
      <c r="A3473" t="s">
        <v>3525</v>
      </c>
      <c r="B3473" t="s">
        <v>16</v>
      </c>
      <c r="C3473">
        <v>31</v>
      </c>
      <c r="D3473" t="s">
        <v>55</v>
      </c>
      <c r="E3473" t="s">
        <v>79</v>
      </c>
      <c r="F3473" t="s">
        <v>28</v>
      </c>
      <c r="G3473">
        <v>8.5</v>
      </c>
      <c r="H3473">
        <v>5.4</v>
      </c>
      <c r="I3473" t="str" cm="1">
        <f t="array" ref="I3473">_xlfn.IFS(G3473&lt;3, "0–2 Years", G3473&lt;6, "3–5 Years", G3473&lt;9, "6–8 Years", G3473&lt;12, "9-11 Years", G3473&gt;=12, "12-14 Years")</f>
        <v>6–8 Years</v>
      </c>
      <c r="J3473">
        <v>1</v>
      </c>
      <c r="K3473" t="s">
        <v>20</v>
      </c>
      <c r="L3473">
        <v>63900</v>
      </c>
      <c r="M3473">
        <v>7000</v>
      </c>
      <c r="N3473">
        <v>70900</v>
      </c>
      <c r="O3473" t="s">
        <v>25</v>
      </c>
      <c r="P3473" s="3">
        <v>42927</v>
      </c>
      <c r="Q3473" t="s">
        <v>28</v>
      </c>
    </row>
    <row r="3474" spans="1:17" x14ac:dyDescent="0.35">
      <c r="A3474" t="s">
        <v>3526</v>
      </c>
      <c r="B3474" t="s">
        <v>16</v>
      </c>
      <c r="C3474">
        <v>36</v>
      </c>
      <c r="D3474" t="s">
        <v>44</v>
      </c>
      <c r="E3474" t="s">
        <v>76</v>
      </c>
      <c r="F3474" t="s">
        <v>28</v>
      </c>
      <c r="G3474">
        <v>6.8</v>
      </c>
      <c r="H3474">
        <v>3.8</v>
      </c>
      <c r="I3474" t="str" cm="1">
        <f t="array" ref="I3474">_xlfn.IFS(G3474&lt;3, "0–2 Years", G3474&lt;6, "3–5 Years", G3474&lt;9, "6–8 Years", G3474&lt;12, "9-11 Years", G3474&gt;=12, "12-14 Years")</f>
        <v>6–8 Years</v>
      </c>
      <c r="J3474">
        <v>3</v>
      </c>
      <c r="K3474" t="s">
        <v>20</v>
      </c>
      <c r="L3474">
        <v>125700</v>
      </c>
      <c r="M3474">
        <v>11400</v>
      </c>
      <c r="N3474">
        <v>137100</v>
      </c>
      <c r="O3474" t="s">
        <v>57</v>
      </c>
      <c r="P3474" s="3">
        <v>43539</v>
      </c>
      <c r="Q3474" t="s">
        <v>28</v>
      </c>
    </row>
    <row r="3475" spans="1:17" x14ac:dyDescent="0.35">
      <c r="A3475" t="s">
        <v>3527</v>
      </c>
      <c r="B3475" t="s">
        <v>16</v>
      </c>
      <c r="C3475">
        <v>28</v>
      </c>
      <c r="D3475" t="s">
        <v>41</v>
      </c>
      <c r="E3475" t="s">
        <v>42</v>
      </c>
      <c r="F3475" t="s">
        <v>28</v>
      </c>
      <c r="G3475">
        <v>11.8</v>
      </c>
      <c r="H3475">
        <v>7.4</v>
      </c>
      <c r="I3475" t="str" cm="1">
        <f t="array" ref="I3475">_xlfn.IFS(G3475&lt;3, "0–2 Years", G3475&lt;6, "3–5 Years", G3475&lt;9, "6–8 Years", G3475&lt;12, "9-11 Years", G3475&gt;=12, "12-14 Years")</f>
        <v>9-11 Years</v>
      </c>
      <c r="J3475">
        <v>3</v>
      </c>
      <c r="K3475" t="s">
        <v>20</v>
      </c>
      <c r="L3475">
        <v>91700</v>
      </c>
      <c r="M3475">
        <v>6100</v>
      </c>
      <c r="N3475">
        <v>97800</v>
      </c>
      <c r="O3475" t="s">
        <v>30</v>
      </c>
      <c r="P3475" s="3">
        <v>41699</v>
      </c>
      <c r="Q3475" t="s">
        <v>28</v>
      </c>
    </row>
    <row r="3476" spans="1:17" x14ac:dyDescent="0.35">
      <c r="A3476" t="s">
        <v>3528</v>
      </c>
      <c r="B3476" t="s">
        <v>23</v>
      </c>
      <c r="C3476">
        <v>37</v>
      </c>
      <c r="D3476" t="s">
        <v>17</v>
      </c>
      <c r="E3476" t="s">
        <v>18</v>
      </c>
      <c r="F3476" t="s">
        <v>28</v>
      </c>
      <c r="G3476">
        <v>7.2</v>
      </c>
      <c r="H3476">
        <v>2.8</v>
      </c>
      <c r="I3476" t="str" cm="1">
        <f t="array" ref="I3476">_xlfn.IFS(G3476&lt;3, "0–2 Years", G3476&lt;6, "3–5 Years", G3476&lt;9, "6–8 Years", G3476&lt;12, "9-11 Years", G3476&gt;=12, "12-14 Years")</f>
        <v>6–8 Years</v>
      </c>
      <c r="J3476">
        <v>2</v>
      </c>
      <c r="K3476" t="s">
        <v>20</v>
      </c>
      <c r="L3476">
        <v>101000</v>
      </c>
      <c r="M3476">
        <v>8100</v>
      </c>
      <c r="N3476">
        <v>109100</v>
      </c>
      <c r="O3476" t="s">
        <v>57</v>
      </c>
      <c r="P3476" s="3">
        <v>43406</v>
      </c>
      <c r="Q3476" t="s">
        <v>28</v>
      </c>
    </row>
    <row r="3477" spans="1:17" x14ac:dyDescent="0.35">
      <c r="A3477" t="s">
        <v>3529</v>
      </c>
      <c r="B3477" t="s">
        <v>16</v>
      </c>
      <c r="C3477">
        <v>32</v>
      </c>
      <c r="D3477" t="s">
        <v>17</v>
      </c>
      <c r="E3477" t="s">
        <v>32</v>
      </c>
      <c r="F3477" t="s">
        <v>28</v>
      </c>
      <c r="G3477">
        <v>3.5</v>
      </c>
      <c r="H3477">
        <v>1.7</v>
      </c>
      <c r="I3477" t="str" cm="1">
        <f t="array" ref="I3477">_xlfn.IFS(G3477&lt;3, "0–2 Years", G3477&lt;6, "3–5 Years", G3477&lt;9, "6–8 Years", G3477&lt;12, "9-11 Years", G3477&gt;=12, "12-14 Years")</f>
        <v>3–5 Years</v>
      </c>
      <c r="J3477">
        <v>4</v>
      </c>
      <c r="K3477" t="s">
        <v>20</v>
      </c>
      <c r="L3477">
        <v>58300</v>
      </c>
      <c r="M3477">
        <v>3500</v>
      </c>
      <c r="N3477">
        <v>61800</v>
      </c>
      <c r="O3477" t="s">
        <v>25</v>
      </c>
      <c r="P3477" s="3">
        <v>44728</v>
      </c>
      <c r="Q3477" t="s">
        <v>28</v>
      </c>
    </row>
    <row r="3478" spans="1:17" x14ac:dyDescent="0.35">
      <c r="A3478" t="s">
        <v>3530</v>
      </c>
      <c r="B3478" t="s">
        <v>16</v>
      </c>
      <c r="C3478">
        <v>28</v>
      </c>
      <c r="D3478" t="s">
        <v>41</v>
      </c>
      <c r="E3478" t="s">
        <v>67</v>
      </c>
      <c r="F3478" t="s">
        <v>28</v>
      </c>
      <c r="G3478">
        <v>8.4</v>
      </c>
      <c r="H3478">
        <v>5.9</v>
      </c>
      <c r="I3478" t="str" cm="1">
        <f t="array" ref="I3478">_xlfn.IFS(G3478&lt;3, "0–2 Years", G3478&lt;6, "3–5 Years", G3478&lt;9, "6–8 Years", G3478&lt;12, "9-11 Years", G3478&gt;=12, "12-14 Years")</f>
        <v>6–8 Years</v>
      </c>
      <c r="J3478">
        <v>3</v>
      </c>
      <c r="K3478" t="s">
        <v>20</v>
      </c>
      <c r="L3478">
        <v>73000</v>
      </c>
      <c r="M3478">
        <v>2200</v>
      </c>
      <c r="N3478">
        <v>75200</v>
      </c>
      <c r="O3478" t="s">
        <v>21</v>
      </c>
      <c r="P3478" s="3">
        <v>42962</v>
      </c>
      <c r="Q3478" t="s">
        <v>28</v>
      </c>
    </row>
    <row r="3479" spans="1:17" x14ac:dyDescent="0.35">
      <c r="A3479" t="s">
        <v>3531</v>
      </c>
      <c r="B3479" t="s">
        <v>16</v>
      </c>
      <c r="C3479">
        <v>42</v>
      </c>
      <c r="D3479" t="s">
        <v>55</v>
      </c>
      <c r="E3479" t="s">
        <v>56</v>
      </c>
      <c r="F3479" t="s">
        <v>19</v>
      </c>
      <c r="G3479">
        <v>8.4</v>
      </c>
      <c r="H3479">
        <v>5.5</v>
      </c>
      <c r="I3479" t="str" cm="1">
        <f t="array" ref="I3479">_xlfn.IFS(G3479&lt;3, "0–2 Years", G3479&lt;6, "3–5 Years", G3479&lt;9, "6–8 Years", G3479&lt;12, "9-11 Years", G3479&gt;=12, "12-14 Years")</f>
        <v>6–8 Years</v>
      </c>
      <c r="J3479">
        <v>3</v>
      </c>
      <c r="K3479" t="s">
        <v>20</v>
      </c>
      <c r="L3479">
        <v>91000</v>
      </c>
      <c r="M3479">
        <v>18300</v>
      </c>
      <c r="N3479">
        <v>109300</v>
      </c>
      <c r="O3479" t="s">
        <v>30</v>
      </c>
      <c r="P3479" s="3">
        <v>42970</v>
      </c>
      <c r="Q3479" t="s">
        <v>19</v>
      </c>
    </row>
    <row r="3480" spans="1:17" x14ac:dyDescent="0.35">
      <c r="A3480" t="s">
        <v>3532</v>
      </c>
      <c r="B3480" t="s">
        <v>16</v>
      </c>
      <c r="C3480">
        <v>30</v>
      </c>
      <c r="D3480" t="s">
        <v>41</v>
      </c>
      <c r="E3480" t="s">
        <v>73</v>
      </c>
      <c r="F3480" t="s">
        <v>36</v>
      </c>
      <c r="G3480">
        <v>7.9</v>
      </c>
      <c r="H3480">
        <v>5.5</v>
      </c>
      <c r="I3480" t="str" cm="1">
        <f t="array" ref="I3480">_xlfn.IFS(G3480&lt;3, "0–2 Years", G3480&lt;6, "3–5 Years", G3480&lt;9, "6–8 Years", G3480&lt;12, "9-11 Years", G3480&gt;=12, "12-14 Years")</f>
        <v>6–8 Years</v>
      </c>
      <c r="J3480">
        <v>3</v>
      </c>
      <c r="K3480" t="s">
        <v>20</v>
      </c>
      <c r="L3480">
        <v>91500</v>
      </c>
      <c r="M3480">
        <v>7500</v>
      </c>
      <c r="N3480">
        <v>99000</v>
      </c>
      <c r="O3480" t="s">
        <v>30</v>
      </c>
      <c r="P3480" s="3">
        <v>43140</v>
      </c>
      <c r="Q3480" t="s">
        <v>36</v>
      </c>
    </row>
    <row r="3481" spans="1:17" x14ac:dyDescent="0.35">
      <c r="A3481" t="s">
        <v>3533</v>
      </c>
      <c r="B3481" t="s">
        <v>23</v>
      </c>
      <c r="C3481" s="7">
        <v>35</v>
      </c>
      <c r="D3481" t="s">
        <v>55</v>
      </c>
      <c r="E3481" t="s">
        <v>56</v>
      </c>
      <c r="F3481" t="s">
        <v>28</v>
      </c>
      <c r="G3481" s="9">
        <v>12.4</v>
      </c>
      <c r="H3481" s="7">
        <v>7.6</v>
      </c>
      <c r="I3481" t="str" cm="1">
        <f t="array" ref="I3481">_xlfn.IFS(G3481&lt;3, "0–2 Years", G3481&lt;6, "3–5 Years", G3481&lt;9, "6–8 Years", G3481&lt;12, "9-11 Years", G3481&gt;=12, "12-14 Years")</f>
        <v>12-14 Years</v>
      </c>
      <c r="J3481" s="7">
        <v>3</v>
      </c>
      <c r="K3481" t="s">
        <v>20</v>
      </c>
      <c r="L3481" s="7">
        <v>86900</v>
      </c>
      <c r="M3481" s="7">
        <v>10500</v>
      </c>
      <c r="N3481" s="7">
        <v>97400</v>
      </c>
      <c r="O3481" t="s">
        <v>30</v>
      </c>
      <c r="P3481" s="3">
        <v>41494</v>
      </c>
      <c r="Q3481" t="s">
        <v>28</v>
      </c>
    </row>
    <row r="3482" spans="1:17" x14ac:dyDescent="0.35">
      <c r="A3482" t="s">
        <v>3534</v>
      </c>
      <c r="B3482" t="s">
        <v>16</v>
      </c>
      <c r="C3482">
        <v>25</v>
      </c>
      <c r="D3482" t="s">
        <v>17</v>
      </c>
      <c r="E3482" t="s">
        <v>27</v>
      </c>
      <c r="F3482" t="s">
        <v>28</v>
      </c>
      <c r="G3482">
        <v>9.5</v>
      </c>
      <c r="H3482">
        <v>6</v>
      </c>
      <c r="I3482" t="str" cm="1">
        <f t="array" ref="I3482">_xlfn.IFS(G3482&lt;3, "0–2 Years", G3482&lt;6, "3–5 Years", G3482&lt;9, "6–8 Years", G3482&lt;12, "9-11 Years", G3482&gt;=12, "12-14 Years")</f>
        <v>9-11 Years</v>
      </c>
      <c r="J3482">
        <v>3</v>
      </c>
      <c r="K3482" t="s">
        <v>20</v>
      </c>
      <c r="L3482">
        <v>78300</v>
      </c>
      <c r="M3482">
        <v>10000</v>
      </c>
      <c r="N3482">
        <v>88300</v>
      </c>
      <c r="O3482" t="s">
        <v>21</v>
      </c>
      <c r="P3482" s="3">
        <v>42550</v>
      </c>
      <c r="Q3482" t="s">
        <v>28</v>
      </c>
    </row>
    <row r="3483" spans="1:17" x14ac:dyDescent="0.35">
      <c r="A3483" t="s">
        <v>3535</v>
      </c>
      <c r="B3483" t="s">
        <v>16</v>
      </c>
      <c r="C3483">
        <v>34</v>
      </c>
      <c r="D3483" t="s">
        <v>17</v>
      </c>
      <c r="E3483" t="s">
        <v>27</v>
      </c>
      <c r="F3483" t="s">
        <v>36</v>
      </c>
      <c r="G3483">
        <v>3.4</v>
      </c>
      <c r="H3483">
        <v>3</v>
      </c>
      <c r="I3483" t="str" cm="1">
        <f t="array" ref="I3483">_xlfn.IFS(G3483&lt;3, "0–2 Years", G3483&lt;6, "3–5 Years", G3483&lt;9, "6–8 Years", G3483&lt;12, "9-11 Years", G3483&gt;=12, "12-14 Years")</f>
        <v>3–5 Years</v>
      </c>
      <c r="J3483">
        <v>1</v>
      </c>
      <c r="K3483" t="s">
        <v>20</v>
      </c>
      <c r="L3483">
        <v>58300</v>
      </c>
      <c r="M3483">
        <v>7000</v>
      </c>
      <c r="N3483">
        <v>65300</v>
      </c>
      <c r="O3483" t="s">
        <v>25</v>
      </c>
      <c r="P3483" s="3">
        <v>44789</v>
      </c>
      <c r="Q3483" t="s">
        <v>36</v>
      </c>
    </row>
    <row r="3484" spans="1:17" x14ac:dyDescent="0.35">
      <c r="A3484" t="s">
        <v>3536</v>
      </c>
      <c r="B3484" t="s">
        <v>16</v>
      </c>
      <c r="C3484">
        <v>32</v>
      </c>
      <c r="D3484" t="s">
        <v>44</v>
      </c>
      <c r="E3484" t="s">
        <v>51</v>
      </c>
      <c r="F3484" t="s">
        <v>28</v>
      </c>
      <c r="G3484">
        <v>4</v>
      </c>
      <c r="H3484">
        <v>0.7</v>
      </c>
      <c r="I3484" t="str" cm="1">
        <f t="array" ref="I3484">_xlfn.IFS(G3484&lt;3, "0–2 Years", G3484&lt;6, "3–5 Years", G3484&lt;9, "6–8 Years", G3484&lt;12, "9-11 Years", G3484&gt;=12, "12-14 Years")</f>
        <v>3–5 Years</v>
      </c>
      <c r="J3484">
        <v>2</v>
      </c>
      <c r="K3484" t="s">
        <v>69</v>
      </c>
      <c r="L3484">
        <v>69900</v>
      </c>
      <c r="M3484">
        <v>10100</v>
      </c>
      <c r="N3484">
        <v>80000</v>
      </c>
      <c r="O3484" t="s">
        <v>21</v>
      </c>
      <c r="P3484" s="3">
        <v>44561</v>
      </c>
      <c r="Q3484" t="s">
        <v>28</v>
      </c>
    </row>
    <row r="3485" spans="1:17" x14ac:dyDescent="0.35">
      <c r="A3485" t="s">
        <v>3537</v>
      </c>
      <c r="B3485" t="s">
        <v>16</v>
      </c>
      <c r="C3485" s="7">
        <v>35</v>
      </c>
      <c r="D3485" t="s">
        <v>41</v>
      </c>
      <c r="E3485" t="s">
        <v>67</v>
      </c>
      <c r="F3485" t="s">
        <v>36</v>
      </c>
      <c r="G3485" s="9">
        <v>12.9</v>
      </c>
      <c r="H3485" s="7">
        <v>8.3000000000000007</v>
      </c>
      <c r="I3485" t="str" cm="1">
        <f t="array" ref="I3485">_xlfn.IFS(G3485&lt;3, "0–2 Years", G3485&lt;6, "3–5 Years", G3485&lt;9, "6–8 Years", G3485&lt;12, "9-11 Years", G3485&gt;=12, "12-14 Years")</f>
        <v>12-14 Years</v>
      </c>
      <c r="J3485" s="7">
        <v>4</v>
      </c>
      <c r="K3485" t="s">
        <v>20</v>
      </c>
      <c r="L3485" s="7">
        <v>80500</v>
      </c>
      <c r="M3485" s="7">
        <v>4900</v>
      </c>
      <c r="N3485" s="7">
        <v>85400</v>
      </c>
      <c r="O3485" t="s">
        <v>30</v>
      </c>
      <c r="P3485" s="3">
        <v>41302</v>
      </c>
      <c r="Q3485" t="s">
        <v>36</v>
      </c>
    </row>
    <row r="3486" spans="1:17" x14ac:dyDescent="0.35">
      <c r="A3486" t="s">
        <v>3538</v>
      </c>
      <c r="B3486" t="s">
        <v>23</v>
      </c>
      <c r="C3486">
        <v>33</v>
      </c>
      <c r="D3486" t="s">
        <v>38</v>
      </c>
      <c r="E3486" t="s">
        <v>61</v>
      </c>
      <c r="F3486" t="s">
        <v>36</v>
      </c>
      <c r="G3486">
        <v>4.3</v>
      </c>
      <c r="H3486">
        <v>2.2000000000000002</v>
      </c>
      <c r="I3486" t="str" cm="1">
        <f t="array" ref="I3486">_xlfn.IFS(G3486&lt;3, "0–2 Years", G3486&lt;6, "3–5 Years", G3486&lt;9, "6–8 Years", G3486&lt;12, "9-11 Years", G3486&gt;=12, "12-14 Years")</f>
        <v>3–5 Years</v>
      </c>
      <c r="J3486">
        <v>4</v>
      </c>
      <c r="K3486" t="s">
        <v>20</v>
      </c>
      <c r="L3486">
        <v>86200</v>
      </c>
      <c r="M3486">
        <v>5500</v>
      </c>
      <c r="N3486">
        <v>91700</v>
      </c>
      <c r="O3486" t="s">
        <v>30</v>
      </c>
      <c r="P3486" s="3">
        <v>44467</v>
      </c>
      <c r="Q3486" t="s">
        <v>36</v>
      </c>
    </row>
    <row r="3487" spans="1:17" x14ac:dyDescent="0.35">
      <c r="A3487" t="s">
        <v>3539</v>
      </c>
      <c r="B3487" t="s">
        <v>16</v>
      </c>
      <c r="C3487">
        <v>32</v>
      </c>
      <c r="D3487" t="s">
        <v>41</v>
      </c>
      <c r="E3487" t="s">
        <v>42</v>
      </c>
      <c r="F3487" t="s">
        <v>28</v>
      </c>
      <c r="G3487">
        <v>1.5</v>
      </c>
      <c r="H3487">
        <v>1.5</v>
      </c>
      <c r="I3487" t="str" cm="1">
        <f t="array" ref="I3487">_xlfn.IFS(G3487&lt;3, "0–2 Years", G3487&lt;6, "3–5 Years", G3487&lt;9, "6–8 Years", G3487&lt;12, "9-11 Years", G3487&gt;=12, "12-14 Years")</f>
        <v>0–2 Years</v>
      </c>
      <c r="J3487">
        <v>2</v>
      </c>
      <c r="K3487" t="s">
        <v>20</v>
      </c>
      <c r="L3487">
        <v>65000</v>
      </c>
      <c r="M3487">
        <v>3500</v>
      </c>
      <c r="N3487">
        <v>68500</v>
      </c>
      <c r="O3487" t="s">
        <v>21</v>
      </c>
      <c r="P3487" s="3">
        <v>45457</v>
      </c>
      <c r="Q3487" t="s">
        <v>28</v>
      </c>
    </row>
    <row r="3488" spans="1:17" x14ac:dyDescent="0.35">
      <c r="A3488" t="s">
        <v>3540</v>
      </c>
      <c r="B3488" t="s">
        <v>16</v>
      </c>
      <c r="C3488">
        <v>46</v>
      </c>
      <c r="D3488" t="s">
        <v>44</v>
      </c>
      <c r="E3488" t="s">
        <v>81</v>
      </c>
      <c r="F3488" t="s">
        <v>28</v>
      </c>
      <c r="G3488">
        <v>4.4000000000000004</v>
      </c>
      <c r="H3488">
        <v>3.1</v>
      </c>
      <c r="I3488" t="str" cm="1">
        <f t="array" ref="I3488">_xlfn.IFS(G3488&lt;3, "0–2 Years", G3488&lt;6, "3–5 Years", G3488&lt;9, "6–8 Years", G3488&lt;12, "9-11 Years", G3488&gt;=12, "12-14 Years")</f>
        <v>3–5 Years</v>
      </c>
      <c r="J3488">
        <v>3</v>
      </c>
      <c r="K3488" t="s">
        <v>20</v>
      </c>
      <c r="L3488">
        <v>83000</v>
      </c>
      <c r="M3488">
        <v>5100</v>
      </c>
      <c r="N3488">
        <v>88100</v>
      </c>
      <c r="O3488" t="s">
        <v>30</v>
      </c>
      <c r="P3488" s="3">
        <v>44423</v>
      </c>
      <c r="Q3488" t="s">
        <v>28</v>
      </c>
    </row>
    <row r="3489" spans="1:17" x14ac:dyDescent="0.35">
      <c r="A3489" t="s">
        <v>3541</v>
      </c>
      <c r="B3489" t="s">
        <v>16</v>
      </c>
      <c r="C3489">
        <v>29</v>
      </c>
      <c r="D3489" t="s">
        <v>44</v>
      </c>
      <c r="E3489" t="s">
        <v>51</v>
      </c>
      <c r="F3489" t="s">
        <v>28</v>
      </c>
      <c r="G3489">
        <v>2.7</v>
      </c>
      <c r="H3489">
        <v>1.7</v>
      </c>
      <c r="I3489" t="str" cm="1">
        <f t="array" ref="I3489">_xlfn.IFS(G3489&lt;3, "0–2 Years", G3489&lt;6, "3–5 Years", G3489&lt;9, "6–8 Years", G3489&lt;12, "9-11 Years", G3489&gt;=12, "12-14 Years")</f>
        <v>0–2 Years</v>
      </c>
      <c r="J3489">
        <v>4</v>
      </c>
      <c r="K3489" t="s">
        <v>20</v>
      </c>
      <c r="L3489">
        <v>85100</v>
      </c>
      <c r="M3489">
        <v>9100</v>
      </c>
      <c r="N3489">
        <v>94200</v>
      </c>
      <c r="O3489" t="s">
        <v>30</v>
      </c>
      <c r="P3489" s="3">
        <v>45022</v>
      </c>
      <c r="Q3489" t="s">
        <v>28</v>
      </c>
    </row>
    <row r="3490" spans="1:17" x14ac:dyDescent="0.35">
      <c r="A3490" t="s">
        <v>3542</v>
      </c>
      <c r="B3490" t="s">
        <v>23</v>
      </c>
      <c r="C3490">
        <v>47</v>
      </c>
      <c r="D3490" t="s">
        <v>34</v>
      </c>
      <c r="E3490" t="s">
        <v>59</v>
      </c>
      <c r="F3490" t="s">
        <v>36</v>
      </c>
      <c r="G3490">
        <v>1.6</v>
      </c>
      <c r="H3490">
        <v>1.6</v>
      </c>
      <c r="I3490" t="str" cm="1">
        <f t="array" ref="I3490">_xlfn.IFS(G3490&lt;3, "0–2 Years", G3490&lt;6, "3–5 Years", G3490&lt;9, "6–8 Years", G3490&lt;12, "9-11 Years", G3490&gt;=12, "12-14 Years")</f>
        <v>0–2 Years</v>
      </c>
      <c r="J3490">
        <v>2</v>
      </c>
      <c r="K3490" t="s">
        <v>20</v>
      </c>
      <c r="L3490">
        <v>96000</v>
      </c>
      <c r="M3490">
        <v>8600</v>
      </c>
      <c r="N3490">
        <v>104600</v>
      </c>
      <c r="O3490" t="s">
        <v>30</v>
      </c>
      <c r="P3490" s="3">
        <v>45425</v>
      </c>
      <c r="Q3490" t="s">
        <v>36</v>
      </c>
    </row>
    <row r="3491" spans="1:17" x14ac:dyDescent="0.35">
      <c r="A3491" t="s">
        <v>3543</v>
      </c>
      <c r="B3491" t="s">
        <v>16</v>
      </c>
      <c r="C3491" s="7">
        <v>43</v>
      </c>
      <c r="D3491" t="s">
        <v>17</v>
      </c>
      <c r="E3491" t="s">
        <v>27</v>
      </c>
      <c r="F3491" t="s">
        <v>28</v>
      </c>
      <c r="G3491" s="9">
        <v>12.2</v>
      </c>
      <c r="H3491" s="7">
        <v>8</v>
      </c>
      <c r="I3491" t="str" cm="1">
        <f t="array" ref="I3491">_xlfn.IFS(G3491&lt;3, "0–2 Years", G3491&lt;6, "3–5 Years", G3491&lt;9, "6–8 Years", G3491&lt;12, "9-11 Years", G3491&gt;=12, "12-14 Years")</f>
        <v>12-14 Years</v>
      </c>
      <c r="J3491" s="7">
        <v>3</v>
      </c>
      <c r="K3491" t="s">
        <v>24</v>
      </c>
      <c r="L3491" s="7">
        <v>55000</v>
      </c>
      <c r="M3491" s="7">
        <v>6700</v>
      </c>
      <c r="N3491" s="7">
        <v>61700</v>
      </c>
      <c r="O3491" t="s">
        <v>25</v>
      </c>
      <c r="P3491" s="3">
        <v>41565</v>
      </c>
      <c r="Q3491" t="s">
        <v>28</v>
      </c>
    </row>
    <row r="3492" spans="1:17" x14ac:dyDescent="0.35">
      <c r="A3492" t="s">
        <v>3544</v>
      </c>
      <c r="B3492" t="s">
        <v>23</v>
      </c>
      <c r="C3492">
        <v>36</v>
      </c>
      <c r="D3492" t="s">
        <v>38</v>
      </c>
      <c r="E3492" t="s">
        <v>112</v>
      </c>
      <c r="F3492" t="s">
        <v>36</v>
      </c>
      <c r="G3492">
        <v>11.2</v>
      </c>
      <c r="H3492">
        <v>7.8</v>
      </c>
      <c r="I3492" t="str" cm="1">
        <f t="array" ref="I3492">_xlfn.IFS(G3492&lt;3, "0–2 Years", G3492&lt;6, "3–5 Years", G3492&lt;9, "6–8 Years", G3492&lt;12, "9-11 Years", G3492&gt;=12, "12-14 Years")</f>
        <v>9-11 Years</v>
      </c>
      <c r="J3492">
        <v>3</v>
      </c>
      <c r="K3492" t="s">
        <v>20</v>
      </c>
      <c r="L3492">
        <v>73300</v>
      </c>
      <c r="M3492">
        <v>2600</v>
      </c>
      <c r="N3492">
        <v>75900</v>
      </c>
      <c r="O3492" t="s">
        <v>21</v>
      </c>
      <c r="P3492" s="3">
        <v>41925</v>
      </c>
      <c r="Q3492" t="s">
        <v>36</v>
      </c>
    </row>
    <row r="3493" spans="1:17" x14ac:dyDescent="0.35">
      <c r="A3493" t="s">
        <v>3545</v>
      </c>
      <c r="B3493" t="s">
        <v>16</v>
      </c>
      <c r="C3493">
        <v>26</v>
      </c>
      <c r="D3493" t="s">
        <v>41</v>
      </c>
      <c r="E3493" t="s">
        <v>67</v>
      </c>
      <c r="F3493" t="s">
        <v>28</v>
      </c>
      <c r="G3493">
        <v>10</v>
      </c>
      <c r="H3493">
        <v>7.8</v>
      </c>
      <c r="I3493" t="str" cm="1">
        <f t="array" ref="I3493">_xlfn.IFS(G3493&lt;3, "0–2 Years", G3493&lt;6, "3–5 Years", G3493&lt;9, "6–8 Years", G3493&lt;12, "9-11 Years", G3493&gt;=12, "12-14 Years")</f>
        <v>9-11 Years</v>
      </c>
      <c r="J3493">
        <v>4</v>
      </c>
      <c r="K3493" t="s">
        <v>20</v>
      </c>
      <c r="L3493">
        <v>78100</v>
      </c>
      <c r="M3493">
        <v>3100</v>
      </c>
      <c r="N3493">
        <v>81200</v>
      </c>
      <c r="O3493" t="s">
        <v>21</v>
      </c>
      <c r="P3493" s="3">
        <v>42355</v>
      </c>
      <c r="Q3493" t="s">
        <v>28</v>
      </c>
    </row>
    <row r="3494" spans="1:17" x14ac:dyDescent="0.35">
      <c r="A3494" t="s">
        <v>3546</v>
      </c>
      <c r="B3494" t="s">
        <v>23</v>
      </c>
      <c r="C3494">
        <v>35</v>
      </c>
      <c r="D3494" t="s">
        <v>17</v>
      </c>
      <c r="E3494" t="s">
        <v>27</v>
      </c>
      <c r="F3494" t="s">
        <v>36</v>
      </c>
      <c r="G3494">
        <v>7.2</v>
      </c>
      <c r="H3494">
        <v>5.4</v>
      </c>
      <c r="I3494" t="str" cm="1">
        <f t="array" ref="I3494">_xlfn.IFS(G3494&lt;3, "0–2 Years", G3494&lt;6, "3–5 Years", G3494&lt;9, "6–8 Years", G3494&lt;12, "9-11 Years", G3494&gt;=12, "12-14 Years")</f>
        <v>6–8 Years</v>
      </c>
      <c r="J3494">
        <v>4</v>
      </c>
      <c r="K3494" t="s">
        <v>20</v>
      </c>
      <c r="L3494">
        <v>91900</v>
      </c>
      <c r="M3494">
        <v>6500</v>
      </c>
      <c r="N3494">
        <v>98400</v>
      </c>
      <c r="O3494" t="s">
        <v>30</v>
      </c>
      <c r="P3494" s="3">
        <v>43396</v>
      </c>
      <c r="Q3494" t="s">
        <v>36</v>
      </c>
    </row>
    <row r="3495" spans="1:17" x14ac:dyDescent="0.35">
      <c r="A3495" t="s">
        <v>3547</v>
      </c>
      <c r="B3495" t="s">
        <v>16</v>
      </c>
      <c r="C3495">
        <v>54</v>
      </c>
      <c r="D3495" t="s">
        <v>17</v>
      </c>
      <c r="E3495" t="s">
        <v>18</v>
      </c>
      <c r="F3495" t="s">
        <v>36</v>
      </c>
      <c r="G3495">
        <v>9.5</v>
      </c>
      <c r="H3495">
        <v>6.5</v>
      </c>
      <c r="I3495" t="str" cm="1">
        <f t="array" ref="I3495">_xlfn.IFS(G3495&lt;3, "0–2 Years", G3495&lt;6, "3–5 Years", G3495&lt;9, "6–8 Years", G3495&lt;12, "9-11 Years", G3495&gt;=12, "12-14 Years")</f>
        <v>9-11 Years</v>
      </c>
      <c r="J3495">
        <v>2</v>
      </c>
      <c r="K3495" t="s">
        <v>20</v>
      </c>
      <c r="L3495">
        <v>121400</v>
      </c>
      <c r="M3495">
        <v>16000</v>
      </c>
      <c r="N3495">
        <v>137400</v>
      </c>
      <c r="O3495" t="s">
        <v>57</v>
      </c>
      <c r="P3495" s="3">
        <v>42562</v>
      </c>
      <c r="Q3495" t="s">
        <v>36</v>
      </c>
    </row>
    <row r="3496" spans="1:17" x14ac:dyDescent="0.35">
      <c r="A3496" t="s">
        <v>3548</v>
      </c>
      <c r="B3496" t="s">
        <v>16</v>
      </c>
      <c r="C3496">
        <v>30</v>
      </c>
      <c r="D3496" t="s">
        <v>41</v>
      </c>
      <c r="E3496" t="s">
        <v>42</v>
      </c>
      <c r="F3496" t="s">
        <v>36</v>
      </c>
      <c r="G3496">
        <v>9.4</v>
      </c>
      <c r="H3496">
        <v>4.5999999999999996</v>
      </c>
      <c r="I3496" t="str" cm="1">
        <f t="array" ref="I3496">_xlfn.IFS(G3496&lt;3, "0–2 Years", G3496&lt;6, "3–5 Years", G3496&lt;9, "6–8 Years", G3496&lt;12, "9-11 Years", G3496&gt;=12, "12-14 Years")</f>
        <v>9-11 Years</v>
      </c>
      <c r="J3496">
        <v>2</v>
      </c>
      <c r="K3496" t="s">
        <v>20</v>
      </c>
      <c r="L3496">
        <v>86400</v>
      </c>
      <c r="M3496">
        <v>7000</v>
      </c>
      <c r="N3496">
        <v>93400</v>
      </c>
      <c r="O3496" t="s">
        <v>30</v>
      </c>
      <c r="P3496" s="3">
        <v>42594</v>
      </c>
      <c r="Q3496" t="s">
        <v>36</v>
      </c>
    </row>
    <row r="3497" spans="1:17" x14ac:dyDescent="0.35">
      <c r="A3497" t="s">
        <v>3549</v>
      </c>
      <c r="B3497" t="s">
        <v>16</v>
      </c>
      <c r="C3497">
        <v>46</v>
      </c>
      <c r="D3497" t="s">
        <v>41</v>
      </c>
      <c r="E3497" t="s">
        <v>67</v>
      </c>
      <c r="F3497" t="s">
        <v>36</v>
      </c>
      <c r="G3497">
        <v>2.2000000000000002</v>
      </c>
      <c r="H3497">
        <v>2.2000000000000002</v>
      </c>
      <c r="I3497" t="str" cm="1">
        <f t="array" ref="I3497">_xlfn.IFS(G3497&lt;3, "0–2 Years", G3497&lt;6, "3–5 Years", G3497&lt;9, "6–8 Years", G3497&lt;12, "9-11 Years", G3497&gt;=12, "12-14 Years")</f>
        <v>0–2 Years</v>
      </c>
      <c r="J3497">
        <v>4</v>
      </c>
      <c r="K3497" t="s">
        <v>20</v>
      </c>
      <c r="L3497">
        <v>66500</v>
      </c>
      <c r="M3497">
        <v>5600</v>
      </c>
      <c r="N3497">
        <v>72100</v>
      </c>
      <c r="O3497" t="s">
        <v>21</v>
      </c>
      <c r="P3497" s="3">
        <v>45215</v>
      </c>
      <c r="Q3497" t="s">
        <v>36</v>
      </c>
    </row>
    <row r="3498" spans="1:17" x14ac:dyDescent="0.35">
      <c r="A3498" t="s">
        <v>3550</v>
      </c>
      <c r="B3498" t="s">
        <v>23</v>
      </c>
      <c r="C3498">
        <v>40</v>
      </c>
      <c r="D3498" t="s">
        <v>44</v>
      </c>
      <c r="E3498" t="s">
        <v>76</v>
      </c>
      <c r="F3498" t="s">
        <v>19</v>
      </c>
      <c r="G3498">
        <v>6.3</v>
      </c>
      <c r="H3498">
        <v>5.0999999999999996</v>
      </c>
      <c r="I3498" t="str" cm="1">
        <f t="array" ref="I3498">_xlfn.IFS(G3498&lt;3, "0–2 Years", G3498&lt;6, "3–5 Years", G3498&lt;9, "6–8 Years", G3498&lt;12, "9-11 Years", G3498&gt;=12, "12-14 Years")</f>
        <v>6–8 Years</v>
      </c>
      <c r="J3498">
        <v>3</v>
      </c>
      <c r="K3498" t="s">
        <v>20</v>
      </c>
      <c r="L3498">
        <v>100500</v>
      </c>
      <c r="M3498">
        <v>7600</v>
      </c>
      <c r="N3498">
        <v>108100</v>
      </c>
      <c r="O3498" t="s">
        <v>57</v>
      </c>
      <c r="P3498" s="3">
        <v>43717</v>
      </c>
      <c r="Q3498" t="s">
        <v>19</v>
      </c>
    </row>
    <row r="3499" spans="1:17" x14ac:dyDescent="0.35">
      <c r="A3499" t="s">
        <v>3551</v>
      </c>
      <c r="B3499" t="s">
        <v>16</v>
      </c>
      <c r="C3499" s="7">
        <v>32</v>
      </c>
      <c r="D3499" t="s">
        <v>44</v>
      </c>
      <c r="E3499" t="s">
        <v>81</v>
      </c>
      <c r="F3499" t="s">
        <v>28</v>
      </c>
      <c r="G3499" s="9">
        <v>13.6</v>
      </c>
      <c r="H3499" s="7">
        <v>9.3000000000000007</v>
      </c>
      <c r="I3499" t="str" cm="1">
        <f t="array" ref="I3499">_xlfn.IFS(G3499&lt;3, "0–2 Years", G3499&lt;6, "3–5 Years", G3499&lt;9, "6–8 Years", G3499&lt;12, "9-11 Years", G3499&gt;=12, "12-14 Years")</f>
        <v>12-14 Years</v>
      </c>
      <c r="J3499" s="7">
        <v>4</v>
      </c>
      <c r="K3499" t="s">
        <v>20</v>
      </c>
      <c r="L3499" s="7">
        <v>117300</v>
      </c>
      <c r="M3499" s="7">
        <v>15300</v>
      </c>
      <c r="N3499" s="7">
        <v>132600</v>
      </c>
      <c r="O3499" t="s">
        <v>57</v>
      </c>
      <c r="P3499" s="3">
        <v>41070</v>
      </c>
      <c r="Q3499" t="s">
        <v>28</v>
      </c>
    </row>
    <row r="3500" spans="1:17" x14ac:dyDescent="0.35">
      <c r="A3500" t="s">
        <v>3552</v>
      </c>
      <c r="B3500" t="s">
        <v>16</v>
      </c>
      <c r="C3500">
        <v>39</v>
      </c>
      <c r="D3500" t="s">
        <v>34</v>
      </c>
      <c r="E3500" t="s">
        <v>35</v>
      </c>
      <c r="F3500" t="s">
        <v>28</v>
      </c>
      <c r="G3500">
        <v>2.9</v>
      </c>
      <c r="H3500">
        <v>2.5</v>
      </c>
      <c r="I3500" t="str" cm="1">
        <f t="array" ref="I3500">_xlfn.IFS(G3500&lt;3, "0–2 Years", G3500&lt;6, "3–5 Years", G3500&lt;9, "6–8 Years", G3500&lt;12, "9-11 Years", G3500&gt;=12, "12-14 Years")</f>
        <v>0–2 Years</v>
      </c>
      <c r="J3500">
        <v>3</v>
      </c>
      <c r="K3500" t="s">
        <v>20</v>
      </c>
      <c r="L3500">
        <v>68200</v>
      </c>
      <c r="M3500">
        <v>8000</v>
      </c>
      <c r="N3500">
        <v>76200</v>
      </c>
      <c r="O3500" t="s">
        <v>21</v>
      </c>
      <c r="P3500" s="3">
        <v>44949</v>
      </c>
      <c r="Q3500" t="s">
        <v>28</v>
      </c>
    </row>
    <row r="3501" spans="1:17" x14ac:dyDescent="0.35">
      <c r="A3501" t="s">
        <v>3553</v>
      </c>
      <c r="B3501" t="s">
        <v>23</v>
      </c>
      <c r="C3501">
        <v>26</v>
      </c>
      <c r="D3501" t="s">
        <v>17</v>
      </c>
      <c r="E3501" t="s">
        <v>32</v>
      </c>
      <c r="F3501" t="s">
        <v>62</v>
      </c>
      <c r="G3501">
        <v>8.1999999999999993</v>
      </c>
      <c r="H3501">
        <v>6.2</v>
      </c>
      <c r="I3501" t="str" cm="1">
        <f t="array" ref="I3501">_xlfn.IFS(G3501&lt;3, "0–2 Years", G3501&lt;6, "3–5 Years", G3501&lt;9, "6–8 Years", G3501&lt;12, "9-11 Years", G3501&gt;=12, "12-14 Years")</f>
        <v>6–8 Years</v>
      </c>
      <c r="J3501">
        <v>4</v>
      </c>
      <c r="K3501" t="s">
        <v>20</v>
      </c>
      <c r="L3501">
        <v>81200</v>
      </c>
      <c r="M3501">
        <v>4500</v>
      </c>
      <c r="N3501">
        <v>85700</v>
      </c>
      <c r="O3501" t="s">
        <v>30</v>
      </c>
      <c r="P3501" s="3">
        <v>43042</v>
      </c>
      <c r="Q3501" t="s">
        <v>62</v>
      </c>
    </row>
    <row r="3502" spans="1:17" x14ac:dyDescent="0.35">
      <c r="A3502" t="s">
        <v>3554</v>
      </c>
      <c r="B3502" t="s">
        <v>16</v>
      </c>
      <c r="C3502">
        <v>24</v>
      </c>
      <c r="D3502" t="s">
        <v>34</v>
      </c>
      <c r="E3502" t="s">
        <v>47</v>
      </c>
      <c r="F3502" t="s">
        <v>19</v>
      </c>
      <c r="G3502">
        <v>11.5</v>
      </c>
      <c r="H3502">
        <v>6.7</v>
      </c>
      <c r="I3502" t="str" cm="1">
        <f t="array" ref="I3502">_xlfn.IFS(G3502&lt;3, "0–2 Years", G3502&lt;6, "3–5 Years", G3502&lt;9, "6–8 Years", G3502&lt;12, "9-11 Years", G3502&gt;=12, "12-14 Years")</f>
        <v>9-11 Years</v>
      </c>
      <c r="J3502">
        <v>3</v>
      </c>
      <c r="K3502" t="s">
        <v>69</v>
      </c>
      <c r="L3502">
        <v>66800</v>
      </c>
      <c r="M3502">
        <v>3400</v>
      </c>
      <c r="N3502">
        <v>70200</v>
      </c>
      <c r="O3502" t="s">
        <v>21</v>
      </c>
      <c r="P3502" s="3">
        <v>41827</v>
      </c>
      <c r="Q3502" t="s">
        <v>19</v>
      </c>
    </row>
    <row r="3503" spans="1:17" x14ac:dyDescent="0.35">
      <c r="A3503" t="s">
        <v>3555</v>
      </c>
      <c r="B3503" t="s">
        <v>16</v>
      </c>
      <c r="C3503">
        <v>44</v>
      </c>
      <c r="D3503" t="s">
        <v>17</v>
      </c>
      <c r="E3503" t="s">
        <v>32</v>
      </c>
      <c r="F3503" t="s">
        <v>28</v>
      </c>
      <c r="G3503">
        <v>7.5</v>
      </c>
      <c r="H3503">
        <v>6.1</v>
      </c>
      <c r="I3503" t="str" cm="1">
        <f t="array" ref="I3503">_xlfn.IFS(G3503&lt;3, "0–2 Years", G3503&lt;6, "3–5 Years", G3503&lt;9, "6–8 Years", G3503&lt;12, "9-11 Years", G3503&gt;=12, "12-14 Years")</f>
        <v>6–8 Years</v>
      </c>
      <c r="J3503">
        <v>3</v>
      </c>
      <c r="K3503" t="s">
        <v>24</v>
      </c>
      <c r="L3503">
        <v>42900</v>
      </c>
      <c r="M3503">
        <v>5500</v>
      </c>
      <c r="N3503">
        <v>48400</v>
      </c>
      <c r="O3503" t="s">
        <v>65</v>
      </c>
      <c r="P3503" s="3">
        <v>43270</v>
      </c>
      <c r="Q3503" t="s">
        <v>28</v>
      </c>
    </row>
    <row r="3504" spans="1:17" x14ac:dyDescent="0.35">
      <c r="A3504" t="s">
        <v>3556</v>
      </c>
      <c r="B3504" t="s">
        <v>16</v>
      </c>
      <c r="C3504">
        <v>44</v>
      </c>
      <c r="D3504" t="s">
        <v>34</v>
      </c>
      <c r="E3504" t="s">
        <v>47</v>
      </c>
      <c r="F3504" t="s">
        <v>28</v>
      </c>
      <c r="G3504">
        <v>7.9</v>
      </c>
      <c r="H3504">
        <v>6.1</v>
      </c>
      <c r="I3504" t="str" cm="1">
        <f t="array" ref="I3504">_xlfn.IFS(G3504&lt;3, "0–2 Years", G3504&lt;6, "3–5 Years", G3504&lt;9, "6–8 Years", G3504&lt;12, "9-11 Years", G3504&gt;=12, "12-14 Years")</f>
        <v>6–8 Years</v>
      </c>
      <c r="J3504">
        <v>3</v>
      </c>
      <c r="K3504" t="s">
        <v>20</v>
      </c>
      <c r="L3504">
        <v>75800</v>
      </c>
      <c r="M3504">
        <v>6900</v>
      </c>
      <c r="N3504">
        <v>82700</v>
      </c>
      <c r="O3504" t="s">
        <v>21</v>
      </c>
      <c r="P3504" s="3">
        <v>43132</v>
      </c>
      <c r="Q3504" t="s">
        <v>28</v>
      </c>
    </row>
    <row r="3505" spans="1:17" x14ac:dyDescent="0.35">
      <c r="A3505" t="s">
        <v>3557</v>
      </c>
      <c r="B3505" t="s">
        <v>16</v>
      </c>
      <c r="C3505">
        <v>21</v>
      </c>
      <c r="D3505" t="s">
        <v>38</v>
      </c>
      <c r="E3505" t="s">
        <v>112</v>
      </c>
      <c r="F3505" t="s">
        <v>28</v>
      </c>
      <c r="G3505">
        <v>10.8</v>
      </c>
      <c r="H3505">
        <v>8</v>
      </c>
      <c r="I3505" t="str" cm="1">
        <f t="array" ref="I3505">_xlfn.IFS(G3505&lt;3, "0–2 Years", G3505&lt;6, "3–5 Years", G3505&lt;9, "6–8 Years", G3505&lt;12, "9-11 Years", G3505&gt;=12, "12-14 Years")</f>
        <v>9-11 Years</v>
      </c>
      <c r="J3505">
        <v>4</v>
      </c>
      <c r="K3505" t="s">
        <v>20</v>
      </c>
      <c r="L3505">
        <v>75600</v>
      </c>
      <c r="M3505">
        <v>3100</v>
      </c>
      <c r="N3505">
        <v>78700</v>
      </c>
      <c r="O3505" t="s">
        <v>21</v>
      </c>
      <c r="P3505" s="3">
        <v>42089</v>
      </c>
      <c r="Q3505" t="s">
        <v>28</v>
      </c>
    </row>
    <row r="3506" spans="1:17" x14ac:dyDescent="0.35">
      <c r="A3506" t="s">
        <v>3558</v>
      </c>
      <c r="B3506" t="s">
        <v>23</v>
      </c>
      <c r="C3506">
        <v>30</v>
      </c>
      <c r="D3506" t="s">
        <v>55</v>
      </c>
      <c r="E3506" t="s">
        <v>79</v>
      </c>
      <c r="F3506" t="s">
        <v>28</v>
      </c>
      <c r="G3506">
        <v>11.3</v>
      </c>
      <c r="H3506">
        <v>7.2</v>
      </c>
      <c r="I3506" t="str" cm="1">
        <f t="array" ref="I3506">_xlfn.IFS(G3506&lt;3, "0–2 Years", G3506&lt;6, "3–5 Years", G3506&lt;9, "6–8 Years", G3506&lt;12, "9-11 Years", G3506&gt;=12, "12-14 Years")</f>
        <v>9-11 Years</v>
      </c>
      <c r="J3506">
        <v>3</v>
      </c>
      <c r="K3506" t="s">
        <v>20</v>
      </c>
      <c r="L3506">
        <v>65600</v>
      </c>
      <c r="M3506">
        <v>6900</v>
      </c>
      <c r="N3506">
        <v>72500</v>
      </c>
      <c r="O3506" t="s">
        <v>21</v>
      </c>
      <c r="P3506" s="3">
        <v>41892</v>
      </c>
      <c r="Q3506" t="s">
        <v>28</v>
      </c>
    </row>
    <row r="3507" spans="1:17" x14ac:dyDescent="0.35">
      <c r="A3507" t="s">
        <v>3559</v>
      </c>
      <c r="B3507" t="s">
        <v>23</v>
      </c>
      <c r="C3507">
        <v>36</v>
      </c>
      <c r="D3507" t="s">
        <v>44</v>
      </c>
      <c r="E3507" t="s">
        <v>81</v>
      </c>
      <c r="F3507" t="s">
        <v>28</v>
      </c>
      <c r="G3507">
        <v>8.6</v>
      </c>
      <c r="H3507">
        <v>6.8</v>
      </c>
      <c r="I3507" t="str" cm="1">
        <f t="array" ref="I3507">_xlfn.IFS(G3507&lt;3, "0–2 Years", G3507&lt;6, "3–5 Years", G3507&lt;9, "6–8 Years", G3507&lt;12, "9-11 Years", G3507&gt;=12, "12-14 Years")</f>
        <v>6–8 Years</v>
      </c>
      <c r="J3507">
        <v>3</v>
      </c>
      <c r="K3507" t="s">
        <v>20</v>
      </c>
      <c r="L3507">
        <v>102700</v>
      </c>
      <c r="M3507">
        <v>11700</v>
      </c>
      <c r="N3507">
        <v>114400</v>
      </c>
      <c r="O3507" t="s">
        <v>57</v>
      </c>
      <c r="P3507" s="3">
        <v>42879</v>
      </c>
      <c r="Q3507" t="s">
        <v>28</v>
      </c>
    </row>
    <row r="3508" spans="1:17" x14ac:dyDescent="0.35">
      <c r="A3508" t="s">
        <v>3560</v>
      </c>
      <c r="B3508" t="s">
        <v>16</v>
      </c>
      <c r="C3508">
        <v>38</v>
      </c>
      <c r="D3508" t="s">
        <v>55</v>
      </c>
      <c r="E3508" t="s">
        <v>92</v>
      </c>
      <c r="F3508" t="s">
        <v>36</v>
      </c>
      <c r="G3508">
        <v>2.2000000000000002</v>
      </c>
      <c r="H3508">
        <v>1.7</v>
      </c>
      <c r="I3508" t="str" cm="1">
        <f t="array" ref="I3508">_xlfn.IFS(G3508&lt;3, "0–2 Years", G3508&lt;6, "3–5 Years", G3508&lt;9, "6–8 Years", G3508&lt;12, "9-11 Years", G3508&gt;=12, "12-14 Years")</f>
        <v>0–2 Years</v>
      </c>
      <c r="J3508">
        <v>3</v>
      </c>
      <c r="K3508" t="s">
        <v>69</v>
      </c>
      <c r="L3508">
        <v>76400</v>
      </c>
      <c r="M3508">
        <v>6500</v>
      </c>
      <c r="N3508">
        <v>82900</v>
      </c>
      <c r="O3508" t="s">
        <v>21</v>
      </c>
      <c r="P3508" s="3">
        <v>45203</v>
      </c>
      <c r="Q3508" t="s">
        <v>36</v>
      </c>
    </row>
    <row r="3509" spans="1:17" x14ac:dyDescent="0.35">
      <c r="A3509" t="s">
        <v>3561</v>
      </c>
      <c r="B3509" t="s">
        <v>23</v>
      </c>
      <c r="C3509">
        <v>29</v>
      </c>
      <c r="D3509" t="s">
        <v>34</v>
      </c>
      <c r="E3509" t="s">
        <v>47</v>
      </c>
      <c r="F3509" t="s">
        <v>19</v>
      </c>
      <c r="G3509">
        <v>1.2</v>
      </c>
      <c r="H3509">
        <v>1.2</v>
      </c>
      <c r="I3509" t="str" cm="1">
        <f t="array" ref="I3509">_xlfn.IFS(G3509&lt;3, "0–2 Years", G3509&lt;6, "3–5 Years", G3509&lt;9, "6–8 Years", G3509&lt;12, "9-11 Years", G3509&gt;=12, "12-14 Years")</f>
        <v>0–2 Years</v>
      </c>
      <c r="J3509">
        <v>3</v>
      </c>
      <c r="K3509" t="s">
        <v>20</v>
      </c>
      <c r="L3509">
        <v>73400</v>
      </c>
      <c r="M3509">
        <v>6700</v>
      </c>
      <c r="N3509">
        <v>80100</v>
      </c>
      <c r="O3509" t="s">
        <v>21</v>
      </c>
      <c r="P3509" s="3">
        <v>45595</v>
      </c>
      <c r="Q3509" t="s">
        <v>19</v>
      </c>
    </row>
    <row r="3510" spans="1:17" x14ac:dyDescent="0.35">
      <c r="A3510" t="s">
        <v>3562</v>
      </c>
      <c r="B3510" t="s">
        <v>23</v>
      </c>
      <c r="C3510">
        <v>21</v>
      </c>
      <c r="D3510" t="s">
        <v>38</v>
      </c>
      <c r="E3510" t="s">
        <v>39</v>
      </c>
      <c r="F3510" t="s">
        <v>28</v>
      </c>
      <c r="G3510">
        <v>7.3</v>
      </c>
      <c r="H3510">
        <v>4</v>
      </c>
      <c r="I3510" t="str" cm="1">
        <f t="array" ref="I3510">_xlfn.IFS(G3510&lt;3, "0–2 Years", G3510&lt;6, "3–5 Years", G3510&lt;9, "6–8 Years", G3510&lt;12, "9-11 Years", G3510&gt;=12, "12-14 Years")</f>
        <v>6–8 Years</v>
      </c>
      <c r="J3510">
        <v>2</v>
      </c>
      <c r="K3510" t="s">
        <v>20</v>
      </c>
      <c r="L3510">
        <v>80100</v>
      </c>
      <c r="M3510">
        <v>7400</v>
      </c>
      <c r="N3510">
        <v>87500</v>
      </c>
      <c r="O3510" t="s">
        <v>30</v>
      </c>
      <c r="P3510" s="3">
        <v>43364</v>
      </c>
      <c r="Q3510" t="s">
        <v>28</v>
      </c>
    </row>
    <row r="3511" spans="1:17" x14ac:dyDescent="0.35">
      <c r="A3511" t="s">
        <v>3563</v>
      </c>
      <c r="B3511" t="s">
        <v>23</v>
      </c>
      <c r="C3511">
        <v>30</v>
      </c>
      <c r="D3511" t="s">
        <v>41</v>
      </c>
      <c r="E3511" t="s">
        <v>67</v>
      </c>
      <c r="F3511" t="s">
        <v>19</v>
      </c>
      <c r="G3511">
        <v>4.2</v>
      </c>
      <c r="H3511">
        <v>1.8</v>
      </c>
      <c r="I3511" t="str" cm="1">
        <f t="array" ref="I3511">_xlfn.IFS(G3511&lt;3, "0–2 Years", G3511&lt;6, "3–5 Years", G3511&lt;9, "6–8 Years", G3511&lt;12, "9-11 Years", G3511&gt;=12, "12-14 Years")</f>
        <v>3–5 Years</v>
      </c>
      <c r="J3511">
        <v>3</v>
      </c>
      <c r="K3511" t="s">
        <v>24</v>
      </c>
      <c r="L3511">
        <v>37100</v>
      </c>
      <c r="M3511">
        <v>1800</v>
      </c>
      <c r="N3511">
        <v>38900</v>
      </c>
      <c r="O3511" t="s">
        <v>65</v>
      </c>
      <c r="P3511" s="3">
        <v>44498</v>
      </c>
      <c r="Q3511" t="s">
        <v>19</v>
      </c>
    </row>
    <row r="3512" spans="1:17" x14ac:dyDescent="0.35">
      <c r="A3512" t="s">
        <v>3564</v>
      </c>
      <c r="B3512" t="s">
        <v>16</v>
      </c>
      <c r="C3512">
        <v>35</v>
      </c>
      <c r="D3512" t="s">
        <v>17</v>
      </c>
      <c r="E3512" t="s">
        <v>32</v>
      </c>
      <c r="F3512" t="s">
        <v>62</v>
      </c>
      <c r="G3512">
        <v>2.5</v>
      </c>
      <c r="H3512">
        <v>0</v>
      </c>
      <c r="I3512" t="str" cm="1">
        <f t="array" ref="I3512">_xlfn.IFS(G3512&lt;3, "0–2 Years", G3512&lt;6, "3–5 Years", G3512&lt;9, "6–8 Years", G3512&lt;12, "9-11 Years", G3512&gt;=12, "12-14 Years")</f>
        <v>0–2 Years</v>
      </c>
      <c r="J3512">
        <v>3</v>
      </c>
      <c r="K3512" t="s">
        <v>69</v>
      </c>
      <c r="L3512">
        <v>57500</v>
      </c>
      <c r="M3512">
        <v>6000</v>
      </c>
      <c r="N3512">
        <v>63500</v>
      </c>
      <c r="O3512" t="s">
        <v>25</v>
      </c>
      <c r="P3512" s="3">
        <v>45125</v>
      </c>
      <c r="Q3512" t="s">
        <v>62</v>
      </c>
    </row>
    <row r="3513" spans="1:17" x14ac:dyDescent="0.35">
      <c r="A3513" t="s">
        <v>3565</v>
      </c>
      <c r="B3513" t="s">
        <v>16</v>
      </c>
      <c r="C3513">
        <v>40</v>
      </c>
      <c r="D3513" t="s">
        <v>34</v>
      </c>
      <c r="E3513" t="s">
        <v>59</v>
      </c>
      <c r="F3513" t="s">
        <v>19</v>
      </c>
      <c r="G3513">
        <v>8</v>
      </c>
      <c r="H3513">
        <v>5.5</v>
      </c>
      <c r="I3513" t="str" cm="1">
        <f t="array" ref="I3513">_xlfn.IFS(G3513&lt;3, "0–2 Years", G3513&lt;6, "3–5 Years", G3513&lt;9, "6–8 Years", G3513&lt;12, "9-11 Years", G3513&gt;=12, "12-14 Years")</f>
        <v>6–8 Years</v>
      </c>
      <c r="J3513">
        <v>1</v>
      </c>
      <c r="K3513" t="s">
        <v>20</v>
      </c>
      <c r="L3513">
        <v>97000</v>
      </c>
      <c r="M3513">
        <v>8400</v>
      </c>
      <c r="N3513">
        <v>105400</v>
      </c>
      <c r="O3513" t="s">
        <v>30</v>
      </c>
      <c r="P3513" s="3">
        <v>43088</v>
      </c>
      <c r="Q3513" t="s">
        <v>19</v>
      </c>
    </row>
    <row r="3514" spans="1:17" x14ac:dyDescent="0.35">
      <c r="A3514" t="s">
        <v>3566</v>
      </c>
      <c r="B3514" t="s">
        <v>23</v>
      </c>
      <c r="C3514" s="7">
        <v>23</v>
      </c>
      <c r="D3514" t="s">
        <v>38</v>
      </c>
      <c r="E3514" t="s">
        <v>39</v>
      </c>
      <c r="F3514" t="s">
        <v>28</v>
      </c>
      <c r="G3514" s="9">
        <v>12.4</v>
      </c>
      <c r="H3514" s="7">
        <v>6.4</v>
      </c>
      <c r="I3514" t="str" cm="1">
        <f t="array" ref="I3514">_xlfn.IFS(G3514&lt;3, "0–2 Years", G3514&lt;6, "3–5 Years", G3514&lt;9, "6–8 Years", G3514&lt;12, "9-11 Years", G3514&gt;=12, "12-14 Years")</f>
        <v>12-14 Years</v>
      </c>
      <c r="J3514" s="7">
        <v>3</v>
      </c>
      <c r="K3514" t="s">
        <v>20</v>
      </c>
      <c r="L3514" s="7">
        <v>101200</v>
      </c>
      <c r="M3514" s="7">
        <v>4500</v>
      </c>
      <c r="N3514" s="7">
        <v>105700</v>
      </c>
      <c r="O3514" t="s">
        <v>57</v>
      </c>
      <c r="P3514" s="3">
        <v>41487</v>
      </c>
      <c r="Q3514" t="s">
        <v>28</v>
      </c>
    </row>
    <row r="3515" spans="1:17" x14ac:dyDescent="0.35">
      <c r="A3515" t="s">
        <v>3567</v>
      </c>
      <c r="B3515" t="s">
        <v>16</v>
      </c>
      <c r="C3515">
        <v>38</v>
      </c>
      <c r="D3515" t="s">
        <v>55</v>
      </c>
      <c r="E3515" t="s">
        <v>79</v>
      </c>
      <c r="G3515">
        <v>11.4</v>
      </c>
      <c r="H3515">
        <v>7.7</v>
      </c>
      <c r="I3515" t="str" cm="1">
        <f t="array" ref="I3515">_xlfn.IFS(G3515&lt;3, "0–2 Years", G3515&lt;6, "3–5 Years", G3515&lt;9, "6–8 Years", G3515&lt;12, "9-11 Years", G3515&gt;=12, "12-14 Years")</f>
        <v>9-11 Years</v>
      </c>
      <c r="J3515">
        <v>4</v>
      </c>
      <c r="K3515" t="s">
        <v>20</v>
      </c>
      <c r="L3515">
        <v>80500</v>
      </c>
      <c r="M3515">
        <v>16300</v>
      </c>
      <c r="N3515">
        <v>96800</v>
      </c>
      <c r="O3515" t="s">
        <v>30</v>
      </c>
      <c r="P3515" s="3">
        <v>41844</v>
      </c>
      <c r="Q3515" t="s">
        <v>5104</v>
      </c>
    </row>
    <row r="3516" spans="1:17" x14ac:dyDescent="0.35">
      <c r="A3516" t="s">
        <v>3568</v>
      </c>
      <c r="B3516" t="s">
        <v>23</v>
      </c>
      <c r="C3516">
        <v>39</v>
      </c>
      <c r="D3516" t="s">
        <v>17</v>
      </c>
      <c r="E3516" t="s">
        <v>27</v>
      </c>
      <c r="F3516" t="s">
        <v>36</v>
      </c>
      <c r="G3516">
        <v>8.4</v>
      </c>
      <c r="H3516">
        <v>5.8</v>
      </c>
      <c r="I3516" t="str" cm="1">
        <f t="array" ref="I3516">_xlfn.IFS(G3516&lt;3, "0–2 Years", G3516&lt;6, "3–5 Years", G3516&lt;9, "6–8 Years", G3516&lt;12, "9-11 Years", G3516&gt;=12, "12-14 Years")</f>
        <v>6–8 Years</v>
      </c>
      <c r="J3516">
        <v>3</v>
      </c>
      <c r="K3516" t="s">
        <v>20</v>
      </c>
      <c r="L3516">
        <v>82000</v>
      </c>
      <c r="M3516">
        <v>4600</v>
      </c>
      <c r="N3516">
        <v>86600</v>
      </c>
      <c r="O3516" t="s">
        <v>30</v>
      </c>
      <c r="P3516" s="3">
        <v>42971</v>
      </c>
      <c r="Q3516" t="s">
        <v>36</v>
      </c>
    </row>
    <row r="3517" spans="1:17" x14ac:dyDescent="0.35">
      <c r="A3517" t="s">
        <v>3569</v>
      </c>
      <c r="B3517" t="s">
        <v>16</v>
      </c>
      <c r="C3517">
        <v>35</v>
      </c>
      <c r="D3517" t="s">
        <v>34</v>
      </c>
      <c r="E3517" t="s">
        <v>35</v>
      </c>
      <c r="F3517" t="s">
        <v>28</v>
      </c>
      <c r="G3517">
        <v>6.1</v>
      </c>
      <c r="H3517">
        <v>1.6</v>
      </c>
      <c r="I3517" t="str" cm="1">
        <f t="array" ref="I3517">_xlfn.IFS(G3517&lt;3, "0–2 Years", G3517&lt;6, "3–5 Years", G3517&lt;9, "6–8 Years", G3517&lt;12, "9-11 Years", G3517&gt;=12, "12-14 Years")</f>
        <v>6–8 Years</v>
      </c>
      <c r="J3517">
        <v>4</v>
      </c>
      <c r="K3517" t="s">
        <v>69</v>
      </c>
      <c r="L3517">
        <v>65300</v>
      </c>
      <c r="M3517">
        <v>4900</v>
      </c>
      <c r="N3517">
        <v>70200</v>
      </c>
      <c r="O3517" t="s">
        <v>21</v>
      </c>
      <c r="P3517" s="3">
        <v>43808</v>
      </c>
      <c r="Q3517" t="s">
        <v>28</v>
      </c>
    </row>
    <row r="3518" spans="1:17" x14ac:dyDescent="0.35">
      <c r="A3518" t="s">
        <v>3570</v>
      </c>
      <c r="B3518" t="s">
        <v>23</v>
      </c>
      <c r="C3518">
        <v>44</v>
      </c>
      <c r="D3518" t="s">
        <v>41</v>
      </c>
      <c r="E3518" t="s">
        <v>67</v>
      </c>
      <c r="F3518" t="s">
        <v>36</v>
      </c>
      <c r="G3518">
        <v>9.5</v>
      </c>
      <c r="H3518">
        <v>5.9</v>
      </c>
      <c r="I3518" t="str" cm="1">
        <f t="array" ref="I3518">_xlfn.IFS(G3518&lt;3, "0–2 Years", G3518&lt;6, "3–5 Years", G3518&lt;9, "6–8 Years", G3518&lt;12, "9-11 Years", G3518&gt;=12, "12-14 Years")</f>
        <v>9-11 Years</v>
      </c>
      <c r="J3518">
        <v>1</v>
      </c>
      <c r="K3518" t="s">
        <v>20</v>
      </c>
      <c r="L3518">
        <v>77500</v>
      </c>
      <c r="M3518">
        <v>3400</v>
      </c>
      <c r="N3518">
        <v>80900</v>
      </c>
      <c r="O3518" t="s">
        <v>21</v>
      </c>
      <c r="P3518" s="3">
        <v>42544</v>
      </c>
      <c r="Q3518" t="s">
        <v>36</v>
      </c>
    </row>
    <row r="3519" spans="1:17" x14ac:dyDescent="0.35">
      <c r="A3519" t="s">
        <v>3571</v>
      </c>
      <c r="B3519" t="s">
        <v>23</v>
      </c>
      <c r="C3519" s="7">
        <v>42</v>
      </c>
      <c r="D3519" t="s">
        <v>41</v>
      </c>
      <c r="E3519" t="s">
        <v>67</v>
      </c>
      <c r="F3519" t="s">
        <v>28</v>
      </c>
      <c r="G3519" s="9">
        <v>12.5</v>
      </c>
      <c r="H3519" s="7">
        <v>6</v>
      </c>
      <c r="I3519" t="str" cm="1">
        <f t="array" ref="I3519">_xlfn.IFS(G3519&lt;3, "0–2 Years", G3519&lt;6, "3–5 Years", G3519&lt;9, "6–8 Years", G3519&lt;12, "9-11 Years", G3519&gt;=12, "12-14 Years")</f>
        <v>12-14 Years</v>
      </c>
      <c r="J3519" s="7">
        <v>3</v>
      </c>
      <c r="K3519" t="s">
        <v>20</v>
      </c>
      <c r="L3519" s="7">
        <v>73400</v>
      </c>
      <c r="M3519" s="7">
        <v>2900</v>
      </c>
      <c r="N3519" s="7">
        <v>76300</v>
      </c>
      <c r="O3519" t="s">
        <v>21</v>
      </c>
      <c r="P3519" s="3">
        <v>41445</v>
      </c>
      <c r="Q3519" t="s">
        <v>28</v>
      </c>
    </row>
    <row r="3520" spans="1:17" x14ac:dyDescent="0.35">
      <c r="A3520" t="s">
        <v>3572</v>
      </c>
      <c r="B3520" t="s">
        <v>16</v>
      </c>
      <c r="C3520" s="7">
        <v>41</v>
      </c>
      <c r="D3520" t="s">
        <v>17</v>
      </c>
      <c r="E3520" t="s">
        <v>27</v>
      </c>
      <c r="F3520" t="s">
        <v>62</v>
      </c>
      <c r="G3520" s="9">
        <v>13.8</v>
      </c>
      <c r="H3520" s="7">
        <v>9.6</v>
      </c>
      <c r="I3520" t="str" cm="1">
        <f t="array" ref="I3520">_xlfn.IFS(G3520&lt;3, "0–2 Years", G3520&lt;6, "3–5 Years", G3520&lt;9, "6–8 Years", G3520&lt;12, "9-11 Years", G3520&gt;=12, "12-14 Years")</f>
        <v>12-14 Years</v>
      </c>
      <c r="J3520" s="7">
        <v>4</v>
      </c>
      <c r="K3520" t="s">
        <v>20</v>
      </c>
      <c r="L3520" s="7">
        <v>88500</v>
      </c>
      <c r="M3520" s="7">
        <v>4700</v>
      </c>
      <c r="N3520" s="7">
        <v>93200</v>
      </c>
      <c r="O3520" t="s">
        <v>30</v>
      </c>
      <c r="P3520" s="3">
        <v>40993</v>
      </c>
      <c r="Q3520" t="s">
        <v>62</v>
      </c>
    </row>
    <row r="3521" spans="1:17" x14ac:dyDescent="0.35">
      <c r="A3521" t="s">
        <v>3573</v>
      </c>
      <c r="B3521" t="s">
        <v>23</v>
      </c>
      <c r="C3521">
        <v>43</v>
      </c>
      <c r="D3521" t="s">
        <v>34</v>
      </c>
      <c r="E3521" t="s">
        <v>59</v>
      </c>
      <c r="F3521" t="s">
        <v>36</v>
      </c>
      <c r="G3521">
        <v>7</v>
      </c>
      <c r="H3521">
        <v>4.9000000000000004</v>
      </c>
      <c r="I3521" t="str" cm="1">
        <f t="array" ref="I3521">_xlfn.IFS(G3521&lt;3, "0–2 Years", G3521&lt;6, "3–5 Years", G3521&lt;9, "6–8 Years", G3521&lt;12, "9-11 Years", G3521&gt;=12, "12-14 Years")</f>
        <v>6–8 Years</v>
      </c>
      <c r="J3521">
        <v>1</v>
      </c>
      <c r="K3521" t="s">
        <v>20</v>
      </c>
      <c r="L3521">
        <v>102900</v>
      </c>
      <c r="M3521">
        <v>9600</v>
      </c>
      <c r="N3521">
        <v>112500</v>
      </c>
      <c r="O3521" t="s">
        <v>57</v>
      </c>
      <c r="P3521" s="3">
        <v>43477</v>
      </c>
      <c r="Q3521" t="s">
        <v>36</v>
      </c>
    </row>
    <row r="3522" spans="1:17" x14ac:dyDescent="0.35">
      <c r="A3522" t="s">
        <v>3574</v>
      </c>
      <c r="B3522" t="s">
        <v>16</v>
      </c>
      <c r="C3522">
        <v>32</v>
      </c>
      <c r="D3522" t="s">
        <v>17</v>
      </c>
      <c r="E3522" t="s">
        <v>32</v>
      </c>
      <c r="F3522" t="s">
        <v>28</v>
      </c>
      <c r="G3522">
        <v>2.2999999999999998</v>
      </c>
      <c r="H3522">
        <v>2.2999999999999998</v>
      </c>
      <c r="I3522" t="str" cm="1">
        <f t="array" ref="I3522">_xlfn.IFS(G3522&lt;3, "0–2 Years", G3522&lt;6, "3–5 Years", G3522&lt;9, "6–8 Years", G3522&lt;12, "9-11 Years", G3522&gt;=12, "12-14 Years")</f>
        <v>0–2 Years</v>
      </c>
      <c r="J3522">
        <v>3</v>
      </c>
      <c r="K3522" t="s">
        <v>20</v>
      </c>
      <c r="L3522">
        <v>59200</v>
      </c>
      <c r="M3522">
        <v>7400</v>
      </c>
      <c r="N3522">
        <v>66600</v>
      </c>
      <c r="O3522" t="s">
        <v>25</v>
      </c>
      <c r="P3522" s="3">
        <v>45172</v>
      </c>
      <c r="Q3522" t="s">
        <v>28</v>
      </c>
    </row>
    <row r="3523" spans="1:17" x14ac:dyDescent="0.35">
      <c r="A3523" t="s">
        <v>3575</v>
      </c>
      <c r="B3523" t="s">
        <v>23</v>
      </c>
      <c r="C3523">
        <v>33</v>
      </c>
      <c r="D3523" t="s">
        <v>34</v>
      </c>
      <c r="E3523" t="s">
        <v>59</v>
      </c>
      <c r="F3523" t="s">
        <v>36</v>
      </c>
      <c r="G3523">
        <v>7.2</v>
      </c>
      <c r="H3523">
        <v>3.6</v>
      </c>
      <c r="I3523" t="str" cm="1">
        <f t="array" ref="I3523">_xlfn.IFS(G3523&lt;3, "0–2 Years", G3523&lt;6, "3–5 Years", G3523&lt;9, "6–8 Years", G3523&lt;12, "9-11 Years", G3523&gt;=12, "12-14 Years")</f>
        <v>6–8 Years</v>
      </c>
      <c r="J3523">
        <v>4</v>
      </c>
      <c r="K3523" t="s">
        <v>20</v>
      </c>
      <c r="L3523">
        <v>104500</v>
      </c>
      <c r="M3523">
        <v>11600</v>
      </c>
      <c r="N3523">
        <v>116100</v>
      </c>
      <c r="O3523" t="s">
        <v>57</v>
      </c>
      <c r="P3523" s="3">
        <v>43407</v>
      </c>
      <c r="Q3523" t="s">
        <v>36</v>
      </c>
    </row>
    <row r="3524" spans="1:17" x14ac:dyDescent="0.35">
      <c r="A3524" t="s">
        <v>3576</v>
      </c>
      <c r="B3524" t="s">
        <v>23</v>
      </c>
      <c r="C3524">
        <v>33</v>
      </c>
      <c r="D3524" t="s">
        <v>34</v>
      </c>
      <c r="E3524" t="s">
        <v>59</v>
      </c>
      <c r="F3524" t="s">
        <v>36</v>
      </c>
      <c r="G3524">
        <v>10.5</v>
      </c>
      <c r="H3524">
        <v>5.6</v>
      </c>
      <c r="I3524" t="str" cm="1">
        <f t="array" ref="I3524">_xlfn.IFS(G3524&lt;3, "0–2 Years", G3524&lt;6, "3–5 Years", G3524&lt;9, "6–8 Years", G3524&lt;12, "9-11 Years", G3524&gt;=12, "12-14 Years")</f>
        <v>9-11 Years</v>
      </c>
      <c r="J3524">
        <v>4</v>
      </c>
      <c r="K3524" t="s">
        <v>20</v>
      </c>
      <c r="L3524">
        <v>106200</v>
      </c>
      <c r="M3524">
        <v>8400</v>
      </c>
      <c r="N3524">
        <v>114600</v>
      </c>
      <c r="O3524" t="s">
        <v>57</v>
      </c>
      <c r="P3524" s="3">
        <v>42181</v>
      </c>
      <c r="Q3524" t="s">
        <v>36</v>
      </c>
    </row>
    <row r="3525" spans="1:17" x14ac:dyDescent="0.35">
      <c r="A3525" t="s">
        <v>3577</v>
      </c>
      <c r="B3525" t="s">
        <v>23</v>
      </c>
      <c r="C3525" s="7">
        <v>34</v>
      </c>
      <c r="D3525" t="s">
        <v>38</v>
      </c>
      <c r="E3525" t="s">
        <v>39</v>
      </c>
      <c r="F3525" t="s">
        <v>28</v>
      </c>
      <c r="G3525" s="9">
        <v>13.5</v>
      </c>
      <c r="H3525" s="7">
        <v>9</v>
      </c>
      <c r="I3525" t="str" cm="1">
        <f t="array" ref="I3525">_xlfn.IFS(G3525&lt;3, "0–2 Years", G3525&lt;6, "3–5 Years", G3525&lt;9, "6–8 Years", G3525&lt;12, "9-11 Years", G3525&gt;=12, "12-14 Years")</f>
        <v>12-14 Years</v>
      </c>
      <c r="J3525" s="7">
        <v>2</v>
      </c>
      <c r="K3525" t="s">
        <v>20</v>
      </c>
      <c r="L3525" s="7">
        <v>86500</v>
      </c>
      <c r="M3525" s="7">
        <v>6500</v>
      </c>
      <c r="N3525" s="7">
        <v>93000</v>
      </c>
      <c r="O3525" t="s">
        <v>30</v>
      </c>
      <c r="P3525" s="3">
        <v>41089</v>
      </c>
      <c r="Q3525" t="s">
        <v>28</v>
      </c>
    </row>
    <row r="3526" spans="1:17" x14ac:dyDescent="0.35">
      <c r="A3526" t="s">
        <v>3578</v>
      </c>
      <c r="B3526" t="s">
        <v>23</v>
      </c>
      <c r="C3526">
        <v>46</v>
      </c>
      <c r="D3526" t="s">
        <v>38</v>
      </c>
      <c r="E3526" t="s">
        <v>61</v>
      </c>
      <c r="F3526" t="s">
        <v>36</v>
      </c>
      <c r="G3526">
        <v>6.6</v>
      </c>
      <c r="H3526">
        <v>6.6</v>
      </c>
      <c r="I3526" t="str" cm="1">
        <f t="array" ref="I3526">_xlfn.IFS(G3526&lt;3, "0–2 Years", G3526&lt;6, "3–5 Years", G3526&lt;9, "6–8 Years", G3526&lt;12, "9-11 Years", G3526&gt;=12, "12-14 Years")</f>
        <v>6–8 Years</v>
      </c>
      <c r="J3526">
        <v>4</v>
      </c>
      <c r="K3526" t="s">
        <v>20</v>
      </c>
      <c r="L3526">
        <v>106400</v>
      </c>
      <c r="M3526">
        <v>7000</v>
      </c>
      <c r="N3526">
        <v>113400</v>
      </c>
      <c r="O3526" t="s">
        <v>57</v>
      </c>
      <c r="P3526" s="3">
        <v>43628</v>
      </c>
      <c r="Q3526" t="s">
        <v>36</v>
      </c>
    </row>
    <row r="3527" spans="1:17" x14ac:dyDescent="0.35">
      <c r="A3527" t="s">
        <v>3579</v>
      </c>
      <c r="B3527" t="s">
        <v>16</v>
      </c>
      <c r="C3527">
        <v>35</v>
      </c>
      <c r="D3527" t="s">
        <v>44</v>
      </c>
      <c r="E3527" t="s">
        <v>76</v>
      </c>
      <c r="F3527" t="s">
        <v>62</v>
      </c>
      <c r="G3527">
        <v>5.8</v>
      </c>
      <c r="H3527">
        <v>2.6</v>
      </c>
      <c r="I3527" t="str" cm="1">
        <f t="array" ref="I3527">_xlfn.IFS(G3527&lt;3, "0–2 Years", G3527&lt;6, "3–5 Years", G3527&lt;9, "6–8 Years", G3527&lt;12, "9-11 Years", G3527&gt;=12, "12-14 Years")</f>
        <v>3–5 Years</v>
      </c>
      <c r="J3527">
        <v>3</v>
      </c>
      <c r="K3527" t="s">
        <v>69</v>
      </c>
      <c r="L3527">
        <v>94900</v>
      </c>
      <c r="M3527">
        <v>5300</v>
      </c>
      <c r="N3527">
        <v>100200</v>
      </c>
      <c r="O3527" t="s">
        <v>30</v>
      </c>
      <c r="P3527" s="3">
        <v>43922</v>
      </c>
      <c r="Q3527" t="s">
        <v>62</v>
      </c>
    </row>
    <row r="3528" spans="1:17" x14ac:dyDescent="0.35">
      <c r="A3528" t="s">
        <v>3580</v>
      </c>
      <c r="B3528" t="s">
        <v>16</v>
      </c>
      <c r="C3528">
        <v>37</v>
      </c>
      <c r="D3528" t="s">
        <v>17</v>
      </c>
      <c r="E3528" t="s">
        <v>18</v>
      </c>
      <c r="F3528" t="s">
        <v>19</v>
      </c>
      <c r="G3528">
        <v>5.3</v>
      </c>
      <c r="H3528">
        <v>3.9</v>
      </c>
      <c r="I3528" t="str" cm="1">
        <f t="array" ref="I3528">_xlfn.IFS(G3528&lt;3, "0–2 Years", G3528&lt;6, "3–5 Years", G3528&lt;9, "6–8 Years", G3528&lt;12, "9-11 Years", G3528&gt;=12, "12-14 Years")</f>
        <v>3–5 Years</v>
      </c>
      <c r="J3528">
        <v>4</v>
      </c>
      <c r="K3528" t="s">
        <v>24</v>
      </c>
      <c r="L3528">
        <v>60300</v>
      </c>
      <c r="M3528">
        <v>5400</v>
      </c>
      <c r="N3528">
        <v>65700</v>
      </c>
      <c r="O3528" t="s">
        <v>25</v>
      </c>
      <c r="P3528" s="3">
        <v>44070</v>
      </c>
      <c r="Q3528" t="s">
        <v>19</v>
      </c>
    </row>
    <row r="3529" spans="1:17" x14ac:dyDescent="0.35">
      <c r="A3529" t="s">
        <v>3581</v>
      </c>
      <c r="B3529" t="s">
        <v>16</v>
      </c>
      <c r="C3529" s="7">
        <v>45</v>
      </c>
      <c r="D3529" t="s">
        <v>38</v>
      </c>
      <c r="E3529" t="s">
        <v>112</v>
      </c>
      <c r="F3529" t="s">
        <v>28</v>
      </c>
      <c r="G3529" s="9">
        <v>12</v>
      </c>
      <c r="H3529" s="7">
        <v>7.8</v>
      </c>
      <c r="I3529" t="str" cm="1">
        <f t="array" ref="I3529">_xlfn.IFS(G3529&lt;3, "0–2 Years", G3529&lt;6, "3–5 Years", G3529&lt;9, "6–8 Years", G3529&lt;12, "9-11 Years", G3529&gt;=12, "12-14 Years")</f>
        <v>12-14 Years</v>
      </c>
      <c r="J3529" s="7">
        <v>4</v>
      </c>
      <c r="K3529" t="s">
        <v>20</v>
      </c>
      <c r="L3529" s="7">
        <v>75500</v>
      </c>
      <c r="M3529" s="7">
        <v>2700</v>
      </c>
      <c r="N3529" s="7">
        <v>78200</v>
      </c>
      <c r="O3529" t="s">
        <v>21</v>
      </c>
      <c r="P3529" s="3">
        <v>41632</v>
      </c>
      <c r="Q3529" t="s">
        <v>28</v>
      </c>
    </row>
    <row r="3530" spans="1:17" x14ac:dyDescent="0.35">
      <c r="A3530" t="s">
        <v>3582</v>
      </c>
      <c r="B3530" t="s">
        <v>23</v>
      </c>
      <c r="C3530">
        <v>43</v>
      </c>
      <c r="D3530" t="s">
        <v>17</v>
      </c>
      <c r="E3530" t="s">
        <v>27</v>
      </c>
      <c r="F3530" t="s">
        <v>28</v>
      </c>
      <c r="G3530">
        <v>6</v>
      </c>
      <c r="H3530">
        <v>5</v>
      </c>
      <c r="I3530" t="str" cm="1">
        <f t="array" ref="I3530">_xlfn.IFS(G3530&lt;3, "0–2 Years", G3530&lt;6, "3–5 Years", G3530&lt;9, "6–8 Years", G3530&lt;12, "9-11 Years", G3530&gt;=12, "12-14 Years")</f>
        <v>6–8 Years</v>
      </c>
      <c r="J3530">
        <v>3</v>
      </c>
      <c r="K3530" t="s">
        <v>20</v>
      </c>
      <c r="L3530">
        <v>84300</v>
      </c>
      <c r="M3530">
        <v>7100</v>
      </c>
      <c r="N3530">
        <v>91400</v>
      </c>
      <c r="O3530" t="s">
        <v>30</v>
      </c>
      <c r="P3530" s="3">
        <v>43826</v>
      </c>
      <c r="Q3530" t="s">
        <v>28</v>
      </c>
    </row>
    <row r="3531" spans="1:17" x14ac:dyDescent="0.35">
      <c r="A3531" t="s">
        <v>3583</v>
      </c>
      <c r="B3531" t="s">
        <v>16</v>
      </c>
      <c r="C3531">
        <v>36</v>
      </c>
      <c r="D3531" t="s">
        <v>41</v>
      </c>
      <c r="E3531" t="s">
        <v>67</v>
      </c>
      <c r="F3531" t="s">
        <v>36</v>
      </c>
      <c r="G3531">
        <v>11</v>
      </c>
      <c r="H3531">
        <v>8</v>
      </c>
      <c r="I3531" t="str" cm="1">
        <f t="array" ref="I3531">_xlfn.IFS(G3531&lt;3, "0–2 Years", G3531&lt;6, "3–5 Years", G3531&lt;9, "6–8 Years", G3531&lt;12, "9-11 Years", G3531&gt;=12, "12-14 Years")</f>
        <v>9-11 Years</v>
      </c>
      <c r="J3531">
        <v>4</v>
      </c>
      <c r="K3531" t="s">
        <v>20</v>
      </c>
      <c r="L3531">
        <v>79400</v>
      </c>
      <c r="M3531">
        <v>6700</v>
      </c>
      <c r="N3531">
        <v>86100</v>
      </c>
      <c r="O3531" t="s">
        <v>21</v>
      </c>
      <c r="P3531" s="3">
        <v>42012</v>
      </c>
      <c r="Q3531" t="s">
        <v>36</v>
      </c>
    </row>
    <row r="3532" spans="1:17" x14ac:dyDescent="0.35">
      <c r="A3532" t="s">
        <v>3584</v>
      </c>
      <c r="B3532" t="s">
        <v>23</v>
      </c>
      <c r="C3532" s="7">
        <v>36</v>
      </c>
      <c r="D3532" t="s">
        <v>55</v>
      </c>
      <c r="E3532" t="s">
        <v>79</v>
      </c>
      <c r="F3532" t="s">
        <v>36</v>
      </c>
      <c r="G3532" s="9">
        <v>13.5</v>
      </c>
      <c r="H3532" s="7">
        <v>7.8</v>
      </c>
      <c r="I3532" t="str" cm="1">
        <f t="array" ref="I3532">_xlfn.IFS(G3532&lt;3, "0–2 Years", G3532&lt;6, "3–5 Years", G3532&lt;9, "6–8 Years", G3532&lt;12, "9-11 Years", G3532&gt;=12, "12-14 Years")</f>
        <v>12-14 Years</v>
      </c>
      <c r="J3532" s="7">
        <v>3</v>
      </c>
      <c r="K3532" t="s">
        <v>20</v>
      </c>
      <c r="L3532" s="7">
        <v>82400</v>
      </c>
      <c r="M3532" s="7">
        <v>7600</v>
      </c>
      <c r="N3532" s="7">
        <v>90000</v>
      </c>
      <c r="O3532" t="s">
        <v>30</v>
      </c>
      <c r="P3532" s="3">
        <v>41078</v>
      </c>
      <c r="Q3532" t="s">
        <v>36</v>
      </c>
    </row>
    <row r="3533" spans="1:17" x14ac:dyDescent="0.35">
      <c r="A3533" t="s">
        <v>3585</v>
      </c>
      <c r="B3533" t="s">
        <v>23</v>
      </c>
      <c r="C3533">
        <v>40</v>
      </c>
      <c r="D3533" t="s">
        <v>34</v>
      </c>
      <c r="E3533" t="s">
        <v>47</v>
      </c>
      <c r="F3533" t="s">
        <v>28</v>
      </c>
      <c r="G3533">
        <v>2</v>
      </c>
      <c r="H3533">
        <v>0.9</v>
      </c>
      <c r="I3533" t="str" cm="1">
        <f t="array" ref="I3533">_xlfn.IFS(G3533&lt;3, "0–2 Years", G3533&lt;6, "3–5 Years", G3533&lt;9, "6–8 Years", G3533&lt;12, "9-11 Years", G3533&gt;=12, "12-14 Years")</f>
        <v>0–2 Years</v>
      </c>
      <c r="J3533">
        <v>3</v>
      </c>
      <c r="K3533" t="s">
        <v>20</v>
      </c>
      <c r="L3533">
        <v>72100</v>
      </c>
      <c r="M3533">
        <v>5400</v>
      </c>
      <c r="N3533">
        <v>77500</v>
      </c>
      <c r="O3533" t="s">
        <v>21</v>
      </c>
      <c r="P3533" s="3">
        <v>45303</v>
      </c>
      <c r="Q3533" t="s">
        <v>28</v>
      </c>
    </row>
    <row r="3534" spans="1:17" x14ac:dyDescent="0.35">
      <c r="A3534" t="s">
        <v>3586</v>
      </c>
      <c r="B3534" t="s">
        <v>23</v>
      </c>
      <c r="C3534">
        <v>40</v>
      </c>
      <c r="D3534" t="s">
        <v>17</v>
      </c>
      <c r="E3534" t="s">
        <v>27</v>
      </c>
      <c r="F3534" t="s">
        <v>36</v>
      </c>
      <c r="G3534">
        <v>5.4</v>
      </c>
      <c r="H3534">
        <v>2.8</v>
      </c>
      <c r="I3534" t="str" cm="1">
        <f t="array" ref="I3534">_xlfn.IFS(G3534&lt;3, "0–2 Years", G3534&lt;6, "3–5 Years", G3534&lt;9, "6–8 Years", G3534&lt;12, "9-11 Years", G3534&gt;=12, "12-14 Years")</f>
        <v>3–5 Years</v>
      </c>
      <c r="J3534">
        <v>4</v>
      </c>
      <c r="K3534" t="s">
        <v>20</v>
      </c>
      <c r="L3534">
        <v>78300</v>
      </c>
      <c r="M3534">
        <v>10400</v>
      </c>
      <c r="N3534">
        <v>88700</v>
      </c>
      <c r="O3534" t="s">
        <v>21</v>
      </c>
      <c r="P3534" s="3">
        <v>44067</v>
      </c>
      <c r="Q3534" t="s">
        <v>36</v>
      </c>
    </row>
    <row r="3535" spans="1:17" x14ac:dyDescent="0.35">
      <c r="A3535" t="s">
        <v>3587</v>
      </c>
      <c r="B3535" t="s">
        <v>16</v>
      </c>
      <c r="C3535">
        <v>47</v>
      </c>
      <c r="D3535" t="s">
        <v>44</v>
      </c>
      <c r="E3535" t="s">
        <v>81</v>
      </c>
      <c r="F3535" t="s">
        <v>36</v>
      </c>
      <c r="G3535">
        <v>10.5</v>
      </c>
      <c r="H3535">
        <v>6.4</v>
      </c>
      <c r="I3535" t="str" cm="1">
        <f t="array" ref="I3535">_xlfn.IFS(G3535&lt;3, "0–2 Years", G3535&lt;6, "3–5 Years", G3535&lt;9, "6–8 Years", G3535&lt;12, "9-11 Years", G3535&gt;=12, "12-14 Years")</f>
        <v>9-11 Years</v>
      </c>
      <c r="J3535">
        <v>4</v>
      </c>
      <c r="K3535" t="s">
        <v>20</v>
      </c>
      <c r="L3535">
        <v>106700</v>
      </c>
      <c r="M3535">
        <v>12800</v>
      </c>
      <c r="N3535">
        <v>119500</v>
      </c>
      <c r="O3535" t="s">
        <v>57</v>
      </c>
      <c r="P3535" s="3">
        <v>42203</v>
      </c>
      <c r="Q3535" t="s">
        <v>36</v>
      </c>
    </row>
    <row r="3536" spans="1:17" x14ac:dyDescent="0.35">
      <c r="A3536" t="s">
        <v>3588</v>
      </c>
      <c r="B3536" t="s">
        <v>23</v>
      </c>
      <c r="C3536">
        <v>39</v>
      </c>
      <c r="D3536" t="s">
        <v>41</v>
      </c>
      <c r="E3536" t="s">
        <v>67</v>
      </c>
      <c r="F3536" t="s">
        <v>28</v>
      </c>
      <c r="G3536">
        <v>7.9</v>
      </c>
      <c r="H3536">
        <v>4.7</v>
      </c>
      <c r="I3536" t="str" cm="1">
        <f t="array" ref="I3536">_xlfn.IFS(G3536&lt;3, "0–2 Years", G3536&lt;6, "3–5 Years", G3536&lt;9, "6–8 Years", G3536&lt;12, "9-11 Years", G3536&gt;=12, "12-14 Years")</f>
        <v>6–8 Years</v>
      </c>
      <c r="J3536">
        <v>4</v>
      </c>
      <c r="K3536" t="s">
        <v>20</v>
      </c>
      <c r="L3536">
        <v>84300</v>
      </c>
      <c r="M3536">
        <v>2700</v>
      </c>
      <c r="N3536">
        <v>87000</v>
      </c>
      <c r="O3536" t="s">
        <v>30</v>
      </c>
      <c r="P3536" s="3">
        <v>43155</v>
      </c>
      <c r="Q3536" t="s">
        <v>28</v>
      </c>
    </row>
    <row r="3537" spans="1:17" x14ac:dyDescent="0.35">
      <c r="A3537" t="s">
        <v>3589</v>
      </c>
      <c r="B3537" t="s">
        <v>23</v>
      </c>
      <c r="C3537">
        <v>30</v>
      </c>
      <c r="D3537" t="s">
        <v>41</v>
      </c>
      <c r="E3537" t="s">
        <v>67</v>
      </c>
      <c r="F3537" t="s">
        <v>36</v>
      </c>
      <c r="G3537">
        <v>5.0999999999999996</v>
      </c>
      <c r="H3537">
        <v>3.8</v>
      </c>
      <c r="I3537" t="str" cm="1">
        <f t="array" ref="I3537">_xlfn.IFS(G3537&lt;3, "0–2 Years", G3537&lt;6, "3–5 Years", G3537&lt;9, "6–8 Years", G3537&lt;12, "9-11 Years", G3537&gt;=12, "12-14 Years")</f>
        <v>3–5 Years</v>
      </c>
      <c r="J3537">
        <v>3</v>
      </c>
      <c r="K3537" t="s">
        <v>20</v>
      </c>
      <c r="L3537">
        <v>70400</v>
      </c>
      <c r="M3537">
        <v>5400</v>
      </c>
      <c r="N3537">
        <v>75800</v>
      </c>
      <c r="O3537" t="s">
        <v>21</v>
      </c>
      <c r="P3537" s="3">
        <v>44146</v>
      </c>
      <c r="Q3537" t="s">
        <v>36</v>
      </c>
    </row>
    <row r="3538" spans="1:17" x14ac:dyDescent="0.35">
      <c r="A3538" t="s">
        <v>3590</v>
      </c>
      <c r="B3538" t="s">
        <v>16</v>
      </c>
      <c r="C3538">
        <v>51</v>
      </c>
      <c r="D3538" t="s">
        <v>34</v>
      </c>
      <c r="E3538" t="s">
        <v>47</v>
      </c>
      <c r="F3538" t="s">
        <v>28</v>
      </c>
      <c r="G3538">
        <v>6</v>
      </c>
      <c r="H3538">
        <v>3.8</v>
      </c>
      <c r="I3538" t="str" cm="1">
        <f t="array" ref="I3538">_xlfn.IFS(G3538&lt;3, "0–2 Years", G3538&lt;6, "3–5 Years", G3538&lt;9, "6–8 Years", G3538&lt;12, "9-11 Years", G3538&gt;=12, "12-14 Years")</f>
        <v>6–8 Years</v>
      </c>
      <c r="J3538">
        <v>3</v>
      </c>
      <c r="K3538" t="s">
        <v>20</v>
      </c>
      <c r="L3538">
        <v>79800</v>
      </c>
      <c r="M3538">
        <v>3900</v>
      </c>
      <c r="N3538">
        <v>83700</v>
      </c>
      <c r="O3538" t="s">
        <v>21</v>
      </c>
      <c r="P3538" s="3">
        <v>43833</v>
      </c>
      <c r="Q3538" t="s">
        <v>28</v>
      </c>
    </row>
    <row r="3539" spans="1:17" x14ac:dyDescent="0.35">
      <c r="A3539" t="s">
        <v>3591</v>
      </c>
      <c r="B3539" t="s">
        <v>16</v>
      </c>
      <c r="C3539">
        <v>39</v>
      </c>
      <c r="D3539" t="s">
        <v>17</v>
      </c>
      <c r="E3539" t="s">
        <v>18</v>
      </c>
      <c r="F3539" t="s">
        <v>36</v>
      </c>
      <c r="G3539">
        <v>11.6</v>
      </c>
      <c r="H3539">
        <v>7.6</v>
      </c>
      <c r="I3539" t="str" cm="1">
        <f t="array" ref="I3539">_xlfn.IFS(G3539&lt;3, "0–2 Years", G3539&lt;6, "3–5 Years", G3539&lt;9, "6–8 Years", G3539&lt;12, "9-11 Years", G3539&gt;=12, "12-14 Years")</f>
        <v>9-11 Years</v>
      </c>
      <c r="J3539">
        <v>3</v>
      </c>
      <c r="K3539" t="s">
        <v>20</v>
      </c>
      <c r="L3539">
        <v>102900</v>
      </c>
      <c r="M3539">
        <v>7900</v>
      </c>
      <c r="N3539">
        <v>110800</v>
      </c>
      <c r="O3539" t="s">
        <v>57</v>
      </c>
      <c r="P3539" s="3">
        <v>41773</v>
      </c>
      <c r="Q3539" t="s">
        <v>36</v>
      </c>
    </row>
    <row r="3540" spans="1:17" x14ac:dyDescent="0.35">
      <c r="A3540" t="s">
        <v>3592</v>
      </c>
      <c r="B3540" t="s">
        <v>23</v>
      </c>
      <c r="C3540">
        <v>28</v>
      </c>
      <c r="D3540" t="s">
        <v>17</v>
      </c>
      <c r="E3540" t="s">
        <v>18</v>
      </c>
      <c r="F3540" t="s">
        <v>36</v>
      </c>
      <c r="G3540">
        <v>1.9</v>
      </c>
      <c r="H3540">
        <v>1.3</v>
      </c>
      <c r="I3540" t="str" cm="1">
        <f t="array" ref="I3540">_xlfn.IFS(G3540&lt;3, "0–2 Years", G3540&lt;6, "3–5 Years", G3540&lt;9, "6–8 Years", G3540&lt;12, "9-11 Years", G3540&gt;=12, "12-14 Years")</f>
        <v>0–2 Years</v>
      </c>
      <c r="J3540">
        <v>4</v>
      </c>
      <c r="K3540" t="s">
        <v>20</v>
      </c>
      <c r="L3540">
        <v>111700</v>
      </c>
      <c r="M3540">
        <v>5300</v>
      </c>
      <c r="N3540">
        <v>117000</v>
      </c>
      <c r="O3540" t="s">
        <v>57</v>
      </c>
      <c r="P3540" s="3">
        <v>45334</v>
      </c>
      <c r="Q3540" t="s">
        <v>36</v>
      </c>
    </row>
    <row r="3541" spans="1:17" x14ac:dyDescent="0.35">
      <c r="A3541" t="s">
        <v>3593</v>
      </c>
      <c r="B3541" t="s">
        <v>16</v>
      </c>
      <c r="C3541">
        <v>47</v>
      </c>
      <c r="D3541" t="s">
        <v>44</v>
      </c>
      <c r="E3541" t="s">
        <v>51</v>
      </c>
      <c r="F3541" t="s">
        <v>62</v>
      </c>
      <c r="G3541">
        <v>3.8</v>
      </c>
      <c r="H3541">
        <v>2.2000000000000002</v>
      </c>
      <c r="I3541" t="str" cm="1">
        <f t="array" ref="I3541">_xlfn.IFS(G3541&lt;3, "0–2 Years", G3541&lt;6, "3–5 Years", G3541&lt;9, "6–8 Years", G3541&lt;12, "9-11 Years", G3541&gt;=12, "12-14 Years")</f>
        <v>3–5 Years</v>
      </c>
      <c r="J3541">
        <v>3</v>
      </c>
      <c r="K3541" t="s">
        <v>20</v>
      </c>
      <c r="L3541">
        <v>81400</v>
      </c>
      <c r="M3541">
        <v>7400</v>
      </c>
      <c r="N3541">
        <v>88800</v>
      </c>
      <c r="O3541" t="s">
        <v>30</v>
      </c>
      <c r="P3541" s="3">
        <v>44634</v>
      </c>
      <c r="Q3541" t="s">
        <v>62</v>
      </c>
    </row>
    <row r="3542" spans="1:17" x14ac:dyDescent="0.35">
      <c r="A3542" t="s">
        <v>3594</v>
      </c>
      <c r="B3542" t="s">
        <v>16</v>
      </c>
      <c r="C3542">
        <v>36</v>
      </c>
      <c r="D3542" t="s">
        <v>38</v>
      </c>
      <c r="E3542" t="s">
        <v>112</v>
      </c>
      <c r="F3542" t="s">
        <v>28</v>
      </c>
      <c r="G3542">
        <v>2.5</v>
      </c>
      <c r="H3542">
        <v>2.5</v>
      </c>
      <c r="I3542" t="str" cm="1">
        <f t="array" ref="I3542">_xlfn.IFS(G3542&lt;3, "0–2 Years", G3542&lt;6, "3–5 Years", G3542&lt;9, "6–8 Years", G3542&lt;12, "9-11 Years", G3542&gt;=12, "12-14 Years")</f>
        <v>0–2 Years</v>
      </c>
      <c r="J3542">
        <v>5</v>
      </c>
      <c r="K3542" t="s">
        <v>20</v>
      </c>
      <c r="L3542">
        <v>64900</v>
      </c>
      <c r="M3542">
        <v>2700</v>
      </c>
      <c r="N3542">
        <v>67600</v>
      </c>
      <c r="O3542" t="s">
        <v>25</v>
      </c>
      <c r="P3542" s="3">
        <v>45126</v>
      </c>
      <c r="Q3542" t="s">
        <v>28</v>
      </c>
    </row>
    <row r="3543" spans="1:17" x14ac:dyDescent="0.35">
      <c r="A3543" t="s">
        <v>3595</v>
      </c>
      <c r="B3543" t="s">
        <v>16</v>
      </c>
      <c r="C3543">
        <v>45</v>
      </c>
      <c r="D3543" t="s">
        <v>44</v>
      </c>
      <c r="E3543" t="s">
        <v>76</v>
      </c>
      <c r="F3543" t="s">
        <v>36</v>
      </c>
      <c r="G3543">
        <v>7.1</v>
      </c>
      <c r="H3543">
        <v>4.9000000000000004</v>
      </c>
      <c r="I3543" t="str" cm="1">
        <f t="array" ref="I3543">_xlfn.IFS(G3543&lt;3, "0–2 Years", G3543&lt;6, "3–5 Years", G3543&lt;9, "6–8 Years", G3543&lt;12, "9-11 Years", G3543&gt;=12, "12-14 Years")</f>
        <v>6–8 Years</v>
      </c>
      <c r="J3543">
        <v>3</v>
      </c>
      <c r="K3543" t="s">
        <v>20</v>
      </c>
      <c r="L3543">
        <v>123200</v>
      </c>
      <c r="M3543">
        <v>14800</v>
      </c>
      <c r="N3543">
        <v>138000</v>
      </c>
      <c r="O3543" t="s">
        <v>57</v>
      </c>
      <c r="P3543" s="3">
        <v>43426</v>
      </c>
      <c r="Q3543" t="s">
        <v>36</v>
      </c>
    </row>
    <row r="3544" spans="1:17" x14ac:dyDescent="0.35">
      <c r="A3544" t="s">
        <v>3596</v>
      </c>
      <c r="B3544" t="s">
        <v>16</v>
      </c>
      <c r="C3544" s="7">
        <v>29</v>
      </c>
      <c r="D3544" t="s">
        <v>41</v>
      </c>
      <c r="E3544" t="s">
        <v>73</v>
      </c>
      <c r="F3544" t="s">
        <v>28</v>
      </c>
      <c r="G3544" s="9">
        <v>14</v>
      </c>
      <c r="H3544" s="7">
        <v>9</v>
      </c>
      <c r="I3544" t="str" cm="1">
        <f t="array" ref="I3544">_xlfn.IFS(G3544&lt;3, "0–2 Years", G3544&lt;6, "3–5 Years", G3544&lt;9, "6–8 Years", G3544&lt;12, "9-11 Years", G3544&gt;=12, "12-14 Years")</f>
        <v>12-14 Years</v>
      </c>
      <c r="J3544" s="7">
        <v>5</v>
      </c>
      <c r="K3544" t="s">
        <v>20</v>
      </c>
      <c r="L3544" s="7">
        <v>123400</v>
      </c>
      <c r="M3544" s="7">
        <v>4700</v>
      </c>
      <c r="N3544" s="7">
        <v>128100</v>
      </c>
      <c r="O3544" t="s">
        <v>57</v>
      </c>
      <c r="P3544" s="3">
        <v>40925</v>
      </c>
      <c r="Q3544" t="s">
        <v>28</v>
      </c>
    </row>
    <row r="3545" spans="1:17" x14ac:dyDescent="0.35">
      <c r="A3545" t="s">
        <v>3597</v>
      </c>
      <c r="B3545" t="s">
        <v>23</v>
      </c>
      <c r="C3545">
        <v>21</v>
      </c>
      <c r="D3545" t="s">
        <v>44</v>
      </c>
      <c r="E3545" t="s">
        <v>76</v>
      </c>
      <c r="F3545" t="s">
        <v>36</v>
      </c>
      <c r="G3545">
        <v>4.3</v>
      </c>
      <c r="H3545">
        <v>3</v>
      </c>
      <c r="I3545" t="str" cm="1">
        <f t="array" ref="I3545">_xlfn.IFS(G3545&lt;3, "0–2 Years", G3545&lt;6, "3–5 Years", G3545&lt;9, "6–8 Years", G3545&lt;12, "9-11 Years", G3545&gt;=12, "12-14 Years")</f>
        <v>3–5 Years</v>
      </c>
      <c r="J3545">
        <v>4</v>
      </c>
      <c r="K3545" t="s">
        <v>20</v>
      </c>
      <c r="L3545">
        <v>109800</v>
      </c>
      <c r="M3545">
        <v>8900</v>
      </c>
      <c r="N3545">
        <v>118700</v>
      </c>
      <c r="O3545" t="s">
        <v>57</v>
      </c>
      <c r="P3545" s="3">
        <v>44466</v>
      </c>
      <c r="Q3545" t="s">
        <v>36</v>
      </c>
    </row>
    <row r="3546" spans="1:17" x14ac:dyDescent="0.35">
      <c r="A3546" t="s">
        <v>3598</v>
      </c>
      <c r="B3546" t="s">
        <v>23</v>
      </c>
      <c r="C3546">
        <v>41</v>
      </c>
      <c r="D3546" t="s">
        <v>17</v>
      </c>
      <c r="E3546" t="s">
        <v>32</v>
      </c>
      <c r="F3546" t="s">
        <v>36</v>
      </c>
      <c r="G3546">
        <v>6.8</v>
      </c>
      <c r="H3546">
        <v>5.2</v>
      </c>
      <c r="I3546" t="str" cm="1">
        <f t="array" ref="I3546">_xlfn.IFS(G3546&lt;3, "0–2 Years", G3546&lt;6, "3–5 Years", G3546&lt;9, "6–8 Years", G3546&lt;12, "9-11 Years", G3546&gt;=12, "12-14 Years")</f>
        <v>6–8 Years</v>
      </c>
      <c r="J3546">
        <v>5</v>
      </c>
      <c r="K3546" t="s">
        <v>20</v>
      </c>
      <c r="L3546">
        <v>73800</v>
      </c>
      <c r="M3546">
        <v>5800</v>
      </c>
      <c r="N3546">
        <v>79600</v>
      </c>
      <c r="O3546" t="s">
        <v>21</v>
      </c>
      <c r="P3546" s="3">
        <v>43545</v>
      </c>
      <c r="Q3546" t="s">
        <v>36</v>
      </c>
    </row>
    <row r="3547" spans="1:17" x14ac:dyDescent="0.35">
      <c r="A3547" t="s">
        <v>3599</v>
      </c>
      <c r="B3547" t="s">
        <v>23</v>
      </c>
      <c r="C3547">
        <v>41</v>
      </c>
      <c r="D3547" t="s">
        <v>34</v>
      </c>
      <c r="E3547" t="s">
        <v>59</v>
      </c>
      <c r="F3547" t="s">
        <v>28</v>
      </c>
      <c r="G3547">
        <v>9.6</v>
      </c>
      <c r="H3547">
        <v>5.8</v>
      </c>
      <c r="I3547" t="str" cm="1">
        <f t="array" ref="I3547">_xlfn.IFS(G3547&lt;3, "0–2 Years", G3547&lt;6, "3–5 Years", G3547&lt;9, "6–8 Years", G3547&lt;12, "9-11 Years", G3547&gt;=12, "12-14 Years")</f>
        <v>9-11 Years</v>
      </c>
      <c r="J3547">
        <v>3</v>
      </c>
      <c r="K3547" t="s">
        <v>20</v>
      </c>
      <c r="L3547">
        <v>101700</v>
      </c>
      <c r="M3547">
        <v>5300</v>
      </c>
      <c r="N3547">
        <v>107000</v>
      </c>
      <c r="O3547" t="s">
        <v>57</v>
      </c>
      <c r="P3547" s="3">
        <v>42509</v>
      </c>
      <c r="Q3547" t="s">
        <v>28</v>
      </c>
    </row>
    <row r="3548" spans="1:17" x14ac:dyDescent="0.35">
      <c r="A3548" t="s">
        <v>3600</v>
      </c>
      <c r="B3548" t="s">
        <v>16</v>
      </c>
      <c r="C3548" s="7">
        <v>38</v>
      </c>
      <c r="D3548" t="s">
        <v>44</v>
      </c>
      <c r="E3548" t="s">
        <v>81</v>
      </c>
      <c r="F3548" t="s">
        <v>28</v>
      </c>
      <c r="G3548" s="9">
        <v>13.6</v>
      </c>
      <c r="H3548" s="7">
        <v>9.9</v>
      </c>
      <c r="I3548" t="str" cm="1">
        <f t="array" ref="I3548">_xlfn.IFS(G3548&lt;3, "0–2 Years", G3548&lt;6, "3–5 Years", G3548&lt;9, "6–8 Years", G3548&lt;12, "9-11 Years", G3548&gt;=12, "12-14 Years")</f>
        <v>12-14 Years</v>
      </c>
      <c r="J3548" s="7">
        <v>3</v>
      </c>
      <c r="K3548" t="s">
        <v>24</v>
      </c>
      <c r="L3548" s="7">
        <v>59900</v>
      </c>
      <c r="M3548" s="7">
        <v>3400</v>
      </c>
      <c r="N3548" s="7">
        <v>63300</v>
      </c>
      <c r="O3548" t="s">
        <v>25</v>
      </c>
      <c r="P3548" s="3">
        <v>41064</v>
      </c>
      <c r="Q3548" t="s">
        <v>28</v>
      </c>
    </row>
    <row r="3549" spans="1:17" x14ac:dyDescent="0.35">
      <c r="A3549" t="s">
        <v>3601</v>
      </c>
      <c r="B3549" t="s">
        <v>16</v>
      </c>
      <c r="C3549">
        <v>37</v>
      </c>
      <c r="D3549" t="s">
        <v>44</v>
      </c>
      <c r="E3549" t="s">
        <v>76</v>
      </c>
      <c r="F3549" t="s">
        <v>36</v>
      </c>
      <c r="G3549">
        <v>8.9</v>
      </c>
      <c r="H3549">
        <v>6.6</v>
      </c>
      <c r="I3549" t="str" cm="1">
        <f t="array" ref="I3549">_xlfn.IFS(G3549&lt;3, "0–2 Years", G3549&lt;6, "3–5 Years", G3549&lt;9, "6–8 Years", G3549&lt;12, "9-11 Years", G3549&gt;=12, "12-14 Years")</f>
        <v>6–8 Years</v>
      </c>
      <c r="J3549">
        <v>4</v>
      </c>
      <c r="K3549" t="s">
        <v>24</v>
      </c>
      <c r="L3549">
        <v>73500</v>
      </c>
      <c r="M3549">
        <v>10300</v>
      </c>
      <c r="N3549">
        <v>83800</v>
      </c>
      <c r="O3549" t="s">
        <v>21</v>
      </c>
      <c r="P3549" s="3">
        <v>42761</v>
      </c>
      <c r="Q3549" t="s">
        <v>36</v>
      </c>
    </row>
    <row r="3550" spans="1:17" x14ac:dyDescent="0.35">
      <c r="A3550" t="s">
        <v>3602</v>
      </c>
      <c r="B3550" t="s">
        <v>23</v>
      </c>
      <c r="C3550">
        <v>42</v>
      </c>
      <c r="D3550" t="s">
        <v>17</v>
      </c>
      <c r="E3550" t="s">
        <v>32</v>
      </c>
      <c r="F3550" t="s">
        <v>28</v>
      </c>
      <c r="G3550">
        <v>2.1</v>
      </c>
      <c r="H3550">
        <v>0.3</v>
      </c>
      <c r="I3550" t="str" cm="1">
        <f t="array" ref="I3550">_xlfn.IFS(G3550&lt;3, "0–2 Years", G3550&lt;6, "3–5 Years", G3550&lt;9, "6–8 Years", G3550&lt;12, "9-11 Years", G3550&gt;=12, "12-14 Years")</f>
        <v>0–2 Years</v>
      </c>
      <c r="J3550">
        <v>3</v>
      </c>
      <c r="K3550" t="s">
        <v>20</v>
      </c>
      <c r="L3550">
        <v>66500</v>
      </c>
      <c r="M3550">
        <v>6100</v>
      </c>
      <c r="N3550">
        <v>72600</v>
      </c>
      <c r="O3550" t="s">
        <v>21</v>
      </c>
      <c r="P3550" s="3">
        <v>45244</v>
      </c>
      <c r="Q3550" t="s">
        <v>28</v>
      </c>
    </row>
    <row r="3551" spans="1:17" x14ac:dyDescent="0.35">
      <c r="A3551" t="s">
        <v>3603</v>
      </c>
      <c r="B3551" t="s">
        <v>23</v>
      </c>
      <c r="C3551">
        <v>26</v>
      </c>
      <c r="D3551" t="s">
        <v>17</v>
      </c>
      <c r="E3551" t="s">
        <v>32</v>
      </c>
      <c r="F3551" t="s">
        <v>28</v>
      </c>
      <c r="G3551">
        <v>2.2000000000000002</v>
      </c>
      <c r="H3551">
        <v>2.2000000000000002</v>
      </c>
      <c r="I3551" t="str" cm="1">
        <f t="array" ref="I3551">_xlfn.IFS(G3551&lt;3, "0–2 Years", G3551&lt;6, "3–5 Years", G3551&lt;9, "6–8 Years", G3551&lt;12, "9-11 Years", G3551&gt;=12, "12-14 Years")</f>
        <v>0–2 Years</v>
      </c>
      <c r="J3551">
        <v>1</v>
      </c>
      <c r="K3551" t="s">
        <v>20</v>
      </c>
      <c r="L3551">
        <v>53300</v>
      </c>
      <c r="M3551">
        <v>3000</v>
      </c>
      <c r="N3551">
        <v>56300</v>
      </c>
      <c r="O3551" t="s">
        <v>25</v>
      </c>
      <c r="P3551" s="3">
        <v>45204</v>
      </c>
      <c r="Q3551" t="s">
        <v>28</v>
      </c>
    </row>
    <row r="3552" spans="1:17" x14ac:dyDescent="0.35">
      <c r="A3552" t="s">
        <v>3604</v>
      </c>
      <c r="B3552" t="s">
        <v>16</v>
      </c>
      <c r="C3552">
        <v>34</v>
      </c>
      <c r="D3552" t="s">
        <v>41</v>
      </c>
      <c r="E3552" t="s">
        <v>73</v>
      </c>
      <c r="F3552" t="s">
        <v>28</v>
      </c>
      <c r="G3552">
        <v>10</v>
      </c>
      <c r="H3552">
        <v>7.5</v>
      </c>
      <c r="I3552" t="str" cm="1">
        <f t="array" ref="I3552">_xlfn.IFS(G3552&lt;3, "0–2 Years", G3552&lt;6, "3–5 Years", G3552&lt;9, "6–8 Years", G3552&lt;12, "9-11 Years", G3552&gt;=12, "12-14 Years")</f>
        <v>9-11 Years</v>
      </c>
      <c r="J3552">
        <v>3</v>
      </c>
      <c r="K3552" t="s">
        <v>20</v>
      </c>
      <c r="L3552">
        <v>112200</v>
      </c>
      <c r="M3552">
        <v>9800</v>
      </c>
      <c r="N3552">
        <v>122000</v>
      </c>
      <c r="O3552" t="s">
        <v>57</v>
      </c>
      <c r="P3552" s="3">
        <v>42355</v>
      </c>
      <c r="Q3552" t="s">
        <v>28</v>
      </c>
    </row>
    <row r="3553" spans="1:17" x14ac:dyDescent="0.35">
      <c r="A3553" t="s">
        <v>3605</v>
      </c>
      <c r="B3553" t="s">
        <v>23</v>
      </c>
      <c r="C3553">
        <v>42</v>
      </c>
      <c r="D3553" t="s">
        <v>44</v>
      </c>
      <c r="E3553" t="s">
        <v>76</v>
      </c>
      <c r="F3553" t="s">
        <v>28</v>
      </c>
      <c r="G3553">
        <v>8.1</v>
      </c>
      <c r="H3553">
        <v>3.8</v>
      </c>
      <c r="I3553" t="str" cm="1">
        <f t="array" ref="I3553">_xlfn.IFS(G3553&lt;3, "0–2 Years", G3553&lt;6, "3–5 Years", G3553&lt;9, "6–8 Years", G3553&lt;12, "9-11 Years", G3553&gt;=12, "12-14 Years")</f>
        <v>6–8 Years</v>
      </c>
      <c r="J3553">
        <v>2</v>
      </c>
      <c r="K3553" t="s">
        <v>20</v>
      </c>
      <c r="L3553">
        <v>115200</v>
      </c>
      <c r="M3553">
        <v>15500</v>
      </c>
      <c r="N3553">
        <v>130700</v>
      </c>
      <c r="O3553" t="s">
        <v>57</v>
      </c>
      <c r="P3553" s="3">
        <v>43066</v>
      </c>
      <c r="Q3553" t="s">
        <v>28</v>
      </c>
    </row>
    <row r="3554" spans="1:17" x14ac:dyDescent="0.35">
      <c r="A3554" t="s">
        <v>3606</v>
      </c>
      <c r="B3554" t="s">
        <v>16</v>
      </c>
      <c r="C3554">
        <v>36</v>
      </c>
      <c r="D3554" t="s">
        <v>55</v>
      </c>
      <c r="E3554" t="s">
        <v>79</v>
      </c>
      <c r="F3554" t="s">
        <v>28</v>
      </c>
      <c r="G3554">
        <v>3.9</v>
      </c>
      <c r="H3554">
        <v>2</v>
      </c>
      <c r="I3554" t="str" cm="1">
        <f t="array" ref="I3554">_xlfn.IFS(G3554&lt;3, "0–2 Years", G3554&lt;6, "3–5 Years", G3554&lt;9, "6–8 Years", G3554&lt;12, "9-11 Years", G3554&gt;=12, "12-14 Years")</f>
        <v>3–5 Years</v>
      </c>
      <c r="J3554">
        <v>3</v>
      </c>
      <c r="K3554" t="s">
        <v>20</v>
      </c>
      <c r="L3554">
        <v>60900</v>
      </c>
      <c r="M3554">
        <v>8400</v>
      </c>
      <c r="N3554">
        <v>69300</v>
      </c>
      <c r="O3554" t="s">
        <v>25</v>
      </c>
      <c r="P3554" s="3">
        <v>44606</v>
      </c>
      <c r="Q3554" t="s">
        <v>28</v>
      </c>
    </row>
    <row r="3555" spans="1:17" x14ac:dyDescent="0.35">
      <c r="A3555" t="s">
        <v>3607</v>
      </c>
      <c r="B3555" t="s">
        <v>16</v>
      </c>
      <c r="C3555">
        <v>37</v>
      </c>
      <c r="D3555" t="s">
        <v>44</v>
      </c>
      <c r="E3555" t="s">
        <v>81</v>
      </c>
      <c r="F3555" t="s">
        <v>36</v>
      </c>
      <c r="G3555">
        <v>1.3</v>
      </c>
      <c r="H3555">
        <v>0.3</v>
      </c>
      <c r="I3555" t="str" cm="1">
        <f t="array" ref="I3555">_xlfn.IFS(G3555&lt;3, "0–2 Years", G3555&lt;6, "3–5 Years", G3555&lt;9, "6–8 Years", G3555&lt;12, "9-11 Years", G3555&gt;=12, "12-14 Years")</f>
        <v>0–2 Years</v>
      </c>
      <c r="J3555">
        <v>3</v>
      </c>
      <c r="K3555" t="s">
        <v>24</v>
      </c>
      <c r="L3555">
        <v>64800</v>
      </c>
      <c r="M3555">
        <v>8500</v>
      </c>
      <c r="N3555">
        <v>73300</v>
      </c>
      <c r="O3555" t="s">
        <v>25</v>
      </c>
      <c r="P3555" s="3">
        <v>45530</v>
      </c>
      <c r="Q3555" t="s">
        <v>36</v>
      </c>
    </row>
    <row r="3556" spans="1:17" x14ac:dyDescent="0.35">
      <c r="A3556" t="s">
        <v>3608</v>
      </c>
      <c r="B3556" t="s">
        <v>16</v>
      </c>
      <c r="C3556">
        <v>33</v>
      </c>
      <c r="D3556" t="s">
        <v>38</v>
      </c>
      <c r="E3556" t="s">
        <v>61</v>
      </c>
      <c r="F3556" t="s">
        <v>19</v>
      </c>
      <c r="G3556">
        <v>9.8000000000000007</v>
      </c>
      <c r="H3556">
        <v>7.5</v>
      </c>
      <c r="I3556" t="str" cm="1">
        <f t="array" ref="I3556">_xlfn.IFS(G3556&lt;3, "0–2 Years", G3556&lt;6, "3–5 Years", G3556&lt;9, "6–8 Years", G3556&lt;12, "9-11 Years", G3556&gt;=12, "12-14 Years")</f>
        <v>9-11 Years</v>
      </c>
      <c r="J3556">
        <v>4</v>
      </c>
      <c r="K3556" t="s">
        <v>20</v>
      </c>
      <c r="L3556">
        <v>100600</v>
      </c>
      <c r="M3556">
        <v>7400</v>
      </c>
      <c r="N3556">
        <v>108000</v>
      </c>
      <c r="O3556" t="s">
        <v>57</v>
      </c>
      <c r="P3556" s="3">
        <v>42458</v>
      </c>
      <c r="Q3556" t="s">
        <v>19</v>
      </c>
    </row>
    <row r="3557" spans="1:17" x14ac:dyDescent="0.35">
      <c r="A3557" t="s">
        <v>3609</v>
      </c>
      <c r="B3557" t="s">
        <v>16</v>
      </c>
      <c r="C3557">
        <v>42</v>
      </c>
      <c r="D3557" t="s">
        <v>34</v>
      </c>
      <c r="E3557" t="s">
        <v>59</v>
      </c>
      <c r="F3557" t="s">
        <v>28</v>
      </c>
      <c r="G3557">
        <v>6.2</v>
      </c>
      <c r="H3557">
        <v>2</v>
      </c>
      <c r="I3557" t="str" cm="1">
        <f t="array" ref="I3557">_xlfn.IFS(G3557&lt;3, "0–2 Years", G3557&lt;6, "3–5 Years", G3557&lt;9, "6–8 Years", G3557&lt;12, "9-11 Years", G3557&gt;=12, "12-14 Years")</f>
        <v>6–8 Years</v>
      </c>
      <c r="J3557">
        <v>4</v>
      </c>
      <c r="K3557" t="s">
        <v>20</v>
      </c>
      <c r="L3557">
        <v>104300</v>
      </c>
      <c r="M3557">
        <v>10300</v>
      </c>
      <c r="N3557">
        <v>114600</v>
      </c>
      <c r="O3557" t="s">
        <v>57</v>
      </c>
      <c r="P3557" s="3">
        <v>43749</v>
      </c>
      <c r="Q3557" t="s">
        <v>28</v>
      </c>
    </row>
    <row r="3558" spans="1:17" x14ac:dyDescent="0.35">
      <c r="A3558" t="s">
        <v>3610</v>
      </c>
      <c r="B3558" t="s">
        <v>23</v>
      </c>
      <c r="C3558" s="7">
        <v>42</v>
      </c>
      <c r="D3558" t="s">
        <v>17</v>
      </c>
      <c r="E3558" t="s">
        <v>32</v>
      </c>
      <c r="F3558" t="s">
        <v>36</v>
      </c>
      <c r="G3558" s="9">
        <v>12.5</v>
      </c>
      <c r="H3558" s="7">
        <v>6.9</v>
      </c>
      <c r="I3558" t="str" cm="1">
        <f t="array" ref="I3558">_xlfn.IFS(G3558&lt;3, "0–2 Years", G3558&lt;6, "3–5 Years", G3558&lt;9, "6–8 Years", G3558&lt;12, "9-11 Years", G3558&gt;=12, "12-14 Years")</f>
        <v>12-14 Years</v>
      </c>
      <c r="J3558" s="7">
        <v>3</v>
      </c>
      <c r="K3558" t="s">
        <v>69</v>
      </c>
      <c r="L3558" s="7">
        <v>63700</v>
      </c>
      <c r="M3558" s="7">
        <v>5700</v>
      </c>
      <c r="N3558" s="7">
        <v>69400</v>
      </c>
      <c r="O3558" t="s">
        <v>25</v>
      </c>
      <c r="P3558" s="3">
        <v>41471</v>
      </c>
      <c r="Q3558" t="s">
        <v>36</v>
      </c>
    </row>
    <row r="3559" spans="1:17" x14ac:dyDescent="0.35">
      <c r="A3559" t="s">
        <v>3611</v>
      </c>
      <c r="B3559" t="s">
        <v>23</v>
      </c>
      <c r="C3559" s="7">
        <v>50</v>
      </c>
      <c r="D3559" t="s">
        <v>41</v>
      </c>
      <c r="E3559" t="s">
        <v>73</v>
      </c>
      <c r="F3559" t="s">
        <v>36</v>
      </c>
      <c r="G3559" s="9">
        <v>12.1</v>
      </c>
      <c r="H3559" s="7">
        <v>7.9</v>
      </c>
      <c r="I3559" t="str" cm="1">
        <f t="array" ref="I3559">_xlfn.IFS(G3559&lt;3, "0–2 Years", G3559&lt;6, "3–5 Years", G3559&lt;9, "6–8 Years", G3559&lt;12, "9-11 Years", G3559&gt;=12, "12-14 Years")</f>
        <v>12-14 Years</v>
      </c>
      <c r="J3559" s="7">
        <v>3</v>
      </c>
      <c r="K3559" t="s">
        <v>20</v>
      </c>
      <c r="L3559" s="7">
        <v>119100</v>
      </c>
      <c r="M3559" s="7">
        <v>6700</v>
      </c>
      <c r="N3559" s="7">
        <v>125800</v>
      </c>
      <c r="O3559" t="s">
        <v>57</v>
      </c>
      <c r="P3559" s="3">
        <v>41608</v>
      </c>
      <c r="Q3559" t="s">
        <v>36</v>
      </c>
    </row>
    <row r="3560" spans="1:17" x14ac:dyDescent="0.35">
      <c r="A3560" t="s">
        <v>3612</v>
      </c>
      <c r="B3560" t="s">
        <v>16</v>
      </c>
      <c r="C3560">
        <v>34</v>
      </c>
      <c r="D3560" t="s">
        <v>34</v>
      </c>
      <c r="E3560" t="s">
        <v>35</v>
      </c>
      <c r="F3560" t="s">
        <v>28</v>
      </c>
      <c r="G3560">
        <v>10.1</v>
      </c>
      <c r="H3560">
        <v>6.7</v>
      </c>
      <c r="I3560" t="str" cm="1">
        <f t="array" ref="I3560">_xlfn.IFS(G3560&lt;3, "0–2 Years", G3560&lt;6, "3–5 Years", G3560&lt;9, "6–8 Years", G3560&lt;12, "9-11 Years", G3560&gt;=12, "12-14 Years")</f>
        <v>9-11 Years</v>
      </c>
      <c r="J3560">
        <v>3</v>
      </c>
      <c r="K3560" t="s">
        <v>20</v>
      </c>
      <c r="L3560">
        <v>83100</v>
      </c>
      <c r="M3560">
        <v>5700</v>
      </c>
      <c r="N3560">
        <v>88800</v>
      </c>
      <c r="O3560" t="s">
        <v>30</v>
      </c>
      <c r="P3560" s="3">
        <v>42333</v>
      </c>
      <c r="Q3560" t="s">
        <v>28</v>
      </c>
    </row>
    <row r="3561" spans="1:17" x14ac:dyDescent="0.35">
      <c r="A3561" t="s">
        <v>3613</v>
      </c>
      <c r="B3561" t="s">
        <v>16</v>
      </c>
      <c r="C3561">
        <v>38</v>
      </c>
      <c r="D3561" t="s">
        <v>34</v>
      </c>
      <c r="E3561" t="s">
        <v>35</v>
      </c>
      <c r="F3561" t="s">
        <v>28</v>
      </c>
      <c r="G3561">
        <v>9.8000000000000007</v>
      </c>
      <c r="H3561">
        <v>8.3000000000000007</v>
      </c>
      <c r="I3561" t="str" cm="1">
        <f t="array" ref="I3561">_xlfn.IFS(G3561&lt;3, "0–2 Years", G3561&lt;6, "3–5 Years", G3561&lt;9, "6–8 Years", G3561&lt;12, "9-11 Years", G3561&gt;=12, "12-14 Years")</f>
        <v>9-11 Years</v>
      </c>
      <c r="J3561">
        <v>4</v>
      </c>
      <c r="K3561" t="s">
        <v>69</v>
      </c>
      <c r="L3561">
        <v>64600</v>
      </c>
      <c r="M3561">
        <v>4300</v>
      </c>
      <c r="N3561">
        <v>68900</v>
      </c>
      <c r="O3561" t="s">
        <v>25</v>
      </c>
      <c r="P3561" s="3">
        <v>42442</v>
      </c>
      <c r="Q3561" t="s">
        <v>28</v>
      </c>
    </row>
    <row r="3562" spans="1:17" x14ac:dyDescent="0.35">
      <c r="A3562" t="s">
        <v>3614</v>
      </c>
      <c r="B3562" t="s">
        <v>16</v>
      </c>
      <c r="C3562">
        <v>30</v>
      </c>
      <c r="D3562" t="s">
        <v>17</v>
      </c>
      <c r="E3562" t="s">
        <v>27</v>
      </c>
      <c r="F3562" t="s">
        <v>28</v>
      </c>
      <c r="G3562">
        <v>7.9</v>
      </c>
      <c r="H3562">
        <v>5.8</v>
      </c>
      <c r="I3562" t="str" cm="1">
        <f t="array" ref="I3562">_xlfn.IFS(G3562&lt;3, "0–2 Years", G3562&lt;6, "3–5 Years", G3562&lt;9, "6–8 Years", G3562&lt;12, "9-11 Years", G3562&gt;=12, "12-14 Years")</f>
        <v>6–8 Years</v>
      </c>
      <c r="J3562">
        <v>3</v>
      </c>
      <c r="K3562" t="s">
        <v>20</v>
      </c>
      <c r="L3562">
        <v>80900</v>
      </c>
      <c r="M3562">
        <v>3700</v>
      </c>
      <c r="N3562">
        <v>84600</v>
      </c>
      <c r="O3562" t="s">
        <v>30</v>
      </c>
      <c r="P3562" s="3">
        <v>43124</v>
      </c>
      <c r="Q3562" t="s">
        <v>28</v>
      </c>
    </row>
    <row r="3563" spans="1:17" x14ac:dyDescent="0.35">
      <c r="A3563" t="s">
        <v>3615</v>
      </c>
      <c r="B3563" t="s">
        <v>16</v>
      </c>
      <c r="C3563">
        <v>30</v>
      </c>
      <c r="D3563" t="s">
        <v>55</v>
      </c>
      <c r="E3563" t="s">
        <v>79</v>
      </c>
      <c r="F3563" t="s">
        <v>28</v>
      </c>
      <c r="G3563">
        <v>8.6</v>
      </c>
      <c r="H3563">
        <v>5.4</v>
      </c>
      <c r="I3563" t="str" cm="1">
        <f t="array" ref="I3563">_xlfn.IFS(G3563&lt;3, "0–2 Years", G3563&lt;6, "3–5 Years", G3563&lt;9, "6–8 Years", G3563&lt;12, "9-11 Years", G3563&gt;=12, "12-14 Years")</f>
        <v>6–8 Years</v>
      </c>
      <c r="J3563">
        <v>2</v>
      </c>
      <c r="K3563" t="s">
        <v>20</v>
      </c>
      <c r="L3563">
        <v>65700</v>
      </c>
      <c r="M3563">
        <v>10400</v>
      </c>
      <c r="N3563">
        <v>76100</v>
      </c>
      <c r="O3563" t="s">
        <v>21</v>
      </c>
      <c r="P3563" s="3">
        <v>42864</v>
      </c>
      <c r="Q3563" t="s">
        <v>28</v>
      </c>
    </row>
    <row r="3564" spans="1:17" x14ac:dyDescent="0.35">
      <c r="A3564" t="s">
        <v>3616</v>
      </c>
      <c r="B3564" t="s">
        <v>16</v>
      </c>
      <c r="C3564">
        <v>49</v>
      </c>
      <c r="D3564" t="s">
        <v>55</v>
      </c>
      <c r="E3564" t="s">
        <v>56</v>
      </c>
      <c r="F3564" t="s">
        <v>36</v>
      </c>
      <c r="G3564">
        <v>5.3</v>
      </c>
      <c r="H3564">
        <v>3.4</v>
      </c>
      <c r="I3564" t="str" cm="1">
        <f t="array" ref="I3564">_xlfn.IFS(G3564&lt;3, "0–2 Years", G3564&lt;6, "3–5 Years", G3564&lt;9, "6–8 Years", G3564&lt;12, "9-11 Years", G3564&gt;=12, "12-14 Years")</f>
        <v>3–5 Years</v>
      </c>
      <c r="J3564">
        <v>4</v>
      </c>
      <c r="K3564" t="s">
        <v>20</v>
      </c>
      <c r="L3564">
        <v>105900</v>
      </c>
      <c r="M3564">
        <v>21300</v>
      </c>
      <c r="N3564">
        <v>127200</v>
      </c>
      <c r="O3564" t="s">
        <v>57</v>
      </c>
      <c r="P3564" s="3">
        <v>44074</v>
      </c>
      <c r="Q3564" t="s">
        <v>36</v>
      </c>
    </row>
    <row r="3565" spans="1:17" x14ac:dyDescent="0.35">
      <c r="A3565" t="s">
        <v>3617</v>
      </c>
      <c r="B3565" t="s">
        <v>16</v>
      </c>
      <c r="C3565">
        <v>35</v>
      </c>
      <c r="D3565" t="s">
        <v>34</v>
      </c>
      <c r="E3565" t="s">
        <v>59</v>
      </c>
      <c r="F3565" t="s">
        <v>19</v>
      </c>
      <c r="G3565">
        <v>1.4</v>
      </c>
      <c r="H3565">
        <v>0</v>
      </c>
      <c r="I3565" t="str" cm="1">
        <f t="array" ref="I3565">_xlfn.IFS(G3565&lt;3, "0–2 Years", G3565&lt;6, "3–5 Years", G3565&lt;9, "6–8 Years", G3565&lt;12, "9-11 Years", G3565&gt;=12, "12-14 Years")</f>
        <v>0–2 Years</v>
      </c>
      <c r="J3565">
        <v>4</v>
      </c>
      <c r="K3565" t="s">
        <v>20</v>
      </c>
      <c r="L3565">
        <v>87100</v>
      </c>
      <c r="M3565">
        <v>4400</v>
      </c>
      <c r="N3565">
        <v>91500</v>
      </c>
      <c r="O3565" t="s">
        <v>30</v>
      </c>
      <c r="P3565" s="3">
        <v>45507</v>
      </c>
      <c r="Q3565" t="s">
        <v>19</v>
      </c>
    </row>
    <row r="3566" spans="1:17" x14ac:dyDescent="0.35">
      <c r="A3566" t="s">
        <v>3618</v>
      </c>
      <c r="B3566" t="s">
        <v>23</v>
      </c>
      <c r="C3566">
        <v>43</v>
      </c>
      <c r="D3566" t="s">
        <v>55</v>
      </c>
      <c r="E3566" t="s">
        <v>56</v>
      </c>
      <c r="F3566" t="s">
        <v>36</v>
      </c>
      <c r="G3566">
        <v>8.6</v>
      </c>
      <c r="H3566">
        <v>3.5</v>
      </c>
      <c r="I3566" t="str" cm="1">
        <f t="array" ref="I3566">_xlfn.IFS(G3566&lt;3, "0–2 Years", G3566&lt;6, "3–5 Years", G3566&lt;9, "6–8 Years", G3566&lt;12, "9-11 Years", G3566&gt;=12, "12-14 Years")</f>
        <v>6–8 Years</v>
      </c>
      <c r="J3566">
        <v>2</v>
      </c>
      <c r="K3566" t="s">
        <v>20</v>
      </c>
      <c r="L3566">
        <v>93600</v>
      </c>
      <c r="M3566">
        <v>10100</v>
      </c>
      <c r="N3566">
        <v>103700</v>
      </c>
      <c r="O3566" t="s">
        <v>30</v>
      </c>
      <c r="P3566" s="3">
        <v>42868</v>
      </c>
      <c r="Q3566" t="s">
        <v>36</v>
      </c>
    </row>
    <row r="3567" spans="1:17" x14ac:dyDescent="0.35">
      <c r="A3567" t="s">
        <v>3619</v>
      </c>
      <c r="B3567" t="s">
        <v>16</v>
      </c>
      <c r="C3567" s="7">
        <v>36</v>
      </c>
      <c r="D3567" t="s">
        <v>55</v>
      </c>
      <c r="E3567" t="s">
        <v>56</v>
      </c>
      <c r="F3567" t="s">
        <v>36</v>
      </c>
      <c r="G3567" s="9">
        <v>13.2</v>
      </c>
      <c r="H3567" s="7">
        <v>7.5</v>
      </c>
      <c r="I3567" t="str" cm="1">
        <f t="array" ref="I3567">_xlfn.IFS(G3567&lt;3, "0–2 Years", G3567&lt;6, "3–5 Years", G3567&lt;9, "6–8 Years", G3567&lt;12, "9-11 Years", G3567&gt;=12, "12-14 Years")</f>
        <v>12-14 Years</v>
      </c>
      <c r="J3567" s="7">
        <v>2</v>
      </c>
      <c r="K3567" t="s">
        <v>20</v>
      </c>
      <c r="L3567" s="7">
        <v>111700</v>
      </c>
      <c r="M3567" s="7">
        <v>10600</v>
      </c>
      <c r="N3567" s="7">
        <v>122300</v>
      </c>
      <c r="O3567" t="s">
        <v>57</v>
      </c>
      <c r="P3567" s="3">
        <v>41191</v>
      </c>
      <c r="Q3567" t="s">
        <v>36</v>
      </c>
    </row>
    <row r="3568" spans="1:17" x14ac:dyDescent="0.35">
      <c r="A3568" t="s">
        <v>3620</v>
      </c>
      <c r="B3568" t="s">
        <v>16</v>
      </c>
      <c r="C3568" s="7">
        <v>39</v>
      </c>
      <c r="D3568" t="s">
        <v>17</v>
      </c>
      <c r="E3568" t="s">
        <v>18</v>
      </c>
      <c r="F3568" t="s">
        <v>19</v>
      </c>
      <c r="G3568" s="9">
        <v>13.5</v>
      </c>
      <c r="H3568" s="7">
        <v>8.9</v>
      </c>
      <c r="I3568" t="str" cm="1">
        <f t="array" ref="I3568">_xlfn.IFS(G3568&lt;3, "0–2 Years", G3568&lt;6, "3–5 Years", G3568&lt;9, "6–8 Years", G3568&lt;12, "9-11 Years", G3568&gt;=12, "12-14 Years")</f>
        <v>12-14 Years</v>
      </c>
      <c r="J3568" s="7">
        <v>3</v>
      </c>
      <c r="K3568" t="s">
        <v>20</v>
      </c>
      <c r="L3568" s="7">
        <v>96400</v>
      </c>
      <c r="M3568" s="7">
        <v>4700</v>
      </c>
      <c r="N3568" s="7">
        <v>101100</v>
      </c>
      <c r="O3568" t="s">
        <v>30</v>
      </c>
      <c r="P3568" s="3">
        <v>41089</v>
      </c>
      <c r="Q3568" t="s">
        <v>19</v>
      </c>
    </row>
    <row r="3569" spans="1:17" x14ac:dyDescent="0.35">
      <c r="A3569" t="s">
        <v>3621</v>
      </c>
      <c r="B3569" t="s">
        <v>23</v>
      </c>
      <c r="C3569">
        <v>40</v>
      </c>
      <c r="D3569" t="s">
        <v>55</v>
      </c>
      <c r="E3569" t="s">
        <v>92</v>
      </c>
      <c r="F3569" t="s">
        <v>62</v>
      </c>
      <c r="G3569">
        <v>4.4000000000000004</v>
      </c>
      <c r="H3569">
        <v>4.3</v>
      </c>
      <c r="I3569" t="str" cm="1">
        <f t="array" ref="I3569">_xlfn.IFS(G3569&lt;3, "0–2 Years", G3569&lt;6, "3–5 Years", G3569&lt;9, "6–8 Years", G3569&lt;12, "9-11 Years", G3569&gt;=12, "12-14 Years")</f>
        <v>3–5 Years</v>
      </c>
      <c r="J3569">
        <v>3</v>
      </c>
      <c r="K3569" t="s">
        <v>20</v>
      </c>
      <c r="L3569">
        <v>110600</v>
      </c>
      <c r="M3569">
        <v>19200</v>
      </c>
      <c r="N3569">
        <v>129800</v>
      </c>
      <c r="O3569" t="s">
        <v>57</v>
      </c>
      <c r="P3569" s="3">
        <v>44414</v>
      </c>
      <c r="Q3569" t="s">
        <v>62</v>
      </c>
    </row>
    <row r="3570" spans="1:17" x14ac:dyDescent="0.35">
      <c r="A3570" t="s">
        <v>3622</v>
      </c>
      <c r="B3570" t="s">
        <v>23</v>
      </c>
      <c r="C3570">
        <v>43</v>
      </c>
      <c r="D3570" t="s">
        <v>55</v>
      </c>
      <c r="E3570" t="s">
        <v>56</v>
      </c>
      <c r="F3570" t="s">
        <v>28</v>
      </c>
      <c r="G3570">
        <v>1.2</v>
      </c>
      <c r="H3570">
        <v>0</v>
      </c>
      <c r="I3570" t="str" cm="1">
        <f t="array" ref="I3570">_xlfn.IFS(G3570&lt;3, "0–2 Years", G3570&lt;6, "3–5 Years", G3570&lt;9, "6–8 Years", G3570&lt;12, "9-11 Years", G3570&gt;=12, "12-14 Years")</f>
        <v>0–2 Years</v>
      </c>
      <c r="J3570">
        <v>3</v>
      </c>
      <c r="K3570" t="s">
        <v>20</v>
      </c>
      <c r="L3570">
        <v>74600</v>
      </c>
      <c r="M3570">
        <v>14400</v>
      </c>
      <c r="N3570">
        <v>89000</v>
      </c>
      <c r="O3570" t="s">
        <v>21</v>
      </c>
      <c r="P3570" s="3">
        <v>45591</v>
      </c>
      <c r="Q3570" t="s">
        <v>28</v>
      </c>
    </row>
    <row r="3571" spans="1:17" x14ac:dyDescent="0.35">
      <c r="A3571" t="s">
        <v>3623</v>
      </c>
      <c r="B3571" t="s">
        <v>23</v>
      </c>
      <c r="C3571">
        <v>33</v>
      </c>
      <c r="D3571" t="s">
        <v>41</v>
      </c>
      <c r="E3571" t="s">
        <v>42</v>
      </c>
      <c r="F3571" t="s">
        <v>36</v>
      </c>
      <c r="G3571">
        <v>3.6</v>
      </c>
      <c r="H3571">
        <v>2.6</v>
      </c>
      <c r="I3571" t="str" cm="1">
        <f t="array" ref="I3571">_xlfn.IFS(G3571&lt;3, "0–2 Years", G3571&lt;6, "3–5 Years", G3571&lt;9, "6–8 Years", G3571&lt;12, "9-11 Years", G3571&gt;=12, "12-14 Years")</f>
        <v>3–5 Years</v>
      </c>
      <c r="J3571">
        <v>3</v>
      </c>
      <c r="K3571" t="s">
        <v>20</v>
      </c>
      <c r="L3571">
        <v>74900</v>
      </c>
      <c r="M3571">
        <v>5200</v>
      </c>
      <c r="N3571">
        <v>80100</v>
      </c>
      <c r="O3571" t="s">
        <v>21</v>
      </c>
      <c r="P3571" s="3">
        <v>44693</v>
      </c>
      <c r="Q3571" t="s">
        <v>36</v>
      </c>
    </row>
    <row r="3572" spans="1:17" x14ac:dyDescent="0.35">
      <c r="A3572" t="s">
        <v>3624</v>
      </c>
      <c r="B3572" t="s">
        <v>16</v>
      </c>
      <c r="C3572">
        <v>38</v>
      </c>
      <c r="D3572" t="s">
        <v>55</v>
      </c>
      <c r="E3572" t="s">
        <v>92</v>
      </c>
      <c r="F3572" t="s">
        <v>28</v>
      </c>
      <c r="G3572">
        <v>5.8</v>
      </c>
      <c r="H3572">
        <v>3.2</v>
      </c>
      <c r="I3572" t="str" cm="1">
        <f t="array" ref="I3572">_xlfn.IFS(G3572&lt;3, "0–2 Years", G3572&lt;6, "3–5 Years", G3572&lt;9, "6–8 Years", G3572&lt;12, "9-11 Years", G3572&gt;=12, "12-14 Years")</f>
        <v>3–5 Years</v>
      </c>
      <c r="J3572">
        <v>3</v>
      </c>
      <c r="K3572" t="s">
        <v>69</v>
      </c>
      <c r="L3572">
        <v>79400</v>
      </c>
      <c r="M3572">
        <v>14200</v>
      </c>
      <c r="N3572">
        <v>93600</v>
      </c>
      <c r="O3572" t="s">
        <v>21</v>
      </c>
      <c r="P3572" s="3">
        <v>43908</v>
      </c>
      <c r="Q3572" t="s">
        <v>28</v>
      </c>
    </row>
    <row r="3573" spans="1:17" x14ac:dyDescent="0.35">
      <c r="A3573" t="s">
        <v>3625</v>
      </c>
      <c r="B3573" t="s">
        <v>16</v>
      </c>
      <c r="C3573">
        <v>36</v>
      </c>
      <c r="D3573" t="s">
        <v>44</v>
      </c>
      <c r="E3573" t="s">
        <v>76</v>
      </c>
      <c r="F3573" t="s">
        <v>28</v>
      </c>
      <c r="G3573">
        <v>3.6</v>
      </c>
      <c r="H3573">
        <v>1.6</v>
      </c>
      <c r="I3573" t="str" cm="1">
        <f t="array" ref="I3573">_xlfn.IFS(G3573&lt;3, "0–2 Years", G3573&lt;6, "3–5 Years", G3573&lt;9, "6–8 Years", G3573&lt;12, "9-11 Years", G3573&gt;=12, "12-14 Years")</f>
        <v>3–5 Years</v>
      </c>
      <c r="J3573">
        <v>4</v>
      </c>
      <c r="K3573" t="s">
        <v>20</v>
      </c>
      <c r="L3573">
        <v>102300</v>
      </c>
      <c r="M3573">
        <v>6900</v>
      </c>
      <c r="N3573">
        <v>109200</v>
      </c>
      <c r="O3573" t="s">
        <v>57</v>
      </c>
      <c r="P3573" s="3">
        <v>44696</v>
      </c>
      <c r="Q3573" t="s">
        <v>28</v>
      </c>
    </row>
    <row r="3574" spans="1:17" x14ac:dyDescent="0.35">
      <c r="A3574" t="s">
        <v>3626</v>
      </c>
      <c r="B3574" t="s">
        <v>23</v>
      </c>
      <c r="C3574">
        <v>38</v>
      </c>
      <c r="D3574" t="s">
        <v>55</v>
      </c>
      <c r="E3574" t="s">
        <v>92</v>
      </c>
      <c r="F3574" t="s">
        <v>28</v>
      </c>
      <c r="G3574">
        <v>6.4</v>
      </c>
      <c r="H3574">
        <v>6.4</v>
      </c>
      <c r="I3574" t="str" cm="1">
        <f t="array" ref="I3574">_xlfn.IFS(G3574&lt;3, "0–2 Years", G3574&lt;6, "3–5 Years", G3574&lt;9, "6–8 Years", G3574&lt;12, "9-11 Years", G3574&gt;=12, "12-14 Years")</f>
        <v>6–8 Years</v>
      </c>
      <c r="J3574">
        <v>3</v>
      </c>
      <c r="K3574" t="s">
        <v>20</v>
      </c>
      <c r="L3574">
        <v>103300</v>
      </c>
      <c r="M3574">
        <v>9700</v>
      </c>
      <c r="N3574">
        <v>113000</v>
      </c>
      <c r="O3574" t="s">
        <v>57</v>
      </c>
      <c r="P3574" s="3">
        <v>43680</v>
      </c>
      <c r="Q3574" t="s">
        <v>28</v>
      </c>
    </row>
    <row r="3575" spans="1:17" x14ac:dyDescent="0.35">
      <c r="A3575" t="s">
        <v>3627</v>
      </c>
      <c r="B3575" t="s">
        <v>23</v>
      </c>
      <c r="C3575">
        <v>26</v>
      </c>
      <c r="D3575" t="s">
        <v>38</v>
      </c>
      <c r="E3575" t="s">
        <v>112</v>
      </c>
      <c r="F3575" t="s">
        <v>19</v>
      </c>
      <c r="G3575">
        <v>9.1</v>
      </c>
      <c r="H3575">
        <v>6.2</v>
      </c>
      <c r="I3575" t="str" cm="1">
        <f t="array" ref="I3575">_xlfn.IFS(G3575&lt;3, "0–2 Years", G3575&lt;6, "3–5 Years", G3575&lt;9, "6–8 Years", G3575&lt;12, "9-11 Years", G3575&gt;=12, "12-14 Years")</f>
        <v>9-11 Years</v>
      </c>
      <c r="J3575">
        <v>3</v>
      </c>
      <c r="K3575" t="s">
        <v>20</v>
      </c>
      <c r="L3575">
        <v>73900</v>
      </c>
      <c r="M3575">
        <v>6300</v>
      </c>
      <c r="N3575">
        <v>80200</v>
      </c>
      <c r="O3575" t="s">
        <v>21</v>
      </c>
      <c r="P3575" s="3">
        <v>42694</v>
      </c>
      <c r="Q3575" t="s">
        <v>19</v>
      </c>
    </row>
    <row r="3576" spans="1:17" x14ac:dyDescent="0.35">
      <c r="A3576" t="s">
        <v>3628</v>
      </c>
      <c r="B3576" t="s">
        <v>23</v>
      </c>
      <c r="C3576">
        <v>45</v>
      </c>
      <c r="D3576" t="s">
        <v>41</v>
      </c>
      <c r="E3576" t="s">
        <v>73</v>
      </c>
      <c r="F3576" t="s">
        <v>28</v>
      </c>
      <c r="G3576">
        <v>8.1</v>
      </c>
      <c r="H3576">
        <v>4.3</v>
      </c>
      <c r="I3576" t="str" cm="1">
        <f t="array" ref="I3576">_xlfn.IFS(G3576&lt;3, "0–2 Years", G3576&lt;6, "3–5 Years", G3576&lt;9, "6–8 Years", G3576&lt;12, "9-11 Years", G3576&gt;=12, "12-14 Years")</f>
        <v>6–8 Years</v>
      </c>
      <c r="J3576">
        <v>5</v>
      </c>
      <c r="K3576" t="s">
        <v>20</v>
      </c>
      <c r="L3576">
        <v>114000</v>
      </c>
      <c r="M3576">
        <v>8700</v>
      </c>
      <c r="N3576">
        <v>122700</v>
      </c>
      <c r="O3576" t="s">
        <v>57</v>
      </c>
      <c r="P3576" s="3">
        <v>43052</v>
      </c>
      <c r="Q3576" t="s">
        <v>28</v>
      </c>
    </row>
    <row r="3577" spans="1:17" x14ac:dyDescent="0.35">
      <c r="A3577" t="s">
        <v>3629</v>
      </c>
      <c r="B3577" t="s">
        <v>16</v>
      </c>
      <c r="C3577">
        <v>27</v>
      </c>
      <c r="D3577" t="s">
        <v>17</v>
      </c>
      <c r="E3577" t="s">
        <v>18</v>
      </c>
      <c r="F3577" t="s">
        <v>28</v>
      </c>
      <c r="G3577">
        <v>3.7</v>
      </c>
      <c r="H3577">
        <v>3.7</v>
      </c>
      <c r="I3577" t="str" cm="1">
        <f t="array" ref="I3577">_xlfn.IFS(G3577&lt;3, "0–2 Years", G3577&lt;6, "3–5 Years", G3577&lt;9, "6–8 Years", G3577&lt;12, "9-11 Years", G3577&gt;=12, "12-14 Years")</f>
        <v>3–5 Years</v>
      </c>
      <c r="J3577">
        <v>3</v>
      </c>
      <c r="K3577" t="s">
        <v>20</v>
      </c>
      <c r="L3577">
        <v>95700</v>
      </c>
      <c r="M3577">
        <v>5200</v>
      </c>
      <c r="N3577">
        <v>100900</v>
      </c>
      <c r="O3577" t="s">
        <v>30</v>
      </c>
      <c r="P3577" s="3">
        <v>44681</v>
      </c>
      <c r="Q3577" t="s">
        <v>28</v>
      </c>
    </row>
    <row r="3578" spans="1:17" x14ac:dyDescent="0.35">
      <c r="A3578" t="s">
        <v>3630</v>
      </c>
      <c r="B3578" t="s">
        <v>16</v>
      </c>
      <c r="C3578">
        <v>39</v>
      </c>
      <c r="D3578" t="s">
        <v>55</v>
      </c>
      <c r="E3578" t="s">
        <v>92</v>
      </c>
      <c r="F3578" t="s">
        <v>28</v>
      </c>
      <c r="G3578">
        <v>9.1999999999999993</v>
      </c>
      <c r="H3578">
        <v>4.7</v>
      </c>
      <c r="I3578" t="str" cm="1">
        <f t="array" ref="I3578">_xlfn.IFS(G3578&lt;3, "0–2 Years", G3578&lt;6, "3–5 Years", G3578&lt;9, "6–8 Years", G3578&lt;12, "9-11 Years", G3578&gt;=12, "12-14 Years")</f>
        <v>9-11 Years</v>
      </c>
      <c r="J3578">
        <v>5</v>
      </c>
      <c r="K3578" t="s">
        <v>20</v>
      </c>
      <c r="L3578">
        <v>116200</v>
      </c>
      <c r="M3578">
        <v>23700</v>
      </c>
      <c r="N3578">
        <v>139900</v>
      </c>
      <c r="O3578" t="s">
        <v>57</v>
      </c>
      <c r="P3578" s="3">
        <v>42669</v>
      </c>
      <c r="Q3578" t="s">
        <v>28</v>
      </c>
    </row>
    <row r="3579" spans="1:17" x14ac:dyDescent="0.35">
      <c r="A3579" t="s">
        <v>3631</v>
      </c>
      <c r="B3579" t="s">
        <v>16</v>
      </c>
      <c r="C3579">
        <v>38</v>
      </c>
      <c r="D3579" t="s">
        <v>55</v>
      </c>
      <c r="E3579" t="s">
        <v>56</v>
      </c>
      <c r="F3579" t="s">
        <v>28</v>
      </c>
      <c r="G3579">
        <v>2.1</v>
      </c>
      <c r="H3579">
        <v>1.1000000000000001</v>
      </c>
      <c r="I3579" t="str" cm="1">
        <f t="array" ref="I3579">_xlfn.IFS(G3579&lt;3, "0–2 Years", G3579&lt;6, "3–5 Years", G3579&lt;9, "6–8 Years", G3579&lt;12, "9-11 Years", G3579&gt;=12, "12-14 Years")</f>
        <v>0–2 Years</v>
      </c>
      <c r="J3579">
        <v>4</v>
      </c>
      <c r="K3579" t="s">
        <v>20</v>
      </c>
      <c r="L3579">
        <v>81600</v>
      </c>
      <c r="M3579">
        <v>9700</v>
      </c>
      <c r="N3579">
        <v>91300</v>
      </c>
      <c r="O3579" t="s">
        <v>30</v>
      </c>
      <c r="P3579" s="3">
        <v>45271</v>
      </c>
      <c r="Q3579" t="s">
        <v>28</v>
      </c>
    </row>
    <row r="3580" spans="1:17" x14ac:dyDescent="0.35">
      <c r="A3580" t="s">
        <v>3632</v>
      </c>
      <c r="B3580" t="s">
        <v>16</v>
      </c>
      <c r="C3580" s="7">
        <v>38</v>
      </c>
      <c r="D3580" t="s">
        <v>55</v>
      </c>
      <c r="E3580" t="s">
        <v>92</v>
      </c>
      <c r="F3580" t="s">
        <v>28</v>
      </c>
      <c r="G3580" s="9">
        <v>12.1</v>
      </c>
      <c r="H3580" s="7">
        <v>8.5</v>
      </c>
      <c r="I3580" t="str" cm="1">
        <f t="array" ref="I3580">_xlfn.IFS(G3580&lt;3, "0–2 Years", G3580&lt;6, "3–5 Years", G3580&lt;9, "6–8 Years", G3580&lt;12, "9-11 Years", G3580&gt;=12, "12-14 Years")</f>
        <v>12-14 Years</v>
      </c>
      <c r="J3580" s="7">
        <v>3</v>
      </c>
      <c r="K3580" t="s">
        <v>20</v>
      </c>
      <c r="L3580" s="7">
        <v>98000</v>
      </c>
      <c r="M3580" s="7">
        <v>19500</v>
      </c>
      <c r="N3580" s="7">
        <v>117500</v>
      </c>
      <c r="O3580" t="s">
        <v>30</v>
      </c>
      <c r="P3580" s="3">
        <v>41604</v>
      </c>
      <c r="Q3580" t="s">
        <v>28</v>
      </c>
    </row>
    <row r="3581" spans="1:17" x14ac:dyDescent="0.35">
      <c r="A3581" t="s">
        <v>3633</v>
      </c>
      <c r="B3581" t="s">
        <v>23</v>
      </c>
      <c r="C3581">
        <v>39</v>
      </c>
      <c r="D3581" t="s">
        <v>38</v>
      </c>
      <c r="E3581" t="s">
        <v>112</v>
      </c>
      <c r="F3581" t="s">
        <v>28</v>
      </c>
      <c r="G3581">
        <v>2.2000000000000002</v>
      </c>
      <c r="H3581">
        <v>2.2000000000000002</v>
      </c>
      <c r="I3581" t="str" cm="1">
        <f t="array" ref="I3581">_xlfn.IFS(G3581&lt;3, "0–2 Years", G3581&lt;6, "3–5 Years", G3581&lt;9, "6–8 Years", G3581&lt;12, "9-11 Years", G3581&gt;=12, "12-14 Years")</f>
        <v>0–2 Years</v>
      </c>
      <c r="J3581">
        <v>4</v>
      </c>
      <c r="K3581" t="s">
        <v>20</v>
      </c>
      <c r="L3581">
        <v>66200</v>
      </c>
      <c r="M3581">
        <v>5600</v>
      </c>
      <c r="N3581">
        <v>71800</v>
      </c>
      <c r="O3581" t="s">
        <v>21</v>
      </c>
      <c r="P3581" s="3">
        <v>45223</v>
      </c>
      <c r="Q3581" t="s">
        <v>28</v>
      </c>
    </row>
    <row r="3582" spans="1:17" x14ac:dyDescent="0.35">
      <c r="A3582" t="s">
        <v>3634</v>
      </c>
      <c r="B3582" t="s">
        <v>23</v>
      </c>
      <c r="C3582">
        <v>34</v>
      </c>
      <c r="D3582" t="s">
        <v>44</v>
      </c>
      <c r="E3582" t="s">
        <v>76</v>
      </c>
      <c r="F3582" t="s">
        <v>28</v>
      </c>
      <c r="G3582">
        <v>4.3</v>
      </c>
      <c r="H3582">
        <v>0.8</v>
      </c>
      <c r="I3582" t="str" cm="1">
        <f t="array" ref="I3582">_xlfn.IFS(G3582&lt;3, "0–2 Years", G3582&lt;6, "3–5 Years", G3582&lt;9, "6–8 Years", G3582&lt;12, "9-11 Years", G3582&gt;=12, "12-14 Years")</f>
        <v>3–5 Years</v>
      </c>
      <c r="J3582">
        <v>2</v>
      </c>
      <c r="K3582" t="s">
        <v>20</v>
      </c>
      <c r="L3582">
        <v>89200</v>
      </c>
      <c r="M3582">
        <v>6500</v>
      </c>
      <c r="N3582">
        <v>95700</v>
      </c>
      <c r="O3582" t="s">
        <v>30</v>
      </c>
      <c r="P3582" s="3">
        <v>44438</v>
      </c>
      <c r="Q3582" t="s">
        <v>28</v>
      </c>
    </row>
    <row r="3583" spans="1:17" x14ac:dyDescent="0.35">
      <c r="A3583" t="s">
        <v>3635</v>
      </c>
      <c r="B3583" t="s">
        <v>23</v>
      </c>
      <c r="C3583">
        <v>34</v>
      </c>
      <c r="D3583" t="s">
        <v>38</v>
      </c>
      <c r="E3583" t="s">
        <v>61</v>
      </c>
      <c r="F3583" t="s">
        <v>28</v>
      </c>
      <c r="G3583">
        <v>10.7</v>
      </c>
      <c r="H3583">
        <v>6.6</v>
      </c>
      <c r="I3583" t="str" cm="1">
        <f t="array" ref="I3583">_xlfn.IFS(G3583&lt;3, "0–2 Years", G3583&lt;6, "3–5 Years", G3583&lt;9, "6–8 Years", G3583&lt;12, "9-11 Years", G3583&gt;=12, "12-14 Years")</f>
        <v>9-11 Years</v>
      </c>
      <c r="J3583">
        <v>3</v>
      </c>
      <c r="K3583" t="s">
        <v>20</v>
      </c>
      <c r="L3583">
        <v>107200</v>
      </c>
      <c r="M3583">
        <v>10400</v>
      </c>
      <c r="N3583">
        <v>117600</v>
      </c>
      <c r="O3583" t="s">
        <v>57</v>
      </c>
      <c r="P3583" s="3">
        <v>42118</v>
      </c>
      <c r="Q3583" t="s">
        <v>28</v>
      </c>
    </row>
    <row r="3584" spans="1:17" x14ac:dyDescent="0.35">
      <c r="A3584" t="s">
        <v>3636</v>
      </c>
      <c r="B3584" t="s">
        <v>23</v>
      </c>
      <c r="C3584">
        <v>40</v>
      </c>
      <c r="D3584" t="s">
        <v>44</v>
      </c>
      <c r="E3584" t="s">
        <v>76</v>
      </c>
      <c r="F3584" t="s">
        <v>19</v>
      </c>
      <c r="G3584">
        <v>1.2</v>
      </c>
      <c r="H3584">
        <v>0</v>
      </c>
      <c r="I3584" t="str" cm="1">
        <f t="array" ref="I3584">_xlfn.IFS(G3584&lt;3, "0–2 Years", G3584&lt;6, "3–5 Years", G3584&lt;9, "6–8 Years", G3584&lt;12, "9-11 Years", G3584&gt;=12, "12-14 Years")</f>
        <v>0–2 Years</v>
      </c>
      <c r="J3584">
        <v>4</v>
      </c>
      <c r="K3584" t="s">
        <v>20</v>
      </c>
      <c r="L3584">
        <v>99600</v>
      </c>
      <c r="M3584">
        <v>7400</v>
      </c>
      <c r="N3584">
        <v>107000</v>
      </c>
      <c r="O3584" t="s">
        <v>30</v>
      </c>
      <c r="P3584" s="3">
        <v>45570</v>
      </c>
      <c r="Q3584" t="s">
        <v>19</v>
      </c>
    </row>
    <row r="3585" spans="1:17" x14ac:dyDescent="0.35">
      <c r="A3585" t="s">
        <v>3637</v>
      </c>
      <c r="B3585" t="s">
        <v>23</v>
      </c>
      <c r="C3585">
        <v>31</v>
      </c>
      <c r="D3585" t="s">
        <v>17</v>
      </c>
      <c r="E3585" t="s">
        <v>27</v>
      </c>
      <c r="F3585" t="s">
        <v>28</v>
      </c>
      <c r="G3585">
        <v>8.9</v>
      </c>
      <c r="H3585">
        <v>7.3</v>
      </c>
      <c r="I3585" t="str" cm="1">
        <f t="array" ref="I3585">_xlfn.IFS(G3585&lt;3, "0–2 Years", G3585&lt;6, "3–5 Years", G3585&lt;9, "6–8 Years", G3585&lt;12, "9-11 Years", G3585&gt;=12, "12-14 Years")</f>
        <v>6–8 Years</v>
      </c>
      <c r="J3585">
        <v>3</v>
      </c>
      <c r="K3585" t="s">
        <v>20</v>
      </c>
      <c r="L3585">
        <v>78900</v>
      </c>
      <c r="M3585">
        <v>9500</v>
      </c>
      <c r="N3585">
        <v>88400</v>
      </c>
      <c r="O3585" t="s">
        <v>21</v>
      </c>
      <c r="P3585" s="3">
        <v>42757</v>
      </c>
      <c r="Q3585" t="s">
        <v>28</v>
      </c>
    </row>
    <row r="3586" spans="1:17" x14ac:dyDescent="0.35">
      <c r="A3586" t="s">
        <v>3638</v>
      </c>
      <c r="B3586" t="s">
        <v>23</v>
      </c>
      <c r="C3586">
        <v>21</v>
      </c>
      <c r="D3586" t="s">
        <v>34</v>
      </c>
      <c r="E3586" t="s">
        <v>47</v>
      </c>
      <c r="F3586" t="s">
        <v>36</v>
      </c>
      <c r="G3586">
        <v>6.6</v>
      </c>
      <c r="H3586">
        <v>2.8</v>
      </c>
      <c r="I3586" t="str" cm="1">
        <f t="array" ref="I3586">_xlfn.IFS(G3586&lt;3, "0–2 Years", G3586&lt;6, "3–5 Years", G3586&lt;9, "6–8 Years", G3586&lt;12, "9-11 Years", G3586&gt;=12, "12-14 Years")</f>
        <v>6–8 Years</v>
      </c>
      <c r="J3586">
        <v>4</v>
      </c>
      <c r="K3586" t="s">
        <v>20</v>
      </c>
      <c r="L3586">
        <v>91100</v>
      </c>
      <c r="M3586">
        <v>5800</v>
      </c>
      <c r="N3586">
        <v>96900</v>
      </c>
      <c r="O3586" t="s">
        <v>30</v>
      </c>
      <c r="P3586" s="3">
        <v>43615</v>
      </c>
      <c r="Q3586" t="s">
        <v>36</v>
      </c>
    </row>
    <row r="3587" spans="1:17" x14ac:dyDescent="0.35">
      <c r="A3587" t="s">
        <v>3639</v>
      </c>
      <c r="B3587" t="s">
        <v>23</v>
      </c>
      <c r="C3587">
        <v>35</v>
      </c>
      <c r="D3587" t="s">
        <v>41</v>
      </c>
      <c r="E3587" t="s">
        <v>67</v>
      </c>
      <c r="F3587" t="s">
        <v>28</v>
      </c>
      <c r="G3587">
        <v>8.8000000000000007</v>
      </c>
      <c r="H3587">
        <v>7</v>
      </c>
      <c r="I3587" t="str" cm="1">
        <f t="array" ref="I3587">_xlfn.IFS(G3587&lt;3, "0–2 Years", G3587&lt;6, "3–5 Years", G3587&lt;9, "6–8 Years", G3587&lt;12, "9-11 Years", G3587&gt;=12, "12-14 Years")</f>
        <v>6–8 Years</v>
      </c>
      <c r="J3587">
        <v>4</v>
      </c>
      <c r="K3587" t="s">
        <v>20</v>
      </c>
      <c r="L3587">
        <v>58300</v>
      </c>
      <c r="M3587">
        <v>3700</v>
      </c>
      <c r="N3587">
        <v>62000</v>
      </c>
      <c r="O3587" t="s">
        <v>25</v>
      </c>
      <c r="P3587" s="3">
        <v>42799</v>
      </c>
      <c r="Q3587" t="s">
        <v>28</v>
      </c>
    </row>
    <row r="3588" spans="1:17" x14ac:dyDescent="0.35">
      <c r="A3588" t="s">
        <v>3640</v>
      </c>
      <c r="B3588" t="s">
        <v>23</v>
      </c>
      <c r="C3588">
        <v>36</v>
      </c>
      <c r="D3588" t="s">
        <v>38</v>
      </c>
      <c r="E3588" t="s">
        <v>112</v>
      </c>
      <c r="F3588" t="s">
        <v>36</v>
      </c>
      <c r="G3588">
        <v>9.5</v>
      </c>
      <c r="H3588">
        <v>8.1999999999999993</v>
      </c>
      <c r="I3588" t="str" cm="1">
        <f t="array" ref="I3588">_xlfn.IFS(G3588&lt;3, "0–2 Years", G3588&lt;6, "3–5 Years", G3588&lt;9, "6–8 Years", G3588&lt;12, "9-11 Years", G3588&gt;=12, "12-14 Years")</f>
        <v>9-11 Years</v>
      </c>
      <c r="J3588">
        <v>3</v>
      </c>
      <c r="K3588" t="s">
        <v>20</v>
      </c>
      <c r="L3588">
        <v>74300</v>
      </c>
      <c r="M3588">
        <v>5900</v>
      </c>
      <c r="N3588">
        <v>80200</v>
      </c>
      <c r="O3588" t="s">
        <v>21</v>
      </c>
      <c r="P3588" s="3">
        <v>42559</v>
      </c>
      <c r="Q3588" t="s">
        <v>36</v>
      </c>
    </row>
    <row r="3589" spans="1:17" x14ac:dyDescent="0.35">
      <c r="A3589" t="s">
        <v>3641</v>
      </c>
      <c r="B3589" t="s">
        <v>23</v>
      </c>
      <c r="C3589">
        <v>33</v>
      </c>
      <c r="D3589" t="s">
        <v>55</v>
      </c>
      <c r="E3589" t="s">
        <v>56</v>
      </c>
      <c r="F3589" t="s">
        <v>28</v>
      </c>
      <c r="G3589">
        <v>9.6999999999999993</v>
      </c>
      <c r="H3589">
        <v>4.5</v>
      </c>
      <c r="I3589" t="str" cm="1">
        <f t="array" ref="I3589">_xlfn.IFS(G3589&lt;3, "0–2 Years", G3589&lt;6, "3–5 Years", G3589&lt;9, "6–8 Years", G3589&lt;12, "9-11 Years", G3589&gt;=12, "12-14 Years")</f>
        <v>9-11 Years</v>
      </c>
      <c r="J3589">
        <v>4</v>
      </c>
      <c r="K3589" t="s">
        <v>20</v>
      </c>
      <c r="L3589">
        <v>105100</v>
      </c>
      <c r="M3589">
        <v>16600</v>
      </c>
      <c r="N3589">
        <v>121700</v>
      </c>
      <c r="O3589" t="s">
        <v>57</v>
      </c>
      <c r="P3589" s="3">
        <v>42487</v>
      </c>
      <c r="Q3589" t="s">
        <v>28</v>
      </c>
    </row>
    <row r="3590" spans="1:17" x14ac:dyDescent="0.35">
      <c r="A3590" t="s">
        <v>3642</v>
      </c>
      <c r="B3590" t="s">
        <v>23</v>
      </c>
      <c r="C3590">
        <v>40</v>
      </c>
      <c r="D3590" t="s">
        <v>17</v>
      </c>
      <c r="E3590" t="s">
        <v>27</v>
      </c>
      <c r="F3590" t="s">
        <v>36</v>
      </c>
      <c r="G3590">
        <v>4.5999999999999996</v>
      </c>
      <c r="H3590">
        <v>3.8</v>
      </c>
      <c r="I3590" t="str" cm="1">
        <f t="array" ref="I3590">_xlfn.IFS(G3590&lt;3, "0–2 Years", G3590&lt;6, "3–5 Years", G3590&lt;9, "6–8 Years", G3590&lt;12, "9-11 Years", G3590&gt;=12, "12-14 Years")</f>
        <v>3–5 Years</v>
      </c>
      <c r="J3590">
        <v>4</v>
      </c>
      <c r="K3590" t="s">
        <v>24</v>
      </c>
      <c r="L3590">
        <v>46800</v>
      </c>
      <c r="M3590">
        <v>5400</v>
      </c>
      <c r="N3590">
        <v>52200</v>
      </c>
      <c r="O3590" t="s">
        <v>65</v>
      </c>
      <c r="P3590" s="3">
        <v>44351</v>
      </c>
      <c r="Q3590" t="s">
        <v>36</v>
      </c>
    </row>
    <row r="3591" spans="1:17" x14ac:dyDescent="0.35">
      <c r="A3591" t="s">
        <v>3643</v>
      </c>
      <c r="B3591" t="s">
        <v>23</v>
      </c>
      <c r="C3591">
        <v>45</v>
      </c>
      <c r="D3591" t="s">
        <v>41</v>
      </c>
      <c r="E3591" t="s">
        <v>67</v>
      </c>
      <c r="F3591" t="s">
        <v>28</v>
      </c>
      <c r="G3591">
        <v>5.6</v>
      </c>
      <c r="H3591">
        <v>3.9</v>
      </c>
      <c r="I3591" t="str" cm="1">
        <f t="array" ref="I3591">_xlfn.IFS(G3591&lt;3, "0–2 Years", G3591&lt;6, "3–5 Years", G3591&lt;9, "6–8 Years", G3591&lt;12, "9-11 Years", G3591&gt;=12, "12-14 Years")</f>
        <v>3–5 Years</v>
      </c>
      <c r="J3591">
        <v>3</v>
      </c>
      <c r="K3591" t="s">
        <v>69</v>
      </c>
      <c r="L3591">
        <v>60300</v>
      </c>
      <c r="M3591">
        <v>4300</v>
      </c>
      <c r="N3591">
        <v>64600</v>
      </c>
      <c r="O3591" t="s">
        <v>25</v>
      </c>
      <c r="P3591" s="3">
        <v>43961</v>
      </c>
      <c r="Q3591" t="s">
        <v>28</v>
      </c>
    </row>
    <row r="3592" spans="1:17" x14ac:dyDescent="0.35">
      <c r="A3592" t="s">
        <v>3644</v>
      </c>
      <c r="B3592" t="s">
        <v>16</v>
      </c>
      <c r="C3592" s="7">
        <v>34</v>
      </c>
      <c r="D3592" t="s">
        <v>34</v>
      </c>
      <c r="E3592" t="s">
        <v>35</v>
      </c>
      <c r="F3592" t="s">
        <v>19</v>
      </c>
      <c r="G3592" s="9">
        <v>12.1</v>
      </c>
      <c r="H3592" s="7">
        <v>7.6</v>
      </c>
      <c r="I3592" t="str" cm="1">
        <f t="array" ref="I3592">_xlfn.IFS(G3592&lt;3, "0–2 Years", G3592&lt;6, "3–5 Years", G3592&lt;9, "6–8 Years", G3592&lt;12, "9-11 Years", G3592&gt;=12, "12-14 Years")</f>
        <v>12-14 Years</v>
      </c>
      <c r="J3592" s="7">
        <v>4</v>
      </c>
      <c r="K3592" t="s">
        <v>20</v>
      </c>
      <c r="L3592" s="7">
        <v>88200</v>
      </c>
      <c r="M3592" s="7">
        <v>7300</v>
      </c>
      <c r="N3592" s="7">
        <v>95500</v>
      </c>
      <c r="O3592" t="s">
        <v>30</v>
      </c>
      <c r="P3592" s="3">
        <v>41597</v>
      </c>
      <c r="Q3592" t="s">
        <v>19</v>
      </c>
    </row>
    <row r="3593" spans="1:17" x14ac:dyDescent="0.35">
      <c r="A3593" t="s">
        <v>3645</v>
      </c>
      <c r="B3593" t="s">
        <v>23</v>
      </c>
      <c r="C3593">
        <v>24</v>
      </c>
      <c r="D3593" t="s">
        <v>17</v>
      </c>
      <c r="E3593" t="s">
        <v>27</v>
      </c>
      <c r="F3593" t="s">
        <v>28</v>
      </c>
      <c r="G3593">
        <v>5.5</v>
      </c>
      <c r="H3593">
        <v>4.0999999999999996</v>
      </c>
      <c r="I3593" t="str" cm="1">
        <f t="array" ref="I3593">_xlfn.IFS(G3593&lt;3, "0–2 Years", G3593&lt;6, "3–5 Years", G3593&lt;9, "6–8 Years", G3593&lt;12, "9-11 Years", G3593&gt;=12, "12-14 Years")</f>
        <v>3–5 Years</v>
      </c>
      <c r="J3593">
        <v>3</v>
      </c>
      <c r="K3593" t="s">
        <v>24</v>
      </c>
      <c r="L3593">
        <v>42800</v>
      </c>
      <c r="M3593">
        <v>5100</v>
      </c>
      <c r="N3593">
        <v>47900</v>
      </c>
      <c r="O3593" t="s">
        <v>65</v>
      </c>
      <c r="P3593" s="3">
        <v>44029</v>
      </c>
      <c r="Q3593" t="s">
        <v>28</v>
      </c>
    </row>
    <row r="3594" spans="1:17" x14ac:dyDescent="0.35">
      <c r="A3594" t="s">
        <v>3646</v>
      </c>
      <c r="B3594" t="s">
        <v>16</v>
      </c>
      <c r="C3594">
        <v>48</v>
      </c>
      <c r="D3594" t="s">
        <v>34</v>
      </c>
      <c r="E3594" t="s">
        <v>59</v>
      </c>
      <c r="F3594" t="s">
        <v>19</v>
      </c>
      <c r="G3594">
        <v>7.1</v>
      </c>
      <c r="H3594">
        <v>4.2</v>
      </c>
      <c r="I3594" t="str" cm="1">
        <f t="array" ref="I3594">_xlfn.IFS(G3594&lt;3, "0–2 Years", G3594&lt;6, "3–5 Years", G3594&lt;9, "6–8 Years", G3594&lt;12, "9-11 Years", G3594&gt;=12, "12-14 Years")</f>
        <v>6–8 Years</v>
      </c>
      <c r="J3594">
        <v>3</v>
      </c>
      <c r="K3594" t="s">
        <v>20</v>
      </c>
      <c r="L3594">
        <v>102100</v>
      </c>
      <c r="M3594">
        <v>9900</v>
      </c>
      <c r="N3594">
        <v>112000</v>
      </c>
      <c r="O3594" t="s">
        <v>57</v>
      </c>
      <c r="P3594" s="3">
        <v>43424</v>
      </c>
      <c r="Q3594" t="s">
        <v>19</v>
      </c>
    </row>
    <row r="3595" spans="1:17" x14ac:dyDescent="0.35">
      <c r="A3595" t="s">
        <v>3647</v>
      </c>
      <c r="B3595" t="s">
        <v>23</v>
      </c>
      <c r="C3595">
        <v>34</v>
      </c>
      <c r="D3595" t="s">
        <v>41</v>
      </c>
      <c r="E3595" t="s">
        <v>42</v>
      </c>
      <c r="F3595" t="s">
        <v>36</v>
      </c>
      <c r="G3595">
        <v>2.2999999999999998</v>
      </c>
      <c r="H3595">
        <v>2.2999999999999998</v>
      </c>
      <c r="I3595" t="str" cm="1">
        <f t="array" ref="I3595">_xlfn.IFS(G3595&lt;3, "0–2 Years", G3595&lt;6, "3–5 Years", G3595&lt;9, "6–8 Years", G3595&lt;12, "9-11 Years", G3595&gt;=12, "12-14 Years")</f>
        <v>0–2 Years</v>
      </c>
      <c r="J3595">
        <v>3</v>
      </c>
      <c r="K3595" t="s">
        <v>24</v>
      </c>
      <c r="L3595">
        <v>49000</v>
      </c>
      <c r="M3595">
        <v>3200</v>
      </c>
      <c r="N3595">
        <v>52200</v>
      </c>
      <c r="O3595" t="s">
        <v>65</v>
      </c>
      <c r="P3595" s="3">
        <v>45165</v>
      </c>
      <c r="Q3595" t="s">
        <v>36</v>
      </c>
    </row>
    <row r="3596" spans="1:17" x14ac:dyDescent="0.35">
      <c r="A3596" t="s">
        <v>3648</v>
      </c>
      <c r="B3596" t="s">
        <v>23</v>
      </c>
      <c r="C3596">
        <v>38</v>
      </c>
      <c r="D3596" t="s">
        <v>44</v>
      </c>
      <c r="E3596" t="s">
        <v>76</v>
      </c>
      <c r="F3596" t="s">
        <v>28</v>
      </c>
      <c r="G3596">
        <v>2.5</v>
      </c>
      <c r="H3596">
        <v>1.4</v>
      </c>
      <c r="I3596" t="str" cm="1">
        <f t="array" ref="I3596">_xlfn.IFS(G3596&lt;3, "0–2 Years", G3596&lt;6, "3–5 Years", G3596&lt;9, "6–8 Years", G3596&lt;12, "9-11 Years", G3596&gt;=12, "12-14 Years")</f>
        <v>0–2 Years</v>
      </c>
      <c r="J3596">
        <v>5</v>
      </c>
      <c r="K3596" t="s">
        <v>20</v>
      </c>
      <c r="L3596">
        <v>91900</v>
      </c>
      <c r="M3596">
        <v>8500</v>
      </c>
      <c r="N3596">
        <v>100400</v>
      </c>
      <c r="O3596" t="s">
        <v>30</v>
      </c>
      <c r="P3596" s="3">
        <v>45102</v>
      </c>
      <c r="Q3596" t="s">
        <v>28</v>
      </c>
    </row>
    <row r="3597" spans="1:17" x14ac:dyDescent="0.35">
      <c r="A3597" t="s">
        <v>3649</v>
      </c>
      <c r="B3597" t="s">
        <v>16</v>
      </c>
      <c r="C3597">
        <v>40</v>
      </c>
      <c r="D3597" t="s">
        <v>41</v>
      </c>
      <c r="E3597" t="s">
        <v>42</v>
      </c>
      <c r="F3597" t="s">
        <v>36</v>
      </c>
      <c r="G3597">
        <v>10.8</v>
      </c>
      <c r="H3597">
        <v>7</v>
      </c>
      <c r="I3597" t="str" cm="1">
        <f t="array" ref="I3597">_xlfn.IFS(G3597&lt;3, "0–2 Years", G3597&lt;6, "3–5 Years", G3597&lt;9, "6–8 Years", G3597&lt;12, "9-11 Years", G3597&gt;=12, "12-14 Years")</f>
        <v>9-11 Years</v>
      </c>
      <c r="J3597">
        <v>3</v>
      </c>
      <c r="K3597" t="s">
        <v>20</v>
      </c>
      <c r="L3597">
        <v>85900</v>
      </c>
      <c r="M3597">
        <v>6300</v>
      </c>
      <c r="N3597">
        <v>92200</v>
      </c>
      <c r="O3597" t="s">
        <v>30</v>
      </c>
      <c r="P3597" s="3">
        <v>42076</v>
      </c>
      <c r="Q3597" t="s">
        <v>36</v>
      </c>
    </row>
    <row r="3598" spans="1:17" x14ac:dyDescent="0.35">
      <c r="A3598" t="s">
        <v>3650</v>
      </c>
      <c r="B3598" t="s">
        <v>16</v>
      </c>
      <c r="C3598">
        <v>45</v>
      </c>
      <c r="D3598" t="s">
        <v>17</v>
      </c>
      <c r="E3598" t="s">
        <v>27</v>
      </c>
      <c r="F3598" t="s">
        <v>19</v>
      </c>
      <c r="G3598">
        <v>2.5</v>
      </c>
      <c r="H3598">
        <v>2.4</v>
      </c>
      <c r="I3598" t="str" cm="1">
        <f t="array" ref="I3598">_xlfn.IFS(G3598&lt;3, "0–2 Years", G3598&lt;6, "3–5 Years", G3598&lt;9, "6–8 Years", G3598&lt;12, "9-11 Years", G3598&gt;=12, "12-14 Years")</f>
        <v>0–2 Years</v>
      </c>
      <c r="J3598">
        <v>4</v>
      </c>
      <c r="K3598" t="s">
        <v>24</v>
      </c>
      <c r="L3598">
        <v>41300</v>
      </c>
      <c r="M3598">
        <v>4700</v>
      </c>
      <c r="N3598">
        <v>46000</v>
      </c>
      <c r="O3598" t="s">
        <v>65</v>
      </c>
      <c r="P3598" s="3">
        <v>45117</v>
      </c>
      <c r="Q3598" t="s">
        <v>19</v>
      </c>
    </row>
    <row r="3599" spans="1:17" x14ac:dyDescent="0.35">
      <c r="A3599" t="s">
        <v>3651</v>
      </c>
      <c r="B3599" t="s">
        <v>16</v>
      </c>
      <c r="C3599">
        <v>40</v>
      </c>
      <c r="D3599" t="s">
        <v>41</v>
      </c>
      <c r="E3599" t="s">
        <v>42</v>
      </c>
      <c r="F3599" t="s">
        <v>36</v>
      </c>
      <c r="G3599">
        <v>7.4</v>
      </c>
      <c r="H3599">
        <v>5.4</v>
      </c>
      <c r="I3599" t="str" cm="1">
        <f t="array" ref="I3599">_xlfn.IFS(G3599&lt;3, "0–2 Years", G3599&lt;6, "3–5 Years", G3599&lt;9, "6–8 Years", G3599&lt;12, "9-11 Years", G3599&gt;=12, "12-14 Years")</f>
        <v>6–8 Years</v>
      </c>
      <c r="J3599">
        <v>4</v>
      </c>
      <c r="K3599" t="s">
        <v>69</v>
      </c>
      <c r="L3599">
        <v>73100</v>
      </c>
      <c r="M3599">
        <v>3100</v>
      </c>
      <c r="N3599">
        <v>76200</v>
      </c>
      <c r="O3599" t="s">
        <v>21</v>
      </c>
      <c r="P3599" s="3">
        <v>43302</v>
      </c>
      <c r="Q3599" t="s">
        <v>36</v>
      </c>
    </row>
    <row r="3600" spans="1:17" x14ac:dyDescent="0.35">
      <c r="A3600" t="s">
        <v>3652</v>
      </c>
      <c r="B3600" t="s">
        <v>16</v>
      </c>
      <c r="C3600" s="7">
        <v>41</v>
      </c>
      <c r="D3600" t="s">
        <v>34</v>
      </c>
      <c r="E3600" t="s">
        <v>47</v>
      </c>
      <c r="F3600" t="s">
        <v>28</v>
      </c>
      <c r="G3600" s="9">
        <v>12.9</v>
      </c>
      <c r="H3600" s="7">
        <v>7</v>
      </c>
      <c r="I3600" t="str" cm="1">
        <f t="array" ref="I3600">_xlfn.IFS(G3600&lt;3, "0–2 Years", G3600&lt;6, "3–5 Years", G3600&lt;9, "6–8 Years", G3600&lt;12, "9-11 Years", G3600&gt;=12, "12-14 Years")</f>
        <v>12-14 Years</v>
      </c>
      <c r="J3600" s="7">
        <v>4</v>
      </c>
      <c r="K3600" t="s">
        <v>20</v>
      </c>
      <c r="L3600" s="7">
        <v>91100</v>
      </c>
      <c r="M3600" s="7">
        <v>7600</v>
      </c>
      <c r="N3600" s="7">
        <v>98700</v>
      </c>
      <c r="O3600" t="s">
        <v>30</v>
      </c>
      <c r="P3600" s="3">
        <v>41323</v>
      </c>
      <c r="Q3600" t="s">
        <v>28</v>
      </c>
    </row>
    <row r="3601" spans="1:17" x14ac:dyDescent="0.35">
      <c r="A3601" t="s">
        <v>3653</v>
      </c>
      <c r="B3601" t="s">
        <v>16</v>
      </c>
      <c r="C3601">
        <v>33</v>
      </c>
      <c r="D3601" t="s">
        <v>17</v>
      </c>
      <c r="E3601" t="s">
        <v>18</v>
      </c>
      <c r="F3601" t="s">
        <v>36</v>
      </c>
      <c r="G3601">
        <v>3.1</v>
      </c>
      <c r="H3601">
        <v>0</v>
      </c>
      <c r="I3601" t="str" cm="1">
        <f t="array" ref="I3601">_xlfn.IFS(G3601&lt;3, "0–2 Years", G3601&lt;6, "3–5 Years", G3601&lt;9, "6–8 Years", G3601&lt;12, "9-11 Years", G3601&gt;=12, "12-14 Years")</f>
        <v>3–5 Years</v>
      </c>
      <c r="J3601">
        <v>3</v>
      </c>
      <c r="K3601" t="s">
        <v>20</v>
      </c>
      <c r="L3601">
        <v>102900</v>
      </c>
      <c r="M3601">
        <v>9000</v>
      </c>
      <c r="N3601">
        <v>111900</v>
      </c>
      <c r="O3601" t="s">
        <v>57</v>
      </c>
      <c r="P3601" s="3">
        <v>44873</v>
      </c>
      <c r="Q3601" t="s">
        <v>36</v>
      </c>
    </row>
    <row r="3602" spans="1:17" x14ac:dyDescent="0.35">
      <c r="A3602" t="s">
        <v>3654</v>
      </c>
      <c r="B3602" t="s">
        <v>23</v>
      </c>
      <c r="C3602">
        <v>47</v>
      </c>
      <c r="D3602" t="s">
        <v>41</v>
      </c>
      <c r="E3602" t="s">
        <v>73</v>
      </c>
      <c r="F3602" t="s">
        <v>28</v>
      </c>
      <c r="G3602">
        <v>6.2</v>
      </c>
      <c r="H3602">
        <v>3.5</v>
      </c>
      <c r="I3602" t="str" cm="1">
        <f t="array" ref="I3602">_xlfn.IFS(G3602&lt;3, "0–2 Years", G3602&lt;6, "3–5 Years", G3602&lt;9, "6–8 Years", G3602&lt;12, "9-11 Years", G3602&gt;=12, "12-14 Years")</f>
        <v>6–8 Years</v>
      </c>
      <c r="J3602">
        <v>3</v>
      </c>
      <c r="K3602" t="s">
        <v>20</v>
      </c>
      <c r="L3602">
        <v>104000</v>
      </c>
      <c r="M3602">
        <v>6900</v>
      </c>
      <c r="N3602">
        <v>110900</v>
      </c>
      <c r="O3602" t="s">
        <v>57</v>
      </c>
      <c r="P3602" s="3">
        <v>43752</v>
      </c>
      <c r="Q3602" t="s">
        <v>28</v>
      </c>
    </row>
    <row r="3603" spans="1:17" x14ac:dyDescent="0.35">
      <c r="A3603" t="s">
        <v>3655</v>
      </c>
      <c r="B3603" t="s">
        <v>16</v>
      </c>
      <c r="C3603">
        <v>43</v>
      </c>
      <c r="D3603" t="s">
        <v>55</v>
      </c>
      <c r="E3603" t="s">
        <v>79</v>
      </c>
      <c r="F3603" t="s">
        <v>62</v>
      </c>
      <c r="G3603">
        <v>9</v>
      </c>
      <c r="H3603">
        <v>6.7</v>
      </c>
      <c r="I3603" t="str" cm="1">
        <f t="array" ref="I3603">_xlfn.IFS(G3603&lt;3, "0–2 Years", G3603&lt;6, "3–5 Years", G3603&lt;9, "6–8 Years", G3603&lt;12, "9-11 Years", G3603&gt;=12, "12-14 Years")</f>
        <v>9-11 Years</v>
      </c>
      <c r="J3603">
        <v>3</v>
      </c>
      <c r="K3603" t="s">
        <v>20</v>
      </c>
      <c r="L3603">
        <v>71300</v>
      </c>
      <c r="M3603">
        <v>9400</v>
      </c>
      <c r="N3603">
        <v>80700</v>
      </c>
      <c r="O3603" t="s">
        <v>21</v>
      </c>
      <c r="P3603" s="3">
        <v>42735</v>
      </c>
      <c r="Q3603" t="s">
        <v>62</v>
      </c>
    </row>
    <row r="3604" spans="1:17" x14ac:dyDescent="0.35">
      <c r="A3604" t="s">
        <v>3656</v>
      </c>
      <c r="B3604" t="s">
        <v>16</v>
      </c>
      <c r="C3604">
        <v>33</v>
      </c>
      <c r="D3604" t="s">
        <v>44</v>
      </c>
      <c r="E3604" t="s">
        <v>45</v>
      </c>
      <c r="F3604" t="s">
        <v>28</v>
      </c>
      <c r="G3604">
        <v>6.7</v>
      </c>
      <c r="H3604">
        <v>6.7</v>
      </c>
      <c r="I3604" t="str" cm="1">
        <f t="array" ref="I3604">_xlfn.IFS(G3604&lt;3, "0–2 Years", G3604&lt;6, "3–5 Years", G3604&lt;9, "6–8 Years", G3604&lt;12, "9-11 Years", G3604&gt;=12, "12-14 Years")</f>
        <v>6–8 Years</v>
      </c>
      <c r="J3604">
        <v>4</v>
      </c>
      <c r="K3604" t="s">
        <v>69</v>
      </c>
      <c r="L3604">
        <v>55000</v>
      </c>
      <c r="M3604">
        <v>4500</v>
      </c>
      <c r="N3604">
        <v>59500</v>
      </c>
      <c r="O3604" t="s">
        <v>25</v>
      </c>
      <c r="P3604" s="3">
        <v>43580</v>
      </c>
      <c r="Q3604" t="s">
        <v>28</v>
      </c>
    </row>
    <row r="3605" spans="1:17" x14ac:dyDescent="0.35">
      <c r="A3605" t="s">
        <v>3657</v>
      </c>
      <c r="B3605" t="s">
        <v>23</v>
      </c>
      <c r="C3605" s="7">
        <v>23</v>
      </c>
      <c r="D3605" t="s">
        <v>44</v>
      </c>
      <c r="E3605" t="s">
        <v>76</v>
      </c>
      <c r="F3605" t="s">
        <v>36</v>
      </c>
      <c r="G3605" s="9">
        <v>12.1</v>
      </c>
      <c r="H3605" s="7">
        <v>8.6999999999999993</v>
      </c>
      <c r="I3605" t="str" cm="1">
        <f t="array" ref="I3605">_xlfn.IFS(G3605&lt;3, "0–2 Years", G3605&lt;6, "3–5 Years", G3605&lt;9, "6–8 Years", G3605&lt;12, "9-11 Years", G3605&gt;=12, "12-14 Years")</f>
        <v>12-14 Years</v>
      </c>
      <c r="J3605" s="7">
        <v>5</v>
      </c>
      <c r="K3605" t="s">
        <v>20</v>
      </c>
      <c r="L3605" s="7">
        <v>117300</v>
      </c>
      <c r="M3605" s="7">
        <v>8400</v>
      </c>
      <c r="N3605" s="7">
        <v>125700</v>
      </c>
      <c r="O3605" t="s">
        <v>57</v>
      </c>
      <c r="P3605" s="3">
        <v>41608</v>
      </c>
      <c r="Q3605" t="s">
        <v>36</v>
      </c>
    </row>
    <row r="3606" spans="1:17" x14ac:dyDescent="0.35">
      <c r="A3606" t="s">
        <v>3658</v>
      </c>
      <c r="B3606" t="s">
        <v>23</v>
      </c>
      <c r="C3606">
        <v>46</v>
      </c>
      <c r="D3606" t="s">
        <v>44</v>
      </c>
      <c r="E3606" t="s">
        <v>51</v>
      </c>
      <c r="F3606" t="s">
        <v>36</v>
      </c>
      <c r="G3606">
        <v>6.3</v>
      </c>
      <c r="H3606">
        <v>3.9</v>
      </c>
      <c r="I3606" t="str" cm="1">
        <f t="array" ref="I3606">_xlfn.IFS(G3606&lt;3, "0–2 Years", G3606&lt;6, "3–5 Years", G3606&lt;9, "6–8 Years", G3606&lt;12, "9-11 Years", G3606&gt;=12, "12-14 Years")</f>
        <v>6–8 Years</v>
      </c>
      <c r="J3606">
        <v>3</v>
      </c>
      <c r="K3606" t="s">
        <v>20</v>
      </c>
      <c r="L3606">
        <v>82800</v>
      </c>
      <c r="M3606">
        <v>10600</v>
      </c>
      <c r="N3606">
        <v>93400</v>
      </c>
      <c r="O3606" t="s">
        <v>30</v>
      </c>
      <c r="P3606" s="3">
        <v>43725</v>
      </c>
      <c r="Q3606" t="s">
        <v>36</v>
      </c>
    </row>
    <row r="3607" spans="1:17" x14ac:dyDescent="0.35">
      <c r="A3607" t="s">
        <v>3659</v>
      </c>
      <c r="B3607" t="s">
        <v>23</v>
      </c>
      <c r="C3607">
        <v>39</v>
      </c>
      <c r="D3607" t="s">
        <v>55</v>
      </c>
      <c r="E3607" t="s">
        <v>79</v>
      </c>
      <c r="F3607" t="s">
        <v>28</v>
      </c>
      <c r="G3607">
        <v>10.9</v>
      </c>
      <c r="H3607">
        <v>9.5</v>
      </c>
      <c r="I3607" t="str" cm="1">
        <f t="array" ref="I3607">_xlfn.IFS(G3607&lt;3, "0–2 Years", G3607&lt;6, "3–5 Years", G3607&lt;9, "6–8 Years", G3607&lt;12, "9-11 Years", G3607&gt;=12, "12-14 Years")</f>
        <v>9-11 Years</v>
      </c>
      <c r="J3607">
        <v>4</v>
      </c>
      <c r="K3607" t="s">
        <v>69</v>
      </c>
      <c r="L3607">
        <v>68700</v>
      </c>
      <c r="M3607">
        <v>5200</v>
      </c>
      <c r="N3607">
        <v>73900</v>
      </c>
      <c r="O3607" t="s">
        <v>21</v>
      </c>
      <c r="P3607" s="3">
        <v>42054</v>
      </c>
      <c r="Q3607" t="s">
        <v>28</v>
      </c>
    </row>
    <row r="3608" spans="1:17" x14ac:dyDescent="0.35">
      <c r="A3608" t="s">
        <v>3660</v>
      </c>
      <c r="B3608" t="s">
        <v>23</v>
      </c>
      <c r="C3608">
        <v>35</v>
      </c>
      <c r="D3608" t="s">
        <v>17</v>
      </c>
      <c r="E3608" t="s">
        <v>18</v>
      </c>
      <c r="F3608" t="s">
        <v>62</v>
      </c>
      <c r="G3608">
        <v>1.1000000000000001</v>
      </c>
      <c r="H3608">
        <v>0</v>
      </c>
      <c r="I3608" t="str" cm="1">
        <f t="array" ref="I3608">_xlfn.IFS(G3608&lt;3, "0–2 Years", G3608&lt;6, "3–5 Years", G3608&lt;9, "6–8 Years", G3608&lt;12, "9-11 Years", G3608&gt;=12, "12-14 Years")</f>
        <v>0–2 Years</v>
      </c>
      <c r="J3608">
        <v>3</v>
      </c>
      <c r="K3608" t="s">
        <v>24</v>
      </c>
      <c r="L3608">
        <v>73000</v>
      </c>
      <c r="M3608">
        <v>5000</v>
      </c>
      <c r="N3608">
        <v>78000</v>
      </c>
      <c r="O3608" t="s">
        <v>21</v>
      </c>
      <c r="P3608" s="3">
        <v>45634</v>
      </c>
      <c r="Q3608" t="s">
        <v>62</v>
      </c>
    </row>
    <row r="3609" spans="1:17" x14ac:dyDescent="0.35">
      <c r="A3609" t="s">
        <v>3661</v>
      </c>
      <c r="B3609" t="s">
        <v>16</v>
      </c>
      <c r="C3609">
        <v>35</v>
      </c>
      <c r="D3609" t="s">
        <v>44</v>
      </c>
      <c r="E3609" t="s">
        <v>45</v>
      </c>
      <c r="F3609" t="s">
        <v>28</v>
      </c>
      <c r="G3609">
        <v>10.199999999999999</v>
      </c>
      <c r="H3609">
        <v>6.8</v>
      </c>
      <c r="I3609" t="str" cm="1">
        <f t="array" ref="I3609">_xlfn.IFS(G3609&lt;3, "0–2 Years", G3609&lt;6, "3–5 Years", G3609&lt;9, "6–8 Years", G3609&lt;12, "9-11 Years", G3609&gt;=12, "12-14 Years")</f>
        <v>9-11 Years</v>
      </c>
      <c r="J3609">
        <v>4</v>
      </c>
      <c r="K3609" t="s">
        <v>20</v>
      </c>
      <c r="L3609">
        <v>72400</v>
      </c>
      <c r="M3609">
        <v>10800</v>
      </c>
      <c r="N3609">
        <v>83200</v>
      </c>
      <c r="O3609" t="s">
        <v>21</v>
      </c>
      <c r="P3609" s="3">
        <v>42294</v>
      </c>
      <c r="Q3609" t="s">
        <v>28</v>
      </c>
    </row>
    <row r="3610" spans="1:17" x14ac:dyDescent="0.35">
      <c r="A3610" t="s">
        <v>3662</v>
      </c>
      <c r="B3610" t="s">
        <v>23</v>
      </c>
      <c r="C3610">
        <v>37</v>
      </c>
      <c r="D3610" t="s">
        <v>34</v>
      </c>
      <c r="E3610" t="s">
        <v>35</v>
      </c>
      <c r="F3610" t="s">
        <v>36</v>
      </c>
      <c r="G3610">
        <v>5.9</v>
      </c>
      <c r="H3610">
        <v>4</v>
      </c>
      <c r="I3610" t="str" cm="1">
        <f t="array" ref="I3610">_xlfn.IFS(G3610&lt;3, "0–2 Years", G3610&lt;6, "3–5 Years", G3610&lt;9, "6–8 Years", G3610&lt;12, "9-11 Years", G3610&gt;=12, "12-14 Years")</f>
        <v>3–5 Years</v>
      </c>
      <c r="J3610">
        <v>5</v>
      </c>
      <c r="K3610" t="s">
        <v>20</v>
      </c>
      <c r="L3610">
        <v>84200</v>
      </c>
      <c r="M3610">
        <v>5300</v>
      </c>
      <c r="N3610">
        <v>89500</v>
      </c>
      <c r="O3610" t="s">
        <v>30</v>
      </c>
      <c r="P3610" s="3">
        <v>43862</v>
      </c>
      <c r="Q3610" t="s">
        <v>36</v>
      </c>
    </row>
    <row r="3611" spans="1:17" x14ac:dyDescent="0.35">
      <c r="A3611" t="s">
        <v>3663</v>
      </c>
      <c r="B3611" t="s">
        <v>16</v>
      </c>
      <c r="C3611">
        <v>39</v>
      </c>
      <c r="D3611" t="s">
        <v>17</v>
      </c>
      <c r="E3611" t="s">
        <v>27</v>
      </c>
      <c r="F3611" t="s">
        <v>36</v>
      </c>
      <c r="G3611">
        <v>10.8</v>
      </c>
      <c r="H3611">
        <v>8.1999999999999993</v>
      </c>
      <c r="I3611" t="str" cm="1">
        <f t="array" ref="I3611">_xlfn.IFS(G3611&lt;3, "0–2 Years", G3611&lt;6, "3–5 Years", G3611&lt;9, "6–8 Years", G3611&lt;12, "9-11 Years", G3611&gt;=12, "12-14 Years")</f>
        <v>9-11 Years</v>
      </c>
      <c r="J3611">
        <v>3</v>
      </c>
      <c r="K3611" t="s">
        <v>20</v>
      </c>
      <c r="L3611">
        <v>94100</v>
      </c>
      <c r="M3611">
        <v>6400</v>
      </c>
      <c r="N3611">
        <v>100500</v>
      </c>
      <c r="O3611" t="s">
        <v>30</v>
      </c>
      <c r="P3611" s="3">
        <v>42092</v>
      </c>
      <c r="Q3611" t="s">
        <v>36</v>
      </c>
    </row>
    <row r="3612" spans="1:17" x14ac:dyDescent="0.35">
      <c r="A3612" t="s">
        <v>3664</v>
      </c>
      <c r="B3612" t="s">
        <v>23</v>
      </c>
      <c r="C3612">
        <v>25</v>
      </c>
      <c r="D3612" t="s">
        <v>34</v>
      </c>
      <c r="E3612" t="s">
        <v>47</v>
      </c>
      <c r="F3612" t="s">
        <v>19</v>
      </c>
      <c r="G3612">
        <v>3.4</v>
      </c>
      <c r="H3612">
        <v>2.7</v>
      </c>
      <c r="I3612" t="str" cm="1">
        <f t="array" ref="I3612">_xlfn.IFS(G3612&lt;3, "0–2 Years", G3612&lt;6, "3–5 Years", G3612&lt;9, "6–8 Years", G3612&lt;12, "9-11 Years", G3612&gt;=12, "12-14 Years")</f>
        <v>3–5 Years</v>
      </c>
      <c r="J3612">
        <v>3</v>
      </c>
      <c r="K3612" t="s">
        <v>20</v>
      </c>
      <c r="L3612">
        <v>66300</v>
      </c>
      <c r="M3612">
        <v>4700</v>
      </c>
      <c r="N3612">
        <v>71000</v>
      </c>
      <c r="O3612" t="s">
        <v>21</v>
      </c>
      <c r="P3612" s="3">
        <v>44787</v>
      </c>
      <c r="Q3612" t="s">
        <v>19</v>
      </c>
    </row>
    <row r="3613" spans="1:17" x14ac:dyDescent="0.35">
      <c r="A3613" t="s">
        <v>3665</v>
      </c>
      <c r="B3613" t="s">
        <v>16</v>
      </c>
      <c r="C3613">
        <v>21</v>
      </c>
      <c r="D3613" t="s">
        <v>17</v>
      </c>
      <c r="E3613" t="s">
        <v>27</v>
      </c>
      <c r="F3613" t="s">
        <v>36</v>
      </c>
      <c r="G3613">
        <v>2.5</v>
      </c>
      <c r="H3613">
        <v>1.5</v>
      </c>
      <c r="I3613" t="str" cm="1">
        <f t="array" ref="I3613">_xlfn.IFS(G3613&lt;3, "0–2 Years", G3613&lt;6, "3–5 Years", G3613&lt;9, "6–8 Years", G3613&lt;12, "9-11 Years", G3613&gt;=12, "12-14 Years")</f>
        <v>0–2 Years</v>
      </c>
      <c r="J3613">
        <v>3</v>
      </c>
      <c r="K3613" t="s">
        <v>20</v>
      </c>
      <c r="L3613">
        <v>77500</v>
      </c>
      <c r="M3613">
        <v>9900</v>
      </c>
      <c r="N3613">
        <v>87400</v>
      </c>
      <c r="O3613" t="s">
        <v>21</v>
      </c>
      <c r="P3613" s="3">
        <v>45118</v>
      </c>
      <c r="Q3613" t="s">
        <v>36</v>
      </c>
    </row>
    <row r="3614" spans="1:17" x14ac:dyDescent="0.35">
      <c r="A3614" t="s">
        <v>3666</v>
      </c>
      <c r="B3614" t="s">
        <v>23</v>
      </c>
      <c r="C3614">
        <v>41</v>
      </c>
      <c r="D3614" t="s">
        <v>41</v>
      </c>
      <c r="E3614" t="s">
        <v>73</v>
      </c>
      <c r="F3614" t="s">
        <v>62</v>
      </c>
      <c r="G3614">
        <v>6.6</v>
      </c>
      <c r="H3614">
        <v>5.2</v>
      </c>
      <c r="I3614" t="str" cm="1">
        <f t="array" ref="I3614">_xlfn.IFS(G3614&lt;3, "0–2 Years", G3614&lt;6, "3–5 Years", G3614&lt;9, "6–8 Years", G3614&lt;12, "9-11 Years", G3614&gt;=12, "12-14 Years")</f>
        <v>6–8 Years</v>
      </c>
      <c r="J3614">
        <v>3</v>
      </c>
      <c r="K3614" t="s">
        <v>20</v>
      </c>
      <c r="L3614">
        <v>96100</v>
      </c>
      <c r="M3614">
        <v>7900</v>
      </c>
      <c r="N3614">
        <v>104000</v>
      </c>
      <c r="O3614" t="s">
        <v>30</v>
      </c>
      <c r="P3614" s="3">
        <v>43605</v>
      </c>
      <c r="Q3614" t="s">
        <v>62</v>
      </c>
    </row>
    <row r="3615" spans="1:17" x14ac:dyDescent="0.35">
      <c r="A3615" t="s">
        <v>3667</v>
      </c>
      <c r="B3615" t="s">
        <v>16</v>
      </c>
      <c r="C3615" s="7">
        <v>31</v>
      </c>
      <c r="D3615" t="s">
        <v>38</v>
      </c>
      <c r="E3615" t="s">
        <v>61</v>
      </c>
      <c r="F3615" t="s">
        <v>28</v>
      </c>
      <c r="G3615" s="9">
        <v>13.8</v>
      </c>
      <c r="H3615" s="7">
        <v>9</v>
      </c>
      <c r="I3615" t="str" cm="1">
        <f t="array" ref="I3615">_xlfn.IFS(G3615&lt;3, "0–2 Years", G3615&lt;6, "3–5 Years", G3615&lt;9, "6–8 Years", G3615&lt;12, "9-11 Years", G3615&gt;=12, "12-14 Years")</f>
        <v>12-14 Years</v>
      </c>
      <c r="J3615" s="7">
        <v>3</v>
      </c>
      <c r="K3615" t="s">
        <v>20</v>
      </c>
      <c r="L3615" s="7">
        <v>91300</v>
      </c>
      <c r="M3615" s="7">
        <v>3400</v>
      </c>
      <c r="N3615" s="7">
        <v>94700</v>
      </c>
      <c r="O3615" t="s">
        <v>30</v>
      </c>
      <c r="P3615" s="3">
        <v>40991</v>
      </c>
      <c r="Q3615" t="s">
        <v>28</v>
      </c>
    </row>
    <row r="3616" spans="1:17" x14ac:dyDescent="0.35">
      <c r="A3616" t="s">
        <v>3668</v>
      </c>
      <c r="B3616" t="s">
        <v>23</v>
      </c>
      <c r="C3616">
        <v>42</v>
      </c>
      <c r="D3616" t="s">
        <v>55</v>
      </c>
      <c r="E3616" t="s">
        <v>56</v>
      </c>
      <c r="F3616" t="s">
        <v>28</v>
      </c>
      <c r="G3616">
        <v>10.5</v>
      </c>
      <c r="I3616" t="str" cm="1">
        <f t="array" ref="I3616">_xlfn.IFS(G3616&lt;3, "0–2 Years", G3616&lt;6, "3–5 Years", G3616&lt;9, "6–8 Years", G3616&lt;12, "9-11 Years", G3616&gt;=12, "12-14 Years")</f>
        <v>9-11 Years</v>
      </c>
      <c r="J3616">
        <v>4</v>
      </c>
      <c r="K3616" t="s">
        <v>20</v>
      </c>
      <c r="L3616">
        <v>110500</v>
      </c>
      <c r="M3616">
        <v>21200</v>
      </c>
      <c r="N3616">
        <v>131700</v>
      </c>
      <c r="O3616" t="s">
        <v>57</v>
      </c>
      <c r="P3616" s="3">
        <v>42186</v>
      </c>
      <c r="Q3616" t="s">
        <v>28</v>
      </c>
    </row>
    <row r="3617" spans="1:17" x14ac:dyDescent="0.35">
      <c r="A3617" t="s">
        <v>3669</v>
      </c>
      <c r="B3617" t="s">
        <v>16</v>
      </c>
      <c r="C3617">
        <v>37</v>
      </c>
      <c r="D3617" t="s">
        <v>55</v>
      </c>
      <c r="E3617" t="s">
        <v>79</v>
      </c>
      <c r="F3617" t="s">
        <v>28</v>
      </c>
      <c r="G3617">
        <v>9.3000000000000007</v>
      </c>
      <c r="H3617">
        <v>6.8</v>
      </c>
      <c r="I3617" t="str" cm="1">
        <f t="array" ref="I3617">_xlfn.IFS(G3617&lt;3, "0–2 Years", G3617&lt;6, "3–5 Years", G3617&lt;9, "6–8 Years", G3617&lt;12, "9-11 Years", G3617&gt;=12, "12-14 Years")</f>
        <v>9-11 Years</v>
      </c>
      <c r="J3617">
        <v>3</v>
      </c>
      <c r="K3617" t="s">
        <v>20</v>
      </c>
      <c r="L3617">
        <v>63700</v>
      </c>
      <c r="M3617">
        <v>4700</v>
      </c>
      <c r="N3617">
        <v>68400</v>
      </c>
      <c r="O3617" t="s">
        <v>25</v>
      </c>
      <c r="P3617" s="3">
        <v>42614</v>
      </c>
      <c r="Q3617" t="s">
        <v>28</v>
      </c>
    </row>
    <row r="3618" spans="1:17" x14ac:dyDescent="0.35">
      <c r="A3618" t="s">
        <v>3670</v>
      </c>
      <c r="B3618" t="s">
        <v>23</v>
      </c>
      <c r="C3618">
        <v>23</v>
      </c>
      <c r="D3618" t="s">
        <v>55</v>
      </c>
      <c r="E3618" t="s">
        <v>79</v>
      </c>
      <c r="F3618" t="s">
        <v>36</v>
      </c>
      <c r="G3618">
        <v>10.3</v>
      </c>
      <c r="H3618">
        <v>6.1</v>
      </c>
      <c r="I3618" t="str" cm="1">
        <f t="array" ref="I3618">_xlfn.IFS(G3618&lt;3, "0–2 Years", G3618&lt;6, "3–5 Years", G3618&lt;9, "6–8 Years", G3618&lt;12, "9-11 Years", G3618&gt;=12, "12-14 Years")</f>
        <v>9-11 Years</v>
      </c>
      <c r="J3618">
        <v>4</v>
      </c>
      <c r="K3618" t="s">
        <v>69</v>
      </c>
      <c r="L3618">
        <v>66000</v>
      </c>
      <c r="M3618">
        <v>10400</v>
      </c>
      <c r="N3618">
        <v>76400</v>
      </c>
      <c r="O3618" t="s">
        <v>21</v>
      </c>
      <c r="P3618" s="3">
        <v>42244</v>
      </c>
      <c r="Q3618" t="s">
        <v>36</v>
      </c>
    </row>
    <row r="3619" spans="1:17" x14ac:dyDescent="0.35">
      <c r="A3619" t="s">
        <v>3671</v>
      </c>
      <c r="B3619" t="s">
        <v>23</v>
      </c>
      <c r="C3619">
        <v>50</v>
      </c>
      <c r="D3619" t="s">
        <v>44</v>
      </c>
      <c r="E3619" t="s">
        <v>45</v>
      </c>
      <c r="F3619" t="s">
        <v>28</v>
      </c>
      <c r="G3619">
        <v>6.8</v>
      </c>
      <c r="H3619">
        <v>2.2000000000000002</v>
      </c>
      <c r="I3619" t="str" cm="1">
        <f t="array" ref="I3619">_xlfn.IFS(G3619&lt;3, "0–2 Years", G3619&lt;6, "3–5 Years", G3619&lt;9, "6–8 Years", G3619&lt;12, "9-11 Years", G3619&gt;=12, "12-14 Years")</f>
        <v>6–8 Years</v>
      </c>
      <c r="J3619">
        <v>3</v>
      </c>
      <c r="K3619" t="s">
        <v>20</v>
      </c>
      <c r="L3619">
        <v>69300</v>
      </c>
      <c r="M3619">
        <v>8800</v>
      </c>
      <c r="N3619">
        <v>78100</v>
      </c>
      <c r="O3619" t="s">
        <v>21</v>
      </c>
      <c r="P3619" s="3">
        <v>43541</v>
      </c>
      <c r="Q3619" t="s">
        <v>28</v>
      </c>
    </row>
    <row r="3620" spans="1:17" x14ac:dyDescent="0.35">
      <c r="A3620" t="s">
        <v>3672</v>
      </c>
      <c r="B3620" t="s">
        <v>16</v>
      </c>
      <c r="C3620">
        <v>39</v>
      </c>
      <c r="D3620" t="s">
        <v>55</v>
      </c>
      <c r="E3620" t="s">
        <v>79</v>
      </c>
      <c r="F3620" t="s">
        <v>19</v>
      </c>
      <c r="G3620">
        <v>5.9</v>
      </c>
      <c r="H3620">
        <v>2.9</v>
      </c>
      <c r="I3620" t="str" cm="1">
        <f t="array" ref="I3620">_xlfn.IFS(G3620&lt;3, "0–2 Years", G3620&lt;6, "3–5 Years", G3620&lt;9, "6–8 Years", G3620&lt;12, "9-11 Years", G3620&gt;=12, "12-14 Years")</f>
        <v>3–5 Years</v>
      </c>
      <c r="J3620">
        <v>5</v>
      </c>
      <c r="K3620" t="s">
        <v>20</v>
      </c>
      <c r="L3620">
        <v>67300</v>
      </c>
      <c r="M3620">
        <v>12100</v>
      </c>
      <c r="N3620">
        <v>79400</v>
      </c>
      <c r="O3620" t="s">
        <v>21</v>
      </c>
      <c r="P3620" s="3">
        <v>43883</v>
      </c>
      <c r="Q3620" t="s">
        <v>19</v>
      </c>
    </row>
    <row r="3621" spans="1:17" x14ac:dyDescent="0.35">
      <c r="A3621" t="s">
        <v>3673</v>
      </c>
      <c r="B3621" t="s">
        <v>23</v>
      </c>
      <c r="C3621">
        <v>32</v>
      </c>
      <c r="D3621" t="s">
        <v>41</v>
      </c>
      <c r="E3621" t="s">
        <v>42</v>
      </c>
      <c r="F3621" t="s">
        <v>28</v>
      </c>
      <c r="G3621">
        <v>3.8</v>
      </c>
      <c r="H3621">
        <v>2.9</v>
      </c>
      <c r="I3621" t="str" cm="1">
        <f t="array" ref="I3621">_xlfn.IFS(G3621&lt;3, "0–2 Years", G3621&lt;6, "3–5 Years", G3621&lt;9, "6–8 Years", G3621&lt;12, "9-11 Years", G3621&gt;=12, "12-14 Years")</f>
        <v>3–5 Years</v>
      </c>
      <c r="J3621">
        <v>2</v>
      </c>
      <c r="K3621" t="s">
        <v>20</v>
      </c>
      <c r="L3621">
        <v>78000</v>
      </c>
      <c r="M3621">
        <v>4600</v>
      </c>
      <c r="N3621">
        <v>82600</v>
      </c>
      <c r="O3621" t="s">
        <v>21</v>
      </c>
      <c r="P3621" s="3">
        <v>44619</v>
      </c>
      <c r="Q3621" t="s">
        <v>28</v>
      </c>
    </row>
    <row r="3622" spans="1:17" x14ac:dyDescent="0.35">
      <c r="A3622" t="s">
        <v>3674</v>
      </c>
      <c r="B3622" t="s">
        <v>16</v>
      </c>
      <c r="C3622">
        <v>44</v>
      </c>
      <c r="D3622" t="s">
        <v>17</v>
      </c>
      <c r="E3622" t="s">
        <v>27</v>
      </c>
      <c r="F3622" t="s">
        <v>28</v>
      </c>
      <c r="G3622">
        <v>10.9</v>
      </c>
      <c r="H3622">
        <v>5.8</v>
      </c>
      <c r="I3622" t="str" cm="1">
        <f t="array" ref="I3622">_xlfn.IFS(G3622&lt;3, "0–2 Years", G3622&lt;6, "3–5 Years", G3622&lt;9, "6–8 Years", G3622&lt;12, "9-11 Years", G3622&gt;=12, "12-14 Years")</f>
        <v>9-11 Years</v>
      </c>
      <c r="J3622">
        <v>3</v>
      </c>
      <c r="K3622" t="s">
        <v>20</v>
      </c>
      <c r="L3622">
        <v>79700</v>
      </c>
      <c r="M3622">
        <v>7600</v>
      </c>
      <c r="N3622">
        <v>87300</v>
      </c>
      <c r="O3622" t="s">
        <v>21</v>
      </c>
      <c r="P3622" s="3">
        <v>42033</v>
      </c>
      <c r="Q3622" t="s">
        <v>28</v>
      </c>
    </row>
    <row r="3623" spans="1:17" x14ac:dyDescent="0.35">
      <c r="A3623" t="s">
        <v>3675</v>
      </c>
      <c r="B3623" t="s">
        <v>23</v>
      </c>
      <c r="C3623">
        <v>31</v>
      </c>
      <c r="D3623" t="s">
        <v>41</v>
      </c>
      <c r="E3623" t="s">
        <v>42</v>
      </c>
      <c r="F3623" t="s">
        <v>28</v>
      </c>
      <c r="G3623">
        <v>6.9</v>
      </c>
      <c r="H3623">
        <v>4</v>
      </c>
      <c r="I3623" t="str" cm="1">
        <f t="array" ref="I3623">_xlfn.IFS(G3623&lt;3, "0–2 Years", G3623&lt;6, "3–5 Years", G3623&lt;9, "6–8 Years", G3623&lt;12, "9-11 Years", G3623&gt;=12, "12-14 Years")</f>
        <v>6–8 Years</v>
      </c>
      <c r="J3623">
        <v>3</v>
      </c>
      <c r="K3623" t="s">
        <v>20</v>
      </c>
      <c r="L3623">
        <v>73800</v>
      </c>
      <c r="M3623">
        <v>6400</v>
      </c>
      <c r="N3623">
        <v>80200</v>
      </c>
      <c r="O3623" t="s">
        <v>21</v>
      </c>
      <c r="P3623" s="3">
        <v>43514</v>
      </c>
      <c r="Q3623" t="s">
        <v>28</v>
      </c>
    </row>
    <row r="3624" spans="1:17" x14ac:dyDescent="0.35">
      <c r="A3624" t="s">
        <v>3676</v>
      </c>
      <c r="B3624" t="s">
        <v>23</v>
      </c>
      <c r="C3624">
        <v>50</v>
      </c>
      <c r="D3624" t="s">
        <v>17</v>
      </c>
      <c r="E3624" t="s">
        <v>18</v>
      </c>
      <c r="F3624" t="s">
        <v>28</v>
      </c>
      <c r="G3624">
        <v>9.1</v>
      </c>
      <c r="H3624">
        <v>6.1</v>
      </c>
      <c r="I3624" t="str" cm="1">
        <f t="array" ref="I3624">_xlfn.IFS(G3624&lt;3, "0–2 Years", G3624&lt;6, "3–5 Years", G3624&lt;9, "6–8 Years", G3624&lt;12, "9-11 Years", G3624&gt;=12, "12-14 Years")</f>
        <v>9-11 Years</v>
      </c>
      <c r="J3624">
        <v>3</v>
      </c>
      <c r="K3624" t="s">
        <v>20</v>
      </c>
      <c r="L3624">
        <v>94800</v>
      </c>
      <c r="M3624">
        <v>7100</v>
      </c>
      <c r="N3624">
        <v>101900</v>
      </c>
      <c r="O3624" t="s">
        <v>30</v>
      </c>
      <c r="P3624" s="3">
        <v>42700</v>
      </c>
      <c r="Q3624" t="s">
        <v>28</v>
      </c>
    </row>
    <row r="3625" spans="1:17" x14ac:dyDescent="0.35">
      <c r="A3625" t="s">
        <v>3677</v>
      </c>
      <c r="B3625" t="s">
        <v>16</v>
      </c>
      <c r="C3625">
        <v>40</v>
      </c>
      <c r="D3625" t="s">
        <v>38</v>
      </c>
      <c r="E3625" t="s">
        <v>39</v>
      </c>
      <c r="F3625" t="s">
        <v>28</v>
      </c>
      <c r="G3625">
        <v>10.5</v>
      </c>
      <c r="H3625">
        <v>6.4</v>
      </c>
      <c r="I3625" t="str" cm="1">
        <f t="array" ref="I3625">_xlfn.IFS(G3625&lt;3, "0–2 Years", G3625&lt;6, "3–5 Years", G3625&lt;9, "6–8 Years", G3625&lt;12, "9-11 Years", G3625&gt;=12, "12-14 Years")</f>
        <v>9-11 Years</v>
      </c>
      <c r="J3625">
        <v>4</v>
      </c>
      <c r="K3625" t="s">
        <v>69</v>
      </c>
      <c r="L3625">
        <v>60500</v>
      </c>
      <c r="M3625">
        <v>4200</v>
      </c>
      <c r="N3625">
        <v>64700</v>
      </c>
      <c r="O3625" t="s">
        <v>25</v>
      </c>
      <c r="P3625" s="3">
        <v>42182</v>
      </c>
      <c r="Q3625" t="s">
        <v>28</v>
      </c>
    </row>
    <row r="3626" spans="1:17" x14ac:dyDescent="0.35">
      <c r="A3626" t="s">
        <v>3678</v>
      </c>
      <c r="B3626" t="s">
        <v>16</v>
      </c>
      <c r="C3626" s="7">
        <v>34</v>
      </c>
      <c r="D3626" t="s">
        <v>17</v>
      </c>
      <c r="E3626" t="s">
        <v>18</v>
      </c>
      <c r="F3626" t="s">
        <v>28</v>
      </c>
      <c r="G3626" s="9">
        <v>12.2</v>
      </c>
      <c r="H3626" s="7">
        <v>9.8000000000000007</v>
      </c>
      <c r="I3626" t="str" cm="1">
        <f t="array" ref="I3626">_xlfn.IFS(G3626&lt;3, "0–2 Years", G3626&lt;6, "3–5 Years", G3626&lt;9, "6–8 Years", G3626&lt;12, "9-11 Years", G3626&gt;=12, "12-14 Years")</f>
        <v>12-14 Years</v>
      </c>
      <c r="J3626" s="7">
        <v>4</v>
      </c>
      <c r="K3626" t="s">
        <v>20</v>
      </c>
      <c r="L3626" s="7">
        <v>101600</v>
      </c>
      <c r="M3626" s="7">
        <v>8000</v>
      </c>
      <c r="N3626" s="7">
        <v>109600</v>
      </c>
      <c r="O3626" t="s">
        <v>57</v>
      </c>
      <c r="P3626" s="3">
        <v>41567</v>
      </c>
      <c r="Q3626" t="s">
        <v>28</v>
      </c>
    </row>
    <row r="3627" spans="1:17" x14ac:dyDescent="0.35">
      <c r="A3627" t="s">
        <v>3679</v>
      </c>
      <c r="B3627" t="s">
        <v>16</v>
      </c>
      <c r="C3627">
        <v>47</v>
      </c>
      <c r="D3627" t="s">
        <v>38</v>
      </c>
      <c r="E3627" t="s">
        <v>39</v>
      </c>
      <c r="F3627" t="s">
        <v>28</v>
      </c>
      <c r="G3627">
        <v>3.1</v>
      </c>
      <c r="H3627">
        <v>2</v>
      </c>
      <c r="I3627" t="str" cm="1">
        <f t="array" ref="I3627">_xlfn.IFS(G3627&lt;3, "0–2 Years", G3627&lt;6, "3–5 Years", G3627&lt;9, "6–8 Years", G3627&lt;12, "9-11 Years", G3627&gt;=12, "12-14 Years")</f>
        <v>3–5 Years</v>
      </c>
      <c r="J3627">
        <v>4</v>
      </c>
      <c r="K3627" t="s">
        <v>20</v>
      </c>
      <c r="L3627">
        <v>75600</v>
      </c>
      <c r="M3627">
        <v>7100</v>
      </c>
      <c r="N3627">
        <v>82700</v>
      </c>
      <c r="O3627" t="s">
        <v>21</v>
      </c>
      <c r="P3627" s="3">
        <v>44883</v>
      </c>
      <c r="Q3627" t="s">
        <v>28</v>
      </c>
    </row>
    <row r="3628" spans="1:17" x14ac:dyDescent="0.35">
      <c r="A3628" t="s">
        <v>3680</v>
      </c>
      <c r="B3628" t="s">
        <v>16</v>
      </c>
      <c r="C3628" s="7">
        <v>40</v>
      </c>
      <c r="D3628" t="s">
        <v>44</v>
      </c>
      <c r="E3628" t="s">
        <v>51</v>
      </c>
      <c r="F3628" t="s">
        <v>19</v>
      </c>
      <c r="G3628" s="9">
        <v>12.3</v>
      </c>
      <c r="H3628" s="7">
        <v>9.9</v>
      </c>
      <c r="I3628" t="str" cm="1">
        <f t="array" ref="I3628">_xlfn.IFS(G3628&lt;3, "0–2 Years", G3628&lt;6, "3–5 Years", G3628&lt;9, "6–8 Years", G3628&lt;12, "9-11 Years", G3628&gt;=12, "12-14 Years")</f>
        <v>12-14 Years</v>
      </c>
      <c r="J3628" s="7">
        <v>2</v>
      </c>
      <c r="K3628" t="s">
        <v>20</v>
      </c>
      <c r="L3628" s="7">
        <v>78700</v>
      </c>
      <c r="M3628" s="7">
        <v>10200</v>
      </c>
      <c r="N3628" s="7">
        <v>88900</v>
      </c>
      <c r="O3628" t="s">
        <v>21</v>
      </c>
      <c r="P3628" s="3">
        <v>41514</v>
      </c>
      <c r="Q3628" t="s">
        <v>19</v>
      </c>
    </row>
    <row r="3629" spans="1:17" x14ac:dyDescent="0.35">
      <c r="A3629" t="s">
        <v>3681</v>
      </c>
      <c r="B3629" t="s">
        <v>23</v>
      </c>
      <c r="C3629">
        <v>38</v>
      </c>
      <c r="D3629" t="s">
        <v>38</v>
      </c>
      <c r="E3629" t="s">
        <v>112</v>
      </c>
      <c r="F3629" t="s">
        <v>28</v>
      </c>
      <c r="G3629">
        <v>1.5</v>
      </c>
      <c r="H3629">
        <v>0</v>
      </c>
      <c r="I3629" t="str" cm="1">
        <f t="array" ref="I3629">_xlfn.IFS(G3629&lt;3, "0–2 Years", G3629&lt;6, "3–5 Years", G3629&lt;9, "6–8 Years", G3629&lt;12, "9-11 Years", G3629&gt;=12, "12-14 Years")</f>
        <v>0–2 Years</v>
      </c>
      <c r="J3629">
        <v>2</v>
      </c>
      <c r="K3629" t="s">
        <v>20</v>
      </c>
      <c r="L3629">
        <v>63500</v>
      </c>
      <c r="M3629">
        <v>4200</v>
      </c>
      <c r="N3629">
        <v>67700</v>
      </c>
      <c r="O3629" t="s">
        <v>25</v>
      </c>
      <c r="P3629" s="3">
        <v>45460</v>
      </c>
      <c r="Q3629" t="s">
        <v>28</v>
      </c>
    </row>
    <row r="3630" spans="1:17" x14ac:dyDescent="0.35">
      <c r="A3630" t="s">
        <v>3682</v>
      </c>
      <c r="B3630" t="s">
        <v>16</v>
      </c>
      <c r="C3630">
        <v>45</v>
      </c>
      <c r="D3630" t="s">
        <v>38</v>
      </c>
      <c r="E3630" t="s">
        <v>39</v>
      </c>
      <c r="F3630" t="s">
        <v>28</v>
      </c>
      <c r="G3630">
        <v>5.7</v>
      </c>
      <c r="H3630">
        <v>5.7</v>
      </c>
      <c r="I3630" t="str" cm="1">
        <f t="array" ref="I3630">_xlfn.IFS(G3630&lt;3, "0–2 Years", G3630&lt;6, "3–5 Years", G3630&lt;9, "6–8 Years", G3630&lt;12, "9-11 Years", G3630&gt;=12, "12-14 Years")</f>
        <v>3–5 Years</v>
      </c>
      <c r="J3630">
        <v>1</v>
      </c>
      <c r="K3630" t="s">
        <v>20</v>
      </c>
      <c r="L3630">
        <v>78800</v>
      </c>
      <c r="M3630">
        <v>4700</v>
      </c>
      <c r="N3630">
        <v>83500</v>
      </c>
      <c r="O3630" t="s">
        <v>21</v>
      </c>
      <c r="P3630" s="3">
        <v>43931</v>
      </c>
      <c r="Q3630" t="s">
        <v>28</v>
      </c>
    </row>
    <row r="3631" spans="1:17" x14ac:dyDescent="0.35">
      <c r="A3631" t="s">
        <v>3683</v>
      </c>
      <c r="B3631" t="s">
        <v>23</v>
      </c>
      <c r="C3631">
        <v>32</v>
      </c>
      <c r="D3631" t="s">
        <v>34</v>
      </c>
      <c r="E3631" t="s">
        <v>35</v>
      </c>
      <c r="F3631" t="s">
        <v>28</v>
      </c>
      <c r="G3631">
        <v>3.4</v>
      </c>
      <c r="H3631">
        <v>2.1</v>
      </c>
      <c r="I3631" t="str" cm="1">
        <f t="array" ref="I3631">_xlfn.IFS(G3631&lt;3, "0–2 Years", G3631&lt;6, "3–5 Years", G3631&lt;9, "6–8 Years", G3631&lt;12, "9-11 Years", G3631&gt;=12, "12-14 Years")</f>
        <v>3–5 Years</v>
      </c>
      <c r="J3631">
        <v>5</v>
      </c>
      <c r="K3631" t="s">
        <v>20</v>
      </c>
      <c r="L3631">
        <v>73500</v>
      </c>
      <c r="M3631">
        <v>4500</v>
      </c>
      <c r="N3631">
        <v>78000</v>
      </c>
      <c r="O3631" t="s">
        <v>21</v>
      </c>
      <c r="P3631" s="3">
        <v>44766</v>
      </c>
      <c r="Q3631" t="s">
        <v>28</v>
      </c>
    </row>
    <row r="3632" spans="1:17" x14ac:dyDescent="0.35">
      <c r="A3632" t="s">
        <v>3684</v>
      </c>
      <c r="B3632" t="s">
        <v>23</v>
      </c>
      <c r="C3632" s="7">
        <v>39</v>
      </c>
      <c r="D3632" t="s">
        <v>41</v>
      </c>
      <c r="E3632" t="s">
        <v>73</v>
      </c>
      <c r="F3632" t="s">
        <v>36</v>
      </c>
      <c r="G3632" s="9">
        <v>13.3</v>
      </c>
      <c r="H3632" s="7">
        <v>8.3000000000000007</v>
      </c>
      <c r="I3632" t="str" cm="1">
        <f t="array" ref="I3632">_xlfn.IFS(G3632&lt;3, "0–2 Years", G3632&lt;6, "3–5 Years", G3632&lt;9, "6–8 Years", G3632&lt;12, "9-11 Years", G3632&gt;=12, "12-14 Years")</f>
        <v>12-14 Years</v>
      </c>
      <c r="J3632" s="7">
        <v>3</v>
      </c>
      <c r="K3632" t="s">
        <v>20</v>
      </c>
      <c r="L3632" s="7">
        <v>121600</v>
      </c>
      <c r="M3632" s="7">
        <v>4500</v>
      </c>
      <c r="N3632" s="7">
        <v>126100</v>
      </c>
      <c r="O3632" t="s">
        <v>57</v>
      </c>
      <c r="P3632" s="3">
        <v>41169</v>
      </c>
      <c r="Q3632" t="s">
        <v>36</v>
      </c>
    </row>
    <row r="3633" spans="1:17" x14ac:dyDescent="0.35">
      <c r="A3633" t="s">
        <v>3685</v>
      </c>
      <c r="B3633" t="s">
        <v>16</v>
      </c>
      <c r="C3633">
        <v>34</v>
      </c>
      <c r="D3633" t="s">
        <v>34</v>
      </c>
      <c r="E3633" t="s">
        <v>35</v>
      </c>
      <c r="F3633" t="s">
        <v>36</v>
      </c>
      <c r="G3633">
        <v>7.5</v>
      </c>
      <c r="H3633">
        <v>5.5</v>
      </c>
      <c r="I3633" t="str" cm="1">
        <f t="array" ref="I3633">_xlfn.IFS(G3633&lt;3, "0–2 Years", G3633&lt;6, "3–5 Years", G3633&lt;9, "6–8 Years", G3633&lt;12, "9-11 Years", G3633&gt;=12, "12-14 Years")</f>
        <v>6–8 Years</v>
      </c>
      <c r="J3633">
        <v>4</v>
      </c>
      <c r="K3633" t="s">
        <v>20</v>
      </c>
      <c r="L3633">
        <v>78900</v>
      </c>
      <c r="M3633">
        <v>8600</v>
      </c>
      <c r="N3633">
        <v>87500</v>
      </c>
      <c r="O3633" t="s">
        <v>21</v>
      </c>
      <c r="P3633" s="3">
        <v>43293</v>
      </c>
      <c r="Q3633" t="s">
        <v>36</v>
      </c>
    </row>
    <row r="3634" spans="1:17" x14ac:dyDescent="0.35">
      <c r="A3634" t="s">
        <v>3686</v>
      </c>
      <c r="B3634" t="s">
        <v>16</v>
      </c>
      <c r="C3634">
        <v>34</v>
      </c>
      <c r="D3634" t="s">
        <v>34</v>
      </c>
      <c r="E3634" t="s">
        <v>35</v>
      </c>
      <c r="F3634" t="s">
        <v>19</v>
      </c>
      <c r="G3634">
        <v>8.3000000000000007</v>
      </c>
      <c r="H3634">
        <v>5.7</v>
      </c>
      <c r="I3634" t="str" cm="1">
        <f t="array" ref="I3634">_xlfn.IFS(G3634&lt;3, "0–2 Years", G3634&lt;6, "3–5 Years", G3634&lt;9, "6–8 Years", G3634&lt;12, "9-11 Years", G3634&gt;=12, "12-14 Years")</f>
        <v>6–8 Years</v>
      </c>
      <c r="J3634">
        <v>3</v>
      </c>
      <c r="K3634" t="s">
        <v>20</v>
      </c>
      <c r="L3634">
        <v>73200</v>
      </c>
      <c r="M3634">
        <v>3200</v>
      </c>
      <c r="N3634">
        <v>76400</v>
      </c>
      <c r="O3634" t="s">
        <v>21</v>
      </c>
      <c r="P3634" s="3">
        <v>42977</v>
      </c>
      <c r="Q3634" t="s">
        <v>19</v>
      </c>
    </row>
    <row r="3635" spans="1:17" x14ac:dyDescent="0.35">
      <c r="A3635" t="s">
        <v>3687</v>
      </c>
      <c r="B3635" t="s">
        <v>16</v>
      </c>
      <c r="C3635">
        <v>36</v>
      </c>
      <c r="D3635" t="s">
        <v>17</v>
      </c>
      <c r="E3635" t="s">
        <v>32</v>
      </c>
      <c r="F3635" t="s">
        <v>19</v>
      </c>
      <c r="G3635">
        <v>11.7</v>
      </c>
      <c r="H3635">
        <v>9.1999999999999993</v>
      </c>
      <c r="I3635" t="str" cm="1">
        <f t="array" ref="I3635">_xlfn.IFS(G3635&lt;3, "0–2 Years", G3635&lt;6, "3–5 Years", G3635&lt;9, "6–8 Years", G3635&lt;12, "9-11 Years", G3635&gt;=12, "12-14 Years")</f>
        <v>9-11 Years</v>
      </c>
      <c r="J3635">
        <v>3</v>
      </c>
      <c r="K3635" t="s">
        <v>20</v>
      </c>
      <c r="L3635">
        <v>65900</v>
      </c>
      <c r="M3635">
        <v>6800</v>
      </c>
      <c r="N3635">
        <v>72700</v>
      </c>
      <c r="O3635" t="s">
        <v>21</v>
      </c>
      <c r="P3635" s="3">
        <v>41757</v>
      </c>
      <c r="Q3635" t="s">
        <v>19</v>
      </c>
    </row>
    <row r="3636" spans="1:17" x14ac:dyDescent="0.35">
      <c r="A3636" t="s">
        <v>3688</v>
      </c>
      <c r="B3636" t="s">
        <v>16</v>
      </c>
      <c r="C3636" s="7">
        <v>39</v>
      </c>
      <c r="D3636" t="s">
        <v>44</v>
      </c>
      <c r="E3636" t="s">
        <v>76</v>
      </c>
      <c r="F3636" t="s">
        <v>28</v>
      </c>
      <c r="G3636" s="9">
        <v>12.2</v>
      </c>
      <c r="H3636" s="7">
        <v>8.8000000000000007</v>
      </c>
      <c r="I3636" t="str" cm="1">
        <f t="array" ref="I3636">_xlfn.IFS(G3636&lt;3, "0–2 Years", G3636&lt;6, "3–5 Years", G3636&lt;9, "6–8 Years", G3636&lt;12, "9-11 Years", G3636&gt;=12, "12-14 Years")</f>
        <v>12-14 Years</v>
      </c>
      <c r="J3636" s="7">
        <v>4</v>
      </c>
      <c r="K3636" t="s">
        <v>20</v>
      </c>
      <c r="L3636" s="7">
        <v>103600</v>
      </c>
      <c r="M3636" s="7">
        <v>7500</v>
      </c>
      <c r="N3636" s="7">
        <v>111100</v>
      </c>
      <c r="O3636" t="s">
        <v>57</v>
      </c>
      <c r="P3636" s="3">
        <v>41562</v>
      </c>
      <c r="Q3636" t="s">
        <v>28</v>
      </c>
    </row>
    <row r="3637" spans="1:17" x14ac:dyDescent="0.35">
      <c r="A3637" t="s">
        <v>3689</v>
      </c>
      <c r="B3637" t="s">
        <v>23</v>
      </c>
      <c r="C3637">
        <v>26</v>
      </c>
      <c r="D3637" t="s">
        <v>34</v>
      </c>
      <c r="E3637" t="s">
        <v>35</v>
      </c>
      <c r="F3637" t="s">
        <v>19</v>
      </c>
      <c r="G3637">
        <v>11.1</v>
      </c>
      <c r="H3637">
        <v>5</v>
      </c>
      <c r="I3637" t="str" cm="1">
        <f t="array" ref="I3637">_xlfn.IFS(G3637&lt;3, "0–2 Years", G3637&lt;6, "3–5 Years", G3637&lt;9, "6–8 Years", G3637&lt;12, "9-11 Years", G3637&gt;=12, "12-14 Years")</f>
        <v>9-11 Years</v>
      </c>
      <c r="J3637">
        <v>4</v>
      </c>
      <c r="K3637" t="s">
        <v>20</v>
      </c>
      <c r="L3637">
        <v>76400</v>
      </c>
      <c r="M3637">
        <v>5100</v>
      </c>
      <c r="N3637">
        <v>81500</v>
      </c>
      <c r="O3637" t="s">
        <v>21</v>
      </c>
      <c r="P3637" s="3">
        <v>41965</v>
      </c>
      <c r="Q3637" t="s">
        <v>19</v>
      </c>
    </row>
    <row r="3638" spans="1:17" x14ac:dyDescent="0.35">
      <c r="A3638" t="s">
        <v>3690</v>
      </c>
      <c r="B3638" t="s">
        <v>23</v>
      </c>
      <c r="C3638" s="7">
        <v>46</v>
      </c>
      <c r="D3638" t="s">
        <v>38</v>
      </c>
      <c r="E3638" t="s">
        <v>61</v>
      </c>
      <c r="F3638" t="s">
        <v>36</v>
      </c>
      <c r="G3638" s="9">
        <v>12</v>
      </c>
      <c r="H3638" s="7">
        <v>7.3</v>
      </c>
      <c r="I3638" t="str" cm="1">
        <f t="array" ref="I3638">_xlfn.IFS(G3638&lt;3, "0–2 Years", G3638&lt;6, "3–5 Years", G3638&lt;9, "6–8 Years", G3638&lt;12, "9-11 Years", G3638&gt;=12, "12-14 Years")</f>
        <v>12-14 Years</v>
      </c>
      <c r="J3638" s="7">
        <v>4</v>
      </c>
      <c r="K3638" t="s">
        <v>20</v>
      </c>
      <c r="L3638" s="7">
        <v>102400</v>
      </c>
      <c r="M3638" s="7">
        <v>9400</v>
      </c>
      <c r="N3638" s="7">
        <v>111800</v>
      </c>
      <c r="O3638" t="s">
        <v>57</v>
      </c>
      <c r="P3638" s="3">
        <v>41646</v>
      </c>
      <c r="Q3638" t="s">
        <v>36</v>
      </c>
    </row>
    <row r="3639" spans="1:17" x14ac:dyDescent="0.35">
      <c r="A3639" t="s">
        <v>3691</v>
      </c>
      <c r="B3639" t="s">
        <v>23</v>
      </c>
      <c r="C3639">
        <v>37</v>
      </c>
      <c r="D3639" t="s">
        <v>55</v>
      </c>
      <c r="E3639" t="s">
        <v>92</v>
      </c>
      <c r="F3639" t="s">
        <v>28</v>
      </c>
      <c r="G3639">
        <v>5.2</v>
      </c>
      <c r="H3639">
        <v>2.2999999999999998</v>
      </c>
      <c r="I3639" t="str" cm="1">
        <f t="array" ref="I3639">_xlfn.IFS(G3639&lt;3, "0–2 Years", G3639&lt;6, "3–5 Years", G3639&lt;9, "6–8 Years", G3639&lt;12, "9-11 Years", G3639&gt;=12, "12-14 Years")</f>
        <v>3–5 Years</v>
      </c>
      <c r="J3639">
        <v>3</v>
      </c>
      <c r="K3639" t="s">
        <v>24</v>
      </c>
      <c r="L3639">
        <v>59000</v>
      </c>
      <c r="M3639">
        <v>6200</v>
      </c>
      <c r="N3639">
        <v>65200</v>
      </c>
      <c r="O3639" t="s">
        <v>25</v>
      </c>
      <c r="P3639" s="3">
        <v>44115</v>
      </c>
      <c r="Q3639" t="s">
        <v>28</v>
      </c>
    </row>
    <row r="3640" spans="1:17" x14ac:dyDescent="0.35">
      <c r="A3640" t="s">
        <v>3692</v>
      </c>
      <c r="B3640" t="s">
        <v>16</v>
      </c>
      <c r="C3640" s="7">
        <v>32</v>
      </c>
      <c r="D3640" t="s">
        <v>44</v>
      </c>
      <c r="E3640" t="s">
        <v>76</v>
      </c>
      <c r="F3640" t="s">
        <v>28</v>
      </c>
      <c r="G3640" s="9">
        <v>12.4</v>
      </c>
      <c r="H3640" s="7">
        <v>8.6</v>
      </c>
      <c r="I3640" t="str" cm="1">
        <f t="array" ref="I3640">_xlfn.IFS(G3640&lt;3, "0–2 Years", G3640&lt;6, "3–5 Years", G3640&lt;9, "6–8 Years", G3640&lt;12, "9-11 Years", G3640&gt;=12, "12-14 Years")</f>
        <v>12-14 Years</v>
      </c>
      <c r="J3640" s="7">
        <v>3</v>
      </c>
      <c r="K3640" t="s">
        <v>20</v>
      </c>
      <c r="L3640" s="7">
        <v>115600</v>
      </c>
      <c r="M3640" s="7">
        <v>8600</v>
      </c>
      <c r="N3640" s="7">
        <v>124200</v>
      </c>
      <c r="O3640" t="s">
        <v>57</v>
      </c>
      <c r="P3640" s="3">
        <v>41495</v>
      </c>
      <c r="Q3640" t="s">
        <v>28</v>
      </c>
    </row>
    <row r="3641" spans="1:17" x14ac:dyDescent="0.35">
      <c r="A3641" t="s">
        <v>3693</v>
      </c>
      <c r="B3641" t="s">
        <v>16</v>
      </c>
      <c r="C3641">
        <v>33</v>
      </c>
      <c r="D3641" t="s">
        <v>17</v>
      </c>
      <c r="E3641" t="s">
        <v>32</v>
      </c>
      <c r="F3641" t="s">
        <v>62</v>
      </c>
      <c r="G3641">
        <v>10.3</v>
      </c>
      <c r="H3641">
        <v>5.9</v>
      </c>
      <c r="I3641" t="str" cm="1">
        <f t="array" ref="I3641">_xlfn.IFS(G3641&lt;3, "0–2 Years", G3641&lt;6, "3–5 Years", G3641&lt;9, "6–8 Years", G3641&lt;12, "9-11 Years", G3641&gt;=12, "12-14 Years")</f>
        <v>9-11 Years</v>
      </c>
      <c r="J3641">
        <v>5</v>
      </c>
      <c r="K3641" t="s">
        <v>20</v>
      </c>
      <c r="L3641">
        <v>71700</v>
      </c>
      <c r="M3641">
        <v>3500</v>
      </c>
      <c r="N3641">
        <v>75200</v>
      </c>
      <c r="O3641" t="s">
        <v>21</v>
      </c>
      <c r="P3641" s="3">
        <v>42246</v>
      </c>
      <c r="Q3641" t="s">
        <v>62</v>
      </c>
    </row>
    <row r="3642" spans="1:17" x14ac:dyDescent="0.35">
      <c r="A3642" t="s">
        <v>3694</v>
      </c>
      <c r="B3642" t="s">
        <v>23</v>
      </c>
      <c r="C3642">
        <v>45</v>
      </c>
      <c r="D3642" t="s">
        <v>55</v>
      </c>
      <c r="E3642" t="s">
        <v>56</v>
      </c>
      <c r="F3642" t="s">
        <v>62</v>
      </c>
      <c r="G3642">
        <v>6.6</v>
      </c>
      <c r="H3642">
        <v>5.9</v>
      </c>
      <c r="I3642" t="str" cm="1">
        <f t="array" ref="I3642">_xlfn.IFS(G3642&lt;3, "0–2 Years", G3642&lt;6, "3–5 Years", G3642&lt;9, "6–8 Years", G3642&lt;12, "9-11 Years", G3642&gt;=12, "12-14 Years")</f>
        <v>6–8 Years</v>
      </c>
      <c r="J3642">
        <v>4</v>
      </c>
      <c r="K3642" t="s">
        <v>69</v>
      </c>
      <c r="L3642">
        <v>100900</v>
      </c>
      <c r="M3642">
        <v>10600</v>
      </c>
      <c r="N3642">
        <v>111500</v>
      </c>
      <c r="O3642" t="s">
        <v>57</v>
      </c>
      <c r="P3642" s="3">
        <v>43611</v>
      </c>
      <c r="Q3642" t="s">
        <v>62</v>
      </c>
    </row>
    <row r="3643" spans="1:17" x14ac:dyDescent="0.35">
      <c r="A3643" t="s">
        <v>3695</v>
      </c>
      <c r="B3643" t="s">
        <v>16</v>
      </c>
      <c r="C3643" s="7">
        <v>37</v>
      </c>
      <c r="D3643" t="s">
        <v>38</v>
      </c>
      <c r="E3643" t="s">
        <v>112</v>
      </c>
      <c r="F3643" t="s">
        <v>36</v>
      </c>
      <c r="G3643" s="9">
        <v>13.3</v>
      </c>
      <c r="H3643" s="7">
        <v>8.5</v>
      </c>
      <c r="I3643" t="str" cm="1">
        <f t="array" ref="I3643">_xlfn.IFS(G3643&lt;3, "0–2 Years", G3643&lt;6, "3–5 Years", G3643&lt;9, "6–8 Years", G3643&lt;12, "9-11 Years", G3643&gt;=12, "12-14 Years")</f>
        <v>12-14 Years</v>
      </c>
      <c r="J3643" s="7">
        <v>3</v>
      </c>
      <c r="K3643" t="s">
        <v>20</v>
      </c>
      <c r="L3643" s="7">
        <v>81600</v>
      </c>
      <c r="M3643" s="7">
        <v>5500</v>
      </c>
      <c r="N3643" s="7">
        <v>87100</v>
      </c>
      <c r="O3643" t="s">
        <v>30</v>
      </c>
      <c r="P3643" s="3">
        <v>41170</v>
      </c>
      <c r="Q3643" t="s">
        <v>36</v>
      </c>
    </row>
    <row r="3644" spans="1:17" x14ac:dyDescent="0.35">
      <c r="A3644" t="s">
        <v>3696</v>
      </c>
      <c r="B3644" t="s">
        <v>23</v>
      </c>
      <c r="C3644">
        <v>44</v>
      </c>
      <c r="D3644" t="s">
        <v>38</v>
      </c>
      <c r="E3644" t="s">
        <v>112</v>
      </c>
      <c r="F3644" t="s">
        <v>36</v>
      </c>
      <c r="G3644">
        <v>8.3000000000000007</v>
      </c>
      <c r="H3644">
        <v>4.7</v>
      </c>
      <c r="I3644" t="str" cm="1">
        <f t="array" ref="I3644">_xlfn.IFS(G3644&lt;3, "0–2 Years", G3644&lt;6, "3–5 Years", G3644&lt;9, "6–8 Years", G3644&lt;12, "9-11 Years", G3644&gt;=12, "12-14 Years")</f>
        <v>6–8 Years</v>
      </c>
      <c r="J3644">
        <v>3</v>
      </c>
      <c r="K3644" t="s">
        <v>69</v>
      </c>
      <c r="L3644">
        <v>63000</v>
      </c>
      <c r="M3644">
        <v>2900</v>
      </c>
      <c r="N3644">
        <v>65900</v>
      </c>
      <c r="O3644" t="s">
        <v>25</v>
      </c>
      <c r="P3644" s="3">
        <v>42984</v>
      </c>
      <c r="Q3644" t="s">
        <v>36</v>
      </c>
    </row>
    <row r="3645" spans="1:17" x14ac:dyDescent="0.35">
      <c r="A3645" t="s">
        <v>3697</v>
      </c>
      <c r="B3645" t="s">
        <v>23</v>
      </c>
      <c r="C3645">
        <v>39</v>
      </c>
      <c r="D3645" t="s">
        <v>55</v>
      </c>
      <c r="E3645" t="s">
        <v>79</v>
      </c>
      <c r="F3645" t="s">
        <v>28</v>
      </c>
      <c r="G3645">
        <v>3.5</v>
      </c>
      <c r="H3645">
        <v>3.5</v>
      </c>
      <c r="I3645" t="str" cm="1">
        <f t="array" ref="I3645">_xlfn.IFS(G3645&lt;3, "0–2 Years", G3645&lt;6, "3–5 Years", G3645&lt;9, "6–8 Years", G3645&lt;12, "9-11 Years", G3645&gt;=12, "12-14 Years")</f>
        <v>3–5 Years</v>
      </c>
      <c r="J3645">
        <v>2</v>
      </c>
      <c r="K3645" t="s">
        <v>24</v>
      </c>
      <c r="L3645">
        <v>34700</v>
      </c>
      <c r="M3645">
        <v>2800</v>
      </c>
      <c r="N3645">
        <v>37500</v>
      </c>
      <c r="O3645" t="s">
        <v>65</v>
      </c>
      <c r="P3645" s="3">
        <v>44744</v>
      </c>
      <c r="Q3645" t="s">
        <v>28</v>
      </c>
    </row>
    <row r="3646" spans="1:17" x14ac:dyDescent="0.35">
      <c r="A3646" t="s">
        <v>3698</v>
      </c>
      <c r="B3646" t="s">
        <v>16</v>
      </c>
      <c r="C3646">
        <v>25</v>
      </c>
      <c r="D3646" t="s">
        <v>38</v>
      </c>
      <c r="E3646" t="s">
        <v>112</v>
      </c>
      <c r="F3646" t="s">
        <v>36</v>
      </c>
      <c r="G3646">
        <v>9.1</v>
      </c>
      <c r="H3646">
        <v>6.5</v>
      </c>
      <c r="I3646" t="str" cm="1">
        <f t="array" ref="I3646">_xlfn.IFS(G3646&lt;3, "0–2 Years", G3646&lt;6, "3–5 Years", G3646&lt;9, "6–8 Years", G3646&lt;12, "9-11 Years", G3646&gt;=12, "12-14 Years")</f>
        <v>9-11 Years</v>
      </c>
      <c r="J3646">
        <v>3</v>
      </c>
      <c r="K3646" t="s">
        <v>20</v>
      </c>
      <c r="L3646">
        <v>85400</v>
      </c>
      <c r="M3646">
        <v>6900</v>
      </c>
      <c r="N3646">
        <v>92300</v>
      </c>
      <c r="O3646" t="s">
        <v>30</v>
      </c>
      <c r="P3646" s="3">
        <v>42683</v>
      </c>
      <c r="Q3646" t="s">
        <v>36</v>
      </c>
    </row>
    <row r="3647" spans="1:17" x14ac:dyDescent="0.35">
      <c r="A3647" t="s">
        <v>3699</v>
      </c>
      <c r="B3647" t="s">
        <v>23</v>
      </c>
      <c r="C3647">
        <v>34</v>
      </c>
      <c r="D3647" t="s">
        <v>38</v>
      </c>
      <c r="E3647" t="s">
        <v>39</v>
      </c>
      <c r="F3647" t="s">
        <v>36</v>
      </c>
      <c r="G3647">
        <v>7.4</v>
      </c>
      <c r="H3647">
        <v>3.6</v>
      </c>
      <c r="I3647" t="str" cm="1">
        <f t="array" ref="I3647">_xlfn.IFS(G3647&lt;3, "0–2 Years", G3647&lt;6, "3–5 Years", G3647&lt;9, "6–8 Years", G3647&lt;12, "9-11 Years", G3647&gt;=12, "12-14 Years")</f>
        <v>6–8 Years</v>
      </c>
      <c r="J3647">
        <v>3</v>
      </c>
      <c r="K3647" t="s">
        <v>20</v>
      </c>
      <c r="L3647">
        <v>84100</v>
      </c>
      <c r="M3647">
        <v>4300</v>
      </c>
      <c r="N3647">
        <v>88400</v>
      </c>
      <c r="O3647" t="s">
        <v>30</v>
      </c>
      <c r="P3647" s="3">
        <v>43304</v>
      </c>
      <c r="Q3647" t="s">
        <v>36</v>
      </c>
    </row>
    <row r="3648" spans="1:17" x14ac:dyDescent="0.35">
      <c r="A3648" t="s">
        <v>3700</v>
      </c>
      <c r="B3648" t="s">
        <v>23</v>
      </c>
      <c r="C3648">
        <v>21</v>
      </c>
      <c r="D3648" t="s">
        <v>17</v>
      </c>
      <c r="E3648" t="s">
        <v>18</v>
      </c>
      <c r="F3648" t="s">
        <v>36</v>
      </c>
      <c r="G3648">
        <v>8.1999999999999993</v>
      </c>
      <c r="H3648">
        <v>4.2</v>
      </c>
      <c r="I3648" t="str" cm="1">
        <f t="array" ref="I3648">_xlfn.IFS(G3648&lt;3, "0–2 Years", G3648&lt;6, "3–5 Years", G3648&lt;9, "6–8 Years", G3648&lt;12, "9-11 Years", G3648&gt;=12, "12-14 Years")</f>
        <v>6–8 Years</v>
      </c>
      <c r="J3648">
        <v>4</v>
      </c>
      <c r="K3648" t="s">
        <v>20</v>
      </c>
      <c r="L3648">
        <v>105000</v>
      </c>
      <c r="M3648">
        <v>7000</v>
      </c>
      <c r="N3648">
        <v>112000</v>
      </c>
      <c r="O3648" t="s">
        <v>57</v>
      </c>
      <c r="P3648" s="3">
        <v>43030</v>
      </c>
      <c r="Q3648" t="s">
        <v>36</v>
      </c>
    </row>
    <row r="3649" spans="1:17" x14ac:dyDescent="0.35">
      <c r="A3649" t="s">
        <v>3701</v>
      </c>
      <c r="B3649" t="s">
        <v>23</v>
      </c>
      <c r="C3649">
        <v>36</v>
      </c>
      <c r="D3649" t="s">
        <v>55</v>
      </c>
      <c r="E3649" t="s">
        <v>92</v>
      </c>
      <c r="F3649" t="s">
        <v>36</v>
      </c>
      <c r="G3649">
        <v>3.7</v>
      </c>
      <c r="H3649">
        <v>3.7</v>
      </c>
      <c r="I3649" t="str" cm="1">
        <f t="array" ref="I3649">_xlfn.IFS(G3649&lt;3, "0–2 Years", G3649&lt;6, "3–5 Years", G3649&lt;9, "6–8 Years", G3649&lt;12, "9-11 Years", G3649&gt;=12, "12-14 Years")</f>
        <v>3–5 Years</v>
      </c>
      <c r="J3649">
        <v>3</v>
      </c>
      <c r="K3649" t="s">
        <v>24</v>
      </c>
      <c r="L3649">
        <v>72200</v>
      </c>
      <c r="M3649">
        <v>12700</v>
      </c>
      <c r="N3649">
        <v>84900</v>
      </c>
      <c r="O3649" t="s">
        <v>21</v>
      </c>
      <c r="P3649" s="3">
        <v>44673</v>
      </c>
      <c r="Q3649" t="s">
        <v>36</v>
      </c>
    </row>
    <row r="3650" spans="1:17" x14ac:dyDescent="0.35">
      <c r="A3650" t="s">
        <v>3702</v>
      </c>
      <c r="B3650" t="s">
        <v>23</v>
      </c>
      <c r="C3650">
        <v>36</v>
      </c>
      <c r="D3650" t="s">
        <v>38</v>
      </c>
      <c r="E3650" t="s">
        <v>61</v>
      </c>
      <c r="F3650" t="s">
        <v>36</v>
      </c>
      <c r="G3650">
        <v>2.9</v>
      </c>
      <c r="H3650">
        <v>2.4</v>
      </c>
      <c r="I3650" t="str" cm="1">
        <f t="array" ref="I3650">_xlfn.IFS(G3650&lt;3, "0–2 Years", G3650&lt;6, "3–5 Years", G3650&lt;9, "6–8 Years", G3650&lt;12, "9-11 Years", G3650&gt;=12, "12-14 Years")</f>
        <v>0–2 Years</v>
      </c>
      <c r="J3650">
        <v>3</v>
      </c>
      <c r="K3650" t="s">
        <v>20</v>
      </c>
      <c r="L3650">
        <v>104500</v>
      </c>
      <c r="M3650">
        <v>10700</v>
      </c>
      <c r="N3650">
        <v>115200</v>
      </c>
      <c r="O3650" t="s">
        <v>57</v>
      </c>
      <c r="P3650" s="3">
        <v>44977</v>
      </c>
      <c r="Q3650" t="s">
        <v>36</v>
      </c>
    </row>
    <row r="3651" spans="1:17" x14ac:dyDescent="0.35">
      <c r="A3651" t="s">
        <v>3703</v>
      </c>
      <c r="B3651" t="s">
        <v>23</v>
      </c>
      <c r="C3651" s="7">
        <v>46</v>
      </c>
      <c r="D3651" t="s">
        <v>55</v>
      </c>
      <c r="E3651" t="s">
        <v>92</v>
      </c>
      <c r="F3651" t="s">
        <v>28</v>
      </c>
      <c r="G3651" s="9">
        <v>12.5</v>
      </c>
      <c r="H3651" s="7">
        <v>11.2</v>
      </c>
      <c r="I3651" t="str" cm="1">
        <f t="array" ref="I3651">_xlfn.IFS(G3651&lt;3, "0–2 Years", G3651&lt;6, "3–5 Years", G3651&lt;9, "6–8 Years", G3651&lt;12, "9-11 Years", G3651&gt;=12, "12-14 Years")</f>
        <v>12-14 Years</v>
      </c>
      <c r="J3651" s="7">
        <v>4</v>
      </c>
      <c r="K3651" t="s">
        <v>24</v>
      </c>
      <c r="L3651" s="7">
        <v>73500</v>
      </c>
      <c r="M3651" s="7">
        <v>5400</v>
      </c>
      <c r="N3651" s="7">
        <v>78900</v>
      </c>
      <c r="O3651" t="s">
        <v>21</v>
      </c>
      <c r="P3651" s="3">
        <v>41468</v>
      </c>
      <c r="Q3651" t="s">
        <v>28</v>
      </c>
    </row>
    <row r="3652" spans="1:17" x14ac:dyDescent="0.35">
      <c r="A3652" t="s">
        <v>3704</v>
      </c>
      <c r="B3652" t="s">
        <v>16</v>
      </c>
      <c r="C3652">
        <v>39</v>
      </c>
      <c r="D3652" t="s">
        <v>41</v>
      </c>
      <c r="E3652" t="s">
        <v>73</v>
      </c>
      <c r="F3652" t="s">
        <v>36</v>
      </c>
      <c r="G3652">
        <v>8.6</v>
      </c>
      <c r="H3652">
        <v>7.2</v>
      </c>
      <c r="I3652" t="str" cm="1">
        <f t="array" ref="I3652">_xlfn.IFS(G3652&lt;3, "0–2 Years", G3652&lt;6, "3–5 Years", G3652&lt;9, "6–8 Years", G3652&lt;12, "9-11 Years", G3652&gt;=12, "12-14 Years")</f>
        <v>6–8 Years</v>
      </c>
      <c r="J3652">
        <v>3</v>
      </c>
      <c r="K3652" t="s">
        <v>24</v>
      </c>
      <c r="L3652">
        <v>67700</v>
      </c>
      <c r="M3652">
        <v>3500</v>
      </c>
      <c r="N3652">
        <v>71200</v>
      </c>
      <c r="O3652" t="s">
        <v>21</v>
      </c>
      <c r="P3652" s="3">
        <v>42867</v>
      </c>
      <c r="Q3652" t="s">
        <v>36</v>
      </c>
    </row>
    <row r="3653" spans="1:17" x14ac:dyDescent="0.35">
      <c r="A3653" t="s">
        <v>3705</v>
      </c>
      <c r="B3653" t="s">
        <v>16</v>
      </c>
      <c r="C3653">
        <v>29</v>
      </c>
      <c r="D3653" t="s">
        <v>41</v>
      </c>
      <c r="E3653" t="s">
        <v>42</v>
      </c>
      <c r="F3653" t="s">
        <v>36</v>
      </c>
      <c r="G3653">
        <v>9.3000000000000007</v>
      </c>
      <c r="H3653">
        <v>6.5</v>
      </c>
      <c r="I3653" t="str" cm="1">
        <f t="array" ref="I3653">_xlfn.IFS(G3653&lt;3, "0–2 Years", G3653&lt;6, "3–5 Years", G3653&lt;9, "6–8 Years", G3653&lt;12, "9-11 Years", G3653&gt;=12, "12-14 Years")</f>
        <v>9-11 Years</v>
      </c>
      <c r="J3653">
        <v>3</v>
      </c>
      <c r="K3653" t="s">
        <v>20</v>
      </c>
      <c r="L3653">
        <v>81900</v>
      </c>
      <c r="M3653">
        <v>5400</v>
      </c>
      <c r="N3653">
        <v>87300</v>
      </c>
      <c r="O3653" t="s">
        <v>30</v>
      </c>
      <c r="P3653" s="3">
        <v>42630</v>
      </c>
      <c r="Q3653" t="s">
        <v>36</v>
      </c>
    </row>
    <row r="3654" spans="1:17" x14ac:dyDescent="0.35">
      <c r="A3654" t="s">
        <v>3706</v>
      </c>
      <c r="B3654" t="s">
        <v>16</v>
      </c>
      <c r="C3654">
        <v>35</v>
      </c>
      <c r="D3654" t="s">
        <v>17</v>
      </c>
      <c r="E3654" t="s">
        <v>27</v>
      </c>
      <c r="F3654" t="s">
        <v>62</v>
      </c>
      <c r="G3654">
        <v>3</v>
      </c>
      <c r="H3654">
        <v>1.3</v>
      </c>
      <c r="I3654" t="str" cm="1">
        <f t="array" ref="I3654">_xlfn.IFS(G3654&lt;3, "0–2 Years", G3654&lt;6, "3–5 Years", G3654&lt;9, "6–8 Years", G3654&lt;12, "9-11 Years", G3654&gt;=12, "12-14 Years")</f>
        <v>3–5 Years</v>
      </c>
      <c r="J3654">
        <v>4</v>
      </c>
      <c r="K3654" t="s">
        <v>20</v>
      </c>
      <c r="L3654">
        <v>78300</v>
      </c>
      <c r="M3654">
        <v>8600</v>
      </c>
      <c r="N3654">
        <v>86900</v>
      </c>
      <c r="O3654" t="s">
        <v>21</v>
      </c>
      <c r="P3654" s="3">
        <v>44927</v>
      </c>
      <c r="Q3654" t="s">
        <v>62</v>
      </c>
    </row>
    <row r="3655" spans="1:17" x14ac:dyDescent="0.35">
      <c r="A3655" t="s">
        <v>3707</v>
      </c>
      <c r="B3655" t="s">
        <v>23</v>
      </c>
      <c r="C3655">
        <v>32</v>
      </c>
      <c r="D3655" t="s">
        <v>41</v>
      </c>
      <c r="E3655" t="s">
        <v>42</v>
      </c>
      <c r="F3655" t="s">
        <v>36</v>
      </c>
      <c r="G3655">
        <v>8.9</v>
      </c>
      <c r="H3655">
        <v>7.1</v>
      </c>
      <c r="I3655" t="str" cm="1">
        <f t="array" ref="I3655">_xlfn.IFS(G3655&lt;3, "0–2 Years", G3655&lt;6, "3–5 Years", G3655&lt;9, "6–8 Years", G3655&lt;12, "9-11 Years", G3655&gt;=12, "12-14 Years")</f>
        <v>6–8 Years</v>
      </c>
      <c r="J3655">
        <v>3</v>
      </c>
      <c r="K3655" t="s">
        <v>20</v>
      </c>
      <c r="L3655">
        <v>68700</v>
      </c>
      <c r="M3655">
        <v>5300</v>
      </c>
      <c r="N3655">
        <v>74000</v>
      </c>
      <c r="O3655" t="s">
        <v>21</v>
      </c>
      <c r="P3655" s="3">
        <v>42762</v>
      </c>
      <c r="Q3655" t="s">
        <v>36</v>
      </c>
    </row>
    <row r="3656" spans="1:17" x14ac:dyDescent="0.35">
      <c r="A3656" t="s">
        <v>3708</v>
      </c>
      <c r="B3656" t="s">
        <v>16</v>
      </c>
      <c r="C3656">
        <v>36</v>
      </c>
      <c r="D3656" t="s">
        <v>17</v>
      </c>
      <c r="E3656" t="s">
        <v>32</v>
      </c>
      <c r="F3656" t="s">
        <v>62</v>
      </c>
      <c r="G3656">
        <v>3.2</v>
      </c>
      <c r="H3656">
        <v>3.2</v>
      </c>
      <c r="I3656" t="str" cm="1">
        <f t="array" ref="I3656">_xlfn.IFS(G3656&lt;3, "0–2 Years", G3656&lt;6, "3–5 Years", G3656&lt;9, "6–8 Years", G3656&lt;12, "9-11 Years", G3656&gt;=12, "12-14 Years")</f>
        <v>3–5 Years</v>
      </c>
      <c r="J3656">
        <v>4</v>
      </c>
      <c r="K3656" t="s">
        <v>20</v>
      </c>
      <c r="L3656">
        <v>78500</v>
      </c>
      <c r="M3656">
        <v>7700</v>
      </c>
      <c r="N3656">
        <v>86200</v>
      </c>
      <c r="O3656" t="s">
        <v>21</v>
      </c>
      <c r="P3656" s="3">
        <v>44840</v>
      </c>
      <c r="Q3656" t="s">
        <v>62</v>
      </c>
    </row>
    <row r="3657" spans="1:17" x14ac:dyDescent="0.35">
      <c r="A3657" t="s">
        <v>3709</v>
      </c>
      <c r="B3657" t="s">
        <v>16</v>
      </c>
      <c r="C3657">
        <v>37</v>
      </c>
      <c r="D3657" t="s">
        <v>38</v>
      </c>
      <c r="E3657" t="s">
        <v>39</v>
      </c>
      <c r="F3657" t="s">
        <v>28</v>
      </c>
      <c r="G3657">
        <v>3.6</v>
      </c>
      <c r="H3657">
        <v>3.6</v>
      </c>
      <c r="I3657" t="str" cm="1">
        <f t="array" ref="I3657">_xlfn.IFS(G3657&lt;3, "0–2 Years", G3657&lt;6, "3–5 Years", G3657&lt;9, "6–8 Years", G3657&lt;12, "9-11 Years", G3657&gt;=12, "12-14 Years")</f>
        <v>3–5 Years</v>
      </c>
      <c r="J3657">
        <v>3</v>
      </c>
      <c r="K3657" t="s">
        <v>20</v>
      </c>
      <c r="L3657">
        <v>76900</v>
      </c>
      <c r="M3657">
        <v>5100</v>
      </c>
      <c r="N3657">
        <v>82000</v>
      </c>
      <c r="O3657" t="s">
        <v>21</v>
      </c>
      <c r="P3657" s="3">
        <v>44690</v>
      </c>
      <c r="Q3657" t="s">
        <v>28</v>
      </c>
    </row>
    <row r="3658" spans="1:17" x14ac:dyDescent="0.35">
      <c r="A3658" t="s">
        <v>3710</v>
      </c>
      <c r="B3658" t="s">
        <v>23</v>
      </c>
      <c r="C3658">
        <v>43</v>
      </c>
      <c r="D3658" t="s">
        <v>17</v>
      </c>
      <c r="E3658" t="s">
        <v>27</v>
      </c>
      <c r="F3658" t="s">
        <v>36</v>
      </c>
      <c r="G3658">
        <v>7.3</v>
      </c>
      <c r="H3658">
        <v>2.5</v>
      </c>
      <c r="I3658" t="str" cm="1">
        <f t="array" ref="I3658">_xlfn.IFS(G3658&lt;3, "0–2 Years", G3658&lt;6, "3–5 Years", G3658&lt;9, "6–8 Years", G3658&lt;12, "9-11 Years", G3658&gt;=12, "12-14 Years")</f>
        <v>6–8 Years</v>
      </c>
      <c r="J3658">
        <v>4</v>
      </c>
      <c r="K3658" t="s">
        <v>20</v>
      </c>
      <c r="L3658">
        <v>86900</v>
      </c>
      <c r="M3658">
        <v>8500</v>
      </c>
      <c r="N3658">
        <v>95400</v>
      </c>
      <c r="O3658" t="s">
        <v>30</v>
      </c>
      <c r="P3658" s="3">
        <v>43361</v>
      </c>
      <c r="Q3658" t="s">
        <v>36</v>
      </c>
    </row>
    <row r="3659" spans="1:17" x14ac:dyDescent="0.35">
      <c r="A3659" t="s">
        <v>3711</v>
      </c>
      <c r="B3659" t="s">
        <v>16</v>
      </c>
      <c r="C3659">
        <v>38</v>
      </c>
      <c r="D3659" t="s">
        <v>55</v>
      </c>
      <c r="E3659" t="s">
        <v>92</v>
      </c>
      <c r="F3659" t="s">
        <v>36</v>
      </c>
      <c r="G3659">
        <v>3.1</v>
      </c>
      <c r="H3659">
        <v>1.4</v>
      </c>
      <c r="I3659" t="str" cm="1">
        <f t="array" ref="I3659">_xlfn.IFS(G3659&lt;3, "0–2 Years", G3659&lt;6, "3–5 Years", G3659&lt;9, "6–8 Years", G3659&lt;12, "9-11 Years", G3659&gt;=12, "12-14 Years")</f>
        <v>3–5 Years</v>
      </c>
      <c r="J3659">
        <v>3</v>
      </c>
      <c r="K3659" t="s">
        <v>20</v>
      </c>
      <c r="L3659">
        <v>99800</v>
      </c>
      <c r="M3659">
        <v>20400</v>
      </c>
      <c r="N3659">
        <v>120200</v>
      </c>
      <c r="O3659" t="s">
        <v>30</v>
      </c>
      <c r="P3659" s="3">
        <v>44883</v>
      </c>
      <c r="Q3659" t="s">
        <v>36</v>
      </c>
    </row>
    <row r="3660" spans="1:17" x14ac:dyDescent="0.35">
      <c r="A3660" t="s">
        <v>3712</v>
      </c>
      <c r="B3660" t="s">
        <v>16</v>
      </c>
      <c r="C3660">
        <v>33</v>
      </c>
      <c r="D3660" t="s">
        <v>41</v>
      </c>
      <c r="E3660" t="s">
        <v>67</v>
      </c>
      <c r="F3660" t="s">
        <v>62</v>
      </c>
      <c r="G3660">
        <v>4.5</v>
      </c>
      <c r="H3660">
        <v>0.3</v>
      </c>
      <c r="I3660" t="str" cm="1">
        <f t="array" ref="I3660">_xlfn.IFS(G3660&lt;3, "0–2 Years", G3660&lt;6, "3–5 Years", G3660&lt;9, "6–8 Years", G3660&lt;12, "9-11 Years", G3660&gt;=12, "12-14 Years")</f>
        <v>3–5 Years</v>
      </c>
      <c r="J3660">
        <v>4</v>
      </c>
      <c r="K3660" t="s">
        <v>20</v>
      </c>
      <c r="L3660">
        <v>82600</v>
      </c>
      <c r="M3660">
        <v>3200</v>
      </c>
      <c r="N3660">
        <v>85800</v>
      </c>
      <c r="O3660" t="s">
        <v>30</v>
      </c>
      <c r="P3660" s="3">
        <v>44383</v>
      </c>
      <c r="Q3660" t="s">
        <v>62</v>
      </c>
    </row>
    <row r="3661" spans="1:17" x14ac:dyDescent="0.35">
      <c r="A3661" t="s">
        <v>3713</v>
      </c>
      <c r="B3661" t="s">
        <v>16</v>
      </c>
      <c r="C3661">
        <v>52</v>
      </c>
      <c r="D3661" t="s">
        <v>55</v>
      </c>
      <c r="E3661" t="s">
        <v>92</v>
      </c>
      <c r="F3661" t="s">
        <v>28</v>
      </c>
      <c r="G3661">
        <v>5.7</v>
      </c>
      <c r="H3661">
        <v>4.5999999999999996</v>
      </c>
      <c r="I3661" t="str" cm="1">
        <f t="array" ref="I3661">_xlfn.IFS(G3661&lt;3, "0–2 Years", G3661&lt;6, "3–5 Years", G3661&lt;9, "6–8 Years", G3661&lt;12, "9-11 Years", G3661&gt;=12, "12-14 Years")</f>
        <v>3–5 Years</v>
      </c>
      <c r="J3661">
        <v>4</v>
      </c>
      <c r="K3661" t="s">
        <v>69</v>
      </c>
      <c r="L3661">
        <v>81300</v>
      </c>
      <c r="M3661">
        <v>6700</v>
      </c>
      <c r="N3661">
        <v>88000</v>
      </c>
      <c r="O3661" t="s">
        <v>30</v>
      </c>
      <c r="P3661" s="3">
        <v>43925</v>
      </c>
      <c r="Q3661" t="s">
        <v>28</v>
      </c>
    </row>
    <row r="3662" spans="1:17" x14ac:dyDescent="0.35">
      <c r="A3662" t="s">
        <v>3714</v>
      </c>
      <c r="B3662" t="s">
        <v>23</v>
      </c>
      <c r="C3662">
        <v>33</v>
      </c>
      <c r="D3662" t="s">
        <v>55</v>
      </c>
      <c r="E3662" t="s">
        <v>92</v>
      </c>
      <c r="F3662" t="s">
        <v>19</v>
      </c>
      <c r="G3662">
        <v>8.1999999999999993</v>
      </c>
      <c r="H3662">
        <v>6.1</v>
      </c>
      <c r="I3662" t="str" cm="1">
        <f t="array" ref="I3662">_xlfn.IFS(G3662&lt;3, "0–2 Years", G3662&lt;6, "3–5 Years", G3662&lt;9, "6–8 Years", G3662&lt;12, "9-11 Years", G3662&gt;=12, "12-14 Years")</f>
        <v>6–8 Years</v>
      </c>
      <c r="J3662">
        <v>3</v>
      </c>
      <c r="K3662" t="s">
        <v>20</v>
      </c>
      <c r="L3662">
        <v>93900</v>
      </c>
      <c r="M3662">
        <v>13500</v>
      </c>
      <c r="N3662">
        <v>107400</v>
      </c>
      <c r="O3662" t="s">
        <v>30</v>
      </c>
      <c r="P3662" s="3">
        <v>43028</v>
      </c>
      <c r="Q3662" t="s">
        <v>19</v>
      </c>
    </row>
    <row r="3663" spans="1:17" x14ac:dyDescent="0.35">
      <c r="A3663" t="s">
        <v>3715</v>
      </c>
      <c r="B3663" t="s">
        <v>16</v>
      </c>
      <c r="C3663">
        <v>30</v>
      </c>
      <c r="D3663" t="s">
        <v>44</v>
      </c>
      <c r="E3663" t="s">
        <v>51</v>
      </c>
      <c r="F3663" t="s">
        <v>36</v>
      </c>
      <c r="G3663">
        <v>3.3</v>
      </c>
      <c r="H3663">
        <v>1.5</v>
      </c>
      <c r="I3663" t="str" cm="1">
        <f t="array" ref="I3663">_xlfn.IFS(G3663&lt;3, "0–2 Years", G3663&lt;6, "3–5 Years", G3663&lt;9, "6–8 Years", G3663&lt;12, "9-11 Years", G3663&gt;=12, "12-14 Years")</f>
        <v>3–5 Years</v>
      </c>
      <c r="J3663">
        <v>3</v>
      </c>
      <c r="K3663" t="s">
        <v>20</v>
      </c>
      <c r="L3663">
        <v>83500</v>
      </c>
      <c r="M3663">
        <v>8300</v>
      </c>
      <c r="N3663">
        <v>91800</v>
      </c>
      <c r="O3663" t="s">
        <v>30</v>
      </c>
      <c r="P3663" s="3">
        <v>44828</v>
      </c>
      <c r="Q3663" t="s">
        <v>36</v>
      </c>
    </row>
    <row r="3664" spans="1:17" x14ac:dyDescent="0.35">
      <c r="A3664" t="s">
        <v>3716</v>
      </c>
      <c r="B3664" t="s">
        <v>16</v>
      </c>
      <c r="C3664">
        <v>36</v>
      </c>
      <c r="D3664" t="s">
        <v>44</v>
      </c>
      <c r="E3664" t="s">
        <v>81</v>
      </c>
      <c r="F3664" t="s">
        <v>28</v>
      </c>
      <c r="G3664">
        <v>11</v>
      </c>
      <c r="H3664">
        <v>8.6999999999999993</v>
      </c>
      <c r="I3664" t="str" cm="1">
        <f t="array" ref="I3664">_xlfn.IFS(G3664&lt;3, "0–2 Years", G3664&lt;6, "3–5 Years", G3664&lt;9, "6–8 Years", G3664&lt;12, "9-11 Years", G3664&gt;=12, "12-14 Years")</f>
        <v>9-11 Years</v>
      </c>
      <c r="J3664">
        <v>4</v>
      </c>
      <c r="K3664" t="s">
        <v>20</v>
      </c>
      <c r="L3664">
        <v>108000</v>
      </c>
      <c r="M3664">
        <v>11100</v>
      </c>
      <c r="N3664">
        <v>119100</v>
      </c>
      <c r="O3664" t="s">
        <v>57</v>
      </c>
      <c r="P3664" s="3">
        <v>41997</v>
      </c>
      <c r="Q3664" t="s">
        <v>28</v>
      </c>
    </row>
    <row r="3665" spans="1:17" x14ac:dyDescent="0.35">
      <c r="A3665" t="s">
        <v>3717</v>
      </c>
      <c r="B3665" t="s">
        <v>23</v>
      </c>
      <c r="C3665">
        <v>34</v>
      </c>
      <c r="D3665" t="s">
        <v>55</v>
      </c>
      <c r="E3665" t="s">
        <v>79</v>
      </c>
      <c r="F3665" t="s">
        <v>28</v>
      </c>
      <c r="G3665">
        <v>1.9</v>
      </c>
      <c r="H3665">
        <v>0</v>
      </c>
      <c r="I3665" t="str" cm="1">
        <f t="array" ref="I3665">_xlfn.IFS(G3665&lt;3, "0–2 Years", G3665&lt;6, "3–5 Years", G3665&lt;9, "6–8 Years", G3665&lt;12, "9-11 Years", G3665&gt;=12, "12-14 Years")</f>
        <v>0–2 Years</v>
      </c>
      <c r="J3665">
        <v>3</v>
      </c>
      <c r="K3665" t="s">
        <v>20</v>
      </c>
      <c r="L3665">
        <v>52000</v>
      </c>
      <c r="M3665">
        <v>5100</v>
      </c>
      <c r="N3665">
        <v>57100</v>
      </c>
      <c r="O3665" t="s">
        <v>25</v>
      </c>
      <c r="P3665" s="3">
        <v>45341</v>
      </c>
      <c r="Q3665" t="s">
        <v>28</v>
      </c>
    </row>
    <row r="3666" spans="1:17" x14ac:dyDescent="0.35">
      <c r="A3666" t="s">
        <v>3718</v>
      </c>
      <c r="B3666" t="s">
        <v>23</v>
      </c>
      <c r="C3666" s="7">
        <v>23</v>
      </c>
      <c r="D3666" t="s">
        <v>55</v>
      </c>
      <c r="E3666" t="s">
        <v>56</v>
      </c>
      <c r="F3666" t="s">
        <v>28</v>
      </c>
      <c r="G3666" s="9">
        <v>13.1</v>
      </c>
      <c r="H3666" s="7">
        <v>8.9</v>
      </c>
      <c r="I3666" t="str" cm="1">
        <f t="array" ref="I3666">_xlfn.IFS(G3666&lt;3, "0–2 Years", G3666&lt;6, "3–5 Years", G3666&lt;9, "6–8 Years", G3666&lt;12, "9-11 Years", G3666&gt;=12, "12-14 Years")</f>
        <v>12-14 Years</v>
      </c>
      <c r="J3666" s="7">
        <v>3</v>
      </c>
      <c r="K3666" t="s">
        <v>20</v>
      </c>
      <c r="L3666" s="7">
        <v>108600</v>
      </c>
      <c r="M3666" s="7">
        <v>8800</v>
      </c>
      <c r="N3666" s="7">
        <v>117400</v>
      </c>
      <c r="O3666" t="s">
        <v>57</v>
      </c>
      <c r="P3666" s="3">
        <v>41236</v>
      </c>
      <c r="Q3666" t="s">
        <v>28</v>
      </c>
    </row>
    <row r="3667" spans="1:17" x14ac:dyDescent="0.35">
      <c r="A3667" t="s">
        <v>3719</v>
      </c>
      <c r="B3667" t="s">
        <v>23</v>
      </c>
      <c r="C3667">
        <v>32</v>
      </c>
      <c r="D3667" t="s">
        <v>41</v>
      </c>
      <c r="E3667" t="s">
        <v>67</v>
      </c>
      <c r="F3667" t="s">
        <v>36</v>
      </c>
      <c r="G3667">
        <v>11.6</v>
      </c>
      <c r="H3667">
        <v>6</v>
      </c>
      <c r="I3667" t="str" cm="1">
        <f t="array" ref="I3667">_xlfn.IFS(G3667&lt;3, "0–2 Years", G3667&lt;6, "3–5 Years", G3667&lt;9, "6–8 Years", G3667&lt;12, "9-11 Years", G3667&gt;=12, "12-14 Years")</f>
        <v>9-11 Years</v>
      </c>
      <c r="J3667">
        <v>3</v>
      </c>
      <c r="K3667" t="s">
        <v>20</v>
      </c>
      <c r="L3667">
        <v>86100</v>
      </c>
      <c r="M3667">
        <v>3300</v>
      </c>
      <c r="N3667">
        <v>89400</v>
      </c>
      <c r="O3667" t="s">
        <v>30</v>
      </c>
      <c r="P3667" s="3">
        <v>41792</v>
      </c>
      <c r="Q3667" t="s">
        <v>36</v>
      </c>
    </row>
    <row r="3668" spans="1:17" x14ac:dyDescent="0.35">
      <c r="A3668" t="s">
        <v>3720</v>
      </c>
      <c r="B3668" t="s">
        <v>23</v>
      </c>
      <c r="C3668">
        <v>36</v>
      </c>
      <c r="D3668" t="s">
        <v>44</v>
      </c>
      <c r="E3668" t="s">
        <v>81</v>
      </c>
      <c r="F3668" t="s">
        <v>36</v>
      </c>
      <c r="G3668">
        <v>4.3</v>
      </c>
      <c r="H3668">
        <v>4.3</v>
      </c>
      <c r="I3668" t="str" cm="1">
        <f t="array" ref="I3668">_xlfn.IFS(G3668&lt;3, "0–2 Years", G3668&lt;6, "3–5 Years", G3668&lt;9, "6–8 Years", G3668&lt;12, "9-11 Years", G3668&gt;=12, "12-14 Years")</f>
        <v>3–5 Years</v>
      </c>
      <c r="J3668">
        <v>5</v>
      </c>
      <c r="K3668" t="s">
        <v>20</v>
      </c>
      <c r="L3668">
        <v>103600</v>
      </c>
      <c r="M3668">
        <v>7100</v>
      </c>
      <c r="N3668">
        <v>110700</v>
      </c>
      <c r="O3668" t="s">
        <v>57</v>
      </c>
      <c r="P3668" s="3">
        <v>44437</v>
      </c>
      <c r="Q3668" t="s">
        <v>36</v>
      </c>
    </row>
    <row r="3669" spans="1:17" x14ac:dyDescent="0.35">
      <c r="A3669" t="s">
        <v>3721</v>
      </c>
      <c r="B3669" t="s">
        <v>23</v>
      </c>
      <c r="C3669" s="7">
        <v>45</v>
      </c>
      <c r="D3669" t="s">
        <v>44</v>
      </c>
      <c r="E3669" t="s">
        <v>76</v>
      </c>
      <c r="F3669" t="s">
        <v>36</v>
      </c>
      <c r="G3669" s="9">
        <v>13.7</v>
      </c>
      <c r="H3669" s="7">
        <v>6.8</v>
      </c>
      <c r="I3669" t="str" cm="1">
        <f t="array" ref="I3669">_xlfn.IFS(G3669&lt;3, "0–2 Years", G3669&lt;6, "3–5 Years", G3669&lt;9, "6–8 Years", G3669&lt;12, "9-11 Years", G3669&gt;=12, "12-14 Years")</f>
        <v>12-14 Years</v>
      </c>
      <c r="J3669" s="7">
        <v>3</v>
      </c>
      <c r="K3669" t="s">
        <v>20</v>
      </c>
      <c r="L3669" s="7">
        <v>129500</v>
      </c>
      <c r="M3669" s="7">
        <v>10000</v>
      </c>
      <c r="N3669" s="7">
        <v>139500</v>
      </c>
      <c r="O3669" t="s">
        <v>57</v>
      </c>
      <c r="P3669" s="3">
        <v>41029</v>
      </c>
      <c r="Q3669" t="s">
        <v>36</v>
      </c>
    </row>
    <row r="3670" spans="1:17" x14ac:dyDescent="0.35">
      <c r="A3670" t="s">
        <v>3722</v>
      </c>
      <c r="B3670" t="s">
        <v>23</v>
      </c>
      <c r="C3670">
        <v>36</v>
      </c>
      <c r="D3670" t="s">
        <v>38</v>
      </c>
      <c r="E3670" t="s">
        <v>61</v>
      </c>
      <c r="F3670" t="s">
        <v>36</v>
      </c>
      <c r="G3670">
        <v>8.4</v>
      </c>
      <c r="H3670">
        <v>5</v>
      </c>
      <c r="I3670" t="str" cm="1">
        <f t="array" ref="I3670">_xlfn.IFS(G3670&lt;3, "0–2 Years", G3670&lt;6, "3–5 Years", G3670&lt;9, "6–8 Years", G3670&lt;12, "9-11 Years", G3670&gt;=12, "12-14 Years")</f>
        <v>6–8 Years</v>
      </c>
      <c r="J3670">
        <v>2</v>
      </c>
      <c r="K3670" t="s">
        <v>20</v>
      </c>
      <c r="L3670">
        <v>108700</v>
      </c>
      <c r="M3670">
        <v>9500</v>
      </c>
      <c r="N3670">
        <v>118200</v>
      </c>
      <c r="O3670" t="s">
        <v>57</v>
      </c>
      <c r="P3670" s="3">
        <v>42959</v>
      </c>
      <c r="Q3670" t="s">
        <v>36</v>
      </c>
    </row>
    <row r="3671" spans="1:17" x14ac:dyDescent="0.35">
      <c r="A3671" t="s">
        <v>3723</v>
      </c>
      <c r="B3671" t="s">
        <v>16</v>
      </c>
      <c r="C3671" s="7">
        <v>30</v>
      </c>
      <c r="D3671" t="s">
        <v>41</v>
      </c>
      <c r="E3671" t="s">
        <v>42</v>
      </c>
      <c r="F3671" t="s">
        <v>36</v>
      </c>
      <c r="G3671" s="9">
        <v>13.3</v>
      </c>
      <c r="H3671" s="7">
        <v>10.7</v>
      </c>
      <c r="I3671" t="str" cm="1">
        <f t="array" ref="I3671">_xlfn.IFS(G3671&lt;3, "0–2 Years", G3671&lt;6, "3–5 Years", G3671&lt;9, "6–8 Years", G3671&lt;12, "9-11 Years", G3671&gt;=12, "12-14 Years")</f>
        <v>12-14 Years</v>
      </c>
      <c r="J3671" s="7">
        <v>3</v>
      </c>
      <c r="K3671" t="s">
        <v>24</v>
      </c>
      <c r="L3671" s="7">
        <v>60400</v>
      </c>
      <c r="M3671" s="7">
        <v>3000</v>
      </c>
      <c r="N3671" s="7">
        <v>63400</v>
      </c>
      <c r="O3671" t="s">
        <v>25</v>
      </c>
      <c r="P3671" s="3">
        <v>41183</v>
      </c>
      <c r="Q3671" t="s">
        <v>36</v>
      </c>
    </row>
    <row r="3672" spans="1:17" x14ac:dyDescent="0.35">
      <c r="A3672" t="s">
        <v>3724</v>
      </c>
      <c r="B3672" t="s">
        <v>16</v>
      </c>
      <c r="C3672">
        <v>36</v>
      </c>
      <c r="D3672" t="s">
        <v>17</v>
      </c>
      <c r="E3672" t="s">
        <v>32</v>
      </c>
      <c r="F3672" t="s">
        <v>36</v>
      </c>
      <c r="G3672">
        <v>3.5</v>
      </c>
      <c r="H3672">
        <v>2.1</v>
      </c>
      <c r="I3672" t="str" cm="1">
        <f t="array" ref="I3672">_xlfn.IFS(G3672&lt;3, "0–2 Years", G3672&lt;6, "3–5 Years", G3672&lt;9, "6–8 Years", G3672&lt;12, "9-11 Years", G3672&gt;=12, "12-14 Years")</f>
        <v>3–5 Years</v>
      </c>
      <c r="J3672">
        <v>3</v>
      </c>
      <c r="K3672" t="s">
        <v>20</v>
      </c>
      <c r="L3672">
        <v>66300</v>
      </c>
      <c r="M3672">
        <v>4500</v>
      </c>
      <c r="N3672">
        <v>70800</v>
      </c>
      <c r="O3672" t="s">
        <v>21</v>
      </c>
      <c r="P3672" s="3">
        <v>44734</v>
      </c>
      <c r="Q3672" t="s">
        <v>36</v>
      </c>
    </row>
    <row r="3673" spans="1:17" x14ac:dyDescent="0.35">
      <c r="A3673" t="s">
        <v>3725</v>
      </c>
      <c r="B3673" t="s">
        <v>16</v>
      </c>
      <c r="C3673">
        <v>25</v>
      </c>
      <c r="D3673" t="s">
        <v>38</v>
      </c>
      <c r="E3673" t="s">
        <v>39</v>
      </c>
      <c r="F3673" t="s">
        <v>28</v>
      </c>
      <c r="G3673">
        <v>6.3</v>
      </c>
      <c r="H3673">
        <v>2.6</v>
      </c>
      <c r="I3673" t="str" cm="1">
        <f t="array" ref="I3673">_xlfn.IFS(G3673&lt;3, "0–2 Years", G3673&lt;6, "3–5 Years", G3673&lt;9, "6–8 Years", G3673&lt;12, "9-11 Years", G3673&gt;=12, "12-14 Years")</f>
        <v>6–8 Years</v>
      </c>
      <c r="J3673">
        <v>3</v>
      </c>
      <c r="K3673" t="s">
        <v>20</v>
      </c>
      <c r="L3673">
        <v>80600</v>
      </c>
      <c r="M3673">
        <v>4200</v>
      </c>
      <c r="N3673">
        <v>84800</v>
      </c>
      <c r="O3673" t="s">
        <v>30</v>
      </c>
      <c r="P3673" s="3">
        <v>43735</v>
      </c>
      <c r="Q3673" t="s">
        <v>28</v>
      </c>
    </row>
    <row r="3674" spans="1:17" x14ac:dyDescent="0.35">
      <c r="A3674" t="s">
        <v>3726</v>
      </c>
      <c r="B3674" t="s">
        <v>23</v>
      </c>
      <c r="C3674">
        <v>53</v>
      </c>
      <c r="D3674" t="s">
        <v>17</v>
      </c>
      <c r="E3674" t="s">
        <v>27</v>
      </c>
      <c r="F3674" t="s">
        <v>36</v>
      </c>
      <c r="G3674">
        <v>8.6</v>
      </c>
      <c r="H3674">
        <v>4.5</v>
      </c>
      <c r="I3674" t="str" cm="1">
        <f t="array" ref="I3674">_xlfn.IFS(G3674&lt;3, "0–2 Years", G3674&lt;6, "3–5 Years", G3674&lt;9, "6–8 Years", G3674&lt;12, "9-11 Years", G3674&gt;=12, "12-14 Years")</f>
        <v>6–8 Years</v>
      </c>
      <c r="J3674">
        <v>3</v>
      </c>
      <c r="K3674" t="s">
        <v>20</v>
      </c>
      <c r="L3674">
        <v>94800</v>
      </c>
      <c r="M3674">
        <v>4600</v>
      </c>
      <c r="N3674">
        <v>99400</v>
      </c>
      <c r="O3674" t="s">
        <v>30</v>
      </c>
      <c r="P3674" s="3">
        <v>42890</v>
      </c>
      <c r="Q3674" t="s">
        <v>36</v>
      </c>
    </row>
    <row r="3675" spans="1:17" x14ac:dyDescent="0.35">
      <c r="A3675" t="s">
        <v>3727</v>
      </c>
      <c r="B3675" t="s">
        <v>23</v>
      </c>
      <c r="C3675">
        <v>38</v>
      </c>
      <c r="D3675" t="s">
        <v>44</v>
      </c>
      <c r="E3675" t="s">
        <v>81</v>
      </c>
      <c r="F3675" t="s">
        <v>36</v>
      </c>
      <c r="G3675">
        <v>9.5</v>
      </c>
      <c r="H3675">
        <v>7.1</v>
      </c>
      <c r="I3675" t="str" cm="1">
        <f t="array" ref="I3675">_xlfn.IFS(G3675&lt;3, "0–2 Years", G3675&lt;6, "3–5 Years", G3675&lt;9, "6–8 Years", G3675&lt;12, "9-11 Years", G3675&gt;=12, "12-14 Years")</f>
        <v>9-11 Years</v>
      </c>
      <c r="J3675">
        <v>4</v>
      </c>
      <c r="K3675" t="s">
        <v>24</v>
      </c>
      <c r="L3675">
        <v>69000</v>
      </c>
      <c r="M3675">
        <v>5400</v>
      </c>
      <c r="N3675">
        <v>74400</v>
      </c>
      <c r="O3675" t="s">
        <v>21</v>
      </c>
      <c r="P3675" s="3">
        <v>42541</v>
      </c>
      <c r="Q3675" t="s">
        <v>36</v>
      </c>
    </row>
    <row r="3676" spans="1:17" x14ac:dyDescent="0.35">
      <c r="A3676" t="s">
        <v>3728</v>
      </c>
      <c r="B3676" t="s">
        <v>23</v>
      </c>
      <c r="C3676">
        <v>26</v>
      </c>
      <c r="D3676" t="s">
        <v>34</v>
      </c>
      <c r="E3676" t="s">
        <v>47</v>
      </c>
      <c r="F3676" t="s">
        <v>36</v>
      </c>
      <c r="G3676">
        <v>5.7</v>
      </c>
      <c r="H3676">
        <v>3.1</v>
      </c>
      <c r="I3676" t="str" cm="1">
        <f t="array" ref="I3676">_xlfn.IFS(G3676&lt;3, "0–2 Years", G3676&lt;6, "3–5 Years", G3676&lt;9, "6–8 Years", G3676&lt;12, "9-11 Years", G3676&gt;=12, "12-14 Years")</f>
        <v>3–5 Years</v>
      </c>
      <c r="J3676">
        <v>5</v>
      </c>
      <c r="K3676" t="s">
        <v>20</v>
      </c>
      <c r="L3676">
        <v>85800</v>
      </c>
      <c r="M3676">
        <v>7700</v>
      </c>
      <c r="N3676">
        <v>93500</v>
      </c>
      <c r="O3676" t="s">
        <v>30</v>
      </c>
      <c r="P3676" s="3">
        <v>43932</v>
      </c>
      <c r="Q3676" t="s">
        <v>36</v>
      </c>
    </row>
    <row r="3677" spans="1:17" x14ac:dyDescent="0.35">
      <c r="A3677" t="s">
        <v>3729</v>
      </c>
      <c r="B3677" t="s">
        <v>16</v>
      </c>
      <c r="C3677" s="7">
        <v>31</v>
      </c>
      <c r="D3677" t="s">
        <v>38</v>
      </c>
      <c r="E3677" t="s">
        <v>112</v>
      </c>
      <c r="F3677" t="s">
        <v>28</v>
      </c>
      <c r="G3677" s="9">
        <v>12.1</v>
      </c>
      <c r="H3677" s="7">
        <v>7.6</v>
      </c>
      <c r="I3677" t="str" cm="1">
        <f t="array" ref="I3677">_xlfn.IFS(G3677&lt;3, "0–2 Years", G3677&lt;6, "3–5 Years", G3677&lt;9, "6–8 Years", G3677&lt;12, "9-11 Years", G3677&gt;=12, "12-14 Years")</f>
        <v>12-14 Years</v>
      </c>
      <c r="J3677" s="7">
        <v>3</v>
      </c>
      <c r="K3677" t="s">
        <v>20</v>
      </c>
      <c r="L3677" s="7">
        <v>64800</v>
      </c>
      <c r="M3677" s="7">
        <v>2900</v>
      </c>
      <c r="N3677" s="7">
        <v>67700</v>
      </c>
      <c r="O3677" t="s">
        <v>25</v>
      </c>
      <c r="P3677" s="3">
        <v>41602</v>
      </c>
      <c r="Q3677" t="s">
        <v>28</v>
      </c>
    </row>
    <row r="3678" spans="1:17" x14ac:dyDescent="0.35">
      <c r="A3678" t="s">
        <v>3730</v>
      </c>
      <c r="B3678" t="s">
        <v>23</v>
      </c>
      <c r="C3678" s="7">
        <v>28</v>
      </c>
      <c r="D3678" t="s">
        <v>34</v>
      </c>
      <c r="E3678" t="s">
        <v>47</v>
      </c>
      <c r="F3678" t="s">
        <v>28</v>
      </c>
      <c r="G3678" s="9">
        <v>12.7</v>
      </c>
      <c r="H3678" s="7">
        <v>8.3000000000000007</v>
      </c>
      <c r="I3678" t="str" cm="1">
        <f t="array" ref="I3678">_xlfn.IFS(G3678&lt;3, "0–2 Years", G3678&lt;6, "3–5 Years", G3678&lt;9, "6–8 Years", G3678&lt;12, "9-11 Years", G3678&gt;=12, "12-14 Years")</f>
        <v>12-14 Years</v>
      </c>
      <c r="J3678" s="7">
        <v>4</v>
      </c>
      <c r="K3678" t="s">
        <v>20</v>
      </c>
      <c r="L3678" s="7">
        <v>84600</v>
      </c>
      <c r="M3678" s="7">
        <v>8800</v>
      </c>
      <c r="N3678" s="7">
        <v>93400</v>
      </c>
      <c r="O3678" t="s">
        <v>30</v>
      </c>
      <c r="P3678" s="3">
        <v>41388</v>
      </c>
      <c r="Q3678" t="s">
        <v>28</v>
      </c>
    </row>
    <row r="3679" spans="1:17" x14ac:dyDescent="0.35">
      <c r="A3679" t="s">
        <v>3731</v>
      </c>
      <c r="B3679" t="s">
        <v>16</v>
      </c>
      <c r="C3679">
        <v>27</v>
      </c>
      <c r="D3679" t="s">
        <v>44</v>
      </c>
      <c r="E3679" t="s">
        <v>51</v>
      </c>
      <c r="F3679" t="s">
        <v>28</v>
      </c>
      <c r="G3679">
        <v>8.6</v>
      </c>
      <c r="H3679">
        <v>5.9</v>
      </c>
      <c r="I3679" t="str" cm="1">
        <f t="array" ref="I3679">_xlfn.IFS(G3679&lt;3, "0–2 Years", G3679&lt;6, "3–5 Years", G3679&lt;9, "6–8 Years", G3679&lt;12, "9-11 Years", G3679&gt;=12, "12-14 Years")</f>
        <v>6–8 Years</v>
      </c>
      <c r="J3679">
        <v>3</v>
      </c>
      <c r="K3679" t="s">
        <v>20</v>
      </c>
      <c r="L3679">
        <v>88200</v>
      </c>
      <c r="M3679">
        <v>8100</v>
      </c>
      <c r="N3679">
        <v>96300</v>
      </c>
      <c r="O3679" t="s">
        <v>30</v>
      </c>
      <c r="P3679" s="3">
        <v>42888</v>
      </c>
      <c r="Q3679" t="s">
        <v>28</v>
      </c>
    </row>
    <row r="3680" spans="1:17" x14ac:dyDescent="0.35">
      <c r="A3680" t="s">
        <v>3732</v>
      </c>
      <c r="B3680" t="s">
        <v>23</v>
      </c>
      <c r="C3680" s="7">
        <v>24</v>
      </c>
      <c r="D3680" t="s">
        <v>34</v>
      </c>
      <c r="E3680" t="s">
        <v>35</v>
      </c>
      <c r="F3680" t="s">
        <v>62</v>
      </c>
      <c r="G3680" s="9">
        <v>12.2</v>
      </c>
      <c r="H3680" s="7">
        <v>9.1</v>
      </c>
      <c r="I3680" t="str" cm="1">
        <f t="array" ref="I3680">_xlfn.IFS(G3680&lt;3, "0–2 Years", G3680&lt;6, "3–5 Years", G3680&lt;9, "6–8 Years", G3680&lt;12, "9-11 Years", G3680&gt;=12, "12-14 Years")</f>
        <v>12-14 Years</v>
      </c>
      <c r="J3680" s="7">
        <v>2</v>
      </c>
      <c r="K3680" t="s">
        <v>20</v>
      </c>
      <c r="L3680" s="7">
        <v>81000</v>
      </c>
      <c r="M3680" s="7">
        <v>7100</v>
      </c>
      <c r="N3680" s="7">
        <v>88100</v>
      </c>
      <c r="O3680" t="s">
        <v>30</v>
      </c>
      <c r="P3680" s="3">
        <v>41565</v>
      </c>
      <c r="Q3680" t="s">
        <v>62</v>
      </c>
    </row>
    <row r="3681" spans="1:17" x14ac:dyDescent="0.35">
      <c r="A3681" t="s">
        <v>3733</v>
      </c>
      <c r="B3681" t="s">
        <v>23</v>
      </c>
      <c r="C3681">
        <v>21</v>
      </c>
      <c r="D3681" t="s">
        <v>17</v>
      </c>
      <c r="E3681" t="s">
        <v>27</v>
      </c>
      <c r="F3681" t="s">
        <v>36</v>
      </c>
      <c r="G3681">
        <v>7.5</v>
      </c>
      <c r="H3681">
        <v>3.7</v>
      </c>
      <c r="I3681" t="str" cm="1">
        <f t="array" ref="I3681">_xlfn.IFS(G3681&lt;3, "0–2 Years", G3681&lt;6, "3–5 Years", G3681&lt;9, "6–8 Years", G3681&lt;12, "9-11 Years", G3681&gt;=12, "12-14 Years")</f>
        <v>6–8 Years</v>
      </c>
      <c r="J3681">
        <v>2</v>
      </c>
      <c r="K3681" t="s">
        <v>20</v>
      </c>
      <c r="L3681">
        <v>72600</v>
      </c>
      <c r="M3681">
        <v>9200</v>
      </c>
      <c r="N3681">
        <v>81800</v>
      </c>
      <c r="O3681" t="s">
        <v>21</v>
      </c>
      <c r="P3681" s="3">
        <v>43297</v>
      </c>
      <c r="Q3681" t="s">
        <v>36</v>
      </c>
    </row>
    <row r="3682" spans="1:17" x14ac:dyDescent="0.35">
      <c r="A3682" t="s">
        <v>3734</v>
      </c>
      <c r="B3682" t="s">
        <v>16</v>
      </c>
      <c r="C3682">
        <v>38</v>
      </c>
      <c r="D3682" t="s">
        <v>44</v>
      </c>
      <c r="E3682" t="s">
        <v>51</v>
      </c>
      <c r="F3682" t="s">
        <v>28</v>
      </c>
      <c r="G3682">
        <v>5</v>
      </c>
      <c r="H3682">
        <v>3.2</v>
      </c>
      <c r="I3682" t="str" cm="1">
        <f t="array" ref="I3682">_xlfn.IFS(G3682&lt;3, "0–2 Years", G3682&lt;6, "3–5 Years", G3682&lt;9, "6–8 Years", G3682&lt;12, "9-11 Years", G3682&gt;=12, "12-14 Years")</f>
        <v>3–5 Years</v>
      </c>
      <c r="J3682">
        <v>3</v>
      </c>
      <c r="K3682" t="s">
        <v>20</v>
      </c>
      <c r="L3682">
        <v>89100</v>
      </c>
      <c r="M3682">
        <v>10600</v>
      </c>
      <c r="N3682">
        <v>99700</v>
      </c>
      <c r="O3682" t="s">
        <v>30</v>
      </c>
      <c r="P3682" s="3">
        <v>44208</v>
      </c>
      <c r="Q3682" t="s">
        <v>28</v>
      </c>
    </row>
    <row r="3683" spans="1:17" x14ac:dyDescent="0.35">
      <c r="A3683" t="s">
        <v>3735</v>
      </c>
      <c r="B3683" t="s">
        <v>23</v>
      </c>
      <c r="C3683">
        <v>38</v>
      </c>
      <c r="D3683" t="s">
        <v>41</v>
      </c>
      <c r="E3683" t="s">
        <v>67</v>
      </c>
      <c r="F3683" t="s">
        <v>36</v>
      </c>
      <c r="G3683">
        <v>11.8</v>
      </c>
      <c r="H3683">
        <v>7.2</v>
      </c>
      <c r="I3683" t="str" cm="1">
        <f t="array" ref="I3683">_xlfn.IFS(G3683&lt;3, "0–2 Years", G3683&lt;6, "3–5 Years", G3683&lt;9, "6–8 Years", G3683&lt;12, "9-11 Years", G3683&gt;=12, "12-14 Years")</f>
        <v>9-11 Years</v>
      </c>
      <c r="J3683">
        <v>3</v>
      </c>
      <c r="K3683" t="s">
        <v>20</v>
      </c>
      <c r="L3683">
        <v>73800</v>
      </c>
      <c r="M3683">
        <v>2700</v>
      </c>
      <c r="N3683">
        <v>76500</v>
      </c>
      <c r="O3683" t="s">
        <v>21</v>
      </c>
      <c r="P3683" s="3">
        <v>41701</v>
      </c>
      <c r="Q3683" t="s">
        <v>36</v>
      </c>
    </row>
    <row r="3684" spans="1:17" x14ac:dyDescent="0.35">
      <c r="A3684" t="s">
        <v>3736</v>
      </c>
      <c r="B3684" t="s">
        <v>23</v>
      </c>
      <c r="C3684">
        <v>22</v>
      </c>
      <c r="D3684" t="s">
        <v>44</v>
      </c>
      <c r="E3684" t="s">
        <v>51</v>
      </c>
      <c r="F3684" t="s">
        <v>62</v>
      </c>
      <c r="G3684">
        <v>7.1</v>
      </c>
      <c r="H3684">
        <v>4.2</v>
      </c>
      <c r="I3684" t="str" cm="1">
        <f t="array" ref="I3684">_xlfn.IFS(G3684&lt;3, "0–2 Years", G3684&lt;6, "3–5 Years", G3684&lt;9, "6–8 Years", G3684&lt;12, "9-11 Years", G3684&gt;=12, "12-14 Years")</f>
        <v>6–8 Years</v>
      </c>
      <c r="J3684">
        <v>3</v>
      </c>
      <c r="K3684" t="s">
        <v>20</v>
      </c>
      <c r="L3684">
        <v>91100</v>
      </c>
      <c r="M3684">
        <v>6000</v>
      </c>
      <c r="N3684">
        <v>97100</v>
      </c>
      <c r="O3684" t="s">
        <v>30</v>
      </c>
      <c r="P3684" s="3">
        <v>43445</v>
      </c>
      <c r="Q3684" t="s">
        <v>62</v>
      </c>
    </row>
    <row r="3685" spans="1:17" x14ac:dyDescent="0.35">
      <c r="A3685" t="s">
        <v>3737</v>
      </c>
      <c r="B3685" t="s">
        <v>23</v>
      </c>
      <c r="C3685">
        <v>41</v>
      </c>
      <c r="D3685" t="s">
        <v>34</v>
      </c>
      <c r="E3685" t="s">
        <v>35</v>
      </c>
      <c r="F3685" t="s">
        <v>36</v>
      </c>
      <c r="G3685">
        <v>4.9000000000000004</v>
      </c>
      <c r="H3685">
        <v>1.4</v>
      </c>
      <c r="I3685" t="str" cm="1">
        <f t="array" ref="I3685">_xlfn.IFS(G3685&lt;3, "0–2 Years", G3685&lt;6, "3–5 Years", G3685&lt;9, "6–8 Years", G3685&lt;12, "9-11 Years", G3685&gt;=12, "12-14 Years")</f>
        <v>3–5 Years</v>
      </c>
      <c r="J3685">
        <v>3</v>
      </c>
      <c r="K3685" t="s">
        <v>20</v>
      </c>
      <c r="L3685">
        <v>89200</v>
      </c>
      <c r="M3685">
        <v>4500</v>
      </c>
      <c r="N3685">
        <v>93700</v>
      </c>
      <c r="O3685" t="s">
        <v>30</v>
      </c>
      <c r="P3685" s="3">
        <v>44240</v>
      </c>
      <c r="Q3685" t="s">
        <v>36</v>
      </c>
    </row>
    <row r="3686" spans="1:17" x14ac:dyDescent="0.35">
      <c r="A3686" t="s">
        <v>3738</v>
      </c>
      <c r="B3686" t="s">
        <v>16</v>
      </c>
      <c r="C3686">
        <v>42</v>
      </c>
      <c r="D3686" t="s">
        <v>55</v>
      </c>
      <c r="E3686" t="s">
        <v>79</v>
      </c>
      <c r="F3686" t="s">
        <v>28</v>
      </c>
      <c r="G3686">
        <v>4.3</v>
      </c>
      <c r="H3686">
        <v>2.4</v>
      </c>
      <c r="I3686" t="str" cm="1">
        <f t="array" ref="I3686">_xlfn.IFS(G3686&lt;3, "0–2 Years", G3686&lt;6, "3–5 Years", G3686&lt;9, "6–8 Years", G3686&lt;12, "9-11 Years", G3686&gt;=12, "12-14 Years")</f>
        <v>3–5 Years</v>
      </c>
      <c r="J3686">
        <v>4</v>
      </c>
      <c r="K3686" t="s">
        <v>20</v>
      </c>
      <c r="L3686">
        <v>68900</v>
      </c>
      <c r="M3686">
        <v>13900</v>
      </c>
      <c r="N3686">
        <v>82800</v>
      </c>
      <c r="O3686" t="s">
        <v>21</v>
      </c>
      <c r="P3686" s="3">
        <v>44443</v>
      </c>
      <c r="Q3686" t="s">
        <v>28</v>
      </c>
    </row>
    <row r="3687" spans="1:17" x14ac:dyDescent="0.35">
      <c r="A3687" t="s">
        <v>3739</v>
      </c>
      <c r="B3687" t="s">
        <v>16</v>
      </c>
      <c r="C3687">
        <v>37</v>
      </c>
      <c r="D3687" t="s">
        <v>34</v>
      </c>
      <c r="E3687" t="s">
        <v>59</v>
      </c>
      <c r="F3687" t="s">
        <v>36</v>
      </c>
      <c r="G3687">
        <v>8.6999999999999993</v>
      </c>
      <c r="H3687">
        <v>5</v>
      </c>
      <c r="I3687" t="str" cm="1">
        <f t="array" ref="I3687">_xlfn.IFS(G3687&lt;3, "0–2 Years", G3687&lt;6, "3–5 Years", G3687&lt;9, "6–8 Years", G3687&lt;12, "9-11 Years", G3687&gt;=12, "12-14 Years")</f>
        <v>6–8 Years</v>
      </c>
      <c r="J3687">
        <v>5</v>
      </c>
      <c r="K3687" t="s">
        <v>20</v>
      </c>
      <c r="L3687">
        <v>116500</v>
      </c>
      <c r="M3687">
        <v>6700</v>
      </c>
      <c r="N3687">
        <v>123200</v>
      </c>
      <c r="O3687" t="s">
        <v>57</v>
      </c>
      <c r="P3687" s="3">
        <v>42832</v>
      </c>
      <c r="Q3687" t="s">
        <v>36</v>
      </c>
    </row>
    <row r="3688" spans="1:17" x14ac:dyDescent="0.35">
      <c r="A3688" t="s">
        <v>3740</v>
      </c>
      <c r="B3688" t="s">
        <v>23</v>
      </c>
      <c r="C3688">
        <v>39</v>
      </c>
      <c r="D3688" t="s">
        <v>41</v>
      </c>
      <c r="E3688" t="s">
        <v>73</v>
      </c>
      <c r="F3688" t="s">
        <v>19</v>
      </c>
      <c r="G3688">
        <v>8.5</v>
      </c>
      <c r="H3688">
        <v>4.5</v>
      </c>
      <c r="I3688" t="str" cm="1">
        <f t="array" ref="I3688">_xlfn.IFS(G3688&lt;3, "0–2 Years", G3688&lt;6, "3–5 Years", G3688&lt;9, "6–8 Years", G3688&lt;12, "9-11 Years", G3688&gt;=12, "12-14 Years")</f>
        <v>6–8 Years</v>
      </c>
      <c r="J3688">
        <v>1</v>
      </c>
      <c r="K3688" t="s">
        <v>20</v>
      </c>
      <c r="L3688">
        <v>87500</v>
      </c>
      <c r="M3688">
        <v>7800</v>
      </c>
      <c r="N3688">
        <v>95300</v>
      </c>
      <c r="O3688" t="s">
        <v>30</v>
      </c>
      <c r="P3688" s="3">
        <v>42934</v>
      </c>
      <c r="Q3688" t="s">
        <v>19</v>
      </c>
    </row>
    <row r="3689" spans="1:17" x14ac:dyDescent="0.35">
      <c r="A3689" t="s">
        <v>3741</v>
      </c>
      <c r="B3689" t="s">
        <v>16</v>
      </c>
      <c r="C3689">
        <v>45</v>
      </c>
      <c r="D3689" t="s">
        <v>38</v>
      </c>
      <c r="E3689" t="s">
        <v>112</v>
      </c>
      <c r="F3689" t="s">
        <v>19</v>
      </c>
      <c r="G3689">
        <v>3.4</v>
      </c>
      <c r="H3689">
        <v>1.9</v>
      </c>
      <c r="I3689" t="str" cm="1">
        <f t="array" ref="I3689">_xlfn.IFS(G3689&lt;3, "0–2 Years", G3689&lt;6, "3–5 Years", G3689&lt;9, "6–8 Years", G3689&lt;12, "9-11 Years", G3689&gt;=12, "12-14 Years")</f>
        <v>3–5 Years</v>
      </c>
      <c r="J3689">
        <v>3</v>
      </c>
      <c r="K3689" t="s">
        <v>20</v>
      </c>
      <c r="L3689">
        <v>63200</v>
      </c>
      <c r="M3689">
        <v>4100</v>
      </c>
      <c r="N3689">
        <v>67300</v>
      </c>
      <c r="O3689" t="s">
        <v>25</v>
      </c>
      <c r="P3689" s="3">
        <v>44788</v>
      </c>
      <c r="Q3689" t="s">
        <v>19</v>
      </c>
    </row>
    <row r="3690" spans="1:17" x14ac:dyDescent="0.35">
      <c r="A3690" t="s">
        <v>3742</v>
      </c>
      <c r="B3690" t="s">
        <v>23</v>
      </c>
      <c r="C3690">
        <v>21</v>
      </c>
      <c r="D3690" t="s">
        <v>34</v>
      </c>
      <c r="E3690" t="s">
        <v>35</v>
      </c>
      <c r="F3690" t="s">
        <v>28</v>
      </c>
      <c r="G3690">
        <v>9.4</v>
      </c>
      <c r="H3690">
        <v>5.8</v>
      </c>
      <c r="I3690" t="str" cm="1">
        <f t="array" ref="I3690">_xlfn.IFS(G3690&lt;3, "0–2 Years", G3690&lt;6, "3–5 Years", G3690&lt;9, "6–8 Years", G3690&lt;12, "9-11 Years", G3690&gt;=12, "12-14 Years")</f>
        <v>9-11 Years</v>
      </c>
      <c r="J3690">
        <v>3</v>
      </c>
      <c r="K3690" t="s">
        <v>20</v>
      </c>
      <c r="L3690">
        <v>96400</v>
      </c>
      <c r="M3690">
        <v>4300</v>
      </c>
      <c r="N3690">
        <v>100700</v>
      </c>
      <c r="O3690" t="s">
        <v>30</v>
      </c>
      <c r="P3690" s="3">
        <v>42582</v>
      </c>
      <c r="Q3690" t="s">
        <v>28</v>
      </c>
    </row>
    <row r="3691" spans="1:17" x14ac:dyDescent="0.35">
      <c r="A3691" t="s">
        <v>3743</v>
      </c>
      <c r="B3691" t="s">
        <v>23</v>
      </c>
      <c r="C3691">
        <v>36</v>
      </c>
      <c r="D3691" t="s">
        <v>41</v>
      </c>
      <c r="E3691" t="s">
        <v>67</v>
      </c>
      <c r="F3691" t="s">
        <v>36</v>
      </c>
      <c r="G3691">
        <v>3.1</v>
      </c>
      <c r="H3691">
        <v>1.8</v>
      </c>
      <c r="I3691" t="str" cm="1">
        <f t="array" ref="I3691">_xlfn.IFS(G3691&lt;3, "0–2 Years", G3691&lt;6, "3–5 Years", G3691&lt;9, "6–8 Years", G3691&lt;12, "9-11 Years", G3691&gt;=12, "12-14 Years")</f>
        <v>3–5 Years</v>
      </c>
      <c r="J3691">
        <v>4</v>
      </c>
      <c r="K3691" t="s">
        <v>20</v>
      </c>
      <c r="L3691">
        <v>64400</v>
      </c>
      <c r="M3691">
        <v>2300</v>
      </c>
      <c r="N3691">
        <v>66700</v>
      </c>
      <c r="O3691" t="s">
        <v>25</v>
      </c>
      <c r="P3691" s="3">
        <v>44887</v>
      </c>
      <c r="Q3691" t="s">
        <v>36</v>
      </c>
    </row>
    <row r="3692" spans="1:17" x14ac:dyDescent="0.35">
      <c r="A3692" t="s">
        <v>3744</v>
      </c>
      <c r="B3692" t="s">
        <v>23</v>
      </c>
      <c r="C3692">
        <v>41</v>
      </c>
      <c r="D3692" t="s">
        <v>44</v>
      </c>
      <c r="E3692" t="s">
        <v>51</v>
      </c>
      <c r="F3692" t="s">
        <v>36</v>
      </c>
      <c r="G3692">
        <v>11.7</v>
      </c>
      <c r="H3692">
        <v>8.9</v>
      </c>
      <c r="I3692" t="str" cm="1">
        <f t="array" ref="I3692">_xlfn.IFS(G3692&lt;3, "0–2 Years", G3692&lt;6, "3–5 Years", G3692&lt;9, "6–8 Years", G3692&lt;12, "9-11 Years", G3692&gt;=12, "12-14 Years")</f>
        <v>9-11 Years</v>
      </c>
      <c r="J3692">
        <v>4</v>
      </c>
      <c r="K3692" t="s">
        <v>20</v>
      </c>
      <c r="L3692">
        <v>93400</v>
      </c>
      <c r="M3692">
        <v>10600</v>
      </c>
      <c r="N3692">
        <v>104000</v>
      </c>
      <c r="O3692" t="s">
        <v>30</v>
      </c>
      <c r="P3692" s="3">
        <v>41740</v>
      </c>
      <c r="Q3692" t="s">
        <v>36</v>
      </c>
    </row>
    <row r="3693" spans="1:17" x14ac:dyDescent="0.35">
      <c r="A3693" t="s">
        <v>3745</v>
      </c>
      <c r="B3693" t="s">
        <v>23</v>
      </c>
      <c r="C3693">
        <v>40</v>
      </c>
      <c r="D3693" t="s">
        <v>34</v>
      </c>
      <c r="E3693" t="s">
        <v>35</v>
      </c>
      <c r="F3693" t="s">
        <v>28</v>
      </c>
      <c r="G3693">
        <v>1.5</v>
      </c>
      <c r="H3693">
        <v>1.1000000000000001</v>
      </c>
      <c r="I3693" t="str" cm="1">
        <f t="array" ref="I3693">_xlfn.IFS(G3693&lt;3, "0–2 Years", G3693&lt;6, "3–5 Years", G3693&lt;9, "6–8 Years", G3693&lt;12, "9-11 Years", G3693&gt;=12, "12-14 Years")</f>
        <v>0–2 Years</v>
      </c>
      <c r="J3693">
        <v>3</v>
      </c>
      <c r="K3693" t="s">
        <v>20</v>
      </c>
      <c r="L3693">
        <v>61900</v>
      </c>
      <c r="M3693">
        <v>4600</v>
      </c>
      <c r="N3693">
        <v>66500</v>
      </c>
      <c r="O3693" t="s">
        <v>25</v>
      </c>
      <c r="P3693" s="3">
        <v>45489</v>
      </c>
      <c r="Q3693" t="s">
        <v>28</v>
      </c>
    </row>
    <row r="3694" spans="1:17" x14ac:dyDescent="0.35">
      <c r="A3694" t="s">
        <v>3746</v>
      </c>
      <c r="B3694" t="s">
        <v>23</v>
      </c>
      <c r="C3694">
        <v>39</v>
      </c>
      <c r="D3694" t="s">
        <v>44</v>
      </c>
      <c r="E3694" t="s">
        <v>51</v>
      </c>
      <c r="F3694" t="s">
        <v>28</v>
      </c>
      <c r="G3694">
        <v>4</v>
      </c>
      <c r="H3694">
        <v>2.6</v>
      </c>
      <c r="I3694" t="str" cm="1">
        <f t="array" ref="I3694">_xlfn.IFS(G3694&lt;3, "0–2 Years", G3694&lt;6, "3–5 Years", G3694&lt;9, "6–8 Years", G3694&lt;12, "9-11 Years", G3694&gt;=12, "12-14 Years")</f>
        <v>3–5 Years</v>
      </c>
      <c r="J3694">
        <v>3</v>
      </c>
      <c r="K3694" t="s">
        <v>69</v>
      </c>
      <c r="L3694">
        <v>67400</v>
      </c>
      <c r="M3694">
        <v>6900</v>
      </c>
      <c r="N3694">
        <v>74300</v>
      </c>
      <c r="O3694" t="s">
        <v>21</v>
      </c>
      <c r="P3694" s="3">
        <v>44568</v>
      </c>
      <c r="Q3694" t="s">
        <v>28</v>
      </c>
    </row>
    <row r="3695" spans="1:17" x14ac:dyDescent="0.35">
      <c r="A3695" t="s">
        <v>3747</v>
      </c>
      <c r="B3695" t="s">
        <v>16</v>
      </c>
      <c r="C3695" s="7">
        <v>54</v>
      </c>
      <c r="D3695" t="s">
        <v>41</v>
      </c>
      <c r="E3695" t="s">
        <v>67</v>
      </c>
      <c r="F3695" t="s">
        <v>28</v>
      </c>
      <c r="G3695" s="9">
        <v>12</v>
      </c>
      <c r="H3695" s="7">
        <v>6.7</v>
      </c>
      <c r="I3695" t="str" cm="1">
        <f t="array" ref="I3695">_xlfn.IFS(G3695&lt;3, "0–2 Years", G3695&lt;6, "3–5 Years", G3695&lt;9, "6–8 Years", G3695&lt;12, "9-11 Years", G3695&gt;=12, "12-14 Years")</f>
        <v>12-14 Years</v>
      </c>
      <c r="J3695" s="7">
        <v>5</v>
      </c>
      <c r="K3695" t="s">
        <v>20</v>
      </c>
      <c r="L3695" s="7">
        <v>70200</v>
      </c>
      <c r="M3695" s="7">
        <v>4700</v>
      </c>
      <c r="N3695" s="7">
        <v>74900</v>
      </c>
      <c r="O3695" t="s">
        <v>21</v>
      </c>
      <c r="P3695" s="3">
        <v>41627</v>
      </c>
      <c r="Q3695" t="s">
        <v>28</v>
      </c>
    </row>
    <row r="3696" spans="1:17" x14ac:dyDescent="0.35">
      <c r="A3696" t="s">
        <v>3748</v>
      </c>
      <c r="B3696" t="s">
        <v>23</v>
      </c>
      <c r="C3696">
        <v>28</v>
      </c>
      <c r="D3696" t="s">
        <v>41</v>
      </c>
      <c r="E3696" t="s">
        <v>42</v>
      </c>
      <c r="F3696" t="s">
        <v>36</v>
      </c>
      <c r="G3696">
        <v>11.1</v>
      </c>
      <c r="H3696">
        <v>7</v>
      </c>
      <c r="I3696" t="str" cm="1">
        <f t="array" ref="I3696">_xlfn.IFS(G3696&lt;3, "0–2 Years", G3696&lt;6, "3–5 Years", G3696&lt;9, "6–8 Years", G3696&lt;12, "9-11 Years", G3696&gt;=12, "12-14 Years")</f>
        <v>9-11 Years</v>
      </c>
      <c r="J3696">
        <v>3</v>
      </c>
      <c r="K3696" t="s">
        <v>20</v>
      </c>
      <c r="L3696">
        <v>94400</v>
      </c>
      <c r="M3696">
        <v>4700</v>
      </c>
      <c r="N3696">
        <v>99100</v>
      </c>
      <c r="O3696" t="s">
        <v>30</v>
      </c>
      <c r="P3696" s="3">
        <v>41984</v>
      </c>
      <c r="Q3696" t="s">
        <v>36</v>
      </c>
    </row>
    <row r="3697" spans="1:17" x14ac:dyDescent="0.35">
      <c r="A3697" t="s">
        <v>3749</v>
      </c>
      <c r="B3697" t="s">
        <v>23</v>
      </c>
      <c r="C3697">
        <v>39</v>
      </c>
      <c r="D3697" t="s">
        <v>44</v>
      </c>
      <c r="E3697" t="s">
        <v>76</v>
      </c>
      <c r="F3697" t="s">
        <v>62</v>
      </c>
      <c r="G3697">
        <v>8.6</v>
      </c>
      <c r="H3697">
        <v>4.7</v>
      </c>
      <c r="I3697" t="str" cm="1">
        <f t="array" ref="I3697">_xlfn.IFS(G3697&lt;3, "0–2 Years", G3697&lt;6, "3–5 Years", G3697&lt;9, "6–8 Years", G3697&lt;12, "9-11 Years", G3697&gt;=12, "12-14 Years")</f>
        <v>6–8 Years</v>
      </c>
      <c r="J3697">
        <v>4</v>
      </c>
      <c r="K3697" t="s">
        <v>20</v>
      </c>
      <c r="L3697">
        <v>123200</v>
      </c>
      <c r="M3697">
        <v>12000</v>
      </c>
      <c r="N3697">
        <v>135200</v>
      </c>
      <c r="O3697" t="s">
        <v>57</v>
      </c>
      <c r="P3697" s="3">
        <v>42897</v>
      </c>
      <c r="Q3697" t="s">
        <v>62</v>
      </c>
    </row>
    <row r="3698" spans="1:17" x14ac:dyDescent="0.35">
      <c r="A3698" t="s">
        <v>3750</v>
      </c>
      <c r="B3698" t="s">
        <v>16</v>
      </c>
      <c r="C3698">
        <v>33</v>
      </c>
      <c r="D3698" t="s">
        <v>44</v>
      </c>
      <c r="E3698" t="s">
        <v>45</v>
      </c>
      <c r="F3698" t="s">
        <v>36</v>
      </c>
      <c r="G3698">
        <v>4.9000000000000004</v>
      </c>
      <c r="H3698">
        <v>0.7</v>
      </c>
      <c r="I3698" t="str" cm="1">
        <f t="array" ref="I3698">_xlfn.IFS(G3698&lt;3, "0–2 Years", G3698&lt;6, "3–5 Years", G3698&lt;9, "6–8 Years", G3698&lt;12, "9-11 Years", G3698&gt;=12, "12-14 Years")</f>
        <v>3–5 Years</v>
      </c>
      <c r="J3698">
        <v>3</v>
      </c>
      <c r="K3698" t="s">
        <v>20</v>
      </c>
      <c r="L3698">
        <v>79300</v>
      </c>
      <c r="M3698">
        <v>11400</v>
      </c>
      <c r="N3698">
        <v>90700</v>
      </c>
      <c r="O3698" t="s">
        <v>21</v>
      </c>
      <c r="P3698" s="3">
        <v>44230</v>
      </c>
      <c r="Q3698" t="s">
        <v>36</v>
      </c>
    </row>
    <row r="3699" spans="1:17" x14ac:dyDescent="0.35">
      <c r="A3699" t="s">
        <v>3751</v>
      </c>
      <c r="B3699" t="s">
        <v>23</v>
      </c>
      <c r="C3699">
        <v>40</v>
      </c>
      <c r="D3699" t="s">
        <v>44</v>
      </c>
      <c r="E3699" t="s">
        <v>51</v>
      </c>
      <c r="F3699" t="s">
        <v>28</v>
      </c>
      <c r="G3699">
        <v>11.2</v>
      </c>
      <c r="H3699">
        <v>7.2</v>
      </c>
      <c r="I3699" t="str" cm="1">
        <f t="array" ref="I3699">_xlfn.IFS(G3699&lt;3, "0–2 Years", G3699&lt;6, "3–5 Years", G3699&lt;9, "6–8 Years", G3699&lt;12, "9-11 Years", G3699&gt;=12, "12-14 Years")</f>
        <v>9-11 Years</v>
      </c>
      <c r="J3699">
        <v>4</v>
      </c>
      <c r="K3699" t="s">
        <v>20</v>
      </c>
      <c r="L3699">
        <v>108000</v>
      </c>
      <c r="M3699">
        <v>9300</v>
      </c>
      <c r="N3699">
        <v>117300</v>
      </c>
      <c r="O3699" t="s">
        <v>57</v>
      </c>
      <c r="P3699" s="3">
        <v>41943</v>
      </c>
      <c r="Q3699" t="s">
        <v>28</v>
      </c>
    </row>
    <row r="3700" spans="1:17" x14ac:dyDescent="0.35">
      <c r="A3700" t="s">
        <v>3752</v>
      </c>
      <c r="B3700" t="s">
        <v>16</v>
      </c>
      <c r="C3700">
        <v>35</v>
      </c>
      <c r="D3700" t="s">
        <v>55</v>
      </c>
      <c r="E3700" t="s">
        <v>92</v>
      </c>
      <c r="F3700" t="s">
        <v>19</v>
      </c>
      <c r="G3700">
        <v>5.9</v>
      </c>
      <c r="H3700">
        <v>2.4</v>
      </c>
      <c r="I3700" t="str" cm="1">
        <f t="array" ref="I3700">_xlfn.IFS(G3700&lt;3, "0–2 Years", G3700&lt;6, "3–5 Years", G3700&lt;9, "6–8 Years", G3700&lt;12, "9-11 Years", G3700&gt;=12, "12-14 Years")</f>
        <v>3–5 Years</v>
      </c>
      <c r="J3700">
        <v>4</v>
      </c>
      <c r="K3700" t="s">
        <v>69</v>
      </c>
      <c r="L3700">
        <v>79000</v>
      </c>
      <c r="M3700">
        <v>8600</v>
      </c>
      <c r="N3700">
        <v>87600</v>
      </c>
      <c r="O3700" t="s">
        <v>21</v>
      </c>
      <c r="P3700" s="3">
        <v>43861</v>
      </c>
      <c r="Q3700" t="s">
        <v>19</v>
      </c>
    </row>
    <row r="3701" spans="1:17" x14ac:dyDescent="0.35">
      <c r="A3701" t="s">
        <v>3753</v>
      </c>
      <c r="B3701" t="s">
        <v>16</v>
      </c>
      <c r="C3701">
        <v>42</v>
      </c>
      <c r="D3701" t="s">
        <v>34</v>
      </c>
      <c r="E3701" t="s">
        <v>35</v>
      </c>
      <c r="F3701" t="s">
        <v>36</v>
      </c>
      <c r="G3701">
        <v>4.2</v>
      </c>
      <c r="H3701">
        <v>2.8</v>
      </c>
      <c r="I3701" t="str" cm="1">
        <f t="array" ref="I3701">_xlfn.IFS(G3701&lt;3, "0–2 Years", G3701&lt;6, "3–5 Years", G3701&lt;9, "6–8 Years", G3701&lt;12, "9-11 Years", G3701&gt;=12, "12-14 Years")</f>
        <v>3–5 Years</v>
      </c>
      <c r="J3701">
        <v>3</v>
      </c>
      <c r="K3701" t="s">
        <v>20</v>
      </c>
      <c r="L3701">
        <v>91900</v>
      </c>
      <c r="M3701">
        <v>5900</v>
      </c>
      <c r="N3701">
        <v>97800</v>
      </c>
      <c r="O3701" t="s">
        <v>30</v>
      </c>
      <c r="P3701" s="3">
        <v>44488</v>
      </c>
      <c r="Q3701" t="s">
        <v>36</v>
      </c>
    </row>
    <row r="3702" spans="1:17" x14ac:dyDescent="0.35">
      <c r="A3702" t="s">
        <v>3754</v>
      </c>
      <c r="B3702" t="s">
        <v>23</v>
      </c>
      <c r="C3702">
        <v>45</v>
      </c>
      <c r="D3702" t="s">
        <v>44</v>
      </c>
      <c r="E3702" t="s">
        <v>45</v>
      </c>
      <c r="F3702" t="s">
        <v>28</v>
      </c>
      <c r="G3702">
        <v>5.2</v>
      </c>
      <c r="H3702">
        <v>5</v>
      </c>
      <c r="I3702" t="str" cm="1">
        <f t="array" ref="I3702">_xlfn.IFS(G3702&lt;3, "0–2 Years", G3702&lt;6, "3–5 Years", G3702&lt;9, "6–8 Years", G3702&lt;12, "9-11 Years", G3702&gt;=12, "12-14 Years")</f>
        <v>3–5 Years</v>
      </c>
      <c r="J3702">
        <v>3</v>
      </c>
      <c r="K3702" t="s">
        <v>20</v>
      </c>
      <c r="L3702">
        <v>69100</v>
      </c>
      <c r="M3702">
        <v>6800</v>
      </c>
      <c r="N3702">
        <v>75900</v>
      </c>
      <c r="O3702" t="s">
        <v>21</v>
      </c>
      <c r="P3702" s="3">
        <v>44131</v>
      </c>
      <c r="Q3702" t="s">
        <v>28</v>
      </c>
    </row>
    <row r="3703" spans="1:17" x14ac:dyDescent="0.35">
      <c r="A3703" t="s">
        <v>3755</v>
      </c>
      <c r="B3703" t="s">
        <v>16</v>
      </c>
      <c r="C3703">
        <v>33</v>
      </c>
      <c r="D3703" t="s">
        <v>34</v>
      </c>
      <c r="E3703" t="s">
        <v>47</v>
      </c>
      <c r="F3703" t="s">
        <v>28</v>
      </c>
      <c r="G3703">
        <v>8.6</v>
      </c>
      <c r="H3703">
        <v>7.6</v>
      </c>
      <c r="I3703" t="str" cm="1">
        <f t="array" ref="I3703">_xlfn.IFS(G3703&lt;3, "0–2 Years", G3703&lt;6, "3–5 Years", G3703&lt;9, "6–8 Years", G3703&lt;12, "9-11 Years", G3703&gt;=12, "12-14 Years")</f>
        <v>6–8 Years</v>
      </c>
      <c r="J3703">
        <v>4</v>
      </c>
      <c r="K3703" t="s">
        <v>20</v>
      </c>
      <c r="L3703">
        <v>73600</v>
      </c>
      <c r="M3703">
        <v>4600</v>
      </c>
      <c r="N3703">
        <v>78200</v>
      </c>
      <c r="O3703" t="s">
        <v>21</v>
      </c>
      <c r="P3703" s="3">
        <v>42881</v>
      </c>
      <c r="Q3703" t="s">
        <v>28</v>
      </c>
    </row>
    <row r="3704" spans="1:17" x14ac:dyDescent="0.35">
      <c r="A3704" t="s">
        <v>3756</v>
      </c>
      <c r="B3704" t="s">
        <v>16</v>
      </c>
      <c r="C3704">
        <v>42</v>
      </c>
      <c r="D3704" t="s">
        <v>17</v>
      </c>
      <c r="E3704" t="s">
        <v>27</v>
      </c>
      <c r="F3704" t="s">
        <v>19</v>
      </c>
      <c r="G3704">
        <v>8.6999999999999993</v>
      </c>
      <c r="H3704">
        <v>3.9</v>
      </c>
      <c r="I3704" t="str" cm="1">
        <f t="array" ref="I3704">_xlfn.IFS(G3704&lt;3, "0–2 Years", G3704&lt;6, "3–5 Years", G3704&lt;9, "6–8 Years", G3704&lt;12, "9-11 Years", G3704&gt;=12, "12-14 Years")</f>
        <v>6–8 Years</v>
      </c>
      <c r="J3704">
        <v>5</v>
      </c>
      <c r="K3704" t="s">
        <v>20</v>
      </c>
      <c r="L3704">
        <v>74400</v>
      </c>
      <c r="M3704">
        <v>9300</v>
      </c>
      <c r="N3704">
        <v>83700</v>
      </c>
      <c r="O3704" t="s">
        <v>21</v>
      </c>
      <c r="P3704" s="3">
        <v>42855</v>
      </c>
      <c r="Q3704" t="s">
        <v>19</v>
      </c>
    </row>
    <row r="3705" spans="1:17" x14ac:dyDescent="0.35">
      <c r="A3705" t="s">
        <v>3757</v>
      </c>
      <c r="B3705" t="s">
        <v>16</v>
      </c>
      <c r="C3705">
        <v>30</v>
      </c>
      <c r="D3705" t="s">
        <v>34</v>
      </c>
      <c r="E3705" t="s">
        <v>35</v>
      </c>
      <c r="F3705" t="s">
        <v>36</v>
      </c>
      <c r="G3705">
        <v>3.4</v>
      </c>
      <c r="H3705">
        <v>3.3</v>
      </c>
      <c r="I3705" t="str" cm="1">
        <f t="array" ref="I3705">_xlfn.IFS(G3705&lt;3, "0–2 Years", G3705&lt;6, "3–5 Years", G3705&lt;9, "6–8 Years", G3705&lt;12, "9-11 Years", G3705&gt;=12, "12-14 Years")</f>
        <v>3–5 Years</v>
      </c>
      <c r="J3705">
        <v>3</v>
      </c>
      <c r="K3705" t="s">
        <v>20</v>
      </c>
      <c r="L3705">
        <v>74300</v>
      </c>
      <c r="M3705">
        <v>8300</v>
      </c>
      <c r="N3705">
        <v>82600</v>
      </c>
      <c r="O3705" t="s">
        <v>21</v>
      </c>
      <c r="P3705" s="3">
        <v>44787</v>
      </c>
      <c r="Q3705" t="s">
        <v>36</v>
      </c>
    </row>
    <row r="3706" spans="1:17" x14ac:dyDescent="0.35">
      <c r="A3706" t="s">
        <v>3758</v>
      </c>
      <c r="B3706" t="s">
        <v>16</v>
      </c>
      <c r="C3706">
        <v>25</v>
      </c>
      <c r="D3706" t="s">
        <v>44</v>
      </c>
      <c r="E3706" t="s">
        <v>76</v>
      </c>
      <c r="F3706" t="s">
        <v>19</v>
      </c>
      <c r="G3706">
        <v>6.2</v>
      </c>
      <c r="H3706">
        <v>4.2</v>
      </c>
      <c r="I3706" t="str" cm="1">
        <f t="array" ref="I3706">_xlfn.IFS(G3706&lt;3, "0–2 Years", G3706&lt;6, "3–5 Years", G3706&lt;9, "6–8 Years", G3706&lt;12, "9-11 Years", G3706&gt;=12, "12-14 Years")</f>
        <v>6–8 Years</v>
      </c>
      <c r="J3706">
        <v>4</v>
      </c>
      <c r="K3706" t="s">
        <v>20</v>
      </c>
      <c r="L3706">
        <v>109200</v>
      </c>
      <c r="M3706">
        <v>6000</v>
      </c>
      <c r="N3706">
        <v>115200</v>
      </c>
      <c r="O3706" t="s">
        <v>57</v>
      </c>
      <c r="P3706" s="3">
        <v>43769</v>
      </c>
      <c r="Q3706" t="s">
        <v>19</v>
      </c>
    </row>
    <row r="3707" spans="1:17" x14ac:dyDescent="0.35">
      <c r="A3707" t="s">
        <v>3759</v>
      </c>
      <c r="B3707" t="s">
        <v>16</v>
      </c>
      <c r="C3707">
        <v>37</v>
      </c>
      <c r="D3707" t="s">
        <v>44</v>
      </c>
      <c r="E3707" t="s">
        <v>81</v>
      </c>
      <c r="F3707" t="s">
        <v>28</v>
      </c>
      <c r="G3707">
        <v>9.6</v>
      </c>
      <c r="H3707">
        <v>5.5</v>
      </c>
      <c r="I3707" t="str" cm="1">
        <f t="array" ref="I3707">_xlfn.IFS(G3707&lt;3, "0–2 Years", G3707&lt;6, "3–5 Years", G3707&lt;9, "6–8 Years", G3707&lt;12, "9-11 Years", G3707&gt;=12, "12-14 Years")</f>
        <v>9-11 Years</v>
      </c>
      <c r="J3707">
        <v>3</v>
      </c>
      <c r="K3707" t="s">
        <v>20</v>
      </c>
      <c r="L3707">
        <v>104300</v>
      </c>
      <c r="M3707">
        <v>8400</v>
      </c>
      <c r="N3707">
        <v>112700</v>
      </c>
      <c r="O3707" t="s">
        <v>57</v>
      </c>
      <c r="P3707" s="3">
        <v>42522</v>
      </c>
      <c r="Q3707" t="s">
        <v>28</v>
      </c>
    </row>
    <row r="3708" spans="1:17" x14ac:dyDescent="0.35">
      <c r="A3708" t="s">
        <v>3760</v>
      </c>
      <c r="B3708" t="s">
        <v>23</v>
      </c>
      <c r="C3708">
        <v>35</v>
      </c>
      <c r="D3708" t="s">
        <v>55</v>
      </c>
      <c r="E3708" t="s">
        <v>56</v>
      </c>
      <c r="F3708" t="s">
        <v>28</v>
      </c>
      <c r="G3708">
        <v>4</v>
      </c>
      <c r="H3708">
        <v>1.6</v>
      </c>
      <c r="I3708" t="str" cm="1">
        <f t="array" ref="I3708">_xlfn.IFS(G3708&lt;3, "0–2 Years", G3708&lt;6, "3–5 Years", G3708&lt;9, "6–8 Years", G3708&lt;12, "9-11 Years", G3708&gt;=12, "12-14 Years")</f>
        <v>3–5 Years</v>
      </c>
      <c r="J3708">
        <v>3</v>
      </c>
      <c r="K3708" t="s">
        <v>20</v>
      </c>
      <c r="L3708">
        <v>109900</v>
      </c>
      <c r="M3708">
        <v>7900</v>
      </c>
      <c r="N3708">
        <v>117800</v>
      </c>
      <c r="O3708" t="s">
        <v>57</v>
      </c>
      <c r="P3708" s="3">
        <v>44546</v>
      </c>
      <c r="Q3708" t="s">
        <v>28</v>
      </c>
    </row>
    <row r="3709" spans="1:17" x14ac:dyDescent="0.35">
      <c r="A3709" t="s">
        <v>3761</v>
      </c>
      <c r="B3709" t="s">
        <v>16</v>
      </c>
      <c r="C3709">
        <v>41</v>
      </c>
      <c r="D3709" t="s">
        <v>34</v>
      </c>
      <c r="E3709" t="s">
        <v>35</v>
      </c>
      <c r="F3709" t="s">
        <v>36</v>
      </c>
      <c r="G3709">
        <v>4.2</v>
      </c>
      <c r="H3709">
        <v>0.9</v>
      </c>
      <c r="I3709" t="str" cm="1">
        <f t="array" ref="I3709">_xlfn.IFS(G3709&lt;3, "0–2 Years", G3709&lt;6, "3–5 Years", G3709&lt;9, "6–8 Years", G3709&lt;12, "9-11 Years", G3709&gt;=12, "12-14 Years")</f>
        <v>3–5 Years</v>
      </c>
      <c r="J3709">
        <v>3</v>
      </c>
      <c r="K3709" t="s">
        <v>20</v>
      </c>
      <c r="L3709">
        <v>81000</v>
      </c>
      <c r="M3709">
        <v>5800</v>
      </c>
      <c r="N3709">
        <v>86800</v>
      </c>
      <c r="O3709" t="s">
        <v>30</v>
      </c>
      <c r="P3709" s="3">
        <v>44477</v>
      </c>
      <c r="Q3709" t="s">
        <v>36</v>
      </c>
    </row>
    <row r="3710" spans="1:17" x14ac:dyDescent="0.35">
      <c r="A3710" t="s">
        <v>3762</v>
      </c>
      <c r="B3710" t="s">
        <v>16</v>
      </c>
      <c r="C3710">
        <v>30</v>
      </c>
      <c r="D3710" t="s">
        <v>38</v>
      </c>
      <c r="E3710" t="s">
        <v>61</v>
      </c>
      <c r="F3710" t="s">
        <v>28</v>
      </c>
      <c r="G3710">
        <v>7.3</v>
      </c>
      <c r="H3710">
        <v>5.9</v>
      </c>
      <c r="I3710" t="str" cm="1">
        <f t="array" ref="I3710">_xlfn.IFS(G3710&lt;3, "0–2 Years", G3710&lt;6, "3–5 Years", G3710&lt;9, "6–8 Years", G3710&lt;12, "9-11 Years", G3710&gt;=12, "12-14 Years")</f>
        <v>6–8 Years</v>
      </c>
      <c r="J3710">
        <v>3</v>
      </c>
      <c r="K3710" t="s">
        <v>20</v>
      </c>
      <c r="L3710">
        <v>105700</v>
      </c>
      <c r="M3710">
        <v>5900</v>
      </c>
      <c r="N3710">
        <v>111600</v>
      </c>
      <c r="O3710" t="s">
        <v>57</v>
      </c>
      <c r="P3710" s="3">
        <v>43366</v>
      </c>
      <c r="Q3710" t="s">
        <v>28</v>
      </c>
    </row>
    <row r="3711" spans="1:17" x14ac:dyDescent="0.35">
      <c r="A3711" t="s">
        <v>3763</v>
      </c>
      <c r="B3711" t="s">
        <v>16</v>
      </c>
      <c r="C3711">
        <v>21</v>
      </c>
      <c r="D3711" t="s">
        <v>17</v>
      </c>
      <c r="E3711" t="s">
        <v>32</v>
      </c>
      <c r="F3711" t="s">
        <v>19</v>
      </c>
      <c r="G3711">
        <v>4.0999999999999996</v>
      </c>
      <c r="H3711">
        <v>0.9</v>
      </c>
      <c r="I3711" t="str" cm="1">
        <f t="array" ref="I3711">_xlfn.IFS(G3711&lt;3, "0–2 Years", G3711&lt;6, "3–5 Years", G3711&lt;9, "6–8 Years", G3711&lt;12, "9-11 Years", G3711&gt;=12, "12-14 Years")</f>
        <v>3–5 Years</v>
      </c>
      <c r="J3711">
        <v>2</v>
      </c>
      <c r="K3711" t="s">
        <v>20</v>
      </c>
      <c r="L3711">
        <v>52100</v>
      </c>
      <c r="M3711">
        <v>3000</v>
      </c>
      <c r="N3711">
        <v>55100</v>
      </c>
      <c r="O3711" t="s">
        <v>25</v>
      </c>
      <c r="P3711" s="3">
        <v>44525</v>
      </c>
      <c r="Q3711" t="s">
        <v>19</v>
      </c>
    </row>
    <row r="3712" spans="1:17" x14ac:dyDescent="0.35">
      <c r="A3712" t="s">
        <v>3764</v>
      </c>
      <c r="B3712" t="s">
        <v>16</v>
      </c>
      <c r="C3712">
        <v>34</v>
      </c>
      <c r="D3712" t="s">
        <v>41</v>
      </c>
      <c r="E3712" t="s">
        <v>73</v>
      </c>
      <c r="F3712" t="s">
        <v>28</v>
      </c>
      <c r="G3712">
        <v>7.1</v>
      </c>
      <c r="H3712">
        <v>2.9</v>
      </c>
      <c r="I3712" t="str" cm="1">
        <f t="array" ref="I3712">_xlfn.IFS(G3712&lt;3, "0–2 Years", G3712&lt;6, "3–5 Years", G3712&lt;9, "6–8 Years", G3712&lt;12, "9-11 Years", G3712&gt;=12, "12-14 Years")</f>
        <v>6–8 Years</v>
      </c>
      <c r="J3712">
        <v>3</v>
      </c>
      <c r="K3712" t="s">
        <v>20</v>
      </c>
      <c r="L3712">
        <v>120600</v>
      </c>
      <c r="M3712">
        <v>6800</v>
      </c>
      <c r="N3712">
        <v>127400</v>
      </c>
      <c r="O3712" t="s">
        <v>57</v>
      </c>
      <c r="P3712" s="3">
        <v>43428</v>
      </c>
      <c r="Q3712" t="s">
        <v>28</v>
      </c>
    </row>
    <row r="3713" spans="1:17" x14ac:dyDescent="0.35">
      <c r="A3713" t="s">
        <v>3765</v>
      </c>
      <c r="B3713" t="s">
        <v>23</v>
      </c>
      <c r="C3713">
        <v>21</v>
      </c>
      <c r="D3713" t="s">
        <v>41</v>
      </c>
      <c r="E3713" t="s">
        <v>67</v>
      </c>
      <c r="F3713" t="s">
        <v>19</v>
      </c>
      <c r="G3713">
        <v>5.2</v>
      </c>
      <c r="H3713">
        <v>3.9</v>
      </c>
      <c r="I3713" t="str" cm="1">
        <f t="array" ref="I3713">_xlfn.IFS(G3713&lt;3, "0–2 Years", G3713&lt;6, "3–5 Years", G3713&lt;9, "6–8 Years", G3713&lt;12, "9-11 Years", G3713&gt;=12, "12-14 Years")</f>
        <v>3–5 Years</v>
      </c>
      <c r="J3713">
        <v>4</v>
      </c>
      <c r="K3713" t="s">
        <v>24</v>
      </c>
      <c r="L3713">
        <v>38400</v>
      </c>
      <c r="M3713">
        <v>2100</v>
      </c>
      <c r="N3713">
        <v>40500</v>
      </c>
      <c r="O3713" t="s">
        <v>65</v>
      </c>
      <c r="P3713" s="3">
        <v>44111</v>
      </c>
      <c r="Q3713" t="s">
        <v>19</v>
      </c>
    </row>
    <row r="3714" spans="1:17" x14ac:dyDescent="0.35">
      <c r="A3714" t="s">
        <v>3766</v>
      </c>
      <c r="B3714" t="s">
        <v>23</v>
      </c>
      <c r="C3714">
        <v>35</v>
      </c>
      <c r="D3714" t="s">
        <v>55</v>
      </c>
      <c r="E3714" t="s">
        <v>56</v>
      </c>
      <c r="F3714" t="s">
        <v>28</v>
      </c>
      <c r="G3714">
        <v>5</v>
      </c>
      <c r="H3714">
        <v>2.7</v>
      </c>
      <c r="I3714" t="str" cm="1">
        <f t="array" ref="I3714">_xlfn.IFS(G3714&lt;3, "0–2 Years", G3714&lt;6, "3–5 Years", G3714&lt;9, "6–8 Years", G3714&lt;12, "9-11 Years", G3714&gt;=12, "12-14 Years")</f>
        <v>3–5 Years</v>
      </c>
      <c r="J3714">
        <v>3</v>
      </c>
      <c r="K3714" t="s">
        <v>20</v>
      </c>
      <c r="L3714">
        <v>96300</v>
      </c>
      <c r="M3714">
        <v>8300</v>
      </c>
      <c r="N3714">
        <v>104600</v>
      </c>
      <c r="O3714" t="s">
        <v>30</v>
      </c>
      <c r="P3714" s="3">
        <v>44214</v>
      </c>
      <c r="Q3714" t="s">
        <v>28</v>
      </c>
    </row>
    <row r="3715" spans="1:17" x14ac:dyDescent="0.35">
      <c r="A3715" t="s">
        <v>3767</v>
      </c>
      <c r="B3715" t="s">
        <v>16</v>
      </c>
      <c r="C3715">
        <v>28</v>
      </c>
      <c r="D3715" t="s">
        <v>44</v>
      </c>
      <c r="E3715" t="s">
        <v>76</v>
      </c>
      <c r="F3715" t="s">
        <v>36</v>
      </c>
      <c r="G3715">
        <v>2.7</v>
      </c>
      <c r="H3715">
        <v>2.2000000000000002</v>
      </c>
      <c r="I3715" t="str" cm="1">
        <f t="array" ref="I3715">_xlfn.IFS(G3715&lt;3, "0–2 Years", G3715&lt;6, "3–5 Years", G3715&lt;9, "6–8 Years", G3715&lt;12, "9-11 Years", G3715&gt;=12, "12-14 Years")</f>
        <v>0–2 Years</v>
      </c>
      <c r="J3715">
        <v>5</v>
      </c>
      <c r="K3715" t="s">
        <v>69</v>
      </c>
      <c r="L3715">
        <v>92500</v>
      </c>
      <c r="M3715">
        <v>10600</v>
      </c>
      <c r="N3715">
        <v>103100</v>
      </c>
      <c r="O3715" t="s">
        <v>30</v>
      </c>
      <c r="P3715" s="3">
        <v>45021</v>
      </c>
      <c r="Q3715" t="s">
        <v>36</v>
      </c>
    </row>
    <row r="3716" spans="1:17" x14ac:dyDescent="0.35">
      <c r="A3716" t="s">
        <v>3768</v>
      </c>
      <c r="B3716" t="s">
        <v>23</v>
      </c>
      <c r="C3716" s="7">
        <v>46</v>
      </c>
      <c r="D3716" t="s">
        <v>44</v>
      </c>
      <c r="E3716" t="s">
        <v>45</v>
      </c>
      <c r="F3716" t="s">
        <v>36</v>
      </c>
      <c r="G3716" s="9">
        <v>12.9</v>
      </c>
      <c r="H3716" s="7">
        <v>8.9</v>
      </c>
      <c r="I3716" t="str" cm="1">
        <f t="array" ref="I3716">_xlfn.IFS(G3716&lt;3, "0–2 Years", G3716&lt;6, "3–5 Years", G3716&lt;9, "6–8 Years", G3716&lt;12, "9-11 Years", G3716&gt;=12, "12-14 Years")</f>
        <v>12-14 Years</v>
      </c>
      <c r="J3716" s="7">
        <v>3</v>
      </c>
      <c r="K3716" t="s">
        <v>20</v>
      </c>
      <c r="L3716" s="7">
        <v>91900</v>
      </c>
      <c r="M3716" s="7">
        <v>10100</v>
      </c>
      <c r="N3716" s="7">
        <v>102000</v>
      </c>
      <c r="O3716" t="s">
        <v>30</v>
      </c>
      <c r="P3716" s="3">
        <v>41311</v>
      </c>
      <c r="Q3716" t="s">
        <v>36</v>
      </c>
    </row>
    <row r="3717" spans="1:17" x14ac:dyDescent="0.35">
      <c r="A3717" t="s">
        <v>3769</v>
      </c>
      <c r="B3717" t="s">
        <v>23</v>
      </c>
      <c r="C3717">
        <v>40</v>
      </c>
      <c r="D3717" t="s">
        <v>41</v>
      </c>
      <c r="E3717" t="s">
        <v>67</v>
      </c>
      <c r="F3717" t="s">
        <v>28</v>
      </c>
      <c r="G3717">
        <v>6.6</v>
      </c>
      <c r="H3717">
        <v>4.2</v>
      </c>
      <c r="I3717" t="str" cm="1">
        <f t="array" ref="I3717">_xlfn.IFS(G3717&lt;3, "0–2 Years", G3717&lt;6, "3–5 Years", G3717&lt;9, "6–8 Years", G3717&lt;12, "9-11 Years", G3717&gt;=12, "12-14 Years")</f>
        <v>6–8 Years</v>
      </c>
      <c r="J3717">
        <v>4</v>
      </c>
      <c r="K3717" t="s">
        <v>69</v>
      </c>
      <c r="L3717">
        <v>52000</v>
      </c>
      <c r="M3717">
        <v>2300</v>
      </c>
      <c r="N3717">
        <v>54300</v>
      </c>
      <c r="O3717" t="s">
        <v>25</v>
      </c>
      <c r="P3717" s="3">
        <v>43597</v>
      </c>
      <c r="Q3717" t="s">
        <v>28</v>
      </c>
    </row>
    <row r="3718" spans="1:17" x14ac:dyDescent="0.35">
      <c r="A3718" t="s">
        <v>3770</v>
      </c>
      <c r="B3718" t="s">
        <v>16</v>
      </c>
      <c r="C3718">
        <v>27</v>
      </c>
      <c r="D3718" t="s">
        <v>41</v>
      </c>
      <c r="E3718" t="s">
        <v>73</v>
      </c>
      <c r="F3718" t="s">
        <v>28</v>
      </c>
      <c r="G3718">
        <v>11.3</v>
      </c>
      <c r="H3718">
        <v>8.1</v>
      </c>
      <c r="I3718" t="str" cm="1">
        <f t="array" ref="I3718">_xlfn.IFS(G3718&lt;3, "0–2 Years", G3718&lt;6, "3–5 Years", G3718&lt;9, "6–8 Years", G3718&lt;12, "9-11 Years", G3718&gt;=12, "12-14 Years")</f>
        <v>9-11 Years</v>
      </c>
      <c r="J3718">
        <v>4</v>
      </c>
      <c r="K3718" t="s">
        <v>20</v>
      </c>
      <c r="L3718">
        <v>99900</v>
      </c>
      <c r="M3718">
        <v>7100</v>
      </c>
      <c r="N3718">
        <v>107000</v>
      </c>
      <c r="O3718" t="s">
        <v>30</v>
      </c>
      <c r="P3718" s="3">
        <v>41880</v>
      </c>
      <c r="Q3718" t="s">
        <v>28</v>
      </c>
    </row>
    <row r="3719" spans="1:17" x14ac:dyDescent="0.35">
      <c r="A3719" t="s">
        <v>3771</v>
      </c>
      <c r="B3719" t="s">
        <v>16</v>
      </c>
      <c r="C3719">
        <v>39</v>
      </c>
      <c r="D3719" t="s">
        <v>34</v>
      </c>
      <c r="E3719" t="s">
        <v>35</v>
      </c>
      <c r="F3719" t="s">
        <v>36</v>
      </c>
      <c r="G3719">
        <v>1.1000000000000001</v>
      </c>
      <c r="H3719">
        <v>0.3</v>
      </c>
      <c r="I3719" t="str" cm="1">
        <f t="array" ref="I3719">_xlfn.IFS(G3719&lt;3, "0–2 Years", G3719&lt;6, "3–5 Years", G3719&lt;9, "6–8 Years", G3719&lt;12, "9-11 Years", G3719&gt;=12, "12-14 Years")</f>
        <v>0–2 Years</v>
      </c>
      <c r="J3719">
        <v>1</v>
      </c>
      <c r="K3719" t="s">
        <v>20</v>
      </c>
      <c r="L3719">
        <v>73100</v>
      </c>
      <c r="M3719">
        <v>4700</v>
      </c>
      <c r="N3719">
        <v>77800</v>
      </c>
      <c r="O3719" t="s">
        <v>21</v>
      </c>
      <c r="P3719" s="3">
        <v>45629</v>
      </c>
      <c r="Q3719" t="s">
        <v>36</v>
      </c>
    </row>
    <row r="3720" spans="1:17" x14ac:dyDescent="0.35">
      <c r="A3720" t="s">
        <v>3772</v>
      </c>
      <c r="B3720" t="s">
        <v>23</v>
      </c>
      <c r="C3720">
        <v>37</v>
      </c>
      <c r="D3720" t="s">
        <v>41</v>
      </c>
      <c r="E3720" t="s">
        <v>73</v>
      </c>
      <c r="F3720" t="s">
        <v>28</v>
      </c>
      <c r="G3720">
        <v>2.9</v>
      </c>
      <c r="H3720">
        <v>2</v>
      </c>
      <c r="I3720" t="str" cm="1">
        <f t="array" ref="I3720">_xlfn.IFS(G3720&lt;3, "0–2 Years", G3720&lt;6, "3–5 Years", G3720&lt;9, "6–8 Years", G3720&lt;12, "9-11 Years", G3720&gt;=12, "12-14 Years")</f>
        <v>0–2 Years</v>
      </c>
      <c r="J3720">
        <v>3</v>
      </c>
      <c r="K3720" t="s">
        <v>20</v>
      </c>
      <c r="L3720">
        <v>98700</v>
      </c>
      <c r="M3720">
        <v>5300</v>
      </c>
      <c r="N3720">
        <v>104000</v>
      </c>
      <c r="O3720" t="s">
        <v>30</v>
      </c>
      <c r="Q3720" t="s">
        <v>28</v>
      </c>
    </row>
    <row r="3721" spans="1:17" x14ac:dyDescent="0.35">
      <c r="A3721" t="s">
        <v>3773</v>
      </c>
      <c r="B3721" t="s">
        <v>23</v>
      </c>
      <c r="C3721">
        <v>40</v>
      </c>
      <c r="D3721" t="s">
        <v>17</v>
      </c>
      <c r="E3721" t="s">
        <v>18</v>
      </c>
      <c r="F3721" t="s">
        <v>62</v>
      </c>
      <c r="G3721">
        <v>3.8</v>
      </c>
      <c r="H3721">
        <v>2</v>
      </c>
      <c r="I3721" t="str" cm="1">
        <f t="array" ref="I3721">_xlfn.IFS(G3721&lt;3, "0–2 Years", G3721&lt;6, "3–5 Years", G3721&lt;9, "6–8 Years", G3721&lt;12, "9-11 Years", G3721&gt;=12, "12-14 Years")</f>
        <v>3–5 Years</v>
      </c>
      <c r="J3721">
        <v>4</v>
      </c>
      <c r="K3721" t="s">
        <v>20</v>
      </c>
      <c r="L3721">
        <v>114300</v>
      </c>
      <c r="M3721">
        <v>11400</v>
      </c>
      <c r="N3721">
        <v>125700</v>
      </c>
      <c r="O3721" t="s">
        <v>57</v>
      </c>
      <c r="P3721" s="3">
        <v>44624</v>
      </c>
      <c r="Q3721" t="s">
        <v>62</v>
      </c>
    </row>
    <row r="3722" spans="1:17" x14ac:dyDescent="0.35">
      <c r="A3722" t="s">
        <v>3774</v>
      </c>
      <c r="B3722" t="s">
        <v>16</v>
      </c>
      <c r="C3722">
        <v>30</v>
      </c>
      <c r="D3722" t="s">
        <v>55</v>
      </c>
      <c r="E3722" t="s">
        <v>92</v>
      </c>
      <c r="F3722" t="s">
        <v>36</v>
      </c>
      <c r="G3722">
        <v>1</v>
      </c>
      <c r="H3722">
        <v>0.7</v>
      </c>
      <c r="I3722" t="str" cm="1">
        <f t="array" ref="I3722">_xlfn.IFS(G3722&lt;3, "0–2 Years", G3722&lt;6, "3–5 Years", G3722&lt;9, "6–8 Years", G3722&lt;12, "9-11 Years", G3722&gt;=12, "12-14 Years")</f>
        <v>0–2 Years</v>
      </c>
      <c r="J3722">
        <v>3</v>
      </c>
      <c r="K3722" t="s">
        <v>20</v>
      </c>
      <c r="L3722">
        <v>86700</v>
      </c>
      <c r="M3722">
        <v>11500</v>
      </c>
      <c r="N3722">
        <v>98200</v>
      </c>
      <c r="O3722" t="s">
        <v>30</v>
      </c>
      <c r="P3722" s="3">
        <v>45647</v>
      </c>
      <c r="Q3722" t="s">
        <v>36</v>
      </c>
    </row>
    <row r="3723" spans="1:17" x14ac:dyDescent="0.35">
      <c r="A3723" t="s">
        <v>3775</v>
      </c>
      <c r="B3723" t="s">
        <v>16</v>
      </c>
      <c r="C3723">
        <v>38</v>
      </c>
      <c r="D3723" t="s">
        <v>38</v>
      </c>
      <c r="E3723" t="s">
        <v>112</v>
      </c>
      <c r="F3723" t="s">
        <v>19</v>
      </c>
      <c r="G3723">
        <v>8.1</v>
      </c>
      <c r="H3723">
        <v>7.1</v>
      </c>
      <c r="I3723" t="str" cm="1">
        <f t="array" ref="I3723">_xlfn.IFS(G3723&lt;3, "0–2 Years", G3723&lt;6, "3–5 Years", G3723&lt;9, "6–8 Years", G3723&lt;12, "9-11 Years", G3723&gt;=12, "12-14 Years")</f>
        <v>6–8 Years</v>
      </c>
      <c r="J3723">
        <v>3</v>
      </c>
      <c r="K3723" t="s">
        <v>20</v>
      </c>
      <c r="L3723">
        <v>62800</v>
      </c>
      <c r="M3723">
        <v>6300</v>
      </c>
      <c r="N3723">
        <v>69100</v>
      </c>
      <c r="O3723" t="s">
        <v>25</v>
      </c>
      <c r="P3723" s="3">
        <v>43070</v>
      </c>
      <c r="Q3723" t="s">
        <v>19</v>
      </c>
    </row>
    <row r="3724" spans="1:17" x14ac:dyDescent="0.35">
      <c r="A3724" t="s">
        <v>3776</v>
      </c>
      <c r="B3724" t="s">
        <v>16</v>
      </c>
      <c r="C3724">
        <v>39</v>
      </c>
      <c r="D3724" t="s">
        <v>44</v>
      </c>
      <c r="E3724" t="s">
        <v>76</v>
      </c>
      <c r="F3724" t="s">
        <v>36</v>
      </c>
      <c r="G3724">
        <v>6.8</v>
      </c>
      <c r="H3724">
        <v>5</v>
      </c>
      <c r="I3724" t="str" cm="1">
        <f t="array" ref="I3724">_xlfn.IFS(G3724&lt;3, "0–2 Years", G3724&lt;6, "3–5 Years", G3724&lt;9, "6–8 Years", G3724&lt;12, "9-11 Years", G3724&gt;=12, "12-14 Years")</f>
        <v>6–8 Years</v>
      </c>
      <c r="J3724">
        <v>3</v>
      </c>
      <c r="K3724" t="s">
        <v>20</v>
      </c>
      <c r="L3724">
        <v>106100</v>
      </c>
      <c r="M3724">
        <v>5700</v>
      </c>
      <c r="N3724">
        <v>111800</v>
      </c>
      <c r="O3724" t="s">
        <v>57</v>
      </c>
      <c r="P3724" s="3">
        <v>43556</v>
      </c>
      <c r="Q3724" t="s">
        <v>36</v>
      </c>
    </row>
    <row r="3725" spans="1:17" x14ac:dyDescent="0.35">
      <c r="A3725" t="s">
        <v>3777</v>
      </c>
      <c r="B3725" t="s">
        <v>16</v>
      </c>
      <c r="C3725">
        <v>35</v>
      </c>
      <c r="D3725" t="s">
        <v>55</v>
      </c>
      <c r="E3725" t="s">
        <v>92</v>
      </c>
      <c r="F3725" t="s">
        <v>28</v>
      </c>
      <c r="G3725">
        <v>5.3</v>
      </c>
      <c r="H3725">
        <v>2.7</v>
      </c>
      <c r="I3725" t="str" cm="1">
        <f t="array" ref="I3725">_xlfn.IFS(G3725&lt;3, "0–2 Years", G3725&lt;6, "3–5 Years", G3725&lt;9, "6–8 Years", G3725&lt;12, "9-11 Years", G3725&gt;=12, "12-14 Years")</f>
        <v>3–5 Years</v>
      </c>
      <c r="J3725">
        <v>1</v>
      </c>
      <c r="K3725" t="s">
        <v>20</v>
      </c>
      <c r="L3725">
        <v>75000</v>
      </c>
      <c r="M3725">
        <v>15600</v>
      </c>
      <c r="N3725">
        <v>90600</v>
      </c>
      <c r="O3725" t="s">
        <v>21</v>
      </c>
      <c r="P3725" s="3">
        <v>44102</v>
      </c>
      <c r="Q3725" t="s">
        <v>28</v>
      </c>
    </row>
    <row r="3726" spans="1:17" x14ac:dyDescent="0.35">
      <c r="A3726" t="s">
        <v>3778</v>
      </c>
      <c r="B3726" t="s">
        <v>23</v>
      </c>
      <c r="C3726">
        <v>34</v>
      </c>
      <c r="D3726" t="s">
        <v>17</v>
      </c>
      <c r="E3726" t="s">
        <v>18</v>
      </c>
      <c r="F3726" t="s">
        <v>36</v>
      </c>
      <c r="G3726">
        <v>3.2</v>
      </c>
      <c r="H3726">
        <v>1.4</v>
      </c>
      <c r="I3726" t="str" cm="1">
        <f t="array" ref="I3726">_xlfn.IFS(G3726&lt;3, "0–2 Years", G3726&lt;6, "3–5 Years", G3726&lt;9, "6–8 Years", G3726&lt;12, "9-11 Years", G3726&gt;=12, "12-14 Years")</f>
        <v>3–5 Years</v>
      </c>
      <c r="J3726">
        <v>3</v>
      </c>
      <c r="K3726" t="s">
        <v>20</v>
      </c>
      <c r="L3726">
        <v>108300</v>
      </c>
      <c r="M3726">
        <v>6800</v>
      </c>
      <c r="N3726">
        <v>115100</v>
      </c>
      <c r="O3726" t="s">
        <v>57</v>
      </c>
      <c r="P3726" s="3">
        <v>44847</v>
      </c>
      <c r="Q3726" t="s">
        <v>36</v>
      </c>
    </row>
    <row r="3727" spans="1:17" x14ac:dyDescent="0.35">
      <c r="A3727" t="s">
        <v>3779</v>
      </c>
      <c r="B3727" t="s">
        <v>23</v>
      </c>
      <c r="C3727">
        <v>47</v>
      </c>
      <c r="D3727" t="s">
        <v>17</v>
      </c>
      <c r="E3727" t="s">
        <v>27</v>
      </c>
      <c r="F3727" t="s">
        <v>36</v>
      </c>
      <c r="G3727">
        <v>5.3</v>
      </c>
      <c r="H3727">
        <v>5.3</v>
      </c>
      <c r="I3727" t="str" cm="1">
        <f t="array" ref="I3727">_xlfn.IFS(G3727&lt;3, "0–2 Years", G3727&lt;6, "3–5 Years", G3727&lt;9, "6–8 Years", G3727&lt;12, "9-11 Years", G3727&gt;=12, "12-14 Years")</f>
        <v>3–5 Years</v>
      </c>
      <c r="J3727">
        <v>4</v>
      </c>
      <c r="K3727" t="s">
        <v>20</v>
      </c>
      <c r="L3727">
        <v>83300</v>
      </c>
      <c r="M3727">
        <v>5200</v>
      </c>
      <c r="N3727">
        <v>88500</v>
      </c>
      <c r="O3727" t="s">
        <v>30</v>
      </c>
      <c r="P3727" s="3">
        <v>44101</v>
      </c>
      <c r="Q3727" t="s">
        <v>36</v>
      </c>
    </row>
    <row r="3728" spans="1:17" x14ac:dyDescent="0.35">
      <c r="A3728" t="s">
        <v>3780</v>
      </c>
      <c r="B3728" t="s">
        <v>16</v>
      </c>
      <c r="C3728" s="7">
        <v>30</v>
      </c>
      <c r="D3728" t="s">
        <v>17</v>
      </c>
      <c r="E3728" t="s">
        <v>18</v>
      </c>
      <c r="F3728" t="s">
        <v>36</v>
      </c>
      <c r="G3728" s="9">
        <v>13.7</v>
      </c>
      <c r="H3728" s="7"/>
      <c r="I3728" t="str" cm="1">
        <f t="array" ref="I3728">_xlfn.IFS(G3728&lt;3, "0–2 Years", G3728&lt;6, "3–5 Years", G3728&lt;9, "6–8 Years", G3728&lt;12, "9-11 Years", G3728&gt;=12, "12-14 Years")</f>
        <v>12-14 Years</v>
      </c>
      <c r="J3728" s="7">
        <v>2</v>
      </c>
      <c r="K3728" t="s">
        <v>20</v>
      </c>
      <c r="L3728" s="7">
        <v>114900</v>
      </c>
      <c r="M3728" s="7">
        <v>9600</v>
      </c>
      <c r="N3728" s="7">
        <v>124500</v>
      </c>
      <c r="O3728" t="s">
        <v>57</v>
      </c>
      <c r="P3728" s="3">
        <v>41021</v>
      </c>
      <c r="Q3728" t="s">
        <v>36</v>
      </c>
    </row>
    <row r="3729" spans="1:17" x14ac:dyDescent="0.35">
      <c r="A3729" t="s">
        <v>3781</v>
      </c>
      <c r="B3729" t="s">
        <v>23</v>
      </c>
      <c r="C3729">
        <v>32</v>
      </c>
      <c r="D3729" t="s">
        <v>38</v>
      </c>
      <c r="E3729" t="s">
        <v>39</v>
      </c>
      <c r="F3729" t="s">
        <v>62</v>
      </c>
      <c r="G3729">
        <v>8.9</v>
      </c>
      <c r="H3729">
        <v>8.5</v>
      </c>
      <c r="I3729" t="str" cm="1">
        <f t="array" ref="I3729">_xlfn.IFS(G3729&lt;3, "0–2 Years", G3729&lt;6, "3–5 Years", G3729&lt;9, "6–8 Years", G3729&lt;12, "9-11 Years", G3729&gt;=12, "12-14 Years")</f>
        <v>6–8 Years</v>
      </c>
      <c r="J3729">
        <v>4</v>
      </c>
      <c r="K3729" t="s">
        <v>20</v>
      </c>
      <c r="L3729">
        <v>81500</v>
      </c>
      <c r="M3729">
        <v>5200</v>
      </c>
      <c r="N3729">
        <v>86700</v>
      </c>
      <c r="O3729" t="s">
        <v>30</v>
      </c>
      <c r="P3729" s="3">
        <v>42780</v>
      </c>
      <c r="Q3729" t="s">
        <v>62</v>
      </c>
    </row>
    <row r="3730" spans="1:17" x14ac:dyDescent="0.35">
      <c r="A3730" t="s">
        <v>3782</v>
      </c>
      <c r="B3730" t="s">
        <v>23</v>
      </c>
      <c r="C3730">
        <v>41</v>
      </c>
      <c r="D3730" t="s">
        <v>38</v>
      </c>
      <c r="E3730" t="s">
        <v>112</v>
      </c>
      <c r="F3730" t="s">
        <v>28</v>
      </c>
      <c r="G3730">
        <v>2.6</v>
      </c>
      <c r="H3730">
        <v>2.2999999999999998</v>
      </c>
      <c r="I3730" t="str" cm="1">
        <f t="array" ref="I3730">_xlfn.IFS(G3730&lt;3, "0–2 Years", G3730&lt;6, "3–5 Years", G3730&lt;9, "6–8 Years", G3730&lt;12, "9-11 Years", G3730&gt;=12, "12-14 Years")</f>
        <v>0–2 Years</v>
      </c>
      <c r="J3730">
        <v>5</v>
      </c>
      <c r="K3730" t="s">
        <v>20</v>
      </c>
      <c r="L3730">
        <v>66800</v>
      </c>
      <c r="M3730">
        <v>3800</v>
      </c>
      <c r="N3730">
        <v>70600</v>
      </c>
      <c r="O3730" t="s">
        <v>21</v>
      </c>
      <c r="P3730" s="3">
        <v>45073</v>
      </c>
      <c r="Q3730" t="s">
        <v>28</v>
      </c>
    </row>
    <row r="3731" spans="1:17" x14ac:dyDescent="0.35">
      <c r="A3731" t="s">
        <v>3783</v>
      </c>
      <c r="B3731" t="s">
        <v>16</v>
      </c>
      <c r="C3731">
        <v>40</v>
      </c>
      <c r="D3731" t="s">
        <v>34</v>
      </c>
      <c r="E3731" t="s">
        <v>35</v>
      </c>
      <c r="F3731" t="s">
        <v>19</v>
      </c>
      <c r="G3731">
        <v>8</v>
      </c>
      <c r="H3731">
        <v>4.0999999999999996</v>
      </c>
      <c r="I3731" t="str" cm="1">
        <f t="array" ref="I3731">_xlfn.IFS(G3731&lt;3, "0–2 Years", G3731&lt;6, "3–5 Years", G3731&lt;9, "6–8 Years", G3731&lt;12, "9-11 Years", G3731&gt;=12, "12-14 Years")</f>
        <v>6–8 Years</v>
      </c>
      <c r="J3731">
        <v>4</v>
      </c>
      <c r="K3731" t="s">
        <v>20</v>
      </c>
      <c r="L3731">
        <v>78200</v>
      </c>
      <c r="M3731">
        <v>7200</v>
      </c>
      <c r="N3731">
        <v>85400</v>
      </c>
      <c r="O3731" t="s">
        <v>21</v>
      </c>
      <c r="P3731" s="3">
        <v>43087</v>
      </c>
      <c r="Q3731" t="s">
        <v>19</v>
      </c>
    </row>
    <row r="3732" spans="1:17" x14ac:dyDescent="0.35">
      <c r="A3732" t="s">
        <v>3784</v>
      </c>
      <c r="B3732" t="s">
        <v>23</v>
      </c>
      <c r="C3732">
        <v>42</v>
      </c>
      <c r="D3732" t="s">
        <v>38</v>
      </c>
      <c r="E3732" t="s">
        <v>61</v>
      </c>
      <c r="F3732" t="s">
        <v>28</v>
      </c>
      <c r="G3732">
        <v>2.1</v>
      </c>
      <c r="H3732">
        <v>0</v>
      </c>
      <c r="I3732" t="str" cm="1">
        <f t="array" ref="I3732">_xlfn.IFS(G3732&lt;3, "0–2 Years", G3732&lt;6, "3–5 Years", G3732&lt;9, "6–8 Years", G3732&lt;12, "9-11 Years", G3732&gt;=12, "12-14 Years")</f>
        <v>0–2 Years</v>
      </c>
      <c r="J3732">
        <v>3</v>
      </c>
      <c r="K3732" t="s">
        <v>20</v>
      </c>
      <c r="L3732">
        <v>113000</v>
      </c>
      <c r="M3732">
        <v>8100</v>
      </c>
      <c r="N3732">
        <v>121100</v>
      </c>
      <c r="O3732" t="s">
        <v>57</v>
      </c>
      <c r="P3732" s="3">
        <v>45257</v>
      </c>
      <c r="Q3732" t="s">
        <v>28</v>
      </c>
    </row>
    <row r="3733" spans="1:17" x14ac:dyDescent="0.35">
      <c r="A3733" t="s">
        <v>3785</v>
      </c>
      <c r="B3733" t="s">
        <v>23</v>
      </c>
      <c r="C3733">
        <v>43</v>
      </c>
      <c r="D3733" t="s">
        <v>38</v>
      </c>
      <c r="E3733" t="s">
        <v>39</v>
      </c>
      <c r="F3733" t="s">
        <v>36</v>
      </c>
      <c r="G3733">
        <v>4.5</v>
      </c>
      <c r="H3733">
        <v>2.1</v>
      </c>
      <c r="I3733" t="str" cm="1">
        <f t="array" ref="I3733">_xlfn.IFS(G3733&lt;3, "0–2 Years", G3733&lt;6, "3–5 Years", G3733&lt;9, "6–8 Years", G3733&lt;12, "9-11 Years", G3733&gt;=12, "12-14 Years")</f>
        <v>3–5 Years</v>
      </c>
      <c r="J3733">
        <v>3</v>
      </c>
      <c r="K3733" t="s">
        <v>20</v>
      </c>
      <c r="L3733">
        <v>78700</v>
      </c>
      <c r="M3733">
        <v>5500</v>
      </c>
      <c r="N3733">
        <v>84200</v>
      </c>
      <c r="O3733" t="s">
        <v>21</v>
      </c>
      <c r="P3733" s="3">
        <v>44374</v>
      </c>
      <c r="Q3733" t="s">
        <v>36</v>
      </c>
    </row>
    <row r="3734" spans="1:17" x14ac:dyDescent="0.35">
      <c r="A3734" t="s">
        <v>3786</v>
      </c>
      <c r="B3734" t="s">
        <v>23</v>
      </c>
      <c r="C3734">
        <v>28</v>
      </c>
      <c r="D3734" t="s">
        <v>55</v>
      </c>
      <c r="E3734" t="s">
        <v>56</v>
      </c>
      <c r="F3734" t="s">
        <v>28</v>
      </c>
      <c r="G3734">
        <v>8.8000000000000007</v>
      </c>
      <c r="H3734">
        <v>6.2</v>
      </c>
      <c r="I3734" t="str" cm="1">
        <f t="array" ref="I3734">_xlfn.IFS(G3734&lt;3, "0–2 Years", G3734&lt;6, "3–5 Years", G3734&lt;9, "6–8 Years", G3734&lt;12, "9-11 Years", G3734&gt;=12, "12-14 Years")</f>
        <v>6–8 Years</v>
      </c>
      <c r="J3734">
        <v>3</v>
      </c>
      <c r="K3734" t="s">
        <v>20</v>
      </c>
      <c r="L3734">
        <v>110400</v>
      </c>
      <c r="M3734">
        <v>8500</v>
      </c>
      <c r="N3734">
        <v>118900</v>
      </c>
      <c r="O3734" t="s">
        <v>57</v>
      </c>
      <c r="P3734" s="3">
        <v>42802</v>
      </c>
      <c r="Q3734" t="s">
        <v>28</v>
      </c>
    </row>
    <row r="3735" spans="1:17" x14ac:dyDescent="0.35">
      <c r="A3735" t="s">
        <v>3787</v>
      </c>
      <c r="B3735" t="s">
        <v>23</v>
      </c>
      <c r="C3735">
        <v>29</v>
      </c>
      <c r="D3735" t="s">
        <v>55</v>
      </c>
      <c r="E3735" t="s">
        <v>79</v>
      </c>
      <c r="F3735" t="s">
        <v>62</v>
      </c>
      <c r="G3735">
        <v>5.6</v>
      </c>
      <c r="H3735">
        <v>4.3</v>
      </c>
      <c r="I3735" t="str" cm="1">
        <f t="array" ref="I3735">_xlfn.IFS(G3735&lt;3, "0–2 Years", G3735&lt;6, "3–5 Years", G3735&lt;9, "6–8 Years", G3735&lt;12, "9-11 Years", G3735&gt;=12, "12-14 Years")</f>
        <v>3–5 Years</v>
      </c>
      <c r="J3735">
        <v>5</v>
      </c>
      <c r="K3735" t="s">
        <v>20</v>
      </c>
      <c r="L3735">
        <v>83000</v>
      </c>
      <c r="M3735">
        <v>15600</v>
      </c>
      <c r="N3735">
        <v>98600</v>
      </c>
      <c r="O3735" t="s">
        <v>30</v>
      </c>
      <c r="P3735" s="3">
        <v>43994</v>
      </c>
      <c r="Q3735" t="s">
        <v>62</v>
      </c>
    </row>
    <row r="3736" spans="1:17" x14ac:dyDescent="0.35">
      <c r="A3736" t="s">
        <v>3788</v>
      </c>
      <c r="B3736" t="s">
        <v>23</v>
      </c>
      <c r="C3736">
        <v>35</v>
      </c>
      <c r="D3736" t="s">
        <v>55</v>
      </c>
      <c r="E3736" t="s">
        <v>79</v>
      </c>
      <c r="F3736" t="s">
        <v>19</v>
      </c>
      <c r="G3736">
        <v>3.8</v>
      </c>
      <c r="H3736">
        <v>2.2000000000000002</v>
      </c>
      <c r="I3736" t="str" cm="1">
        <f t="array" ref="I3736">_xlfn.IFS(G3736&lt;3, "0–2 Years", G3736&lt;6, "3–5 Years", G3736&lt;9, "6–8 Years", G3736&lt;12, "9-11 Years", G3736&gt;=12, "12-14 Years")</f>
        <v>3–5 Years</v>
      </c>
      <c r="J3736">
        <v>3</v>
      </c>
      <c r="K3736" t="s">
        <v>20</v>
      </c>
      <c r="L3736">
        <v>48600</v>
      </c>
      <c r="M3736">
        <v>9800</v>
      </c>
      <c r="N3736">
        <v>58400</v>
      </c>
      <c r="O3736" t="s">
        <v>65</v>
      </c>
      <c r="P3736" s="3">
        <v>44642</v>
      </c>
      <c r="Q3736" t="s">
        <v>19</v>
      </c>
    </row>
    <row r="3737" spans="1:17" x14ac:dyDescent="0.35">
      <c r="A3737" t="s">
        <v>3789</v>
      </c>
      <c r="B3737" t="s">
        <v>16</v>
      </c>
      <c r="C3737">
        <v>26</v>
      </c>
      <c r="D3737" t="s">
        <v>38</v>
      </c>
      <c r="E3737" t="s">
        <v>112</v>
      </c>
      <c r="F3737" t="s">
        <v>36</v>
      </c>
      <c r="G3737">
        <v>7.5</v>
      </c>
      <c r="H3737">
        <v>6</v>
      </c>
      <c r="I3737" t="str" cm="1">
        <f t="array" ref="I3737">_xlfn.IFS(G3737&lt;3, "0–2 Years", G3737&lt;6, "3–5 Years", G3737&lt;9, "6–8 Years", G3737&lt;12, "9-11 Years", G3737&gt;=12, "12-14 Years")</f>
        <v>6–8 Years</v>
      </c>
      <c r="J3737">
        <v>2</v>
      </c>
      <c r="K3737" t="s">
        <v>20</v>
      </c>
      <c r="L3737">
        <v>79400</v>
      </c>
      <c r="M3737">
        <v>8300</v>
      </c>
      <c r="N3737">
        <v>87700</v>
      </c>
      <c r="O3737" t="s">
        <v>21</v>
      </c>
      <c r="P3737" s="3">
        <v>43276</v>
      </c>
      <c r="Q3737" t="s">
        <v>36</v>
      </c>
    </row>
    <row r="3738" spans="1:17" x14ac:dyDescent="0.35">
      <c r="A3738" t="s">
        <v>3790</v>
      </c>
      <c r="B3738" t="s">
        <v>16</v>
      </c>
      <c r="C3738">
        <v>31</v>
      </c>
      <c r="D3738" t="s">
        <v>44</v>
      </c>
      <c r="E3738" t="s">
        <v>45</v>
      </c>
      <c r="F3738" t="s">
        <v>36</v>
      </c>
      <c r="G3738">
        <v>4.0999999999999996</v>
      </c>
      <c r="H3738">
        <v>3.4</v>
      </c>
      <c r="I3738" t="str" cm="1">
        <f t="array" ref="I3738">_xlfn.IFS(G3738&lt;3, "0–2 Years", G3738&lt;6, "3–5 Years", G3738&lt;9, "6–8 Years", G3738&lt;12, "9-11 Years", G3738&gt;=12, "12-14 Years")</f>
        <v>3–5 Years</v>
      </c>
      <c r="J3738">
        <v>4</v>
      </c>
      <c r="K3738" t="s">
        <v>20</v>
      </c>
      <c r="L3738">
        <v>83600</v>
      </c>
      <c r="M3738">
        <v>10000</v>
      </c>
      <c r="N3738">
        <v>93600</v>
      </c>
      <c r="O3738" t="s">
        <v>30</v>
      </c>
      <c r="P3738" s="3">
        <v>44540</v>
      </c>
      <c r="Q3738" t="s">
        <v>36</v>
      </c>
    </row>
    <row r="3739" spans="1:17" x14ac:dyDescent="0.35">
      <c r="A3739" t="s">
        <v>3791</v>
      </c>
      <c r="B3739" t="s">
        <v>23</v>
      </c>
      <c r="C3739" s="7">
        <v>36</v>
      </c>
      <c r="D3739" t="s">
        <v>55</v>
      </c>
      <c r="E3739" t="s">
        <v>92</v>
      </c>
      <c r="F3739" t="s">
        <v>36</v>
      </c>
      <c r="G3739" s="9">
        <v>12.8</v>
      </c>
      <c r="H3739" s="7">
        <v>10.9</v>
      </c>
      <c r="I3739" t="str" cm="1">
        <f t="array" ref="I3739">_xlfn.IFS(G3739&lt;3, "0–2 Years", G3739&lt;6, "3–5 Years", G3739&lt;9, "6–8 Years", G3739&lt;12, "9-11 Years", G3739&gt;=12, "12-14 Years")</f>
        <v>12-14 Years</v>
      </c>
      <c r="J3739" s="7">
        <v>4</v>
      </c>
      <c r="K3739" t="s">
        <v>24</v>
      </c>
      <c r="L3739" s="7">
        <v>70800</v>
      </c>
      <c r="M3739" s="7">
        <v>9900</v>
      </c>
      <c r="N3739" s="7">
        <v>80700</v>
      </c>
      <c r="O3739" t="s">
        <v>21</v>
      </c>
      <c r="P3739" s="3">
        <v>41359</v>
      </c>
      <c r="Q3739" t="s">
        <v>36</v>
      </c>
    </row>
    <row r="3740" spans="1:17" x14ac:dyDescent="0.35">
      <c r="A3740" t="s">
        <v>3792</v>
      </c>
      <c r="B3740" t="s">
        <v>16</v>
      </c>
      <c r="C3740">
        <v>32</v>
      </c>
      <c r="D3740" t="s">
        <v>41</v>
      </c>
      <c r="E3740" t="s">
        <v>42</v>
      </c>
      <c r="F3740" t="s">
        <v>28</v>
      </c>
      <c r="G3740">
        <v>6.5</v>
      </c>
      <c r="H3740">
        <v>2.2999999999999998</v>
      </c>
      <c r="I3740" t="str" cm="1">
        <f t="array" ref="I3740">_xlfn.IFS(G3740&lt;3, "0–2 Years", G3740&lt;6, "3–5 Years", G3740&lt;9, "6–8 Years", G3740&lt;12, "9-11 Years", G3740&gt;=12, "12-14 Years")</f>
        <v>6–8 Years</v>
      </c>
      <c r="J3740">
        <v>2</v>
      </c>
      <c r="K3740" t="s">
        <v>20</v>
      </c>
      <c r="L3740">
        <v>72700</v>
      </c>
      <c r="M3740">
        <v>5300</v>
      </c>
      <c r="N3740">
        <v>78000</v>
      </c>
      <c r="O3740" t="s">
        <v>21</v>
      </c>
      <c r="P3740" s="3">
        <v>43650</v>
      </c>
      <c r="Q3740" t="s">
        <v>28</v>
      </c>
    </row>
    <row r="3741" spans="1:17" x14ac:dyDescent="0.35">
      <c r="A3741" t="s">
        <v>3793</v>
      </c>
      <c r="B3741" t="s">
        <v>23</v>
      </c>
      <c r="C3741">
        <v>34</v>
      </c>
      <c r="D3741" t="s">
        <v>44</v>
      </c>
      <c r="E3741" t="s">
        <v>81</v>
      </c>
      <c r="F3741" t="s">
        <v>36</v>
      </c>
      <c r="G3741">
        <v>1.6</v>
      </c>
      <c r="H3741">
        <v>0</v>
      </c>
      <c r="I3741" t="str" cm="1">
        <f t="array" ref="I3741">_xlfn.IFS(G3741&lt;3, "0–2 Years", G3741&lt;6, "3–5 Years", G3741&lt;9, "6–8 Years", G3741&lt;12, "9-11 Years", G3741&gt;=12, "12-14 Years")</f>
        <v>0–2 Years</v>
      </c>
      <c r="J3741">
        <v>4</v>
      </c>
      <c r="K3741" t="s">
        <v>20</v>
      </c>
      <c r="L3741">
        <v>85300</v>
      </c>
      <c r="M3741">
        <v>10800</v>
      </c>
      <c r="N3741">
        <v>96100</v>
      </c>
      <c r="O3741" t="s">
        <v>30</v>
      </c>
      <c r="P3741" s="3">
        <v>45439</v>
      </c>
      <c r="Q3741" t="s">
        <v>36</v>
      </c>
    </row>
    <row r="3742" spans="1:17" x14ac:dyDescent="0.35">
      <c r="A3742" t="s">
        <v>3794</v>
      </c>
      <c r="B3742" t="s">
        <v>23</v>
      </c>
      <c r="C3742">
        <v>35</v>
      </c>
      <c r="D3742" t="s">
        <v>41</v>
      </c>
      <c r="E3742" t="s">
        <v>73</v>
      </c>
      <c r="F3742" t="s">
        <v>28</v>
      </c>
      <c r="G3742">
        <v>11.4</v>
      </c>
      <c r="H3742">
        <v>8.5</v>
      </c>
      <c r="I3742" t="str" cm="1">
        <f t="array" ref="I3742">_xlfn.IFS(G3742&lt;3, "0–2 Years", G3742&lt;6, "3–5 Years", G3742&lt;9, "6–8 Years", G3742&lt;12, "9-11 Years", G3742&gt;=12, "12-14 Years")</f>
        <v>9-11 Years</v>
      </c>
      <c r="J3742">
        <v>3</v>
      </c>
      <c r="K3742" t="s">
        <v>24</v>
      </c>
      <c r="L3742">
        <v>67400</v>
      </c>
      <c r="M3742">
        <v>3800</v>
      </c>
      <c r="N3742">
        <v>71200</v>
      </c>
      <c r="O3742" t="s">
        <v>21</v>
      </c>
      <c r="P3742" s="3">
        <v>41872</v>
      </c>
      <c r="Q3742" t="s">
        <v>28</v>
      </c>
    </row>
    <row r="3743" spans="1:17" x14ac:dyDescent="0.35">
      <c r="A3743" t="s">
        <v>3795</v>
      </c>
      <c r="B3743" t="s">
        <v>23</v>
      </c>
      <c r="C3743">
        <v>33</v>
      </c>
      <c r="D3743" t="s">
        <v>44</v>
      </c>
      <c r="E3743" t="s">
        <v>51</v>
      </c>
      <c r="F3743" t="s">
        <v>28</v>
      </c>
      <c r="G3743">
        <v>3</v>
      </c>
      <c r="H3743">
        <v>1.5</v>
      </c>
      <c r="I3743" t="str" cm="1">
        <f t="array" ref="I3743">_xlfn.IFS(G3743&lt;3, "0–2 Years", G3743&lt;6, "3–5 Years", G3743&lt;9, "6–8 Years", G3743&lt;12, "9-11 Years", G3743&gt;=12, "12-14 Years")</f>
        <v>3–5 Years</v>
      </c>
      <c r="J3743">
        <v>4</v>
      </c>
      <c r="K3743" t="s">
        <v>20</v>
      </c>
      <c r="L3743">
        <v>71300</v>
      </c>
      <c r="M3743">
        <v>6300</v>
      </c>
      <c r="N3743">
        <v>77600</v>
      </c>
      <c r="O3743" t="s">
        <v>21</v>
      </c>
      <c r="P3743" s="3">
        <v>44931</v>
      </c>
      <c r="Q3743" t="s">
        <v>28</v>
      </c>
    </row>
    <row r="3744" spans="1:17" x14ac:dyDescent="0.35">
      <c r="A3744" t="s">
        <v>3796</v>
      </c>
      <c r="B3744" t="s">
        <v>16</v>
      </c>
      <c r="C3744" s="7">
        <v>32</v>
      </c>
      <c r="D3744" t="s">
        <v>55</v>
      </c>
      <c r="E3744" t="s">
        <v>92</v>
      </c>
      <c r="F3744" t="s">
        <v>62</v>
      </c>
      <c r="G3744" s="9">
        <v>12.1</v>
      </c>
      <c r="H3744" s="7">
        <v>8</v>
      </c>
      <c r="I3744" t="str" cm="1">
        <f t="array" ref="I3744">_xlfn.IFS(G3744&lt;3, "0–2 Years", G3744&lt;6, "3–5 Years", G3744&lt;9, "6–8 Years", G3744&lt;12, "9-11 Years", G3744&gt;=12, "12-14 Years")</f>
        <v>12-14 Years</v>
      </c>
      <c r="J3744" s="7">
        <v>2</v>
      </c>
      <c r="K3744" t="s">
        <v>20</v>
      </c>
      <c r="L3744" s="7">
        <v>106300</v>
      </c>
      <c r="M3744" s="7">
        <v>7500</v>
      </c>
      <c r="N3744" s="7">
        <v>113800</v>
      </c>
      <c r="O3744" t="s">
        <v>57</v>
      </c>
      <c r="P3744" s="3">
        <v>41603</v>
      </c>
      <c r="Q3744" t="s">
        <v>62</v>
      </c>
    </row>
    <row r="3745" spans="1:17" x14ac:dyDescent="0.35">
      <c r="A3745" t="s">
        <v>3797</v>
      </c>
      <c r="B3745" t="s">
        <v>23</v>
      </c>
      <c r="C3745">
        <v>43</v>
      </c>
      <c r="D3745" t="s">
        <v>41</v>
      </c>
      <c r="E3745" t="s">
        <v>73</v>
      </c>
      <c r="F3745" t="s">
        <v>36</v>
      </c>
      <c r="G3745">
        <v>8</v>
      </c>
      <c r="H3745">
        <v>2</v>
      </c>
      <c r="I3745" t="str" cm="1">
        <f t="array" ref="I3745">_xlfn.IFS(G3745&lt;3, "0–2 Years", G3745&lt;6, "3–5 Years", G3745&lt;9, "6–8 Years", G3745&lt;12, "9-11 Years", G3745&gt;=12, "12-14 Years")</f>
        <v>6–8 Years</v>
      </c>
      <c r="J3745">
        <v>4</v>
      </c>
      <c r="K3745" t="s">
        <v>20</v>
      </c>
      <c r="L3745">
        <v>103600</v>
      </c>
      <c r="M3745">
        <v>3600</v>
      </c>
      <c r="N3745">
        <v>107200</v>
      </c>
      <c r="O3745" t="s">
        <v>57</v>
      </c>
      <c r="P3745" s="3">
        <v>43116</v>
      </c>
      <c r="Q3745" t="s">
        <v>36</v>
      </c>
    </row>
    <row r="3746" spans="1:17" x14ac:dyDescent="0.35">
      <c r="A3746" t="s">
        <v>3798</v>
      </c>
      <c r="B3746" t="s">
        <v>23</v>
      </c>
      <c r="C3746">
        <v>29</v>
      </c>
      <c r="D3746" t="s">
        <v>17</v>
      </c>
      <c r="E3746" t="s">
        <v>32</v>
      </c>
      <c r="F3746" t="s">
        <v>62</v>
      </c>
      <c r="G3746">
        <v>9.3000000000000007</v>
      </c>
      <c r="H3746">
        <v>5.6</v>
      </c>
      <c r="I3746" t="str" cm="1">
        <f t="array" ref="I3746">_xlfn.IFS(G3746&lt;3, "0–2 Years", G3746&lt;6, "3–5 Years", G3746&lt;9, "6–8 Years", G3746&lt;12, "9-11 Years", G3746&gt;=12, "12-14 Years")</f>
        <v>9-11 Years</v>
      </c>
      <c r="J3746">
        <v>3</v>
      </c>
      <c r="K3746" t="s">
        <v>20</v>
      </c>
      <c r="L3746">
        <v>77000</v>
      </c>
      <c r="M3746">
        <v>7400</v>
      </c>
      <c r="N3746">
        <v>84400</v>
      </c>
      <c r="O3746" t="s">
        <v>21</v>
      </c>
      <c r="P3746" s="3">
        <v>42616</v>
      </c>
      <c r="Q3746" t="s">
        <v>62</v>
      </c>
    </row>
    <row r="3747" spans="1:17" x14ac:dyDescent="0.35">
      <c r="A3747" t="s">
        <v>3799</v>
      </c>
      <c r="B3747" t="s">
        <v>23</v>
      </c>
      <c r="C3747">
        <v>31</v>
      </c>
      <c r="D3747" t="s">
        <v>34</v>
      </c>
      <c r="E3747" t="s">
        <v>59</v>
      </c>
      <c r="F3747" t="s">
        <v>36</v>
      </c>
      <c r="G3747">
        <v>1.7</v>
      </c>
      <c r="H3747">
        <v>0</v>
      </c>
      <c r="I3747" t="str" cm="1">
        <f t="array" ref="I3747">_xlfn.IFS(G3747&lt;3, "0–2 Years", G3747&lt;6, "3–5 Years", G3747&lt;9, "6–8 Years", G3747&lt;12, "9-11 Years", G3747&gt;=12, "12-14 Years")</f>
        <v>0–2 Years</v>
      </c>
      <c r="J3747">
        <v>3</v>
      </c>
      <c r="K3747" t="s">
        <v>69</v>
      </c>
      <c r="L3747">
        <v>93100</v>
      </c>
      <c r="M3747">
        <v>10900</v>
      </c>
      <c r="N3747">
        <v>104000</v>
      </c>
      <c r="O3747" t="s">
        <v>30</v>
      </c>
      <c r="P3747" s="3">
        <v>45404</v>
      </c>
      <c r="Q3747" t="s">
        <v>36</v>
      </c>
    </row>
    <row r="3748" spans="1:17" x14ac:dyDescent="0.35">
      <c r="A3748" t="s">
        <v>3800</v>
      </c>
      <c r="B3748" t="s">
        <v>23</v>
      </c>
      <c r="C3748" s="7">
        <v>43</v>
      </c>
      <c r="D3748" t="s">
        <v>44</v>
      </c>
      <c r="E3748" t="s">
        <v>51</v>
      </c>
      <c r="F3748" t="s">
        <v>28</v>
      </c>
      <c r="G3748" s="9">
        <v>13.9</v>
      </c>
      <c r="H3748" s="7">
        <v>9</v>
      </c>
      <c r="I3748" t="str" cm="1">
        <f t="array" ref="I3748">_xlfn.IFS(G3748&lt;3, "0–2 Years", G3748&lt;6, "3–5 Years", G3748&lt;9, "6–8 Years", G3748&lt;12, "9-11 Years", G3748&gt;=12, "12-14 Years")</f>
        <v>12-14 Years</v>
      </c>
      <c r="J3748" s="7">
        <v>3</v>
      </c>
      <c r="K3748" t="s">
        <v>20</v>
      </c>
      <c r="L3748" s="7">
        <v>102700</v>
      </c>
      <c r="M3748" s="7">
        <v>15100</v>
      </c>
      <c r="N3748" s="7">
        <v>117800</v>
      </c>
      <c r="O3748" t="s">
        <v>57</v>
      </c>
      <c r="P3748" s="3">
        <v>40938</v>
      </c>
      <c r="Q3748" t="s">
        <v>28</v>
      </c>
    </row>
    <row r="3749" spans="1:17" x14ac:dyDescent="0.35">
      <c r="A3749" t="s">
        <v>3801</v>
      </c>
      <c r="B3749" t="s">
        <v>16</v>
      </c>
      <c r="C3749">
        <v>38</v>
      </c>
      <c r="D3749" t="s">
        <v>34</v>
      </c>
      <c r="E3749" t="s">
        <v>47</v>
      </c>
      <c r="F3749" t="s">
        <v>28</v>
      </c>
      <c r="G3749">
        <v>9.6999999999999993</v>
      </c>
      <c r="H3749">
        <v>8.1</v>
      </c>
      <c r="I3749" t="str" cm="1">
        <f t="array" ref="I3749">_xlfn.IFS(G3749&lt;3, "0–2 Years", G3749&lt;6, "3–5 Years", G3749&lt;9, "6–8 Years", G3749&lt;12, "9-11 Years", G3749&gt;=12, "12-14 Years")</f>
        <v>9-11 Years</v>
      </c>
      <c r="J3749">
        <v>3</v>
      </c>
      <c r="K3749" t="s">
        <v>20</v>
      </c>
      <c r="L3749">
        <v>84600</v>
      </c>
      <c r="M3749">
        <v>6400</v>
      </c>
      <c r="N3749">
        <v>91000</v>
      </c>
      <c r="O3749" t="s">
        <v>30</v>
      </c>
      <c r="P3749" s="3">
        <v>42474</v>
      </c>
      <c r="Q3749" t="s">
        <v>28</v>
      </c>
    </row>
    <row r="3750" spans="1:17" x14ac:dyDescent="0.35">
      <c r="A3750" t="s">
        <v>3802</v>
      </c>
      <c r="B3750" t="s">
        <v>23</v>
      </c>
      <c r="C3750">
        <v>46</v>
      </c>
      <c r="D3750" t="s">
        <v>41</v>
      </c>
      <c r="E3750" t="s">
        <v>73</v>
      </c>
      <c r="F3750" t="s">
        <v>62</v>
      </c>
      <c r="G3750">
        <v>4.0999999999999996</v>
      </c>
      <c r="H3750">
        <v>3.1</v>
      </c>
      <c r="I3750" t="str" cm="1">
        <f t="array" ref="I3750">_xlfn.IFS(G3750&lt;3, "0–2 Years", G3750&lt;6, "3–5 Years", G3750&lt;9, "6–8 Years", G3750&lt;12, "9-11 Years", G3750&gt;=12, "12-14 Years")</f>
        <v>3–5 Years</v>
      </c>
      <c r="J3750">
        <v>3</v>
      </c>
      <c r="K3750" t="s">
        <v>20</v>
      </c>
      <c r="L3750">
        <v>106700</v>
      </c>
      <c r="M3750">
        <v>8000</v>
      </c>
      <c r="N3750">
        <v>114700</v>
      </c>
      <c r="O3750" t="s">
        <v>57</v>
      </c>
      <c r="P3750" s="3">
        <v>44533</v>
      </c>
      <c r="Q3750" t="s">
        <v>62</v>
      </c>
    </row>
    <row r="3751" spans="1:17" x14ac:dyDescent="0.35">
      <c r="A3751" t="s">
        <v>3803</v>
      </c>
      <c r="B3751" t="s">
        <v>23</v>
      </c>
      <c r="C3751">
        <v>38</v>
      </c>
      <c r="D3751" t="s">
        <v>55</v>
      </c>
      <c r="E3751" t="s">
        <v>79</v>
      </c>
      <c r="F3751" t="s">
        <v>36</v>
      </c>
      <c r="G3751">
        <v>3</v>
      </c>
      <c r="H3751">
        <v>0.6</v>
      </c>
      <c r="I3751" t="str" cm="1">
        <f t="array" ref="I3751">_xlfn.IFS(G3751&lt;3, "0–2 Years", G3751&lt;6, "3–5 Years", G3751&lt;9, "6–8 Years", G3751&lt;12, "9-11 Years", G3751&gt;=12, "12-14 Years")</f>
        <v>3–5 Years</v>
      </c>
      <c r="J3751">
        <v>4</v>
      </c>
      <c r="K3751" t="s">
        <v>20</v>
      </c>
      <c r="L3751">
        <v>65600</v>
      </c>
      <c r="M3751">
        <v>8800</v>
      </c>
      <c r="N3751">
        <v>74400</v>
      </c>
      <c r="O3751" t="s">
        <v>21</v>
      </c>
      <c r="P3751" s="3">
        <v>44921</v>
      </c>
      <c r="Q3751" t="s">
        <v>36</v>
      </c>
    </row>
    <row r="3752" spans="1:17" x14ac:dyDescent="0.35">
      <c r="A3752" t="s">
        <v>3804</v>
      </c>
      <c r="B3752" t="s">
        <v>23</v>
      </c>
      <c r="C3752">
        <v>29</v>
      </c>
      <c r="D3752" t="s">
        <v>34</v>
      </c>
      <c r="E3752" t="s">
        <v>47</v>
      </c>
      <c r="F3752" t="s">
        <v>28</v>
      </c>
      <c r="G3752">
        <v>2.1</v>
      </c>
      <c r="H3752">
        <v>1.8</v>
      </c>
      <c r="I3752" t="str" cm="1">
        <f t="array" ref="I3752">_xlfn.IFS(G3752&lt;3, "0–2 Years", G3752&lt;6, "3–5 Years", G3752&lt;9, "6–8 Years", G3752&lt;12, "9-11 Years", G3752&gt;=12, "12-14 Years")</f>
        <v>0–2 Years</v>
      </c>
      <c r="J3752">
        <v>4</v>
      </c>
      <c r="K3752" t="s">
        <v>20</v>
      </c>
      <c r="L3752">
        <v>69900</v>
      </c>
      <c r="M3752">
        <v>4300</v>
      </c>
      <c r="N3752">
        <v>74200</v>
      </c>
      <c r="O3752" t="s">
        <v>21</v>
      </c>
      <c r="P3752" s="3">
        <v>45255</v>
      </c>
      <c r="Q3752" t="s">
        <v>28</v>
      </c>
    </row>
    <row r="3753" spans="1:17" x14ac:dyDescent="0.35">
      <c r="A3753" t="s">
        <v>3805</v>
      </c>
      <c r="B3753" t="s">
        <v>16</v>
      </c>
      <c r="C3753">
        <v>32</v>
      </c>
      <c r="D3753" t="s">
        <v>38</v>
      </c>
      <c r="E3753" t="s">
        <v>112</v>
      </c>
      <c r="F3753" t="s">
        <v>28</v>
      </c>
      <c r="G3753">
        <v>11</v>
      </c>
      <c r="H3753">
        <v>7.8</v>
      </c>
      <c r="I3753" t="str" cm="1">
        <f t="array" ref="I3753">_xlfn.IFS(G3753&lt;3, "0–2 Years", G3753&lt;6, "3–5 Years", G3753&lt;9, "6–8 Years", G3753&lt;12, "9-11 Years", G3753&gt;=12, "12-14 Years")</f>
        <v>9-11 Years</v>
      </c>
      <c r="J3753">
        <v>3</v>
      </c>
      <c r="K3753" t="s">
        <v>20</v>
      </c>
      <c r="L3753">
        <v>62400</v>
      </c>
      <c r="M3753">
        <v>5200</v>
      </c>
      <c r="N3753">
        <v>67600</v>
      </c>
      <c r="O3753" t="s">
        <v>25</v>
      </c>
      <c r="P3753" s="3">
        <v>42003</v>
      </c>
      <c r="Q3753" t="s">
        <v>28</v>
      </c>
    </row>
    <row r="3754" spans="1:17" x14ac:dyDescent="0.35">
      <c r="A3754" t="s">
        <v>3806</v>
      </c>
      <c r="B3754" t="s">
        <v>16</v>
      </c>
      <c r="C3754" s="7">
        <v>37</v>
      </c>
      <c r="D3754" t="s">
        <v>38</v>
      </c>
      <c r="E3754" t="s">
        <v>61</v>
      </c>
      <c r="F3754" t="s">
        <v>19</v>
      </c>
      <c r="G3754" s="9">
        <v>13.8</v>
      </c>
      <c r="H3754" s="7">
        <v>9.8000000000000007</v>
      </c>
      <c r="I3754" t="str" cm="1">
        <f t="array" ref="I3754">_xlfn.IFS(G3754&lt;3, "0–2 Years", G3754&lt;6, "3–5 Years", G3754&lt;9, "6–8 Years", G3754&lt;12, "9-11 Years", G3754&gt;=12, "12-14 Years")</f>
        <v>12-14 Years</v>
      </c>
      <c r="J3754" s="7">
        <v>3</v>
      </c>
      <c r="K3754" t="s">
        <v>20</v>
      </c>
      <c r="L3754" s="7">
        <v>114000</v>
      </c>
      <c r="M3754" s="7">
        <v>9300</v>
      </c>
      <c r="N3754" s="7">
        <v>123300</v>
      </c>
      <c r="O3754" t="s">
        <v>57</v>
      </c>
      <c r="P3754" s="3">
        <v>40995</v>
      </c>
      <c r="Q3754" t="s">
        <v>19</v>
      </c>
    </row>
    <row r="3755" spans="1:17" x14ac:dyDescent="0.35">
      <c r="A3755" t="s">
        <v>3807</v>
      </c>
      <c r="B3755" t="s">
        <v>16</v>
      </c>
      <c r="C3755">
        <v>27</v>
      </c>
      <c r="D3755" t="s">
        <v>34</v>
      </c>
      <c r="E3755" t="s">
        <v>47</v>
      </c>
      <c r="F3755" t="s">
        <v>36</v>
      </c>
      <c r="G3755">
        <v>7</v>
      </c>
      <c r="H3755">
        <v>5.3</v>
      </c>
      <c r="I3755" t="str" cm="1">
        <f t="array" ref="I3755">_xlfn.IFS(G3755&lt;3, "0–2 Years", G3755&lt;6, "3–5 Years", G3755&lt;9, "6–8 Years", G3755&lt;12, "9-11 Years", G3755&gt;=12, "12-14 Years")</f>
        <v>6–8 Years</v>
      </c>
      <c r="J3755">
        <v>3</v>
      </c>
      <c r="K3755" t="s">
        <v>20</v>
      </c>
      <c r="L3755">
        <v>87800</v>
      </c>
      <c r="M3755">
        <v>10100</v>
      </c>
      <c r="N3755">
        <v>97900</v>
      </c>
      <c r="O3755" t="s">
        <v>30</v>
      </c>
      <c r="P3755" s="3">
        <v>43449</v>
      </c>
      <c r="Q3755" t="s">
        <v>36</v>
      </c>
    </row>
    <row r="3756" spans="1:17" x14ac:dyDescent="0.35">
      <c r="A3756" t="s">
        <v>3808</v>
      </c>
      <c r="B3756" t="s">
        <v>16</v>
      </c>
      <c r="C3756">
        <v>29</v>
      </c>
      <c r="D3756" t="s">
        <v>38</v>
      </c>
      <c r="E3756" t="s">
        <v>61</v>
      </c>
      <c r="F3756" t="s">
        <v>62</v>
      </c>
      <c r="G3756">
        <v>8.6</v>
      </c>
      <c r="H3756">
        <v>3.7</v>
      </c>
      <c r="I3756" t="str" cm="1">
        <f t="array" ref="I3756">_xlfn.IFS(G3756&lt;3, "0–2 Years", G3756&lt;6, "3–5 Years", G3756&lt;9, "6–8 Years", G3756&lt;12, "9-11 Years", G3756&gt;=12, "12-14 Years")</f>
        <v>6–8 Years</v>
      </c>
      <c r="J3756">
        <v>2</v>
      </c>
      <c r="K3756" t="s">
        <v>24</v>
      </c>
      <c r="L3756">
        <v>70500</v>
      </c>
      <c r="M3756">
        <v>3200</v>
      </c>
      <c r="N3756">
        <v>73700</v>
      </c>
      <c r="O3756" t="s">
        <v>21</v>
      </c>
      <c r="P3756" s="3">
        <v>42898</v>
      </c>
      <c r="Q3756" t="s">
        <v>62</v>
      </c>
    </row>
    <row r="3757" spans="1:17" x14ac:dyDescent="0.35">
      <c r="A3757" t="s">
        <v>3809</v>
      </c>
      <c r="B3757" t="s">
        <v>23</v>
      </c>
      <c r="C3757">
        <v>24</v>
      </c>
      <c r="D3757" t="s">
        <v>38</v>
      </c>
      <c r="E3757" t="s">
        <v>112</v>
      </c>
      <c r="F3757" t="s">
        <v>19</v>
      </c>
      <c r="G3757">
        <v>1.7</v>
      </c>
      <c r="H3757">
        <v>1.7</v>
      </c>
      <c r="I3757" t="str" cm="1">
        <f t="array" ref="I3757">_xlfn.IFS(G3757&lt;3, "0–2 Years", G3757&lt;6, "3–5 Years", G3757&lt;9, "6–8 Years", G3757&lt;12, "9-11 Years", G3757&gt;=12, "12-14 Years")</f>
        <v>0–2 Years</v>
      </c>
      <c r="J3757">
        <v>5</v>
      </c>
      <c r="K3757" t="s">
        <v>20</v>
      </c>
      <c r="L3757">
        <v>62100</v>
      </c>
      <c r="M3757">
        <v>2300</v>
      </c>
      <c r="N3757">
        <v>64400</v>
      </c>
      <c r="O3757" t="s">
        <v>25</v>
      </c>
      <c r="P3757" s="3">
        <v>45406</v>
      </c>
      <c r="Q3757" t="s">
        <v>19</v>
      </c>
    </row>
    <row r="3758" spans="1:17" x14ac:dyDescent="0.35">
      <c r="A3758" t="s">
        <v>3810</v>
      </c>
      <c r="B3758" t="s">
        <v>16</v>
      </c>
      <c r="C3758">
        <v>26</v>
      </c>
      <c r="D3758" t="s">
        <v>41</v>
      </c>
      <c r="E3758" t="s">
        <v>73</v>
      </c>
      <c r="F3758" t="s">
        <v>28</v>
      </c>
      <c r="G3758">
        <v>7.8</v>
      </c>
      <c r="H3758">
        <v>5.6</v>
      </c>
      <c r="I3758" t="str" cm="1">
        <f t="array" ref="I3758">_xlfn.IFS(G3758&lt;3, "0–2 Years", G3758&lt;6, "3–5 Years", G3758&lt;9, "6–8 Years", G3758&lt;12, "9-11 Years", G3758&gt;=12, "12-14 Years")</f>
        <v>6–8 Years</v>
      </c>
      <c r="J3758">
        <v>3</v>
      </c>
      <c r="K3758" t="s">
        <v>20</v>
      </c>
      <c r="L3758">
        <v>92500</v>
      </c>
      <c r="M3758">
        <v>8200</v>
      </c>
      <c r="N3758">
        <v>100700</v>
      </c>
      <c r="O3758" t="s">
        <v>30</v>
      </c>
      <c r="P3758" s="3">
        <v>43188</v>
      </c>
      <c r="Q3758" t="s">
        <v>28</v>
      </c>
    </row>
    <row r="3759" spans="1:17" x14ac:dyDescent="0.35">
      <c r="A3759" t="s">
        <v>3811</v>
      </c>
      <c r="B3759" t="s">
        <v>23</v>
      </c>
      <c r="C3759" s="7">
        <v>32</v>
      </c>
      <c r="D3759" t="s">
        <v>34</v>
      </c>
      <c r="E3759" t="s">
        <v>35</v>
      </c>
      <c r="F3759" t="s">
        <v>19</v>
      </c>
      <c r="G3759" s="9">
        <v>13.9</v>
      </c>
      <c r="H3759" s="7">
        <v>8.5</v>
      </c>
      <c r="I3759" t="str" cm="1">
        <f t="array" ref="I3759">_xlfn.IFS(G3759&lt;3, "0–2 Years", G3759&lt;6, "3–5 Years", G3759&lt;9, "6–8 Years", G3759&lt;12, "9-11 Years", G3759&gt;=12, "12-14 Years")</f>
        <v>12-14 Years</v>
      </c>
      <c r="J3759" s="7">
        <v>4</v>
      </c>
      <c r="K3759" t="s">
        <v>20</v>
      </c>
      <c r="L3759" s="7">
        <v>76000</v>
      </c>
      <c r="M3759" s="7">
        <v>4900</v>
      </c>
      <c r="N3759" s="7">
        <v>80900</v>
      </c>
      <c r="O3759" t="s">
        <v>21</v>
      </c>
      <c r="P3759" s="3">
        <v>40954</v>
      </c>
      <c r="Q3759" t="s">
        <v>19</v>
      </c>
    </row>
    <row r="3760" spans="1:17" x14ac:dyDescent="0.35">
      <c r="A3760" t="s">
        <v>3812</v>
      </c>
      <c r="B3760" t="s">
        <v>16</v>
      </c>
      <c r="C3760">
        <v>28</v>
      </c>
      <c r="D3760" t="s">
        <v>41</v>
      </c>
      <c r="E3760" t="s">
        <v>42</v>
      </c>
      <c r="F3760" t="s">
        <v>28</v>
      </c>
      <c r="G3760">
        <v>8.9</v>
      </c>
      <c r="H3760">
        <v>6.4</v>
      </c>
      <c r="I3760" t="str" cm="1">
        <f t="array" ref="I3760">_xlfn.IFS(G3760&lt;3, "0–2 Years", G3760&lt;6, "3–5 Years", G3760&lt;9, "6–8 Years", G3760&lt;12, "9-11 Years", G3760&gt;=12, "12-14 Years")</f>
        <v>6–8 Years</v>
      </c>
      <c r="J3760">
        <v>2</v>
      </c>
      <c r="K3760" t="s">
        <v>20</v>
      </c>
      <c r="L3760">
        <v>75000</v>
      </c>
      <c r="M3760">
        <v>2500</v>
      </c>
      <c r="N3760">
        <v>77500</v>
      </c>
      <c r="O3760" t="s">
        <v>21</v>
      </c>
      <c r="P3760" s="3">
        <v>42762</v>
      </c>
      <c r="Q3760" t="s">
        <v>28</v>
      </c>
    </row>
    <row r="3761" spans="1:17" x14ac:dyDescent="0.35">
      <c r="A3761" t="s">
        <v>3813</v>
      </c>
      <c r="B3761" t="s">
        <v>16</v>
      </c>
      <c r="C3761">
        <v>43</v>
      </c>
      <c r="D3761" t="s">
        <v>55</v>
      </c>
      <c r="E3761" t="s">
        <v>79</v>
      </c>
      <c r="F3761" t="s">
        <v>28</v>
      </c>
      <c r="G3761">
        <v>3.6</v>
      </c>
      <c r="H3761">
        <v>3.1</v>
      </c>
      <c r="I3761" t="str" cm="1">
        <f t="array" ref="I3761">_xlfn.IFS(G3761&lt;3, "0–2 Years", G3761&lt;6, "3–5 Years", G3761&lt;9, "6–8 Years", G3761&lt;12, "9-11 Years", G3761&gt;=12, "12-14 Years")</f>
        <v>3–5 Years</v>
      </c>
      <c r="J3761">
        <v>3</v>
      </c>
      <c r="K3761" t="s">
        <v>20</v>
      </c>
      <c r="L3761">
        <v>57700</v>
      </c>
      <c r="M3761">
        <v>10500</v>
      </c>
      <c r="N3761">
        <v>68200</v>
      </c>
      <c r="O3761" t="s">
        <v>25</v>
      </c>
      <c r="P3761" s="3">
        <v>44691</v>
      </c>
      <c r="Q3761" t="s">
        <v>28</v>
      </c>
    </row>
    <row r="3762" spans="1:17" x14ac:dyDescent="0.35">
      <c r="A3762" t="s">
        <v>3814</v>
      </c>
      <c r="B3762" t="s">
        <v>16</v>
      </c>
      <c r="C3762">
        <v>38</v>
      </c>
      <c r="D3762" t="s">
        <v>38</v>
      </c>
      <c r="E3762" t="s">
        <v>61</v>
      </c>
      <c r="F3762" t="s">
        <v>28</v>
      </c>
      <c r="G3762">
        <v>10</v>
      </c>
      <c r="H3762">
        <v>7.5</v>
      </c>
      <c r="I3762" t="str" cm="1">
        <f t="array" ref="I3762">_xlfn.IFS(G3762&lt;3, "0–2 Years", G3762&lt;6, "3–5 Years", G3762&lt;9, "6–8 Years", G3762&lt;12, "9-11 Years", G3762&gt;=12, "12-14 Years")</f>
        <v>9-11 Years</v>
      </c>
      <c r="J3762">
        <v>4</v>
      </c>
      <c r="K3762" t="s">
        <v>20</v>
      </c>
      <c r="L3762">
        <v>97700</v>
      </c>
      <c r="M3762">
        <v>5600</v>
      </c>
      <c r="N3762">
        <v>103300</v>
      </c>
      <c r="O3762" t="s">
        <v>30</v>
      </c>
      <c r="P3762" s="3">
        <v>42354</v>
      </c>
      <c r="Q3762" t="s">
        <v>28</v>
      </c>
    </row>
    <row r="3763" spans="1:17" x14ac:dyDescent="0.35">
      <c r="A3763" t="s">
        <v>3815</v>
      </c>
      <c r="B3763" t="s">
        <v>23</v>
      </c>
      <c r="C3763">
        <v>28</v>
      </c>
      <c r="D3763" t="s">
        <v>55</v>
      </c>
      <c r="E3763" t="s">
        <v>92</v>
      </c>
      <c r="F3763" t="s">
        <v>36</v>
      </c>
      <c r="G3763">
        <v>3.3</v>
      </c>
      <c r="H3763">
        <v>1.4</v>
      </c>
      <c r="I3763" t="str" cm="1">
        <f t="array" ref="I3763">_xlfn.IFS(G3763&lt;3, "0–2 Years", G3763&lt;6, "3–5 Years", G3763&lt;9, "6–8 Years", G3763&lt;12, "9-11 Years", G3763&gt;=12, "12-14 Years")</f>
        <v>3–5 Years</v>
      </c>
      <c r="J3763">
        <v>3</v>
      </c>
      <c r="K3763" t="s">
        <v>20</v>
      </c>
      <c r="L3763">
        <v>89200</v>
      </c>
      <c r="M3763">
        <v>13200</v>
      </c>
      <c r="N3763">
        <v>102400</v>
      </c>
      <c r="O3763" t="s">
        <v>30</v>
      </c>
      <c r="P3763" s="3">
        <v>44809</v>
      </c>
      <c r="Q3763" t="s">
        <v>36</v>
      </c>
    </row>
    <row r="3764" spans="1:17" x14ac:dyDescent="0.35">
      <c r="A3764" t="s">
        <v>3816</v>
      </c>
      <c r="B3764" t="s">
        <v>16</v>
      </c>
      <c r="C3764">
        <v>28</v>
      </c>
      <c r="D3764" t="s">
        <v>17</v>
      </c>
      <c r="E3764" t="s">
        <v>32</v>
      </c>
      <c r="F3764" t="s">
        <v>36</v>
      </c>
      <c r="G3764">
        <v>11.6</v>
      </c>
      <c r="H3764">
        <v>5.9</v>
      </c>
      <c r="I3764" t="str" cm="1">
        <f t="array" ref="I3764">_xlfn.IFS(G3764&lt;3, "0–2 Years", G3764&lt;6, "3–5 Years", G3764&lt;9, "6–8 Years", G3764&lt;12, "9-11 Years", G3764&gt;=12, "12-14 Years")</f>
        <v>9-11 Years</v>
      </c>
      <c r="J3764">
        <v>2</v>
      </c>
      <c r="K3764" t="s">
        <v>20</v>
      </c>
      <c r="L3764">
        <v>81600</v>
      </c>
      <c r="M3764">
        <v>8400</v>
      </c>
      <c r="N3764">
        <v>90000</v>
      </c>
      <c r="O3764" t="s">
        <v>30</v>
      </c>
      <c r="P3764" s="3">
        <v>41791</v>
      </c>
      <c r="Q3764" t="s">
        <v>36</v>
      </c>
    </row>
    <row r="3765" spans="1:17" x14ac:dyDescent="0.35">
      <c r="A3765" t="s">
        <v>3817</v>
      </c>
      <c r="B3765" t="s">
        <v>23</v>
      </c>
      <c r="C3765">
        <v>29</v>
      </c>
      <c r="D3765" t="s">
        <v>55</v>
      </c>
      <c r="E3765" t="s">
        <v>92</v>
      </c>
      <c r="F3765" t="s">
        <v>28</v>
      </c>
      <c r="G3765">
        <v>11.4</v>
      </c>
      <c r="H3765">
        <v>7.1</v>
      </c>
      <c r="I3765" t="str" cm="1">
        <f t="array" ref="I3765">_xlfn.IFS(G3765&lt;3, "0–2 Years", G3765&lt;6, "3–5 Years", G3765&lt;9, "6–8 Years", G3765&lt;12, "9-11 Years", G3765&gt;=12, "12-14 Years")</f>
        <v>9-11 Years</v>
      </c>
      <c r="J3765">
        <v>4</v>
      </c>
      <c r="K3765" t="s">
        <v>20</v>
      </c>
      <c r="L3765">
        <v>117600</v>
      </c>
      <c r="M3765">
        <v>10000</v>
      </c>
      <c r="N3765">
        <v>127600</v>
      </c>
      <c r="O3765" t="s">
        <v>57</v>
      </c>
      <c r="P3765" s="3">
        <v>41849</v>
      </c>
      <c r="Q3765" t="s">
        <v>28</v>
      </c>
    </row>
    <row r="3766" spans="1:17" x14ac:dyDescent="0.35">
      <c r="A3766" t="s">
        <v>3818</v>
      </c>
      <c r="B3766" t="s">
        <v>16</v>
      </c>
      <c r="C3766" s="7">
        <v>26</v>
      </c>
      <c r="D3766" t="s">
        <v>55</v>
      </c>
      <c r="E3766" t="s">
        <v>79</v>
      </c>
      <c r="F3766" t="s">
        <v>28</v>
      </c>
      <c r="G3766" s="9">
        <v>12.1</v>
      </c>
      <c r="H3766" s="7">
        <v>9.5</v>
      </c>
      <c r="I3766" t="str" cm="1">
        <f t="array" ref="I3766">_xlfn.IFS(G3766&lt;3, "0–2 Years", G3766&lt;6, "3–5 Years", G3766&lt;9, "6–8 Years", G3766&lt;12, "9-11 Years", G3766&gt;=12, "12-14 Years")</f>
        <v>12-14 Years</v>
      </c>
      <c r="J3766" s="7">
        <v>3</v>
      </c>
      <c r="K3766" t="s">
        <v>20</v>
      </c>
      <c r="L3766" s="7">
        <v>62400</v>
      </c>
      <c r="M3766" s="7">
        <v>10800</v>
      </c>
      <c r="N3766" s="7">
        <v>73200</v>
      </c>
      <c r="O3766" t="s">
        <v>25</v>
      </c>
      <c r="P3766" s="3">
        <v>41605</v>
      </c>
      <c r="Q3766" t="s">
        <v>28</v>
      </c>
    </row>
    <row r="3767" spans="1:17" x14ac:dyDescent="0.35">
      <c r="A3767" t="s">
        <v>3819</v>
      </c>
      <c r="B3767" t="s">
        <v>16</v>
      </c>
      <c r="C3767">
        <v>30</v>
      </c>
      <c r="D3767" t="s">
        <v>41</v>
      </c>
      <c r="E3767" t="s">
        <v>42</v>
      </c>
      <c r="F3767" t="s">
        <v>36</v>
      </c>
      <c r="G3767">
        <v>1.4</v>
      </c>
      <c r="H3767">
        <v>1.4</v>
      </c>
      <c r="I3767" t="str" cm="1">
        <f t="array" ref="I3767">_xlfn.IFS(G3767&lt;3, "0–2 Years", G3767&lt;6, "3–5 Years", G3767&lt;9, "6–8 Years", G3767&lt;12, "9-11 Years", G3767&gt;=12, "12-14 Years")</f>
        <v>0–2 Years</v>
      </c>
      <c r="J3767">
        <v>2</v>
      </c>
      <c r="K3767" t="s">
        <v>20</v>
      </c>
      <c r="L3767">
        <v>68500</v>
      </c>
      <c r="M3767">
        <v>2400</v>
      </c>
      <c r="N3767">
        <v>70900</v>
      </c>
      <c r="O3767" t="s">
        <v>21</v>
      </c>
      <c r="P3767" s="3">
        <v>45498</v>
      </c>
      <c r="Q3767" t="s">
        <v>36</v>
      </c>
    </row>
    <row r="3768" spans="1:17" x14ac:dyDescent="0.35">
      <c r="A3768" t="s">
        <v>3820</v>
      </c>
      <c r="B3768" t="s">
        <v>23</v>
      </c>
      <c r="C3768">
        <v>32</v>
      </c>
      <c r="D3768" t="s">
        <v>34</v>
      </c>
      <c r="E3768" t="s">
        <v>59</v>
      </c>
      <c r="F3768" t="s">
        <v>62</v>
      </c>
      <c r="G3768">
        <v>10.5</v>
      </c>
      <c r="H3768">
        <v>7.7</v>
      </c>
      <c r="I3768" t="str" cm="1">
        <f t="array" ref="I3768">_xlfn.IFS(G3768&lt;3, "0–2 Years", G3768&lt;6, "3–5 Years", G3768&lt;9, "6–8 Years", G3768&lt;12, "9-11 Years", G3768&gt;=12, "12-14 Years")</f>
        <v>9-11 Years</v>
      </c>
      <c r="J3768">
        <v>3</v>
      </c>
      <c r="K3768" t="s">
        <v>20</v>
      </c>
      <c r="L3768">
        <v>119600</v>
      </c>
      <c r="M3768">
        <v>13300</v>
      </c>
      <c r="N3768">
        <v>132900</v>
      </c>
      <c r="O3768" t="s">
        <v>57</v>
      </c>
      <c r="P3768" s="3">
        <v>42204</v>
      </c>
      <c r="Q3768" t="s">
        <v>62</v>
      </c>
    </row>
    <row r="3769" spans="1:17" x14ac:dyDescent="0.35">
      <c r="A3769" t="s">
        <v>3821</v>
      </c>
      <c r="B3769" t="s">
        <v>16</v>
      </c>
      <c r="C3769" s="7">
        <v>36</v>
      </c>
      <c r="D3769" t="s">
        <v>41</v>
      </c>
      <c r="E3769" t="s">
        <v>42</v>
      </c>
      <c r="F3769" t="s">
        <v>19</v>
      </c>
      <c r="G3769" s="9">
        <v>13.6</v>
      </c>
      <c r="H3769" s="7">
        <v>9.1999999999999993</v>
      </c>
      <c r="I3769" t="str" cm="1">
        <f t="array" ref="I3769">_xlfn.IFS(G3769&lt;3, "0–2 Years", G3769&lt;6, "3–5 Years", G3769&lt;9, "6–8 Years", G3769&lt;12, "9-11 Years", G3769&gt;=12, "12-14 Years")</f>
        <v>12-14 Years</v>
      </c>
      <c r="J3769" s="7">
        <v>4</v>
      </c>
      <c r="K3769" t="s">
        <v>24</v>
      </c>
      <c r="L3769" s="7">
        <v>49800</v>
      </c>
      <c r="M3769" s="7">
        <v>3700</v>
      </c>
      <c r="N3769" s="7">
        <v>53500</v>
      </c>
      <c r="O3769" t="s">
        <v>65</v>
      </c>
      <c r="P3769" s="3">
        <v>41042</v>
      </c>
      <c r="Q3769" t="s">
        <v>19</v>
      </c>
    </row>
    <row r="3770" spans="1:17" x14ac:dyDescent="0.35">
      <c r="A3770" t="s">
        <v>3822</v>
      </c>
      <c r="B3770" t="s">
        <v>23</v>
      </c>
      <c r="C3770" s="7">
        <v>36</v>
      </c>
      <c r="D3770" t="s">
        <v>17</v>
      </c>
      <c r="E3770" t="s">
        <v>27</v>
      </c>
      <c r="F3770" t="s">
        <v>36</v>
      </c>
      <c r="G3770" s="9">
        <v>12.3</v>
      </c>
      <c r="H3770" s="7">
        <v>6.6</v>
      </c>
      <c r="I3770" t="str" cm="1">
        <f t="array" ref="I3770">_xlfn.IFS(G3770&lt;3, "0–2 Years", G3770&lt;6, "3–5 Years", G3770&lt;9, "6–8 Years", G3770&lt;12, "9-11 Years", G3770&gt;=12, "12-14 Years")</f>
        <v>12-14 Years</v>
      </c>
      <c r="J3770" s="7">
        <v>1</v>
      </c>
      <c r="K3770" t="s">
        <v>20</v>
      </c>
      <c r="L3770" s="7">
        <v>75100</v>
      </c>
      <c r="M3770" s="7">
        <v>5200</v>
      </c>
      <c r="N3770" s="7">
        <v>80300</v>
      </c>
      <c r="O3770" t="s">
        <v>21</v>
      </c>
      <c r="P3770" s="3">
        <v>41513</v>
      </c>
      <c r="Q3770" t="s">
        <v>36</v>
      </c>
    </row>
    <row r="3771" spans="1:17" x14ac:dyDescent="0.35">
      <c r="A3771" t="s">
        <v>3823</v>
      </c>
      <c r="B3771" t="s">
        <v>23</v>
      </c>
      <c r="C3771">
        <v>29</v>
      </c>
      <c r="D3771" t="s">
        <v>55</v>
      </c>
      <c r="E3771" t="s">
        <v>79</v>
      </c>
      <c r="F3771" t="s">
        <v>28</v>
      </c>
      <c r="G3771">
        <v>10.199999999999999</v>
      </c>
      <c r="H3771">
        <v>6.8</v>
      </c>
      <c r="I3771" t="str" cm="1">
        <f t="array" ref="I3771">_xlfn.IFS(G3771&lt;3, "0–2 Years", G3771&lt;6, "3–5 Years", G3771&lt;9, "6–8 Years", G3771&lt;12, "9-11 Years", G3771&gt;=12, "12-14 Years")</f>
        <v>9-11 Years</v>
      </c>
      <c r="J3771">
        <v>3</v>
      </c>
      <c r="K3771" t="s">
        <v>20</v>
      </c>
      <c r="L3771">
        <v>68200</v>
      </c>
      <c r="M3771">
        <v>13900</v>
      </c>
      <c r="N3771">
        <v>82100</v>
      </c>
      <c r="O3771" t="s">
        <v>21</v>
      </c>
      <c r="P3771" s="3">
        <v>42291</v>
      </c>
      <c r="Q3771" t="s">
        <v>28</v>
      </c>
    </row>
    <row r="3772" spans="1:17" x14ac:dyDescent="0.35">
      <c r="A3772" t="s">
        <v>3824</v>
      </c>
      <c r="B3772" t="s">
        <v>23</v>
      </c>
      <c r="C3772">
        <v>37</v>
      </c>
      <c r="D3772" t="s">
        <v>38</v>
      </c>
      <c r="E3772" t="s">
        <v>39</v>
      </c>
      <c r="F3772" t="s">
        <v>28</v>
      </c>
      <c r="G3772">
        <v>9</v>
      </c>
      <c r="H3772">
        <v>7.3</v>
      </c>
      <c r="I3772" t="str" cm="1">
        <f t="array" ref="I3772">_xlfn.IFS(G3772&lt;3, "0–2 Years", G3772&lt;6, "3–5 Years", G3772&lt;9, "6–8 Years", G3772&lt;12, "9-11 Years", G3772&gt;=12, "12-14 Years")</f>
        <v>9-11 Years</v>
      </c>
      <c r="J3772">
        <v>2</v>
      </c>
      <c r="K3772" t="s">
        <v>20</v>
      </c>
      <c r="L3772">
        <v>81600</v>
      </c>
      <c r="M3772">
        <v>8500</v>
      </c>
      <c r="N3772">
        <v>90100</v>
      </c>
      <c r="O3772" t="s">
        <v>30</v>
      </c>
      <c r="P3772" s="3">
        <v>42741</v>
      </c>
      <c r="Q3772" t="s">
        <v>28</v>
      </c>
    </row>
    <row r="3773" spans="1:17" x14ac:dyDescent="0.35">
      <c r="A3773" t="s">
        <v>3825</v>
      </c>
      <c r="B3773" t="s">
        <v>23</v>
      </c>
      <c r="C3773" s="7">
        <v>30</v>
      </c>
      <c r="D3773" t="s">
        <v>38</v>
      </c>
      <c r="E3773" t="s">
        <v>112</v>
      </c>
      <c r="F3773" t="s">
        <v>36</v>
      </c>
      <c r="G3773" s="9">
        <v>13.5</v>
      </c>
      <c r="H3773" s="7">
        <v>9.6999999999999993</v>
      </c>
      <c r="I3773" t="str" cm="1">
        <f t="array" ref="I3773">_xlfn.IFS(G3773&lt;3, "0–2 Years", G3773&lt;6, "3–5 Years", G3773&lt;9, "6–8 Years", G3773&lt;12, "9-11 Years", G3773&gt;=12, "12-14 Years")</f>
        <v>12-14 Years</v>
      </c>
      <c r="J3773" s="7">
        <v>5</v>
      </c>
      <c r="K3773" t="s">
        <v>20</v>
      </c>
      <c r="L3773" s="7">
        <v>79000</v>
      </c>
      <c r="M3773" s="7">
        <v>8200</v>
      </c>
      <c r="N3773" s="7">
        <v>87200</v>
      </c>
      <c r="O3773" t="s">
        <v>21</v>
      </c>
      <c r="P3773" s="3">
        <v>41082</v>
      </c>
      <c r="Q3773" t="s">
        <v>36</v>
      </c>
    </row>
    <row r="3774" spans="1:17" x14ac:dyDescent="0.35">
      <c r="A3774" t="s">
        <v>3826</v>
      </c>
      <c r="B3774" t="s">
        <v>23</v>
      </c>
      <c r="C3774">
        <v>31</v>
      </c>
      <c r="D3774" t="s">
        <v>34</v>
      </c>
      <c r="E3774" t="s">
        <v>59</v>
      </c>
      <c r="F3774" t="s">
        <v>28</v>
      </c>
      <c r="G3774">
        <v>2.4</v>
      </c>
      <c r="H3774">
        <v>2.4</v>
      </c>
      <c r="I3774" t="str" cm="1">
        <f t="array" ref="I3774">_xlfn.IFS(G3774&lt;3, "0–2 Years", G3774&lt;6, "3–5 Years", G3774&lt;9, "6–8 Years", G3774&lt;12, "9-11 Years", G3774&gt;=12, "12-14 Years")</f>
        <v>0–2 Years</v>
      </c>
      <c r="J3774">
        <v>3</v>
      </c>
      <c r="K3774" t="s">
        <v>20</v>
      </c>
      <c r="L3774">
        <v>79300</v>
      </c>
      <c r="M3774">
        <v>9400</v>
      </c>
      <c r="N3774">
        <v>88700</v>
      </c>
      <c r="O3774" t="s">
        <v>21</v>
      </c>
      <c r="P3774" s="3">
        <v>45142</v>
      </c>
      <c r="Q3774" t="s">
        <v>28</v>
      </c>
    </row>
    <row r="3775" spans="1:17" x14ac:dyDescent="0.35">
      <c r="A3775" t="s">
        <v>3827</v>
      </c>
      <c r="B3775" t="s">
        <v>16</v>
      </c>
      <c r="C3775">
        <v>44</v>
      </c>
      <c r="D3775" t="s">
        <v>38</v>
      </c>
      <c r="E3775" t="s">
        <v>112</v>
      </c>
      <c r="F3775" t="s">
        <v>19</v>
      </c>
      <c r="G3775">
        <v>2.6</v>
      </c>
      <c r="H3775">
        <v>0.7</v>
      </c>
      <c r="I3775" t="str" cm="1">
        <f t="array" ref="I3775">_xlfn.IFS(G3775&lt;3, "0–2 Years", G3775&lt;6, "3–5 Years", G3775&lt;9, "6–8 Years", G3775&lt;12, "9-11 Years", G3775&gt;=12, "12-14 Years")</f>
        <v>0–2 Years</v>
      </c>
      <c r="J3775">
        <v>4</v>
      </c>
      <c r="K3775" t="s">
        <v>24</v>
      </c>
      <c r="L3775">
        <v>43600</v>
      </c>
      <c r="M3775">
        <v>4100</v>
      </c>
      <c r="N3775">
        <v>47700</v>
      </c>
      <c r="O3775" t="s">
        <v>65</v>
      </c>
      <c r="P3775" s="3">
        <v>45061</v>
      </c>
      <c r="Q3775" t="s">
        <v>19</v>
      </c>
    </row>
    <row r="3776" spans="1:17" x14ac:dyDescent="0.35">
      <c r="A3776" t="s">
        <v>3828</v>
      </c>
      <c r="B3776" t="s">
        <v>16</v>
      </c>
      <c r="C3776">
        <v>29</v>
      </c>
      <c r="D3776" t="s">
        <v>55</v>
      </c>
      <c r="E3776" t="s">
        <v>56</v>
      </c>
      <c r="F3776" t="s">
        <v>28</v>
      </c>
      <c r="G3776">
        <v>5.7</v>
      </c>
      <c r="H3776">
        <v>4.5999999999999996</v>
      </c>
      <c r="I3776" t="str" cm="1">
        <f t="array" ref="I3776">_xlfn.IFS(G3776&lt;3, "0–2 Years", G3776&lt;6, "3–5 Years", G3776&lt;9, "6–8 Years", G3776&lt;12, "9-11 Years", G3776&gt;=12, "12-14 Years")</f>
        <v>3–5 Years</v>
      </c>
      <c r="J3776">
        <v>4</v>
      </c>
      <c r="K3776" t="s">
        <v>20</v>
      </c>
      <c r="L3776">
        <v>93200</v>
      </c>
      <c r="M3776">
        <v>18500</v>
      </c>
      <c r="N3776">
        <v>111700</v>
      </c>
      <c r="O3776" t="s">
        <v>30</v>
      </c>
      <c r="P3776" s="3">
        <v>43928</v>
      </c>
      <c r="Q3776" t="s">
        <v>28</v>
      </c>
    </row>
    <row r="3777" spans="1:17" x14ac:dyDescent="0.35">
      <c r="A3777" t="s">
        <v>3829</v>
      </c>
      <c r="B3777" t="s">
        <v>16</v>
      </c>
      <c r="C3777" s="7">
        <v>32</v>
      </c>
      <c r="D3777" t="s">
        <v>38</v>
      </c>
      <c r="E3777" t="s">
        <v>61</v>
      </c>
      <c r="F3777" t="s">
        <v>19</v>
      </c>
      <c r="G3777" s="9">
        <v>12.6</v>
      </c>
      <c r="H3777" s="7">
        <v>8.6</v>
      </c>
      <c r="I3777" t="str" cm="1">
        <f t="array" ref="I3777">_xlfn.IFS(G3777&lt;3, "0–2 Years", G3777&lt;6, "3–5 Years", G3777&lt;9, "6–8 Years", G3777&lt;12, "9-11 Years", G3777&gt;=12, "12-14 Years")</f>
        <v>12-14 Years</v>
      </c>
      <c r="J3777" s="7">
        <v>3</v>
      </c>
      <c r="K3777" t="s">
        <v>20</v>
      </c>
      <c r="L3777" s="7">
        <v>107600</v>
      </c>
      <c r="M3777" s="7">
        <v>10200</v>
      </c>
      <c r="N3777" s="7">
        <v>117800</v>
      </c>
      <c r="O3777" t="s">
        <v>57</v>
      </c>
      <c r="P3777" s="3">
        <v>41430</v>
      </c>
      <c r="Q3777" t="s">
        <v>19</v>
      </c>
    </row>
    <row r="3778" spans="1:17" x14ac:dyDescent="0.35">
      <c r="A3778" t="s">
        <v>3830</v>
      </c>
      <c r="B3778" t="s">
        <v>16</v>
      </c>
      <c r="C3778">
        <v>28</v>
      </c>
      <c r="D3778" t="s">
        <v>34</v>
      </c>
      <c r="E3778" t="s">
        <v>47</v>
      </c>
      <c r="F3778" t="s">
        <v>36</v>
      </c>
      <c r="G3778">
        <v>2.1</v>
      </c>
      <c r="H3778">
        <v>1.2</v>
      </c>
      <c r="I3778" t="str" cm="1">
        <f t="array" ref="I3778">_xlfn.IFS(G3778&lt;3, "0–2 Years", G3778&lt;6, "3–5 Years", G3778&lt;9, "6–8 Years", G3778&lt;12, "9-11 Years", G3778&gt;=12, "12-14 Years")</f>
        <v>0–2 Years</v>
      </c>
      <c r="J3778">
        <v>4</v>
      </c>
      <c r="K3778" t="s">
        <v>20</v>
      </c>
      <c r="L3778">
        <v>77300</v>
      </c>
      <c r="M3778">
        <v>3300</v>
      </c>
      <c r="N3778">
        <v>80600</v>
      </c>
      <c r="O3778" t="s">
        <v>21</v>
      </c>
      <c r="P3778" s="3">
        <v>45250</v>
      </c>
      <c r="Q3778" t="s">
        <v>36</v>
      </c>
    </row>
    <row r="3779" spans="1:17" x14ac:dyDescent="0.35">
      <c r="A3779" t="s">
        <v>3831</v>
      </c>
      <c r="B3779" t="s">
        <v>23</v>
      </c>
      <c r="C3779" s="7">
        <v>36</v>
      </c>
      <c r="D3779" t="s">
        <v>34</v>
      </c>
      <c r="E3779" t="s">
        <v>59</v>
      </c>
      <c r="F3779" t="s">
        <v>36</v>
      </c>
      <c r="G3779" s="9">
        <v>13.2</v>
      </c>
      <c r="H3779" s="7">
        <v>8.5</v>
      </c>
      <c r="I3779" t="str" cm="1">
        <f t="array" ref="I3779">_xlfn.IFS(G3779&lt;3, "0–2 Years", G3779&lt;6, "3–5 Years", G3779&lt;9, "6–8 Years", G3779&lt;12, "9-11 Years", G3779&gt;=12, "12-14 Years")</f>
        <v>12-14 Years</v>
      </c>
      <c r="J3779" s="7">
        <v>4</v>
      </c>
      <c r="K3779" t="s">
        <v>20</v>
      </c>
      <c r="L3779" s="7">
        <v>121700</v>
      </c>
      <c r="M3779" s="7">
        <v>13700</v>
      </c>
      <c r="N3779" s="7">
        <v>135400</v>
      </c>
      <c r="O3779" t="s">
        <v>57</v>
      </c>
      <c r="P3779" s="3">
        <v>41197</v>
      </c>
      <c r="Q3779" t="s">
        <v>36</v>
      </c>
    </row>
    <row r="3780" spans="1:17" x14ac:dyDescent="0.35">
      <c r="A3780" t="s">
        <v>3832</v>
      </c>
      <c r="B3780" t="s">
        <v>16</v>
      </c>
      <c r="C3780">
        <v>38</v>
      </c>
      <c r="D3780" t="s">
        <v>44</v>
      </c>
      <c r="E3780" t="s">
        <v>45</v>
      </c>
      <c r="F3780" t="s">
        <v>28</v>
      </c>
      <c r="G3780">
        <v>5.8</v>
      </c>
      <c r="H3780">
        <v>4</v>
      </c>
      <c r="I3780" t="str" cm="1">
        <f t="array" ref="I3780">_xlfn.IFS(G3780&lt;3, "0–2 Years", G3780&lt;6, "3–5 Years", G3780&lt;9, "6–8 Years", G3780&lt;12, "9-11 Years", G3780&gt;=12, "12-14 Years")</f>
        <v>3–5 Years</v>
      </c>
      <c r="J3780">
        <v>3</v>
      </c>
      <c r="K3780" t="s">
        <v>20</v>
      </c>
      <c r="L3780">
        <v>71600</v>
      </c>
      <c r="M3780">
        <v>4200</v>
      </c>
      <c r="N3780">
        <v>75800</v>
      </c>
      <c r="O3780" t="s">
        <v>21</v>
      </c>
      <c r="P3780" s="3">
        <v>43892</v>
      </c>
      <c r="Q3780" t="s">
        <v>28</v>
      </c>
    </row>
    <row r="3781" spans="1:17" x14ac:dyDescent="0.35">
      <c r="A3781" t="s">
        <v>3833</v>
      </c>
      <c r="B3781" t="s">
        <v>23</v>
      </c>
      <c r="C3781">
        <v>39</v>
      </c>
      <c r="D3781" t="s">
        <v>17</v>
      </c>
      <c r="E3781" t="s">
        <v>27</v>
      </c>
      <c r="F3781" t="s">
        <v>36</v>
      </c>
      <c r="G3781">
        <v>9.5</v>
      </c>
      <c r="H3781">
        <v>7.2</v>
      </c>
      <c r="I3781" t="str" cm="1">
        <f t="array" ref="I3781">_xlfn.IFS(G3781&lt;3, "0–2 Years", G3781&lt;6, "3–5 Years", G3781&lt;9, "6–8 Years", G3781&lt;12, "9-11 Years", G3781&gt;=12, "12-14 Years")</f>
        <v>9-11 Years</v>
      </c>
      <c r="J3781">
        <v>4</v>
      </c>
      <c r="K3781" t="s">
        <v>20</v>
      </c>
      <c r="L3781">
        <v>89300</v>
      </c>
      <c r="M3781">
        <v>5700</v>
      </c>
      <c r="N3781">
        <v>95000</v>
      </c>
      <c r="O3781" t="s">
        <v>30</v>
      </c>
      <c r="P3781" s="3">
        <v>42564</v>
      </c>
      <c r="Q3781" t="s">
        <v>36</v>
      </c>
    </row>
    <row r="3782" spans="1:17" x14ac:dyDescent="0.35">
      <c r="A3782" t="s">
        <v>3834</v>
      </c>
      <c r="B3782" t="s">
        <v>23</v>
      </c>
      <c r="C3782" s="7">
        <v>36</v>
      </c>
      <c r="D3782" t="s">
        <v>34</v>
      </c>
      <c r="E3782" t="s">
        <v>35</v>
      </c>
      <c r="F3782" t="s">
        <v>28</v>
      </c>
      <c r="G3782" s="9">
        <v>13.9</v>
      </c>
      <c r="H3782" s="7">
        <v>9.5</v>
      </c>
      <c r="I3782" t="str" cm="1">
        <f t="array" ref="I3782">_xlfn.IFS(G3782&lt;3, "0–2 Years", G3782&lt;6, "3–5 Years", G3782&lt;9, "6–8 Years", G3782&lt;12, "9-11 Years", G3782&gt;=12, "12-14 Years")</f>
        <v>12-14 Years</v>
      </c>
      <c r="J3782" s="7">
        <v>4</v>
      </c>
      <c r="K3782" t="s">
        <v>20</v>
      </c>
      <c r="L3782" s="7">
        <v>83500</v>
      </c>
      <c r="M3782" s="7">
        <v>9000</v>
      </c>
      <c r="N3782" s="7">
        <v>92500</v>
      </c>
      <c r="O3782" t="s">
        <v>30</v>
      </c>
      <c r="P3782" s="3">
        <v>40933</v>
      </c>
      <c r="Q3782" t="s">
        <v>28</v>
      </c>
    </row>
    <row r="3783" spans="1:17" x14ac:dyDescent="0.35">
      <c r="A3783" t="s">
        <v>3835</v>
      </c>
      <c r="B3783" t="s">
        <v>16</v>
      </c>
      <c r="C3783">
        <v>23</v>
      </c>
      <c r="D3783" t="s">
        <v>44</v>
      </c>
      <c r="E3783" t="s">
        <v>51</v>
      </c>
      <c r="F3783" t="s">
        <v>28</v>
      </c>
      <c r="G3783">
        <v>2.8</v>
      </c>
      <c r="H3783">
        <v>1.6</v>
      </c>
      <c r="I3783" t="str" cm="1">
        <f t="array" ref="I3783">_xlfn.IFS(G3783&lt;3, "0–2 Years", G3783&lt;6, "3–5 Years", G3783&lt;9, "6–8 Years", G3783&lt;12, "9-11 Years", G3783&gt;=12, "12-14 Years")</f>
        <v>0–2 Years</v>
      </c>
      <c r="J3783">
        <v>4</v>
      </c>
      <c r="K3783" t="s">
        <v>20</v>
      </c>
      <c r="L3783">
        <v>81400</v>
      </c>
      <c r="M3783">
        <v>7200</v>
      </c>
      <c r="N3783">
        <v>88600</v>
      </c>
      <c r="O3783" t="s">
        <v>30</v>
      </c>
      <c r="P3783" s="3">
        <v>45010</v>
      </c>
      <c r="Q3783" t="s">
        <v>28</v>
      </c>
    </row>
    <row r="3784" spans="1:17" x14ac:dyDescent="0.35">
      <c r="A3784" t="s">
        <v>3836</v>
      </c>
      <c r="B3784" t="s">
        <v>23</v>
      </c>
      <c r="C3784">
        <v>26</v>
      </c>
      <c r="D3784" t="s">
        <v>38</v>
      </c>
      <c r="E3784" t="s">
        <v>112</v>
      </c>
      <c r="F3784" t="s">
        <v>28</v>
      </c>
      <c r="G3784">
        <v>2.9</v>
      </c>
      <c r="H3784">
        <v>2.9</v>
      </c>
      <c r="I3784" t="str" cm="1">
        <f t="array" ref="I3784">_xlfn.IFS(G3784&lt;3, "0–2 Years", G3784&lt;6, "3–5 Years", G3784&lt;9, "6–8 Years", G3784&lt;12, "9-11 Years", G3784&gt;=12, "12-14 Years")</f>
        <v>0–2 Years</v>
      </c>
      <c r="J3784">
        <v>4</v>
      </c>
      <c r="K3784" t="s">
        <v>20</v>
      </c>
      <c r="L3784">
        <v>56700</v>
      </c>
      <c r="M3784">
        <v>2900</v>
      </c>
      <c r="N3784">
        <v>59600</v>
      </c>
      <c r="O3784" t="s">
        <v>25</v>
      </c>
      <c r="P3784" s="3">
        <v>44965</v>
      </c>
      <c r="Q3784" t="s">
        <v>28</v>
      </c>
    </row>
    <row r="3785" spans="1:17" x14ac:dyDescent="0.35">
      <c r="A3785" t="s">
        <v>3837</v>
      </c>
      <c r="B3785" t="s">
        <v>16</v>
      </c>
      <c r="C3785">
        <v>38</v>
      </c>
      <c r="D3785" t="s">
        <v>44</v>
      </c>
      <c r="E3785" t="s">
        <v>51</v>
      </c>
      <c r="F3785" t="s">
        <v>28</v>
      </c>
      <c r="G3785">
        <v>10.6</v>
      </c>
      <c r="H3785">
        <v>6.9</v>
      </c>
      <c r="I3785" t="str" cm="1">
        <f t="array" ref="I3785">_xlfn.IFS(G3785&lt;3, "0–2 Years", G3785&lt;6, "3–5 Years", G3785&lt;9, "6–8 Years", G3785&lt;12, "9-11 Years", G3785&gt;=12, "12-14 Years")</f>
        <v>9-11 Years</v>
      </c>
      <c r="J3785">
        <v>1</v>
      </c>
      <c r="K3785" t="s">
        <v>20</v>
      </c>
      <c r="L3785">
        <v>85200</v>
      </c>
      <c r="M3785">
        <v>6500</v>
      </c>
      <c r="N3785">
        <v>91700</v>
      </c>
      <c r="O3785" t="s">
        <v>30</v>
      </c>
      <c r="P3785" s="3">
        <v>42144</v>
      </c>
      <c r="Q3785" t="s">
        <v>28</v>
      </c>
    </row>
    <row r="3786" spans="1:17" x14ac:dyDescent="0.35">
      <c r="A3786" t="s">
        <v>3838</v>
      </c>
      <c r="B3786" t="s">
        <v>23</v>
      </c>
      <c r="C3786" s="7">
        <v>23</v>
      </c>
      <c r="D3786" t="s">
        <v>17</v>
      </c>
      <c r="E3786" t="s">
        <v>32</v>
      </c>
      <c r="F3786" t="s">
        <v>19</v>
      </c>
      <c r="G3786" s="9">
        <v>13.7</v>
      </c>
      <c r="H3786" s="7">
        <v>9.4</v>
      </c>
      <c r="I3786" t="str" cm="1">
        <f t="array" ref="I3786">_xlfn.IFS(G3786&lt;3, "0–2 Years", G3786&lt;6, "3–5 Years", G3786&lt;9, "6–8 Years", G3786&lt;12, "9-11 Years", G3786&gt;=12, "12-14 Years")</f>
        <v>12-14 Years</v>
      </c>
      <c r="J3786" s="7">
        <v>3</v>
      </c>
      <c r="K3786" t="s">
        <v>20</v>
      </c>
      <c r="L3786" s="7">
        <v>64100</v>
      </c>
      <c r="M3786" s="7">
        <v>7200</v>
      </c>
      <c r="N3786" s="7">
        <v>71300</v>
      </c>
      <c r="O3786" t="s">
        <v>25</v>
      </c>
      <c r="P3786" s="3">
        <v>41014</v>
      </c>
      <c r="Q3786" t="s">
        <v>19</v>
      </c>
    </row>
    <row r="3787" spans="1:17" x14ac:dyDescent="0.35">
      <c r="A3787" t="s">
        <v>3839</v>
      </c>
      <c r="B3787" t="s">
        <v>16</v>
      </c>
      <c r="C3787">
        <v>39</v>
      </c>
      <c r="D3787" t="s">
        <v>17</v>
      </c>
      <c r="E3787" t="s">
        <v>32</v>
      </c>
      <c r="F3787" t="s">
        <v>19</v>
      </c>
      <c r="G3787">
        <v>1.1000000000000001</v>
      </c>
      <c r="H3787">
        <v>0</v>
      </c>
      <c r="I3787" t="str" cm="1">
        <f t="array" ref="I3787">_xlfn.IFS(G3787&lt;3, "0–2 Years", G3787&lt;6, "3–5 Years", G3787&lt;9, "6–8 Years", G3787&lt;12, "9-11 Years", G3787&gt;=12, "12-14 Years")</f>
        <v>0–2 Years</v>
      </c>
      <c r="J3787">
        <v>3</v>
      </c>
      <c r="K3787" t="s">
        <v>20</v>
      </c>
      <c r="L3787">
        <v>54300</v>
      </c>
      <c r="M3787">
        <v>5900</v>
      </c>
      <c r="N3787">
        <v>60200</v>
      </c>
      <c r="O3787" t="s">
        <v>25</v>
      </c>
      <c r="P3787" s="3">
        <v>45626</v>
      </c>
      <c r="Q3787" t="s">
        <v>19</v>
      </c>
    </row>
    <row r="3788" spans="1:17" x14ac:dyDescent="0.35">
      <c r="A3788" t="s">
        <v>3840</v>
      </c>
      <c r="B3788" t="s">
        <v>23</v>
      </c>
      <c r="C3788">
        <v>24</v>
      </c>
      <c r="D3788" t="s">
        <v>55</v>
      </c>
      <c r="E3788" t="s">
        <v>79</v>
      </c>
      <c r="F3788" t="s">
        <v>28</v>
      </c>
      <c r="G3788">
        <v>6.4</v>
      </c>
      <c r="H3788">
        <v>5.7</v>
      </c>
      <c r="I3788" t="str" cm="1">
        <f t="array" ref="I3788">_xlfn.IFS(G3788&lt;3, "0–2 Years", G3788&lt;6, "3–5 Years", G3788&lt;9, "6–8 Years", G3788&lt;12, "9-11 Years", G3788&gt;=12, "12-14 Years")</f>
        <v>6–8 Years</v>
      </c>
      <c r="J3788">
        <v>3</v>
      </c>
      <c r="K3788" t="s">
        <v>20</v>
      </c>
      <c r="L3788">
        <v>62900</v>
      </c>
      <c r="M3788">
        <v>12400</v>
      </c>
      <c r="N3788">
        <v>75300</v>
      </c>
      <c r="O3788" t="s">
        <v>25</v>
      </c>
      <c r="P3788" s="3">
        <v>43688</v>
      </c>
      <c r="Q3788" t="s">
        <v>28</v>
      </c>
    </row>
    <row r="3789" spans="1:17" x14ac:dyDescent="0.35">
      <c r="A3789" t="s">
        <v>3841</v>
      </c>
      <c r="B3789" t="s">
        <v>23</v>
      </c>
      <c r="C3789">
        <v>29</v>
      </c>
      <c r="D3789" t="s">
        <v>38</v>
      </c>
      <c r="E3789" t="s">
        <v>112</v>
      </c>
      <c r="F3789" t="s">
        <v>36</v>
      </c>
      <c r="G3789">
        <v>11.9</v>
      </c>
      <c r="H3789">
        <v>9.5</v>
      </c>
      <c r="I3789" t="str" cm="1">
        <f t="array" ref="I3789">_xlfn.IFS(G3789&lt;3, "0–2 Years", G3789&lt;6, "3–5 Years", G3789&lt;9, "6–8 Years", G3789&lt;12, "9-11 Years", G3789&gt;=12, "12-14 Years")</f>
        <v>9-11 Years</v>
      </c>
      <c r="J3789">
        <v>4</v>
      </c>
      <c r="K3789" t="s">
        <v>20</v>
      </c>
      <c r="L3789">
        <v>78500</v>
      </c>
      <c r="M3789">
        <v>3300</v>
      </c>
      <c r="N3789">
        <v>81800</v>
      </c>
      <c r="O3789" t="s">
        <v>21</v>
      </c>
      <c r="P3789" s="3">
        <v>41668</v>
      </c>
      <c r="Q3789" t="s">
        <v>36</v>
      </c>
    </row>
    <row r="3790" spans="1:17" x14ac:dyDescent="0.35">
      <c r="A3790" t="s">
        <v>3842</v>
      </c>
      <c r="B3790" t="s">
        <v>16</v>
      </c>
      <c r="C3790">
        <v>32</v>
      </c>
      <c r="D3790" t="s">
        <v>55</v>
      </c>
      <c r="E3790" t="s">
        <v>56</v>
      </c>
      <c r="F3790" t="s">
        <v>36</v>
      </c>
      <c r="G3790">
        <v>10.3</v>
      </c>
      <c r="H3790">
        <v>6.7</v>
      </c>
      <c r="I3790" t="str" cm="1">
        <f t="array" ref="I3790">_xlfn.IFS(G3790&lt;3, "0–2 Years", G3790&lt;6, "3–5 Years", G3790&lt;9, "6–8 Years", G3790&lt;12, "9-11 Years", G3790&gt;=12, "12-14 Years")</f>
        <v>9-11 Years</v>
      </c>
      <c r="J3790">
        <v>3</v>
      </c>
      <c r="K3790" t="s">
        <v>20</v>
      </c>
      <c r="L3790">
        <v>114100</v>
      </c>
      <c r="M3790">
        <v>9900</v>
      </c>
      <c r="N3790">
        <v>124000</v>
      </c>
      <c r="O3790" t="s">
        <v>57</v>
      </c>
      <c r="P3790" s="3">
        <v>42272</v>
      </c>
      <c r="Q3790" t="s">
        <v>36</v>
      </c>
    </row>
    <row r="3791" spans="1:17" x14ac:dyDescent="0.35">
      <c r="A3791" t="s">
        <v>3843</v>
      </c>
      <c r="B3791" t="s">
        <v>16</v>
      </c>
      <c r="C3791">
        <v>21</v>
      </c>
      <c r="D3791" t="s">
        <v>55</v>
      </c>
      <c r="E3791" t="s">
        <v>79</v>
      </c>
      <c r="F3791" t="s">
        <v>19</v>
      </c>
      <c r="G3791">
        <v>6.8</v>
      </c>
      <c r="H3791">
        <v>4</v>
      </c>
      <c r="I3791" t="str" cm="1">
        <f t="array" ref="I3791">_xlfn.IFS(G3791&lt;3, "0–2 Years", G3791&lt;6, "3–5 Years", G3791&lt;9, "6–8 Years", G3791&lt;12, "9-11 Years", G3791&gt;=12, "12-14 Years")</f>
        <v>6–8 Years</v>
      </c>
      <c r="J3791">
        <v>3</v>
      </c>
      <c r="K3791" t="s">
        <v>20</v>
      </c>
      <c r="L3791">
        <v>64000</v>
      </c>
      <c r="M3791">
        <v>9900</v>
      </c>
      <c r="N3791">
        <v>73900</v>
      </c>
      <c r="O3791" t="s">
        <v>25</v>
      </c>
      <c r="P3791" s="3">
        <v>43538</v>
      </c>
      <c r="Q3791" t="s">
        <v>19</v>
      </c>
    </row>
    <row r="3792" spans="1:17" x14ac:dyDescent="0.35">
      <c r="A3792" t="s">
        <v>3844</v>
      </c>
      <c r="B3792" t="s">
        <v>23</v>
      </c>
      <c r="C3792">
        <v>42</v>
      </c>
      <c r="D3792" t="s">
        <v>44</v>
      </c>
      <c r="E3792" t="s">
        <v>45</v>
      </c>
      <c r="F3792" t="s">
        <v>62</v>
      </c>
      <c r="G3792">
        <v>11.7</v>
      </c>
      <c r="H3792">
        <v>6.7</v>
      </c>
      <c r="I3792" t="str" cm="1">
        <f t="array" ref="I3792">_xlfn.IFS(G3792&lt;3, "0–2 Years", G3792&lt;6, "3–5 Years", G3792&lt;9, "6–8 Years", G3792&lt;12, "9-11 Years", G3792&gt;=12, "12-14 Years")</f>
        <v>9-11 Years</v>
      </c>
      <c r="J3792">
        <v>4</v>
      </c>
      <c r="K3792" t="s">
        <v>20</v>
      </c>
      <c r="L3792">
        <v>98500</v>
      </c>
      <c r="M3792">
        <v>7300</v>
      </c>
      <c r="N3792">
        <v>105800</v>
      </c>
      <c r="O3792" t="s">
        <v>30</v>
      </c>
      <c r="P3792" s="3">
        <v>41734</v>
      </c>
      <c r="Q3792" t="s">
        <v>62</v>
      </c>
    </row>
    <row r="3793" spans="1:17" x14ac:dyDescent="0.35">
      <c r="A3793" t="s">
        <v>3845</v>
      </c>
      <c r="B3793" t="s">
        <v>23</v>
      </c>
      <c r="C3793">
        <v>37</v>
      </c>
      <c r="D3793" t="s">
        <v>44</v>
      </c>
      <c r="E3793" t="s">
        <v>76</v>
      </c>
      <c r="F3793" t="s">
        <v>36</v>
      </c>
      <c r="G3793">
        <v>4.3</v>
      </c>
      <c r="H3793">
        <v>4.2</v>
      </c>
      <c r="I3793" t="str" cm="1">
        <f t="array" ref="I3793">_xlfn.IFS(G3793&lt;3, "0–2 Years", G3793&lt;6, "3–5 Years", G3793&lt;9, "6–8 Years", G3793&lt;12, "9-11 Years", G3793&gt;=12, "12-14 Years")</f>
        <v>3–5 Years</v>
      </c>
      <c r="J3793">
        <v>5</v>
      </c>
      <c r="K3793" t="s">
        <v>20</v>
      </c>
      <c r="L3793">
        <v>110900</v>
      </c>
      <c r="M3793">
        <v>10100</v>
      </c>
      <c r="N3793">
        <v>121000</v>
      </c>
      <c r="O3793" t="s">
        <v>57</v>
      </c>
      <c r="P3793" s="3">
        <v>44449</v>
      </c>
      <c r="Q3793" t="s">
        <v>36</v>
      </c>
    </row>
    <row r="3794" spans="1:17" x14ac:dyDescent="0.35">
      <c r="A3794" t="s">
        <v>3846</v>
      </c>
      <c r="B3794" t="s">
        <v>16</v>
      </c>
      <c r="C3794">
        <v>38</v>
      </c>
      <c r="D3794" t="s">
        <v>41</v>
      </c>
      <c r="E3794" t="s">
        <v>42</v>
      </c>
      <c r="F3794" t="s">
        <v>28</v>
      </c>
      <c r="G3794">
        <v>6.1</v>
      </c>
      <c r="H3794">
        <v>4.0999999999999996</v>
      </c>
      <c r="I3794" t="str" cm="1">
        <f t="array" ref="I3794">_xlfn.IFS(G3794&lt;3, "0–2 Years", G3794&lt;6, "3–5 Years", G3794&lt;9, "6–8 Years", G3794&lt;12, "9-11 Years", G3794&gt;=12, "12-14 Years")</f>
        <v>6–8 Years</v>
      </c>
      <c r="J3794">
        <v>5</v>
      </c>
      <c r="K3794" t="s">
        <v>20</v>
      </c>
      <c r="L3794">
        <v>69400</v>
      </c>
      <c r="M3794">
        <v>3000</v>
      </c>
      <c r="N3794">
        <v>72400</v>
      </c>
      <c r="O3794" t="s">
        <v>21</v>
      </c>
      <c r="P3794" s="3">
        <v>43785</v>
      </c>
      <c r="Q3794" t="s">
        <v>28</v>
      </c>
    </row>
    <row r="3795" spans="1:17" x14ac:dyDescent="0.35">
      <c r="A3795" t="s">
        <v>3847</v>
      </c>
      <c r="B3795" t="s">
        <v>23</v>
      </c>
      <c r="C3795">
        <v>39</v>
      </c>
      <c r="D3795" t="s">
        <v>41</v>
      </c>
      <c r="E3795" t="s">
        <v>73</v>
      </c>
      <c r="F3795" t="s">
        <v>19</v>
      </c>
      <c r="G3795">
        <v>7.7</v>
      </c>
      <c r="H3795">
        <v>5.7</v>
      </c>
      <c r="I3795" t="str" cm="1">
        <f t="array" ref="I3795">_xlfn.IFS(G3795&lt;3, "0–2 Years", G3795&lt;6, "3–5 Years", G3795&lt;9, "6–8 Years", G3795&lt;12, "9-11 Years", G3795&gt;=12, "12-14 Years")</f>
        <v>6–8 Years</v>
      </c>
      <c r="J3795">
        <v>4</v>
      </c>
      <c r="K3795" t="s">
        <v>20</v>
      </c>
      <c r="L3795">
        <v>87500</v>
      </c>
      <c r="M3795">
        <v>3300</v>
      </c>
      <c r="N3795">
        <v>90800</v>
      </c>
      <c r="O3795" t="s">
        <v>30</v>
      </c>
      <c r="P3795" s="3">
        <v>43225</v>
      </c>
      <c r="Q3795" t="s">
        <v>19</v>
      </c>
    </row>
    <row r="3796" spans="1:17" x14ac:dyDescent="0.35">
      <c r="A3796" t="s">
        <v>3848</v>
      </c>
      <c r="B3796" t="s">
        <v>23</v>
      </c>
      <c r="C3796">
        <v>34</v>
      </c>
      <c r="D3796" t="s">
        <v>34</v>
      </c>
      <c r="E3796" t="s">
        <v>47</v>
      </c>
      <c r="F3796" t="s">
        <v>62</v>
      </c>
      <c r="G3796">
        <v>10.4</v>
      </c>
      <c r="H3796">
        <v>8.1999999999999993</v>
      </c>
      <c r="I3796" t="str" cm="1">
        <f t="array" ref="I3796">_xlfn.IFS(G3796&lt;3, "0–2 Years", G3796&lt;6, "3–5 Years", G3796&lt;9, "6–8 Years", G3796&lt;12, "9-11 Years", G3796&gt;=12, "12-14 Years")</f>
        <v>9-11 Years</v>
      </c>
      <c r="J3796">
        <v>4</v>
      </c>
      <c r="K3796" t="s">
        <v>20</v>
      </c>
      <c r="L3796">
        <v>85700</v>
      </c>
      <c r="M3796">
        <v>7600</v>
      </c>
      <c r="N3796">
        <v>93300</v>
      </c>
      <c r="O3796" t="s">
        <v>30</v>
      </c>
      <c r="P3796" s="3">
        <v>42224</v>
      </c>
      <c r="Q3796" t="s">
        <v>62</v>
      </c>
    </row>
    <row r="3797" spans="1:17" x14ac:dyDescent="0.35">
      <c r="A3797" t="s">
        <v>3849</v>
      </c>
      <c r="B3797" t="s">
        <v>23</v>
      </c>
      <c r="C3797">
        <v>48</v>
      </c>
      <c r="D3797" t="s">
        <v>17</v>
      </c>
      <c r="E3797" t="s">
        <v>27</v>
      </c>
      <c r="F3797" t="s">
        <v>36</v>
      </c>
      <c r="G3797">
        <v>7.2</v>
      </c>
      <c r="H3797">
        <v>3.6</v>
      </c>
      <c r="I3797" t="str" cm="1">
        <f t="array" ref="I3797">_xlfn.IFS(G3797&lt;3, "0–2 Years", G3797&lt;6, "3–5 Years", G3797&lt;9, "6–8 Years", G3797&lt;12, "9-11 Years", G3797&gt;=12, "12-14 Years")</f>
        <v>6–8 Years</v>
      </c>
      <c r="J3797">
        <v>5</v>
      </c>
      <c r="K3797" t="s">
        <v>20</v>
      </c>
      <c r="L3797">
        <v>79600</v>
      </c>
      <c r="M3797">
        <v>7200</v>
      </c>
      <c r="N3797">
        <v>86800</v>
      </c>
      <c r="O3797" t="s">
        <v>21</v>
      </c>
      <c r="P3797" s="3">
        <v>43375</v>
      </c>
      <c r="Q3797" t="s">
        <v>36</v>
      </c>
    </row>
    <row r="3798" spans="1:17" x14ac:dyDescent="0.35">
      <c r="A3798" t="s">
        <v>3850</v>
      </c>
      <c r="B3798" t="s">
        <v>23</v>
      </c>
      <c r="C3798">
        <v>31</v>
      </c>
      <c r="D3798" t="s">
        <v>38</v>
      </c>
      <c r="E3798" t="s">
        <v>61</v>
      </c>
      <c r="F3798" t="s">
        <v>28</v>
      </c>
      <c r="G3798">
        <v>5.5</v>
      </c>
      <c r="H3798">
        <v>4.2</v>
      </c>
      <c r="I3798" t="str" cm="1">
        <f t="array" ref="I3798">_xlfn.IFS(G3798&lt;3, "0–2 Years", G3798&lt;6, "3–5 Years", G3798&lt;9, "6–8 Years", G3798&lt;12, "9-11 Years", G3798&gt;=12, "12-14 Years")</f>
        <v>3–5 Years</v>
      </c>
      <c r="J3798">
        <v>5</v>
      </c>
      <c r="K3798" t="s">
        <v>20</v>
      </c>
      <c r="L3798">
        <v>105600</v>
      </c>
      <c r="M3798">
        <v>4800</v>
      </c>
      <c r="N3798">
        <v>110400</v>
      </c>
      <c r="O3798" t="s">
        <v>57</v>
      </c>
      <c r="P3798" s="3">
        <v>44017</v>
      </c>
      <c r="Q3798" t="s">
        <v>28</v>
      </c>
    </row>
    <row r="3799" spans="1:17" x14ac:dyDescent="0.35">
      <c r="A3799" t="s">
        <v>3851</v>
      </c>
      <c r="B3799" t="s">
        <v>23</v>
      </c>
      <c r="C3799">
        <v>49</v>
      </c>
      <c r="D3799" t="s">
        <v>34</v>
      </c>
      <c r="E3799" t="s">
        <v>47</v>
      </c>
      <c r="F3799" t="s">
        <v>36</v>
      </c>
      <c r="G3799">
        <v>1.2</v>
      </c>
      <c r="H3799">
        <v>0.3</v>
      </c>
      <c r="I3799" t="str" cm="1">
        <f t="array" ref="I3799">_xlfn.IFS(G3799&lt;3, "0–2 Years", G3799&lt;6, "3–5 Years", G3799&lt;9, "6–8 Years", G3799&lt;12, "9-11 Years", G3799&gt;=12, "12-14 Years")</f>
        <v>0–2 Years</v>
      </c>
      <c r="J3799">
        <v>3</v>
      </c>
      <c r="K3799" t="s">
        <v>20</v>
      </c>
      <c r="L3799">
        <v>81300</v>
      </c>
      <c r="M3799">
        <v>6200</v>
      </c>
      <c r="N3799">
        <v>87500</v>
      </c>
      <c r="O3799" t="s">
        <v>30</v>
      </c>
      <c r="P3799" s="3">
        <v>45602</v>
      </c>
      <c r="Q3799" t="s">
        <v>36</v>
      </c>
    </row>
    <row r="3800" spans="1:17" x14ac:dyDescent="0.35">
      <c r="A3800" t="s">
        <v>3852</v>
      </c>
      <c r="B3800" t="s">
        <v>23</v>
      </c>
      <c r="C3800">
        <v>31</v>
      </c>
      <c r="D3800" t="s">
        <v>55</v>
      </c>
      <c r="E3800" t="s">
        <v>92</v>
      </c>
      <c r="F3800" t="s">
        <v>36</v>
      </c>
      <c r="G3800">
        <v>7.2</v>
      </c>
      <c r="H3800">
        <v>5.4</v>
      </c>
      <c r="I3800" t="str" cm="1">
        <f t="array" ref="I3800">_xlfn.IFS(G3800&lt;3, "0–2 Years", G3800&lt;6, "3–5 Years", G3800&lt;9, "6–8 Years", G3800&lt;12, "9-11 Years", G3800&gt;=12, "12-14 Years")</f>
        <v>6–8 Years</v>
      </c>
      <c r="J3800">
        <v>3</v>
      </c>
      <c r="K3800" t="s">
        <v>20</v>
      </c>
      <c r="L3800">
        <v>107000</v>
      </c>
      <c r="M3800">
        <v>10200</v>
      </c>
      <c r="N3800">
        <v>117200</v>
      </c>
      <c r="O3800" t="s">
        <v>57</v>
      </c>
      <c r="P3800" s="3">
        <v>43390</v>
      </c>
      <c r="Q3800" t="s">
        <v>36</v>
      </c>
    </row>
    <row r="3801" spans="1:17" x14ac:dyDescent="0.35">
      <c r="A3801" t="s">
        <v>3853</v>
      </c>
      <c r="B3801" t="s">
        <v>23</v>
      </c>
      <c r="C3801">
        <v>44</v>
      </c>
      <c r="D3801" t="s">
        <v>17</v>
      </c>
      <c r="E3801" t="s">
        <v>18</v>
      </c>
      <c r="F3801" t="s">
        <v>36</v>
      </c>
      <c r="G3801">
        <v>11.6</v>
      </c>
      <c r="H3801">
        <v>9.3000000000000007</v>
      </c>
      <c r="I3801" t="str" cm="1">
        <f t="array" ref="I3801">_xlfn.IFS(G3801&lt;3, "0–2 Years", G3801&lt;6, "3–5 Years", G3801&lt;9, "6–8 Years", G3801&lt;12, "9-11 Years", G3801&gt;=12, "12-14 Years")</f>
        <v>9-11 Years</v>
      </c>
      <c r="J3801">
        <v>4</v>
      </c>
      <c r="K3801" t="s">
        <v>20</v>
      </c>
      <c r="L3801">
        <v>122500</v>
      </c>
      <c r="M3801">
        <v>9900</v>
      </c>
      <c r="N3801">
        <v>132400</v>
      </c>
      <c r="O3801" t="s">
        <v>57</v>
      </c>
      <c r="P3801" s="3">
        <v>41776</v>
      </c>
      <c r="Q3801" t="s">
        <v>36</v>
      </c>
    </row>
    <row r="3802" spans="1:17" x14ac:dyDescent="0.35">
      <c r="A3802" t="s">
        <v>3854</v>
      </c>
      <c r="B3802" t="s">
        <v>23</v>
      </c>
      <c r="C3802">
        <v>21</v>
      </c>
      <c r="D3802" t="s">
        <v>41</v>
      </c>
      <c r="E3802" t="s">
        <v>42</v>
      </c>
      <c r="F3802" t="s">
        <v>19</v>
      </c>
      <c r="G3802">
        <v>5.5</v>
      </c>
      <c r="H3802">
        <v>4.4000000000000004</v>
      </c>
      <c r="I3802" t="str" cm="1">
        <f t="array" ref="I3802">_xlfn.IFS(G3802&lt;3, "0–2 Years", G3802&lt;6, "3–5 Years", G3802&lt;9, "6–8 Years", G3802&lt;12, "9-11 Years", G3802&gt;=12, "12-14 Years")</f>
        <v>3–5 Years</v>
      </c>
      <c r="J3802">
        <v>3</v>
      </c>
      <c r="K3802" t="s">
        <v>20</v>
      </c>
      <c r="L3802">
        <v>76900</v>
      </c>
      <c r="M3802">
        <v>5200</v>
      </c>
      <c r="N3802">
        <v>82100</v>
      </c>
      <c r="O3802" t="s">
        <v>21</v>
      </c>
      <c r="P3802" s="3">
        <v>44004</v>
      </c>
      <c r="Q3802" t="s">
        <v>19</v>
      </c>
    </row>
    <row r="3803" spans="1:17" x14ac:dyDescent="0.35">
      <c r="A3803" t="s">
        <v>3855</v>
      </c>
      <c r="B3803" t="s">
        <v>23</v>
      </c>
      <c r="C3803">
        <v>50</v>
      </c>
      <c r="D3803" t="s">
        <v>38</v>
      </c>
      <c r="E3803" t="s">
        <v>112</v>
      </c>
      <c r="F3803" t="s">
        <v>28</v>
      </c>
      <c r="G3803">
        <v>2.8</v>
      </c>
      <c r="H3803">
        <v>2.2000000000000002</v>
      </c>
      <c r="I3803" t="str" cm="1">
        <f t="array" ref="I3803">_xlfn.IFS(G3803&lt;3, "0–2 Years", G3803&lt;6, "3–5 Years", G3803&lt;9, "6–8 Years", G3803&lt;12, "9-11 Years", G3803&gt;=12, "12-14 Years")</f>
        <v>0–2 Years</v>
      </c>
      <c r="J3803">
        <v>3</v>
      </c>
      <c r="K3803" t="s">
        <v>20</v>
      </c>
      <c r="L3803">
        <v>67400</v>
      </c>
      <c r="M3803">
        <v>3800</v>
      </c>
      <c r="N3803">
        <v>71200</v>
      </c>
      <c r="O3803" t="s">
        <v>21</v>
      </c>
      <c r="P3803" s="3">
        <v>45018</v>
      </c>
      <c r="Q3803" t="s">
        <v>28</v>
      </c>
    </row>
    <row r="3804" spans="1:17" x14ac:dyDescent="0.35">
      <c r="A3804" t="s">
        <v>3856</v>
      </c>
      <c r="B3804" t="s">
        <v>23</v>
      </c>
      <c r="C3804">
        <v>42</v>
      </c>
      <c r="D3804" t="s">
        <v>55</v>
      </c>
      <c r="E3804" t="s">
        <v>56</v>
      </c>
      <c r="F3804" t="s">
        <v>19</v>
      </c>
      <c r="G3804">
        <v>7.5</v>
      </c>
      <c r="H3804">
        <v>5.0999999999999996</v>
      </c>
      <c r="I3804" t="str" cm="1">
        <f t="array" ref="I3804">_xlfn.IFS(G3804&lt;3, "0–2 Years", G3804&lt;6, "3–5 Years", G3804&lt;9, "6–8 Years", G3804&lt;12, "9-11 Years", G3804&gt;=12, "12-14 Years")</f>
        <v>6–8 Years</v>
      </c>
      <c r="J3804">
        <v>3</v>
      </c>
      <c r="K3804" t="s">
        <v>20</v>
      </c>
      <c r="L3804">
        <v>89100</v>
      </c>
      <c r="M3804">
        <v>15700</v>
      </c>
      <c r="N3804">
        <v>104800</v>
      </c>
      <c r="O3804" t="s">
        <v>30</v>
      </c>
      <c r="P3804" s="3">
        <v>43279</v>
      </c>
      <c r="Q3804" t="s">
        <v>19</v>
      </c>
    </row>
    <row r="3805" spans="1:17" x14ac:dyDescent="0.35">
      <c r="A3805" t="s">
        <v>3857</v>
      </c>
      <c r="B3805" t="s">
        <v>16</v>
      </c>
      <c r="C3805">
        <v>24</v>
      </c>
      <c r="D3805" t="s">
        <v>44</v>
      </c>
      <c r="E3805" t="s">
        <v>51</v>
      </c>
      <c r="F3805" t="s">
        <v>28</v>
      </c>
      <c r="G3805">
        <v>1.6</v>
      </c>
      <c r="H3805">
        <v>0.1</v>
      </c>
      <c r="I3805" t="str" cm="1">
        <f t="array" ref="I3805">_xlfn.IFS(G3805&lt;3, "0–2 Years", G3805&lt;6, "3–5 Years", G3805&lt;9, "6–8 Years", G3805&lt;12, "9-11 Years", G3805&gt;=12, "12-14 Years")</f>
        <v>0–2 Years</v>
      </c>
      <c r="J3805">
        <v>3</v>
      </c>
      <c r="K3805" t="s">
        <v>20</v>
      </c>
      <c r="L3805">
        <v>76700</v>
      </c>
      <c r="M3805">
        <v>11300</v>
      </c>
      <c r="N3805">
        <v>88000</v>
      </c>
      <c r="O3805" t="s">
        <v>21</v>
      </c>
      <c r="P3805" s="3">
        <v>45456</v>
      </c>
      <c r="Q3805" t="s">
        <v>28</v>
      </c>
    </row>
    <row r="3806" spans="1:17" x14ac:dyDescent="0.35">
      <c r="A3806" t="s">
        <v>3858</v>
      </c>
      <c r="B3806" t="s">
        <v>16</v>
      </c>
      <c r="C3806">
        <v>38</v>
      </c>
      <c r="D3806" t="s">
        <v>38</v>
      </c>
      <c r="E3806" t="s">
        <v>112</v>
      </c>
      <c r="F3806" t="s">
        <v>36</v>
      </c>
      <c r="G3806">
        <v>6.8</v>
      </c>
      <c r="H3806">
        <v>5.0999999999999996</v>
      </c>
      <c r="I3806" t="str" cm="1">
        <f t="array" ref="I3806">_xlfn.IFS(G3806&lt;3, "0–2 Years", G3806&lt;6, "3–5 Years", G3806&lt;9, "6–8 Years", G3806&lt;12, "9-11 Years", G3806&gt;=12, "12-14 Years")</f>
        <v>6–8 Years</v>
      </c>
      <c r="J3806">
        <v>3</v>
      </c>
      <c r="K3806" t="s">
        <v>69</v>
      </c>
      <c r="L3806">
        <v>62800</v>
      </c>
      <c r="M3806">
        <v>5100</v>
      </c>
      <c r="N3806">
        <v>67900</v>
      </c>
      <c r="O3806" t="s">
        <v>25</v>
      </c>
      <c r="P3806" s="3">
        <v>43536</v>
      </c>
      <c r="Q3806" t="s">
        <v>36</v>
      </c>
    </row>
    <row r="3807" spans="1:17" x14ac:dyDescent="0.35">
      <c r="A3807" t="s">
        <v>3859</v>
      </c>
      <c r="B3807" t="s">
        <v>23</v>
      </c>
      <c r="C3807">
        <v>32</v>
      </c>
      <c r="D3807" t="s">
        <v>55</v>
      </c>
      <c r="E3807" t="s">
        <v>56</v>
      </c>
      <c r="F3807" t="s">
        <v>28</v>
      </c>
      <c r="G3807">
        <v>3.3</v>
      </c>
      <c r="H3807">
        <v>2.2999999999999998</v>
      </c>
      <c r="I3807" t="str" cm="1">
        <f t="array" ref="I3807">_xlfn.IFS(G3807&lt;3, "0–2 Years", G3807&lt;6, "3–5 Years", G3807&lt;9, "6–8 Years", G3807&lt;12, "9-11 Years", G3807&gt;=12, "12-14 Years")</f>
        <v>3–5 Years</v>
      </c>
      <c r="J3807">
        <v>4</v>
      </c>
      <c r="K3807" t="s">
        <v>69</v>
      </c>
      <c r="L3807">
        <v>75000</v>
      </c>
      <c r="M3807">
        <v>15700</v>
      </c>
      <c r="N3807">
        <v>90700</v>
      </c>
      <c r="O3807" t="s">
        <v>21</v>
      </c>
      <c r="P3807" s="3">
        <v>44815</v>
      </c>
      <c r="Q3807" t="s">
        <v>28</v>
      </c>
    </row>
    <row r="3808" spans="1:17" x14ac:dyDescent="0.35">
      <c r="A3808" t="s">
        <v>3860</v>
      </c>
      <c r="B3808" t="s">
        <v>23</v>
      </c>
      <c r="C3808">
        <v>23</v>
      </c>
      <c r="D3808" t="s">
        <v>41</v>
      </c>
      <c r="E3808" t="s">
        <v>42</v>
      </c>
      <c r="F3808" t="s">
        <v>36</v>
      </c>
      <c r="G3808">
        <v>1.3</v>
      </c>
      <c r="H3808">
        <v>0</v>
      </c>
      <c r="I3808" t="str" cm="1">
        <f t="array" ref="I3808">_xlfn.IFS(G3808&lt;3, "0–2 Years", G3808&lt;6, "3–5 Years", G3808&lt;9, "6–8 Years", G3808&lt;12, "9-11 Years", G3808&gt;=12, "12-14 Years")</f>
        <v>0–2 Years</v>
      </c>
      <c r="J3808">
        <v>3</v>
      </c>
      <c r="K3808" t="s">
        <v>20</v>
      </c>
      <c r="L3808">
        <v>68300</v>
      </c>
      <c r="M3808">
        <v>3700</v>
      </c>
      <c r="N3808">
        <v>72000</v>
      </c>
      <c r="O3808" t="s">
        <v>21</v>
      </c>
      <c r="P3808" s="3">
        <v>45533</v>
      </c>
      <c r="Q3808" t="s">
        <v>36</v>
      </c>
    </row>
    <row r="3809" spans="1:17" x14ac:dyDescent="0.35">
      <c r="A3809" t="s">
        <v>3861</v>
      </c>
      <c r="B3809" t="s">
        <v>23</v>
      </c>
      <c r="C3809">
        <v>36</v>
      </c>
      <c r="D3809" t="s">
        <v>34</v>
      </c>
      <c r="E3809" t="s">
        <v>47</v>
      </c>
      <c r="F3809" t="s">
        <v>28</v>
      </c>
      <c r="G3809">
        <v>2.7</v>
      </c>
      <c r="H3809">
        <v>2.7</v>
      </c>
      <c r="I3809" t="str" cm="1">
        <f t="array" ref="I3809">_xlfn.IFS(G3809&lt;3, "0–2 Years", G3809&lt;6, "3–5 Years", G3809&lt;9, "6–8 Years", G3809&lt;12, "9-11 Years", G3809&gt;=12, "12-14 Years")</f>
        <v>0–2 Years</v>
      </c>
      <c r="J3809">
        <v>4</v>
      </c>
      <c r="K3809" t="s">
        <v>69</v>
      </c>
      <c r="L3809">
        <v>57700</v>
      </c>
      <c r="M3809">
        <v>6600</v>
      </c>
      <c r="N3809">
        <v>64300</v>
      </c>
      <c r="O3809" t="s">
        <v>25</v>
      </c>
      <c r="P3809" s="3">
        <v>45028</v>
      </c>
      <c r="Q3809" t="s">
        <v>28</v>
      </c>
    </row>
    <row r="3810" spans="1:17" x14ac:dyDescent="0.35">
      <c r="A3810" t="s">
        <v>3862</v>
      </c>
      <c r="B3810" t="s">
        <v>16</v>
      </c>
      <c r="C3810">
        <v>35</v>
      </c>
      <c r="D3810" t="s">
        <v>55</v>
      </c>
      <c r="E3810" t="s">
        <v>79</v>
      </c>
      <c r="F3810" t="s">
        <v>19</v>
      </c>
      <c r="G3810">
        <v>5.7</v>
      </c>
      <c r="H3810">
        <v>3.2</v>
      </c>
      <c r="I3810" t="str" cm="1">
        <f t="array" ref="I3810">_xlfn.IFS(G3810&lt;3, "0–2 Years", G3810&lt;6, "3–5 Years", G3810&lt;9, "6–8 Years", G3810&lt;12, "9-11 Years", G3810&gt;=12, "12-14 Years")</f>
        <v>3–5 Years</v>
      </c>
      <c r="J3810">
        <v>3</v>
      </c>
      <c r="K3810" t="s">
        <v>24</v>
      </c>
      <c r="L3810">
        <v>36200</v>
      </c>
      <c r="M3810">
        <v>2800</v>
      </c>
      <c r="N3810">
        <v>39000</v>
      </c>
      <c r="O3810" t="s">
        <v>65</v>
      </c>
      <c r="P3810" s="3">
        <v>43926</v>
      </c>
      <c r="Q3810" t="s">
        <v>19</v>
      </c>
    </row>
    <row r="3811" spans="1:17" x14ac:dyDescent="0.35">
      <c r="A3811" t="s">
        <v>3863</v>
      </c>
      <c r="B3811" t="s">
        <v>16</v>
      </c>
      <c r="C3811">
        <v>47</v>
      </c>
      <c r="D3811" t="s">
        <v>55</v>
      </c>
      <c r="E3811" t="s">
        <v>56</v>
      </c>
      <c r="F3811" t="s">
        <v>28</v>
      </c>
      <c r="G3811">
        <v>9.6999999999999993</v>
      </c>
      <c r="H3811">
        <v>6.9</v>
      </c>
      <c r="I3811" t="str" cm="1">
        <f t="array" ref="I3811">_xlfn.IFS(G3811&lt;3, "0–2 Years", G3811&lt;6, "3–5 Years", G3811&lt;9, "6–8 Years", G3811&lt;12, "9-11 Years", G3811&gt;=12, "12-14 Years")</f>
        <v>9-11 Years</v>
      </c>
      <c r="J3811">
        <v>3</v>
      </c>
      <c r="K3811" t="s">
        <v>20</v>
      </c>
      <c r="L3811">
        <v>100700</v>
      </c>
      <c r="M3811">
        <v>18600</v>
      </c>
      <c r="N3811">
        <v>119300</v>
      </c>
      <c r="O3811" t="s">
        <v>57</v>
      </c>
      <c r="P3811" s="3">
        <v>42469</v>
      </c>
      <c r="Q3811" t="s">
        <v>28</v>
      </c>
    </row>
    <row r="3812" spans="1:17" x14ac:dyDescent="0.35">
      <c r="A3812" t="s">
        <v>3864</v>
      </c>
      <c r="B3812" t="s">
        <v>23</v>
      </c>
      <c r="C3812">
        <v>28</v>
      </c>
      <c r="D3812" t="s">
        <v>41</v>
      </c>
      <c r="E3812" t="s">
        <v>67</v>
      </c>
      <c r="F3812" t="s">
        <v>28</v>
      </c>
      <c r="G3812">
        <v>10.7</v>
      </c>
      <c r="H3812">
        <v>6.6</v>
      </c>
      <c r="I3812" t="str" cm="1">
        <f t="array" ref="I3812">_xlfn.IFS(G3812&lt;3, "0–2 Years", G3812&lt;6, "3–5 Years", G3812&lt;9, "6–8 Years", G3812&lt;12, "9-11 Years", G3812&gt;=12, "12-14 Years")</f>
        <v>9-11 Years</v>
      </c>
      <c r="J3812">
        <v>4</v>
      </c>
      <c r="K3812" t="s">
        <v>20</v>
      </c>
      <c r="L3812">
        <v>83100</v>
      </c>
      <c r="M3812">
        <v>7400</v>
      </c>
      <c r="N3812">
        <v>90500</v>
      </c>
      <c r="O3812" t="s">
        <v>30</v>
      </c>
      <c r="P3812" s="3">
        <v>42105</v>
      </c>
      <c r="Q3812" t="s">
        <v>28</v>
      </c>
    </row>
    <row r="3813" spans="1:17" x14ac:dyDescent="0.35">
      <c r="A3813" t="s">
        <v>3865</v>
      </c>
      <c r="B3813" t="s">
        <v>23</v>
      </c>
      <c r="C3813">
        <v>35</v>
      </c>
      <c r="D3813" t="s">
        <v>38</v>
      </c>
      <c r="E3813" t="s">
        <v>112</v>
      </c>
      <c r="F3813" t="s">
        <v>28</v>
      </c>
      <c r="G3813">
        <v>10.4</v>
      </c>
      <c r="H3813">
        <v>8.3000000000000007</v>
      </c>
      <c r="I3813" t="str" cm="1">
        <f t="array" ref="I3813">_xlfn.IFS(G3813&lt;3, "0–2 Years", G3813&lt;6, "3–5 Years", G3813&lt;9, "6–8 Years", G3813&lt;12, "9-11 Years", G3813&gt;=12, "12-14 Years")</f>
        <v>9-11 Years</v>
      </c>
      <c r="J3813">
        <v>5</v>
      </c>
      <c r="K3813" t="s">
        <v>20</v>
      </c>
      <c r="L3813">
        <v>70600</v>
      </c>
      <c r="M3813">
        <v>3500</v>
      </c>
      <c r="N3813">
        <v>74100</v>
      </c>
      <c r="O3813" t="s">
        <v>21</v>
      </c>
      <c r="P3813" s="3">
        <v>42234</v>
      </c>
      <c r="Q3813" t="s">
        <v>28</v>
      </c>
    </row>
    <row r="3814" spans="1:17" x14ac:dyDescent="0.35">
      <c r="A3814" t="s">
        <v>3866</v>
      </c>
      <c r="B3814" t="s">
        <v>23</v>
      </c>
      <c r="C3814">
        <v>33</v>
      </c>
      <c r="D3814" t="s">
        <v>38</v>
      </c>
      <c r="E3814" t="s">
        <v>39</v>
      </c>
      <c r="F3814" t="s">
        <v>19</v>
      </c>
      <c r="G3814">
        <v>3.8</v>
      </c>
      <c r="H3814">
        <v>3.1</v>
      </c>
      <c r="I3814" t="str" cm="1">
        <f t="array" ref="I3814">_xlfn.IFS(G3814&lt;3, "0–2 Years", G3814&lt;6, "3–5 Years", G3814&lt;9, "6–8 Years", G3814&lt;12, "9-11 Years", G3814&gt;=12, "12-14 Years")</f>
        <v>3–5 Years</v>
      </c>
      <c r="J3814">
        <v>3</v>
      </c>
      <c r="K3814" t="s">
        <v>20</v>
      </c>
      <c r="L3814">
        <v>67500</v>
      </c>
      <c r="M3814">
        <v>5400</v>
      </c>
      <c r="N3814">
        <v>72900</v>
      </c>
      <c r="O3814" t="s">
        <v>21</v>
      </c>
      <c r="P3814" s="3">
        <v>44635</v>
      </c>
      <c r="Q3814" t="s">
        <v>19</v>
      </c>
    </row>
    <row r="3815" spans="1:17" x14ac:dyDescent="0.35">
      <c r="A3815" t="s">
        <v>3867</v>
      </c>
      <c r="B3815" t="s">
        <v>23</v>
      </c>
      <c r="C3815">
        <v>26</v>
      </c>
      <c r="D3815" t="s">
        <v>17</v>
      </c>
      <c r="E3815" t="s">
        <v>18</v>
      </c>
      <c r="F3815" t="s">
        <v>28</v>
      </c>
      <c r="G3815">
        <v>7.4</v>
      </c>
      <c r="H3815">
        <v>4</v>
      </c>
      <c r="I3815" t="str" cm="1">
        <f t="array" ref="I3815">_xlfn.IFS(G3815&lt;3, "0–2 Years", G3815&lt;6, "3–5 Years", G3815&lt;9, "6–8 Years", G3815&lt;12, "9-11 Years", G3815&gt;=12, "12-14 Years")</f>
        <v>6–8 Years</v>
      </c>
      <c r="J3815">
        <v>3</v>
      </c>
      <c r="K3815" t="s">
        <v>20</v>
      </c>
      <c r="L3815">
        <v>104700</v>
      </c>
      <c r="M3815">
        <v>10100</v>
      </c>
      <c r="N3815">
        <v>114800</v>
      </c>
      <c r="O3815" t="s">
        <v>57</v>
      </c>
      <c r="P3815" s="3">
        <v>43306</v>
      </c>
      <c r="Q3815" t="s">
        <v>28</v>
      </c>
    </row>
    <row r="3816" spans="1:17" x14ac:dyDescent="0.35">
      <c r="A3816" t="s">
        <v>3868</v>
      </c>
      <c r="B3816" t="s">
        <v>23</v>
      </c>
      <c r="C3816" s="7">
        <v>38</v>
      </c>
      <c r="D3816" t="s">
        <v>34</v>
      </c>
      <c r="E3816" t="s">
        <v>35</v>
      </c>
      <c r="F3816" t="s">
        <v>28</v>
      </c>
      <c r="G3816" s="9">
        <v>13.5</v>
      </c>
      <c r="H3816" s="7">
        <v>7.8</v>
      </c>
      <c r="I3816" t="str" cm="1">
        <f t="array" ref="I3816">_xlfn.IFS(G3816&lt;3, "0–2 Years", G3816&lt;6, "3–5 Years", G3816&lt;9, "6–8 Years", G3816&lt;12, "9-11 Years", G3816&gt;=12, "12-14 Years")</f>
        <v>12-14 Years</v>
      </c>
      <c r="J3816" s="7">
        <v>3</v>
      </c>
      <c r="K3816" t="s">
        <v>20</v>
      </c>
      <c r="L3816" s="7">
        <v>87500</v>
      </c>
      <c r="M3816" s="7">
        <v>7600</v>
      </c>
      <c r="N3816" s="7">
        <v>95100</v>
      </c>
      <c r="O3816" t="s">
        <v>30</v>
      </c>
      <c r="P3816" s="3">
        <v>41103</v>
      </c>
      <c r="Q3816" t="s">
        <v>28</v>
      </c>
    </row>
    <row r="3817" spans="1:17" x14ac:dyDescent="0.35">
      <c r="A3817" t="s">
        <v>3869</v>
      </c>
      <c r="B3817" t="s">
        <v>16</v>
      </c>
      <c r="C3817">
        <v>45</v>
      </c>
      <c r="D3817" t="s">
        <v>38</v>
      </c>
      <c r="E3817" t="s">
        <v>61</v>
      </c>
      <c r="F3817" t="s">
        <v>19</v>
      </c>
      <c r="G3817">
        <v>11.4</v>
      </c>
      <c r="H3817">
        <v>7.8</v>
      </c>
      <c r="I3817" t="str" cm="1">
        <f t="array" ref="I3817">_xlfn.IFS(G3817&lt;3, "0–2 Years", G3817&lt;6, "3–5 Years", G3817&lt;9, "6–8 Years", G3817&lt;12, "9-11 Years", G3817&gt;=12, "12-14 Years")</f>
        <v>9-11 Years</v>
      </c>
      <c r="J3817">
        <v>3</v>
      </c>
      <c r="K3817" t="s">
        <v>20</v>
      </c>
      <c r="L3817">
        <v>117900</v>
      </c>
      <c r="M3817">
        <v>7700</v>
      </c>
      <c r="N3817">
        <v>125600</v>
      </c>
      <c r="O3817" t="s">
        <v>57</v>
      </c>
      <c r="P3817" s="3">
        <v>41844</v>
      </c>
      <c r="Q3817" t="s">
        <v>19</v>
      </c>
    </row>
    <row r="3818" spans="1:17" x14ac:dyDescent="0.35">
      <c r="A3818" t="s">
        <v>3870</v>
      </c>
      <c r="B3818" t="s">
        <v>23</v>
      </c>
      <c r="C3818">
        <v>36</v>
      </c>
      <c r="D3818" t="s">
        <v>17</v>
      </c>
      <c r="E3818" t="s">
        <v>32</v>
      </c>
      <c r="F3818" t="s">
        <v>28</v>
      </c>
      <c r="G3818">
        <v>1.1000000000000001</v>
      </c>
      <c r="H3818">
        <v>0.4</v>
      </c>
      <c r="I3818" t="str" cm="1">
        <f t="array" ref="I3818">_xlfn.IFS(G3818&lt;3, "0–2 Years", G3818&lt;6, "3–5 Years", G3818&lt;9, "6–8 Years", G3818&lt;12, "9-11 Years", G3818&gt;=12, "12-14 Years")</f>
        <v>0–2 Years</v>
      </c>
      <c r="J3818">
        <v>3</v>
      </c>
      <c r="K3818" t="s">
        <v>20</v>
      </c>
      <c r="L3818">
        <v>64000</v>
      </c>
      <c r="M3818">
        <v>4000</v>
      </c>
      <c r="N3818">
        <v>68000</v>
      </c>
      <c r="O3818" t="s">
        <v>25</v>
      </c>
      <c r="P3818" s="3">
        <v>45603</v>
      </c>
      <c r="Q3818" t="s">
        <v>28</v>
      </c>
    </row>
    <row r="3819" spans="1:17" x14ac:dyDescent="0.35">
      <c r="A3819" t="s">
        <v>3871</v>
      </c>
      <c r="B3819" t="s">
        <v>16</v>
      </c>
      <c r="C3819">
        <v>37</v>
      </c>
      <c r="D3819" t="s">
        <v>44</v>
      </c>
      <c r="E3819" t="s">
        <v>81</v>
      </c>
      <c r="F3819" t="s">
        <v>36</v>
      </c>
      <c r="G3819">
        <v>3.5</v>
      </c>
      <c r="H3819">
        <v>3.5</v>
      </c>
      <c r="I3819" t="str" cm="1">
        <f t="array" ref="I3819">_xlfn.IFS(G3819&lt;3, "0–2 Years", G3819&lt;6, "3–5 Years", G3819&lt;9, "6–8 Years", G3819&lt;12, "9-11 Years", G3819&gt;=12, "12-14 Years")</f>
        <v>3–5 Years</v>
      </c>
      <c r="J3819">
        <v>5</v>
      </c>
      <c r="K3819" t="s">
        <v>20</v>
      </c>
      <c r="L3819">
        <v>102900</v>
      </c>
      <c r="M3819">
        <v>12900</v>
      </c>
      <c r="N3819">
        <v>115800</v>
      </c>
      <c r="O3819" t="s">
        <v>57</v>
      </c>
      <c r="P3819" s="3">
        <v>44729</v>
      </c>
      <c r="Q3819" t="s">
        <v>36</v>
      </c>
    </row>
    <row r="3820" spans="1:17" x14ac:dyDescent="0.35">
      <c r="A3820" t="s">
        <v>3872</v>
      </c>
      <c r="B3820" t="s">
        <v>16</v>
      </c>
      <c r="C3820">
        <v>29</v>
      </c>
      <c r="D3820" t="s">
        <v>17</v>
      </c>
      <c r="E3820" t="s">
        <v>18</v>
      </c>
      <c r="F3820" t="s">
        <v>36</v>
      </c>
      <c r="G3820">
        <v>5.9</v>
      </c>
      <c r="H3820">
        <v>3.9</v>
      </c>
      <c r="I3820" t="str" cm="1">
        <f t="array" ref="I3820">_xlfn.IFS(G3820&lt;3, "0–2 Years", G3820&lt;6, "3–5 Years", G3820&lt;9, "6–8 Years", G3820&lt;12, "9-11 Years", G3820&gt;=12, "12-14 Years")</f>
        <v>3–5 Years</v>
      </c>
      <c r="J3820">
        <v>4</v>
      </c>
      <c r="K3820" t="s">
        <v>20</v>
      </c>
      <c r="L3820">
        <v>91300</v>
      </c>
      <c r="M3820">
        <v>6400</v>
      </c>
      <c r="N3820">
        <v>97700</v>
      </c>
      <c r="O3820" t="s">
        <v>30</v>
      </c>
      <c r="P3820" s="3">
        <v>43870</v>
      </c>
      <c r="Q3820" t="s">
        <v>36</v>
      </c>
    </row>
    <row r="3821" spans="1:17" x14ac:dyDescent="0.35">
      <c r="A3821" t="s">
        <v>3873</v>
      </c>
      <c r="B3821" t="s">
        <v>16</v>
      </c>
      <c r="C3821">
        <v>36</v>
      </c>
      <c r="D3821" t="s">
        <v>41</v>
      </c>
      <c r="E3821" t="s">
        <v>67</v>
      </c>
      <c r="F3821" t="s">
        <v>62</v>
      </c>
      <c r="G3821">
        <v>11.2</v>
      </c>
      <c r="H3821">
        <v>6.1</v>
      </c>
      <c r="I3821" t="str" cm="1">
        <f t="array" ref="I3821">_xlfn.IFS(G3821&lt;3, "0–2 Years", G3821&lt;6, "3–5 Years", G3821&lt;9, "6–8 Years", G3821&lt;12, "9-11 Years", G3821&gt;=12, "12-14 Years")</f>
        <v>9-11 Years</v>
      </c>
      <c r="J3821">
        <v>3</v>
      </c>
      <c r="K3821" t="s">
        <v>69</v>
      </c>
      <c r="L3821">
        <v>67600</v>
      </c>
      <c r="M3821">
        <v>3600</v>
      </c>
      <c r="N3821">
        <v>71200</v>
      </c>
      <c r="O3821" t="s">
        <v>21</v>
      </c>
      <c r="P3821" s="3">
        <v>41924</v>
      </c>
      <c r="Q3821" t="s">
        <v>62</v>
      </c>
    </row>
    <row r="3822" spans="1:17" x14ac:dyDescent="0.35">
      <c r="A3822" t="s">
        <v>3874</v>
      </c>
      <c r="B3822" t="s">
        <v>23</v>
      </c>
      <c r="C3822">
        <v>27</v>
      </c>
      <c r="D3822" t="s">
        <v>44</v>
      </c>
      <c r="E3822" t="s">
        <v>81</v>
      </c>
      <c r="F3822" t="s">
        <v>36</v>
      </c>
      <c r="G3822">
        <v>8.1999999999999993</v>
      </c>
      <c r="H3822">
        <v>6.5</v>
      </c>
      <c r="I3822" t="str" cm="1">
        <f t="array" ref="I3822">_xlfn.IFS(G3822&lt;3, "0–2 Years", G3822&lt;6, "3–5 Years", G3822&lt;9, "6–8 Years", G3822&lt;12, "9-11 Years", G3822&gt;=12, "12-14 Years")</f>
        <v>6–8 Years</v>
      </c>
      <c r="J3822">
        <v>3</v>
      </c>
      <c r="K3822" t="s">
        <v>20</v>
      </c>
      <c r="L3822">
        <v>110700</v>
      </c>
      <c r="M3822">
        <v>5900</v>
      </c>
      <c r="N3822">
        <v>116600</v>
      </c>
      <c r="O3822" t="s">
        <v>57</v>
      </c>
      <c r="P3822" s="3">
        <v>43045</v>
      </c>
      <c r="Q3822" t="s">
        <v>36</v>
      </c>
    </row>
    <row r="3823" spans="1:17" x14ac:dyDescent="0.35">
      <c r="A3823" t="s">
        <v>3875</v>
      </c>
      <c r="B3823" t="s">
        <v>16</v>
      </c>
      <c r="C3823">
        <v>38</v>
      </c>
      <c r="D3823" t="s">
        <v>34</v>
      </c>
      <c r="E3823" t="s">
        <v>35</v>
      </c>
      <c r="F3823" t="s">
        <v>36</v>
      </c>
      <c r="G3823">
        <v>10.9</v>
      </c>
      <c r="H3823">
        <v>8.1999999999999993</v>
      </c>
      <c r="I3823" t="str" cm="1">
        <f t="array" ref="I3823">_xlfn.IFS(G3823&lt;3, "0–2 Years", G3823&lt;6, "3–5 Years", G3823&lt;9, "6–8 Years", G3823&lt;12, "9-11 Years", G3823&gt;=12, "12-14 Years")</f>
        <v>9-11 Years</v>
      </c>
      <c r="J3823">
        <v>5</v>
      </c>
      <c r="K3823" t="s">
        <v>20</v>
      </c>
      <c r="L3823">
        <v>90500</v>
      </c>
      <c r="M3823">
        <v>7900</v>
      </c>
      <c r="N3823">
        <v>98400</v>
      </c>
      <c r="O3823" t="s">
        <v>30</v>
      </c>
      <c r="P3823" s="3">
        <v>42041</v>
      </c>
      <c r="Q3823" t="s">
        <v>36</v>
      </c>
    </row>
    <row r="3824" spans="1:17" x14ac:dyDescent="0.35">
      <c r="A3824" t="s">
        <v>3876</v>
      </c>
      <c r="B3824" t="s">
        <v>23</v>
      </c>
      <c r="C3824">
        <v>54</v>
      </c>
      <c r="D3824" t="s">
        <v>41</v>
      </c>
      <c r="E3824" t="s">
        <v>42</v>
      </c>
      <c r="F3824" t="s">
        <v>36</v>
      </c>
      <c r="G3824">
        <v>8.4</v>
      </c>
      <c r="H3824">
        <v>4.2</v>
      </c>
      <c r="I3824" t="str" cm="1">
        <f t="array" ref="I3824">_xlfn.IFS(G3824&lt;3, "0–2 Years", G3824&lt;6, "3–5 Years", G3824&lt;9, "6–8 Years", G3824&lt;12, "9-11 Years", G3824&gt;=12, "12-14 Years")</f>
        <v>6–8 Years</v>
      </c>
      <c r="J3824">
        <v>4</v>
      </c>
      <c r="K3824" t="s">
        <v>20</v>
      </c>
      <c r="L3824">
        <v>96700</v>
      </c>
      <c r="M3824">
        <v>4200</v>
      </c>
      <c r="N3824">
        <v>100900</v>
      </c>
      <c r="O3824" t="s">
        <v>30</v>
      </c>
      <c r="P3824" s="3">
        <v>42937</v>
      </c>
      <c r="Q3824" t="s">
        <v>36</v>
      </c>
    </row>
    <row r="3825" spans="1:17" x14ac:dyDescent="0.35">
      <c r="A3825" t="s">
        <v>3877</v>
      </c>
      <c r="B3825" t="s">
        <v>23</v>
      </c>
      <c r="C3825">
        <v>42</v>
      </c>
      <c r="D3825" t="s">
        <v>34</v>
      </c>
      <c r="E3825" t="s">
        <v>35</v>
      </c>
      <c r="F3825" t="s">
        <v>36</v>
      </c>
      <c r="G3825">
        <v>11.4</v>
      </c>
      <c r="H3825">
        <v>5.6</v>
      </c>
      <c r="I3825" t="str" cm="1">
        <f t="array" ref="I3825">_xlfn.IFS(G3825&lt;3, "0–2 Years", G3825&lt;6, "3–5 Years", G3825&lt;9, "6–8 Years", G3825&lt;12, "9-11 Years", G3825&gt;=12, "12-14 Years")</f>
        <v>9-11 Years</v>
      </c>
      <c r="J3825">
        <v>4</v>
      </c>
      <c r="K3825" t="s">
        <v>20</v>
      </c>
      <c r="L3825">
        <v>85500</v>
      </c>
      <c r="M3825">
        <v>10200</v>
      </c>
      <c r="N3825">
        <v>95700</v>
      </c>
      <c r="O3825" t="s">
        <v>30</v>
      </c>
      <c r="P3825" s="3">
        <v>41850</v>
      </c>
      <c r="Q3825" t="s">
        <v>36</v>
      </c>
    </row>
    <row r="3826" spans="1:17" x14ac:dyDescent="0.35">
      <c r="A3826" t="s">
        <v>3878</v>
      </c>
      <c r="B3826" t="s">
        <v>23</v>
      </c>
      <c r="C3826">
        <v>30</v>
      </c>
      <c r="D3826" t="s">
        <v>44</v>
      </c>
      <c r="E3826" t="s">
        <v>45</v>
      </c>
      <c r="F3826" t="s">
        <v>28</v>
      </c>
      <c r="G3826">
        <v>8.8000000000000007</v>
      </c>
      <c r="H3826">
        <v>6.6</v>
      </c>
      <c r="I3826" t="str" cm="1">
        <f t="array" ref="I3826">_xlfn.IFS(G3826&lt;3, "0–2 Years", G3826&lt;6, "3–5 Years", G3826&lt;9, "6–8 Years", G3826&lt;12, "9-11 Years", G3826&gt;=12, "12-14 Years")</f>
        <v>6–8 Years</v>
      </c>
      <c r="J3826">
        <v>3</v>
      </c>
      <c r="K3826" t="s">
        <v>24</v>
      </c>
      <c r="L3826">
        <v>48500</v>
      </c>
      <c r="M3826">
        <v>6500</v>
      </c>
      <c r="N3826">
        <v>55000</v>
      </c>
      <c r="O3826" t="s">
        <v>65</v>
      </c>
      <c r="P3826" s="3">
        <v>42793</v>
      </c>
      <c r="Q3826" t="s">
        <v>28</v>
      </c>
    </row>
    <row r="3827" spans="1:17" x14ac:dyDescent="0.35">
      <c r="A3827" t="s">
        <v>3879</v>
      </c>
      <c r="B3827" t="s">
        <v>23</v>
      </c>
      <c r="C3827">
        <v>43</v>
      </c>
      <c r="D3827" t="s">
        <v>55</v>
      </c>
      <c r="E3827" t="s">
        <v>56</v>
      </c>
      <c r="F3827" t="s">
        <v>28</v>
      </c>
      <c r="G3827">
        <v>10.199999999999999</v>
      </c>
      <c r="H3827">
        <v>7</v>
      </c>
      <c r="I3827" t="str" cm="1">
        <f t="array" ref="I3827">_xlfn.IFS(G3827&lt;3, "0–2 Years", G3827&lt;6, "3–5 Years", G3827&lt;9, "6–8 Years", G3827&lt;12, "9-11 Years", G3827&gt;=12, "12-14 Years")</f>
        <v>9-11 Years</v>
      </c>
      <c r="J3827">
        <v>4</v>
      </c>
      <c r="K3827" t="s">
        <v>20</v>
      </c>
      <c r="L3827">
        <v>102400</v>
      </c>
      <c r="M3827">
        <v>14400</v>
      </c>
      <c r="N3827">
        <v>116800</v>
      </c>
      <c r="O3827" t="s">
        <v>57</v>
      </c>
      <c r="P3827" s="3">
        <v>42298</v>
      </c>
      <c r="Q3827" t="s">
        <v>28</v>
      </c>
    </row>
    <row r="3828" spans="1:17" x14ac:dyDescent="0.35">
      <c r="A3828" t="s">
        <v>3880</v>
      </c>
      <c r="B3828" t="s">
        <v>16</v>
      </c>
      <c r="C3828">
        <v>30</v>
      </c>
      <c r="D3828" t="s">
        <v>38</v>
      </c>
      <c r="E3828" t="s">
        <v>61</v>
      </c>
      <c r="F3828" t="s">
        <v>19</v>
      </c>
      <c r="G3828">
        <v>7</v>
      </c>
      <c r="H3828">
        <v>6.6</v>
      </c>
      <c r="I3828" t="str" cm="1">
        <f t="array" ref="I3828">_xlfn.IFS(G3828&lt;3, "0–2 Years", G3828&lt;6, "3–5 Years", G3828&lt;9, "6–8 Years", G3828&lt;12, "9-11 Years", G3828&gt;=12, "12-14 Years")</f>
        <v>6–8 Years</v>
      </c>
      <c r="J3828">
        <v>3</v>
      </c>
      <c r="K3828" t="s">
        <v>20</v>
      </c>
      <c r="L3828">
        <v>92400</v>
      </c>
      <c r="M3828">
        <v>6300</v>
      </c>
      <c r="N3828">
        <v>98700</v>
      </c>
      <c r="O3828" t="s">
        <v>30</v>
      </c>
      <c r="P3828" s="3">
        <v>43472</v>
      </c>
      <c r="Q3828" t="s">
        <v>19</v>
      </c>
    </row>
    <row r="3829" spans="1:17" x14ac:dyDescent="0.35">
      <c r="A3829" t="s">
        <v>3881</v>
      </c>
      <c r="B3829" t="s">
        <v>16</v>
      </c>
      <c r="C3829">
        <v>34</v>
      </c>
      <c r="D3829" t="s">
        <v>44</v>
      </c>
      <c r="E3829" t="s">
        <v>45</v>
      </c>
      <c r="F3829" t="s">
        <v>28</v>
      </c>
      <c r="G3829">
        <v>10.5</v>
      </c>
      <c r="H3829">
        <v>5.6</v>
      </c>
      <c r="I3829" t="str" cm="1">
        <f t="array" ref="I3829">_xlfn.IFS(G3829&lt;3, "0–2 Years", G3829&lt;6, "3–5 Years", G3829&lt;9, "6–8 Years", G3829&lt;12, "9-11 Years", G3829&gt;=12, "12-14 Years")</f>
        <v>9-11 Years</v>
      </c>
      <c r="J3829">
        <v>4</v>
      </c>
      <c r="K3829" t="s">
        <v>20</v>
      </c>
      <c r="L3829">
        <v>82600</v>
      </c>
      <c r="M3829">
        <v>11400</v>
      </c>
      <c r="N3829">
        <v>94000</v>
      </c>
      <c r="O3829" t="s">
        <v>30</v>
      </c>
      <c r="P3829" s="3">
        <v>42181</v>
      </c>
      <c r="Q3829" t="s">
        <v>28</v>
      </c>
    </row>
    <row r="3830" spans="1:17" x14ac:dyDescent="0.35">
      <c r="A3830" t="s">
        <v>3882</v>
      </c>
      <c r="B3830" t="s">
        <v>23</v>
      </c>
      <c r="C3830" s="7">
        <v>31</v>
      </c>
      <c r="D3830" t="s">
        <v>17</v>
      </c>
      <c r="E3830" t="s">
        <v>27</v>
      </c>
      <c r="F3830" t="s">
        <v>28</v>
      </c>
      <c r="G3830" s="9">
        <v>12.4</v>
      </c>
      <c r="H3830" s="7">
        <v>8.3000000000000007</v>
      </c>
      <c r="I3830" t="str" cm="1">
        <f t="array" ref="I3830">_xlfn.IFS(G3830&lt;3, "0–2 Years", G3830&lt;6, "3–5 Years", G3830&lt;9, "6–8 Years", G3830&lt;12, "9-11 Years", G3830&gt;=12, "12-14 Years")</f>
        <v>12-14 Years</v>
      </c>
      <c r="J3830" s="7">
        <v>3</v>
      </c>
      <c r="K3830" t="s">
        <v>20</v>
      </c>
      <c r="L3830" s="7">
        <v>77300</v>
      </c>
      <c r="M3830" s="7">
        <v>6300</v>
      </c>
      <c r="N3830" s="7">
        <v>83600</v>
      </c>
      <c r="O3830" t="s">
        <v>21</v>
      </c>
      <c r="P3830" s="3">
        <v>41495</v>
      </c>
      <c r="Q3830" t="s">
        <v>28</v>
      </c>
    </row>
    <row r="3831" spans="1:17" x14ac:dyDescent="0.35">
      <c r="A3831" t="s">
        <v>3883</v>
      </c>
      <c r="B3831" t="s">
        <v>23</v>
      </c>
      <c r="C3831">
        <v>39</v>
      </c>
      <c r="D3831" t="s">
        <v>17</v>
      </c>
      <c r="E3831" t="s">
        <v>27</v>
      </c>
      <c r="F3831" t="s">
        <v>62</v>
      </c>
      <c r="G3831">
        <v>1.3</v>
      </c>
      <c r="H3831">
        <v>0.6</v>
      </c>
      <c r="I3831" t="str" cm="1">
        <f t="array" ref="I3831">_xlfn.IFS(G3831&lt;3, "0–2 Years", G3831&lt;6, "3–5 Years", G3831&lt;9, "6–8 Years", G3831&lt;12, "9-11 Years", G3831&gt;=12, "12-14 Years")</f>
        <v>0–2 Years</v>
      </c>
      <c r="J3831">
        <v>3</v>
      </c>
      <c r="K3831" t="s">
        <v>20</v>
      </c>
      <c r="L3831">
        <v>90300</v>
      </c>
      <c r="M3831">
        <v>11100</v>
      </c>
      <c r="N3831">
        <v>101400</v>
      </c>
      <c r="O3831" t="s">
        <v>30</v>
      </c>
      <c r="P3831" s="3">
        <v>45548</v>
      </c>
      <c r="Q3831" t="s">
        <v>62</v>
      </c>
    </row>
    <row r="3832" spans="1:17" x14ac:dyDescent="0.35">
      <c r="A3832" t="s">
        <v>3884</v>
      </c>
      <c r="B3832" t="s">
        <v>23</v>
      </c>
      <c r="C3832">
        <v>34</v>
      </c>
      <c r="D3832" t="s">
        <v>44</v>
      </c>
      <c r="E3832" t="s">
        <v>76</v>
      </c>
      <c r="F3832" t="s">
        <v>19</v>
      </c>
      <c r="G3832">
        <v>9.1999999999999993</v>
      </c>
      <c r="H3832">
        <v>6.3</v>
      </c>
      <c r="I3832" t="str" cm="1">
        <f t="array" ref="I3832">_xlfn.IFS(G3832&lt;3, "0–2 Years", G3832&lt;6, "3–5 Years", G3832&lt;9, "6–8 Years", G3832&lt;12, "9-11 Years", G3832&gt;=12, "12-14 Years")</f>
        <v>9-11 Years</v>
      </c>
      <c r="J3832">
        <v>2</v>
      </c>
      <c r="K3832" t="s">
        <v>20</v>
      </c>
      <c r="L3832">
        <v>100500</v>
      </c>
      <c r="M3832">
        <v>9600</v>
      </c>
      <c r="N3832">
        <v>110100</v>
      </c>
      <c r="O3832" t="s">
        <v>57</v>
      </c>
      <c r="P3832" s="3">
        <v>42661</v>
      </c>
      <c r="Q3832" t="s">
        <v>19</v>
      </c>
    </row>
    <row r="3833" spans="1:17" x14ac:dyDescent="0.35">
      <c r="A3833" t="s">
        <v>3885</v>
      </c>
      <c r="B3833" t="s">
        <v>23</v>
      </c>
      <c r="C3833">
        <v>27</v>
      </c>
      <c r="D3833" t="s">
        <v>41</v>
      </c>
      <c r="E3833" t="s">
        <v>42</v>
      </c>
      <c r="F3833" t="s">
        <v>28</v>
      </c>
      <c r="G3833">
        <v>4.2</v>
      </c>
      <c r="H3833">
        <v>1</v>
      </c>
      <c r="I3833" t="str" cm="1">
        <f t="array" ref="I3833">_xlfn.IFS(G3833&lt;3, "0–2 Years", G3833&lt;6, "3–5 Years", G3833&lt;9, "6–8 Years", G3833&lt;12, "9-11 Years", G3833&gt;=12, "12-14 Years")</f>
        <v>3–5 Years</v>
      </c>
      <c r="J3833">
        <v>3</v>
      </c>
      <c r="K3833" t="s">
        <v>24</v>
      </c>
      <c r="L3833">
        <v>48700</v>
      </c>
      <c r="M3833">
        <v>1900</v>
      </c>
      <c r="N3833">
        <v>50600</v>
      </c>
      <c r="O3833" t="s">
        <v>65</v>
      </c>
      <c r="P3833" s="3">
        <v>44485</v>
      </c>
      <c r="Q3833" t="s">
        <v>28</v>
      </c>
    </row>
    <row r="3834" spans="1:17" x14ac:dyDescent="0.35">
      <c r="A3834" t="s">
        <v>3886</v>
      </c>
      <c r="B3834" t="s">
        <v>23</v>
      </c>
      <c r="C3834" s="7">
        <v>34</v>
      </c>
      <c r="D3834" t="s">
        <v>41</v>
      </c>
      <c r="E3834" t="s">
        <v>67</v>
      </c>
      <c r="F3834" t="s">
        <v>36</v>
      </c>
      <c r="G3834" s="9">
        <v>12.9</v>
      </c>
      <c r="H3834" s="7">
        <v>7.2</v>
      </c>
      <c r="I3834" t="str" cm="1">
        <f t="array" ref="I3834">_xlfn.IFS(G3834&lt;3, "0–2 Years", G3834&lt;6, "3–5 Years", G3834&lt;9, "6–8 Years", G3834&lt;12, "9-11 Years", G3834&gt;=12, "12-14 Years")</f>
        <v>12-14 Years</v>
      </c>
      <c r="J3834" s="7">
        <v>5</v>
      </c>
      <c r="K3834" t="s">
        <v>20</v>
      </c>
      <c r="L3834" s="7">
        <v>87200</v>
      </c>
      <c r="M3834" s="7">
        <v>6800</v>
      </c>
      <c r="N3834" s="7">
        <v>94000</v>
      </c>
      <c r="O3834" t="s">
        <v>30</v>
      </c>
      <c r="P3834" s="3">
        <v>41294</v>
      </c>
      <c r="Q3834" t="s">
        <v>36</v>
      </c>
    </row>
    <row r="3835" spans="1:17" x14ac:dyDescent="0.35">
      <c r="A3835" t="s">
        <v>3887</v>
      </c>
      <c r="B3835" t="s">
        <v>16</v>
      </c>
      <c r="C3835">
        <v>40</v>
      </c>
      <c r="D3835" t="s">
        <v>41</v>
      </c>
      <c r="E3835" t="s">
        <v>42</v>
      </c>
      <c r="F3835" t="s">
        <v>28</v>
      </c>
      <c r="G3835">
        <v>8.6</v>
      </c>
      <c r="H3835">
        <v>6.6</v>
      </c>
      <c r="I3835" t="str" cm="1">
        <f t="array" ref="I3835">_xlfn.IFS(G3835&lt;3, "0–2 Years", G3835&lt;6, "3–5 Years", G3835&lt;9, "6–8 Years", G3835&lt;12, "9-11 Years", G3835&gt;=12, "12-14 Years")</f>
        <v>6–8 Years</v>
      </c>
      <c r="J3835">
        <v>4</v>
      </c>
      <c r="K3835" t="s">
        <v>24</v>
      </c>
      <c r="L3835">
        <v>51400</v>
      </c>
      <c r="M3835">
        <v>3300</v>
      </c>
      <c r="N3835">
        <v>54700</v>
      </c>
      <c r="O3835" t="s">
        <v>25</v>
      </c>
      <c r="P3835" s="3">
        <v>42868</v>
      </c>
      <c r="Q3835" t="s">
        <v>28</v>
      </c>
    </row>
    <row r="3836" spans="1:17" x14ac:dyDescent="0.35">
      <c r="A3836" t="s">
        <v>3888</v>
      </c>
      <c r="B3836" t="s">
        <v>23</v>
      </c>
      <c r="C3836">
        <v>34</v>
      </c>
      <c r="D3836" t="s">
        <v>41</v>
      </c>
      <c r="E3836" t="s">
        <v>73</v>
      </c>
      <c r="F3836" t="s">
        <v>19</v>
      </c>
      <c r="G3836">
        <v>4.0999999999999996</v>
      </c>
      <c r="H3836">
        <v>4.0999999999999996</v>
      </c>
      <c r="I3836" t="str" cm="1">
        <f t="array" ref="I3836">_xlfn.IFS(G3836&lt;3, "0–2 Years", G3836&lt;6, "3–5 Years", G3836&lt;9, "6–8 Years", G3836&lt;12, "9-11 Years", G3836&gt;=12, "12-14 Years")</f>
        <v>3–5 Years</v>
      </c>
      <c r="J3836">
        <v>3</v>
      </c>
      <c r="K3836" t="s">
        <v>20</v>
      </c>
      <c r="L3836">
        <v>93400</v>
      </c>
      <c r="M3836">
        <v>6600</v>
      </c>
      <c r="N3836">
        <v>100000</v>
      </c>
      <c r="O3836" t="s">
        <v>30</v>
      </c>
      <c r="P3836" s="3">
        <v>44520</v>
      </c>
      <c r="Q3836" t="s">
        <v>19</v>
      </c>
    </row>
    <row r="3837" spans="1:17" x14ac:dyDescent="0.35">
      <c r="A3837" t="s">
        <v>3889</v>
      </c>
      <c r="B3837" t="s">
        <v>16</v>
      </c>
      <c r="C3837">
        <v>30</v>
      </c>
      <c r="D3837" t="s">
        <v>38</v>
      </c>
      <c r="E3837" t="s">
        <v>39</v>
      </c>
      <c r="F3837" t="s">
        <v>36</v>
      </c>
      <c r="G3837">
        <v>6.5</v>
      </c>
      <c r="H3837">
        <v>4.5999999999999996</v>
      </c>
      <c r="I3837" t="str" cm="1">
        <f t="array" ref="I3837">_xlfn.IFS(G3837&lt;3, "0–2 Years", G3837&lt;6, "3–5 Years", G3837&lt;9, "6–8 Years", G3837&lt;12, "9-11 Years", G3837&gt;=12, "12-14 Years")</f>
        <v>6–8 Years</v>
      </c>
      <c r="J3837">
        <v>3</v>
      </c>
      <c r="K3837" t="s">
        <v>20</v>
      </c>
      <c r="L3837">
        <v>95000</v>
      </c>
      <c r="M3837">
        <v>4700</v>
      </c>
      <c r="N3837">
        <v>99700</v>
      </c>
      <c r="O3837" t="s">
        <v>30</v>
      </c>
      <c r="P3837" s="3">
        <v>43650</v>
      </c>
      <c r="Q3837" t="s">
        <v>36</v>
      </c>
    </row>
    <row r="3838" spans="1:17" x14ac:dyDescent="0.35">
      <c r="A3838" t="s">
        <v>3890</v>
      </c>
      <c r="B3838" t="s">
        <v>16</v>
      </c>
      <c r="C3838">
        <v>38</v>
      </c>
      <c r="D3838" t="s">
        <v>44</v>
      </c>
      <c r="E3838" t="s">
        <v>51</v>
      </c>
      <c r="F3838" t="s">
        <v>19</v>
      </c>
      <c r="G3838">
        <v>10.4</v>
      </c>
      <c r="H3838">
        <v>5.5</v>
      </c>
      <c r="I3838" t="str" cm="1">
        <f t="array" ref="I3838">_xlfn.IFS(G3838&lt;3, "0–2 Years", G3838&lt;6, "3–5 Years", G3838&lt;9, "6–8 Years", G3838&lt;12, "9-11 Years", G3838&gt;=12, "12-14 Years")</f>
        <v>9-11 Years</v>
      </c>
      <c r="J3838">
        <v>3</v>
      </c>
      <c r="K3838" t="s">
        <v>20</v>
      </c>
      <c r="L3838">
        <v>76200</v>
      </c>
      <c r="M3838">
        <v>9900</v>
      </c>
      <c r="N3838">
        <v>86100</v>
      </c>
      <c r="O3838" t="s">
        <v>21</v>
      </c>
      <c r="P3838" s="3">
        <v>42227</v>
      </c>
      <c r="Q3838" t="s">
        <v>19</v>
      </c>
    </row>
    <row r="3839" spans="1:17" x14ac:dyDescent="0.35">
      <c r="A3839" t="s">
        <v>3891</v>
      </c>
      <c r="B3839" t="s">
        <v>16</v>
      </c>
      <c r="C3839">
        <v>34</v>
      </c>
      <c r="D3839" t="s">
        <v>17</v>
      </c>
      <c r="E3839" t="s">
        <v>32</v>
      </c>
      <c r="F3839" t="s">
        <v>28</v>
      </c>
      <c r="G3839">
        <v>8.3000000000000007</v>
      </c>
      <c r="H3839">
        <v>4.8</v>
      </c>
      <c r="I3839" t="str" cm="1">
        <f t="array" ref="I3839">_xlfn.IFS(G3839&lt;3, "0–2 Years", G3839&lt;6, "3–5 Years", G3839&lt;9, "6–8 Years", G3839&lt;12, "9-11 Years", G3839&gt;=12, "12-14 Years")</f>
        <v>6–8 Years</v>
      </c>
      <c r="J3839">
        <v>4</v>
      </c>
      <c r="K3839" t="s">
        <v>20</v>
      </c>
      <c r="L3839">
        <v>75500</v>
      </c>
      <c r="M3839">
        <v>7300</v>
      </c>
      <c r="N3839">
        <v>82800</v>
      </c>
      <c r="O3839" t="s">
        <v>21</v>
      </c>
      <c r="P3839" s="3">
        <v>43006</v>
      </c>
      <c r="Q3839" t="s">
        <v>28</v>
      </c>
    </row>
    <row r="3840" spans="1:17" x14ac:dyDescent="0.35">
      <c r="A3840" t="s">
        <v>3892</v>
      </c>
      <c r="B3840" t="s">
        <v>23</v>
      </c>
      <c r="C3840">
        <v>39</v>
      </c>
      <c r="D3840" t="s">
        <v>55</v>
      </c>
      <c r="E3840" t="s">
        <v>92</v>
      </c>
      <c r="F3840" t="s">
        <v>28</v>
      </c>
      <c r="G3840">
        <v>6.3</v>
      </c>
      <c r="H3840">
        <v>2.1</v>
      </c>
      <c r="I3840" t="str" cm="1">
        <f t="array" ref="I3840">_xlfn.IFS(G3840&lt;3, "0–2 Years", G3840&lt;6, "3–5 Years", G3840&lt;9, "6–8 Years", G3840&lt;12, "9-11 Years", G3840&gt;=12, "12-14 Years")</f>
        <v>6–8 Years</v>
      </c>
      <c r="J3840">
        <v>1</v>
      </c>
      <c r="K3840" t="s">
        <v>20</v>
      </c>
      <c r="L3840">
        <v>104400</v>
      </c>
      <c r="M3840">
        <v>14500</v>
      </c>
      <c r="N3840">
        <v>118900</v>
      </c>
      <c r="O3840" t="s">
        <v>57</v>
      </c>
      <c r="P3840" s="3">
        <v>43727</v>
      </c>
      <c r="Q3840" t="s">
        <v>28</v>
      </c>
    </row>
    <row r="3841" spans="1:17" x14ac:dyDescent="0.35">
      <c r="A3841" t="s">
        <v>3893</v>
      </c>
      <c r="B3841" t="s">
        <v>23</v>
      </c>
      <c r="C3841">
        <v>26</v>
      </c>
      <c r="D3841" t="s">
        <v>44</v>
      </c>
      <c r="E3841" t="s">
        <v>45</v>
      </c>
      <c r="F3841" t="s">
        <v>28</v>
      </c>
      <c r="G3841">
        <v>1.4</v>
      </c>
      <c r="H3841">
        <v>1</v>
      </c>
      <c r="I3841" t="str" cm="1">
        <f t="array" ref="I3841">_xlfn.IFS(G3841&lt;3, "0–2 Years", G3841&lt;6, "3–5 Years", G3841&lt;9, "6–8 Years", G3841&lt;12, "9-11 Years", G3841&gt;=12, "12-14 Years")</f>
        <v>0–2 Years</v>
      </c>
      <c r="J3841">
        <v>4</v>
      </c>
      <c r="K3841" t="s">
        <v>69</v>
      </c>
      <c r="L3841">
        <v>64000</v>
      </c>
      <c r="M3841">
        <v>6700</v>
      </c>
      <c r="N3841">
        <v>70700</v>
      </c>
      <c r="O3841" t="s">
        <v>25</v>
      </c>
      <c r="P3841" s="3">
        <v>45525</v>
      </c>
      <c r="Q3841" t="s">
        <v>28</v>
      </c>
    </row>
    <row r="3842" spans="1:17" x14ac:dyDescent="0.35">
      <c r="A3842" t="s">
        <v>3894</v>
      </c>
      <c r="B3842" t="s">
        <v>23</v>
      </c>
      <c r="C3842">
        <v>34</v>
      </c>
      <c r="D3842" t="s">
        <v>17</v>
      </c>
      <c r="E3842" t="s">
        <v>27</v>
      </c>
      <c r="F3842" t="s">
        <v>19</v>
      </c>
      <c r="G3842">
        <v>5.0999999999999996</v>
      </c>
      <c r="H3842">
        <v>3</v>
      </c>
      <c r="I3842" t="str" cm="1">
        <f t="array" ref="I3842">_xlfn.IFS(G3842&lt;3, "0–2 Years", G3842&lt;6, "3–5 Years", G3842&lt;9, "6–8 Years", G3842&lt;12, "9-11 Years", G3842&gt;=12, "12-14 Years")</f>
        <v>3–5 Years</v>
      </c>
      <c r="J3842">
        <v>3</v>
      </c>
      <c r="K3842" t="s">
        <v>20</v>
      </c>
      <c r="L3842">
        <v>70500</v>
      </c>
      <c r="M3842">
        <v>4900</v>
      </c>
      <c r="N3842">
        <v>75400</v>
      </c>
      <c r="O3842" t="s">
        <v>21</v>
      </c>
      <c r="P3842" s="3">
        <v>44152</v>
      </c>
      <c r="Q3842" t="s">
        <v>19</v>
      </c>
    </row>
    <row r="3843" spans="1:17" x14ac:dyDescent="0.35">
      <c r="A3843" t="s">
        <v>3895</v>
      </c>
      <c r="B3843" t="s">
        <v>23</v>
      </c>
      <c r="C3843" s="7">
        <v>35</v>
      </c>
      <c r="D3843" t="s">
        <v>41</v>
      </c>
      <c r="E3843" t="s">
        <v>42</v>
      </c>
      <c r="F3843" t="s">
        <v>28</v>
      </c>
      <c r="G3843" s="9">
        <v>13.7</v>
      </c>
      <c r="H3843" s="7">
        <v>9.1</v>
      </c>
      <c r="I3843" t="str" cm="1">
        <f t="array" ref="I3843">_xlfn.IFS(G3843&lt;3, "0–2 Years", G3843&lt;6, "3–5 Years", G3843&lt;9, "6–8 Years", G3843&lt;12, "9-11 Years", G3843&gt;=12, "12-14 Years")</f>
        <v>12-14 Years</v>
      </c>
      <c r="J3843" s="7">
        <v>3</v>
      </c>
      <c r="K3843" t="s">
        <v>20</v>
      </c>
      <c r="L3843" s="7">
        <v>78700</v>
      </c>
      <c r="M3843" s="7">
        <v>3200</v>
      </c>
      <c r="N3843" s="7">
        <v>81900</v>
      </c>
      <c r="O3843" t="s">
        <v>21</v>
      </c>
      <c r="P3843" s="3">
        <v>41010</v>
      </c>
      <c r="Q3843" t="s">
        <v>28</v>
      </c>
    </row>
    <row r="3844" spans="1:17" x14ac:dyDescent="0.35">
      <c r="A3844" t="s">
        <v>3896</v>
      </c>
      <c r="B3844" t="s">
        <v>23</v>
      </c>
      <c r="C3844">
        <v>35</v>
      </c>
      <c r="D3844" t="s">
        <v>34</v>
      </c>
      <c r="E3844" t="s">
        <v>59</v>
      </c>
      <c r="F3844" t="s">
        <v>28</v>
      </c>
      <c r="G3844">
        <v>9</v>
      </c>
      <c r="H3844">
        <v>7</v>
      </c>
      <c r="I3844" t="str" cm="1">
        <f t="array" ref="I3844">_xlfn.IFS(G3844&lt;3, "0–2 Years", G3844&lt;6, "3–5 Years", G3844&lt;9, "6–8 Years", G3844&lt;12, "9-11 Years", G3844&gt;=12, "12-14 Years")</f>
        <v>9-11 Years</v>
      </c>
      <c r="J3844">
        <v>3</v>
      </c>
      <c r="K3844" t="s">
        <v>20</v>
      </c>
      <c r="L3844">
        <v>98700</v>
      </c>
      <c r="M3844">
        <v>7900</v>
      </c>
      <c r="N3844">
        <v>106600</v>
      </c>
      <c r="O3844" t="s">
        <v>30</v>
      </c>
      <c r="P3844" s="3">
        <v>42750</v>
      </c>
      <c r="Q3844" t="s">
        <v>28</v>
      </c>
    </row>
    <row r="3845" spans="1:17" x14ac:dyDescent="0.35">
      <c r="A3845" t="s">
        <v>3897</v>
      </c>
      <c r="B3845" t="s">
        <v>23</v>
      </c>
      <c r="C3845">
        <v>53</v>
      </c>
      <c r="D3845" t="s">
        <v>17</v>
      </c>
      <c r="E3845" t="s">
        <v>27</v>
      </c>
      <c r="F3845" t="s">
        <v>28</v>
      </c>
      <c r="G3845">
        <v>11.9</v>
      </c>
      <c r="H3845">
        <v>8.3000000000000007</v>
      </c>
      <c r="I3845" t="str" cm="1">
        <f t="array" ref="I3845">_xlfn.IFS(G3845&lt;3, "0–2 Years", G3845&lt;6, "3–5 Years", G3845&lt;9, "6–8 Years", G3845&lt;12, "9-11 Years", G3845&gt;=12, "12-14 Years")</f>
        <v>9-11 Years</v>
      </c>
      <c r="J3845">
        <v>3</v>
      </c>
      <c r="K3845" t="s">
        <v>20</v>
      </c>
      <c r="L3845">
        <v>73200</v>
      </c>
      <c r="M3845">
        <v>4400</v>
      </c>
      <c r="N3845">
        <v>77600</v>
      </c>
      <c r="O3845" t="s">
        <v>21</v>
      </c>
      <c r="P3845" s="3">
        <v>41689</v>
      </c>
      <c r="Q3845" t="s">
        <v>28</v>
      </c>
    </row>
    <row r="3846" spans="1:17" x14ac:dyDescent="0.35">
      <c r="A3846" t="s">
        <v>3898</v>
      </c>
      <c r="B3846" t="s">
        <v>16</v>
      </c>
      <c r="C3846">
        <v>49</v>
      </c>
      <c r="D3846" t="s">
        <v>38</v>
      </c>
      <c r="E3846" t="s">
        <v>61</v>
      </c>
      <c r="F3846" t="s">
        <v>28</v>
      </c>
      <c r="G3846">
        <v>5.0999999999999996</v>
      </c>
      <c r="H3846">
        <v>0</v>
      </c>
      <c r="I3846" t="str" cm="1">
        <f t="array" ref="I3846">_xlfn.IFS(G3846&lt;3, "0–2 Years", G3846&lt;6, "3–5 Years", G3846&lt;9, "6–8 Years", G3846&lt;12, "9-11 Years", G3846&gt;=12, "12-14 Years")</f>
        <v>3–5 Years</v>
      </c>
      <c r="J3846">
        <v>4</v>
      </c>
      <c r="K3846" t="s">
        <v>20</v>
      </c>
      <c r="L3846">
        <v>102700</v>
      </c>
      <c r="M3846">
        <v>7300</v>
      </c>
      <c r="N3846">
        <v>110000</v>
      </c>
      <c r="O3846" t="s">
        <v>57</v>
      </c>
      <c r="P3846" s="3">
        <v>44164</v>
      </c>
      <c r="Q3846" t="s">
        <v>28</v>
      </c>
    </row>
    <row r="3847" spans="1:17" x14ac:dyDescent="0.35">
      <c r="A3847" t="s">
        <v>3899</v>
      </c>
      <c r="B3847" t="s">
        <v>16</v>
      </c>
      <c r="C3847">
        <v>39</v>
      </c>
      <c r="D3847" t="s">
        <v>44</v>
      </c>
      <c r="E3847" t="s">
        <v>45</v>
      </c>
      <c r="F3847" t="s">
        <v>19</v>
      </c>
      <c r="G3847">
        <v>1.7</v>
      </c>
      <c r="H3847">
        <v>1.7</v>
      </c>
      <c r="I3847" t="str" cm="1">
        <f t="array" ref="I3847">_xlfn.IFS(G3847&lt;3, "0–2 Years", G3847&lt;6, "3–5 Years", G3847&lt;9, "6–8 Years", G3847&lt;12, "9-11 Years", G3847&gt;=12, "12-14 Years")</f>
        <v>0–2 Years</v>
      </c>
      <c r="J3847">
        <v>3</v>
      </c>
      <c r="K3847" t="s">
        <v>20</v>
      </c>
      <c r="L3847">
        <v>61500</v>
      </c>
      <c r="M3847">
        <v>8400</v>
      </c>
      <c r="N3847">
        <v>69900</v>
      </c>
      <c r="O3847" t="s">
        <v>25</v>
      </c>
      <c r="P3847" s="3">
        <v>45400</v>
      </c>
      <c r="Q3847" t="s">
        <v>19</v>
      </c>
    </row>
    <row r="3848" spans="1:17" x14ac:dyDescent="0.35">
      <c r="A3848" t="s">
        <v>3900</v>
      </c>
      <c r="B3848" t="s">
        <v>23</v>
      </c>
      <c r="C3848">
        <v>46</v>
      </c>
      <c r="D3848" t="s">
        <v>34</v>
      </c>
      <c r="E3848" t="s">
        <v>47</v>
      </c>
      <c r="F3848" t="s">
        <v>28</v>
      </c>
      <c r="G3848">
        <v>1.8</v>
      </c>
      <c r="H3848">
        <v>1.8</v>
      </c>
      <c r="I3848" t="str" cm="1">
        <f t="array" ref="I3848">_xlfn.IFS(G3848&lt;3, "0–2 Years", G3848&lt;6, "3–5 Years", G3848&lt;9, "6–8 Years", G3848&lt;12, "9-11 Years", G3848&gt;=12, "12-14 Years")</f>
        <v>0–2 Years</v>
      </c>
      <c r="J3848">
        <v>3</v>
      </c>
      <c r="K3848" t="s">
        <v>24</v>
      </c>
      <c r="L3848">
        <v>50000</v>
      </c>
      <c r="M3848">
        <v>2100</v>
      </c>
      <c r="N3848">
        <v>52100</v>
      </c>
      <c r="O3848" t="s">
        <v>25</v>
      </c>
      <c r="P3848" s="3">
        <v>45349</v>
      </c>
      <c r="Q3848" t="s">
        <v>28</v>
      </c>
    </row>
    <row r="3849" spans="1:17" x14ac:dyDescent="0.35">
      <c r="A3849" t="s">
        <v>3901</v>
      </c>
      <c r="B3849" t="s">
        <v>16</v>
      </c>
      <c r="C3849" s="7">
        <v>37</v>
      </c>
      <c r="D3849" t="s">
        <v>44</v>
      </c>
      <c r="E3849" t="s">
        <v>76</v>
      </c>
      <c r="F3849" t="s">
        <v>19</v>
      </c>
      <c r="G3849" s="9">
        <v>13.3</v>
      </c>
      <c r="H3849" s="7">
        <v>8.6</v>
      </c>
      <c r="I3849" t="str" cm="1">
        <f t="array" ref="I3849">_xlfn.IFS(G3849&lt;3, "0–2 Years", G3849&lt;6, "3–5 Years", G3849&lt;9, "6–8 Years", G3849&lt;12, "9-11 Years", G3849&gt;=12, "12-14 Years")</f>
        <v>12-14 Years</v>
      </c>
      <c r="J3849" s="7">
        <v>4</v>
      </c>
      <c r="K3849" t="s">
        <v>20</v>
      </c>
      <c r="L3849" s="7">
        <v>114000</v>
      </c>
      <c r="M3849" s="7">
        <v>17000</v>
      </c>
      <c r="N3849" s="7">
        <v>131000</v>
      </c>
      <c r="O3849" t="s">
        <v>57</v>
      </c>
      <c r="P3849" s="3">
        <v>41179</v>
      </c>
      <c r="Q3849" t="s">
        <v>19</v>
      </c>
    </row>
    <row r="3850" spans="1:17" x14ac:dyDescent="0.35">
      <c r="A3850" t="s">
        <v>3902</v>
      </c>
      <c r="B3850" t="s">
        <v>23</v>
      </c>
      <c r="C3850" s="7">
        <v>37</v>
      </c>
      <c r="D3850" t="s">
        <v>17</v>
      </c>
      <c r="E3850" t="s">
        <v>18</v>
      </c>
      <c r="F3850" t="s">
        <v>36</v>
      </c>
      <c r="G3850" s="9">
        <v>13.3</v>
      </c>
      <c r="H3850" s="7">
        <v>8.9</v>
      </c>
      <c r="I3850" t="str" cm="1">
        <f t="array" ref="I3850">_xlfn.IFS(G3850&lt;3, "0–2 Years", G3850&lt;6, "3–5 Years", G3850&lt;9, "6–8 Years", G3850&lt;12, "9-11 Years", G3850&gt;=12, "12-14 Years")</f>
        <v>12-14 Years</v>
      </c>
      <c r="J3850" s="7">
        <v>3</v>
      </c>
      <c r="K3850" t="s">
        <v>20</v>
      </c>
      <c r="L3850" s="7">
        <v>126000</v>
      </c>
      <c r="M3850" s="7">
        <v>8100</v>
      </c>
      <c r="N3850" s="7">
        <v>134100</v>
      </c>
      <c r="O3850" t="s">
        <v>57</v>
      </c>
      <c r="P3850" s="3">
        <v>41169</v>
      </c>
      <c r="Q3850" t="s">
        <v>36</v>
      </c>
    </row>
    <row r="3851" spans="1:17" x14ac:dyDescent="0.35">
      <c r="A3851" t="s">
        <v>3903</v>
      </c>
      <c r="B3851" t="s">
        <v>23</v>
      </c>
      <c r="C3851">
        <v>39</v>
      </c>
      <c r="D3851" t="s">
        <v>41</v>
      </c>
      <c r="E3851" t="s">
        <v>42</v>
      </c>
      <c r="F3851" t="s">
        <v>62</v>
      </c>
      <c r="G3851">
        <v>3.5</v>
      </c>
      <c r="H3851">
        <v>1.8</v>
      </c>
      <c r="I3851" t="str" cm="1">
        <f t="array" ref="I3851">_xlfn.IFS(G3851&lt;3, "0–2 Years", G3851&lt;6, "3–5 Years", G3851&lt;9, "6–8 Years", G3851&lt;12, "9-11 Years", G3851&gt;=12, "12-14 Years")</f>
        <v>3–5 Years</v>
      </c>
      <c r="J3851">
        <v>4</v>
      </c>
      <c r="K3851" t="s">
        <v>20</v>
      </c>
      <c r="L3851">
        <v>85200</v>
      </c>
      <c r="M3851">
        <v>4800</v>
      </c>
      <c r="N3851">
        <v>90000</v>
      </c>
      <c r="O3851" t="s">
        <v>30</v>
      </c>
      <c r="P3851" s="3">
        <v>44741</v>
      </c>
      <c r="Q3851" t="s">
        <v>62</v>
      </c>
    </row>
    <row r="3852" spans="1:17" x14ac:dyDescent="0.35">
      <c r="A3852" t="s">
        <v>3904</v>
      </c>
      <c r="B3852" t="s">
        <v>16</v>
      </c>
      <c r="C3852">
        <v>32</v>
      </c>
      <c r="D3852" t="s">
        <v>34</v>
      </c>
      <c r="E3852" t="s">
        <v>59</v>
      </c>
      <c r="F3852" t="s">
        <v>28</v>
      </c>
      <c r="G3852">
        <v>4.0999999999999996</v>
      </c>
      <c r="H3852">
        <v>2</v>
      </c>
      <c r="I3852" t="str" cm="1">
        <f t="array" ref="I3852">_xlfn.IFS(G3852&lt;3, "0–2 Years", G3852&lt;6, "3–5 Years", G3852&lt;9, "6–8 Years", G3852&lt;12, "9-11 Years", G3852&gt;=12, "12-14 Years")</f>
        <v>3–5 Years</v>
      </c>
      <c r="J3852">
        <v>4</v>
      </c>
      <c r="K3852" t="s">
        <v>20</v>
      </c>
      <c r="L3852">
        <v>87000</v>
      </c>
      <c r="M3852">
        <v>4700</v>
      </c>
      <c r="N3852">
        <v>91700</v>
      </c>
      <c r="O3852" t="s">
        <v>30</v>
      </c>
      <c r="P3852" s="3">
        <v>44524</v>
      </c>
      <c r="Q3852" t="s">
        <v>28</v>
      </c>
    </row>
    <row r="3853" spans="1:17" x14ac:dyDescent="0.35">
      <c r="A3853" t="s">
        <v>3905</v>
      </c>
      <c r="B3853" t="s">
        <v>16</v>
      </c>
      <c r="C3853">
        <v>35</v>
      </c>
      <c r="D3853" t="s">
        <v>34</v>
      </c>
      <c r="E3853" t="s">
        <v>59</v>
      </c>
      <c r="F3853" t="s">
        <v>36</v>
      </c>
      <c r="G3853">
        <v>4.0999999999999996</v>
      </c>
      <c r="H3853">
        <v>4.0999999999999996</v>
      </c>
      <c r="I3853" t="str" cm="1">
        <f t="array" ref="I3853">_xlfn.IFS(G3853&lt;3, "0–2 Years", G3853&lt;6, "3–5 Years", G3853&lt;9, "6–8 Years", G3853&lt;12, "9-11 Years", G3853&gt;=12, "12-14 Years")</f>
        <v>3–5 Years</v>
      </c>
      <c r="J3853">
        <v>3</v>
      </c>
      <c r="K3853" t="s">
        <v>20</v>
      </c>
      <c r="L3853">
        <v>106500</v>
      </c>
      <c r="M3853">
        <v>6600</v>
      </c>
      <c r="N3853">
        <v>113100</v>
      </c>
      <c r="O3853" t="s">
        <v>57</v>
      </c>
      <c r="P3853" s="3">
        <v>44522</v>
      </c>
      <c r="Q3853" t="s">
        <v>36</v>
      </c>
    </row>
    <row r="3854" spans="1:17" x14ac:dyDescent="0.35">
      <c r="A3854" t="s">
        <v>3906</v>
      </c>
      <c r="B3854" t="s">
        <v>16</v>
      </c>
      <c r="C3854" s="7">
        <v>40</v>
      </c>
      <c r="D3854" t="s">
        <v>34</v>
      </c>
      <c r="E3854" t="s">
        <v>35</v>
      </c>
      <c r="F3854" t="s">
        <v>36</v>
      </c>
      <c r="G3854" s="9">
        <v>12.5</v>
      </c>
      <c r="H3854" s="7">
        <v>6.8</v>
      </c>
      <c r="I3854" t="str" cm="1">
        <f t="array" ref="I3854">_xlfn.IFS(G3854&lt;3, "0–2 Years", G3854&lt;6, "3–5 Years", G3854&lt;9, "6–8 Years", G3854&lt;12, "9-11 Years", G3854&gt;=12, "12-14 Years")</f>
        <v>12-14 Years</v>
      </c>
      <c r="J3854" s="7">
        <v>4</v>
      </c>
      <c r="K3854" t="s">
        <v>20</v>
      </c>
      <c r="L3854" s="7">
        <v>84600</v>
      </c>
      <c r="M3854" s="7">
        <v>10000</v>
      </c>
      <c r="N3854" s="7">
        <v>94600</v>
      </c>
      <c r="O3854" t="s">
        <v>30</v>
      </c>
      <c r="P3854" s="3">
        <v>41473</v>
      </c>
      <c r="Q3854" t="s">
        <v>36</v>
      </c>
    </row>
    <row r="3855" spans="1:17" x14ac:dyDescent="0.35">
      <c r="A3855" t="s">
        <v>3907</v>
      </c>
      <c r="B3855" t="s">
        <v>23</v>
      </c>
      <c r="C3855">
        <v>29</v>
      </c>
      <c r="D3855" t="s">
        <v>34</v>
      </c>
      <c r="E3855" t="s">
        <v>47</v>
      </c>
      <c r="F3855" t="s">
        <v>28</v>
      </c>
      <c r="G3855">
        <v>3.3</v>
      </c>
      <c r="H3855">
        <v>0.8</v>
      </c>
      <c r="I3855" t="str" cm="1">
        <f t="array" ref="I3855">_xlfn.IFS(G3855&lt;3, "0–2 Years", G3855&lt;6, "3–5 Years", G3855&lt;9, "6–8 Years", G3855&lt;12, "9-11 Years", G3855&gt;=12, "12-14 Years")</f>
        <v>3–5 Years</v>
      </c>
      <c r="J3855">
        <v>3</v>
      </c>
      <c r="K3855" t="s">
        <v>20</v>
      </c>
      <c r="L3855">
        <v>78400</v>
      </c>
      <c r="M3855">
        <v>3900</v>
      </c>
      <c r="N3855">
        <v>82300</v>
      </c>
      <c r="O3855" t="s">
        <v>21</v>
      </c>
      <c r="P3855" s="3">
        <v>44801</v>
      </c>
      <c r="Q3855" t="s">
        <v>28</v>
      </c>
    </row>
    <row r="3856" spans="1:17" x14ac:dyDescent="0.35">
      <c r="A3856" t="s">
        <v>3908</v>
      </c>
      <c r="B3856" t="s">
        <v>23</v>
      </c>
      <c r="C3856">
        <v>27</v>
      </c>
      <c r="D3856" t="s">
        <v>44</v>
      </c>
      <c r="E3856" t="s">
        <v>76</v>
      </c>
      <c r="F3856" t="s">
        <v>28</v>
      </c>
      <c r="G3856">
        <v>1.2</v>
      </c>
      <c r="H3856">
        <v>1.2</v>
      </c>
      <c r="I3856" t="str" cm="1">
        <f t="array" ref="I3856">_xlfn.IFS(G3856&lt;3, "0–2 Years", G3856&lt;6, "3–5 Years", G3856&lt;9, "6–8 Years", G3856&lt;12, "9-11 Years", G3856&gt;=12, "12-14 Years")</f>
        <v>0–2 Years</v>
      </c>
      <c r="J3856">
        <v>5</v>
      </c>
      <c r="K3856" t="s">
        <v>20</v>
      </c>
      <c r="L3856">
        <v>89000</v>
      </c>
      <c r="M3856">
        <v>11500</v>
      </c>
      <c r="N3856">
        <v>100500</v>
      </c>
      <c r="O3856" t="s">
        <v>30</v>
      </c>
      <c r="P3856" s="3">
        <v>45568</v>
      </c>
      <c r="Q3856" t="s">
        <v>28</v>
      </c>
    </row>
    <row r="3857" spans="1:17" x14ac:dyDescent="0.35">
      <c r="A3857" t="s">
        <v>3909</v>
      </c>
      <c r="B3857" t="s">
        <v>16</v>
      </c>
      <c r="C3857">
        <v>42</v>
      </c>
      <c r="D3857" t="s">
        <v>38</v>
      </c>
      <c r="E3857" t="s">
        <v>112</v>
      </c>
      <c r="F3857" t="s">
        <v>28</v>
      </c>
      <c r="G3857">
        <v>6.2</v>
      </c>
      <c r="H3857">
        <v>6.2</v>
      </c>
      <c r="I3857" t="str" cm="1">
        <f t="array" ref="I3857">_xlfn.IFS(G3857&lt;3, "0–2 Years", G3857&lt;6, "3–5 Years", G3857&lt;9, "6–8 Years", G3857&lt;12, "9-11 Years", G3857&gt;=12, "12-14 Years")</f>
        <v>6–8 Years</v>
      </c>
      <c r="J3857">
        <v>1</v>
      </c>
      <c r="K3857" t="s">
        <v>20</v>
      </c>
      <c r="L3857">
        <v>70900</v>
      </c>
      <c r="M3857">
        <v>3200</v>
      </c>
      <c r="N3857">
        <v>74100</v>
      </c>
      <c r="O3857" t="s">
        <v>21</v>
      </c>
      <c r="P3857" s="3">
        <v>43756</v>
      </c>
      <c r="Q3857" t="s">
        <v>28</v>
      </c>
    </row>
    <row r="3858" spans="1:17" x14ac:dyDescent="0.35">
      <c r="A3858" t="s">
        <v>3910</v>
      </c>
      <c r="B3858" t="s">
        <v>23</v>
      </c>
      <c r="C3858">
        <v>25</v>
      </c>
      <c r="D3858" t="s">
        <v>44</v>
      </c>
      <c r="E3858" t="s">
        <v>51</v>
      </c>
      <c r="F3858" t="s">
        <v>28</v>
      </c>
      <c r="G3858">
        <v>7.1</v>
      </c>
      <c r="H3858">
        <v>5.4</v>
      </c>
      <c r="I3858" t="str" cm="1">
        <f t="array" ref="I3858">_xlfn.IFS(G3858&lt;3, "0–2 Years", G3858&lt;6, "3–5 Years", G3858&lt;9, "6–8 Years", G3858&lt;12, "9-11 Years", G3858&gt;=12, "12-14 Years")</f>
        <v>6–8 Years</v>
      </c>
      <c r="J3858">
        <v>3</v>
      </c>
      <c r="K3858" t="s">
        <v>69</v>
      </c>
      <c r="L3858">
        <v>66000</v>
      </c>
      <c r="M3858">
        <v>9700</v>
      </c>
      <c r="N3858">
        <v>75700</v>
      </c>
      <c r="O3858" t="s">
        <v>21</v>
      </c>
      <c r="P3858" s="3">
        <v>43437</v>
      </c>
      <c r="Q3858" t="s">
        <v>28</v>
      </c>
    </row>
    <row r="3859" spans="1:17" x14ac:dyDescent="0.35">
      <c r="A3859" t="s">
        <v>3911</v>
      </c>
      <c r="B3859" t="s">
        <v>16</v>
      </c>
      <c r="C3859">
        <v>30</v>
      </c>
      <c r="D3859" t="s">
        <v>44</v>
      </c>
      <c r="E3859" t="s">
        <v>45</v>
      </c>
      <c r="F3859" t="s">
        <v>36</v>
      </c>
      <c r="G3859">
        <v>6.9</v>
      </c>
      <c r="H3859">
        <v>3.9</v>
      </c>
      <c r="I3859" t="str" cm="1">
        <f t="array" ref="I3859">_xlfn.IFS(G3859&lt;3, "0–2 Years", G3859&lt;6, "3–5 Years", G3859&lt;9, "6–8 Years", G3859&lt;12, "9-11 Years", G3859&gt;=12, "12-14 Years")</f>
        <v>6–8 Years</v>
      </c>
      <c r="J3859">
        <v>1</v>
      </c>
      <c r="K3859" t="s">
        <v>20</v>
      </c>
      <c r="L3859">
        <v>78900</v>
      </c>
      <c r="M3859">
        <v>8400</v>
      </c>
      <c r="N3859">
        <v>87300</v>
      </c>
      <c r="O3859" t="s">
        <v>21</v>
      </c>
      <c r="P3859" s="3">
        <v>43496</v>
      </c>
      <c r="Q3859" t="s">
        <v>36</v>
      </c>
    </row>
    <row r="3860" spans="1:17" x14ac:dyDescent="0.35">
      <c r="A3860" t="s">
        <v>3912</v>
      </c>
      <c r="B3860" t="s">
        <v>16</v>
      </c>
      <c r="C3860" s="7">
        <v>44</v>
      </c>
      <c r="D3860" t="s">
        <v>17</v>
      </c>
      <c r="E3860" t="s">
        <v>27</v>
      </c>
      <c r="F3860" t="s">
        <v>28</v>
      </c>
      <c r="G3860" s="9">
        <v>13</v>
      </c>
      <c r="H3860" s="7">
        <v>8.1999999999999993</v>
      </c>
      <c r="I3860" t="str" cm="1">
        <f t="array" ref="I3860">_xlfn.IFS(G3860&lt;3, "0–2 Years", G3860&lt;6, "3–5 Years", G3860&lt;9, "6–8 Years", G3860&lt;12, "9-11 Years", G3860&gt;=12, "12-14 Years")</f>
        <v>12-14 Years</v>
      </c>
      <c r="J3860" s="7">
        <v>3</v>
      </c>
      <c r="K3860" t="s">
        <v>20</v>
      </c>
      <c r="L3860" s="7">
        <v>93600</v>
      </c>
      <c r="M3860" s="7">
        <v>9100</v>
      </c>
      <c r="N3860" s="7">
        <v>102700</v>
      </c>
      <c r="O3860" t="s">
        <v>30</v>
      </c>
      <c r="P3860" s="3">
        <v>41269</v>
      </c>
      <c r="Q3860" t="s">
        <v>28</v>
      </c>
    </row>
    <row r="3861" spans="1:17" x14ac:dyDescent="0.35">
      <c r="A3861" t="s">
        <v>3913</v>
      </c>
      <c r="B3861" t="s">
        <v>16</v>
      </c>
      <c r="C3861">
        <v>23</v>
      </c>
      <c r="D3861" t="s">
        <v>44</v>
      </c>
      <c r="E3861" t="s">
        <v>76</v>
      </c>
      <c r="F3861" t="s">
        <v>36</v>
      </c>
      <c r="G3861">
        <v>8.9</v>
      </c>
      <c r="H3861">
        <v>4.7</v>
      </c>
      <c r="I3861" t="str" cm="1">
        <f t="array" ref="I3861">_xlfn.IFS(G3861&lt;3, "0–2 Years", G3861&lt;6, "3–5 Years", G3861&lt;9, "6–8 Years", G3861&lt;12, "9-11 Years", G3861&gt;=12, "12-14 Years")</f>
        <v>6–8 Years</v>
      </c>
      <c r="J3861">
        <v>3</v>
      </c>
      <c r="K3861" t="s">
        <v>20</v>
      </c>
      <c r="L3861">
        <v>121800</v>
      </c>
      <c r="M3861">
        <v>10500</v>
      </c>
      <c r="N3861">
        <v>132300</v>
      </c>
      <c r="O3861" t="s">
        <v>57</v>
      </c>
      <c r="P3861" s="3">
        <v>42786</v>
      </c>
      <c r="Q3861" t="s">
        <v>36</v>
      </c>
    </row>
    <row r="3862" spans="1:17" x14ac:dyDescent="0.35">
      <c r="A3862" t="s">
        <v>3914</v>
      </c>
      <c r="B3862" t="s">
        <v>16</v>
      </c>
      <c r="C3862">
        <v>43</v>
      </c>
      <c r="D3862" t="s">
        <v>55</v>
      </c>
      <c r="E3862" t="s">
        <v>79</v>
      </c>
      <c r="F3862" t="s">
        <v>36</v>
      </c>
      <c r="G3862">
        <v>5.2</v>
      </c>
      <c r="H3862">
        <v>3.4</v>
      </c>
      <c r="I3862" t="str" cm="1">
        <f t="array" ref="I3862">_xlfn.IFS(G3862&lt;3, "0–2 Years", G3862&lt;6, "3–5 Years", G3862&lt;9, "6–8 Years", G3862&lt;12, "9-11 Years", G3862&gt;=12, "12-14 Years")</f>
        <v>3–5 Years</v>
      </c>
      <c r="J3862">
        <v>3</v>
      </c>
      <c r="K3862" t="s">
        <v>20</v>
      </c>
      <c r="L3862">
        <v>68100</v>
      </c>
      <c r="M3862">
        <v>8900</v>
      </c>
      <c r="N3862">
        <v>77000</v>
      </c>
      <c r="O3862" t="s">
        <v>21</v>
      </c>
      <c r="P3862" s="3">
        <v>44128</v>
      </c>
      <c r="Q3862" t="s">
        <v>36</v>
      </c>
    </row>
    <row r="3863" spans="1:17" x14ac:dyDescent="0.35">
      <c r="A3863" t="s">
        <v>3915</v>
      </c>
      <c r="B3863" t="s">
        <v>16</v>
      </c>
      <c r="C3863">
        <v>28</v>
      </c>
      <c r="D3863" t="s">
        <v>34</v>
      </c>
      <c r="E3863" t="s">
        <v>35</v>
      </c>
      <c r="F3863" t="s">
        <v>19</v>
      </c>
      <c r="G3863">
        <v>5.0999999999999996</v>
      </c>
      <c r="H3863">
        <v>2.4</v>
      </c>
      <c r="I3863" t="str" cm="1">
        <f t="array" ref="I3863">_xlfn.IFS(G3863&lt;3, "0–2 Years", G3863&lt;6, "3–5 Years", G3863&lt;9, "6–8 Years", G3863&lt;12, "9-11 Years", G3863&gt;=12, "12-14 Years")</f>
        <v>3–5 Years</v>
      </c>
      <c r="J3863">
        <v>3</v>
      </c>
      <c r="K3863" t="s">
        <v>20</v>
      </c>
      <c r="L3863">
        <v>61600</v>
      </c>
      <c r="M3863">
        <v>7000</v>
      </c>
      <c r="N3863">
        <v>68600</v>
      </c>
      <c r="O3863" t="s">
        <v>25</v>
      </c>
      <c r="P3863" s="3">
        <v>44142</v>
      </c>
      <c r="Q3863" t="s">
        <v>19</v>
      </c>
    </row>
    <row r="3864" spans="1:17" x14ac:dyDescent="0.35">
      <c r="A3864" t="s">
        <v>3916</v>
      </c>
      <c r="B3864" t="s">
        <v>23</v>
      </c>
      <c r="C3864" s="7">
        <v>26</v>
      </c>
      <c r="D3864" t="s">
        <v>55</v>
      </c>
      <c r="E3864" t="s">
        <v>56</v>
      </c>
      <c r="F3864" t="s">
        <v>28</v>
      </c>
      <c r="G3864" s="9">
        <v>12.2</v>
      </c>
      <c r="H3864" s="7">
        <v>5.9</v>
      </c>
      <c r="I3864" t="str" cm="1">
        <f t="array" ref="I3864">_xlfn.IFS(G3864&lt;3, "0–2 Years", G3864&lt;6, "3–5 Years", G3864&lt;9, "6–8 Years", G3864&lt;12, "9-11 Years", G3864&gt;=12, "12-14 Years")</f>
        <v>12-14 Years</v>
      </c>
      <c r="J3864" s="7">
        <v>3</v>
      </c>
      <c r="K3864" t="s">
        <v>20</v>
      </c>
      <c r="L3864" s="7">
        <v>105100</v>
      </c>
      <c r="M3864" s="7">
        <v>9100</v>
      </c>
      <c r="N3864" s="7">
        <v>114200</v>
      </c>
      <c r="O3864" t="s">
        <v>57</v>
      </c>
      <c r="P3864" s="3">
        <v>41557</v>
      </c>
      <c r="Q3864" t="s">
        <v>28</v>
      </c>
    </row>
    <row r="3865" spans="1:17" x14ac:dyDescent="0.35">
      <c r="A3865" t="s">
        <v>3917</v>
      </c>
      <c r="B3865" t="s">
        <v>16</v>
      </c>
      <c r="C3865">
        <v>30</v>
      </c>
      <c r="D3865" t="s">
        <v>38</v>
      </c>
      <c r="E3865" t="s">
        <v>112</v>
      </c>
      <c r="F3865" t="s">
        <v>36</v>
      </c>
      <c r="G3865">
        <v>7.2</v>
      </c>
      <c r="H3865">
        <v>2.6</v>
      </c>
      <c r="I3865" t="str" cm="1">
        <f t="array" ref="I3865">_xlfn.IFS(G3865&lt;3, "0–2 Years", G3865&lt;6, "3–5 Years", G3865&lt;9, "6–8 Years", G3865&lt;12, "9-11 Years", G3865&gt;=12, "12-14 Years")</f>
        <v>6–8 Years</v>
      </c>
      <c r="J3865">
        <v>4</v>
      </c>
      <c r="K3865" t="s">
        <v>24</v>
      </c>
      <c r="L3865">
        <v>52100</v>
      </c>
      <c r="M3865">
        <v>2800</v>
      </c>
      <c r="N3865">
        <v>54900</v>
      </c>
      <c r="O3865" t="s">
        <v>25</v>
      </c>
      <c r="P3865" s="3">
        <v>43399</v>
      </c>
      <c r="Q3865" t="s">
        <v>36</v>
      </c>
    </row>
    <row r="3866" spans="1:17" x14ac:dyDescent="0.35">
      <c r="A3866" t="s">
        <v>3918</v>
      </c>
      <c r="B3866" t="s">
        <v>16</v>
      </c>
      <c r="C3866">
        <v>33</v>
      </c>
      <c r="D3866" t="s">
        <v>44</v>
      </c>
      <c r="E3866" t="s">
        <v>51</v>
      </c>
      <c r="F3866" t="s">
        <v>36</v>
      </c>
      <c r="G3866">
        <v>4.4000000000000004</v>
      </c>
      <c r="H3866">
        <v>4.2</v>
      </c>
      <c r="I3866" t="str" cm="1">
        <f t="array" ref="I3866">_xlfn.IFS(G3866&lt;3, "0–2 Years", G3866&lt;6, "3–5 Years", G3866&lt;9, "6–8 Years", G3866&lt;12, "9-11 Years", G3866&gt;=12, "12-14 Years")</f>
        <v>3–5 Years</v>
      </c>
      <c r="J3866">
        <v>3</v>
      </c>
      <c r="K3866" t="s">
        <v>20</v>
      </c>
      <c r="L3866">
        <v>74400</v>
      </c>
      <c r="M3866">
        <v>7200</v>
      </c>
      <c r="N3866">
        <v>81600</v>
      </c>
      <c r="O3866" t="s">
        <v>21</v>
      </c>
      <c r="P3866" s="3">
        <v>44398</v>
      </c>
      <c r="Q3866" t="s">
        <v>36</v>
      </c>
    </row>
    <row r="3867" spans="1:17" x14ac:dyDescent="0.35">
      <c r="A3867" t="s">
        <v>3919</v>
      </c>
      <c r="B3867" t="s">
        <v>23</v>
      </c>
      <c r="C3867" s="7">
        <v>50</v>
      </c>
      <c r="D3867" t="s">
        <v>55</v>
      </c>
      <c r="E3867" t="s">
        <v>56</v>
      </c>
      <c r="F3867" t="s">
        <v>28</v>
      </c>
      <c r="G3867" s="9">
        <v>13.7</v>
      </c>
      <c r="H3867" s="7">
        <v>10.4</v>
      </c>
      <c r="I3867" t="str" cm="1">
        <f t="array" ref="I3867">_xlfn.IFS(G3867&lt;3, "0–2 Years", G3867&lt;6, "3–5 Years", G3867&lt;9, "6–8 Years", G3867&lt;12, "9-11 Years", G3867&gt;=12, "12-14 Years")</f>
        <v>12-14 Years</v>
      </c>
      <c r="J3867" s="7">
        <v>2</v>
      </c>
      <c r="K3867" t="s">
        <v>20</v>
      </c>
      <c r="L3867" s="7">
        <v>108700</v>
      </c>
      <c r="M3867" s="7">
        <v>22700</v>
      </c>
      <c r="N3867" s="7">
        <v>131400</v>
      </c>
      <c r="O3867" t="s">
        <v>57</v>
      </c>
      <c r="P3867" s="3">
        <v>41016</v>
      </c>
      <c r="Q3867" t="s">
        <v>28</v>
      </c>
    </row>
    <row r="3868" spans="1:17" x14ac:dyDescent="0.35">
      <c r="A3868" t="s">
        <v>3920</v>
      </c>
      <c r="B3868" t="s">
        <v>23</v>
      </c>
      <c r="C3868">
        <v>25</v>
      </c>
      <c r="D3868" t="s">
        <v>44</v>
      </c>
      <c r="E3868" t="s">
        <v>45</v>
      </c>
      <c r="F3868" t="s">
        <v>36</v>
      </c>
      <c r="G3868">
        <v>6.2</v>
      </c>
      <c r="H3868">
        <v>4.3</v>
      </c>
      <c r="I3868" t="str" cm="1">
        <f t="array" ref="I3868">_xlfn.IFS(G3868&lt;3, "0–2 Years", G3868&lt;6, "3–5 Years", G3868&lt;9, "6–8 Years", G3868&lt;12, "9-11 Years", G3868&gt;=12, "12-14 Years")</f>
        <v>6–8 Years</v>
      </c>
      <c r="J3868">
        <v>3</v>
      </c>
      <c r="K3868" t="s">
        <v>20</v>
      </c>
      <c r="L3868">
        <v>81000</v>
      </c>
      <c r="M3868">
        <v>12000</v>
      </c>
      <c r="N3868">
        <v>93000</v>
      </c>
      <c r="O3868" t="s">
        <v>30</v>
      </c>
      <c r="P3868" s="3">
        <v>43760</v>
      </c>
      <c r="Q3868" t="s">
        <v>36</v>
      </c>
    </row>
    <row r="3869" spans="1:17" x14ac:dyDescent="0.35">
      <c r="A3869" t="s">
        <v>3921</v>
      </c>
      <c r="B3869" t="s">
        <v>16</v>
      </c>
      <c r="C3869">
        <v>23</v>
      </c>
      <c r="D3869" t="s">
        <v>41</v>
      </c>
      <c r="E3869" t="s">
        <v>73</v>
      </c>
      <c r="F3869" t="s">
        <v>36</v>
      </c>
      <c r="G3869">
        <v>11.8</v>
      </c>
      <c r="H3869">
        <v>8.6999999999999993</v>
      </c>
      <c r="I3869" t="str" cm="1">
        <f t="array" ref="I3869">_xlfn.IFS(G3869&lt;3, "0–2 Years", G3869&lt;6, "3–5 Years", G3869&lt;9, "6–8 Years", G3869&lt;12, "9-11 Years", G3869&gt;=12, "12-14 Years")</f>
        <v>9-11 Years</v>
      </c>
      <c r="J3869">
        <v>3</v>
      </c>
      <c r="K3869" t="s">
        <v>20</v>
      </c>
      <c r="L3869">
        <v>122700</v>
      </c>
      <c r="M3869">
        <v>9100</v>
      </c>
      <c r="N3869">
        <v>131800</v>
      </c>
      <c r="O3869" t="s">
        <v>57</v>
      </c>
      <c r="P3869" s="3">
        <v>41709</v>
      </c>
      <c r="Q3869" t="s">
        <v>36</v>
      </c>
    </row>
    <row r="3870" spans="1:17" x14ac:dyDescent="0.35">
      <c r="A3870" t="s">
        <v>3922</v>
      </c>
      <c r="B3870" t="s">
        <v>16</v>
      </c>
      <c r="C3870">
        <v>35</v>
      </c>
      <c r="D3870" t="s">
        <v>41</v>
      </c>
      <c r="E3870" t="s">
        <v>67</v>
      </c>
      <c r="F3870" t="s">
        <v>36</v>
      </c>
      <c r="G3870">
        <v>6.5</v>
      </c>
      <c r="H3870">
        <v>3.9</v>
      </c>
      <c r="I3870" t="str" cm="1">
        <f t="array" ref="I3870">_xlfn.IFS(G3870&lt;3, "0–2 Years", G3870&lt;6, "3–5 Years", G3870&lt;9, "6–8 Years", G3870&lt;12, "9-11 Years", G3870&gt;=12, "12-14 Years")</f>
        <v>6–8 Years</v>
      </c>
      <c r="J3870">
        <v>3</v>
      </c>
      <c r="K3870" t="s">
        <v>20</v>
      </c>
      <c r="L3870">
        <v>76300</v>
      </c>
      <c r="M3870">
        <v>4600</v>
      </c>
      <c r="N3870">
        <v>80900</v>
      </c>
      <c r="O3870" t="s">
        <v>21</v>
      </c>
      <c r="P3870" s="3">
        <v>43637</v>
      </c>
      <c r="Q3870" t="s">
        <v>36</v>
      </c>
    </row>
    <row r="3871" spans="1:17" x14ac:dyDescent="0.35">
      <c r="A3871" t="s">
        <v>3923</v>
      </c>
      <c r="B3871" t="s">
        <v>16</v>
      </c>
      <c r="C3871">
        <v>36</v>
      </c>
      <c r="D3871" t="s">
        <v>34</v>
      </c>
      <c r="E3871" t="s">
        <v>47</v>
      </c>
      <c r="F3871" t="s">
        <v>28</v>
      </c>
      <c r="G3871">
        <v>6.9</v>
      </c>
      <c r="H3871">
        <v>3.9</v>
      </c>
      <c r="I3871" t="str" cm="1">
        <f t="array" ref="I3871">_xlfn.IFS(G3871&lt;3, "0–2 Years", G3871&lt;6, "3–5 Years", G3871&lt;9, "6–8 Years", G3871&lt;12, "9-11 Years", G3871&gt;=12, "12-14 Years")</f>
        <v>6–8 Years</v>
      </c>
      <c r="J3871">
        <v>3</v>
      </c>
      <c r="K3871" t="s">
        <v>20</v>
      </c>
      <c r="L3871">
        <v>71800</v>
      </c>
      <c r="M3871">
        <v>8400</v>
      </c>
      <c r="N3871">
        <v>80200</v>
      </c>
      <c r="O3871" t="s">
        <v>21</v>
      </c>
      <c r="P3871" s="3">
        <v>43511</v>
      </c>
      <c r="Q3871" t="s">
        <v>28</v>
      </c>
    </row>
    <row r="3872" spans="1:17" x14ac:dyDescent="0.35">
      <c r="A3872" t="s">
        <v>3924</v>
      </c>
      <c r="B3872" t="s">
        <v>23</v>
      </c>
      <c r="C3872">
        <v>21</v>
      </c>
      <c r="D3872" t="s">
        <v>55</v>
      </c>
      <c r="E3872" t="s">
        <v>56</v>
      </c>
      <c r="F3872" t="s">
        <v>28</v>
      </c>
      <c r="G3872">
        <v>6.2</v>
      </c>
      <c r="H3872">
        <v>2.9</v>
      </c>
      <c r="I3872" t="str" cm="1">
        <f t="array" ref="I3872">_xlfn.IFS(G3872&lt;3, "0–2 Years", G3872&lt;6, "3–5 Years", G3872&lt;9, "6–8 Years", G3872&lt;12, "9-11 Years", G3872&gt;=12, "12-14 Years")</f>
        <v>6–8 Years</v>
      </c>
      <c r="J3872">
        <v>3</v>
      </c>
      <c r="K3872" t="s">
        <v>20</v>
      </c>
      <c r="L3872">
        <v>92200</v>
      </c>
      <c r="M3872">
        <v>10500</v>
      </c>
      <c r="N3872">
        <v>102700</v>
      </c>
      <c r="O3872" t="s">
        <v>30</v>
      </c>
      <c r="P3872" s="3">
        <v>43762</v>
      </c>
      <c r="Q3872" t="s">
        <v>28</v>
      </c>
    </row>
    <row r="3873" spans="1:17" x14ac:dyDescent="0.35">
      <c r="A3873" t="s">
        <v>3925</v>
      </c>
      <c r="B3873" t="s">
        <v>16</v>
      </c>
      <c r="C3873">
        <v>33</v>
      </c>
      <c r="D3873" t="s">
        <v>38</v>
      </c>
      <c r="E3873" t="s">
        <v>61</v>
      </c>
      <c r="F3873" t="s">
        <v>28</v>
      </c>
      <c r="G3873">
        <v>6.4</v>
      </c>
      <c r="H3873">
        <v>5.8</v>
      </c>
      <c r="I3873" t="str" cm="1">
        <f t="array" ref="I3873">_xlfn.IFS(G3873&lt;3, "0–2 Years", G3873&lt;6, "3–5 Years", G3873&lt;9, "6–8 Years", G3873&lt;12, "9-11 Years", G3873&gt;=12, "12-14 Years")</f>
        <v>6–8 Years</v>
      </c>
      <c r="J3873">
        <v>3</v>
      </c>
      <c r="K3873" t="s">
        <v>20</v>
      </c>
      <c r="L3873">
        <v>101000</v>
      </c>
      <c r="M3873">
        <v>5000</v>
      </c>
      <c r="N3873">
        <v>106000</v>
      </c>
      <c r="O3873" t="s">
        <v>57</v>
      </c>
      <c r="P3873" s="3">
        <v>43689</v>
      </c>
      <c r="Q3873" t="s">
        <v>28</v>
      </c>
    </row>
    <row r="3874" spans="1:17" x14ac:dyDescent="0.35">
      <c r="A3874" t="s">
        <v>3926</v>
      </c>
      <c r="B3874" t="s">
        <v>16</v>
      </c>
      <c r="C3874" s="7">
        <v>40</v>
      </c>
      <c r="D3874" t="s">
        <v>55</v>
      </c>
      <c r="E3874" t="s">
        <v>56</v>
      </c>
      <c r="F3874" t="s">
        <v>36</v>
      </c>
      <c r="G3874" s="9">
        <v>12.9</v>
      </c>
      <c r="H3874" s="7">
        <v>10</v>
      </c>
      <c r="I3874" t="str" cm="1">
        <f t="array" ref="I3874">_xlfn.IFS(G3874&lt;3, "0–2 Years", G3874&lt;6, "3–5 Years", G3874&lt;9, "6–8 Years", G3874&lt;12, "9-11 Years", G3874&gt;=12, "12-14 Years")</f>
        <v>12-14 Years</v>
      </c>
      <c r="J3874" s="7">
        <v>5</v>
      </c>
      <c r="K3874" t="s">
        <v>20</v>
      </c>
      <c r="L3874" s="7">
        <v>132400</v>
      </c>
      <c r="M3874" s="7">
        <v>16200</v>
      </c>
      <c r="N3874" s="7">
        <v>148600</v>
      </c>
      <c r="O3874" t="s">
        <v>57</v>
      </c>
      <c r="P3874" s="3">
        <v>41310</v>
      </c>
      <c r="Q3874" t="s">
        <v>36</v>
      </c>
    </row>
    <row r="3875" spans="1:17" x14ac:dyDescent="0.35">
      <c r="A3875" t="s">
        <v>3927</v>
      </c>
      <c r="B3875" t="s">
        <v>23</v>
      </c>
      <c r="C3875">
        <v>41</v>
      </c>
      <c r="D3875" t="s">
        <v>41</v>
      </c>
      <c r="E3875" t="s">
        <v>67</v>
      </c>
      <c r="F3875" t="s">
        <v>19</v>
      </c>
      <c r="G3875">
        <v>8.3000000000000007</v>
      </c>
      <c r="H3875">
        <v>4</v>
      </c>
      <c r="I3875" t="str" cm="1">
        <f t="array" ref="I3875">_xlfn.IFS(G3875&lt;3, "0–2 Years", G3875&lt;6, "3–5 Years", G3875&lt;9, "6–8 Years", G3875&lt;12, "9-11 Years", G3875&gt;=12, "12-14 Years")</f>
        <v>6–8 Years</v>
      </c>
      <c r="J3875">
        <v>2</v>
      </c>
      <c r="K3875" t="s">
        <v>20</v>
      </c>
      <c r="L3875">
        <v>71000</v>
      </c>
      <c r="M3875">
        <v>3600</v>
      </c>
      <c r="N3875">
        <v>74600</v>
      </c>
      <c r="O3875" t="s">
        <v>21</v>
      </c>
      <c r="P3875" s="3">
        <v>42991</v>
      </c>
      <c r="Q3875" t="s">
        <v>19</v>
      </c>
    </row>
    <row r="3876" spans="1:17" x14ac:dyDescent="0.35">
      <c r="A3876" t="s">
        <v>3928</v>
      </c>
      <c r="B3876" t="s">
        <v>23</v>
      </c>
      <c r="C3876">
        <v>34</v>
      </c>
      <c r="D3876" t="s">
        <v>41</v>
      </c>
      <c r="E3876" t="s">
        <v>73</v>
      </c>
      <c r="F3876" t="s">
        <v>36</v>
      </c>
      <c r="G3876">
        <v>5.3</v>
      </c>
      <c r="H3876">
        <v>3.2</v>
      </c>
      <c r="I3876" t="str" cm="1">
        <f t="array" ref="I3876">_xlfn.IFS(G3876&lt;3, "0–2 Years", G3876&lt;6, "3–5 Years", G3876&lt;9, "6–8 Years", G3876&lt;12, "9-11 Years", G3876&gt;=12, "12-14 Years")</f>
        <v>3–5 Years</v>
      </c>
      <c r="J3876">
        <v>4</v>
      </c>
      <c r="K3876" t="s">
        <v>20</v>
      </c>
      <c r="L3876">
        <v>106300</v>
      </c>
      <c r="M3876">
        <v>3400</v>
      </c>
      <c r="N3876">
        <v>109700</v>
      </c>
      <c r="O3876" t="s">
        <v>57</v>
      </c>
      <c r="P3876" s="3">
        <v>44080</v>
      </c>
      <c r="Q3876" t="s">
        <v>36</v>
      </c>
    </row>
    <row r="3877" spans="1:17" x14ac:dyDescent="0.35">
      <c r="A3877" t="s">
        <v>3929</v>
      </c>
      <c r="B3877" t="s">
        <v>16</v>
      </c>
      <c r="C3877" s="7">
        <v>33</v>
      </c>
      <c r="D3877" t="s">
        <v>44</v>
      </c>
      <c r="E3877" t="s">
        <v>51</v>
      </c>
      <c r="F3877" t="s">
        <v>28</v>
      </c>
      <c r="G3877" s="9">
        <v>13.4</v>
      </c>
      <c r="H3877" s="7">
        <v>10</v>
      </c>
      <c r="I3877" t="str" cm="1">
        <f t="array" ref="I3877">_xlfn.IFS(G3877&lt;3, "0–2 Years", G3877&lt;6, "3–5 Years", G3877&lt;9, "6–8 Years", G3877&lt;12, "9-11 Years", G3877&gt;=12, "12-14 Years")</f>
        <v>12-14 Years</v>
      </c>
      <c r="J3877" s="7">
        <v>2</v>
      </c>
      <c r="K3877" t="s">
        <v>20</v>
      </c>
      <c r="L3877" s="7">
        <v>92000</v>
      </c>
      <c r="M3877" s="7">
        <v>10900</v>
      </c>
      <c r="N3877" s="7">
        <v>102900</v>
      </c>
      <c r="O3877" t="s">
        <v>30</v>
      </c>
      <c r="P3877" s="3">
        <v>41130</v>
      </c>
      <c r="Q3877" t="s">
        <v>28</v>
      </c>
    </row>
    <row r="3878" spans="1:17" x14ac:dyDescent="0.35">
      <c r="A3878" t="s">
        <v>3930</v>
      </c>
      <c r="B3878" t="s">
        <v>23</v>
      </c>
      <c r="C3878" s="7">
        <v>29</v>
      </c>
      <c r="D3878" t="s">
        <v>44</v>
      </c>
      <c r="E3878" t="s">
        <v>76</v>
      </c>
      <c r="F3878" t="s">
        <v>19</v>
      </c>
      <c r="G3878" s="9">
        <v>13.6</v>
      </c>
      <c r="H3878" s="7">
        <v>7.7</v>
      </c>
      <c r="I3878" t="str" cm="1">
        <f t="array" ref="I3878">_xlfn.IFS(G3878&lt;3, "0–2 Years", G3878&lt;6, "3–5 Years", G3878&lt;9, "6–8 Years", G3878&lt;12, "9-11 Years", G3878&gt;=12, "12-14 Years")</f>
        <v>12-14 Years</v>
      </c>
      <c r="J3878" s="7">
        <v>2</v>
      </c>
      <c r="K3878" t="s">
        <v>24</v>
      </c>
      <c r="L3878" s="7">
        <v>66000</v>
      </c>
      <c r="M3878" s="7">
        <v>3700</v>
      </c>
      <c r="N3878" s="7">
        <v>69700</v>
      </c>
      <c r="O3878" t="s">
        <v>21</v>
      </c>
      <c r="P3878" s="3">
        <v>41051</v>
      </c>
      <c r="Q3878" t="s">
        <v>19</v>
      </c>
    </row>
    <row r="3879" spans="1:17" x14ac:dyDescent="0.35">
      <c r="A3879" t="s">
        <v>3931</v>
      </c>
      <c r="B3879" t="s">
        <v>23</v>
      </c>
      <c r="C3879">
        <v>37</v>
      </c>
      <c r="D3879" t="s">
        <v>44</v>
      </c>
      <c r="E3879" t="s">
        <v>76</v>
      </c>
      <c r="F3879" t="s">
        <v>36</v>
      </c>
      <c r="G3879">
        <v>5.6</v>
      </c>
      <c r="H3879">
        <v>3.4</v>
      </c>
      <c r="I3879" t="str" cm="1">
        <f t="array" ref="I3879">_xlfn.IFS(G3879&lt;3, "0–2 Years", G3879&lt;6, "3–5 Years", G3879&lt;9, "6–8 Years", G3879&lt;12, "9-11 Years", G3879&gt;=12, "12-14 Years")</f>
        <v>3–5 Years</v>
      </c>
      <c r="J3879">
        <v>3</v>
      </c>
      <c r="K3879" t="s">
        <v>20</v>
      </c>
      <c r="L3879">
        <v>105600</v>
      </c>
      <c r="M3879">
        <v>12600</v>
      </c>
      <c r="N3879">
        <v>118200</v>
      </c>
      <c r="O3879" t="s">
        <v>57</v>
      </c>
      <c r="P3879" s="3">
        <v>43970</v>
      </c>
      <c r="Q3879" t="s">
        <v>36</v>
      </c>
    </row>
    <row r="3880" spans="1:17" x14ac:dyDescent="0.35">
      <c r="A3880" t="s">
        <v>3932</v>
      </c>
      <c r="B3880" t="s">
        <v>23</v>
      </c>
      <c r="C3880">
        <v>24</v>
      </c>
      <c r="D3880" t="s">
        <v>34</v>
      </c>
      <c r="E3880" t="s">
        <v>47</v>
      </c>
      <c r="F3880" t="s">
        <v>19</v>
      </c>
      <c r="G3880">
        <v>3.2</v>
      </c>
      <c r="H3880">
        <v>2.4</v>
      </c>
      <c r="I3880" t="str" cm="1">
        <f t="array" ref="I3880">_xlfn.IFS(G3880&lt;3, "0–2 Years", G3880&lt;6, "3–5 Years", G3880&lt;9, "6–8 Years", G3880&lt;12, "9-11 Years", G3880&gt;=12, "12-14 Years")</f>
        <v>3–5 Years</v>
      </c>
      <c r="J3880">
        <v>3</v>
      </c>
      <c r="K3880" t="s">
        <v>20</v>
      </c>
      <c r="L3880">
        <v>73900</v>
      </c>
      <c r="M3880">
        <v>4800</v>
      </c>
      <c r="N3880">
        <v>78700</v>
      </c>
      <c r="O3880" t="s">
        <v>21</v>
      </c>
      <c r="P3880" s="3">
        <v>44836</v>
      </c>
      <c r="Q3880" t="s">
        <v>19</v>
      </c>
    </row>
    <row r="3881" spans="1:17" x14ac:dyDescent="0.35">
      <c r="A3881" t="s">
        <v>3933</v>
      </c>
      <c r="B3881" t="s">
        <v>16</v>
      </c>
      <c r="C3881">
        <v>33</v>
      </c>
      <c r="D3881" t="s">
        <v>44</v>
      </c>
      <c r="E3881" t="s">
        <v>76</v>
      </c>
      <c r="F3881" t="s">
        <v>19</v>
      </c>
      <c r="G3881">
        <v>4.2</v>
      </c>
      <c r="H3881">
        <v>1.9</v>
      </c>
      <c r="I3881" t="str" cm="1">
        <f t="array" ref="I3881">_xlfn.IFS(G3881&lt;3, "0–2 Years", G3881&lt;6, "3–5 Years", G3881&lt;9, "6–8 Years", G3881&lt;12, "9-11 Years", G3881&gt;=12, "12-14 Years")</f>
        <v>3–5 Years</v>
      </c>
      <c r="J3881">
        <v>3</v>
      </c>
      <c r="K3881" t="s">
        <v>20</v>
      </c>
      <c r="L3881">
        <v>90500</v>
      </c>
      <c r="M3881">
        <v>11400</v>
      </c>
      <c r="N3881">
        <v>101900</v>
      </c>
      <c r="O3881" t="s">
        <v>30</v>
      </c>
      <c r="P3881" s="3">
        <v>44476</v>
      </c>
      <c r="Q3881" t="s">
        <v>19</v>
      </c>
    </row>
    <row r="3882" spans="1:17" x14ac:dyDescent="0.35">
      <c r="A3882" t="s">
        <v>3934</v>
      </c>
      <c r="B3882" t="s">
        <v>23</v>
      </c>
      <c r="C3882">
        <v>41</v>
      </c>
      <c r="D3882" t="s">
        <v>34</v>
      </c>
      <c r="E3882" t="s">
        <v>59</v>
      </c>
      <c r="F3882" t="s">
        <v>28</v>
      </c>
      <c r="G3882">
        <v>5</v>
      </c>
      <c r="H3882">
        <v>3.5</v>
      </c>
      <c r="I3882" t="str" cm="1">
        <f t="array" ref="I3882">_xlfn.IFS(G3882&lt;3, "0–2 Years", G3882&lt;6, "3–5 Years", G3882&lt;9, "6–8 Years", G3882&lt;12, "9-11 Years", G3882&gt;=12, "12-14 Years")</f>
        <v>3–5 Years</v>
      </c>
      <c r="J3882">
        <v>4</v>
      </c>
      <c r="K3882" t="s">
        <v>69</v>
      </c>
      <c r="L3882">
        <v>84200</v>
      </c>
      <c r="M3882">
        <v>3600</v>
      </c>
      <c r="N3882">
        <v>87800</v>
      </c>
      <c r="O3882" t="s">
        <v>30</v>
      </c>
      <c r="P3882" s="3">
        <v>44183</v>
      </c>
      <c r="Q3882" t="s">
        <v>28</v>
      </c>
    </row>
    <row r="3883" spans="1:17" x14ac:dyDescent="0.35">
      <c r="A3883" t="s">
        <v>3935</v>
      </c>
      <c r="B3883" t="s">
        <v>16</v>
      </c>
      <c r="C3883">
        <v>39</v>
      </c>
      <c r="D3883" t="s">
        <v>41</v>
      </c>
      <c r="E3883" t="s">
        <v>42</v>
      </c>
      <c r="F3883" t="s">
        <v>36</v>
      </c>
      <c r="G3883">
        <v>3.9</v>
      </c>
      <c r="H3883">
        <v>1.9</v>
      </c>
      <c r="I3883" t="str" cm="1">
        <f t="array" ref="I3883">_xlfn.IFS(G3883&lt;3, "0–2 Years", G3883&lt;6, "3–5 Years", G3883&lt;9, "6–8 Years", G3883&lt;12, "9-11 Years", G3883&gt;=12, "12-14 Years")</f>
        <v>3–5 Years</v>
      </c>
      <c r="J3883">
        <v>3</v>
      </c>
      <c r="K3883" t="s">
        <v>20</v>
      </c>
      <c r="L3883">
        <v>74500</v>
      </c>
      <c r="M3883">
        <v>2700</v>
      </c>
      <c r="N3883">
        <v>77200</v>
      </c>
      <c r="O3883" t="s">
        <v>21</v>
      </c>
      <c r="P3883" s="3">
        <v>44593</v>
      </c>
      <c r="Q3883" t="s">
        <v>36</v>
      </c>
    </row>
    <row r="3884" spans="1:17" x14ac:dyDescent="0.35">
      <c r="A3884" t="s">
        <v>3936</v>
      </c>
      <c r="B3884" t="s">
        <v>16</v>
      </c>
      <c r="C3884">
        <v>30</v>
      </c>
      <c r="D3884" t="s">
        <v>38</v>
      </c>
      <c r="E3884" t="s">
        <v>39</v>
      </c>
      <c r="F3884" t="s">
        <v>36</v>
      </c>
      <c r="G3884">
        <v>8.3000000000000007</v>
      </c>
      <c r="H3884">
        <v>8.3000000000000007</v>
      </c>
      <c r="I3884" t="str" cm="1">
        <f t="array" ref="I3884">_xlfn.IFS(G3884&lt;3, "0–2 Years", G3884&lt;6, "3–5 Years", G3884&lt;9, "6–8 Years", G3884&lt;12, "9-11 Years", G3884&gt;=12, "12-14 Years")</f>
        <v>6–8 Years</v>
      </c>
      <c r="J3884">
        <v>3</v>
      </c>
      <c r="K3884" t="s">
        <v>20</v>
      </c>
      <c r="L3884">
        <v>85600</v>
      </c>
      <c r="M3884">
        <v>7900</v>
      </c>
      <c r="N3884">
        <v>93500</v>
      </c>
      <c r="O3884" t="s">
        <v>30</v>
      </c>
      <c r="P3884" s="3">
        <v>43004</v>
      </c>
      <c r="Q3884" t="s">
        <v>36</v>
      </c>
    </row>
    <row r="3885" spans="1:17" x14ac:dyDescent="0.35">
      <c r="A3885" t="s">
        <v>3937</v>
      </c>
      <c r="B3885" t="s">
        <v>16</v>
      </c>
      <c r="C3885" s="7">
        <v>21</v>
      </c>
      <c r="D3885" t="s">
        <v>38</v>
      </c>
      <c r="E3885" t="s">
        <v>39</v>
      </c>
      <c r="F3885" t="s">
        <v>19</v>
      </c>
      <c r="G3885" s="9">
        <v>12.4</v>
      </c>
      <c r="H3885" s="7">
        <v>8.4</v>
      </c>
      <c r="I3885" t="str" cm="1">
        <f t="array" ref="I3885">_xlfn.IFS(G3885&lt;3, "0–2 Years", G3885&lt;6, "3–5 Years", G3885&lt;9, "6–8 Years", G3885&lt;12, "9-11 Years", G3885&gt;=12, "12-14 Years")</f>
        <v>12-14 Years</v>
      </c>
      <c r="J3885" s="7">
        <v>4</v>
      </c>
      <c r="K3885" t="s">
        <v>24</v>
      </c>
      <c r="L3885" s="7">
        <v>52500</v>
      </c>
      <c r="M3885" s="7">
        <v>5000</v>
      </c>
      <c r="N3885" s="7">
        <v>57500</v>
      </c>
      <c r="O3885" t="s">
        <v>25</v>
      </c>
      <c r="P3885" s="3">
        <v>41495</v>
      </c>
      <c r="Q3885" t="s">
        <v>19</v>
      </c>
    </row>
    <row r="3886" spans="1:17" x14ac:dyDescent="0.35">
      <c r="A3886" t="s">
        <v>3938</v>
      </c>
      <c r="B3886" t="s">
        <v>23</v>
      </c>
      <c r="C3886">
        <v>41</v>
      </c>
      <c r="D3886" t="s">
        <v>38</v>
      </c>
      <c r="E3886" t="s">
        <v>112</v>
      </c>
      <c r="F3886" t="s">
        <v>28</v>
      </c>
      <c r="G3886">
        <v>2.8</v>
      </c>
      <c r="H3886">
        <v>0</v>
      </c>
      <c r="I3886" t="str" cm="1">
        <f t="array" ref="I3886">_xlfn.IFS(G3886&lt;3, "0–2 Years", G3886&lt;6, "3–5 Years", G3886&lt;9, "6–8 Years", G3886&lt;12, "9-11 Years", G3886&gt;=12, "12-14 Years")</f>
        <v>0–2 Years</v>
      </c>
      <c r="J3886">
        <v>1</v>
      </c>
      <c r="K3886" t="s">
        <v>20</v>
      </c>
      <c r="L3886">
        <v>63700</v>
      </c>
      <c r="M3886">
        <v>4000</v>
      </c>
      <c r="N3886">
        <v>67700</v>
      </c>
      <c r="O3886" t="s">
        <v>25</v>
      </c>
      <c r="P3886" s="3">
        <v>45016</v>
      </c>
      <c r="Q3886" t="s">
        <v>28</v>
      </c>
    </row>
    <row r="3887" spans="1:17" x14ac:dyDescent="0.35">
      <c r="A3887" t="s">
        <v>3939</v>
      </c>
      <c r="B3887" t="s">
        <v>16</v>
      </c>
      <c r="C3887">
        <v>37</v>
      </c>
      <c r="D3887" t="s">
        <v>17</v>
      </c>
      <c r="E3887" t="s">
        <v>18</v>
      </c>
      <c r="F3887" t="s">
        <v>62</v>
      </c>
      <c r="G3887">
        <v>7.8</v>
      </c>
      <c r="H3887">
        <v>2.7</v>
      </c>
      <c r="I3887" t="str" cm="1">
        <f t="array" ref="I3887">_xlfn.IFS(G3887&lt;3, "0–2 Years", G3887&lt;6, "3–5 Years", G3887&lt;9, "6–8 Years", G3887&lt;12, "9-11 Years", G3887&gt;=12, "12-14 Years")</f>
        <v>6–8 Years</v>
      </c>
      <c r="J3887">
        <v>4</v>
      </c>
      <c r="K3887" t="s">
        <v>20</v>
      </c>
      <c r="L3887">
        <v>109200</v>
      </c>
      <c r="M3887">
        <v>8500</v>
      </c>
      <c r="N3887">
        <v>117700</v>
      </c>
      <c r="O3887" t="s">
        <v>57</v>
      </c>
      <c r="P3887" s="3">
        <v>43181</v>
      </c>
      <c r="Q3887" t="s">
        <v>62</v>
      </c>
    </row>
    <row r="3888" spans="1:17" x14ac:dyDescent="0.35">
      <c r="A3888" t="s">
        <v>3940</v>
      </c>
      <c r="B3888" t="s">
        <v>16</v>
      </c>
      <c r="C3888">
        <v>36</v>
      </c>
      <c r="D3888" t="s">
        <v>38</v>
      </c>
      <c r="E3888" t="s">
        <v>61</v>
      </c>
      <c r="F3888" t="s">
        <v>28</v>
      </c>
      <c r="G3888">
        <v>8</v>
      </c>
      <c r="H3888">
        <v>4.2</v>
      </c>
      <c r="I3888" t="str" cm="1">
        <f t="array" ref="I3888">_xlfn.IFS(G3888&lt;3, "0–2 Years", G3888&lt;6, "3–5 Years", G3888&lt;9, "6–8 Years", G3888&lt;12, "9-11 Years", G3888&gt;=12, "12-14 Years")</f>
        <v>6–8 Years</v>
      </c>
      <c r="J3888">
        <v>3</v>
      </c>
      <c r="K3888" t="s">
        <v>20</v>
      </c>
      <c r="L3888">
        <v>98500</v>
      </c>
      <c r="M3888">
        <v>4000</v>
      </c>
      <c r="N3888">
        <v>102500</v>
      </c>
      <c r="O3888" t="s">
        <v>30</v>
      </c>
      <c r="P3888" s="3">
        <v>43090</v>
      </c>
      <c r="Q3888" t="s">
        <v>28</v>
      </c>
    </row>
    <row r="3889" spans="1:17" x14ac:dyDescent="0.35">
      <c r="A3889" t="s">
        <v>3941</v>
      </c>
      <c r="B3889" t="s">
        <v>16</v>
      </c>
      <c r="C3889">
        <v>25</v>
      </c>
      <c r="D3889" t="s">
        <v>34</v>
      </c>
      <c r="E3889" t="s">
        <v>47</v>
      </c>
      <c r="F3889" t="s">
        <v>28</v>
      </c>
      <c r="G3889">
        <v>8.5</v>
      </c>
      <c r="H3889">
        <v>6</v>
      </c>
      <c r="I3889" t="str" cm="1">
        <f t="array" ref="I3889">_xlfn.IFS(G3889&lt;3, "0–2 Years", G3889&lt;6, "3–5 Years", G3889&lt;9, "6–8 Years", G3889&lt;12, "9-11 Years", G3889&gt;=12, "12-14 Years")</f>
        <v>6–8 Years</v>
      </c>
      <c r="J3889">
        <v>4</v>
      </c>
      <c r="K3889" t="s">
        <v>20</v>
      </c>
      <c r="L3889">
        <v>85700</v>
      </c>
      <c r="M3889">
        <v>6700</v>
      </c>
      <c r="N3889">
        <v>92400</v>
      </c>
      <c r="O3889" t="s">
        <v>30</v>
      </c>
      <c r="P3889" s="3">
        <v>42929</v>
      </c>
      <c r="Q3889" t="s">
        <v>28</v>
      </c>
    </row>
    <row r="3890" spans="1:17" x14ac:dyDescent="0.35">
      <c r="A3890" t="s">
        <v>3942</v>
      </c>
      <c r="B3890" t="s">
        <v>16</v>
      </c>
      <c r="C3890">
        <v>29</v>
      </c>
      <c r="D3890" t="s">
        <v>41</v>
      </c>
      <c r="E3890" t="s">
        <v>42</v>
      </c>
      <c r="F3890" t="s">
        <v>36</v>
      </c>
      <c r="G3890">
        <v>3.7</v>
      </c>
      <c r="H3890">
        <v>2.7</v>
      </c>
      <c r="I3890" t="str" cm="1">
        <f t="array" ref="I3890">_xlfn.IFS(G3890&lt;3, "0–2 Years", G3890&lt;6, "3–5 Years", G3890&lt;9, "6–8 Years", G3890&lt;12, "9-11 Years", G3890&gt;=12, "12-14 Years")</f>
        <v>3–5 Years</v>
      </c>
      <c r="J3890">
        <v>4</v>
      </c>
      <c r="K3890" t="s">
        <v>20</v>
      </c>
      <c r="L3890">
        <v>83200</v>
      </c>
      <c r="M3890">
        <v>4100</v>
      </c>
      <c r="N3890">
        <v>87300</v>
      </c>
      <c r="O3890" t="s">
        <v>30</v>
      </c>
      <c r="P3890" s="3">
        <v>44674</v>
      </c>
      <c r="Q3890" t="s">
        <v>36</v>
      </c>
    </row>
    <row r="3891" spans="1:17" x14ac:dyDescent="0.35">
      <c r="A3891" t="s">
        <v>3943</v>
      </c>
      <c r="B3891" t="s">
        <v>23</v>
      </c>
      <c r="C3891">
        <v>31</v>
      </c>
      <c r="D3891" t="s">
        <v>55</v>
      </c>
      <c r="E3891" t="s">
        <v>92</v>
      </c>
      <c r="F3891" t="s">
        <v>28</v>
      </c>
      <c r="G3891">
        <v>5.9</v>
      </c>
      <c r="H3891">
        <v>5</v>
      </c>
      <c r="I3891" t="str" cm="1">
        <f t="array" ref="I3891">_xlfn.IFS(G3891&lt;3, "0–2 Years", G3891&lt;6, "3–5 Years", G3891&lt;9, "6–8 Years", G3891&lt;12, "9-11 Years", G3891&gt;=12, "12-14 Years")</f>
        <v>3–5 Years</v>
      </c>
      <c r="J3891">
        <v>3</v>
      </c>
      <c r="K3891" t="s">
        <v>69</v>
      </c>
      <c r="L3891">
        <v>82700</v>
      </c>
      <c r="M3891">
        <v>8200</v>
      </c>
      <c r="N3891">
        <v>90900</v>
      </c>
      <c r="O3891" t="s">
        <v>30</v>
      </c>
      <c r="P3891" s="3">
        <v>43867</v>
      </c>
      <c r="Q3891" t="s">
        <v>28</v>
      </c>
    </row>
    <row r="3892" spans="1:17" x14ac:dyDescent="0.35">
      <c r="A3892" t="s">
        <v>3944</v>
      </c>
      <c r="B3892" t="s">
        <v>23</v>
      </c>
      <c r="C3892" s="7">
        <v>26</v>
      </c>
      <c r="D3892" t="s">
        <v>41</v>
      </c>
      <c r="E3892" t="s">
        <v>67</v>
      </c>
      <c r="F3892" t="s">
        <v>28</v>
      </c>
      <c r="G3892" s="9">
        <v>14</v>
      </c>
      <c r="H3892" s="7">
        <v>10.1</v>
      </c>
      <c r="I3892" t="str" cm="1">
        <f t="array" ref="I3892">_xlfn.IFS(G3892&lt;3, "0–2 Years", G3892&lt;6, "3–5 Years", G3892&lt;9, "6–8 Years", G3892&lt;12, "9-11 Years", G3892&gt;=12, "12-14 Years")</f>
        <v>12-14 Years</v>
      </c>
      <c r="J3892" s="7">
        <v>3</v>
      </c>
      <c r="K3892" t="s">
        <v>24</v>
      </c>
      <c r="L3892" s="7">
        <v>51900</v>
      </c>
      <c r="M3892" s="7">
        <v>3200</v>
      </c>
      <c r="N3892" s="7">
        <v>55100</v>
      </c>
      <c r="O3892" t="s">
        <v>25</v>
      </c>
      <c r="P3892" s="3">
        <v>40921</v>
      </c>
      <c r="Q3892" t="s">
        <v>28</v>
      </c>
    </row>
    <row r="3893" spans="1:17" x14ac:dyDescent="0.35">
      <c r="A3893" t="s">
        <v>3945</v>
      </c>
      <c r="B3893" t="s">
        <v>23</v>
      </c>
      <c r="C3893">
        <v>36</v>
      </c>
      <c r="D3893" t="s">
        <v>34</v>
      </c>
      <c r="E3893" t="s">
        <v>47</v>
      </c>
      <c r="F3893" t="s">
        <v>28</v>
      </c>
      <c r="G3893">
        <v>1.4</v>
      </c>
      <c r="H3893">
        <v>0</v>
      </c>
      <c r="I3893" t="str" cm="1">
        <f t="array" ref="I3893">_xlfn.IFS(G3893&lt;3, "0–2 Years", G3893&lt;6, "3–5 Years", G3893&lt;9, "6–8 Years", G3893&lt;12, "9-11 Years", G3893&gt;=12, "12-14 Years")</f>
        <v>0–2 Years</v>
      </c>
      <c r="J3893">
        <v>3</v>
      </c>
      <c r="K3893" t="s">
        <v>20</v>
      </c>
      <c r="L3893">
        <v>62500</v>
      </c>
      <c r="M3893">
        <v>6900</v>
      </c>
      <c r="N3893">
        <v>69400</v>
      </c>
      <c r="O3893" t="s">
        <v>25</v>
      </c>
      <c r="P3893" s="3">
        <v>45519</v>
      </c>
      <c r="Q3893" t="s">
        <v>28</v>
      </c>
    </row>
    <row r="3894" spans="1:17" x14ac:dyDescent="0.35">
      <c r="A3894" t="s">
        <v>3946</v>
      </c>
      <c r="B3894" t="s">
        <v>23</v>
      </c>
      <c r="C3894" s="7">
        <v>21</v>
      </c>
      <c r="D3894" t="s">
        <v>55</v>
      </c>
      <c r="E3894" t="s">
        <v>79</v>
      </c>
      <c r="F3894" t="s">
        <v>36</v>
      </c>
      <c r="G3894" s="9">
        <v>12.4</v>
      </c>
      <c r="H3894" s="7">
        <v>7.2</v>
      </c>
      <c r="I3894" t="str" cm="1">
        <f t="array" ref="I3894">_xlfn.IFS(G3894&lt;3, "0–2 Years", G3894&lt;6, "3–5 Years", G3894&lt;9, "6–8 Years", G3894&lt;12, "9-11 Years", G3894&gt;=12, "12-14 Years")</f>
        <v>12-14 Years</v>
      </c>
      <c r="J3894" s="7">
        <v>2</v>
      </c>
      <c r="K3894" t="s">
        <v>20</v>
      </c>
      <c r="L3894" s="7">
        <v>75700</v>
      </c>
      <c r="M3894" s="7">
        <v>12300</v>
      </c>
      <c r="N3894" s="7">
        <v>88000</v>
      </c>
      <c r="O3894" t="s">
        <v>21</v>
      </c>
      <c r="P3894" s="3">
        <v>41493</v>
      </c>
      <c r="Q3894" t="s">
        <v>36</v>
      </c>
    </row>
    <row r="3895" spans="1:17" x14ac:dyDescent="0.35">
      <c r="A3895" t="s">
        <v>3947</v>
      </c>
      <c r="B3895" t="s">
        <v>16</v>
      </c>
      <c r="C3895">
        <v>37</v>
      </c>
      <c r="D3895" t="s">
        <v>41</v>
      </c>
      <c r="E3895" t="s">
        <v>67</v>
      </c>
      <c r="F3895" t="s">
        <v>28</v>
      </c>
      <c r="G3895">
        <v>3.2</v>
      </c>
      <c r="H3895">
        <v>3.2</v>
      </c>
      <c r="I3895" t="str" cm="1">
        <f t="array" ref="I3895">_xlfn.IFS(G3895&lt;3, "0–2 Years", G3895&lt;6, "3–5 Years", G3895&lt;9, "6–8 Years", G3895&lt;12, "9-11 Years", G3895&gt;=12, "12-14 Years")</f>
        <v>3–5 Years</v>
      </c>
      <c r="J3895">
        <v>3</v>
      </c>
      <c r="K3895" t="s">
        <v>69</v>
      </c>
      <c r="L3895">
        <v>56700</v>
      </c>
      <c r="M3895">
        <v>3800</v>
      </c>
      <c r="N3895">
        <v>60500</v>
      </c>
      <c r="O3895" t="s">
        <v>25</v>
      </c>
      <c r="P3895" s="3">
        <v>44857</v>
      </c>
      <c r="Q3895" t="s">
        <v>28</v>
      </c>
    </row>
    <row r="3896" spans="1:17" x14ac:dyDescent="0.35">
      <c r="A3896" t="s">
        <v>3948</v>
      </c>
      <c r="B3896" t="s">
        <v>23</v>
      </c>
      <c r="C3896">
        <v>41</v>
      </c>
      <c r="D3896" t="s">
        <v>34</v>
      </c>
      <c r="E3896" t="s">
        <v>35</v>
      </c>
      <c r="F3896" t="s">
        <v>28</v>
      </c>
      <c r="G3896">
        <v>10.1</v>
      </c>
      <c r="H3896">
        <v>4.0999999999999996</v>
      </c>
      <c r="I3896" t="str" cm="1">
        <f t="array" ref="I3896">_xlfn.IFS(G3896&lt;3, "0–2 Years", G3896&lt;6, "3–5 Years", G3896&lt;9, "6–8 Years", G3896&lt;12, "9-11 Years", G3896&gt;=12, "12-14 Years")</f>
        <v>9-11 Years</v>
      </c>
      <c r="J3896">
        <v>4</v>
      </c>
      <c r="K3896" t="s">
        <v>20</v>
      </c>
      <c r="L3896">
        <v>88200</v>
      </c>
      <c r="M3896">
        <v>8600</v>
      </c>
      <c r="N3896">
        <v>96800</v>
      </c>
      <c r="O3896" t="s">
        <v>30</v>
      </c>
      <c r="P3896" s="3">
        <v>42349</v>
      </c>
      <c r="Q3896" t="s">
        <v>28</v>
      </c>
    </row>
    <row r="3897" spans="1:17" x14ac:dyDescent="0.35">
      <c r="A3897" t="s">
        <v>3949</v>
      </c>
      <c r="B3897" t="s">
        <v>16</v>
      </c>
      <c r="C3897">
        <v>43</v>
      </c>
      <c r="D3897" t="s">
        <v>41</v>
      </c>
      <c r="E3897" t="s">
        <v>67</v>
      </c>
      <c r="F3897" t="s">
        <v>28</v>
      </c>
      <c r="G3897">
        <v>4.7</v>
      </c>
      <c r="H3897">
        <v>0.6</v>
      </c>
      <c r="I3897" t="str" cm="1">
        <f t="array" ref="I3897">_xlfn.IFS(G3897&lt;3, "0–2 Years", G3897&lt;6, "3–5 Years", G3897&lt;9, "6–8 Years", G3897&lt;12, "9-11 Years", G3897&gt;=12, "12-14 Years")</f>
        <v>3–5 Years</v>
      </c>
      <c r="J3897">
        <v>3</v>
      </c>
      <c r="K3897" t="s">
        <v>20</v>
      </c>
      <c r="L3897">
        <v>62500</v>
      </c>
      <c r="M3897">
        <v>2500</v>
      </c>
      <c r="N3897">
        <v>65000</v>
      </c>
      <c r="O3897" t="s">
        <v>25</v>
      </c>
      <c r="P3897" s="3">
        <v>44319</v>
      </c>
      <c r="Q3897" t="s">
        <v>28</v>
      </c>
    </row>
    <row r="3898" spans="1:17" x14ac:dyDescent="0.35">
      <c r="A3898" t="s">
        <v>3950</v>
      </c>
      <c r="B3898" t="s">
        <v>23</v>
      </c>
      <c r="C3898">
        <v>28</v>
      </c>
      <c r="D3898" t="s">
        <v>38</v>
      </c>
      <c r="E3898" t="s">
        <v>39</v>
      </c>
      <c r="F3898" t="s">
        <v>28</v>
      </c>
      <c r="G3898">
        <v>11.6</v>
      </c>
      <c r="H3898">
        <v>7.1</v>
      </c>
      <c r="I3898" t="str" cm="1">
        <f t="array" ref="I3898">_xlfn.IFS(G3898&lt;3, "0–2 Years", G3898&lt;6, "3–5 Years", G3898&lt;9, "6–8 Years", G3898&lt;12, "9-11 Years", G3898&gt;=12, "12-14 Years")</f>
        <v>9-11 Years</v>
      </c>
      <c r="J3898">
        <v>4</v>
      </c>
      <c r="K3898" t="s">
        <v>20</v>
      </c>
      <c r="L3898">
        <v>77100</v>
      </c>
      <c r="M3898">
        <v>6900</v>
      </c>
      <c r="N3898">
        <v>84000</v>
      </c>
      <c r="O3898" t="s">
        <v>21</v>
      </c>
      <c r="P3898" s="3">
        <v>41795</v>
      </c>
      <c r="Q3898" t="s">
        <v>28</v>
      </c>
    </row>
    <row r="3899" spans="1:17" x14ac:dyDescent="0.35">
      <c r="A3899" t="s">
        <v>3951</v>
      </c>
      <c r="B3899" t="s">
        <v>23</v>
      </c>
      <c r="C3899">
        <v>28</v>
      </c>
      <c r="D3899" t="s">
        <v>34</v>
      </c>
      <c r="E3899" t="s">
        <v>59</v>
      </c>
      <c r="F3899" t="s">
        <v>36</v>
      </c>
      <c r="G3899">
        <v>5.5</v>
      </c>
      <c r="H3899">
        <v>4.4000000000000004</v>
      </c>
      <c r="I3899" t="str" cm="1">
        <f t="array" ref="I3899">_xlfn.IFS(G3899&lt;3, "0–2 Years", G3899&lt;6, "3–5 Years", G3899&lt;9, "6–8 Years", G3899&lt;12, "9-11 Years", G3899&gt;=12, "12-14 Years")</f>
        <v>3–5 Years</v>
      </c>
      <c r="J3899">
        <v>1</v>
      </c>
      <c r="K3899" t="s">
        <v>20</v>
      </c>
      <c r="L3899">
        <v>112300</v>
      </c>
      <c r="M3899">
        <v>10400</v>
      </c>
      <c r="N3899">
        <v>122700</v>
      </c>
      <c r="O3899" t="s">
        <v>57</v>
      </c>
      <c r="P3899" s="3">
        <v>44011</v>
      </c>
      <c r="Q3899" t="s">
        <v>36</v>
      </c>
    </row>
    <row r="3900" spans="1:17" x14ac:dyDescent="0.35">
      <c r="A3900" t="s">
        <v>3952</v>
      </c>
      <c r="B3900" t="s">
        <v>16</v>
      </c>
      <c r="C3900">
        <v>38</v>
      </c>
      <c r="D3900" t="s">
        <v>17</v>
      </c>
      <c r="E3900" t="s">
        <v>18</v>
      </c>
      <c r="F3900" t="s">
        <v>28</v>
      </c>
      <c r="G3900">
        <v>10.199999999999999</v>
      </c>
      <c r="H3900">
        <v>5.8</v>
      </c>
      <c r="I3900" t="str" cm="1">
        <f t="array" ref="I3900">_xlfn.IFS(G3900&lt;3, "0–2 Years", G3900&lt;6, "3–5 Years", G3900&lt;9, "6–8 Years", G3900&lt;12, "9-11 Years", G3900&gt;=12, "12-14 Years")</f>
        <v>9-11 Years</v>
      </c>
      <c r="J3900">
        <v>3</v>
      </c>
      <c r="K3900" t="s">
        <v>20</v>
      </c>
      <c r="L3900">
        <v>98900</v>
      </c>
      <c r="M3900">
        <v>11600</v>
      </c>
      <c r="N3900">
        <v>110500</v>
      </c>
      <c r="O3900" t="s">
        <v>30</v>
      </c>
      <c r="P3900" s="3">
        <v>42292</v>
      </c>
      <c r="Q3900" t="s">
        <v>28</v>
      </c>
    </row>
    <row r="3901" spans="1:17" x14ac:dyDescent="0.35">
      <c r="A3901" t="s">
        <v>3953</v>
      </c>
      <c r="B3901" t="s">
        <v>23</v>
      </c>
      <c r="C3901">
        <v>31</v>
      </c>
      <c r="D3901" t="s">
        <v>44</v>
      </c>
      <c r="E3901" t="s">
        <v>76</v>
      </c>
      <c r="F3901" t="s">
        <v>28</v>
      </c>
      <c r="G3901">
        <v>1.1000000000000001</v>
      </c>
      <c r="H3901">
        <v>1.1000000000000001</v>
      </c>
      <c r="I3901" t="str" cm="1">
        <f t="array" ref="I3901">_xlfn.IFS(G3901&lt;3, "0–2 Years", G3901&lt;6, "3–5 Years", G3901&lt;9, "6–8 Years", G3901&lt;12, "9-11 Years", G3901&gt;=12, "12-14 Years")</f>
        <v>0–2 Years</v>
      </c>
      <c r="J3901">
        <v>4</v>
      </c>
      <c r="K3901" t="s">
        <v>20</v>
      </c>
      <c r="L3901">
        <v>98300</v>
      </c>
      <c r="M3901">
        <v>11600</v>
      </c>
      <c r="N3901">
        <v>109900</v>
      </c>
      <c r="O3901" t="s">
        <v>30</v>
      </c>
      <c r="P3901" s="3">
        <v>45604</v>
      </c>
      <c r="Q3901" t="s">
        <v>28</v>
      </c>
    </row>
    <row r="3902" spans="1:17" x14ac:dyDescent="0.35">
      <c r="A3902" t="s">
        <v>3954</v>
      </c>
      <c r="B3902" t="s">
        <v>16</v>
      </c>
      <c r="C3902">
        <v>35</v>
      </c>
      <c r="D3902" t="s">
        <v>34</v>
      </c>
      <c r="E3902" t="s">
        <v>59</v>
      </c>
      <c r="F3902" t="s">
        <v>36</v>
      </c>
      <c r="G3902">
        <v>4.8</v>
      </c>
      <c r="H3902">
        <v>4.4000000000000004</v>
      </c>
      <c r="I3902" t="str" cm="1">
        <f t="array" ref="I3902">_xlfn.IFS(G3902&lt;3, "0–2 Years", G3902&lt;6, "3–5 Years", G3902&lt;9, "6–8 Years", G3902&lt;12, "9-11 Years", G3902&gt;=12, "12-14 Years")</f>
        <v>3–5 Years</v>
      </c>
      <c r="J3902">
        <v>5</v>
      </c>
      <c r="K3902" t="s">
        <v>20</v>
      </c>
      <c r="L3902">
        <v>119400</v>
      </c>
      <c r="M3902">
        <v>6100</v>
      </c>
      <c r="N3902">
        <v>125500</v>
      </c>
      <c r="O3902" t="s">
        <v>57</v>
      </c>
      <c r="P3902" s="3">
        <v>44284</v>
      </c>
      <c r="Q3902" t="s">
        <v>36</v>
      </c>
    </row>
    <row r="3903" spans="1:17" x14ac:dyDescent="0.35">
      <c r="A3903" t="s">
        <v>3955</v>
      </c>
      <c r="B3903" t="s">
        <v>16</v>
      </c>
      <c r="C3903">
        <v>37</v>
      </c>
      <c r="D3903" t="s">
        <v>34</v>
      </c>
      <c r="E3903" t="s">
        <v>59</v>
      </c>
      <c r="F3903" t="s">
        <v>36</v>
      </c>
      <c r="G3903">
        <v>6.2</v>
      </c>
      <c r="H3903">
        <v>6.1</v>
      </c>
      <c r="I3903" t="str" cm="1">
        <f t="array" ref="I3903">_xlfn.IFS(G3903&lt;3, "0–2 Years", G3903&lt;6, "3–5 Years", G3903&lt;9, "6–8 Years", G3903&lt;12, "9-11 Years", G3903&gt;=12, "12-14 Years")</f>
        <v>6–8 Years</v>
      </c>
      <c r="J3903">
        <v>3</v>
      </c>
      <c r="K3903" t="s">
        <v>69</v>
      </c>
      <c r="L3903">
        <v>73200</v>
      </c>
      <c r="M3903">
        <v>5200</v>
      </c>
      <c r="N3903">
        <v>78400</v>
      </c>
      <c r="O3903" t="s">
        <v>21</v>
      </c>
      <c r="P3903" s="3">
        <v>43753</v>
      </c>
      <c r="Q3903" t="s">
        <v>36</v>
      </c>
    </row>
    <row r="3904" spans="1:17" x14ac:dyDescent="0.35">
      <c r="A3904" t="s">
        <v>3956</v>
      </c>
      <c r="B3904" t="s">
        <v>16</v>
      </c>
      <c r="C3904" s="7">
        <v>42</v>
      </c>
      <c r="D3904" t="s">
        <v>34</v>
      </c>
      <c r="E3904" t="s">
        <v>59</v>
      </c>
      <c r="F3904" t="s">
        <v>36</v>
      </c>
      <c r="G3904" s="9">
        <v>13.3</v>
      </c>
      <c r="H3904" s="7">
        <v>9</v>
      </c>
      <c r="I3904" t="str" cm="1">
        <f t="array" ref="I3904">_xlfn.IFS(G3904&lt;3, "0–2 Years", G3904&lt;6, "3–5 Years", G3904&lt;9, "6–8 Years", G3904&lt;12, "9-11 Years", G3904&gt;=12, "12-14 Years")</f>
        <v>12-14 Years</v>
      </c>
      <c r="J3904" s="7">
        <v>1</v>
      </c>
      <c r="K3904" t="s">
        <v>20</v>
      </c>
      <c r="L3904" s="7">
        <v>122400</v>
      </c>
      <c r="M3904" s="7">
        <v>12800</v>
      </c>
      <c r="N3904" s="7">
        <v>135200</v>
      </c>
      <c r="O3904" t="s">
        <v>57</v>
      </c>
      <c r="P3904" s="3">
        <v>41156</v>
      </c>
      <c r="Q3904" t="s">
        <v>36</v>
      </c>
    </row>
    <row r="3905" spans="1:17" x14ac:dyDescent="0.35">
      <c r="A3905" t="s">
        <v>3957</v>
      </c>
      <c r="B3905" t="s">
        <v>16</v>
      </c>
      <c r="C3905">
        <v>35</v>
      </c>
      <c r="D3905" t="s">
        <v>55</v>
      </c>
      <c r="E3905" t="s">
        <v>79</v>
      </c>
      <c r="F3905" t="s">
        <v>36</v>
      </c>
      <c r="G3905">
        <v>5</v>
      </c>
      <c r="H3905">
        <v>3.9</v>
      </c>
      <c r="I3905" t="str" cm="1">
        <f t="array" ref="I3905">_xlfn.IFS(G3905&lt;3, "0–2 Years", G3905&lt;6, "3–5 Years", G3905&lt;9, "6–8 Years", G3905&lt;12, "9-11 Years", G3905&gt;=12, "12-14 Years")</f>
        <v>3–5 Years</v>
      </c>
      <c r="J3905">
        <v>5</v>
      </c>
      <c r="K3905" t="s">
        <v>20</v>
      </c>
      <c r="L3905">
        <v>61200</v>
      </c>
      <c r="M3905">
        <v>11500</v>
      </c>
      <c r="N3905">
        <v>72700</v>
      </c>
      <c r="O3905" t="s">
        <v>25</v>
      </c>
      <c r="P3905" s="3">
        <v>44212</v>
      </c>
      <c r="Q3905" t="s">
        <v>36</v>
      </c>
    </row>
    <row r="3906" spans="1:17" x14ac:dyDescent="0.35">
      <c r="A3906" t="s">
        <v>3958</v>
      </c>
      <c r="B3906" t="s">
        <v>23</v>
      </c>
      <c r="C3906">
        <v>35</v>
      </c>
      <c r="D3906" t="s">
        <v>34</v>
      </c>
      <c r="E3906" t="s">
        <v>59</v>
      </c>
      <c r="F3906" t="s">
        <v>19</v>
      </c>
      <c r="G3906">
        <v>5</v>
      </c>
      <c r="H3906">
        <v>1.9</v>
      </c>
      <c r="I3906" t="str" cm="1">
        <f t="array" ref="I3906">_xlfn.IFS(G3906&lt;3, "0–2 Years", G3906&lt;6, "3–5 Years", G3906&lt;9, "6–8 Years", G3906&lt;12, "9-11 Years", G3906&gt;=12, "12-14 Years")</f>
        <v>3–5 Years</v>
      </c>
      <c r="J3906">
        <v>3</v>
      </c>
      <c r="K3906" t="s">
        <v>20</v>
      </c>
      <c r="L3906">
        <v>107300</v>
      </c>
      <c r="M3906">
        <v>5300</v>
      </c>
      <c r="N3906">
        <v>112600</v>
      </c>
      <c r="O3906" t="s">
        <v>57</v>
      </c>
      <c r="P3906" s="3">
        <v>44199</v>
      </c>
      <c r="Q3906" t="s">
        <v>19</v>
      </c>
    </row>
    <row r="3907" spans="1:17" x14ac:dyDescent="0.35">
      <c r="A3907" t="s">
        <v>3959</v>
      </c>
      <c r="B3907" t="s">
        <v>23</v>
      </c>
      <c r="C3907">
        <v>30</v>
      </c>
      <c r="D3907" t="s">
        <v>34</v>
      </c>
      <c r="E3907" t="s">
        <v>47</v>
      </c>
      <c r="F3907" t="s">
        <v>28</v>
      </c>
      <c r="G3907">
        <v>5.5</v>
      </c>
      <c r="H3907">
        <v>2.7</v>
      </c>
      <c r="I3907" t="str" cm="1">
        <f t="array" ref="I3907">_xlfn.IFS(G3907&lt;3, "0–2 Years", G3907&lt;6, "3–5 Years", G3907&lt;9, "6–8 Years", G3907&lt;12, "9-11 Years", G3907&gt;=12, "12-14 Years")</f>
        <v>3–5 Years</v>
      </c>
      <c r="J3907">
        <v>3</v>
      </c>
      <c r="K3907" t="s">
        <v>69</v>
      </c>
      <c r="L3907">
        <v>68800</v>
      </c>
      <c r="M3907">
        <v>4700</v>
      </c>
      <c r="N3907">
        <v>73500</v>
      </c>
      <c r="O3907" t="s">
        <v>21</v>
      </c>
      <c r="P3907" s="3">
        <v>44015</v>
      </c>
      <c r="Q3907" t="s">
        <v>28</v>
      </c>
    </row>
    <row r="3908" spans="1:17" x14ac:dyDescent="0.35">
      <c r="A3908" t="s">
        <v>3960</v>
      </c>
      <c r="B3908" t="s">
        <v>23</v>
      </c>
      <c r="C3908">
        <v>31</v>
      </c>
      <c r="D3908" t="s">
        <v>44</v>
      </c>
      <c r="E3908" t="s">
        <v>45</v>
      </c>
      <c r="F3908" t="s">
        <v>28</v>
      </c>
      <c r="G3908">
        <v>4.8</v>
      </c>
      <c r="H3908">
        <v>1.1000000000000001</v>
      </c>
      <c r="I3908" t="str" cm="1">
        <f t="array" ref="I3908">_xlfn.IFS(G3908&lt;3, "0–2 Years", G3908&lt;6, "3–5 Years", G3908&lt;9, "6–8 Years", G3908&lt;12, "9-11 Years", G3908&gt;=12, "12-14 Years")</f>
        <v>3–5 Years</v>
      </c>
      <c r="J3908">
        <v>4</v>
      </c>
      <c r="K3908" t="s">
        <v>20</v>
      </c>
      <c r="L3908">
        <v>68100</v>
      </c>
      <c r="M3908">
        <v>4700</v>
      </c>
      <c r="N3908">
        <v>72800</v>
      </c>
      <c r="O3908" t="s">
        <v>21</v>
      </c>
      <c r="P3908" s="3">
        <v>44265</v>
      </c>
      <c r="Q3908" t="s">
        <v>28</v>
      </c>
    </row>
    <row r="3909" spans="1:17" x14ac:dyDescent="0.35">
      <c r="A3909" t="s">
        <v>3961</v>
      </c>
      <c r="B3909" t="s">
        <v>16</v>
      </c>
      <c r="C3909">
        <v>28</v>
      </c>
      <c r="D3909" t="s">
        <v>41</v>
      </c>
      <c r="E3909" t="s">
        <v>42</v>
      </c>
      <c r="F3909" t="s">
        <v>36</v>
      </c>
      <c r="G3909">
        <v>11.3</v>
      </c>
      <c r="H3909">
        <v>5.8</v>
      </c>
      <c r="I3909" t="str" cm="1">
        <f t="array" ref="I3909">_xlfn.IFS(G3909&lt;3, "0–2 Years", G3909&lt;6, "3–5 Years", G3909&lt;9, "6–8 Years", G3909&lt;12, "9-11 Years", G3909&gt;=12, "12-14 Years")</f>
        <v>9-11 Years</v>
      </c>
      <c r="J3909">
        <v>3</v>
      </c>
      <c r="K3909" t="s">
        <v>20</v>
      </c>
      <c r="L3909">
        <v>93300</v>
      </c>
      <c r="M3909">
        <v>4900</v>
      </c>
      <c r="N3909">
        <v>98200</v>
      </c>
      <c r="O3909" t="s">
        <v>30</v>
      </c>
      <c r="P3909" s="3">
        <v>41882</v>
      </c>
      <c r="Q3909" t="s">
        <v>36</v>
      </c>
    </row>
    <row r="3910" spans="1:17" x14ac:dyDescent="0.35">
      <c r="A3910" t="s">
        <v>3962</v>
      </c>
      <c r="B3910" t="s">
        <v>16</v>
      </c>
      <c r="C3910">
        <v>45</v>
      </c>
      <c r="D3910" t="s">
        <v>44</v>
      </c>
      <c r="E3910" t="s">
        <v>51</v>
      </c>
      <c r="F3910" t="s">
        <v>36</v>
      </c>
      <c r="G3910">
        <v>9.3000000000000007</v>
      </c>
      <c r="H3910">
        <v>6.9</v>
      </c>
      <c r="I3910" t="str" cm="1">
        <f t="array" ref="I3910">_xlfn.IFS(G3910&lt;3, "0–2 Years", G3910&lt;6, "3–5 Years", G3910&lt;9, "6–8 Years", G3910&lt;12, "9-11 Years", G3910&gt;=12, "12-14 Years")</f>
        <v>9-11 Years</v>
      </c>
      <c r="J3910">
        <v>3</v>
      </c>
      <c r="K3910" t="s">
        <v>69</v>
      </c>
      <c r="L3910">
        <v>63800</v>
      </c>
      <c r="M3910">
        <v>7300</v>
      </c>
      <c r="N3910">
        <v>71100</v>
      </c>
      <c r="O3910" t="s">
        <v>25</v>
      </c>
      <c r="P3910" s="3">
        <v>42624</v>
      </c>
      <c r="Q3910" t="s">
        <v>36</v>
      </c>
    </row>
    <row r="3911" spans="1:17" x14ac:dyDescent="0.35">
      <c r="A3911" t="s">
        <v>3963</v>
      </c>
      <c r="B3911" t="s">
        <v>23</v>
      </c>
      <c r="C3911">
        <v>26</v>
      </c>
      <c r="D3911" t="s">
        <v>41</v>
      </c>
      <c r="E3911" t="s">
        <v>73</v>
      </c>
      <c r="F3911" t="s">
        <v>28</v>
      </c>
      <c r="G3911">
        <v>1.3</v>
      </c>
      <c r="H3911">
        <v>0</v>
      </c>
      <c r="I3911" t="str" cm="1">
        <f t="array" ref="I3911">_xlfn.IFS(G3911&lt;3, "0–2 Years", G3911&lt;6, "3–5 Years", G3911&lt;9, "6–8 Years", G3911&lt;12, "9-11 Years", G3911&gt;=12, "12-14 Years")</f>
        <v>0–2 Years</v>
      </c>
      <c r="J3911">
        <v>4</v>
      </c>
      <c r="K3911" t="s">
        <v>20</v>
      </c>
      <c r="L3911">
        <v>85500</v>
      </c>
      <c r="M3911">
        <v>4400</v>
      </c>
      <c r="N3911">
        <v>89900</v>
      </c>
      <c r="O3911" t="s">
        <v>30</v>
      </c>
      <c r="P3911" s="3">
        <v>45561</v>
      </c>
      <c r="Q3911" t="s">
        <v>28</v>
      </c>
    </row>
    <row r="3912" spans="1:17" x14ac:dyDescent="0.35">
      <c r="A3912" t="s">
        <v>3964</v>
      </c>
      <c r="B3912" t="s">
        <v>23</v>
      </c>
      <c r="C3912">
        <v>27</v>
      </c>
      <c r="D3912" t="s">
        <v>41</v>
      </c>
      <c r="E3912" t="s">
        <v>73</v>
      </c>
      <c r="F3912" t="s">
        <v>19</v>
      </c>
      <c r="G3912">
        <v>1.7</v>
      </c>
      <c r="H3912">
        <v>0</v>
      </c>
      <c r="I3912" t="str" cm="1">
        <f t="array" ref="I3912">_xlfn.IFS(G3912&lt;3, "0–2 Years", G3912&lt;6, "3–5 Years", G3912&lt;9, "6–8 Years", G3912&lt;12, "9-11 Years", G3912&gt;=12, "12-14 Years")</f>
        <v>0–2 Years</v>
      </c>
      <c r="J3912">
        <v>4</v>
      </c>
      <c r="K3912" t="s">
        <v>20</v>
      </c>
      <c r="L3912">
        <v>97600</v>
      </c>
      <c r="M3912">
        <v>5500</v>
      </c>
      <c r="N3912">
        <v>103100</v>
      </c>
      <c r="O3912" t="s">
        <v>30</v>
      </c>
      <c r="P3912" s="3">
        <v>45392</v>
      </c>
      <c r="Q3912" t="s">
        <v>19</v>
      </c>
    </row>
    <row r="3913" spans="1:17" x14ac:dyDescent="0.35">
      <c r="A3913" t="s">
        <v>3965</v>
      </c>
      <c r="B3913" t="s">
        <v>16</v>
      </c>
      <c r="C3913">
        <v>26</v>
      </c>
      <c r="D3913" t="s">
        <v>38</v>
      </c>
      <c r="E3913" t="s">
        <v>39</v>
      </c>
      <c r="F3913" t="s">
        <v>36</v>
      </c>
      <c r="G3913">
        <v>6.4</v>
      </c>
      <c r="H3913">
        <v>5</v>
      </c>
      <c r="I3913" t="str" cm="1">
        <f t="array" ref="I3913">_xlfn.IFS(G3913&lt;3, "0–2 Years", G3913&lt;6, "3–5 Years", G3913&lt;9, "6–8 Years", G3913&lt;12, "9-11 Years", G3913&gt;=12, "12-14 Years")</f>
        <v>6–8 Years</v>
      </c>
      <c r="J3913">
        <v>3</v>
      </c>
      <c r="K3913" t="s">
        <v>20</v>
      </c>
      <c r="L3913">
        <v>82200</v>
      </c>
      <c r="M3913">
        <v>3700</v>
      </c>
      <c r="N3913">
        <v>85900</v>
      </c>
      <c r="O3913" t="s">
        <v>30</v>
      </c>
      <c r="P3913" s="3">
        <v>43696</v>
      </c>
      <c r="Q3913" t="s">
        <v>36</v>
      </c>
    </row>
    <row r="3914" spans="1:17" x14ac:dyDescent="0.35">
      <c r="A3914" t="s">
        <v>3966</v>
      </c>
      <c r="B3914" t="s">
        <v>23</v>
      </c>
      <c r="C3914">
        <v>36</v>
      </c>
      <c r="D3914" t="s">
        <v>38</v>
      </c>
      <c r="E3914" t="s">
        <v>39</v>
      </c>
      <c r="F3914" t="s">
        <v>28</v>
      </c>
      <c r="G3914">
        <v>6</v>
      </c>
      <c r="H3914">
        <v>3.2</v>
      </c>
      <c r="I3914" t="str" cm="1">
        <f t="array" ref="I3914">_xlfn.IFS(G3914&lt;3, "0–2 Years", G3914&lt;6, "3–5 Years", G3914&lt;9, "6–8 Years", G3914&lt;12, "9-11 Years", G3914&gt;=12, "12-14 Years")</f>
        <v>6–8 Years</v>
      </c>
      <c r="J3914">
        <v>3</v>
      </c>
      <c r="K3914" t="s">
        <v>20</v>
      </c>
      <c r="L3914">
        <v>78600</v>
      </c>
      <c r="M3914">
        <v>7000</v>
      </c>
      <c r="N3914">
        <v>85600</v>
      </c>
      <c r="O3914" t="s">
        <v>21</v>
      </c>
      <c r="P3914" s="3">
        <v>43825</v>
      </c>
      <c r="Q3914" t="s">
        <v>28</v>
      </c>
    </row>
    <row r="3915" spans="1:17" x14ac:dyDescent="0.35">
      <c r="A3915" t="s">
        <v>3967</v>
      </c>
      <c r="B3915" t="s">
        <v>23</v>
      </c>
      <c r="C3915">
        <v>34</v>
      </c>
      <c r="D3915" t="s">
        <v>41</v>
      </c>
      <c r="E3915" t="s">
        <v>42</v>
      </c>
      <c r="F3915" t="s">
        <v>36</v>
      </c>
      <c r="G3915">
        <v>2.2000000000000002</v>
      </c>
      <c r="H3915">
        <v>2.2000000000000002</v>
      </c>
      <c r="I3915" t="str" cm="1">
        <f t="array" ref="I3915">_xlfn.IFS(G3915&lt;3, "0–2 Years", G3915&lt;6, "3–5 Years", G3915&lt;9, "6–8 Years", G3915&lt;12, "9-11 Years", G3915&gt;=12, "12-14 Years")</f>
        <v>0–2 Years</v>
      </c>
      <c r="J3915">
        <v>3</v>
      </c>
      <c r="K3915" t="s">
        <v>20</v>
      </c>
      <c r="L3915">
        <v>72600</v>
      </c>
      <c r="M3915">
        <v>6400</v>
      </c>
      <c r="N3915">
        <v>79000</v>
      </c>
      <c r="O3915" t="s">
        <v>21</v>
      </c>
      <c r="P3915" s="3">
        <v>45211</v>
      </c>
      <c r="Q3915" t="s">
        <v>36</v>
      </c>
    </row>
    <row r="3916" spans="1:17" x14ac:dyDescent="0.35">
      <c r="A3916" t="s">
        <v>3968</v>
      </c>
      <c r="B3916" t="s">
        <v>16</v>
      </c>
      <c r="C3916">
        <v>33</v>
      </c>
      <c r="D3916" t="s">
        <v>17</v>
      </c>
      <c r="E3916" t="s">
        <v>32</v>
      </c>
      <c r="F3916" t="s">
        <v>28</v>
      </c>
      <c r="G3916">
        <v>8.1999999999999993</v>
      </c>
      <c r="H3916">
        <v>5.8</v>
      </c>
      <c r="I3916" t="str" cm="1">
        <f t="array" ref="I3916">_xlfn.IFS(G3916&lt;3, "0–2 Years", G3916&lt;6, "3–5 Years", G3916&lt;9, "6–8 Years", G3916&lt;12, "9-11 Years", G3916&gt;=12, "12-14 Years")</f>
        <v>6–8 Years</v>
      </c>
      <c r="J3916">
        <v>3</v>
      </c>
      <c r="K3916" t="s">
        <v>24</v>
      </c>
      <c r="L3916">
        <v>44400</v>
      </c>
      <c r="M3916">
        <v>3400</v>
      </c>
      <c r="N3916">
        <v>47800</v>
      </c>
      <c r="O3916" t="s">
        <v>65</v>
      </c>
      <c r="P3916" s="3">
        <v>43025</v>
      </c>
      <c r="Q3916" t="s">
        <v>28</v>
      </c>
    </row>
    <row r="3917" spans="1:17" x14ac:dyDescent="0.35">
      <c r="A3917" t="s">
        <v>3969</v>
      </c>
      <c r="B3917" t="s">
        <v>16</v>
      </c>
      <c r="C3917">
        <v>36</v>
      </c>
      <c r="D3917" t="s">
        <v>38</v>
      </c>
      <c r="E3917" t="s">
        <v>61</v>
      </c>
      <c r="F3917" t="s">
        <v>36</v>
      </c>
      <c r="G3917">
        <v>3.7</v>
      </c>
      <c r="H3917">
        <v>2.2999999999999998</v>
      </c>
      <c r="I3917" t="str" cm="1">
        <f t="array" ref="I3917">_xlfn.IFS(G3917&lt;3, "0–2 Years", G3917&lt;6, "3–5 Years", G3917&lt;9, "6–8 Years", G3917&lt;12, "9-11 Years", G3917&gt;=12, "12-14 Years")</f>
        <v>3–5 Years</v>
      </c>
      <c r="J3917">
        <v>3</v>
      </c>
      <c r="K3917" t="s">
        <v>20</v>
      </c>
      <c r="L3917">
        <v>103900</v>
      </c>
      <c r="M3917">
        <v>7600</v>
      </c>
      <c r="N3917">
        <v>111500</v>
      </c>
      <c r="O3917" t="s">
        <v>57</v>
      </c>
      <c r="P3917" s="3">
        <v>44654</v>
      </c>
      <c r="Q3917" t="s">
        <v>36</v>
      </c>
    </row>
    <row r="3918" spans="1:17" x14ac:dyDescent="0.35">
      <c r="A3918" t="s">
        <v>3970</v>
      </c>
      <c r="B3918" t="s">
        <v>16</v>
      </c>
      <c r="C3918" s="7">
        <v>23</v>
      </c>
      <c r="D3918" t="s">
        <v>34</v>
      </c>
      <c r="E3918" t="s">
        <v>59</v>
      </c>
      <c r="F3918" t="s">
        <v>28</v>
      </c>
      <c r="G3918" s="9">
        <v>13.4</v>
      </c>
      <c r="H3918" s="7">
        <v>9</v>
      </c>
      <c r="I3918" t="str" cm="1">
        <f t="array" ref="I3918">_xlfn.IFS(G3918&lt;3, "0–2 Years", G3918&lt;6, "3–5 Years", G3918&lt;9, "6–8 Years", G3918&lt;12, "9-11 Years", G3918&gt;=12, "12-14 Years")</f>
        <v>12-14 Years</v>
      </c>
      <c r="J3918" s="7">
        <v>2</v>
      </c>
      <c r="K3918" t="s">
        <v>69</v>
      </c>
      <c r="L3918" s="7">
        <v>98500</v>
      </c>
      <c r="M3918" s="7">
        <v>6900</v>
      </c>
      <c r="N3918" s="7">
        <v>105400</v>
      </c>
      <c r="O3918" t="s">
        <v>30</v>
      </c>
      <c r="P3918" s="3">
        <v>41115</v>
      </c>
      <c r="Q3918" t="s">
        <v>28</v>
      </c>
    </row>
    <row r="3919" spans="1:17" x14ac:dyDescent="0.35">
      <c r="A3919" t="s">
        <v>3971</v>
      </c>
      <c r="B3919" t="s">
        <v>23</v>
      </c>
      <c r="C3919">
        <v>51</v>
      </c>
      <c r="D3919" t="s">
        <v>44</v>
      </c>
      <c r="E3919" t="s">
        <v>76</v>
      </c>
      <c r="F3919" t="s">
        <v>36</v>
      </c>
      <c r="G3919">
        <v>6.5</v>
      </c>
      <c r="H3919">
        <v>6.5</v>
      </c>
      <c r="I3919" t="str" cm="1">
        <f t="array" ref="I3919">_xlfn.IFS(G3919&lt;3, "0–2 Years", G3919&lt;6, "3–5 Years", G3919&lt;9, "6–8 Years", G3919&lt;12, "9-11 Years", G3919&gt;=12, "12-14 Years")</f>
        <v>6–8 Years</v>
      </c>
      <c r="J3919">
        <v>3</v>
      </c>
      <c r="K3919" t="s">
        <v>20</v>
      </c>
      <c r="L3919">
        <v>125700</v>
      </c>
      <c r="M3919">
        <v>7800</v>
      </c>
      <c r="N3919">
        <v>133500</v>
      </c>
      <c r="O3919" t="s">
        <v>57</v>
      </c>
      <c r="P3919" s="3">
        <v>43645</v>
      </c>
      <c r="Q3919" t="s">
        <v>36</v>
      </c>
    </row>
    <row r="3920" spans="1:17" x14ac:dyDescent="0.35">
      <c r="A3920" t="s">
        <v>3972</v>
      </c>
      <c r="B3920" t="s">
        <v>16</v>
      </c>
      <c r="C3920">
        <v>31</v>
      </c>
      <c r="D3920" t="s">
        <v>55</v>
      </c>
      <c r="E3920" t="s">
        <v>92</v>
      </c>
      <c r="F3920" t="s">
        <v>36</v>
      </c>
      <c r="G3920">
        <v>4.4000000000000004</v>
      </c>
      <c r="H3920">
        <v>3</v>
      </c>
      <c r="I3920" t="str" cm="1">
        <f t="array" ref="I3920">_xlfn.IFS(G3920&lt;3, "0–2 Years", G3920&lt;6, "3–5 Years", G3920&lt;9, "6–8 Years", G3920&lt;12, "9-11 Years", G3920&gt;=12, "12-14 Years")</f>
        <v>3–5 Years</v>
      </c>
      <c r="J3920">
        <v>3</v>
      </c>
      <c r="K3920" t="s">
        <v>20</v>
      </c>
      <c r="L3920">
        <v>99100</v>
      </c>
      <c r="M3920">
        <v>9100</v>
      </c>
      <c r="N3920">
        <v>108200</v>
      </c>
      <c r="O3920" t="s">
        <v>30</v>
      </c>
      <c r="P3920" s="3">
        <v>44434</v>
      </c>
      <c r="Q3920" t="s">
        <v>36</v>
      </c>
    </row>
    <row r="3921" spans="1:17" x14ac:dyDescent="0.35">
      <c r="A3921" t="s">
        <v>3973</v>
      </c>
      <c r="B3921" t="s">
        <v>16</v>
      </c>
      <c r="C3921">
        <v>36</v>
      </c>
      <c r="D3921" t="s">
        <v>34</v>
      </c>
      <c r="E3921" t="s">
        <v>59</v>
      </c>
      <c r="F3921" t="s">
        <v>28</v>
      </c>
      <c r="G3921">
        <v>8</v>
      </c>
      <c r="H3921">
        <v>6.1</v>
      </c>
      <c r="I3921" t="str" cm="1">
        <f t="array" ref="I3921">_xlfn.IFS(G3921&lt;3, "0–2 Years", G3921&lt;6, "3–5 Years", G3921&lt;9, "6–8 Years", G3921&lt;12, "9-11 Years", G3921&gt;=12, "12-14 Years")</f>
        <v>6–8 Years</v>
      </c>
      <c r="J3921">
        <v>3</v>
      </c>
      <c r="K3921" t="s">
        <v>20</v>
      </c>
      <c r="L3921">
        <v>104600</v>
      </c>
      <c r="M3921">
        <v>4200</v>
      </c>
      <c r="N3921">
        <v>108800</v>
      </c>
      <c r="O3921" t="s">
        <v>57</v>
      </c>
      <c r="P3921" s="3">
        <v>43089</v>
      </c>
      <c r="Q3921" t="s">
        <v>28</v>
      </c>
    </row>
    <row r="3922" spans="1:17" x14ac:dyDescent="0.35">
      <c r="A3922" t="s">
        <v>3974</v>
      </c>
      <c r="B3922" t="s">
        <v>23</v>
      </c>
      <c r="C3922">
        <v>45</v>
      </c>
      <c r="D3922" t="s">
        <v>38</v>
      </c>
      <c r="E3922" t="s">
        <v>61</v>
      </c>
      <c r="F3922" t="s">
        <v>36</v>
      </c>
      <c r="G3922">
        <v>4.5</v>
      </c>
      <c r="H3922">
        <v>3.4</v>
      </c>
      <c r="I3922" t="str" cm="1">
        <f t="array" ref="I3922">_xlfn.IFS(G3922&lt;3, "0–2 Years", G3922&lt;6, "3–5 Years", G3922&lt;9, "6–8 Years", G3922&lt;12, "9-11 Years", G3922&gt;=12, "12-14 Years")</f>
        <v>3–5 Years</v>
      </c>
      <c r="J3922">
        <v>2</v>
      </c>
      <c r="K3922" t="s">
        <v>20</v>
      </c>
      <c r="L3922">
        <v>106600</v>
      </c>
      <c r="M3922">
        <v>7400</v>
      </c>
      <c r="N3922">
        <v>114000</v>
      </c>
      <c r="O3922" t="s">
        <v>57</v>
      </c>
      <c r="P3922" s="3">
        <v>44377</v>
      </c>
      <c r="Q3922" t="s">
        <v>36</v>
      </c>
    </row>
    <row r="3923" spans="1:17" x14ac:dyDescent="0.35">
      <c r="A3923" t="s">
        <v>3975</v>
      </c>
      <c r="B3923" t="s">
        <v>23</v>
      </c>
      <c r="C3923">
        <v>36</v>
      </c>
      <c r="D3923" t="s">
        <v>38</v>
      </c>
      <c r="E3923" t="s">
        <v>39</v>
      </c>
      <c r="F3923" t="s">
        <v>36</v>
      </c>
      <c r="G3923">
        <v>2.9</v>
      </c>
      <c r="H3923">
        <v>2.9</v>
      </c>
      <c r="I3923" t="str" cm="1">
        <f t="array" ref="I3923">_xlfn.IFS(G3923&lt;3, "0–2 Years", G3923&lt;6, "3–5 Years", G3923&lt;9, "6–8 Years", G3923&lt;12, "9-11 Years", G3923&gt;=12, "12-14 Years")</f>
        <v>0–2 Years</v>
      </c>
      <c r="J3923">
        <v>3</v>
      </c>
      <c r="K3923" t="s">
        <v>20</v>
      </c>
      <c r="L3923">
        <v>74100</v>
      </c>
      <c r="M3923">
        <v>5200</v>
      </c>
      <c r="N3923">
        <v>79300</v>
      </c>
      <c r="O3923" t="s">
        <v>21</v>
      </c>
      <c r="P3923" s="3">
        <v>44974</v>
      </c>
      <c r="Q3923" t="s">
        <v>36</v>
      </c>
    </row>
    <row r="3924" spans="1:17" x14ac:dyDescent="0.35">
      <c r="A3924" t="s">
        <v>3976</v>
      </c>
      <c r="B3924" t="s">
        <v>16</v>
      </c>
      <c r="C3924">
        <v>42</v>
      </c>
      <c r="D3924" t="s">
        <v>55</v>
      </c>
      <c r="E3924" t="s">
        <v>79</v>
      </c>
      <c r="F3924" t="s">
        <v>28</v>
      </c>
      <c r="G3924">
        <v>5.3</v>
      </c>
      <c r="H3924">
        <v>2.4</v>
      </c>
      <c r="I3924" t="str" cm="1">
        <f t="array" ref="I3924">_xlfn.IFS(G3924&lt;3, "0–2 Years", G3924&lt;6, "3–5 Years", G3924&lt;9, "6–8 Years", G3924&lt;12, "9-11 Years", G3924&gt;=12, "12-14 Years")</f>
        <v>3–5 Years</v>
      </c>
      <c r="J3924">
        <v>3</v>
      </c>
      <c r="K3924" t="s">
        <v>20</v>
      </c>
      <c r="L3924">
        <v>63100</v>
      </c>
      <c r="M3924">
        <v>10600</v>
      </c>
      <c r="N3924">
        <v>73700</v>
      </c>
      <c r="O3924" t="s">
        <v>25</v>
      </c>
      <c r="P3924" s="3">
        <v>44102</v>
      </c>
      <c r="Q3924" t="s">
        <v>28</v>
      </c>
    </row>
    <row r="3925" spans="1:17" x14ac:dyDescent="0.35">
      <c r="A3925" t="s">
        <v>3977</v>
      </c>
      <c r="B3925" t="s">
        <v>23</v>
      </c>
      <c r="C3925">
        <v>45</v>
      </c>
      <c r="D3925" t="s">
        <v>38</v>
      </c>
      <c r="E3925" t="s">
        <v>112</v>
      </c>
      <c r="F3925" t="s">
        <v>36</v>
      </c>
      <c r="G3925">
        <v>5.5</v>
      </c>
      <c r="H3925">
        <v>5.5</v>
      </c>
      <c r="I3925" t="str" cm="1">
        <f t="array" ref="I3925">_xlfn.IFS(G3925&lt;3, "0–2 Years", G3925&lt;6, "3–5 Years", G3925&lt;9, "6–8 Years", G3925&lt;12, "9-11 Years", G3925&gt;=12, "12-14 Years")</f>
        <v>3–5 Years</v>
      </c>
      <c r="J3925">
        <v>3</v>
      </c>
      <c r="K3925" t="s">
        <v>20</v>
      </c>
      <c r="L3925">
        <v>69900</v>
      </c>
      <c r="M3925">
        <v>6800</v>
      </c>
      <c r="N3925">
        <v>76700</v>
      </c>
      <c r="O3925" t="s">
        <v>21</v>
      </c>
      <c r="P3925" s="3">
        <v>44015</v>
      </c>
      <c r="Q3925" t="s">
        <v>36</v>
      </c>
    </row>
    <row r="3926" spans="1:17" x14ac:dyDescent="0.35">
      <c r="A3926" t="s">
        <v>3978</v>
      </c>
      <c r="B3926" t="s">
        <v>23</v>
      </c>
      <c r="C3926">
        <v>44</v>
      </c>
      <c r="D3926" t="s">
        <v>44</v>
      </c>
      <c r="E3926" t="s">
        <v>45</v>
      </c>
      <c r="F3926" t="s">
        <v>62</v>
      </c>
      <c r="G3926">
        <v>9.1</v>
      </c>
      <c r="H3926">
        <v>5.8</v>
      </c>
      <c r="I3926" t="str" cm="1">
        <f t="array" ref="I3926">_xlfn.IFS(G3926&lt;3, "0–2 Years", G3926&lt;6, "3–5 Years", G3926&lt;9, "6–8 Years", G3926&lt;12, "9-11 Years", G3926&gt;=12, "12-14 Years")</f>
        <v>9-11 Years</v>
      </c>
      <c r="J3926">
        <v>3</v>
      </c>
      <c r="K3926" t="s">
        <v>24</v>
      </c>
      <c r="L3926">
        <v>54000</v>
      </c>
      <c r="M3926">
        <v>6000</v>
      </c>
      <c r="N3926">
        <v>60000</v>
      </c>
      <c r="O3926" t="s">
        <v>25</v>
      </c>
      <c r="P3926" s="3">
        <v>42684</v>
      </c>
      <c r="Q3926" t="s">
        <v>62</v>
      </c>
    </row>
    <row r="3927" spans="1:17" x14ac:dyDescent="0.35">
      <c r="A3927" t="s">
        <v>3979</v>
      </c>
      <c r="B3927" t="s">
        <v>16</v>
      </c>
      <c r="C3927">
        <v>30</v>
      </c>
      <c r="D3927" t="s">
        <v>17</v>
      </c>
      <c r="E3927" t="s">
        <v>27</v>
      </c>
      <c r="F3927" t="s">
        <v>36</v>
      </c>
      <c r="G3927">
        <v>11.2</v>
      </c>
      <c r="H3927">
        <v>6.2</v>
      </c>
      <c r="I3927" t="str" cm="1">
        <f t="array" ref="I3927">_xlfn.IFS(G3927&lt;3, "0–2 Years", G3927&lt;6, "3–5 Years", G3927&lt;9, "6–8 Years", G3927&lt;12, "9-11 Years", G3927&gt;=12, "12-14 Years")</f>
        <v>9-11 Years</v>
      </c>
      <c r="J3927">
        <v>5</v>
      </c>
      <c r="K3927" t="s">
        <v>20</v>
      </c>
      <c r="L3927">
        <v>85700</v>
      </c>
      <c r="M3927">
        <v>6700</v>
      </c>
      <c r="N3927">
        <v>92400</v>
      </c>
      <c r="O3927" t="s">
        <v>30</v>
      </c>
      <c r="P3927" s="3">
        <v>41923</v>
      </c>
      <c r="Q3927" t="s">
        <v>36</v>
      </c>
    </row>
    <row r="3928" spans="1:17" x14ac:dyDescent="0.35">
      <c r="A3928" t="s">
        <v>3980</v>
      </c>
      <c r="B3928" t="s">
        <v>16</v>
      </c>
      <c r="C3928">
        <v>44</v>
      </c>
      <c r="D3928" t="s">
        <v>38</v>
      </c>
      <c r="E3928" t="s">
        <v>112</v>
      </c>
      <c r="F3928" t="s">
        <v>28</v>
      </c>
      <c r="G3928">
        <v>3</v>
      </c>
      <c r="H3928">
        <v>3</v>
      </c>
      <c r="I3928" t="str" cm="1">
        <f t="array" ref="I3928">_xlfn.IFS(G3928&lt;3, "0–2 Years", G3928&lt;6, "3–5 Years", G3928&lt;9, "6–8 Years", G3928&lt;12, "9-11 Years", G3928&gt;=12, "12-14 Years")</f>
        <v>3–5 Years</v>
      </c>
      <c r="J3928">
        <v>5</v>
      </c>
      <c r="K3928" t="s">
        <v>20</v>
      </c>
      <c r="L3928">
        <v>73200</v>
      </c>
      <c r="M3928">
        <v>6100</v>
      </c>
      <c r="N3928">
        <v>79300</v>
      </c>
      <c r="O3928" t="s">
        <v>21</v>
      </c>
      <c r="P3928" s="3">
        <v>44911</v>
      </c>
      <c r="Q3928" t="s">
        <v>28</v>
      </c>
    </row>
    <row r="3929" spans="1:17" x14ac:dyDescent="0.35">
      <c r="A3929" t="s">
        <v>3981</v>
      </c>
      <c r="B3929" t="s">
        <v>23</v>
      </c>
      <c r="C3929">
        <v>36</v>
      </c>
      <c r="D3929" t="s">
        <v>34</v>
      </c>
      <c r="E3929" t="s">
        <v>47</v>
      </c>
      <c r="F3929" t="s">
        <v>28</v>
      </c>
      <c r="G3929">
        <v>9.9</v>
      </c>
      <c r="H3929">
        <v>5.4</v>
      </c>
      <c r="I3929" t="str" cm="1">
        <f t="array" ref="I3929">_xlfn.IFS(G3929&lt;3, "0–2 Years", G3929&lt;6, "3–5 Years", G3929&lt;9, "6–8 Years", G3929&lt;12, "9-11 Years", G3929&gt;=12, "12-14 Years")</f>
        <v>9-11 Years</v>
      </c>
      <c r="J3929">
        <v>4</v>
      </c>
      <c r="K3929" t="s">
        <v>20</v>
      </c>
      <c r="L3929">
        <v>70900</v>
      </c>
      <c r="M3929">
        <v>7600</v>
      </c>
      <c r="N3929">
        <v>78500</v>
      </c>
      <c r="O3929" t="s">
        <v>21</v>
      </c>
      <c r="P3929" s="3">
        <v>42425</v>
      </c>
      <c r="Q3929" t="s">
        <v>28</v>
      </c>
    </row>
    <row r="3930" spans="1:17" x14ac:dyDescent="0.35">
      <c r="A3930" t="s">
        <v>3982</v>
      </c>
      <c r="B3930" t="s">
        <v>23</v>
      </c>
      <c r="C3930">
        <v>25</v>
      </c>
      <c r="D3930" t="s">
        <v>38</v>
      </c>
      <c r="E3930" t="s">
        <v>112</v>
      </c>
      <c r="F3930" t="s">
        <v>19</v>
      </c>
      <c r="G3930">
        <v>3.8</v>
      </c>
      <c r="H3930">
        <v>2.8</v>
      </c>
      <c r="I3930" t="str" cm="1">
        <f t="array" ref="I3930">_xlfn.IFS(G3930&lt;3, "0–2 Years", G3930&lt;6, "3–5 Years", G3930&lt;9, "6–8 Years", G3930&lt;12, "9-11 Years", G3930&gt;=12, "12-14 Years")</f>
        <v>3–5 Years</v>
      </c>
      <c r="J3930">
        <v>4</v>
      </c>
      <c r="K3930" t="s">
        <v>20</v>
      </c>
      <c r="L3930">
        <v>67900</v>
      </c>
      <c r="M3930">
        <v>4100</v>
      </c>
      <c r="N3930">
        <v>72000</v>
      </c>
      <c r="O3930" t="s">
        <v>21</v>
      </c>
      <c r="P3930" s="3">
        <v>44628</v>
      </c>
      <c r="Q3930" t="s">
        <v>19</v>
      </c>
    </row>
    <row r="3931" spans="1:17" x14ac:dyDescent="0.35">
      <c r="A3931" t="s">
        <v>3983</v>
      </c>
      <c r="B3931" t="s">
        <v>16</v>
      </c>
      <c r="C3931" s="7">
        <v>42</v>
      </c>
      <c r="D3931" t="s">
        <v>34</v>
      </c>
      <c r="E3931" t="s">
        <v>35</v>
      </c>
      <c r="F3931" t="s">
        <v>62</v>
      </c>
      <c r="G3931" s="9">
        <v>12.1</v>
      </c>
      <c r="H3931" s="7">
        <v>7.9</v>
      </c>
      <c r="I3931" t="str" cm="1">
        <f t="array" ref="I3931">_xlfn.IFS(G3931&lt;3, "0–2 Years", G3931&lt;6, "3–5 Years", G3931&lt;9, "6–8 Years", G3931&lt;12, "9-11 Years", G3931&gt;=12, "12-14 Years")</f>
        <v>12-14 Years</v>
      </c>
      <c r="J3931" s="7">
        <v>3</v>
      </c>
      <c r="K3931" t="s">
        <v>20</v>
      </c>
      <c r="L3931" s="7">
        <v>105500</v>
      </c>
      <c r="M3931" s="7">
        <v>9600</v>
      </c>
      <c r="N3931" s="7">
        <v>115100</v>
      </c>
      <c r="O3931" t="s">
        <v>57</v>
      </c>
      <c r="P3931" s="3">
        <v>41587</v>
      </c>
      <c r="Q3931" t="s">
        <v>62</v>
      </c>
    </row>
    <row r="3932" spans="1:17" x14ac:dyDescent="0.35">
      <c r="A3932" t="s">
        <v>3984</v>
      </c>
      <c r="B3932" t="s">
        <v>23</v>
      </c>
      <c r="C3932">
        <v>40</v>
      </c>
      <c r="D3932" t="s">
        <v>41</v>
      </c>
      <c r="E3932" t="s">
        <v>73</v>
      </c>
      <c r="F3932" t="s">
        <v>36</v>
      </c>
      <c r="G3932">
        <v>8.6999999999999993</v>
      </c>
      <c r="H3932">
        <v>7.2</v>
      </c>
      <c r="I3932" t="str" cm="1">
        <f t="array" ref="I3932">_xlfn.IFS(G3932&lt;3, "0–2 Years", G3932&lt;6, "3–5 Years", G3932&lt;9, "6–8 Years", G3932&lt;12, "9-11 Years", G3932&gt;=12, "12-14 Years")</f>
        <v>6–8 Years</v>
      </c>
      <c r="J3932">
        <v>2</v>
      </c>
      <c r="K3932" t="s">
        <v>20</v>
      </c>
      <c r="L3932">
        <v>93800</v>
      </c>
      <c r="M3932">
        <v>5600</v>
      </c>
      <c r="N3932">
        <v>99400</v>
      </c>
      <c r="O3932" t="s">
        <v>30</v>
      </c>
      <c r="P3932" s="3">
        <v>42846</v>
      </c>
      <c r="Q3932" t="s">
        <v>36</v>
      </c>
    </row>
    <row r="3933" spans="1:17" x14ac:dyDescent="0.35">
      <c r="A3933" t="s">
        <v>3985</v>
      </c>
      <c r="B3933" t="s">
        <v>23</v>
      </c>
      <c r="C3933">
        <v>37</v>
      </c>
      <c r="D3933" t="s">
        <v>17</v>
      </c>
      <c r="E3933" t="s">
        <v>18</v>
      </c>
      <c r="F3933" t="s">
        <v>28</v>
      </c>
      <c r="G3933">
        <v>9.5</v>
      </c>
      <c r="H3933">
        <v>4.5</v>
      </c>
      <c r="I3933" t="str" cm="1">
        <f t="array" ref="I3933">_xlfn.IFS(G3933&lt;3, "0–2 Years", G3933&lt;6, "3–5 Years", G3933&lt;9, "6–8 Years", G3933&lt;12, "9-11 Years", G3933&gt;=12, "12-14 Years")</f>
        <v>9-11 Years</v>
      </c>
      <c r="J3933">
        <v>5</v>
      </c>
      <c r="K3933" t="s">
        <v>20</v>
      </c>
      <c r="L3933">
        <v>99100</v>
      </c>
      <c r="M3933">
        <v>9500</v>
      </c>
      <c r="N3933">
        <v>108600</v>
      </c>
      <c r="O3933" t="s">
        <v>30</v>
      </c>
      <c r="P3933" s="3">
        <v>42546</v>
      </c>
      <c r="Q3933" t="s">
        <v>28</v>
      </c>
    </row>
    <row r="3934" spans="1:17" x14ac:dyDescent="0.35">
      <c r="A3934" t="s">
        <v>3986</v>
      </c>
      <c r="B3934" t="s">
        <v>23</v>
      </c>
      <c r="C3934" s="7">
        <v>32</v>
      </c>
      <c r="D3934" t="s">
        <v>55</v>
      </c>
      <c r="E3934" t="s">
        <v>56</v>
      </c>
      <c r="F3934" t="s">
        <v>19</v>
      </c>
      <c r="G3934" s="9">
        <v>13.4</v>
      </c>
      <c r="H3934" s="7">
        <v>8.9</v>
      </c>
      <c r="I3934" t="str" cm="1">
        <f t="array" ref="I3934">_xlfn.IFS(G3934&lt;3, "0–2 Years", G3934&lt;6, "3–5 Years", G3934&lt;9, "6–8 Years", G3934&lt;12, "9-11 Years", G3934&gt;=12, "12-14 Years")</f>
        <v>12-14 Years</v>
      </c>
      <c r="J3934" s="7">
        <v>3</v>
      </c>
      <c r="K3934" t="s">
        <v>20</v>
      </c>
      <c r="L3934" s="7">
        <v>96200</v>
      </c>
      <c r="M3934" s="7">
        <v>11100</v>
      </c>
      <c r="N3934" s="7">
        <v>107300</v>
      </c>
      <c r="O3934" t="s">
        <v>30</v>
      </c>
      <c r="P3934" s="3">
        <v>41129</v>
      </c>
      <c r="Q3934" t="s">
        <v>19</v>
      </c>
    </row>
    <row r="3935" spans="1:17" x14ac:dyDescent="0.35">
      <c r="A3935" t="s">
        <v>3987</v>
      </c>
      <c r="B3935" t="s">
        <v>23</v>
      </c>
      <c r="C3935">
        <v>23</v>
      </c>
      <c r="D3935" t="s">
        <v>55</v>
      </c>
      <c r="E3935" t="s">
        <v>56</v>
      </c>
      <c r="F3935" t="s">
        <v>28</v>
      </c>
      <c r="G3935">
        <v>6</v>
      </c>
      <c r="H3935">
        <v>6</v>
      </c>
      <c r="I3935" t="str" cm="1">
        <f t="array" ref="I3935">_xlfn.IFS(G3935&lt;3, "0–2 Years", G3935&lt;6, "3–5 Years", G3935&lt;9, "6–8 Years", G3935&lt;12, "9-11 Years", G3935&gt;=12, "12-14 Years")</f>
        <v>6–8 Years</v>
      </c>
      <c r="J3935">
        <v>3</v>
      </c>
      <c r="K3935" t="s">
        <v>20</v>
      </c>
      <c r="L3935">
        <v>115000</v>
      </c>
      <c r="M3935">
        <v>21600</v>
      </c>
      <c r="N3935">
        <v>136600</v>
      </c>
      <c r="O3935" t="s">
        <v>57</v>
      </c>
      <c r="P3935" s="3">
        <v>43823</v>
      </c>
      <c r="Q3935" t="s">
        <v>28</v>
      </c>
    </row>
    <row r="3936" spans="1:17" x14ac:dyDescent="0.35">
      <c r="A3936" t="s">
        <v>3988</v>
      </c>
      <c r="B3936" t="s">
        <v>23</v>
      </c>
      <c r="C3936">
        <v>40</v>
      </c>
      <c r="D3936" t="s">
        <v>38</v>
      </c>
      <c r="E3936" t="s">
        <v>112</v>
      </c>
      <c r="F3936" t="s">
        <v>62</v>
      </c>
      <c r="G3936">
        <v>6.7</v>
      </c>
      <c r="H3936">
        <v>4.2</v>
      </c>
      <c r="I3936" t="str" cm="1">
        <f t="array" ref="I3936">_xlfn.IFS(G3936&lt;3, "0–2 Years", G3936&lt;6, "3–5 Years", G3936&lt;9, "6–8 Years", G3936&lt;12, "9-11 Years", G3936&gt;=12, "12-14 Years")</f>
        <v>6–8 Years</v>
      </c>
      <c r="J3936">
        <v>4</v>
      </c>
      <c r="K3936" t="s">
        <v>20</v>
      </c>
      <c r="L3936">
        <v>74500</v>
      </c>
      <c r="M3936">
        <v>7600</v>
      </c>
      <c r="N3936">
        <v>82100</v>
      </c>
      <c r="O3936" t="s">
        <v>21</v>
      </c>
      <c r="P3936" s="3">
        <v>43585</v>
      </c>
      <c r="Q3936" t="s">
        <v>62</v>
      </c>
    </row>
    <row r="3937" spans="1:17" x14ac:dyDescent="0.35">
      <c r="A3937" t="s">
        <v>3989</v>
      </c>
      <c r="B3937" t="s">
        <v>16</v>
      </c>
      <c r="C3937">
        <v>42</v>
      </c>
      <c r="D3937" t="s">
        <v>17</v>
      </c>
      <c r="E3937" t="s">
        <v>27</v>
      </c>
      <c r="F3937" t="s">
        <v>28</v>
      </c>
      <c r="G3937">
        <v>1.2</v>
      </c>
      <c r="H3937">
        <v>0</v>
      </c>
      <c r="I3937" t="str" cm="1">
        <f t="array" ref="I3937">_xlfn.IFS(G3937&lt;3, "0–2 Years", G3937&lt;6, "3–5 Years", G3937&lt;9, "6–8 Years", G3937&lt;12, "9-11 Years", G3937&gt;=12, "12-14 Years")</f>
        <v>0–2 Years</v>
      </c>
      <c r="J3937">
        <v>3</v>
      </c>
      <c r="K3937" t="s">
        <v>24</v>
      </c>
      <c r="L3937">
        <v>45000</v>
      </c>
      <c r="M3937">
        <v>3500</v>
      </c>
      <c r="N3937">
        <v>48500</v>
      </c>
      <c r="O3937" t="s">
        <v>65</v>
      </c>
      <c r="P3937" s="3">
        <v>45578</v>
      </c>
      <c r="Q3937" t="s">
        <v>28</v>
      </c>
    </row>
    <row r="3938" spans="1:17" x14ac:dyDescent="0.35">
      <c r="A3938" t="s">
        <v>3990</v>
      </c>
      <c r="B3938" t="s">
        <v>23</v>
      </c>
      <c r="C3938">
        <v>26</v>
      </c>
      <c r="D3938" t="s">
        <v>38</v>
      </c>
      <c r="E3938" t="s">
        <v>61</v>
      </c>
      <c r="F3938" t="s">
        <v>28</v>
      </c>
      <c r="G3938">
        <v>9.4</v>
      </c>
      <c r="H3938">
        <v>5.7</v>
      </c>
      <c r="I3938" t="str" cm="1">
        <f t="array" ref="I3938">_xlfn.IFS(G3938&lt;3, "0–2 Years", G3938&lt;6, "3–5 Years", G3938&lt;9, "6–8 Years", G3938&lt;12, "9-11 Years", G3938&gt;=12, "12-14 Years")</f>
        <v>9-11 Years</v>
      </c>
      <c r="J3938">
        <v>4</v>
      </c>
      <c r="K3938" t="s">
        <v>20</v>
      </c>
      <c r="L3938">
        <v>106000</v>
      </c>
      <c r="M3938">
        <v>4200</v>
      </c>
      <c r="N3938">
        <v>110200</v>
      </c>
      <c r="O3938" t="s">
        <v>57</v>
      </c>
      <c r="P3938" s="3">
        <v>42591</v>
      </c>
      <c r="Q3938" t="s">
        <v>28</v>
      </c>
    </row>
    <row r="3939" spans="1:17" x14ac:dyDescent="0.35">
      <c r="A3939" t="s">
        <v>3991</v>
      </c>
      <c r="B3939" t="s">
        <v>23</v>
      </c>
      <c r="C3939">
        <v>43</v>
      </c>
      <c r="D3939" t="s">
        <v>17</v>
      </c>
      <c r="E3939" t="s">
        <v>32</v>
      </c>
      <c r="F3939" t="s">
        <v>36</v>
      </c>
      <c r="G3939">
        <v>8.9</v>
      </c>
      <c r="H3939">
        <v>5.3</v>
      </c>
      <c r="I3939" t="str" cm="1">
        <f t="array" ref="I3939">_xlfn.IFS(G3939&lt;3, "0–2 Years", G3939&lt;6, "3–5 Years", G3939&lt;9, "6–8 Years", G3939&lt;12, "9-11 Years", G3939&gt;=12, "12-14 Years")</f>
        <v>6–8 Years</v>
      </c>
      <c r="J3939">
        <v>2</v>
      </c>
      <c r="K3939" t="s">
        <v>20</v>
      </c>
      <c r="L3939">
        <v>83300</v>
      </c>
      <c r="M3939">
        <v>6400</v>
      </c>
      <c r="N3939">
        <v>89700</v>
      </c>
      <c r="O3939" t="s">
        <v>30</v>
      </c>
      <c r="P3939" s="3">
        <v>42762</v>
      </c>
      <c r="Q3939" t="s">
        <v>36</v>
      </c>
    </row>
    <row r="3940" spans="1:17" x14ac:dyDescent="0.35">
      <c r="A3940" t="s">
        <v>3992</v>
      </c>
      <c r="B3940" t="s">
        <v>16</v>
      </c>
      <c r="C3940">
        <v>39</v>
      </c>
      <c r="D3940" t="s">
        <v>55</v>
      </c>
      <c r="E3940" t="s">
        <v>92</v>
      </c>
      <c r="F3940" t="s">
        <v>36</v>
      </c>
      <c r="G3940">
        <v>11.3</v>
      </c>
      <c r="H3940">
        <v>7.7</v>
      </c>
      <c r="I3940" t="str" cm="1">
        <f t="array" ref="I3940">_xlfn.IFS(G3940&lt;3, "0–2 Years", G3940&lt;6, "3–5 Years", G3940&lt;9, "6–8 Years", G3940&lt;12, "9-11 Years", G3940&gt;=12, "12-14 Years")</f>
        <v>9-11 Years</v>
      </c>
      <c r="J3940">
        <v>4</v>
      </c>
      <c r="K3940" t="s">
        <v>20</v>
      </c>
      <c r="L3940">
        <v>109700</v>
      </c>
      <c r="M3940">
        <v>9800</v>
      </c>
      <c r="N3940">
        <v>119500</v>
      </c>
      <c r="O3940" t="s">
        <v>57</v>
      </c>
      <c r="P3940" s="3">
        <v>41912</v>
      </c>
      <c r="Q3940" t="s">
        <v>36</v>
      </c>
    </row>
    <row r="3941" spans="1:17" x14ac:dyDescent="0.35">
      <c r="A3941" t="s">
        <v>3993</v>
      </c>
      <c r="B3941" t="s">
        <v>23</v>
      </c>
      <c r="C3941">
        <v>41</v>
      </c>
      <c r="D3941" t="s">
        <v>55</v>
      </c>
      <c r="E3941" t="s">
        <v>56</v>
      </c>
      <c r="F3941" t="s">
        <v>62</v>
      </c>
      <c r="G3941">
        <v>8.6999999999999993</v>
      </c>
      <c r="H3941">
        <v>5.8</v>
      </c>
      <c r="I3941" t="str" cm="1">
        <f t="array" ref="I3941">_xlfn.IFS(G3941&lt;3, "0–2 Years", G3941&lt;6, "3–5 Years", G3941&lt;9, "6–8 Years", G3941&lt;12, "9-11 Years", G3941&gt;=12, "12-14 Years")</f>
        <v>6–8 Years</v>
      </c>
      <c r="J3941">
        <v>2</v>
      </c>
      <c r="K3941" t="s">
        <v>69</v>
      </c>
      <c r="L3941">
        <v>90300</v>
      </c>
      <c r="M3941">
        <v>16700</v>
      </c>
      <c r="N3941">
        <v>107000</v>
      </c>
      <c r="O3941" t="s">
        <v>30</v>
      </c>
      <c r="P3941" s="3">
        <v>42861</v>
      </c>
      <c r="Q3941" t="s">
        <v>62</v>
      </c>
    </row>
    <row r="3942" spans="1:17" x14ac:dyDescent="0.35">
      <c r="A3942" t="s">
        <v>3994</v>
      </c>
      <c r="B3942" t="s">
        <v>16</v>
      </c>
      <c r="C3942">
        <v>47</v>
      </c>
      <c r="D3942" t="s">
        <v>55</v>
      </c>
      <c r="E3942" t="s">
        <v>92</v>
      </c>
      <c r="F3942" t="s">
        <v>28</v>
      </c>
      <c r="G3942">
        <v>4.9000000000000004</v>
      </c>
      <c r="H3942">
        <v>3.7</v>
      </c>
      <c r="I3942" t="str" cm="1">
        <f t="array" ref="I3942">_xlfn.IFS(G3942&lt;3, "0–2 Years", G3942&lt;6, "3–5 Years", G3942&lt;9, "6–8 Years", G3942&lt;12, "9-11 Years", G3942&gt;=12, "12-14 Years")</f>
        <v>3–5 Years</v>
      </c>
      <c r="J3942">
        <v>4</v>
      </c>
      <c r="K3942" t="s">
        <v>20</v>
      </c>
      <c r="L3942">
        <v>102600</v>
      </c>
      <c r="M3942">
        <v>19200</v>
      </c>
      <c r="N3942">
        <v>121800</v>
      </c>
      <c r="O3942" t="s">
        <v>57</v>
      </c>
      <c r="P3942" s="3">
        <v>44234</v>
      </c>
      <c r="Q3942" t="s">
        <v>28</v>
      </c>
    </row>
    <row r="3943" spans="1:17" x14ac:dyDescent="0.35">
      <c r="A3943" t="s">
        <v>3995</v>
      </c>
      <c r="B3943" t="s">
        <v>16</v>
      </c>
      <c r="C3943">
        <v>29</v>
      </c>
      <c r="D3943" t="s">
        <v>44</v>
      </c>
      <c r="E3943" t="s">
        <v>76</v>
      </c>
      <c r="F3943" t="s">
        <v>28</v>
      </c>
      <c r="G3943">
        <v>6.8</v>
      </c>
      <c r="H3943">
        <v>5.3</v>
      </c>
      <c r="I3943" t="str" cm="1">
        <f t="array" ref="I3943">_xlfn.IFS(G3943&lt;3, "0–2 Years", G3943&lt;6, "3–5 Years", G3943&lt;9, "6–8 Years", G3943&lt;12, "9-11 Years", G3943&gt;=12, "12-14 Years")</f>
        <v>6–8 Years</v>
      </c>
      <c r="J3943">
        <v>2</v>
      </c>
      <c r="K3943" t="s">
        <v>69</v>
      </c>
      <c r="L3943">
        <v>87300</v>
      </c>
      <c r="M3943">
        <v>9000</v>
      </c>
      <c r="N3943">
        <v>96300</v>
      </c>
      <c r="O3943" t="s">
        <v>30</v>
      </c>
      <c r="P3943" s="3">
        <v>43525</v>
      </c>
      <c r="Q3943" t="s">
        <v>28</v>
      </c>
    </row>
    <row r="3944" spans="1:17" x14ac:dyDescent="0.35">
      <c r="A3944" t="s">
        <v>3996</v>
      </c>
      <c r="B3944" t="s">
        <v>23</v>
      </c>
      <c r="C3944">
        <v>37</v>
      </c>
      <c r="D3944" t="s">
        <v>44</v>
      </c>
      <c r="E3944" t="s">
        <v>45</v>
      </c>
      <c r="F3944" t="s">
        <v>28</v>
      </c>
      <c r="G3944">
        <v>5.9</v>
      </c>
      <c r="H3944">
        <v>3.3</v>
      </c>
      <c r="I3944" t="str" cm="1">
        <f t="array" ref="I3944">_xlfn.IFS(G3944&lt;3, "0–2 Years", G3944&lt;6, "3–5 Years", G3944&lt;9, "6–8 Years", G3944&lt;12, "9-11 Years", G3944&gt;=12, "12-14 Years")</f>
        <v>3–5 Years</v>
      </c>
      <c r="J3944">
        <v>4</v>
      </c>
      <c r="K3944" t="s">
        <v>20</v>
      </c>
      <c r="L3944">
        <v>80900</v>
      </c>
      <c r="M3944">
        <v>9800</v>
      </c>
      <c r="N3944">
        <v>90700</v>
      </c>
      <c r="O3944" t="s">
        <v>30</v>
      </c>
      <c r="P3944" s="3">
        <v>43869</v>
      </c>
      <c r="Q3944" t="s">
        <v>28</v>
      </c>
    </row>
    <row r="3945" spans="1:17" x14ac:dyDescent="0.35">
      <c r="A3945" t="s">
        <v>3997</v>
      </c>
      <c r="B3945" t="s">
        <v>16</v>
      </c>
      <c r="C3945">
        <v>21</v>
      </c>
      <c r="D3945" t="s">
        <v>17</v>
      </c>
      <c r="E3945" t="s">
        <v>32</v>
      </c>
      <c r="F3945" t="s">
        <v>62</v>
      </c>
      <c r="G3945">
        <v>5.9</v>
      </c>
      <c r="H3945">
        <v>1</v>
      </c>
      <c r="I3945" t="str" cm="1">
        <f t="array" ref="I3945">_xlfn.IFS(G3945&lt;3, "0–2 Years", G3945&lt;6, "3–5 Years", G3945&lt;9, "6–8 Years", G3945&lt;12, "9-11 Years", G3945&gt;=12, "12-14 Years")</f>
        <v>3–5 Years</v>
      </c>
      <c r="J3945">
        <v>3</v>
      </c>
      <c r="K3945" t="s">
        <v>20</v>
      </c>
      <c r="L3945">
        <v>75900</v>
      </c>
      <c r="M3945">
        <v>5500</v>
      </c>
      <c r="N3945">
        <v>81400</v>
      </c>
      <c r="O3945" t="s">
        <v>21</v>
      </c>
      <c r="P3945" s="3">
        <v>43874</v>
      </c>
      <c r="Q3945" t="s">
        <v>62</v>
      </c>
    </row>
    <row r="3946" spans="1:17" x14ac:dyDescent="0.35">
      <c r="A3946" t="s">
        <v>3998</v>
      </c>
      <c r="B3946" t="s">
        <v>16</v>
      </c>
      <c r="C3946">
        <v>46</v>
      </c>
      <c r="D3946" t="s">
        <v>17</v>
      </c>
      <c r="E3946" t="s">
        <v>32</v>
      </c>
      <c r="F3946" t="s">
        <v>28</v>
      </c>
      <c r="G3946">
        <v>11.6</v>
      </c>
      <c r="H3946">
        <v>6.9</v>
      </c>
      <c r="I3946" t="str" cm="1">
        <f t="array" ref="I3946">_xlfn.IFS(G3946&lt;3, "0–2 Years", G3946&lt;6, "3–5 Years", G3946&lt;9, "6–8 Years", G3946&lt;12, "9-11 Years", G3946&gt;=12, "12-14 Years")</f>
        <v>9-11 Years</v>
      </c>
      <c r="J3946">
        <v>4</v>
      </c>
      <c r="K3946" t="s">
        <v>20</v>
      </c>
      <c r="L3946">
        <v>73900</v>
      </c>
      <c r="M3946">
        <v>3500</v>
      </c>
      <c r="N3946">
        <v>77400</v>
      </c>
      <c r="O3946" t="s">
        <v>21</v>
      </c>
      <c r="P3946" s="3">
        <v>41787</v>
      </c>
      <c r="Q3946" t="s">
        <v>28</v>
      </c>
    </row>
    <row r="3947" spans="1:17" x14ac:dyDescent="0.35">
      <c r="A3947" t="s">
        <v>3999</v>
      </c>
      <c r="B3947" t="s">
        <v>16</v>
      </c>
      <c r="C3947">
        <v>43</v>
      </c>
      <c r="D3947" t="s">
        <v>38</v>
      </c>
      <c r="E3947" t="s">
        <v>39</v>
      </c>
      <c r="F3947" t="s">
        <v>36</v>
      </c>
      <c r="G3947">
        <v>9.4</v>
      </c>
      <c r="H3947">
        <v>5.0999999999999996</v>
      </c>
      <c r="I3947" t="str" cm="1">
        <f t="array" ref="I3947">_xlfn.IFS(G3947&lt;3, "0–2 Years", G3947&lt;6, "3–5 Years", G3947&lt;9, "6–8 Years", G3947&lt;12, "9-11 Years", G3947&gt;=12, "12-14 Years")</f>
        <v>9-11 Years</v>
      </c>
      <c r="J3947">
        <v>2</v>
      </c>
      <c r="K3947" t="s">
        <v>20</v>
      </c>
      <c r="L3947">
        <v>85700</v>
      </c>
      <c r="M3947">
        <v>3700</v>
      </c>
      <c r="N3947">
        <v>89400</v>
      </c>
      <c r="O3947" t="s">
        <v>30</v>
      </c>
      <c r="P3947" s="3">
        <v>42588</v>
      </c>
      <c r="Q3947" t="s">
        <v>36</v>
      </c>
    </row>
    <row r="3948" spans="1:17" x14ac:dyDescent="0.35">
      <c r="A3948" t="s">
        <v>4000</v>
      </c>
      <c r="B3948" t="s">
        <v>23</v>
      </c>
      <c r="C3948">
        <v>21</v>
      </c>
      <c r="D3948" t="s">
        <v>55</v>
      </c>
      <c r="E3948" t="s">
        <v>92</v>
      </c>
      <c r="F3948" t="s">
        <v>36</v>
      </c>
      <c r="G3948">
        <v>4.9000000000000004</v>
      </c>
      <c r="H3948">
        <v>2.7</v>
      </c>
      <c r="I3948" t="str" cm="1">
        <f t="array" ref="I3948">_xlfn.IFS(G3948&lt;3, "0–2 Years", G3948&lt;6, "3–5 Years", G3948&lt;9, "6–8 Years", G3948&lt;12, "9-11 Years", G3948&gt;=12, "12-14 Years")</f>
        <v>3–5 Years</v>
      </c>
      <c r="J3948">
        <v>3</v>
      </c>
      <c r="K3948" t="s">
        <v>20</v>
      </c>
      <c r="L3948">
        <v>116700</v>
      </c>
      <c r="M3948">
        <v>16500</v>
      </c>
      <c r="N3948">
        <v>133200</v>
      </c>
      <c r="O3948" t="s">
        <v>57</v>
      </c>
      <c r="P3948" s="3">
        <v>44229</v>
      </c>
      <c r="Q3948" t="s">
        <v>36</v>
      </c>
    </row>
    <row r="3949" spans="1:17" x14ac:dyDescent="0.35">
      <c r="A3949" t="s">
        <v>4001</v>
      </c>
      <c r="B3949" t="s">
        <v>16</v>
      </c>
      <c r="C3949">
        <v>37</v>
      </c>
      <c r="D3949" t="s">
        <v>17</v>
      </c>
      <c r="E3949" t="s">
        <v>27</v>
      </c>
      <c r="F3949" t="s">
        <v>28</v>
      </c>
      <c r="G3949">
        <v>2.5</v>
      </c>
      <c r="H3949">
        <v>0.5</v>
      </c>
      <c r="I3949" t="str" cm="1">
        <f t="array" ref="I3949">_xlfn.IFS(G3949&lt;3, "0–2 Years", G3949&lt;6, "3–5 Years", G3949&lt;9, "6–8 Years", G3949&lt;12, "9-11 Years", G3949&gt;=12, "12-14 Years")</f>
        <v>0–2 Years</v>
      </c>
      <c r="J3949">
        <v>3</v>
      </c>
      <c r="K3949" t="s">
        <v>20</v>
      </c>
      <c r="L3949">
        <v>72200</v>
      </c>
      <c r="M3949">
        <v>6500</v>
      </c>
      <c r="N3949">
        <v>78700</v>
      </c>
      <c r="O3949" t="s">
        <v>21</v>
      </c>
      <c r="P3949" s="3">
        <v>45096</v>
      </c>
      <c r="Q3949" t="s">
        <v>28</v>
      </c>
    </row>
    <row r="3950" spans="1:17" x14ac:dyDescent="0.35">
      <c r="A3950" t="s">
        <v>4002</v>
      </c>
      <c r="B3950" t="s">
        <v>16</v>
      </c>
      <c r="C3950">
        <v>31</v>
      </c>
      <c r="D3950" t="s">
        <v>55</v>
      </c>
      <c r="E3950" t="s">
        <v>79</v>
      </c>
      <c r="F3950" t="s">
        <v>28</v>
      </c>
      <c r="G3950">
        <v>8.1</v>
      </c>
      <c r="H3950">
        <v>7.6</v>
      </c>
      <c r="I3950" t="str" cm="1">
        <f t="array" ref="I3950">_xlfn.IFS(G3950&lt;3, "0–2 Years", G3950&lt;6, "3–5 Years", G3950&lt;9, "6–8 Years", G3950&lt;12, "9-11 Years", G3950&gt;=12, "12-14 Years")</f>
        <v>6–8 Years</v>
      </c>
      <c r="J3950">
        <v>3</v>
      </c>
      <c r="K3950" t="s">
        <v>20</v>
      </c>
      <c r="L3950">
        <v>69300</v>
      </c>
      <c r="M3950">
        <v>8100</v>
      </c>
      <c r="N3950">
        <v>77400</v>
      </c>
      <c r="O3950" t="s">
        <v>21</v>
      </c>
      <c r="P3950" s="3">
        <v>43050</v>
      </c>
      <c r="Q3950" t="s">
        <v>28</v>
      </c>
    </row>
    <row r="3951" spans="1:17" x14ac:dyDescent="0.35">
      <c r="A3951" t="s">
        <v>4003</v>
      </c>
      <c r="B3951" t="s">
        <v>16</v>
      </c>
      <c r="C3951">
        <v>39</v>
      </c>
      <c r="D3951" t="s">
        <v>55</v>
      </c>
      <c r="E3951" t="s">
        <v>79</v>
      </c>
      <c r="F3951" t="s">
        <v>36</v>
      </c>
      <c r="G3951">
        <v>4.5999999999999996</v>
      </c>
      <c r="H3951">
        <v>2.9</v>
      </c>
      <c r="I3951" t="str" cm="1">
        <f t="array" ref="I3951">_xlfn.IFS(G3951&lt;3, "0–2 Years", G3951&lt;6, "3–5 Years", G3951&lt;9, "6–8 Years", G3951&lt;12, "9-11 Years", G3951&gt;=12, "12-14 Years")</f>
        <v>3–5 Years</v>
      </c>
      <c r="J3951">
        <v>4</v>
      </c>
      <c r="K3951" t="s">
        <v>20</v>
      </c>
      <c r="L3951">
        <v>62400</v>
      </c>
      <c r="M3951">
        <v>12200</v>
      </c>
      <c r="N3951">
        <v>74600</v>
      </c>
      <c r="O3951" t="s">
        <v>25</v>
      </c>
      <c r="P3951" s="3">
        <v>44350</v>
      </c>
      <c r="Q3951" t="s">
        <v>36</v>
      </c>
    </row>
    <row r="3952" spans="1:17" x14ac:dyDescent="0.35">
      <c r="A3952" t="s">
        <v>4004</v>
      </c>
      <c r="B3952" t="s">
        <v>16</v>
      </c>
      <c r="C3952">
        <v>34</v>
      </c>
      <c r="D3952" t="s">
        <v>44</v>
      </c>
      <c r="E3952" t="s">
        <v>81</v>
      </c>
      <c r="F3952" t="s">
        <v>19</v>
      </c>
      <c r="G3952">
        <v>8.6999999999999993</v>
      </c>
      <c r="H3952">
        <v>6.4</v>
      </c>
      <c r="I3952" t="str" cm="1">
        <f t="array" ref="I3952">_xlfn.IFS(G3952&lt;3, "0–2 Years", G3952&lt;6, "3–5 Years", G3952&lt;9, "6–8 Years", G3952&lt;12, "9-11 Years", G3952&gt;=12, "12-14 Years")</f>
        <v>6–8 Years</v>
      </c>
      <c r="J3952">
        <v>2</v>
      </c>
      <c r="K3952" t="s">
        <v>20</v>
      </c>
      <c r="L3952">
        <v>85200</v>
      </c>
      <c r="M3952">
        <v>7200</v>
      </c>
      <c r="N3952">
        <v>92400</v>
      </c>
      <c r="O3952" t="s">
        <v>30</v>
      </c>
      <c r="P3952" s="3">
        <v>42846</v>
      </c>
      <c r="Q3952" t="s">
        <v>19</v>
      </c>
    </row>
    <row r="3953" spans="1:17" x14ac:dyDescent="0.35">
      <c r="A3953" t="s">
        <v>4005</v>
      </c>
      <c r="B3953" t="s">
        <v>16</v>
      </c>
      <c r="C3953">
        <v>34</v>
      </c>
      <c r="D3953" t="s">
        <v>41</v>
      </c>
      <c r="E3953" t="s">
        <v>67</v>
      </c>
      <c r="F3953" t="s">
        <v>28</v>
      </c>
      <c r="G3953">
        <v>2.7</v>
      </c>
      <c r="H3953">
        <v>2.7</v>
      </c>
      <c r="I3953" t="str" cm="1">
        <f t="array" ref="I3953">_xlfn.IFS(G3953&lt;3, "0–2 Years", G3953&lt;6, "3–5 Years", G3953&lt;9, "6–8 Years", G3953&lt;12, "9-11 Years", G3953&gt;=12, "12-14 Years")</f>
        <v>0–2 Years</v>
      </c>
      <c r="J3953">
        <v>4</v>
      </c>
      <c r="K3953" t="s">
        <v>20</v>
      </c>
      <c r="L3953">
        <v>68600</v>
      </c>
      <c r="M3953">
        <v>4100</v>
      </c>
      <c r="N3953">
        <v>72700</v>
      </c>
      <c r="O3953" t="s">
        <v>21</v>
      </c>
      <c r="P3953" s="3">
        <v>45051</v>
      </c>
      <c r="Q3953" t="s">
        <v>28</v>
      </c>
    </row>
    <row r="3954" spans="1:17" x14ac:dyDescent="0.35">
      <c r="A3954" t="s">
        <v>4006</v>
      </c>
      <c r="B3954" t="s">
        <v>23</v>
      </c>
      <c r="C3954">
        <v>38</v>
      </c>
      <c r="D3954" t="s">
        <v>34</v>
      </c>
      <c r="E3954" t="s">
        <v>47</v>
      </c>
      <c r="F3954" t="s">
        <v>28</v>
      </c>
      <c r="G3954">
        <v>10.9</v>
      </c>
      <c r="H3954">
        <v>9.1</v>
      </c>
      <c r="I3954" t="str" cm="1">
        <f t="array" ref="I3954">_xlfn.IFS(G3954&lt;3, "0–2 Years", G3954&lt;6, "3–5 Years", G3954&lt;9, "6–8 Years", G3954&lt;12, "9-11 Years", G3954&gt;=12, "12-14 Years")</f>
        <v>9-11 Years</v>
      </c>
      <c r="J3954">
        <v>2</v>
      </c>
      <c r="K3954" t="s">
        <v>20</v>
      </c>
      <c r="L3954">
        <v>95200</v>
      </c>
      <c r="M3954">
        <v>8900</v>
      </c>
      <c r="N3954">
        <v>104100</v>
      </c>
      <c r="O3954" t="s">
        <v>30</v>
      </c>
      <c r="P3954" s="3">
        <v>42028</v>
      </c>
      <c r="Q3954" t="s">
        <v>28</v>
      </c>
    </row>
    <row r="3955" spans="1:17" x14ac:dyDescent="0.35">
      <c r="A3955" t="s">
        <v>4007</v>
      </c>
      <c r="B3955" t="s">
        <v>16</v>
      </c>
      <c r="C3955" s="7">
        <v>32</v>
      </c>
      <c r="D3955" t="s">
        <v>17</v>
      </c>
      <c r="E3955" t="s">
        <v>27</v>
      </c>
      <c r="F3955" t="s">
        <v>36</v>
      </c>
      <c r="G3955" s="9">
        <v>13.9</v>
      </c>
      <c r="H3955" s="7">
        <v>8.4</v>
      </c>
      <c r="I3955" t="str" cm="1">
        <f t="array" ref="I3955">_xlfn.IFS(G3955&lt;3, "0–2 Years", G3955&lt;6, "3–5 Years", G3955&lt;9, "6–8 Years", G3955&lt;12, "9-11 Years", G3955&gt;=12, "12-14 Years")</f>
        <v>12-14 Years</v>
      </c>
      <c r="J3955" s="7">
        <v>3</v>
      </c>
      <c r="K3955" t="s">
        <v>20</v>
      </c>
      <c r="L3955" s="7">
        <v>79600</v>
      </c>
      <c r="M3955" s="7">
        <v>9700</v>
      </c>
      <c r="N3955" s="7">
        <v>89300</v>
      </c>
      <c r="O3955" t="s">
        <v>21</v>
      </c>
      <c r="P3955" s="3">
        <v>40933</v>
      </c>
      <c r="Q3955" t="s">
        <v>36</v>
      </c>
    </row>
    <row r="3956" spans="1:17" x14ac:dyDescent="0.35">
      <c r="A3956" t="s">
        <v>4008</v>
      </c>
      <c r="B3956" t="s">
        <v>16</v>
      </c>
      <c r="C3956">
        <v>33</v>
      </c>
      <c r="D3956" t="s">
        <v>55</v>
      </c>
      <c r="E3956" t="s">
        <v>56</v>
      </c>
      <c r="F3956" t="s">
        <v>19</v>
      </c>
      <c r="G3956">
        <v>9.9</v>
      </c>
      <c r="H3956">
        <v>4.9000000000000004</v>
      </c>
      <c r="I3956" t="str" cm="1">
        <f t="array" ref="I3956">_xlfn.IFS(G3956&lt;3, "0–2 Years", G3956&lt;6, "3–5 Years", G3956&lt;9, "6–8 Years", G3956&lt;12, "9-11 Years", G3956&gt;=12, "12-14 Years")</f>
        <v>9-11 Years</v>
      </c>
      <c r="J3956">
        <v>4</v>
      </c>
      <c r="K3956" t="s">
        <v>24</v>
      </c>
      <c r="L3956">
        <v>69800</v>
      </c>
      <c r="M3956">
        <v>11200</v>
      </c>
      <c r="N3956">
        <v>81000</v>
      </c>
      <c r="O3956" t="s">
        <v>21</v>
      </c>
      <c r="P3956" s="3">
        <v>42409</v>
      </c>
      <c r="Q3956" t="s">
        <v>19</v>
      </c>
    </row>
    <row r="3957" spans="1:17" x14ac:dyDescent="0.35">
      <c r="A3957" t="s">
        <v>4009</v>
      </c>
      <c r="B3957" t="s">
        <v>23</v>
      </c>
      <c r="C3957">
        <v>30</v>
      </c>
      <c r="D3957" t="s">
        <v>44</v>
      </c>
      <c r="E3957" t="s">
        <v>81</v>
      </c>
      <c r="F3957" t="s">
        <v>36</v>
      </c>
      <c r="G3957">
        <v>9.4</v>
      </c>
      <c r="H3957">
        <v>6.9</v>
      </c>
      <c r="I3957" t="str" cm="1">
        <f t="array" ref="I3957">_xlfn.IFS(G3957&lt;3, "0–2 Years", G3957&lt;6, "3–5 Years", G3957&lt;9, "6–8 Years", G3957&lt;12, "9-11 Years", G3957&gt;=12, "12-14 Years")</f>
        <v>9-11 Years</v>
      </c>
      <c r="J3957">
        <v>4</v>
      </c>
      <c r="K3957" t="s">
        <v>20</v>
      </c>
      <c r="L3957">
        <v>107000</v>
      </c>
      <c r="M3957">
        <v>9600</v>
      </c>
      <c r="N3957">
        <v>116600</v>
      </c>
      <c r="O3957" t="s">
        <v>57</v>
      </c>
      <c r="P3957" s="3">
        <v>42590</v>
      </c>
      <c r="Q3957" t="s">
        <v>36</v>
      </c>
    </row>
    <row r="3958" spans="1:17" x14ac:dyDescent="0.35">
      <c r="A3958" t="s">
        <v>4010</v>
      </c>
      <c r="B3958" t="s">
        <v>23</v>
      </c>
      <c r="C3958">
        <v>44</v>
      </c>
      <c r="D3958" t="s">
        <v>17</v>
      </c>
      <c r="E3958" t="s">
        <v>32</v>
      </c>
      <c r="F3958" t="s">
        <v>36</v>
      </c>
      <c r="G3958">
        <v>3.5</v>
      </c>
      <c r="H3958">
        <v>0.7</v>
      </c>
      <c r="I3958" t="str" cm="1">
        <f t="array" ref="I3958">_xlfn.IFS(G3958&lt;3, "0–2 Years", G3958&lt;6, "3–5 Years", G3958&lt;9, "6–8 Years", G3958&lt;12, "9-11 Years", G3958&gt;=12, "12-14 Years")</f>
        <v>3–5 Years</v>
      </c>
      <c r="J3958">
        <v>3</v>
      </c>
      <c r="K3958" t="s">
        <v>20</v>
      </c>
      <c r="L3958">
        <v>59100</v>
      </c>
      <c r="M3958">
        <v>2700</v>
      </c>
      <c r="N3958">
        <v>61800</v>
      </c>
      <c r="O3958" t="s">
        <v>25</v>
      </c>
      <c r="P3958" s="3">
        <v>44740</v>
      </c>
      <c r="Q3958" t="s">
        <v>36</v>
      </c>
    </row>
    <row r="3959" spans="1:17" x14ac:dyDescent="0.35">
      <c r="A3959" t="s">
        <v>4011</v>
      </c>
      <c r="B3959" t="s">
        <v>23</v>
      </c>
      <c r="C3959">
        <v>38</v>
      </c>
      <c r="D3959" t="s">
        <v>38</v>
      </c>
      <c r="E3959" t="s">
        <v>39</v>
      </c>
      <c r="F3959" t="s">
        <v>36</v>
      </c>
      <c r="G3959">
        <v>4.0999999999999996</v>
      </c>
      <c r="H3959">
        <v>3.1</v>
      </c>
      <c r="I3959" t="str" cm="1">
        <f t="array" ref="I3959">_xlfn.IFS(G3959&lt;3, "0–2 Years", G3959&lt;6, "3–5 Years", G3959&lt;9, "6–8 Years", G3959&lt;12, "9-11 Years", G3959&gt;=12, "12-14 Years")</f>
        <v>3–5 Years</v>
      </c>
      <c r="J3959">
        <v>4</v>
      </c>
      <c r="K3959" t="s">
        <v>20</v>
      </c>
      <c r="L3959">
        <v>66100</v>
      </c>
      <c r="M3959">
        <v>3200</v>
      </c>
      <c r="N3959">
        <v>69300</v>
      </c>
      <c r="O3959" t="s">
        <v>21</v>
      </c>
      <c r="P3959" s="3">
        <v>44534</v>
      </c>
      <c r="Q3959" t="s">
        <v>36</v>
      </c>
    </row>
    <row r="3960" spans="1:17" x14ac:dyDescent="0.35">
      <c r="A3960" t="s">
        <v>4012</v>
      </c>
      <c r="B3960" t="s">
        <v>16</v>
      </c>
      <c r="C3960">
        <v>28</v>
      </c>
      <c r="D3960" t="s">
        <v>17</v>
      </c>
      <c r="E3960" t="s">
        <v>32</v>
      </c>
      <c r="F3960" t="s">
        <v>28</v>
      </c>
      <c r="G3960">
        <v>10</v>
      </c>
      <c r="H3960">
        <v>6.9</v>
      </c>
      <c r="I3960" t="str" cm="1">
        <f t="array" ref="I3960">_xlfn.IFS(G3960&lt;3, "0–2 Years", G3960&lt;6, "3–5 Years", G3960&lt;9, "6–8 Years", G3960&lt;12, "9-11 Years", G3960&gt;=12, "12-14 Years")</f>
        <v>9-11 Years</v>
      </c>
      <c r="J3960">
        <v>4</v>
      </c>
      <c r="K3960" t="s">
        <v>20</v>
      </c>
      <c r="L3960">
        <v>71100</v>
      </c>
      <c r="M3960">
        <v>8600</v>
      </c>
      <c r="N3960">
        <v>79700</v>
      </c>
      <c r="O3960" t="s">
        <v>21</v>
      </c>
      <c r="P3960" s="3">
        <v>42362</v>
      </c>
      <c r="Q3960" t="s">
        <v>28</v>
      </c>
    </row>
    <row r="3961" spans="1:17" x14ac:dyDescent="0.35">
      <c r="A3961" t="s">
        <v>4013</v>
      </c>
      <c r="B3961" t="s">
        <v>23</v>
      </c>
      <c r="C3961">
        <v>26</v>
      </c>
      <c r="D3961" t="s">
        <v>34</v>
      </c>
      <c r="E3961" t="s">
        <v>47</v>
      </c>
      <c r="F3961" t="s">
        <v>28</v>
      </c>
      <c r="G3961">
        <v>6.2</v>
      </c>
      <c r="H3961">
        <v>3.9</v>
      </c>
      <c r="I3961" t="str" cm="1">
        <f t="array" ref="I3961">_xlfn.IFS(G3961&lt;3, "0–2 Years", G3961&lt;6, "3–5 Years", G3961&lt;9, "6–8 Years", G3961&lt;12, "9-11 Years", G3961&gt;=12, "12-14 Years")</f>
        <v>6–8 Years</v>
      </c>
      <c r="J3961">
        <v>4</v>
      </c>
      <c r="K3961" t="s">
        <v>20</v>
      </c>
      <c r="L3961">
        <v>74700</v>
      </c>
      <c r="M3961">
        <v>8000</v>
      </c>
      <c r="N3961">
        <v>82700</v>
      </c>
      <c r="O3961" t="s">
        <v>21</v>
      </c>
      <c r="P3961" s="3">
        <v>43742</v>
      </c>
      <c r="Q3961" t="s">
        <v>28</v>
      </c>
    </row>
    <row r="3962" spans="1:17" x14ac:dyDescent="0.35">
      <c r="A3962" t="s">
        <v>4014</v>
      </c>
      <c r="B3962" t="s">
        <v>23</v>
      </c>
      <c r="C3962">
        <v>28</v>
      </c>
      <c r="D3962" t="s">
        <v>17</v>
      </c>
      <c r="E3962" t="s">
        <v>27</v>
      </c>
      <c r="F3962" t="s">
        <v>28</v>
      </c>
      <c r="G3962">
        <v>3.9</v>
      </c>
      <c r="H3962">
        <v>2.8</v>
      </c>
      <c r="I3962" t="str" cm="1">
        <f t="array" ref="I3962">_xlfn.IFS(G3962&lt;3, "0–2 Years", G3962&lt;6, "3–5 Years", G3962&lt;9, "6–8 Years", G3962&lt;12, "9-11 Years", G3962&gt;=12, "12-14 Years")</f>
        <v>3–5 Years</v>
      </c>
      <c r="J3962">
        <v>2</v>
      </c>
      <c r="K3962" t="s">
        <v>20</v>
      </c>
      <c r="L3962">
        <v>55900</v>
      </c>
      <c r="M3962">
        <v>2900</v>
      </c>
      <c r="N3962">
        <v>58800</v>
      </c>
      <c r="O3962" t="s">
        <v>25</v>
      </c>
      <c r="P3962" s="3">
        <v>44596</v>
      </c>
      <c r="Q3962" t="s">
        <v>28</v>
      </c>
    </row>
    <row r="3963" spans="1:17" x14ac:dyDescent="0.35">
      <c r="A3963" t="s">
        <v>4015</v>
      </c>
      <c r="B3963" t="s">
        <v>16</v>
      </c>
      <c r="C3963">
        <v>30</v>
      </c>
      <c r="D3963" t="s">
        <v>38</v>
      </c>
      <c r="E3963" t="s">
        <v>112</v>
      </c>
      <c r="F3963" t="s">
        <v>28</v>
      </c>
      <c r="G3963">
        <v>9.6</v>
      </c>
      <c r="H3963">
        <v>5.3</v>
      </c>
      <c r="I3963" t="str" cm="1">
        <f t="array" ref="I3963">_xlfn.IFS(G3963&lt;3, "0–2 Years", G3963&lt;6, "3–5 Years", G3963&lt;9, "6–8 Years", G3963&lt;12, "9-11 Years", G3963&gt;=12, "12-14 Years")</f>
        <v>9-11 Years</v>
      </c>
      <c r="J3963">
        <v>3</v>
      </c>
      <c r="K3963" t="s">
        <v>20</v>
      </c>
      <c r="L3963">
        <v>70800</v>
      </c>
      <c r="M3963">
        <v>6600</v>
      </c>
      <c r="N3963">
        <v>77400</v>
      </c>
      <c r="O3963" t="s">
        <v>21</v>
      </c>
      <c r="P3963" s="3">
        <v>42533</v>
      </c>
      <c r="Q3963" t="s">
        <v>28</v>
      </c>
    </row>
    <row r="3964" spans="1:17" x14ac:dyDescent="0.35">
      <c r="A3964" t="s">
        <v>4016</v>
      </c>
      <c r="B3964" t="s">
        <v>23</v>
      </c>
      <c r="C3964">
        <v>21</v>
      </c>
      <c r="D3964" t="s">
        <v>44</v>
      </c>
      <c r="E3964" t="s">
        <v>81</v>
      </c>
      <c r="F3964" t="s">
        <v>36</v>
      </c>
      <c r="G3964">
        <v>1.2</v>
      </c>
      <c r="H3964">
        <v>0</v>
      </c>
      <c r="I3964" t="str" cm="1">
        <f t="array" ref="I3964">_xlfn.IFS(G3964&lt;3, "0–2 Years", G3964&lt;6, "3–5 Years", G3964&lt;9, "6–8 Years", G3964&lt;12, "9-11 Years", G3964&gt;=12, "12-14 Years")</f>
        <v>0–2 Years</v>
      </c>
      <c r="J3964">
        <v>4</v>
      </c>
      <c r="K3964" t="s">
        <v>20</v>
      </c>
      <c r="L3964">
        <v>89100</v>
      </c>
      <c r="M3964">
        <v>8300</v>
      </c>
      <c r="N3964">
        <v>97400</v>
      </c>
      <c r="O3964" t="s">
        <v>30</v>
      </c>
      <c r="P3964" s="3">
        <v>45583</v>
      </c>
      <c r="Q3964" t="s">
        <v>36</v>
      </c>
    </row>
    <row r="3965" spans="1:17" x14ac:dyDescent="0.35">
      <c r="A3965" t="s">
        <v>4017</v>
      </c>
      <c r="B3965" t="s">
        <v>23</v>
      </c>
      <c r="C3965" s="7">
        <v>37</v>
      </c>
      <c r="D3965" t="s">
        <v>34</v>
      </c>
      <c r="E3965" t="s">
        <v>35</v>
      </c>
      <c r="F3965" t="s">
        <v>28</v>
      </c>
      <c r="G3965" s="9">
        <v>13.3</v>
      </c>
      <c r="H3965" s="7">
        <v>9</v>
      </c>
      <c r="I3965" t="str" cm="1">
        <f t="array" ref="I3965">_xlfn.IFS(G3965&lt;3, "0–2 Years", G3965&lt;6, "3–5 Years", G3965&lt;9, "6–8 Years", G3965&lt;12, "9-11 Years", G3965&gt;=12, "12-14 Years")</f>
        <v>12-14 Years</v>
      </c>
      <c r="J3965" s="7">
        <v>4</v>
      </c>
      <c r="K3965" t="s">
        <v>20</v>
      </c>
      <c r="L3965" s="7">
        <v>86500</v>
      </c>
      <c r="M3965" s="7">
        <v>7600</v>
      </c>
      <c r="N3965" s="7">
        <v>94100</v>
      </c>
      <c r="O3965" t="s">
        <v>30</v>
      </c>
      <c r="P3965" s="3">
        <v>41179</v>
      </c>
      <c r="Q3965" t="s">
        <v>28</v>
      </c>
    </row>
    <row r="3966" spans="1:17" x14ac:dyDescent="0.35">
      <c r="A3966" t="s">
        <v>4018</v>
      </c>
      <c r="B3966" t="s">
        <v>23</v>
      </c>
      <c r="C3966">
        <v>29</v>
      </c>
      <c r="D3966" t="s">
        <v>44</v>
      </c>
      <c r="E3966" t="s">
        <v>76</v>
      </c>
      <c r="F3966" t="s">
        <v>36</v>
      </c>
      <c r="G3966">
        <v>2.2999999999999998</v>
      </c>
      <c r="H3966">
        <v>0.9</v>
      </c>
      <c r="I3966" t="str" cm="1">
        <f t="array" ref="I3966">_xlfn.IFS(G3966&lt;3, "0–2 Years", G3966&lt;6, "3–5 Years", G3966&lt;9, "6–8 Years", G3966&lt;12, "9-11 Years", G3966&gt;=12, "12-14 Years")</f>
        <v>0–2 Years</v>
      </c>
      <c r="J3966">
        <v>3</v>
      </c>
      <c r="K3966" t="s">
        <v>20</v>
      </c>
      <c r="L3966">
        <v>100700</v>
      </c>
      <c r="M3966">
        <v>11400</v>
      </c>
      <c r="N3966">
        <v>112100</v>
      </c>
      <c r="O3966" t="s">
        <v>57</v>
      </c>
      <c r="P3966" s="3">
        <v>45176</v>
      </c>
      <c r="Q3966" t="s">
        <v>36</v>
      </c>
    </row>
    <row r="3967" spans="1:17" x14ac:dyDescent="0.35">
      <c r="A3967" t="s">
        <v>4019</v>
      </c>
      <c r="B3967" t="s">
        <v>16</v>
      </c>
      <c r="C3967">
        <v>23</v>
      </c>
      <c r="D3967" t="s">
        <v>17</v>
      </c>
      <c r="E3967" t="s">
        <v>27</v>
      </c>
      <c r="F3967" t="s">
        <v>36</v>
      </c>
      <c r="G3967">
        <v>5.0999999999999996</v>
      </c>
      <c r="H3967">
        <v>3.3</v>
      </c>
      <c r="I3967" t="str" cm="1">
        <f t="array" ref="I3967">_xlfn.IFS(G3967&lt;3, "0–2 Years", G3967&lt;6, "3–5 Years", G3967&lt;9, "6–8 Years", G3967&lt;12, "9-11 Years", G3967&gt;=12, "12-14 Years")</f>
        <v>3–5 Years</v>
      </c>
      <c r="J3967">
        <v>3</v>
      </c>
      <c r="K3967" t="s">
        <v>69</v>
      </c>
      <c r="L3967">
        <v>62200</v>
      </c>
      <c r="M3967">
        <v>4300</v>
      </c>
      <c r="N3967">
        <v>66500</v>
      </c>
      <c r="O3967" t="s">
        <v>25</v>
      </c>
      <c r="P3967" s="3">
        <v>44151</v>
      </c>
      <c r="Q3967" t="s">
        <v>36</v>
      </c>
    </row>
    <row r="3968" spans="1:17" x14ac:dyDescent="0.35">
      <c r="A3968" t="s">
        <v>4020</v>
      </c>
      <c r="B3968" t="s">
        <v>16</v>
      </c>
      <c r="C3968">
        <v>27</v>
      </c>
      <c r="D3968" t="s">
        <v>41</v>
      </c>
      <c r="E3968" t="s">
        <v>73</v>
      </c>
      <c r="F3968" t="s">
        <v>28</v>
      </c>
      <c r="G3968">
        <v>10.3</v>
      </c>
      <c r="H3968">
        <v>6.3</v>
      </c>
      <c r="I3968" t="str" cm="1">
        <f t="array" ref="I3968">_xlfn.IFS(G3968&lt;3, "0–2 Years", G3968&lt;6, "3–5 Years", G3968&lt;9, "6–8 Years", G3968&lt;12, "9-11 Years", G3968&gt;=12, "12-14 Years")</f>
        <v>9-11 Years</v>
      </c>
      <c r="J3968">
        <v>5</v>
      </c>
      <c r="K3968" t="s">
        <v>20</v>
      </c>
      <c r="L3968">
        <v>108900</v>
      </c>
      <c r="M3968">
        <v>6700</v>
      </c>
      <c r="N3968">
        <v>115600</v>
      </c>
      <c r="O3968" t="s">
        <v>57</v>
      </c>
      <c r="P3968" s="3">
        <v>42256</v>
      </c>
      <c r="Q3968" t="s">
        <v>28</v>
      </c>
    </row>
    <row r="3969" spans="1:17" x14ac:dyDescent="0.35">
      <c r="A3969" t="s">
        <v>4021</v>
      </c>
      <c r="B3969" t="s">
        <v>16</v>
      </c>
      <c r="C3969">
        <v>33</v>
      </c>
      <c r="D3969" t="s">
        <v>55</v>
      </c>
      <c r="E3969" t="s">
        <v>56</v>
      </c>
      <c r="F3969" t="s">
        <v>36</v>
      </c>
      <c r="G3969">
        <v>7.8</v>
      </c>
      <c r="H3969">
        <v>1.7</v>
      </c>
      <c r="I3969" t="str" cm="1">
        <f t="array" ref="I3969">_xlfn.IFS(G3969&lt;3, "0–2 Years", G3969&lt;6, "3–5 Years", G3969&lt;9, "6–8 Years", G3969&lt;12, "9-11 Years", G3969&gt;=12, "12-14 Years")</f>
        <v>6–8 Years</v>
      </c>
      <c r="J3969">
        <v>4</v>
      </c>
      <c r="K3969" t="s">
        <v>24</v>
      </c>
      <c r="L3969">
        <v>61000</v>
      </c>
      <c r="M3969">
        <v>5300</v>
      </c>
      <c r="N3969">
        <v>66300</v>
      </c>
      <c r="O3969" t="s">
        <v>25</v>
      </c>
      <c r="P3969" s="3">
        <v>43185</v>
      </c>
      <c r="Q3969" t="s">
        <v>36</v>
      </c>
    </row>
    <row r="3970" spans="1:17" x14ac:dyDescent="0.35">
      <c r="A3970" t="s">
        <v>4022</v>
      </c>
      <c r="B3970" t="s">
        <v>16</v>
      </c>
      <c r="C3970" s="7">
        <v>29</v>
      </c>
      <c r="D3970" t="s">
        <v>38</v>
      </c>
      <c r="E3970" t="s">
        <v>39</v>
      </c>
      <c r="F3970" t="s">
        <v>28</v>
      </c>
      <c r="G3970" s="9">
        <v>12.7</v>
      </c>
      <c r="H3970" s="7">
        <v>7.5</v>
      </c>
      <c r="I3970" t="str" cm="1">
        <f t="array" ref="I3970">_xlfn.IFS(G3970&lt;3, "0–2 Years", G3970&lt;6, "3–5 Years", G3970&lt;9, "6–8 Years", G3970&lt;12, "9-11 Years", G3970&gt;=12, "12-14 Years")</f>
        <v>12-14 Years</v>
      </c>
      <c r="J3970" s="7">
        <v>3</v>
      </c>
      <c r="K3970" t="s">
        <v>20</v>
      </c>
      <c r="L3970" s="7">
        <v>92800</v>
      </c>
      <c r="M3970" s="7">
        <v>8900</v>
      </c>
      <c r="N3970" s="7">
        <v>101700</v>
      </c>
      <c r="O3970" t="s">
        <v>30</v>
      </c>
      <c r="P3970" s="3">
        <v>41375</v>
      </c>
      <c r="Q3970" t="s">
        <v>28</v>
      </c>
    </row>
    <row r="3971" spans="1:17" x14ac:dyDescent="0.35">
      <c r="A3971" t="s">
        <v>4023</v>
      </c>
      <c r="B3971" t="s">
        <v>23</v>
      </c>
      <c r="C3971">
        <v>27</v>
      </c>
      <c r="D3971" t="s">
        <v>55</v>
      </c>
      <c r="E3971" t="s">
        <v>79</v>
      </c>
      <c r="F3971" t="s">
        <v>36</v>
      </c>
      <c r="G3971">
        <v>2.2000000000000002</v>
      </c>
      <c r="H3971">
        <v>0</v>
      </c>
      <c r="I3971" t="str" cm="1">
        <f t="array" ref="I3971">_xlfn.IFS(G3971&lt;3, "0–2 Years", G3971&lt;6, "3–5 Years", G3971&lt;9, "6–8 Years", G3971&lt;12, "9-11 Years", G3971&gt;=12, "12-14 Years")</f>
        <v>0–2 Years</v>
      </c>
      <c r="J3971">
        <v>2</v>
      </c>
      <c r="K3971" t="s">
        <v>20</v>
      </c>
      <c r="L3971">
        <v>68300</v>
      </c>
      <c r="M3971">
        <v>13500</v>
      </c>
      <c r="N3971">
        <v>81800</v>
      </c>
      <c r="O3971" t="s">
        <v>21</v>
      </c>
      <c r="P3971" s="3">
        <v>45213</v>
      </c>
      <c r="Q3971" t="s">
        <v>36</v>
      </c>
    </row>
    <row r="3972" spans="1:17" x14ac:dyDescent="0.35">
      <c r="A3972" t="s">
        <v>4024</v>
      </c>
      <c r="B3972" t="s">
        <v>23</v>
      </c>
      <c r="C3972">
        <v>35</v>
      </c>
      <c r="D3972" t="s">
        <v>55</v>
      </c>
      <c r="E3972" t="s">
        <v>79</v>
      </c>
      <c r="F3972" t="s">
        <v>28</v>
      </c>
      <c r="G3972">
        <v>9.1999999999999993</v>
      </c>
      <c r="H3972">
        <v>5.2</v>
      </c>
      <c r="I3972" t="str" cm="1">
        <f t="array" ref="I3972">_xlfn.IFS(G3972&lt;3, "0–2 Years", G3972&lt;6, "3–5 Years", G3972&lt;9, "6–8 Years", G3972&lt;12, "9-11 Years", G3972&gt;=12, "12-14 Years")</f>
        <v>9-11 Years</v>
      </c>
      <c r="J3972">
        <v>3</v>
      </c>
      <c r="K3972" t="s">
        <v>20</v>
      </c>
      <c r="L3972">
        <v>59100</v>
      </c>
      <c r="M3972">
        <v>9500</v>
      </c>
      <c r="N3972">
        <v>68600</v>
      </c>
      <c r="O3972" t="s">
        <v>25</v>
      </c>
      <c r="P3972" s="3">
        <v>42652</v>
      </c>
      <c r="Q3972" t="s">
        <v>28</v>
      </c>
    </row>
    <row r="3973" spans="1:17" x14ac:dyDescent="0.35">
      <c r="A3973" t="s">
        <v>4025</v>
      </c>
      <c r="B3973" t="s">
        <v>16</v>
      </c>
      <c r="C3973">
        <v>51</v>
      </c>
      <c r="D3973" t="s">
        <v>17</v>
      </c>
      <c r="E3973" t="s">
        <v>27</v>
      </c>
      <c r="F3973" t="s">
        <v>28</v>
      </c>
      <c r="G3973">
        <v>2.4</v>
      </c>
      <c r="H3973">
        <v>1.4</v>
      </c>
      <c r="I3973" t="str" cm="1">
        <f t="array" ref="I3973">_xlfn.IFS(G3973&lt;3, "0–2 Years", G3973&lt;6, "3–5 Years", G3973&lt;9, "6–8 Years", G3973&lt;12, "9-11 Years", G3973&gt;=12, "12-14 Years")</f>
        <v>0–2 Years</v>
      </c>
      <c r="J3973">
        <v>4</v>
      </c>
      <c r="K3973" t="s">
        <v>69</v>
      </c>
      <c r="L3973">
        <v>61500</v>
      </c>
      <c r="M3973">
        <v>7700</v>
      </c>
      <c r="N3973">
        <v>69200</v>
      </c>
      <c r="O3973" t="s">
        <v>25</v>
      </c>
      <c r="P3973" s="3">
        <v>45149</v>
      </c>
      <c r="Q3973" t="s">
        <v>28</v>
      </c>
    </row>
    <row r="3974" spans="1:17" x14ac:dyDescent="0.35">
      <c r="A3974" t="s">
        <v>4026</v>
      </c>
      <c r="B3974" t="s">
        <v>16</v>
      </c>
      <c r="C3974">
        <v>37</v>
      </c>
      <c r="D3974" t="s">
        <v>38</v>
      </c>
      <c r="E3974" t="s">
        <v>61</v>
      </c>
      <c r="F3974" t="s">
        <v>36</v>
      </c>
      <c r="G3974">
        <v>8.5</v>
      </c>
      <c r="H3974">
        <v>6</v>
      </c>
      <c r="I3974" t="str" cm="1">
        <f t="array" ref="I3974">_xlfn.IFS(G3974&lt;3, "0–2 Years", G3974&lt;6, "3–5 Years", G3974&lt;9, "6–8 Years", G3974&lt;12, "9-11 Years", G3974&gt;=12, "12-14 Years")</f>
        <v>6–8 Years</v>
      </c>
      <c r="J3974">
        <v>3</v>
      </c>
      <c r="K3974" t="s">
        <v>20</v>
      </c>
      <c r="L3974">
        <v>111700</v>
      </c>
      <c r="M3974">
        <v>11400</v>
      </c>
      <c r="N3974">
        <v>123100</v>
      </c>
      <c r="O3974" t="s">
        <v>57</v>
      </c>
      <c r="P3974" s="3">
        <v>42904</v>
      </c>
      <c r="Q3974" t="s">
        <v>36</v>
      </c>
    </row>
    <row r="3975" spans="1:17" x14ac:dyDescent="0.35">
      <c r="A3975" t="s">
        <v>4027</v>
      </c>
      <c r="B3975" t="s">
        <v>23</v>
      </c>
      <c r="C3975">
        <v>27</v>
      </c>
      <c r="D3975" t="s">
        <v>38</v>
      </c>
      <c r="E3975" t="s">
        <v>61</v>
      </c>
      <c r="F3975" t="s">
        <v>28</v>
      </c>
      <c r="G3975">
        <v>10.9</v>
      </c>
      <c r="H3975">
        <v>9.3000000000000007</v>
      </c>
      <c r="I3975" t="str" cm="1">
        <f t="array" ref="I3975">_xlfn.IFS(G3975&lt;3, "0–2 Years", G3975&lt;6, "3–5 Years", G3975&lt;9, "6–8 Years", G3975&lt;12, "9-11 Years", G3975&gt;=12, "12-14 Years")</f>
        <v>9-11 Years</v>
      </c>
      <c r="J3975">
        <v>3</v>
      </c>
      <c r="K3975" t="s">
        <v>20</v>
      </c>
      <c r="L3975">
        <v>94800</v>
      </c>
      <c r="M3975">
        <v>7400</v>
      </c>
      <c r="N3975">
        <v>102200</v>
      </c>
      <c r="O3975" t="s">
        <v>30</v>
      </c>
      <c r="P3975" s="3">
        <v>42053</v>
      </c>
      <c r="Q3975" t="s">
        <v>28</v>
      </c>
    </row>
    <row r="3976" spans="1:17" x14ac:dyDescent="0.35">
      <c r="A3976" t="s">
        <v>4028</v>
      </c>
      <c r="B3976" t="s">
        <v>23</v>
      </c>
      <c r="C3976">
        <v>42</v>
      </c>
      <c r="D3976" t="s">
        <v>34</v>
      </c>
      <c r="E3976" t="s">
        <v>35</v>
      </c>
      <c r="F3976" t="s">
        <v>62</v>
      </c>
      <c r="G3976">
        <v>5.6</v>
      </c>
      <c r="H3976">
        <v>4.3</v>
      </c>
      <c r="I3976" t="str" cm="1">
        <f t="array" ref="I3976">_xlfn.IFS(G3976&lt;3, "0–2 Years", G3976&lt;6, "3–5 Years", G3976&lt;9, "6–8 Years", G3976&lt;12, "9-11 Years", G3976&gt;=12, "12-14 Years")</f>
        <v>3–5 Years</v>
      </c>
      <c r="J3976">
        <v>3</v>
      </c>
      <c r="K3976" t="s">
        <v>20</v>
      </c>
      <c r="L3976">
        <v>71200</v>
      </c>
      <c r="M3976">
        <v>7100</v>
      </c>
      <c r="N3976">
        <v>78300</v>
      </c>
      <c r="O3976" t="s">
        <v>21</v>
      </c>
      <c r="P3976" s="3">
        <v>43972</v>
      </c>
      <c r="Q3976" t="s">
        <v>62</v>
      </c>
    </row>
    <row r="3977" spans="1:17" x14ac:dyDescent="0.35">
      <c r="A3977" t="s">
        <v>4029</v>
      </c>
      <c r="B3977" t="s">
        <v>23</v>
      </c>
      <c r="C3977">
        <v>34</v>
      </c>
      <c r="D3977" t="s">
        <v>55</v>
      </c>
      <c r="E3977" t="s">
        <v>92</v>
      </c>
      <c r="F3977" t="s">
        <v>36</v>
      </c>
      <c r="G3977">
        <v>2.6</v>
      </c>
      <c r="H3977">
        <v>1.2</v>
      </c>
      <c r="I3977" t="str" cm="1">
        <f t="array" ref="I3977">_xlfn.IFS(G3977&lt;3, "0–2 Years", G3977&lt;6, "3–5 Years", G3977&lt;9, "6–8 Years", G3977&lt;12, "9-11 Years", G3977&gt;=12, "12-14 Years")</f>
        <v>0–2 Years</v>
      </c>
      <c r="J3977">
        <v>4</v>
      </c>
      <c r="K3977" t="s">
        <v>20</v>
      </c>
      <c r="L3977">
        <v>116900</v>
      </c>
      <c r="M3977">
        <v>18200</v>
      </c>
      <c r="N3977">
        <v>135100</v>
      </c>
      <c r="O3977" t="s">
        <v>57</v>
      </c>
      <c r="P3977" s="3">
        <v>45060</v>
      </c>
      <c r="Q3977" t="s">
        <v>36</v>
      </c>
    </row>
    <row r="3978" spans="1:17" x14ac:dyDescent="0.35">
      <c r="A3978" t="s">
        <v>4030</v>
      </c>
      <c r="B3978" t="s">
        <v>16</v>
      </c>
      <c r="C3978">
        <v>40</v>
      </c>
      <c r="D3978" t="s">
        <v>38</v>
      </c>
      <c r="E3978" t="s">
        <v>39</v>
      </c>
      <c r="F3978" t="s">
        <v>28</v>
      </c>
      <c r="G3978">
        <v>11.6</v>
      </c>
      <c r="H3978">
        <v>5.3</v>
      </c>
      <c r="I3978" t="str" cm="1">
        <f t="array" ref="I3978">_xlfn.IFS(G3978&lt;3, "0–2 Years", G3978&lt;6, "3–5 Years", G3978&lt;9, "6–8 Years", G3978&lt;12, "9-11 Years", G3978&gt;=12, "12-14 Years")</f>
        <v>9-11 Years</v>
      </c>
      <c r="J3978">
        <v>3</v>
      </c>
      <c r="K3978" t="s">
        <v>20</v>
      </c>
      <c r="L3978">
        <v>77000</v>
      </c>
      <c r="M3978">
        <v>7000</v>
      </c>
      <c r="N3978">
        <v>84000</v>
      </c>
      <c r="O3978" t="s">
        <v>21</v>
      </c>
      <c r="P3978" s="3">
        <v>41793</v>
      </c>
      <c r="Q3978" t="s">
        <v>28</v>
      </c>
    </row>
    <row r="3979" spans="1:17" x14ac:dyDescent="0.35">
      <c r="A3979" t="s">
        <v>4031</v>
      </c>
      <c r="B3979" t="s">
        <v>23</v>
      </c>
      <c r="C3979">
        <v>33</v>
      </c>
      <c r="D3979" t="s">
        <v>38</v>
      </c>
      <c r="E3979" t="s">
        <v>61</v>
      </c>
      <c r="F3979" t="s">
        <v>36</v>
      </c>
      <c r="G3979">
        <v>1.8</v>
      </c>
      <c r="H3979">
        <v>1.8</v>
      </c>
      <c r="I3979" t="str" cm="1">
        <f t="array" ref="I3979">_xlfn.IFS(G3979&lt;3, "0–2 Years", G3979&lt;6, "3–5 Years", G3979&lt;9, "6–8 Years", G3979&lt;12, "9-11 Years", G3979&gt;=12, "12-14 Years")</f>
        <v>0–2 Years</v>
      </c>
      <c r="J3979">
        <v>2</v>
      </c>
      <c r="K3979" t="s">
        <v>20</v>
      </c>
      <c r="L3979">
        <v>111700</v>
      </c>
      <c r="M3979">
        <v>6200</v>
      </c>
      <c r="N3979">
        <v>117900</v>
      </c>
      <c r="O3979" t="s">
        <v>57</v>
      </c>
      <c r="P3979" s="3">
        <v>45373</v>
      </c>
      <c r="Q3979" t="s">
        <v>36</v>
      </c>
    </row>
    <row r="3980" spans="1:17" x14ac:dyDescent="0.35">
      <c r="A3980" t="s">
        <v>4032</v>
      </c>
      <c r="B3980" t="s">
        <v>23</v>
      </c>
      <c r="C3980">
        <v>40</v>
      </c>
      <c r="D3980" t="s">
        <v>55</v>
      </c>
      <c r="E3980" t="s">
        <v>79</v>
      </c>
      <c r="F3980" t="s">
        <v>36</v>
      </c>
      <c r="G3980">
        <v>9.3000000000000007</v>
      </c>
      <c r="H3980">
        <v>6.7</v>
      </c>
      <c r="I3980" t="str" cm="1">
        <f t="array" ref="I3980">_xlfn.IFS(G3980&lt;3, "0–2 Years", G3980&lt;6, "3–5 Years", G3980&lt;9, "6–8 Years", G3980&lt;12, "9-11 Years", G3980&gt;=12, "12-14 Years")</f>
        <v>9-11 Years</v>
      </c>
      <c r="J3980">
        <v>5</v>
      </c>
      <c r="K3980" t="s">
        <v>20</v>
      </c>
      <c r="L3980">
        <v>85700</v>
      </c>
      <c r="M3980">
        <v>9200</v>
      </c>
      <c r="N3980">
        <v>94900</v>
      </c>
      <c r="O3980" t="s">
        <v>30</v>
      </c>
      <c r="P3980" s="3">
        <v>42617</v>
      </c>
      <c r="Q3980" t="s">
        <v>36</v>
      </c>
    </row>
    <row r="3981" spans="1:17" x14ac:dyDescent="0.35">
      <c r="A3981" t="s">
        <v>4033</v>
      </c>
      <c r="B3981" t="s">
        <v>23</v>
      </c>
      <c r="C3981">
        <v>46</v>
      </c>
      <c r="D3981" t="s">
        <v>34</v>
      </c>
      <c r="E3981" t="s">
        <v>35</v>
      </c>
      <c r="F3981" t="s">
        <v>36</v>
      </c>
      <c r="G3981">
        <v>1.6</v>
      </c>
      <c r="H3981">
        <v>1.6</v>
      </c>
      <c r="I3981" t="str" cm="1">
        <f t="array" ref="I3981">_xlfn.IFS(G3981&lt;3, "0–2 Years", G3981&lt;6, "3–5 Years", G3981&lt;9, "6–8 Years", G3981&lt;12, "9-11 Years", G3981&gt;=12, "12-14 Years")</f>
        <v>0–2 Years</v>
      </c>
      <c r="J3981">
        <v>3</v>
      </c>
      <c r="K3981" t="s">
        <v>20</v>
      </c>
      <c r="L3981">
        <v>76500</v>
      </c>
      <c r="M3981">
        <v>7600</v>
      </c>
      <c r="N3981">
        <v>84100</v>
      </c>
      <c r="O3981" t="s">
        <v>21</v>
      </c>
      <c r="P3981" s="3">
        <v>45446</v>
      </c>
      <c r="Q3981" t="s">
        <v>36</v>
      </c>
    </row>
    <row r="3982" spans="1:17" x14ac:dyDescent="0.35">
      <c r="A3982" t="s">
        <v>4034</v>
      </c>
      <c r="B3982" t="s">
        <v>23</v>
      </c>
      <c r="C3982">
        <v>41</v>
      </c>
      <c r="D3982" t="s">
        <v>55</v>
      </c>
      <c r="E3982" t="s">
        <v>92</v>
      </c>
      <c r="F3982" t="s">
        <v>19</v>
      </c>
      <c r="G3982">
        <v>2.1</v>
      </c>
      <c r="H3982">
        <v>1.1000000000000001</v>
      </c>
      <c r="I3982" t="str" cm="1">
        <f t="array" ref="I3982">_xlfn.IFS(G3982&lt;3, "0–2 Years", G3982&lt;6, "3–5 Years", G3982&lt;9, "6–8 Years", G3982&lt;12, "9-11 Years", G3982&gt;=12, "12-14 Years")</f>
        <v>0–2 Years</v>
      </c>
      <c r="J3982">
        <v>3</v>
      </c>
      <c r="K3982" t="s">
        <v>20</v>
      </c>
      <c r="L3982">
        <v>83000</v>
      </c>
      <c r="M3982">
        <v>11300</v>
      </c>
      <c r="N3982">
        <v>94300</v>
      </c>
      <c r="O3982" t="s">
        <v>30</v>
      </c>
      <c r="P3982" s="3">
        <v>45255</v>
      </c>
      <c r="Q3982" t="s">
        <v>19</v>
      </c>
    </row>
    <row r="3983" spans="1:17" x14ac:dyDescent="0.35">
      <c r="A3983" t="s">
        <v>4035</v>
      </c>
      <c r="B3983" t="s">
        <v>16</v>
      </c>
      <c r="C3983">
        <v>33</v>
      </c>
      <c r="D3983" t="s">
        <v>41</v>
      </c>
      <c r="E3983" t="s">
        <v>42</v>
      </c>
      <c r="F3983" t="s">
        <v>36</v>
      </c>
      <c r="G3983">
        <v>9.6</v>
      </c>
      <c r="H3983">
        <v>6</v>
      </c>
      <c r="I3983" t="str" cm="1">
        <f t="array" ref="I3983">_xlfn.IFS(G3983&lt;3, "0–2 Years", G3983&lt;6, "3–5 Years", G3983&lt;9, "6–8 Years", G3983&lt;12, "9-11 Years", G3983&gt;=12, "12-14 Years")</f>
        <v>9-11 Years</v>
      </c>
      <c r="J3983">
        <v>3</v>
      </c>
      <c r="K3983" t="s">
        <v>24</v>
      </c>
      <c r="L3983">
        <v>50300</v>
      </c>
      <c r="M3983">
        <v>1700</v>
      </c>
      <c r="N3983">
        <v>52000</v>
      </c>
      <c r="O3983" t="s">
        <v>25</v>
      </c>
      <c r="P3983" s="3">
        <v>42528</v>
      </c>
      <c r="Q3983" t="s">
        <v>36</v>
      </c>
    </row>
    <row r="3984" spans="1:17" x14ac:dyDescent="0.35">
      <c r="A3984" t="s">
        <v>4036</v>
      </c>
      <c r="B3984" t="s">
        <v>23</v>
      </c>
      <c r="C3984">
        <v>41</v>
      </c>
      <c r="D3984" t="s">
        <v>34</v>
      </c>
      <c r="E3984" t="s">
        <v>35</v>
      </c>
      <c r="F3984" t="s">
        <v>36</v>
      </c>
      <c r="G3984">
        <v>6.3</v>
      </c>
      <c r="H3984">
        <v>2.6</v>
      </c>
      <c r="I3984" t="str" cm="1">
        <f t="array" ref="I3984">_xlfn.IFS(G3984&lt;3, "0–2 Years", G3984&lt;6, "3–5 Years", G3984&lt;9, "6–8 Years", G3984&lt;12, "9-11 Years", G3984&gt;=12, "12-14 Years")</f>
        <v>6–8 Years</v>
      </c>
      <c r="J3984">
        <v>3</v>
      </c>
      <c r="K3984" t="s">
        <v>20</v>
      </c>
      <c r="L3984">
        <v>78400</v>
      </c>
      <c r="M3984">
        <v>3500</v>
      </c>
      <c r="N3984">
        <v>81900</v>
      </c>
      <c r="O3984" t="s">
        <v>21</v>
      </c>
      <c r="P3984" s="3">
        <v>43716</v>
      </c>
      <c r="Q3984" t="s">
        <v>36</v>
      </c>
    </row>
    <row r="3985" spans="1:17" x14ac:dyDescent="0.35">
      <c r="A3985" t="s">
        <v>4037</v>
      </c>
      <c r="B3985" t="s">
        <v>23</v>
      </c>
      <c r="C3985">
        <v>46</v>
      </c>
      <c r="D3985" t="s">
        <v>44</v>
      </c>
      <c r="E3985" t="s">
        <v>45</v>
      </c>
      <c r="F3985" t="s">
        <v>28</v>
      </c>
      <c r="G3985">
        <v>8.3000000000000007</v>
      </c>
      <c r="H3985">
        <v>5.5</v>
      </c>
      <c r="I3985" t="str" cm="1">
        <f t="array" ref="I3985">_xlfn.IFS(G3985&lt;3, "0–2 Years", G3985&lt;6, "3–5 Years", G3985&lt;9, "6–8 Years", G3985&lt;12, "9-11 Years", G3985&gt;=12, "12-14 Years")</f>
        <v>6–8 Years</v>
      </c>
      <c r="J3985">
        <v>3</v>
      </c>
      <c r="K3985" t="s">
        <v>20</v>
      </c>
      <c r="L3985">
        <v>77900</v>
      </c>
      <c r="M3985">
        <v>7500</v>
      </c>
      <c r="N3985">
        <v>85400</v>
      </c>
      <c r="O3985" t="s">
        <v>21</v>
      </c>
      <c r="P3985" s="3">
        <v>43007</v>
      </c>
      <c r="Q3985" t="s">
        <v>28</v>
      </c>
    </row>
    <row r="3986" spans="1:17" x14ac:dyDescent="0.35">
      <c r="A3986" t="s">
        <v>4038</v>
      </c>
      <c r="B3986" t="s">
        <v>16</v>
      </c>
      <c r="C3986">
        <v>32</v>
      </c>
      <c r="D3986" t="s">
        <v>34</v>
      </c>
      <c r="E3986" t="s">
        <v>35</v>
      </c>
      <c r="F3986" t="s">
        <v>28</v>
      </c>
      <c r="G3986">
        <v>11.7</v>
      </c>
      <c r="H3986">
        <v>7.2</v>
      </c>
      <c r="I3986" t="str" cm="1">
        <f t="array" ref="I3986">_xlfn.IFS(G3986&lt;3, "0–2 Years", G3986&lt;6, "3–5 Years", G3986&lt;9, "6–8 Years", G3986&lt;12, "9-11 Years", G3986&gt;=12, "12-14 Years")</f>
        <v>9-11 Years</v>
      </c>
      <c r="J3986">
        <v>2</v>
      </c>
      <c r="K3986" t="s">
        <v>20</v>
      </c>
      <c r="L3986">
        <v>80000</v>
      </c>
      <c r="M3986">
        <v>9100</v>
      </c>
      <c r="N3986">
        <v>89100</v>
      </c>
      <c r="O3986" t="s">
        <v>30</v>
      </c>
      <c r="P3986" s="3">
        <v>41750</v>
      </c>
      <c r="Q3986" t="s">
        <v>28</v>
      </c>
    </row>
    <row r="3987" spans="1:17" x14ac:dyDescent="0.35">
      <c r="A3987" t="s">
        <v>4039</v>
      </c>
      <c r="B3987" t="s">
        <v>16</v>
      </c>
      <c r="C3987">
        <v>32</v>
      </c>
      <c r="D3987" t="s">
        <v>38</v>
      </c>
      <c r="E3987" t="s">
        <v>61</v>
      </c>
      <c r="F3987" t="s">
        <v>36</v>
      </c>
      <c r="G3987">
        <v>6.4</v>
      </c>
      <c r="H3987">
        <v>6.3</v>
      </c>
      <c r="I3987" t="str" cm="1">
        <f t="array" ref="I3987">_xlfn.IFS(G3987&lt;3, "0–2 Years", G3987&lt;6, "3–5 Years", G3987&lt;9, "6–8 Years", G3987&lt;12, "9-11 Years", G3987&gt;=12, "12-14 Years")</f>
        <v>6–8 Years</v>
      </c>
      <c r="J3987">
        <v>4</v>
      </c>
      <c r="K3987" t="s">
        <v>20</v>
      </c>
      <c r="L3987">
        <v>121000</v>
      </c>
      <c r="M3987">
        <v>6400</v>
      </c>
      <c r="N3987">
        <v>127400</v>
      </c>
      <c r="O3987" t="s">
        <v>57</v>
      </c>
      <c r="P3987" s="3">
        <v>43697</v>
      </c>
      <c r="Q3987" t="s">
        <v>36</v>
      </c>
    </row>
    <row r="3988" spans="1:17" x14ac:dyDescent="0.35">
      <c r="A3988" t="s">
        <v>4040</v>
      </c>
      <c r="B3988" t="s">
        <v>16</v>
      </c>
      <c r="C3988">
        <v>31</v>
      </c>
      <c r="D3988" t="s">
        <v>41</v>
      </c>
      <c r="E3988" t="s">
        <v>67</v>
      </c>
      <c r="F3988" t="s">
        <v>28</v>
      </c>
      <c r="G3988">
        <v>8.9</v>
      </c>
      <c r="H3988">
        <v>4.0999999999999996</v>
      </c>
      <c r="I3988" t="str" cm="1">
        <f t="array" ref="I3988">_xlfn.IFS(G3988&lt;3, "0–2 Years", G3988&lt;6, "3–5 Years", G3988&lt;9, "6–8 Years", G3988&lt;12, "9-11 Years", G3988&gt;=12, "12-14 Years")</f>
        <v>6–8 Years</v>
      </c>
      <c r="J3988">
        <v>4</v>
      </c>
      <c r="K3988" t="s">
        <v>69</v>
      </c>
      <c r="L3988">
        <v>62200</v>
      </c>
      <c r="M3988">
        <v>3200</v>
      </c>
      <c r="N3988">
        <v>65400</v>
      </c>
      <c r="O3988" t="s">
        <v>25</v>
      </c>
      <c r="P3988" s="3">
        <v>42755</v>
      </c>
      <c r="Q3988" t="s">
        <v>28</v>
      </c>
    </row>
    <row r="3989" spans="1:17" x14ac:dyDescent="0.35">
      <c r="A3989" t="s">
        <v>4041</v>
      </c>
      <c r="B3989" t="s">
        <v>16</v>
      </c>
      <c r="C3989">
        <v>32</v>
      </c>
      <c r="D3989" t="s">
        <v>44</v>
      </c>
      <c r="E3989" t="s">
        <v>51</v>
      </c>
      <c r="F3989" t="s">
        <v>28</v>
      </c>
      <c r="G3989">
        <v>9.1</v>
      </c>
      <c r="H3989">
        <v>4.4000000000000004</v>
      </c>
      <c r="I3989" t="str" cm="1">
        <f t="array" ref="I3989">_xlfn.IFS(G3989&lt;3, "0–2 Years", G3989&lt;6, "3–5 Years", G3989&lt;9, "6–8 Years", G3989&lt;12, "9-11 Years", G3989&gt;=12, "12-14 Years")</f>
        <v>9-11 Years</v>
      </c>
      <c r="J3989">
        <v>4</v>
      </c>
      <c r="K3989" t="s">
        <v>20</v>
      </c>
      <c r="L3989">
        <v>81700</v>
      </c>
      <c r="M3989">
        <v>7300</v>
      </c>
      <c r="N3989">
        <v>89000</v>
      </c>
      <c r="O3989" t="s">
        <v>30</v>
      </c>
      <c r="P3989" s="3">
        <v>42685</v>
      </c>
      <c r="Q3989" t="s">
        <v>28</v>
      </c>
    </row>
    <row r="3990" spans="1:17" x14ac:dyDescent="0.35">
      <c r="A3990" t="s">
        <v>4042</v>
      </c>
      <c r="B3990" t="s">
        <v>23</v>
      </c>
      <c r="C3990">
        <v>39</v>
      </c>
      <c r="D3990" t="s">
        <v>17</v>
      </c>
      <c r="E3990" t="s">
        <v>32</v>
      </c>
      <c r="F3990" t="s">
        <v>28</v>
      </c>
      <c r="G3990">
        <v>2.6</v>
      </c>
      <c r="H3990">
        <v>1.3</v>
      </c>
      <c r="I3990" t="str" cm="1">
        <f t="array" ref="I3990">_xlfn.IFS(G3990&lt;3, "0–2 Years", G3990&lt;6, "3–5 Years", G3990&lt;9, "6–8 Years", G3990&lt;12, "9-11 Years", G3990&gt;=12, "12-14 Years")</f>
        <v>0–2 Years</v>
      </c>
      <c r="J3990">
        <v>4</v>
      </c>
      <c r="K3990" t="s">
        <v>20</v>
      </c>
      <c r="L3990">
        <v>69300</v>
      </c>
      <c r="M3990">
        <v>5600</v>
      </c>
      <c r="N3990">
        <v>74900</v>
      </c>
      <c r="O3990" t="s">
        <v>21</v>
      </c>
      <c r="P3990" s="3">
        <v>45057</v>
      </c>
      <c r="Q3990" t="s">
        <v>28</v>
      </c>
    </row>
    <row r="3991" spans="1:17" x14ac:dyDescent="0.35">
      <c r="A3991" t="s">
        <v>4043</v>
      </c>
      <c r="B3991" t="s">
        <v>23</v>
      </c>
      <c r="C3991">
        <v>36</v>
      </c>
      <c r="D3991" t="s">
        <v>41</v>
      </c>
      <c r="E3991" t="s">
        <v>42</v>
      </c>
      <c r="F3991" t="s">
        <v>28</v>
      </c>
      <c r="G3991">
        <v>8.4</v>
      </c>
      <c r="H3991">
        <v>3.8</v>
      </c>
      <c r="I3991" t="str" cm="1">
        <f t="array" ref="I3991">_xlfn.IFS(G3991&lt;3, "0–2 Years", G3991&lt;6, "3–5 Years", G3991&lt;9, "6–8 Years", G3991&lt;12, "9-11 Years", G3991&gt;=12, "12-14 Years")</f>
        <v>6–8 Years</v>
      </c>
      <c r="J3991">
        <v>4</v>
      </c>
      <c r="K3991" t="s">
        <v>69</v>
      </c>
      <c r="L3991">
        <v>63700</v>
      </c>
      <c r="M3991">
        <v>5500</v>
      </c>
      <c r="N3991">
        <v>69200</v>
      </c>
      <c r="O3991" t="s">
        <v>25</v>
      </c>
      <c r="P3991" s="3">
        <v>42953</v>
      </c>
      <c r="Q3991" t="s">
        <v>28</v>
      </c>
    </row>
    <row r="3992" spans="1:17" x14ac:dyDescent="0.35">
      <c r="A3992" t="s">
        <v>4044</v>
      </c>
      <c r="B3992" t="s">
        <v>23</v>
      </c>
      <c r="C3992">
        <v>29</v>
      </c>
      <c r="D3992" t="s">
        <v>44</v>
      </c>
      <c r="E3992" t="s">
        <v>81</v>
      </c>
      <c r="F3992" t="s">
        <v>36</v>
      </c>
      <c r="G3992">
        <v>3.1</v>
      </c>
      <c r="H3992">
        <v>2</v>
      </c>
      <c r="I3992" t="str" cm="1">
        <f t="array" ref="I3992">_xlfn.IFS(G3992&lt;3, "0–2 Years", G3992&lt;6, "3–5 Years", G3992&lt;9, "6–8 Years", G3992&lt;12, "9-11 Years", G3992&gt;=12, "12-14 Years")</f>
        <v>3–5 Years</v>
      </c>
      <c r="J3992">
        <v>3</v>
      </c>
      <c r="K3992" t="s">
        <v>20</v>
      </c>
      <c r="L3992">
        <v>105500</v>
      </c>
      <c r="M3992">
        <v>5600</v>
      </c>
      <c r="N3992">
        <v>111100</v>
      </c>
      <c r="O3992" t="s">
        <v>57</v>
      </c>
      <c r="P3992" s="3">
        <v>44875</v>
      </c>
      <c r="Q3992" t="s">
        <v>36</v>
      </c>
    </row>
    <row r="3993" spans="1:17" x14ac:dyDescent="0.35">
      <c r="A3993" t="s">
        <v>4045</v>
      </c>
      <c r="B3993" t="s">
        <v>23</v>
      </c>
      <c r="C3993">
        <v>39</v>
      </c>
      <c r="D3993" t="s">
        <v>44</v>
      </c>
      <c r="E3993" t="s">
        <v>81</v>
      </c>
      <c r="F3993" t="s">
        <v>28</v>
      </c>
      <c r="G3993">
        <v>4.2</v>
      </c>
      <c r="H3993">
        <v>2.5</v>
      </c>
      <c r="I3993" t="str" cm="1">
        <f t="array" ref="I3993">_xlfn.IFS(G3993&lt;3, "0–2 Years", G3993&lt;6, "3–5 Years", G3993&lt;9, "6–8 Years", G3993&lt;12, "9-11 Years", G3993&gt;=12, "12-14 Years")</f>
        <v>3–5 Years</v>
      </c>
      <c r="J3993">
        <v>4</v>
      </c>
      <c r="K3993" t="s">
        <v>20</v>
      </c>
      <c r="L3993">
        <v>89100</v>
      </c>
      <c r="M3993">
        <v>4600</v>
      </c>
      <c r="N3993">
        <v>93700</v>
      </c>
      <c r="O3993" t="s">
        <v>30</v>
      </c>
      <c r="P3993" s="3">
        <v>44476</v>
      </c>
      <c r="Q3993" t="s">
        <v>28</v>
      </c>
    </row>
    <row r="3994" spans="1:17" x14ac:dyDescent="0.35">
      <c r="A3994" t="s">
        <v>4046</v>
      </c>
      <c r="B3994" t="s">
        <v>16</v>
      </c>
      <c r="C3994">
        <v>34</v>
      </c>
      <c r="D3994" t="s">
        <v>55</v>
      </c>
      <c r="E3994" t="s">
        <v>56</v>
      </c>
      <c r="F3994" t="s">
        <v>28</v>
      </c>
      <c r="G3994">
        <v>8.4</v>
      </c>
      <c r="H3994">
        <v>4.7</v>
      </c>
      <c r="I3994" t="str" cm="1">
        <f t="array" ref="I3994">_xlfn.IFS(G3994&lt;3, "0–2 Years", G3994&lt;6, "3–5 Years", G3994&lt;9, "6–8 Years", G3994&lt;12, "9-11 Years", G3994&gt;=12, "12-14 Years")</f>
        <v>6–8 Years</v>
      </c>
      <c r="J3994">
        <v>3</v>
      </c>
      <c r="K3994" t="s">
        <v>20</v>
      </c>
      <c r="L3994">
        <v>89700</v>
      </c>
      <c r="M3994">
        <v>16000</v>
      </c>
      <c r="N3994">
        <v>105700</v>
      </c>
      <c r="O3994" t="s">
        <v>30</v>
      </c>
      <c r="P3994" s="3">
        <v>42962</v>
      </c>
      <c r="Q3994" t="s">
        <v>28</v>
      </c>
    </row>
    <row r="3995" spans="1:17" x14ac:dyDescent="0.35">
      <c r="A3995" t="s">
        <v>4047</v>
      </c>
      <c r="B3995" t="s">
        <v>23</v>
      </c>
      <c r="C3995" s="7">
        <v>37</v>
      </c>
      <c r="D3995" t="s">
        <v>38</v>
      </c>
      <c r="E3995" t="s">
        <v>112</v>
      </c>
      <c r="F3995" t="s">
        <v>28</v>
      </c>
      <c r="G3995" s="9">
        <v>14</v>
      </c>
      <c r="H3995" s="7">
        <v>8.5</v>
      </c>
      <c r="I3995" t="str" cm="1">
        <f t="array" ref="I3995">_xlfn.IFS(G3995&lt;3, "0–2 Years", G3995&lt;6, "3–5 Years", G3995&lt;9, "6–8 Years", G3995&lt;12, "9-11 Years", G3995&gt;=12, "12-14 Years")</f>
        <v>12-14 Years</v>
      </c>
      <c r="J3995" s="7">
        <v>3</v>
      </c>
      <c r="K3995" t="s">
        <v>20</v>
      </c>
      <c r="L3995" s="7">
        <v>90100</v>
      </c>
      <c r="M3995" s="7">
        <v>7300</v>
      </c>
      <c r="N3995" s="7">
        <v>97400</v>
      </c>
      <c r="O3995" t="s">
        <v>30</v>
      </c>
      <c r="P3995" s="3">
        <v>40927</v>
      </c>
      <c r="Q3995" t="s">
        <v>28</v>
      </c>
    </row>
    <row r="3996" spans="1:17" x14ac:dyDescent="0.35">
      <c r="A3996" t="s">
        <v>4048</v>
      </c>
      <c r="B3996" t="s">
        <v>16</v>
      </c>
      <c r="C3996">
        <v>32</v>
      </c>
      <c r="D3996" t="s">
        <v>41</v>
      </c>
      <c r="E3996" t="s">
        <v>67</v>
      </c>
      <c r="F3996" t="s">
        <v>19</v>
      </c>
      <c r="G3996">
        <v>1.4</v>
      </c>
      <c r="H3996">
        <v>0.4</v>
      </c>
      <c r="I3996" t="str" cm="1">
        <f t="array" ref="I3996">_xlfn.IFS(G3996&lt;3, "0–2 Years", G3996&lt;6, "3–5 Years", G3996&lt;9, "6–8 Years", G3996&lt;12, "9-11 Years", G3996&gt;=12, "12-14 Years")</f>
        <v>0–2 Years</v>
      </c>
      <c r="J3996">
        <v>3</v>
      </c>
      <c r="K3996" t="s">
        <v>20</v>
      </c>
      <c r="L3996">
        <v>57600</v>
      </c>
      <c r="M3996">
        <v>4900</v>
      </c>
      <c r="N3996">
        <v>62500</v>
      </c>
      <c r="O3996" t="s">
        <v>25</v>
      </c>
      <c r="P3996" s="3">
        <v>45502</v>
      </c>
      <c r="Q3996" t="s">
        <v>19</v>
      </c>
    </row>
    <row r="3997" spans="1:17" x14ac:dyDescent="0.35">
      <c r="A3997" t="s">
        <v>4049</v>
      </c>
      <c r="B3997" t="s">
        <v>16</v>
      </c>
      <c r="C3997">
        <v>29</v>
      </c>
      <c r="D3997" t="s">
        <v>55</v>
      </c>
      <c r="E3997" t="s">
        <v>92</v>
      </c>
      <c r="F3997" t="s">
        <v>36</v>
      </c>
      <c r="G3997">
        <v>6.8</v>
      </c>
      <c r="H3997">
        <v>1.6</v>
      </c>
      <c r="I3997" t="str" cm="1">
        <f t="array" ref="I3997">_xlfn.IFS(G3997&lt;3, "0–2 Years", G3997&lt;6, "3–5 Years", G3997&lt;9, "6–8 Years", G3997&lt;12, "9-11 Years", G3997&gt;=12, "12-14 Years")</f>
        <v>6–8 Years</v>
      </c>
      <c r="J3997">
        <v>3</v>
      </c>
      <c r="K3997" t="s">
        <v>20</v>
      </c>
      <c r="L3997">
        <v>118300</v>
      </c>
      <c r="M3997">
        <v>18400</v>
      </c>
      <c r="N3997">
        <v>136700</v>
      </c>
      <c r="O3997" t="s">
        <v>57</v>
      </c>
      <c r="P3997" s="3">
        <v>43539</v>
      </c>
      <c r="Q3997" t="s">
        <v>36</v>
      </c>
    </row>
    <row r="3998" spans="1:17" x14ac:dyDescent="0.35">
      <c r="A3998" t="s">
        <v>4050</v>
      </c>
      <c r="B3998" t="s">
        <v>23</v>
      </c>
      <c r="C3998" s="7">
        <v>33</v>
      </c>
      <c r="D3998" t="s">
        <v>44</v>
      </c>
      <c r="E3998" t="s">
        <v>51</v>
      </c>
      <c r="F3998" t="s">
        <v>28</v>
      </c>
      <c r="G3998" s="9">
        <v>12.7</v>
      </c>
      <c r="H3998" s="7">
        <v>8.5</v>
      </c>
      <c r="I3998" t="str" cm="1">
        <f t="array" ref="I3998">_xlfn.IFS(G3998&lt;3, "0–2 Years", G3998&lt;6, "3–5 Years", G3998&lt;9, "6–8 Years", G3998&lt;12, "9-11 Years", G3998&gt;=12, "12-14 Years")</f>
        <v>12-14 Years</v>
      </c>
      <c r="J3998" s="7">
        <v>3</v>
      </c>
      <c r="K3998" t="s">
        <v>69</v>
      </c>
      <c r="L3998" s="7">
        <v>75900</v>
      </c>
      <c r="M3998" s="7">
        <v>6700</v>
      </c>
      <c r="N3998" s="7">
        <v>82600</v>
      </c>
      <c r="O3998" t="s">
        <v>21</v>
      </c>
      <c r="P3998" s="3">
        <v>41393</v>
      </c>
      <c r="Q3998" t="s">
        <v>28</v>
      </c>
    </row>
    <row r="3999" spans="1:17" x14ac:dyDescent="0.35">
      <c r="A3999" t="s">
        <v>4051</v>
      </c>
      <c r="B3999" t="s">
        <v>23</v>
      </c>
      <c r="C3999">
        <v>46</v>
      </c>
      <c r="D3999" t="s">
        <v>41</v>
      </c>
      <c r="E3999" t="s">
        <v>67</v>
      </c>
      <c r="F3999" t="s">
        <v>36</v>
      </c>
      <c r="G3999">
        <v>9.1999999999999993</v>
      </c>
      <c r="H3999">
        <v>6.2</v>
      </c>
      <c r="I3999" t="str" cm="1">
        <f t="array" ref="I3999">_xlfn.IFS(G3999&lt;3, "0–2 Years", G3999&lt;6, "3–5 Years", G3999&lt;9, "6–8 Years", G3999&lt;12, "9-11 Years", G3999&gt;=12, "12-14 Years")</f>
        <v>9-11 Years</v>
      </c>
      <c r="J3999">
        <v>4</v>
      </c>
      <c r="K3999" t="s">
        <v>20</v>
      </c>
      <c r="L3999">
        <v>82300</v>
      </c>
      <c r="M3999">
        <v>4700</v>
      </c>
      <c r="N3999">
        <v>87000</v>
      </c>
      <c r="O3999" t="s">
        <v>30</v>
      </c>
      <c r="P3999" s="3">
        <v>42673</v>
      </c>
      <c r="Q3999" t="s">
        <v>36</v>
      </c>
    </row>
    <row r="4000" spans="1:17" x14ac:dyDescent="0.35">
      <c r="A4000" t="s">
        <v>4052</v>
      </c>
      <c r="B4000" t="s">
        <v>23</v>
      </c>
      <c r="C4000">
        <v>37</v>
      </c>
      <c r="D4000" t="s">
        <v>55</v>
      </c>
      <c r="E4000" t="s">
        <v>56</v>
      </c>
      <c r="F4000" t="s">
        <v>36</v>
      </c>
      <c r="G4000">
        <v>8.1</v>
      </c>
      <c r="H4000">
        <v>6.2</v>
      </c>
      <c r="I4000" t="str" cm="1">
        <f t="array" ref="I4000">_xlfn.IFS(G4000&lt;3, "0–2 Years", G4000&lt;6, "3–5 Years", G4000&lt;9, "6–8 Years", G4000&lt;12, "9-11 Years", G4000&gt;=12, "12-14 Years")</f>
        <v>6–8 Years</v>
      </c>
      <c r="J4000">
        <v>3</v>
      </c>
      <c r="K4000" t="s">
        <v>24</v>
      </c>
      <c r="L4000">
        <v>68000</v>
      </c>
      <c r="M4000">
        <v>5500</v>
      </c>
      <c r="N4000">
        <v>73500</v>
      </c>
      <c r="O4000" t="s">
        <v>21</v>
      </c>
      <c r="P4000" s="3">
        <v>43047</v>
      </c>
      <c r="Q4000" t="s">
        <v>36</v>
      </c>
    </row>
    <row r="4001" spans="1:17" x14ac:dyDescent="0.35">
      <c r="A4001" t="s">
        <v>4053</v>
      </c>
      <c r="B4001" t="s">
        <v>23</v>
      </c>
      <c r="C4001">
        <v>37</v>
      </c>
      <c r="D4001" t="s">
        <v>55</v>
      </c>
      <c r="E4001" t="s">
        <v>92</v>
      </c>
      <c r="F4001" t="s">
        <v>36</v>
      </c>
      <c r="G4001">
        <v>7.4</v>
      </c>
      <c r="H4001">
        <v>6.9</v>
      </c>
      <c r="I4001" t="str" cm="1">
        <f t="array" ref="I4001">_xlfn.IFS(G4001&lt;3, "0–2 Years", G4001&lt;6, "3–5 Years", G4001&lt;9, "6–8 Years", G4001&lt;12, "9-11 Years", G4001&gt;=12, "12-14 Years")</f>
        <v>6–8 Years</v>
      </c>
      <c r="J4001">
        <v>3</v>
      </c>
      <c r="K4001" t="s">
        <v>20</v>
      </c>
      <c r="L4001">
        <v>115500</v>
      </c>
      <c r="M4001">
        <v>20500</v>
      </c>
      <c r="N4001">
        <v>136000</v>
      </c>
      <c r="O4001" t="s">
        <v>57</v>
      </c>
      <c r="P4001" s="3">
        <v>43307</v>
      </c>
      <c r="Q4001" t="s">
        <v>36</v>
      </c>
    </row>
    <row r="4002" spans="1:17" x14ac:dyDescent="0.35">
      <c r="A4002" t="s">
        <v>4054</v>
      </c>
      <c r="B4002" t="s">
        <v>16</v>
      </c>
      <c r="C4002">
        <v>51</v>
      </c>
      <c r="D4002" t="s">
        <v>38</v>
      </c>
      <c r="E4002" t="s">
        <v>112</v>
      </c>
      <c r="F4002" t="s">
        <v>28</v>
      </c>
      <c r="G4002">
        <v>6.5</v>
      </c>
      <c r="H4002">
        <v>4.0999999999999996</v>
      </c>
      <c r="I4002" t="str" cm="1">
        <f t="array" ref="I4002">_xlfn.IFS(G4002&lt;3, "0–2 Years", G4002&lt;6, "3–5 Years", G4002&lt;9, "6–8 Years", G4002&lt;12, "9-11 Years", G4002&gt;=12, "12-14 Years")</f>
        <v>6–8 Years</v>
      </c>
      <c r="J4002">
        <v>4</v>
      </c>
      <c r="K4002" t="s">
        <v>20</v>
      </c>
      <c r="L4002">
        <v>86000</v>
      </c>
      <c r="M4002">
        <v>7500</v>
      </c>
      <c r="N4002">
        <v>93500</v>
      </c>
      <c r="O4002" t="s">
        <v>30</v>
      </c>
      <c r="P4002" s="3">
        <v>43664</v>
      </c>
      <c r="Q4002" t="s">
        <v>28</v>
      </c>
    </row>
    <row r="4003" spans="1:17" x14ac:dyDescent="0.35">
      <c r="A4003" t="s">
        <v>4055</v>
      </c>
      <c r="B4003" t="s">
        <v>23</v>
      </c>
      <c r="C4003">
        <v>32</v>
      </c>
      <c r="D4003" t="s">
        <v>34</v>
      </c>
      <c r="E4003" t="s">
        <v>35</v>
      </c>
      <c r="F4003" t="s">
        <v>36</v>
      </c>
      <c r="G4003">
        <v>1.2</v>
      </c>
      <c r="H4003">
        <v>1.2</v>
      </c>
      <c r="I4003" t="str" cm="1">
        <f t="array" ref="I4003">_xlfn.IFS(G4003&lt;3, "0–2 Years", G4003&lt;6, "3–5 Years", G4003&lt;9, "6–8 Years", G4003&lt;12, "9-11 Years", G4003&gt;=12, "12-14 Years")</f>
        <v>0–2 Years</v>
      </c>
      <c r="J4003">
        <v>3</v>
      </c>
      <c r="K4003" t="s">
        <v>20</v>
      </c>
      <c r="L4003">
        <v>74500</v>
      </c>
      <c r="M4003">
        <v>8100</v>
      </c>
      <c r="N4003">
        <v>82600</v>
      </c>
      <c r="O4003" t="s">
        <v>21</v>
      </c>
      <c r="P4003" s="3">
        <v>45584</v>
      </c>
      <c r="Q4003" t="s">
        <v>36</v>
      </c>
    </row>
    <row r="4004" spans="1:17" x14ac:dyDescent="0.35">
      <c r="A4004" t="s">
        <v>4056</v>
      </c>
      <c r="B4004" t="s">
        <v>16</v>
      </c>
      <c r="C4004" s="7">
        <v>39</v>
      </c>
      <c r="D4004" t="s">
        <v>17</v>
      </c>
      <c r="E4004" t="s">
        <v>32</v>
      </c>
      <c r="F4004" t="s">
        <v>28</v>
      </c>
      <c r="G4004" s="9">
        <v>13.8</v>
      </c>
      <c r="H4004" s="7">
        <v>7.3</v>
      </c>
      <c r="I4004" t="str" cm="1">
        <f t="array" ref="I4004">_xlfn.IFS(G4004&lt;3, "0–2 Years", G4004&lt;6, "3–5 Years", G4004&lt;9, "6–8 Years", G4004&lt;12, "9-11 Years", G4004&gt;=12, "12-14 Years")</f>
        <v>12-14 Years</v>
      </c>
      <c r="J4004" s="7">
        <v>2</v>
      </c>
      <c r="K4004" t="s">
        <v>24</v>
      </c>
      <c r="L4004" s="7">
        <v>41100</v>
      </c>
      <c r="M4004" s="7">
        <v>2200</v>
      </c>
      <c r="N4004" s="7">
        <v>43300</v>
      </c>
      <c r="O4004" t="s">
        <v>65</v>
      </c>
      <c r="P4004" s="3">
        <v>40974</v>
      </c>
      <c r="Q4004" t="s">
        <v>28</v>
      </c>
    </row>
    <row r="4005" spans="1:17" x14ac:dyDescent="0.35">
      <c r="A4005" t="s">
        <v>4057</v>
      </c>
      <c r="B4005" t="s">
        <v>23</v>
      </c>
      <c r="C4005">
        <v>21</v>
      </c>
      <c r="D4005" t="s">
        <v>55</v>
      </c>
      <c r="E4005" t="s">
        <v>92</v>
      </c>
      <c r="F4005" t="s">
        <v>36</v>
      </c>
      <c r="G4005">
        <v>1.7</v>
      </c>
      <c r="H4005">
        <v>1.7</v>
      </c>
      <c r="I4005" t="str" cm="1">
        <f t="array" ref="I4005">_xlfn.IFS(G4005&lt;3, "0–2 Years", G4005&lt;6, "3–5 Years", G4005&lt;9, "6–8 Years", G4005&lt;12, "9-11 Years", G4005&gt;=12, "12-14 Years")</f>
        <v>0–2 Years</v>
      </c>
      <c r="J4005">
        <v>3</v>
      </c>
      <c r="K4005" t="s">
        <v>20</v>
      </c>
      <c r="L4005">
        <v>87100</v>
      </c>
      <c r="M4005">
        <v>11300</v>
      </c>
      <c r="N4005">
        <v>98400</v>
      </c>
      <c r="O4005" t="s">
        <v>30</v>
      </c>
      <c r="P4005" s="3">
        <v>45404</v>
      </c>
      <c r="Q4005" t="s">
        <v>36</v>
      </c>
    </row>
    <row r="4006" spans="1:17" x14ac:dyDescent="0.35">
      <c r="A4006" t="s">
        <v>4058</v>
      </c>
      <c r="B4006" t="s">
        <v>23</v>
      </c>
      <c r="C4006">
        <v>34</v>
      </c>
      <c r="D4006" t="s">
        <v>55</v>
      </c>
      <c r="E4006" t="s">
        <v>79</v>
      </c>
      <c r="F4006" t="s">
        <v>28</v>
      </c>
      <c r="G4006">
        <v>5.0999999999999996</v>
      </c>
      <c r="H4006">
        <v>4.2</v>
      </c>
      <c r="I4006" t="str" cm="1">
        <f t="array" ref="I4006">_xlfn.IFS(G4006&lt;3, "0–2 Years", G4006&lt;6, "3–5 Years", G4006&lt;9, "6–8 Years", G4006&lt;12, "9-11 Years", G4006&gt;=12, "12-14 Years")</f>
        <v>3–5 Years</v>
      </c>
      <c r="J4006">
        <v>4</v>
      </c>
      <c r="K4006" t="s">
        <v>20</v>
      </c>
      <c r="L4006">
        <v>65100</v>
      </c>
      <c r="M4006">
        <v>12000</v>
      </c>
      <c r="N4006">
        <v>77100</v>
      </c>
      <c r="O4006" t="s">
        <v>21</v>
      </c>
      <c r="P4006" s="3">
        <v>44164</v>
      </c>
      <c r="Q4006" t="s">
        <v>28</v>
      </c>
    </row>
    <row r="4007" spans="1:17" x14ac:dyDescent="0.35">
      <c r="A4007" t="s">
        <v>4059</v>
      </c>
      <c r="B4007" t="s">
        <v>16</v>
      </c>
      <c r="C4007">
        <v>40</v>
      </c>
      <c r="D4007" t="s">
        <v>44</v>
      </c>
      <c r="E4007" t="s">
        <v>81</v>
      </c>
      <c r="F4007" t="s">
        <v>19</v>
      </c>
      <c r="G4007">
        <v>4.5999999999999996</v>
      </c>
      <c r="H4007">
        <v>1.7</v>
      </c>
      <c r="I4007" t="str" cm="1">
        <f t="array" ref="I4007">_xlfn.IFS(G4007&lt;3, "0–2 Years", G4007&lt;6, "3–5 Years", G4007&lt;9, "6–8 Years", G4007&lt;12, "9-11 Years", G4007&gt;=12, "12-14 Years")</f>
        <v>3–5 Years</v>
      </c>
      <c r="J4007">
        <v>4</v>
      </c>
      <c r="K4007" t="s">
        <v>20</v>
      </c>
      <c r="L4007">
        <v>107200</v>
      </c>
      <c r="M4007">
        <v>14900</v>
      </c>
      <c r="N4007">
        <v>122100</v>
      </c>
      <c r="O4007" t="s">
        <v>57</v>
      </c>
      <c r="P4007" s="3">
        <v>44340</v>
      </c>
      <c r="Q4007" t="s">
        <v>19</v>
      </c>
    </row>
    <row r="4008" spans="1:17" x14ac:dyDescent="0.35">
      <c r="A4008" t="s">
        <v>4060</v>
      </c>
      <c r="B4008" t="s">
        <v>16</v>
      </c>
      <c r="C4008">
        <v>45</v>
      </c>
      <c r="D4008" t="s">
        <v>55</v>
      </c>
      <c r="E4008" t="s">
        <v>56</v>
      </c>
      <c r="F4008" t="s">
        <v>28</v>
      </c>
      <c r="G4008">
        <v>2.7</v>
      </c>
      <c r="H4008">
        <v>0</v>
      </c>
      <c r="I4008" t="str" cm="1">
        <f t="array" ref="I4008">_xlfn.IFS(G4008&lt;3, "0–2 Years", G4008&lt;6, "3–5 Years", G4008&lt;9, "6–8 Years", G4008&lt;12, "9-11 Years", G4008&gt;=12, "12-14 Years")</f>
        <v>0–2 Years</v>
      </c>
      <c r="J4008">
        <v>4</v>
      </c>
      <c r="K4008" t="s">
        <v>20</v>
      </c>
      <c r="L4008">
        <v>105400</v>
      </c>
      <c r="M4008">
        <v>8300</v>
      </c>
      <c r="N4008">
        <v>113700</v>
      </c>
      <c r="O4008" t="s">
        <v>57</v>
      </c>
      <c r="P4008" s="3">
        <v>45020</v>
      </c>
      <c r="Q4008" t="s">
        <v>28</v>
      </c>
    </row>
    <row r="4009" spans="1:17" x14ac:dyDescent="0.35">
      <c r="A4009" t="s">
        <v>4061</v>
      </c>
      <c r="B4009" t="s">
        <v>23</v>
      </c>
      <c r="C4009">
        <v>35</v>
      </c>
      <c r="D4009" t="s">
        <v>34</v>
      </c>
      <c r="E4009" t="s">
        <v>35</v>
      </c>
      <c r="F4009" t="s">
        <v>28</v>
      </c>
      <c r="G4009">
        <v>1.9</v>
      </c>
      <c r="H4009">
        <v>1.9</v>
      </c>
      <c r="I4009" t="str" cm="1">
        <f t="array" ref="I4009">_xlfn.IFS(G4009&lt;3, "0–2 Years", G4009&lt;6, "3–5 Years", G4009&lt;9, "6–8 Years", G4009&lt;12, "9-11 Years", G4009&gt;=12, "12-14 Years")</f>
        <v>0–2 Years</v>
      </c>
      <c r="J4009">
        <v>4</v>
      </c>
      <c r="K4009" t="s">
        <v>20</v>
      </c>
      <c r="L4009">
        <v>79400</v>
      </c>
      <c r="M4009">
        <v>4300</v>
      </c>
      <c r="N4009">
        <v>83700</v>
      </c>
      <c r="O4009" t="s">
        <v>21</v>
      </c>
      <c r="P4009" s="3">
        <v>45340</v>
      </c>
      <c r="Q4009" t="s">
        <v>28</v>
      </c>
    </row>
    <row r="4010" spans="1:17" x14ac:dyDescent="0.35">
      <c r="A4010" t="s">
        <v>4062</v>
      </c>
      <c r="B4010" t="s">
        <v>16</v>
      </c>
      <c r="C4010">
        <v>25</v>
      </c>
      <c r="D4010" t="s">
        <v>41</v>
      </c>
      <c r="E4010" t="s">
        <v>73</v>
      </c>
      <c r="F4010" t="s">
        <v>36</v>
      </c>
      <c r="G4010">
        <v>8.8000000000000007</v>
      </c>
      <c r="H4010">
        <v>3.4</v>
      </c>
      <c r="I4010" t="str" cm="1">
        <f t="array" ref="I4010">_xlfn.IFS(G4010&lt;3, "0–2 Years", G4010&lt;6, "3–5 Years", G4010&lt;9, "6–8 Years", G4010&lt;12, "9-11 Years", G4010&gt;=12, "12-14 Years")</f>
        <v>6–8 Years</v>
      </c>
      <c r="J4010">
        <v>3</v>
      </c>
      <c r="K4010" t="s">
        <v>20</v>
      </c>
      <c r="L4010">
        <v>101300</v>
      </c>
      <c r="M4010">
        <v>6400</v>
      </c>
      <c r="N4010">
        <v>107700</v>
      </c>
      <c r="O4010" t="s">
        <v>57</v>
      </c>
      <c r="P4010" s="3">
        <v>42814</v>
      </c>
      <c r="Q4010" t="s">
        <v>36</v>
      </c>
    </row>
    <row r="4011" spans="1:17" x14ac:dyDescent="0.35">
      <c r="A4011" t="s">
        <v>4063</v>
      </c>
      <c r="B4011" t="s">
        <v>16</v>
      </c>
      <c r="C4011">
        <v>37</v>
      </c>
      <c r="D4011" t="s">
        <v>34</v>
      </c>
      <c r="E4011" t="s">
        <v>35</v>
      </c>
      <c r="F4011" t="s">
        <v>28</v>
      </c>
      <c r="G4011">
        <v>4.3</v>
      </c>
      <c r="H4011">
        <v>3.2</v>
      </c>
      <c r="I4011" t="str" cm="1">
        <f t="array" ref="I4011">_xlfn.IFS(G4011&lt;3, "0–2 Years", G4011&lt;6, "3–5 Years", G4011&lt;9, "6–8 Years", G4011&lt;12, "9-11 Years", G4011&gt;=12, "12-14 Years")</f>
        <v>3–5 Years</v>
      </c>
      <c r="J4011">
        <v>5</v>
      </c>
      <c r="K4011" t="s">
        <v>20</v>
      </c>
      <c r="L4011">
        <v>75200</v>
      </c>
      <c r="M4011">
        <v>5900</v>
      </c>
      <c r="N4011">
        <v>81100</v>
      </c>
      <c r="O4011" t="s">
        <v>21</v>
      </c>
      <c r="P4011" s="3">
        <v>44467</v>
      </c>
      <c r="Q4011" t="s">
        <v>28</v>
      </c>
    </row>
    <row r="4012" spans="1:17" x14ac:dyDescent="0.35">
      <c r="A4012" t="s">
        <v>4064</v>
      </c>
      <c r="B4012" t="s">
        <v>16</v>
      </c>
      <c r="C4012" s="7">
        <v>40</v>
      </c>
      <c r="D4012" t="s">
        <v>41</v>
      </c>
      <c r="E4012" t="s">
        <v>67</v>
      </c>
      <c r="F4012" t="s">
        <v>28</v>
      </c>
      <c r="G4012" s="9">
        <v>14</v>
      </c>
      <c r="H4012" s="7">
        <v>9.5</v>
      </c>
      <c r="I4012" t="str" cm="1">
        <f t="array" ref="I4012">_xlfn.IFS(G4012&lt;3, "0–2 Years", G4012&lt;6, "3–5 Years", G4012&lt;9, "6–8 Years", G4012&lt;12, "9-11 Years", G4012&gt;=12, "12-14 Years")</f>
        <v>12-14 Years</v>
      </c>
      <c r="J4012" s="7">
        <v>3</v>
      </c>
      <c r="K4012" t="s">
        <v>20</v>
      </c>
      <c r="L4012" s="7">
        <v>74100</v>
      </c>
      <c r="M4012" s="7">
        <v>5900</v>
      </c>
      <c r="N4012" s="7">
        <v>80000</v>
      </c>
      <c r="O4012" t="s">
        <v>21</v>
      </c>
      <c r="P4012" s="3">
        <v>40925</v>
      </c>
      <c r="Q4012" t="s">
        <v>28</v>
      </c>
    </row>
    <row r="4013" spans="1:17" x14ac:dyDescent="0.35">
      <c r="A4013" t="s">
        <v>4065</v>
      </c>
      <c r="B4013" t="s">
        <v>23</v>
      </c>
      <c r="C4013">
        <v>39</v>
      </c>
      <c r="D4013" t="s">
        <v>44</v>
      </c>
      <c r="E4013" t="s">
        <v>76</v>
      </c>
      <c r="F4013" t="s">
        <v>28</v>
      </c>
      <c r="G4013">
        <v>6.1</v>
      </c>
      <c r="H4013">
        <v>2.4</v>
      </c>
      <c r="I4013" t="str" cm="1">
        <f t="array" ref="I4013">_xlfn.IFS(G4013&lt;3, "0–2 Years", G4013&lt;6, "3–5 Years", G4013&lt;9, "6–8 Years", G4013&lt;12, "9-11 Years", G4013&gt;=12, "12-14 Years")</f>
        <v>6–8 Years</v>
      </c>
      <c r="J4013">
        <v>3</v>
      </c>
      <c r="K4013" t="s">
        <v>24</v>
      </c>
      <c r="L4013">
        <v>73100</v>
      </c>
      <c r="M4013">
        <v>7300</v>
      </c>
      <c r="N4013">
        <v>80400</v>
      </c>
      <c r="O4013" t="s">
        <v>21</v>
      </c>
      <c r="P4013" s="3">
        <v>43795</v>
      </c>
      <c r="Q4013" t="s">
        <v>28</v>
      </c>
    </row>
    <row r="4014" spans="1:17" x14ac:dyDescent="0.35">
      <c r="A4014" t="s">
        <v>4066</v>
      </c>
      <c r="B4014" t="s">
        <v>16</v>
      </c>
      <c r="C4014">
        <v>34</v>
      </c>
      <c r="D4014" t="s">
        <v>34</v>
      </c>
      <c r="E4014" t="s">
        <v>35</v>
      </c>
      <c r="F4014" t="s">
        <v>36</v>
      </c>
      <c r="G4014">
        <v>3.6</v>
      </c>
      <c r="H4014">
        <v>0.3</v>
      </c>
      <c r="I4014" t="str" cm="1">
        <f t="array" ref="I4014">_xlfn.IFS(G4014&lt;3, "0–2 Years", G4014&lt;6, "3–5 Years", G4014&lt;9, "6–8 Years", G4014&lt;12, "9-11 Years", G4014&gt;=12, "12-14 Years")</f>
        <v>3–5 Years</v>
      </c>
      <c r="J4014">
        <v>3</v>
      </c>
      <c r="K4014" t="s">
        <v>20</v>
      </c>
      <c r="L4014">
        <v>86600</v>
      </c>
      <c r="M4014">
        <v>4100</v>
      </c>
      <c r="N4014">
        <v>90700</v>
      </c>
      <c r="O4014" t="s">
        <v>30</v>
      </c>
      <c r="P4014" s="3">
        <v>44702</v>
      </c>
      <c r="Q4014" t="s">
        <v>36</v>
      </c>
    </row>
    <row r="4015" spans="1:17" x14ac:dyDescent="0.35">
      <c r="A4015" t="s">
        <v>4067</v>
      </c>
      <c r="B4015" t="s">
        <v>16</v>
      </c>
      <c r="C4015">
        <v>45</v>
      </c>
      <c r="D4015" t="s">
        <v>34</v>
      </c>
      <c r="E4015" t="s">
        <v>59</v>
      </c>
      <c r="F4015" t="s">
        <v>62</v>
      </c>
      <c r="G4015">
        <v>7.4</v>
      </c>
      <c r="H4015">
        <v>6.8</v>
      </c>
      <c r="I4015" t="str" cm="1">
        <f t="array" ref="I4015">_xlfn.IFS(G4015&lt;3, "0–2 Years", G4015&lt;6, "3–5 Years", G4015&lt;9, "6–8 Years", G4015&lt;12, "9-11 Years", G4015&gt;=12, "12-14 Years")</f>
        <v>6–8 Years</v>
      </c>
      <c r="J4015">
        <v>4</v>
      </c>
      <c r="K4015" t="s">
        <v>24</v>
      </c>
      <c r="L4015">
        <v>64800</v>
      </c>
      <c r="M4015">
        <v>2700</v>
      </c>
      <c r="N4015">
        <v>67500</v>
      </c>
      <c r="O4015" t="s">
        <v>25</v>
      </c>
      <c r="P4015" s="3">
        <v>43318</v>
      </c>
      <c r="Q4015" t="s">
        <v>62</v>
      </c>
    </row>
    <row r="4016" spans="1:17" x14ac:dyDescent="0.35">
      <c r="A4016" t="s">
        <v>4068</v>
      </c>
      <c r="B4016" t="s">
        <v>16</v>
      </c>
      <c r="C4016">
        <v>39</v>
      </c>
      <c r="D4016" t="s">
        <v>41</v>
      </c>
      <c r="E4016" t="s">
        <v>67</v>
      </c>
      <c r="F4016" t="s">
        <v>28</v>
      </c>
      <c r="G4016">
        <v>7.6</v>
      </c>
      <c r="H4016">
        <v>5.0999999999999996</v>
      </c>
      <c r="I4016" t="str" cm="1">
        <f t="array" ref="I4016">_xlfn.IFS(G4016&lt;3, "0–2 Years", G4016&lt;6, "3–5 Years", G4016&lt;9, "6–8 Years", G4016&lt;12, "9-11 Years", G4016&gt;=12, "12-14 Years")</f>
        <v>6–8 Years</v>
      </c>
      <c r="J4016">
        <v>4</v>
      </c>
      <c r="K4016" t="s">
        <v>24</v>
      </c>
      <c r="L4016">
        <v>45400</v>
      </c>
      <c r="M4016">
        <v>1700</v>
      </c>
      <c r="N4016">
        <v>47100</v>
      </c>
      <c r="O4016" t="s">
        <v>65</v>
      </c>
      <c r="P4016" s="3">
        <v>43230</v>
      </c>
      <c r="Q4016" t="s">
        <v>28</v>
      </c>
    </row>
    <row r="4017" spans="1:17" x14ac:dyDescent="0.35">
      <c r="A4017" t="s">
        <v>4069</v>
      </c>
      <c r="B4017" t="s">
        <v>23</v>
      </c>
      <c r="C4017">
        <v>41</v>
      </c>
      <c r="D4017" t="s">
        <v>17</v>
      </c>
      <c r="E4017" t="s">
        <v>32</v>
      </c>
      <c r="F4017" t="s">
        <v>62</v>
      </c>
      <c r="G4017">
        <v>8.6</v>
      </c>
      <c r="H4017">
        <v>6.2</v>
      </c>
      <c r="I4017" t="str" cm="1">
        <f t="array" ref="I4017">_xlfn.IFS(G4017&lt;3, "0–2 Years", G4017&lt;6, "3–5 Years", G4017&lt;9, "6–8 Years", G4017&lt;12, "9-11 Years", G4017&gt;=12, "12-14 Years")</f>
        <v>6–8 Years</v>
      </c>
      <c r="J4017">
        <v>4</v>
      </c>
      <c r="K4017" t="s">
        <v>20</v>
      </c>
      <c r="L4017">
        <v>75900</v>
      </c>
      <c r="M4017">
        <v>8100</v>
      </c>
      <c r="N4017">
        <v>84000</v>
      </c>
      <c r="O4017" t="s">
        <v>21</v>
      </c>
      <c r="P4017" s="3">
        <v>42883</v>
      </c>
      <c r="Q4017" t="s">
        <v>62</v>
      </c>
    </row>
    <row r="4018" spans="1:17" x14ac:dyDescent="0.35">
      <c r="A4018" t="s">
        <v>4070</v>
      </c>
      <c r="B4018" t="s">
        <v>16</v>
      </c>
      <c r="C4018">
        <v>25</v>
      </c>
      <c r="D4018" t="s">
        <v>38</v>
      </c>
      <c r="E4018" t="s">
        <v>39</v>
      </c>
      <c r="F4018" t="s">
        <v>36</v>
      </c>
      <c r="G4018">
        <v>5.2</v>
      </c>
      <c r="H4018">
        <v>4.0999999999999996</v>
      </c>
      <c r="I4018" t="str" cm="1">
        <f t="array" ref="I4018">_xlfn.IFS(G4018&lt;3, "0–2 Years", G4018&lt;6, "3–5 Years", G4018&lt;9, "6–8 Years", G4018&lt;12, "9-11 Years", G4018&gt;=12, "12-14 Years")</f>
        <v>3–5 Years</v>
      </c>
      <c r="J4018">
        <v>3</v>
      </c>
      <c r="K4018" t="s">
        <v>24</v>
      </c>
      <c r="L4018">
        <v>53000</v>
      </c>
      <c r="M4018">
        <v>3400</v>
      </c>
      <c r="N4018">
        <v>56400</v>
      </c>
      <c r="O4018" t="s">
        <v>25</v>
      </c>
      <c r="P4018" s="3">
        <v>44129</v>
      </c>
      <c r="Q4018" t="s">
        <v>36</v>
      </c>
    </row>
    <row r="4019" spans="1:17" x14ac:dyDescent="0.35">
      <c r="A4019" t="s">
        <v>4071</v>
      </c>
      <c r="B4019" t="s">
        <v>23</v>
      </c>
      <c r="C4019">
        <v>36</v>
      </c>
      <c r="D4019" t="s">
        <v>34</v>
      </c>
      <c r="E4019" t="s">
        <v>35</v>
      </c>
      <c r="F4019" t="s">
        <v>62</v>
      </c>
      <c r="G4019">
        <v>7.4</v>
      </c>
      <c r="H4019">
        <v>7.4</v>
      </c>
      <c r="I4019" t="str" cm="1">
        <f t="array" ref="I4019">_xlfn.IFS(G4019&lt;3, "0–2 Years", G4019&lt;6, "3–5 Years", G4019&lt;9, "6–8 Years", G4019&lt;12, "9-11 Years", G4019&gt;=12, "12-14 Years")</f>
        <v>6–8 Years</v>
      </c>
      <c r="J4019">
        <v>3</v>
      </c>
      <c r="K4019" t="s">
        <v>20</v>
      </c>
      <c r="L4019">
        <v>84800</v>
      </c>
      <c r="M4019">
        <v>4300</v>
      </c>
      <c r="N4019">
        <v>89100</v>
      </c>
      <c r="O4019" t="s">
        <v>30</v>
      </c>
      <c r="P4019" s="3">
        <v>43307</v>
      </c>
      <c r="Q4019" t="s">
        <v>62</v>
      </c>
    </row>
    <row r="4020" spans="1:17" x14ac:dyDescent="0.35">
      <c r="A4020" t="s">
        <v>4072</v>
      </c>
      <c r="B4020" t="s">
        <v>16</v>
      </c>
      <c r="C4020">
        <v>24</v>
      </c>
      <c r="D4020" t="s">
        <v>17</v>
      </c>
      <c r="E4020" t="s">
        <v>18</v>
      </c>
      <c r="F4020" t="s">
        <v>62</v>
      </c>
      <c r="G4020">
        <v>3.6</v>
      </c>
      <c r="H4020">
        <v>3.6</v>
      </c>
      <c r="I4020" t="str" cm="1">
        <f t="array" ref="I4020">_xlfn.IFS(G4020&lt;3, "0–2 Years", G4020&lt;6, "3–5 Years", G4020&lt;9, "6–8 Years", G4020&lt;12, "9-11 Years", G4020&gt;=12, "12-14 Years")</f>
        <v>3–5 Years</v>
      </c>
      <c r="J4020">
        <v>2</v>
      </c>
      <c r="K4020" t="s">
        <v>20</v>
      </c>
      <c r="L4020">
        <v>100600</v>
      </c>
      <c r="M4020">
        <v>7000</v>
      </c>
      <c r="N4020">
        <v>107600</v>
      </c>
      <c r="O4020" t="s">
        <v>57</v>
      </c>
      <c r="P4020" s="3">
        <v>44693</v>
      </c>
      <c r="Q4020" t="s">
        <v>62</v>
      </c>
    </row>
    <row r="4021" spans="1:17" x14ac:dyDescent="0.35">
      <c r="A4021" t="s">
        <v>4073</v>
      </c>
      <c r="B4021" t="s">
        <v>23</v>
      </c>
      <c r="C4021">
        <v>35</v>
      </c>
      <c r="D4021" t="s">
        <v>44</v>
      </c>
      <c r="E4021" t="s">
        <v>45</v>
      </c>
      <c r="F4021" t="s">
        <v>28</v>
      </c>
      <c r="G4021">
        <v>8.1</v>
      </c>
      <c r="H4021">
        <v>3.7</v>
      </c>
      <c r="I4021" t="str" cm="1">
        <f t="array" ref="I4021">_xlfn.IFS(G4021&lt;3, "0–2 Years", G4021&lt;6, "3–5 Years", G4021&lt;9, "6–8 Years", G4021&lt;12, "9-11 Years", G4021&gt;=12, "12-14 Years")</f>
        <v>6–8 Years</v>
      </c>
      <c r="J4021">
        <v>3</v>
      </c>
      <c r="K4021" t="s">
        <v>20</v>
      </c>
      <c r="L4021">
        <v>83900</v>
      </c>
      <c r="M4021">
        <v>4300</v>
      </c>
      <c r="N4021">
        <v>88200</v>
      </c>
      <c r="O4021" t="s">
        <v>30</v>
      </c>
      <c r="P4021" s="3">
        <v>43054</v>
      </c>
      <c r="Q4021" t="s">
        <v>28</v>
      </c>
    </row>
    <row r="4022" spans="1:17" x14ac:dyDescent="0.35">
      <c r="A4022" t="s">
        <v>4074</v>
      </c>
      <c r="B4022" t="s">
        <v>23</v>
      </c>
      <c r="C4022">
        <v>38</v>
      </c>
      <c r="D4022" t="s">
        <v>55</v>
      </c>
      <c r="E4022" t="s">
        <v>79</v>
      </c>
      <c r="F4022" t="s">
        <v>28</v>
      </c>
      <c r="G4022">
        <v>5.4</v>
      </c>
      <c r="H4022">
        <v>4.3</v>
      </c>
      <c r="I4022" t="str" cm="1">
        <f t="array" ref="I4022">_xlfn.IFS(G4022&lt;3, "0–2 Years", G4022&lt;6, "3–5 Years", G4022&lt;9, "6–8 Years", G4022&lt;12, "9-11 Years", G4022&gt;=12, "12-14 Years")</f>
        <v>3–5 Years</v>
      </c>
      <c r="J4022">
        <v>3</v>
      </c>
      <c r="K4022" t="s">
        <v>20</v>
      </c>
      <c r="L4022">
        <v>60300</v>
      </c>
      <c r="M4022">
        <v>12600</v>
      </c>
      <c r="N4022">
        <v>72900</v>
      </c>
      <c r="O4022" t="s">
        <v>25</v>
      </c>
      <c r="P4022" s="3">
        <v>44044</v>
      </c>
      <c r="Q4022" t="s">
        <v>28</v>
      </c>
    </row>
    <row r="4023" spans="1:17" x14ac:dyDescent="0.35">
      <c r="A4023" t="s">
        <v>4075</v>
      </c>
      <c r="B4023" t="s">
        <v>16</v>
      </c>
      <c r="C4023">
        <v>36</v>
      </c>
      <c r="D4023" t="s">
        <v>17</v>
      </c>
      <c r="E4023" t="s">
        <v>18</v>
      </c>
      <c r="F4023" t="s">
        <v>62</v>
      </c>
      <c r="G4023">
        <v>4.8</v>
      </c>
      <c r="H4023">
        <v>1.8</v>
      </c>
      <c r="I4023" t="str" cm="1">
        <f t="array" ref="I4023">_xlfn.IFS(G4023&lt;3, "0–2 Years", G4023&lt;6, "3–5 Years", G4023&lt;9, "6–8 Years", G4023&lt;12, "9-11 Years", G4023&gt;=12, "12-14 Years")</f>
        <v>3–5 Years</v>
      </c>
      <c r="J4023">
        <v>3</v>
      </c>
      <c r="K4023" t="s">
        <v>20</v>
      </c>
      <c r="L4023">
        <v>104600</v>
      </c>
      <c r="M4023">
        <v>8400</v>
      </c>
      <c r="N4023">
        <v>113000</v>
      </c>
      <c r="O4023" t="s">
        <v>57</v>
      </c>
      <c r="P4023" s="3">
        <v>44283</v>
      </c>
      <c r="Q4023" t="s">
        <v>62</v>
      </c>
    </row>
    <row r="4024" spans="1:17" x14ac:dyDescent="0.35">
      <c r="A4024" t="s">
        <v>4076</v>
      </c>
      <c r="B4024" t="s">
        <v>16</v>
      </c>
      <c r="C4024">
        <v>49</v>
      </c>
      <c r="D4024" t="s">
        <v>44</v>
      </c>
      <c r="E4024" t="s">
        <v>76</v>
      </c>
      <c r="F4024" t="s">
        <v>36</v>
      </c>
      <c r="G4024">
        <v>5.9</v>
      </c>
      <c r="H4024">
        <v>5.6</v>
      </c>
      <c r="I4024" t="str" cm="1">
        <f t="array" ref="I4024">_xlfn.IFS(G4024&lt;3, "0–2 Years", G4024&lt;6, "3–5 Years", G4024&lt;9, "6–8 Years", G4024&lt;12, "9-11 Years", G4024&gt;=12, "12-14 Years")</f>
        <v>3–5 Years</v>
      </c>
      <c r="J4024">
        <v>3</v>
      </c>
      <c r="K4024" t="s">
        <v>20</v>
      </c>
      <c r="L4024">
        <v>117300</v>
      </c>
      <c r="M4024">
        <v>11000</v>
      </c>
      <c r="N4024">
        <v>128300</v>
      </c>
      <c r="O4024" t="s">
        <v>57</v>
      </c>
      <c r="P4024" s="3">
        <v>43871</v>
      </c>
      <c r="Q4024" t="s">
        <v>36</v>
      </c>
    </row>
    <row r="4025" spans="1:17" x14ac:dyDescent="0.35">
      <c r="A4025" t="s">
        <v>4077</v>
      </c>
      <c r="B4025" t="s">
        <v>16</v>
      </c>
      <c r="C4025">
        <v>23</v>
      </c>
      <c r="D4025" t="s">
        <v>44</v>
      </c>
      <c r="E4025" t="s">
        <v>45</v>
      </c>
      <c r="F4025" t="s">
        <v>28</v>
      </c>
      <c r="G4025">
        <v>5.2</v>
      </c>
      <c r="H4025">
        <v>3.5</v>
      </c>
      <c r="I4025" t="str" cm="1">
        <f t="array" ref="I4025">_xlfn.IFS(G4025&lt;3, "0–2 Years", G4025&lt;6, "3–5 Years", G4025&lt;9, "6–8 Years", G4025&lt;12, "9-11 Years", G4025&gt;=12, "12-14 Years")</f>
        <v>3–5 Years</v>
      </c>
      <c r="J4025">
        <v>2</v>
      </c>
      <c r="K4025" t="s">
        <v>20</v>
      </c>
      <c r="L4025">
        <v>76900</v>
      </c>
      <c r="M4025">
        <v>11500</v>
      </c>
      <c r="N4025">
        <v>88400</v>
      </c>
      <c r="O4025" t="s">
        <v>21</v>
      </c>
      <c r="P4025" s="3">
        <v>44141</v>
      </c>
      <c r="Q4025" t="s">
        <v>28</v>
      </c>
    </row>
    <row r="4026" spans="1:17" x14ac:dyDescent="0.35">
      <c r="A4026" t="s">
        <v>4078</v>
      </c>
      <c r="B4026" t="s">
        <v>23</v>
      </c>
      <c r="C4026">
        <v>34</v>
      </c>
      <c r="D4026" t="s">
        <v>44</v>
      </c>
      <c r="E4026" t="s">
        <v>45</v>
      </c>
      <c r="F4026" t="s">
        <v>36</v>
      </c>
      <c r="G4026">
        <v>1.8</v>
      </c>
      <c r="H4026">
        <v>0.9</v>
      </c>
      <c r="I4026" t="str" cm="1">
        <f t="array" ref="I4026">_xlfn.IFS(G4026&lt;3, "0–2 Years", G4026&lt;6, "3–5 Years", G4026&lt;9, "6–8 Years", G4026&lt;12, "9-11 Years", G4026&gt;=12, "12-14 Years")</f>
        <v>0–2 Years</v>
      </c>
      <c r="J4026">
        <v>3</v>
      </c>
      <c r="K4026" t="s">
        <v>20</v>
      </c>
      <c r="L4026">
        <v>68200</v>
      </c>
      <c r="M4026">
        <v>8100</v>
      </c>
      <c r="N4026">
        <v>76300</v>
      </c>
      <c r="O4026" t="s">
        <v>21</v>
      </c>
      <c r="P4026" s="3">
        <v>45358</v>
      </c>
      <c r="Q4026" t="s">
        <v>36</v>
      </c>
    </row>
    <row r="4027" spans="1:17" x14ac:dyDescent="0.35">
      <c r="A4027" t="s">
        <v>4079</v>
      </c>
      <c r="B4027" t="s">
        <v>16</v>
      </c>
      <c r="C4027">
        <v>22</v>
      </c>
      <c r="D4027" t="s">
        <v>44</v>
      </c>
      <c r="E4027" t="s">
        <v>81</v>
      </c>
      <c r="F4027" t="s">
        <v>28</v>
      </c>
      <c r="G4027">
        <v>8</v>
      </c>
      <c r="H4027">
        <v>4.5</v>
      </c>
      <c r="I4027" t="str" cm="1">
        <f t="array" ref="I4027">_xlfn.IFS(G4027&lt;3, "0–2 Years", G4027&lt;6, "3–5 Years", G4027&lt;9, "6–8 Years", G4027&lt;12, "9-11 Years", G4027&gt;=12, "12-14 Years")</f>
        <v>6–8 Years</v>
      </c>
      <c r="J4027">
        <v>3</v>
      </c>
      <c r="K4027" t="s">
        <v>20</v>
      </c>
      <c r="L4027">
        <v>95500</v>
      </c>
      <c r="M4027">
        <v>7300</v>
      </c>
      <c r="N4027">
        <v>102800</v>
      </c>
      <c r="O4027" t="s">
        <v>30</v>
      </c>
      <c r="P4027" s="3">
        <v>43105</v>
      </c>
      <c r="Q4027" t="s">
        <v>28</v>
      </c>
    </row>
    <row r="4028" spans="1:17" x14ac:dyDescent="0.35">
      <c r="A4028" t="s">
        <v>4080</v>
      </c>
      <c r="B4028" t="s">
        <v>23</v>
      </c>
      <c r="C4028">
        <v>50</v>
      </c>
      <c r="D4028" t="s">
        <v>55</v>
      </c>
      <c r="E4028" t="s">
        <v>79</v>
      </c>
      <c r="F4028" t="s">
        <v>36</v>
      </c>
      <c r="G4028">
        <v>8.5</v>
      </c>
      <c r="H4028">
        <v>8.5</v>
      </c>
      <c r="I4028" t="str" cm="1">
        <f t="array" ref="I4028">_xlfn.IFS(G4028&lt;3, "0–2 Years", G4028&lt;6, "3–5 Years", G4028&lt;9, "6–8 Years", G4028&lt;12, "9-11 Years", G4028&gt;=12, "12-14 Years")</f>
        <v>6–8 Years</v>
      </c>
      <c r="J4028">
        <v>3</v>
      </c>
      <c r="K4028" t="s">
        <v>20</v>
      </c>
      <c r="L4028">
        <v>79300</v>
      </c>
      <c r="M4028">
        <v>7100</v>
      </c>
      <c r="N4028">
        <v>86400</v>
      </c>
      <c r="O4028" t="s">
        <v>21</v>
      </c>
      <c r="P4028" s="3">
        <v>42920</v>
      </c>
      <c r="Q4028" t="s">
        <v>36</v>
      </c>
    </row>
    <row r="4029" spans="1:17" x14ac:dyDescent="0.35">
      <c r="A4029" t="s">
        <v>4081</v>
      </c>
      <c r="B4029" t="s">
        <v>16</v>
      </c>
      <c r="C4029">
        <v>31</v>
      </c>
      <c r="D4029" t="s">
        <v>44</v>
      </c>
      <c r="E4029" t="s">
        <v>81</v>
      </c>
      <c r="F4029" t="s">
        <v>28</v>
      </c>
      <c r="G4029">
        <v>2.6</v>
      </c>
      <c r="H4029">
        <v>2.6</v>
      </c>
      <c r="I4029" t="str" cm="1">
        <f t="array" ref="I4029">_xlfn.IFS(G4029&lt;3, "0–2 Years", G4029&lt;6, "3–5 Years", G4029&lt;9, "6–8 Years", G4029&lt;12, "9-11 Years", G4029&gt;=12, "12-14 Years")</f>
        <v>0–2 Years</v>
      </c>
      <c r="J4029">
        <v>4</v>
      </c>
      <c r="K4029" t="s">
        <v>20</v>
      </c>
      <c r="L4029">
        <v>87700</v>
      </c>
      <c r="M4029">
        <v>8000</v>
      </c>
      <c r="N4029">
        <v>95700</v>
      </c>
      <c r="O4029" t="s">
        <v>30</v>
      </c>
      <c r="P4029" s="3">
        <v>45071</v>
      </c>
      <c r="Q4029" t="s">
        <v>28</v>
      </c>
    </row>
    <row r="4030" spans="1:17" x14ac:dyDescent="0.35">
      <c r="A4030" t="s">
        <v>4082</v>
      </c>
      <c r="B4030" t="s">
        <v>16</v>
      </c>
      <c r="C4030">
        <v>37</v>
      </c>
      <c r="D4030" t="s">
        <v>34</v>
      </c>
      <c r="E4030" t="s">
        <v>59</v>
      </c>
      <c r="F4030" t="s">
        <v>28</v>
      </c>
      <c r="G4030">
        <v>7.9</v>
      </c>
      <c r="H4030">
        <v>7.4</v>
      </c>
      <c r="I4030" t="str" cm="1">
        <f t="array" ref="I4030">_xlfn.IFS(G4030&lt;3, "0–2 Years", G4030&lt;6, "3–5 Years", G4030&lt;9, "6–8 Years", G4030&lt;12, "9-11 Years", G4030&gt;=12, "12-14 Years")</f>
        <v>6–8 Years</v>
      </c>
      <c r="J4030">
        <v>2</v>
      </c>
      <c r="K4030" t="s">
        <v>20</v>
      </c>
      <c r="L4030">
        <v>95900</v>
      </c>
      <c r="M4030">
        <v>5100</v>
      </c>
      <c r="N4030">
        <v>101000</v>
      </c>
      <c r="O4030" t="s">
        <v>30</v>
      </c>
      <c r="P4030" s="3">
        <v>43131</v>
      </c>
      <c r="Q4030" t="s">
        <v>28</v>
      </c>
    </row>
    <row r="4031" spans="1:17" x14ac:dyDescent="0.35">
      <c r="A4031" t="s">
        <v>4083</v>
      </c>
      <c r="B4031" t="s">
        <v>23</v>
      </c>
      <c r="C4031" s="7">
        <v>37</v>
      </c>
      <c r="D4031" t="s">
        <v>44</v>
      </c>
      <c r="E4031" t="s">
        <v>45</v>
      </c>
      <c r="F4031" t="s">
        <v>62</v>
      </c>
      <c r="G4031" s="9">
        <v>13.9</v>
      </c>
      <c r="H4031" s="7">
        <v>10.1</v>
      </c>
      <c r="I4031" t="str" cm="1">
        <f t="array" ref="I4031">_xlfn.IFS(G4031&lt;3, "0–2 Years", G4031&lt;6, "3–5 Years", G4031&lt;9, "6–8 Years", G4031&lt;12, "9-11 Years", G4031&gt;=12, "12-14 Years")</f>
        <v>12-14 Years</v>
      </c>
      <c r="J4031" s="7">
        <v>4</v>
      </c>
      <c r="K4031" t="s">
        <v>20</v>
      </c>
      <c r="L4031" s="7">
        <v>91900</v>
      </c>
      <c r="M4031" s="7">
        <v>12500</v>
      </c>
      <c r="N4031" s="7">
        <v>104400</v>
      </c>
      <c r="O4031" t="s">
        <v>30</v>
      </c>
      <c r="P4031" s="3">
        <v>40935</v>
      </c>
      <c r="Q4031" t="s">
        <v>62</v>
      </c>
    </row>
    <row r="4032" spans="1:17" x14ac:dyDescent="0.35">
      <c r="A4032" t="s">
        <v>4084</v>
      </c>
      <c r="B4032" t="s">
        <v>16</v>
      </c>
      <c r="C4032">
        <v>23</v>
      </c>
      <c r="D4032" t="s">
        <v>41</v>
      </c>
      <c r="E4032" t="s">
        <v>67</v>
      </c>
      <c r="F4032" t="s">
        <v>36</v>
      </c>
      <c r="G4032">
        <v>10.1</v>
      </c>
      <c r="H4032">
        <v>6.3</v>
      </c>
      <c r="I4032" t="str" cm="1">
        <f t="array" ref="I4032">_xlfn.IFS(G4032&lt;3, "0–2 Years", G4032&lt;6, "3–5 Years", G4032&lt;9, "6–8 Years", G4032&lt;12, "9-11 Years", G4032&gt;=12, "12-14 Years")</f>
        <v>9-11 Years</v>
      </c>
      <c r="J4032">
        <v>4</v>
      </c>
      <c r="K4032" t="s">
        <v>20</v>
      </c>
      <c r="L4032">
        <v>78000</v>
      </c>
      <c r="M4032">
        <v>3000</v>
      </c>
      <c r="N4032">
        <v>81000</v>
      </c>
      <c r="O4032" t="s">
        <v>21</v>
      </c>
      <c r="P4032" s="3">
        <v>42326</v>
      </c>
      <c r="Q4032" t="s">
        <v>36</v>
      </c>
    </row>
    <row r="4033" spans="1:17" x14ac:dyDescent="0.35">
      <c r="A4033" t="s">
        <v>4085</v>
      </c>
      <c r="B4033" t="s">
        <v>23</v>
      </c>
      <c r="C4033">
        <v>31</v>
      </c>
      <c r="D4033" t="s">
        <v>41</v>
      </c>
      <c r="E4033" t="s">
        <v>67</v>
      </c>
      <c r="F4033" t="s">
        <v>28</v>
      </c>
      <c r="G4033">
        <v>3.7</v>
      </c>
      <c r="H4033">
        <v>2.2000000000000002</v>
      </c>
      <c r="I4033" t="str" cm="1">
        <f t="array" ref="I4033">_xlfn.IFS(G4033&lt;3, "0–2 Years", G4033&lt;6, "3–5 Years", G4033&lt;9, "6–8 Years", G4033&lt;12, "9-11 Years", G4033&gt;=12, "12-14 Years")</f>
        <v>3–5 Years</v>
      </c>
      <c r="J4033">
        <v>2</v>
      </c>
      <c r="K4033" t="s">
        <v>24</v>
      </c>
      <c r="L4033">
        <v>47800</v>
      </c>
      <c r="M4033">
        <v>2800</v>
      </c>
      <c r="N4033">
        <v>50600</v>
      </c>
      <c r="O4033" t="s">
        <v>65</v>
      </c>
      <c r="P4033" s="3">
        <v>44654</v>
      </c>
      <c r="Q4033" t="s">
        <v>28</v>
      </c>
    </row>
    <row r="4034" spans="1:17" x14ac:dyDescent="0.35">
      <c r="A4034" t="s">
        <v>4086</v>
      </c>
      <c r="B4034" t="s">
        <v>16</v>
      </c>
      <c r="C4034">
        <v>43</v>
      </c>
      <c r="D4034" t="s">
        <v>34</v>
      </c>
      <c r="E4034" t="s">
        <v>59</v>
      </c>
      <c r="F4034" t="s">
        <v>36</v>
      </c>
      <c r="G4034">
        <v>10.5</v>
      </c>
      <c r="H4034">
        <v>7</v>
      </c>
      <c r="I4034" t="str" cm="1">
        <f t="array" ref="I4034">_xlfn.IFS(G4034&lt;3, "0–2 Years", G4034&lt;6, "3–5 Years", G4034&lt;9, "6–8 Years", G4034&lt;12, "9-11 Years", G4034&gt;=12, "12-14 Years")</f>
        <v>9-11 Years</v>
      </c>
      <c r="J4034"/>
      <c r="K4034" t="s">
        <v>20</v>
      </c>
      <c r="L4034">
        <v>127200</v>
      </c>
      <c r="M4034">
        <v>14600</v>
      </c>
      <c r="N4034">
        <v>141800</v>
      </c>
      <c r="O4034" t="s">
        <v>57</v>
      </c>
      <c r="P4034" s="3">
        <v>42187</v>
      </c>
      <c r="Q4034" t="s">
        <v>36</v>
      </c>
    </row>
    <row r="4035" spans="1:17" x14ac:dyDescent="0.35">
      <c r="A4035" t="s">
        <v>4087</v>
      </c>
      <c r="B4035" t="s">
        <v>16</v>
      </c>
      <c r="C4035">
        <v>45</v>
      </c>
      <c r="D4035" t="s">
        <v>38</v>
      </c>
      <c r="E4035" t="s">
        <v>61</v>
      </c>
      <c r="F4035" t="s">
        <v>28</v>
      </c>
      <c r="G4035">
        <v>4.7</v>
      </c>
      <c r="H4035">
        <v>3.9</v>
      </c>
      <c r="I4035" t="str" cm="1">
        <f t="array" ref="I4035">_xlfn.IFS(G4035&lt;3, "0–2 Years", G4035&lt;6, "3–5 Years", G4035&lt;9, "6–8 Years", G4035&lt;12, "9-11 Years", G4035&gt;=12, "12-14 Years")</f>
        <v>3–5 Years</v>
      </c>
      <c r="J4035">
        <v>2</v>
      </c>
      <c r="K4035" t="s">
        <v>20</v>
      </c>
      <c r="L4035">
        <v>108600</v>
      </c>
      <c r="M4035">
        <v>5100</v>
      </c>
      <c r="N4035">
        <v>113700</v>
      </c>
      <c r="O4035" t="s">
        <v>57</v>
      </c>
      <c r="P4035" s="3">
        <v>44292</v>
      </c>
      <c r="Q4035" t="s">
        <v>28</v>
      </c>
    </row>
    <row r="4036" spans="1:17" x14ac:dyDescent="0.35">
      <c r="A4036" t="s">
        <v>4088</v>
      </c>
      <c r="B4036" t="s">
        <v>23</v>
      </c>
      <c r="C4036">
        <v>44</v>
      </c>
      <c r="D4036" t="s">
        <v>55</v>
      </c>
      <c r="E4036" t="s">
        <v>92</v>
      </c>
      <c r="F4036" t="s">
        <v>28</v>
      </c>
      <c r="G4036">
        <v>1.7</v>
      </c>
      <c r="H4036">
        <v>1.7</v>
      </c>
      <c r="I4036" t="str" cm="1">
        <f t="array" ref="I4036">_xlfn.IFS(G4036&lt;3, "0–2 Years", G4036&lt;6, "3–5 Years", G4036&lt;9, "6–8 Years", G4036&lt;12, "9-11 Years", G4036&gt;=12, "12-14 Years")</f>
        <v>0–2 Years</v>
      </c>
      <c r="J4036">
        <v>2</v>
      </c>
      <c r="K4036" t="s">
        <v>69</v>
      </c>
      <c r="L4036">
        <v>70800</v>
      </c>
      <c r="M4036">
        <v>9500</v>
      </c>
      <c r="N4036">
        <v>80300</v>
      </c>
      <c r="O4036" t="s">
        <v>21</v>
      </c>
      <c r="P4036" s="3">
        <v>45393</v>
      </c>
      <c r="Q4036" t="s">
        <v>28</v>
      </c>
    </row>
    <row r="4037" spans="1:17" x14ac:dyDescent="0.35">
      <c r="A4037" t="s">
        <v>4089</v>
      </c>
      <c r="B4037" t="s">
        <v>23</v>
      </c>
      <c r="C4037">
        <v>39</v>
      </c>
      <c r="D4037" t="s">
        <v>17</v>
      </c>
      <c r="E4037" t="s">
        <v>18</v>
      </c>
      <c r="F4037" t="s">
        <v>36</v>
      </c>
      <c r="G4037">
        <v>2.9</v>
      </c>
      <c r="H4037">
        <v>2.2999999999999998</v>
      </c>
      <c r="I4037" t="str" cm="1">
        <f t="array" ref="I4037">_xlfn.IFS(G4037&lt;3, "0–2 Years", G4037&lt;6, "3–5 Years", G4037&lt;9, "6–8 Years", G4037&lt;12, "9-11 Years", G4037&gt;=12, "12-14 Years")</f>
        <v>0–2 Years</v>
      </c>
      <c r="J4037">
        <v>4</v>
      </c>
      <c r="K4037" t="s">
        <v>20</v>
      </c>
      <c r="L4037">
        <v>91200</v>
      </c>
      <c r="M4037">
        <v>6700</v>
      </c>
      <c r="N4037">
        <v>97900</v>
      </c>
      <c r="O4037" t="s">
        <v>30</v>
      </c>
      <c r="P4037" s="3">
        <v>44958</v>
      </c>
      <c r="Q4037" t="s">
        <v>36</v>
      </c>
    </row>
    <row r="4038" spans="1:17" x14ac:dyDescent="0.35">
      <c r="A4038" t="s">
        <v>4090</v>
      </c>
      <c r="B4038" t="s">
        <v>16</v>
      </c>
      <c r="C4038">
        <v>33</v>
      </c>
      <c r="D4038" t="s">
        <v>17</v>
      </c>
      <c r="E4038" t="s">
        <v>18</v>
      </c>
      <c r="F4038" t="s">
        <v>36</v>
      </c>
      <c r="G4038">
        <v>10.8</v>
      </c>
      <c r="H4038">
        <v>7.1</v>
      </c>
      <c r="I4038" t="str" cm="1">
        <f t="array" ref="I4038">_xlfn.IFS(G4038&lt;3, "0–2 Years", G4038&lt;6, "3–5 Years", G4038&lt;9, "6–8 Years", G4038&lt;12, "9-11 Years", G4038&gt;=12, "12-14 Years")</f>
        <v>9-11 Years</v>
      </c>
      <c r="J4038">
        <v>4</v>
      </c>
      <c r="K4038" t="s">
        <v>24</v>
      </c>
      <c r="L4038">
        <v>65000</v>
      </c>
      <c r="M4038">
        <v>4900</v>
      </c>
      <c r="N4038">
        <v>69900</v>
      </c>
      <c r="O4038" t="s">
        <v>21</v>
      </c>
      <c r="P4038" s="3">
        <v>42088</v>
      </c>
      <c r="Q4038" t="s">
        <v>36</v>
      </c>
    </row>
    <row r="4039" spans="1:17" x14ac:dyDescent="0.35">
      <c r="A4039" t="s">
        <v>4091</v>
      </c>
      <c r="B4039" t="s">
        <v>16</v>
      </c>
      <c r="C4039" s="7">
        <v>29</v>
      </c>
      <c r="D4039" t="s">
        <v>38</v>
      </c>
      <c r="E4039" t="s">
        <v>112</v>
      </c>
      <c r="F4039" t="s">
        <v>36</v>
      </c>
      <c r="G4039" s="9">
        <v>12</v>
      </c>
      <c r="H4039" s="7">
        <v>9.3000000000000007</v>
      </c>
      <c r="I4039" t="str" cm="1">
        <f t="array" ref="I4039">_xlfn.IFS(G4039&lt;3, "0–2 Years", G4039&lt;6, "3–5 Years", G4039&lt;9, "6–8 Years", G4039&lt;12, "9-11 Years", G4039&gt;=12, "12-14 Years")</f>
        <v>12-14 Years</v>
      </c>
      <c r="J4039" s="7">
        <v>3</v>
      </c>
      <c r="K4039" t="s">
        <v>20</v>
      </c>
      <c r="L4039" s="7">
        <v>72000</v>
      </c>
      <c r="M4039" s="7">
        <v>5500</v>
      </c>
      <c r="N4039" s="7">
        <v>77500</v>
      </c>
      <c r="O4039" t="s">
        <v>21</v>
      </c>
      <c r="P4039" s="3">
        <v>41630</v>
      </c>
      <c r="Q4039" t="s">
        <v>36</v>
      </c>
    </row>
    <row r="4040" spans="1:17" x14ac:dyDescent="0.35">
      <c r="A4040" t="s">
        <v>4092</v>
      </c>
      <c r="B4040" t="s">
        <v>23</v>
      </c>
      <c r="C4040">
        <v>33</v>
      </c>
      <c r="D4040" t="s">
        <v>17</v>
      </c>
      <c r="E4040" t="s">
        <v>27</v>
      </c>
      <c r="F4040" t="s">
        <v>36</v>
      </c>
      <c r="G4040">
        <v>2</v>
      </c>
      <c r="H4040">
        <v>2</v>
      </c>
      <c r="I4040" t="str" cm="1">
        <f t="array" ref="I4040">_xlfn.IFS(G4040&lt;3, "0–2 Years", G4040&lt;6, "3–5 Years", G4040&lt;9, "6–8 Years", G4040&lt;12, "9-11 Years", G4040&gt;=12, "12-14 Years")</f>
        <v>0–2 Years</v>
      </c>
      <c r="J4040">
        <v>4</v>
      </c>
      <c r="K4040" t="s">
        <v>24</v>
      </c>
      <c r="L4040">
        <v>46800</v>
      </c>
      <c r="M4040">
        <v>6100</v>
      </c>
      <c r="N4040">
        <v>52900</v>
      </c>
      <c r="O4040" t="s">
        <v>65</v>
      </c>
      <c r="P4040" s="3">
        <v>45276</v>
      </c>
      <c r="Q4040" t="s">
        <v>36</v>
      </c>
    </row>
    <row r="4041" spans="1:17" x14ac:dyDescent="0.35">
      <c r="A4041" t="s">
        <v>4093</v>
      </c>
      <c r="B4041" t="s">
        <v>16</v>
      </c>
      <c r="C4041">
        <v>22</v>
      </c>
      <c r="D4041" t="s">
        <v>41</v>
      </c>
      <c r="E4041" t="s">
        <v>67</v>
      </c>
      <c r="F4041" t="s">
        <v>28</v>
      </c>
      <c r="G4041">
        <v>1.5</v>
      </c>
      <c r="H4041">
        <v>1</v>
      </c>
      <c r="I4041" t="str" cm="1">
        <f t="array" ref="I4041">_xlfn.IFS(G4041&lt;3, "0–2 Years", G4041&lt;6, "3–5 Years", G4041&lt;9, "6–8 Years", G4041&lt;12, "9-11 Years", G4041&gt;=12, "12-14 Years")</f>
        <v>0–2 Years</v>
      </c>
      <c r="J4041">
        <v>5</v>
      </c>
      <c r="K4041" t="s">
        <v>20</v>
      </c>
      <c r="L4041">
        <v>61100</v>
      </c>
      <c r="M4041">
        <v>3300</v>
      </c>
      <c r="N4041">
        <v>64400</v>
      </c>
      <c r="O4041" t="s">
        <v>25</v>
      </c>
      <c r="P4041" s="3">
        <v>45468</v>
      </c>
      <c r="Q4041" t="s">
        <v>28</v>
      </c>
    </row>
    <row r="4042" spans="1:17" x14ac:dyDescent="0.35">
      <c r="A4042" t="s">
        <v>4094</v>
      </c>
      <c r="B4042" t="s">
        <v>16</v>
      </c>
      <c r="C4042">
        <v>39</v>
      </c>
      <c r="D4042" t="s">
        <v>41</v>
      </c>
      <c r="E4042" t="s">
        <v>67</v>
      </c>
      <c r="F4042" t="s">
        <v>36</v>
      </c>
      <c r="G4042">
        <v>2.9</v>
      </c>
      <c r="H4042">
        <v>2.6</v>
      </c>
      <c r="I4042" t="str" cm="1">
        <f t="array" ref="I4042">_xlfn.IFS(G4042&lt;3, "0–2 Years", G4042&lt;6, "3–5 Years", G4042&lt;9, "6–8 Years", G4042&lt;12, "9-11 Years", G4042&gt;=12, "12-14 Years")</f>
        <v>0–2 Years</v>
      </c>
      <c r="J4042">
        <v>3</v>
      </c>
      <c r="K4042" t="s">
        <v>20</v>
      </c>
      <c r="L4042">
        <v>74400</v>
      </c>
      <c r="M4042">
        <v>5200</v>
      </c>
      <c r="N4042">
        <v>79600</v>
      </c>
      <c r="O4042" t="s">
        <v>21</v>
      </c>
      <c r="P4042" s="3">
        <v>44978</v>
      </c>
      <c r="Q4042" t="s">
        <v>36</v>
      </c>
    </row>
    <row r="4043" spans="1:17" x14ac:dyDescent="0.35">
      <c r="A4043" t="s">
        <v>4095</v>
      </c>
      <c r="B4043" t="s">
        <v>16</v>
      </c>
      <c r="C4043">
        <v>21</v>
      </c>
      <c r="D4043" t="s">
        <v>38</v>
      </c>
      <c r="E4043" t="s">
        <v>61</v>
      </c>
      <c r="F4043" t="s">
        <v>28</v>
      </c>
      <c r="G4043">
        <v>9</v>
      </c>
      <c r="H4043">
        <v>6.2</v>
      </c>
      <c r="I4043" t="str" cm="1">
        <f t="array" ref="I4043">_xlfn.IFS(G4043&lt;3, "0–2 Years", G4043&lt;6, "3–5 Years", G4043&lt;9, "6–8 Years", G4043&lt;12, "9-11 Years", G4043&gt;=12, "12-14 Years")</f>
        <v>9-11 Years</v>
      </c>
      <c r="J4043">
        <v>5</v>
      </c>
      <c r="K4043" t="s">
        <v>20</v>
      </c>
      <c r="L4043">
        <v>96100</v>
      </c>
      <c r="M4043">
        <v>7600</v>
      </c>
      <c r="N4043">
        <v>103700</v>
      </c>
      <c r="O4043" t="s">
        <v>30</v>
      </c>
      <c r="P4043" s="3">
        <v>42752</v>
      </c>
      <c r="Q4043" t="s">
        <v>28</v>
      </c>
    </row>
    <row r="4044" spans="1:17" x14ac:dyDescent="0.35">
      <c r="A4044" t="s">
        <v>4096</v>
      </c>
      <c r="B4044" t="s">
        <v>16</v>
      </c>
      <c r="C4044">
        <v>37</v>
      </c>
      <c r="D4044" t="s">
        <v>44</v>
      </c>
      <c r="E4044" t="s">
        <v>81</v>
      </c>
      <c r="F4044" t="s">
        <v>28</v>
      </c>
      <c r="G4044">
        <v>6.1</v>
      </c>
      <c r="H4044">
        <v>4.9000000000000004</v>
      </c>
      <c r="I4044" t="str" cm="1">
        <f t="array" ref="I4044">_xlfn.IFS(G4044&lt;3, "0–2 Years", G4044&lt;6, "3–5 Years", G4044&lt;9, "6–8 Years", G4044&lt;12, "9-11 Years", G4044&gt;=12, "12-14 Years")</f>
        <v>6–8 Years</v>
      </c>
      <c r="J4044">
        <v>2</v>
      </c>
      <c r="K4044" t="s">
        <v>20</v>
      </c>
      <c r="L4044">
        <v>92300</v>
      </c>
      <c r="M4044">
        <v>11400</v>
      </c>
      <c r="N4044">
        <v>103700</v>
      </c>
      <c r="O4044" t="s">
        <v>30</v>
      </c>
      <c r="P4044" s="3">
        <v>43800</v>
      </c>
      <c r="Q4044" t="s">
        <v>28</v>
      </c>
    </row>
    <row r="4045" spans="1:17" x14ac:dyDescent="0.35">
      <c r="A4045" t="s">
        <v>4097</v>
      </c>
      <c r="B4045" t="s">
        <v>23</v>
      </c>
      <c r="C4045">
        <v>43</v>
      </c>
      <c r="D4045" t="s">
        <v>44</v>
      </c>
      <c r="E4045" t="s">
        <v>81</v>
      </c>
      <c r="F4045" t="s">
        <v>28</v>
      </c>
      <c r="G4045">
        <v>3.7</v>
      </c>
      <c r="H4045">
        <v>2.9</v>
      </c>
      <c r="I4045" t="str" cm="1">
        <f t="array" ref="I4045">_xlfn.IFS(G4045&lt;3, "0–2 Years", G4045&lt;6, "3–5 Years", G4045&lt;9, "6–8 Years", G4045&lt;12, "9-11 Years", G4045&gt;=12, "12-14 Years")</f>
        <v>3–5 Years</v>
      </c>
      <c r="J4045">
        <v>4</v>
      </c>
      <c r="K4045" t="s">
        <v>24</v>
      </c>
      <c r="L4045">
        <v>60900</v>
      </c>
      <c r="M4045">
        <v>4100</v>
      </c>
      <c r="N4045">
        <v>65000</v>
      </c>
      <c r="O4045" t="s">
        <v>25</v>
      </c>
      <c r="P4045" s="3">
        <v>44675</v>
      </c>
      <c r="Q4045" t="s">
        <v>28</v>
      </c>
    </row>
    <row r="4046" spans="1:17" x14ac:dyDescent="0.35">
      <c r="A4046" t="s">
        <v>4098</v>
      </c>
      <c r="B4046" t="s">
        <v>16</v>
      </c>
      <c r="C4046" s="7">
        <v>25</v>
      </c>
      <c r="D4046" t="s">
        <v>55</v>
      </c>
      <c r="E4046" t="s">
        <v>92</v>
      </c>
      <c r="F4046" t="s">
        <v>28</v>
      </c>
      <c r="G4046" s="9">
        <v>12.7</v>
      </c>
      <c r="H4046" s="7">
        <v>8.6</v>
      </c>
      <c r="I4046" t="str" cm="1">
        <f t="array" ref="I4046">_xlfn.IFS(G4046&lt;3, "0–2 Years", G4046&lt;6, "3–5 Years", G4046&lt;9, "6–8 Years", G4046&lt;12, "9-11 Years", G4046&gt;=12, "12-14 Years")</f>
        <v>12-14 Years</v>
      </c>
      <c r="J4046" s="7">
        <v>3</v>
      </c>
      <c r="K4046" t="s">
        <v>20</v>
      </c>
      <c r="L4046" s="7">
        <v>113000</v>
      </c>
      <c r="M4046" s="7">
        <v>14300</v>
      </c>
      <c r="N4046" s="7">
        <v>127300</v>
      </c>
      <c r="O4046" t="s">
        <v>57</v>
      </c>
      <c r="P4046" s="3">
        <v>41378</v>
      </c>
      <c r="Q4046" t="s">
        <v>28</v>
      </c>
    </row>
    <row r="4047" spans="1:17" x14ac:dyDescent="0.35">
      <c r="A4047" t="s">
        <v>4099</v>
      </c>
      <c r="B4047" t="s">
        <v>23</v>
      </c>
      <c r="C4047" s="7">
        <v>21</v>
      </c>
      <c r="D4047" t="s">
        <v>44</v>
      </c>
      <c r="E4047" t="s">
        <v>51</v>
      </c>
      <c r="F4047" t="s">
        <v>28</v>
      </c>
      <c r="G4047" s="9">
        <v>13.2</v>
      </c>
      <c r="H4047" s="7">
        <v>7.6</v>
      </c>
      <c r="I4047" t="str" cm="1">
        <f t="array" ref="I4047">_xlfn.IFS(G4047&lt;3, "0–2 Years", G4047&lt;6, "3–5 Years", G4047&lt;9, "6–8 Years", G4047&lt;12, "9-11 Years", G4047&gt;=12, "12-14 Years")</f>
        <v>12-14 Years</v>
      </c>
      <c r="J4047" s="7">
        <v>3</v>
      </c>
      <c r="K4047" t="s">
        <v>20</v>
      </c>
      <c r="L4047" s="7">
        <v>96900</v>
      </c>
      <c r="M4047" s="7">
        <v>9300</v>
      </c>
      <c r="N4047" s="7">
        <v>106200</v>
      </c>
      <c r="O4047" t="s">
        <v>30</v>
      </c>
      <c r="P4047" s="3">
        <v>41210</v>
      </c>
      <c r="Q4047" t="s">
        <v>28</v>
      </c>
    </row>
    <row r="4048" spans="1:17" x14ac:dyDescent="0.35">
      <c r="A4048" t="s">
        <v>4100</v>
      </c>
      <c r="B4048" t="s">
        <v>23</v>
      </c>
      <c r="C4048">
        <v>33</v>
      </c>
      <c r="D4048" t="s">
        <v>17</v>
      </c>
      <c r="E4048" t="s">
        <v>18</v>
      </c>
      <c r="F4048" t="s">
        <v>36</v>
      </c>
      <c r="G4048">
        <v>5.2</v>
      </c>
      <c r="H4048">
        <v>3.8</v>
      </c>
      <c r="I4048" t="str" cm="1">
        <f t="array" ref="I4048">_xlfn.IFS(G4048&lt;3, "0–2 Years", G4048&lt;6, "3–5 Years", G4048&lt;9, "6–8 Years", G4048&lt;12, "9-11 Years", G4048&gt;=12, "12-14 Years")</f>
        <v>3–5 Years</v>
      </c>
      <c r="J4048">
        <v>3</v>
      </c>
      <c r="K4048" t="s">
        <v>20</v>
      </c>
      <c r="L4048">
        <v>94100</v>
      </c>
      <c r="M4048">
        <v>5300</v>
      </c>
      <c r="N4048">
        <v>99400</v>
      </c>
      <c r="O4048" t="s">
        <v>30</v>
      </c>
      <c r="P4048" s="3">
        <v>44119</v>
      </c>
      <c r="Q4048" t="s">
        <v>36</v>
      </c>
    </row>
    <row r="4049" spans="1:17" x14ac:dyDescent="0.35">
      <c r="A4049" t="s">
        <v>4101</v>
      </c>
      <c r="B4049" t="s">
        <v>16</v>
      </c>
      <c r="C4049">
        <v>31</v>
      </c>
      <c r="D4049" t="s">
        <v>38</v>
      </c>
      <c r="E4049" t="s">
        <v>112</v>
      </c>
      <c r="F4049" t="s">
        <v>28</v>
      </c>
      <c r="G4049">
        <v>3.1</v>
      </c>
      <c r="H4049">
        <v>1.3</v>
      </c>
      <c r="I4049" t="str" cm="1">
        <f t="array" ref="I4049">_xlfn.IFS(G4049&lt;3, "0–2 Years", G4049&lt;6, "3–5 Years", G4049&lt;9, "6–8 Years", G4049&lt;12, "9-11 Years", G4049&gt;=12, "12-14 Years")</f>
        <v>3–5 Years</v>
      </c>
      <c r="J4049">
        <v>3</v>
      </c>
      <c r="K4049" t="s">
        <v>20</v>
      </c>
      <c r="L4049">
        <v>64300</v>
      </c>
      <c r="M4049">
        <v>5200</v>
      </c>
      <c r="N4049">
        <v>69500</v>
      </c>
      <c r="O4049" t="s">
        <v>25</v>
      </c>
      <c r="P4049" s="3">
        <v>44886</v>
      </c>
      <c r="Q4049" t="s">
        <v>28</v>
      </c>
    </row>
    <row r="4050" spans="1:17" x14ac:dyDescent="0.35">
      <c r="A4050" t="s">
        <v>4102</v>
      </c>
      <c r="B4050" t="s">
        <v>16</v>
      </c>
      <c r="C4050">
        <v>26</v>
      </c>
      <c r="D4050" t="s">
        <v>34</v>
      </c>
      <c r="E4050" t="s">
        <v>35</v>
      </c>
      <c r="F4050" t="s">
        <v>36</v>
      </c>
      <c r="G4050">
        <v>5.0999999999999996</v>
      </c>
      <c r="H4050">
        <v>2.6</v>
      </c>
      <c r="I4050" t="str" cm="1">
        <f t="array" ref="I4050">_xlfn.IFS(G4050&lt;3, "0–2 Years", G4050&lt;6, "3–5 Years", G4050&lt;9, "6–8 Years", G4050&lt;12, "9-11 Years", G4050&gt;=12, "12-14 Years")</f>
        <v>3–5 Years</v>
      </c>
      <c r="J4050">
        <v>3</v>
      </c>
      <c r="K4050" t="s">
        <v>20</v>
      </c>
      <c r="L4050">
        <v>80500</v>
      </c>
      <c r="M4050">
        <v>8200</v>
      </c>
      <c r="N4050">
        <v>88700</v>
      </c>
      <c r="O4050" t="s">
        <v>30</v>
      </c>
      <c r="P4050" s="3">
        <v>44144</v>
      </c>
      <c r="Q4050" t="s">
        <v>36</v>
      </c>
    </row>
    <row r="4051" spans="1:17" x14ac:dyDescent="0.35">
      <c r="A4051" t="s">
        <v>4103</v>
      </c>
      <c r="B4051" t="s">
        <v>23</v>
      </c>
      <c r="C4051">
        <v>34</v>
      </c>
      <c r="D4051" t="s">
        <v>17</v>
      </c>
      <c r="E4051" t="s">
        <v>18</v>
      </c>
      <c r="F4051" t="s">
        <v>28</v>
      </c>
      <c r="G4051">
        <v>10.4</v>
      </c>
      <c r="H4051">
        <v>5.3</v>
      </c>
      <c r="I4051" t="str" cm="1">
        <f t="array" ref="I4051">_xlfn.IFS(G4051&lt;3, "0–2 Years", G4051&lt;6, "3–5 Years", G4051&lt;9, "6–8 Years", G4051&lt;12, "9-11 Years", G4051&gt;=12, "12-14 Years")</f>
        <v>9-11 Years</v>
      </c>
      <c r="J4051">
        <v>2</v>
      </c>
      <c r="K4051" t="s">
        <v>20</v>
      </c>
      <c r="L4051">
        <v>116500</v>
      </c>
      <c r="M4051">
        <v>7400</v>
      </c>
      <c r="N4051">
        <v>123900</v>
      </c>
      <c r="O4051" t="s">
        <v>57</v>
      </c>
      <c r="P4051" s="3">
        <v>42226</v>
      </c>
      <c r="Q4051" t="s">
        <v>28</v>
      </c>
    </row>
    <row r="4052" spans="1:17" x14ac:dyDescent="0.35">
      <c r="A4052" t="s">
        <v>4104</v>
      </c>
      <c r="B4052" t="s">
        <v>23</v>
      </c>
      <c r="C4052" s="7">
        <v>48</v>
      </c>
      <c r="D4052" t="s">
        <v>55</v>
      </c>
      <c r="E4052" t="s">
        <v>56</v>
      </c>
      <c r="F4052" t="s">
        <v>62</v>
      </c>
      <c r="G4052" s="9">
        <v>13.2</v>
      </c>
      <c r="H4052" s="7">
        <v>9.1999999999999993</v>
      </c>
      <c r="I4052" t="str" cm="1">
        <f t="array" ref="I4052">_xlfn.IFS(G4052&lt;3, "0–2 Years", G4052&lt;6, "3–5 Years", G4052&lt;9, "6–8 Years", G4052&lt;12, "9-11 Years", G4052&gt;=12, "12-14 Years")</f>
        <v>12-14 Years</v>
      </c>
      <c r="J4052" s="7">
        <v>3</v>
      </c>
      <c r="K4052" t="s">
        <v>20</v>
      </c>
      <c r="L4052" s="7">
        <v>116800</v>
      </c>
      <c r="M4052" s="7">
        <v>14800</v>
      </c>
      <c r="N4052" s="7">
        <v>131600</v>
      </c>
      <c r="O4052" t="s">
        <v>57</v>
      </c>
      <c r="P4052" s="3">
        <v>41202</v>
      </c>
      <c r="Q4052" t="s">
        <v>62</v>
      </c>
    </row>
    <row r="4053" spans="1:17" x14ac:dyDescent="0.35">
      <c r="A4053" t="s">
        <v>4105</v>
      </c>
      <c r="B4053" t="s">
        <v>16</v>
      </c>
      <c r="C4053">
        <v>21</v>
      </c>
      <c r="D4053" t="s">
        <v>44</v>
      </c>
      <c r="E4053" t="s">
        <v>76</v>
      </c>
      <c r="F4053" t="s">
        <v>28</v>
      </c>
      <c r="G4053">
        <v>5.5</v>
      </c>
      <c r="H4053">
        <v>4.2</v>
      </c>
      <c r="I4053" t="str" cm="1">
        <f t="array" ref="I4053">_xlfn.IFS(G4053&lt;3, "0–2 Years", G4053&lt;6, "3–5 Years", G4053&lt;9, "6–8 Years", G4053&lt;12, "9-11 Years", G4053&gt;=12, "12-14 Years")</f>
        <v>3–5 Years</v>
      </c>
      <c r="J4053">
        <v>1</v>
      </c>
      <c r="K4053" t="s">
        <v>20</v>
      </c>
      <c r="L4053">
        <v>89100</v>
      </c>
      <c r="M4053">
        <v>8800</v>
      </c>
      <c r="N4053">
        <v>97900</v>
      </c>
      <c r="O4053" t="s">
        <v>30</v>
      </c>
      <c r="P4053" s="3">
        <v>44004</v>
      </c>
      <c r="Q4053" t="s">
        <v>28</v>
      </c>
    </row>
    <row r="4054" spans="1:17" x14ac:dyDescent="0.35">
      <c r="A4054" t="s">
        <v>4106</v>
      </c>
      <c r="B4054" t="s">
        <v>16</v>
      </c>
      <c r="C4054">
        <v>27</v>
      </c>
      <c r="D4054" t="s">
        <v>55</v>
      </c>
      <c r="E4054" t="s">
        <v>79</v>
      </c>
      <c r="F4054" t="s">
        <v>28</v>
      </c>
      <c r="G4054">
        <v>9.4</v>
      </c>
      <c r="H4054">
        <v>4.4000000000000004</v>
      </c>
      <c r="I4054" t="str" cm="1">
        <f t="array" ref="I4054">_xlfn.IFS(G4054&lt;3, "0–2 Years", G4054&lt;6, "3–5 Years", G4054&lt;9, "6–8 Years", G4054&lt;12, "9-11 Years", G4054&gt;=12, "12-14 Years")</f>
        <v>9-11 Years</v>
      </c>
      <c r="J4054">
        <v>3</v>
      </c>
      <c r="K4054" t="s">
        <v>20</v>
      </c>
      <c r="L4054">
        <v>54600</v>
      </c>
      <c r="M4054">
        <v>5900</v>
      </c>
      <c r="N4054">
        <v>60500</v>
      </c>
      <c r="O4054" t="s">
        <v>25</v>
      </c>
      <c r="P4054" s="3">
        <v>42592</v>
      </c>
      <c r="Q4054" t="s">
        <v>28</v>
      </c>
    </row>
    <row r="4055" spans="1:17" x14ac:dyDescent="0.35">
      <c r="A4055" t="s">
        <v>4107</v>
      </c>
      <c r="B4055" t="s">
        <v>16</v>
      </c>
      <c r="C4055">
        <v>58</v>
      </c>
      <c r="D4055" t="s">
        <v>41</v>
      </c>
      <c r="E4055" t="s">
        <v>67</v>
      </c>
      <c r="F4055" t="s">
        <v>36</v>
      </c>
      <c r="G4055">
        <v>6.8</v>
      </c>
      <c r="H4055">
        <v>5.3</v>
      </c>
      <c r="I4055" t="str" cm="1">
        <f t="array" ref="I4055">_xlfn.IFS(G4055&lt;3, "0–2 Years", G4055&lt;6, "3–5 Years", G4055&lt;9, "6–8 Years", G4055&lt;12, "9-11 Years", G4055&gt;=12, "12-14 Years")</f>
        <v>6–8 Years</v>
      </c>
      <c r="J4055">
        <v>3</v>
      </c>
      <c r="K4055" t="s">
        <v>20</v>
      </c>
      <c r="L4055">
        <v>74000</v>
      </c>
      <c r="M4055">
        <v>5400</v>
      </c>
      <c r="N4055">
        <v>79400</v>
      </c>
      <c r="O4055" t="s">
        <v>21</v>
      </c>
      <c r="P4055" s="3">
        <v>43544</v>
      </c>
      <c r="Q4055" t="s">
        <v>36</v>
      </c>
    </row>
    <row r="4056" spans="1:17" x14ac:dyDescent="0.35">
      <c r="A4056" t="s">
        <v>4108</v>
      </c>
      <c r="B4056" t="s">
        <v>16</v>
      </c>
      <c r="C4056">
        <v>29</v>
      </c>
      <c r="D4056" t="s">
        <v>17</v>
      </c>
      <c r="E4056" t="s">
        <v>32</v>
      </c>
      <c r="F4056" t="s">
        <v>36</v>
      </c>
      <c r="G4056">
        <v>11.5</v>
      </c>
      <c r="H4056">
        <v>7.1</v>
      </c>
      <c r="I4056" t="str" cm="1">
        <f t="array" ref="I4056">_xlfn.IFS(G4056&lt;3, "0–2 Years", G4056&lt;6, "3–5 Years", G4056&lt;9, "6–8 Years", G4056&lt;12, "9-11 Years", G4056&gt;=12, "12-14 Years")</f>
        <v>9-11 Years</v>
      </c>
      <c r="J4056">
        <v>2</v>
      </c>
      <c r="K4056" t="s">
        <v>20</v>
      </c>
      <c r="L4056">
        <v>76500</v>
      </c>
      <c r="M4056">
        <v>8900</v>
      </c>
      <c r="N4056">
        <v>85400</v>
      </c>
      <c r="O4056" t="s">
        <v>21</v>
      </c>
      <c r="P4056" s="3">
        <v>41824</v>
      </c>
      <c r="Q4056" t="s">
        <v>36</v>
      </c>
    </row>
    <row r="4057" spans="1:17" x14ac:dyDescent="0.35">
      <c r="A4057" t="s">
        <v>4109</v>
      </c>
      <c r="B4057" t="s">
        <v>16</v>
      </c>
      <c r="C4057">
        <v>33</v>
      </c>
      <c r="D4057" t="s">
        <v>34</v>
      </c>
      <c r="E4057" t="s">
        <v>47</v>
      </c>
      <c r="F4057" t="s">
        <v>28</v>
      </c>
      <c r="G4057">
        <v>2.5</v>
      </c>
      <c r="H4057">
        <v>0</v>
      </c>
      <c r="I4057" t="str" cm="1">
        <f t="array" ref="I4057">_xlfn.IFS(G4057&lt;3, "0–2 Years", G4057&lt;6, "3–5 Years", G4057&lt;9, "6–8 Years", G4057&lt;12, "9-11 Years", G4057&gt;=12, "12-14 Years")</f>
        <v>0–2 Years</v>
      </c>
      <c r="J4057">
        <v>3</v>
      </c>
      <c r="K4057" t="s">
        <v>20</v>
      </c>
      <c r="L4057">
        <v>66000</v>
      </c>
      <c r="M4057">
        <v>6400</v>
      </c>
      <c r="N4057">
        <v>72400</v>
      </c>
      <c r="O4057" t="s">
        <v>21</v>
      </c>
      <c r="P4057" s="3">
        <v>45116</v>
      </c>
      <c r="Q4057" t="s">
        <v>28</v>
      </c>
    </row>
    <row r="4058" spans="1:17" x14ac:dyDescent="0.35">
      <c r="A4058" t="s">
        <v>4110</v>
      </c>
      <c r="B4058" t="s">
        <v>16</v>
      </c>
      <c r="C4058">
        <v>32</v>
      </c>
      <c r="D4058" t="s">
        <v>34</v>
      </c>
      <c r="E4058" t="s">
        <v>47</v>
      </c>
      <c r="F4058" t="s">
        <v>28</v>
      </c>
      <c r="G4058">
        <v>9.4</v>
      </c>
      <c r="H4058">
        <v>5.2</v>
      </c>
      <c r="I4058" t="str" cm="1">
        <f t="array" ref="I4058">_xlfn.IFS(G4058&lt;3, "0–2 Years", G4058&lt;6, "3–5 Years", G4058&lt;9, "6–8 Years", G4058&lt;12, "9-11 Years", G4058&gt;=12, "12-14 Years")</f>
        <v>9-11 Years</v>
      </c>
      <c r="J4058">
        <v>4</v>
      </c>
      <c r="K4058" t="s">
        <v>20</v>
      </c>
      <c r="L4058">
        <v>73100</v>
      </c>
      <c r="M4058">
        <v>4000</v>
      </c>
      <c r="N4058">
        <v>77100</v>
      </c>
      <c r="O4058" t="s">
        <v>21</v>
      </c>
      <c r="P4058" s="3">
        <v>42581</v>
      </c>
      <c r="Q4058" t="s">
        <v>28</v>
      </c>
    </row>
    <row r="4059" spans="1:17" x14ac:dyDescent="0.35">
      <c r="A4059" t="s">
        <v>4111</v>
      </c>
      <c r="B4059" t="s">
        <v>23</v>
      </c>
      <c r="C4059">
        <v>21</v>
      </c>
      <c r="D4059" t="s">
        <v>17</v>
      </c>
      <c r="E4059" t="s">
        <v>27</v>
      </c>
      <c r="F4059" t="s">
        <v>36</v>
      </c>
      <c r="G4059">
        <v>7.1</v>
      </c>
      <c r="H4059">
        <v>7.1</v>
      </c>
      <c r="I4059" t="str" cm="1">
        <f t="array" ref="I4059">_xlfn.IFS(G4059&lt;3, "0–2 Years", G4059&lt;6, "3–5 Years", G4059&lt;9, "6–8 Years", G4059&lt;12, "9-11 Years", G4059&gt;=12, "12-14 Years")</f>
        <v>6–8 Years</v>
      </c>
      <c r="J4059">
        <v>2</v>
      </c>
      <c r="K4059" t="s">
        <v>20</v>
      </c>
      <c r="L4059">
        <v>80300</v>
      </c>
      <c r="M4059">
        <v>7100</v>
      </c>
      <c r="N4059">
        <v>87400</v>
      </c>
      <c r="O4059" t="s">
        <v>30</v>
      </c>
      <c r="P4059" s="3">
        <v>43444</v>
      </c>
      <c r="Q4059" t="s">
        <v>36</v>
      </c>
    </row>
    <row r="4060" spans="1:17" x14ac:dyDescent="0.35">
      <c r="A4060" t="s">
        <v>4112</v>
      </c>
      <c r="B4060" t="s">
        <v>23</v>
      </c>
      <c r="C4060">
        <v>36</v>
      </c>
      <c r="D4060" t="s">
        <v>34</v>
      </c>
      <c r="E4060" t="s">
        <v>35</v>
      </c>
      <c r="F4060" t="s">
        <v>28</v>
      </c>
      <c r="G4060">
        <v>1.1000000000000001</v>
      </c>
      <c r="H4060">
        <v>0.4</v>
      </c>
      <c r="I4060" t="str" cm="1">
        <f t="array" ref="I4060">_xlfn.IFS(G4060&lt;3, "0–2 Years", G4060&lt;6, "3–5 Years", G4060&lt;9, "6–8 Years", G4060&lt;12, "9-11 Years", G4060&gt;=12, "12-14 Years")</f>
        <v>0–2 Years</v>
      </c>
      <c r="J4060">
        <v>1</v>
      </c>
      <c r="K4060" t="s">
        <v>20</v>
      </c>
      <c r="L4060">
        <v>77400</v>
      </c>
      <c r="M4060">
        <v>4100</v>
      </c>
      <c r="N4060">
        <v>81500</v>
      </c>
      <c r="O4060" t="s">
        <v>21</v>
      </c>
      <c r="P4060" s="3">
        <v>45635</v>
      </c>
      <c r="Q4060" t="s">
        <v>28</v>
      </c>
    </row>
    <row r="4061" spans="1:17" x14ac:dyDescent="0.35">
      <c r="A4061" t="s">
        <v>4113</v>
      </c>
      <c r="B4061" t="s">
        <v>16</v>
      </c>
      <c r="C4061">
        <v>29</v>
      </c>
      <c r="D4061" t="s">
        <v>44</v>
      </c>
      <c r="E4061" t="s">
        <v>51</v>
      </c>
      <c r="F4061" t="s">
        <v>36</v>
      </c>
      <c r="G4061">
        <v>7.4</v>
      </c>
      <c r="H4061">
        <v>4.0999999999999996</v>
      </c>
      <c r="I4061" t="str" cm="1">
        <f t="array" ref="I4061">_xlfn.IFS(G4061&lt;3, "0–2 Years", G4061&lt;6, "3–5 Years", G4061&lt;9, "6–8 Years", G4061&lt;12, "9-11 Years", G4061&gt;=12, "12-14 Years")</f>
        <v>6–8 Years</v>
      </c>
      <c r="J4061">
        <v>3</v>
      </c>
      <c r="K4061" t="s">
        <v>20</v>
      </c>
      <c r="L4061">
        <v>76600</v>
      </c>
      <c r="M4061">
        <v>7400</v>
      </c>
      <c r="N4061">
        <v>84000</v>
      </c>
      <c r="O4061" t="s">
        <v>21</v>
      </c>
      <c r="P4061" s="3">
        <v>43338</v>
      </c>
      <c r="Q4061" t="s">
        <v>36</v>
      </c>
    </row>
    <row r="4062" spans="1:17" x14ac:dyDescent="0.35">
      <c r="A4062" t="s">
        <v>4114</v>
      </c>
      <c r="B4062" t="s">
        <v>23</v>
      </c>
      <c r="C4062" s="7">
        <v>28</v>
      </c>
      <c r="D4062" t="s">
        <v>38</v>
      </c>
      <c r="E4062" t="s">
        <v>39</v>
      </c>
      <c r="F4062" t="s">
        <v>36</v>
      </c>
      <c r="G4062" s="9">
        <v>12.4</v>
      </c>
      <c r="H4062" s="7">
        <v>7.3</v>
      </c>
      <c r="I4062" t="str" cm="1">
        <f t="array" ref="I4062">_xlfn.IFS(G4062&lt;3, "0–2 Years", G4062&lt;6, "3–5 Years", G4062&lt;9, "6–8 Years", G4062&lt;12, "9-11 Years", G4062&gt;=12, "12-14 Years")</f>
        <v>12-14 Years</v>
      </c>
      <c r="J4062" s="7">
        <v>4</v>
      </c>
      <c r="K4062" t="s">
        <v>20</v>
      </c>
      <c r="L4062" s="7">
        <v>95600</v>
      </c>
      <c r="M4062" s="7">
        <v>5600</v>
      </c>
      <c r="N4062" s="7">
        <v>101200</v>
      </c>
      <c r="O4062" t="s">
        <v>30</v>
      </c>
      <c r="P4062" s="3">
        <v>41476</v>
      </c>
      <c r="Q4062" t="s">
        <v>36</v>
      </c>
    </row>
    <row r="4063" spans="1:17" x14ac:dyDescent="0.35">
      <c r="A4063" t="s">
        <v>4115</v>
      </c>
      <c r="B4063" t="s">
        <v>16</v>
      </c>
      <c r="C4063" s="7">
        <v>25</v>
      </c>
      <c r="D4063" t="s">
        <v>38</v>
      </c>
      <c r="E4063" t="s">
        <v>39</v>
      </c>
      <c r="F4063" t="s">
        <v>28</v>
      </c>
      <c r="G4063" s="9">
        <v>13.8</v>
      </c>
      <c r="H4063" s="7">
        <v>8</v>
      </c>
      <c r="I4063" t="str" cm="1">
        <f t="array" ref="I4063">_xlfn.IFS(G4063&lt;3, "0–2 Years", G4063&lt;6, "3–5 Years", G4063&lt;9, "6–8 Years", G4063&lt;12, "9-11 Years", G4063&gt;=12, "12-14 Years")</f>
        <v>12-14 Years</v>
      </c>
      <c r="J4063" s="7">
        <v>3</v>
      </c>
      <c r="K4063" t="s">
        <v>69</v>
      </c>
      <c r="L4063" s="7">
        <v>76600</v>
      </c>
      <c r="M4063" s="7">
        <v>8000</v>
      </c>
      <c r="N4063" s="7">
        <v>84600</v>
      </c>
      <c r="O4063" t="s">
        <v>21</v>
      </c>
      <c r="P4063" s="3">
        <v>41000</v>
      </c>
      <c r="Q4063" t="s">
        <v>28</v>
      </c>
    </row>
    <row r="4064" spans="1:17" x14ac:dyDescent="0.35">
      <c r="A4064" t="s">
        <v>4116</v>
      </c>
      <c r="B4064" t="s">
        <v>16</v>
      </c>
      <c r="C4064">
        <v>35</v>
      </c>
      <c r="D4064" t="s">
        <v>38</v>
      </c>
      <c r="E4064" t="s">
        <v>39</v>
      </c>
      <c r="F4064" t="s">
        <v>28</v>
      </c>
      <c r="G4064">
        <v>10.1</v>
      </c>
      <c r="H4064">
        <v>6.3</v>
      </c>
      <c r="I4064" t="str" cm="1">
        <f t="array" ref="I4064">_xlfn.IFS(G4064&lt;3, "0–2 Years", G4064&lt;6, "3–5 Years", G4064&lt;9, "6–8 Years", G4064&lt;12, "9-11 Years", G4064&gt;=12, "12-14 Years")</f>
        <v>9-11 Years</v>
      </c>
      <c r="J4064">
        <v>4</v>
      </c>
      <c r="K4064" t="s">
        <v>20</v>
      </c>
      <c r="L4064">
        <v>87500</v>
      </c>
      <c r="M4064">
        <v>6400</v>
      </c>
      <c r="N4064">
        <v>93900</v>
      </c>
      <c r="O4064" t="s">
        <v>30</v>
      </c>
      <c r="P4064" s="3">
        <v>42334</v>
      </c>
      <c r="Q4064" t="s">
        <v>28</v>
      </c>
    </row>
    <row r="4065" spans="1:17" x14ac:dyDescent="0.35">
      <c r="A4065" t="s">
        <v>4117</v>
      </c>
      <c r="B4065" t="s">
        <v>16</v>
      </c>
      <c r="C4065">
        <v>41</v>
      </c>
      <c r="D4065" t="s">
        <v>55</v>
      </c>
      <c r="E4065" t="s">
        <v>56</v>
      </c>
      <c r="F4065" t="s">
        <v>36</v>
      </c>
      <c r="G4065">
        <v>3.5</v>
      </c>
      <c r="H4065">
        <v>1.8</v>
      </c>
      <c r="I4065" t="str" cm="1">
        <f t="array" ref="I4065">_xlfn.IFS(G4065&lt;3, "0–2 Years", G4065&lt;6, "3–5 Years", G4065&lt;9, "6–8 Years", G4065&lt;12, "9-11 Years", G4065&gt;=12, "12-14 Years")</f>
        <v>3–5 Years</v>
      </c>
      <c r="J4065">
        <v>4</v>
      </c>
      <c r="K4065" t="s">
        <v>20</v>
      </c>
      <c r="L4065">
        <v>93400</v>
      </c>
      <c r="M4065">
        <v>18600</v>
      </c>
      <c r="N4065">
        <v>112000</v>
      </c>
      <c r="O4065" t="s">
        <v>30</v>
      </c>
      <c r="P4065" s="3">
        <v>44750</v>
      </c>
      <c r="Q4065" t="s">
        <v>36</v>
      </c>
    </row>
    <row r="4066" spans="1:17" x14ac:dyDescent="0.35">
      <c r="A4066" t="s">
        <v>4118</v>
      </c>
      <c r="B4066" t="s">
        <v>16</v>
      </c>
      <c r="C4066">
        <v>44</v>
      </c>
      <c r="D4066" t="s">
        <v>44</v>
      </c>
      <c r="E4066" t="s">
        <v>51</v>
      </c>
      <c r="F4066" t="s">
        <v>28</v>
      </c>
      <c r="G4066">
        <v>8.6999999999999993</v>
      </c>
      <c r="H4066">
        <v>3.4</v>
      </c>
      <c r="I4066" t="str" cm="1">
        <f t="array" ref="I4066">_xlfn.IFS(G4066&lt;3, "0–2 Years", G4066&lt;6, "3–5 Years", G4066&lt;9, "6–8 Years", G4066&lt;12, "9-11 Years", G4066&gt;=12, "12-14 Years")</f>
        <v>6–8 Years</v>
      </c>
      <c r="J4066">
        <v>3</v>
      </c>
      <c r="K4066" t="s">
        <v>20</v>
      </c>
      <c r="L4066">
        <v>77700</v>
      </c>
      <c r="M4066">
        <v>6700</v>
      </c>
      <c r="N4066">
        <v>84400</v>
      </c>
      <c r="O4066" t="s">
        <v>21</v>
      </c>
      <c r="P4066" s="3">
        <v>42845</v>
      </c>
      <c r="Q4066" t="s">
        <v>28</v>
      </c>
    </row>
    <row r="4067" spans="1:17" x14ac:dyDescent="0.35">
      <c r="A4067" t="s">
        <v>4119</v>
      </c>
      <c r="B4067" t="s">
        <v>16</v>
      </c>
      <c r="C4067">
        <v>27</v>
      </c>
      <c r="D4067" t="s">
        <v>17</v>
      </c>
      <c r="E4067" t="s">
        <v>27</v>
      </c>
      <c r="F4067" t="s">
        <v>36</v>
      </c>
      <c r="G4067">
        <v>9.1999999999999993</v>
      </c>
      <c r="H4067">
        <v>5.0999999999999996</v>
      </c>
      <c r="I4067" t="str" cm="1">
        <f t="array" ref="I4067">_xlfn.IFS(G4067&lt;3, "0–2 Years", G4067&lt;6, "3–5 Years", G4067&lt;9, "6–8 Years", G4067&lt;12, "9-11 Years", G4067&gt;=12, "12-14 Years")</f>
        <v>9-11 Years</v>
      </c>
      <c r="J4067">
        <v>3</v>
      </c>
      <c r="K4067" t="s">
        <v>20</v>
      </c>
      <c r="L4067">
        <v>81800</v>
      </c>
      <c r="M4067">
        <v>8500</v>
      </c>
      <c r="N4067">
        <v>90300</v>
      </c>
      <c r="O4067" t="s">
        <v>30</v>
      </c>
      <c r="P4067" s="3">
        <v>42654</v>
      </c>
      <c r="Q4067" t="s">
        <v>36</v>
      </c>
    </row>
    <row r="4068" spans="1:17" x14ac:dyDescent="0.35">
      <c r="A4068" t="s">
        <v>4120</v>
      </c>
      <c r="B4068" t="s">
        <v>16</v>
      </c>
      <c r="C4068">
        <v>41</v>
      </c>
      <c r="D4068" t="s">
        <v>17</v>
      </c>
      <c r="E4068" t="s">
        <v>18</v>
      </c>
      <c r="F4068" t="s">
        <v>28</v>
      </c>
      <c r="G4068">
        <v>10.4</v>
      </c>
      <c r="H4068">
        <v>8.5</v>
      </c>
      <c r="I4068" t="str" cm="1">
        <f t="array" ref="I4068">_xlfn.IFS(G4068&lt;3, "0–2 Years", G4068&lt;6, "3–5 Years", G4068&lt;9, "6–8 Years", G4068&lt;12, "9-11 Years", G4068&gt;=12, "12-14 Years")</f>
        <v>9-11 Years</v>
      </c>
      <c r="J4068">
        <v>2</v>
      </c>
      <c r="K4068" t="s">
        <v>20</v>
      </c>
      <c r="L4068">
        <v>95800</v>
      </c>
      <c r="M4068">
        <v>11200</v>
      </c>
      <c r="N4068">
        <v>107000</v>
      </c>
      <c r="O4068" t="s">
        <v>30</v>
      </c>
      <c r="P4068" s="3">
        <v>42231</v>
      </c>
      <c r="Q4068" t="s">
        <v>28</v>
      </c>
    </row>
    <row r="4069" spans="1:17" x14ac:dyDescent="0.35">
      <c r="A4069" t="s">
        <v>4121</v>
      </c>
      <c r="B4069" t="s">
        <v>16</v>
      </c>
      <c r="C4069" s="7">
        <v>35</v>
      </c>
      <c r="D4069" t="s">
        <v>41</v>
      </c>
      <c r="E4069" t="s">
        <v>42</v>
      </c>
      <c r="F4069" t="s">
        <v>19</v>
      </c>
      <c r="G4069" s="9">
        <v>12.1</v>
      </c>
      <c r="H4069" s="7">
        <v>6.7</v>
      </c>
      <c r="I4069" t="str" cm="1">
        <f t="array" ref="I4069">_xlfn.IFS(G4069&lt;3, "0–2 Years", G4069&lt;6, "3–5 Years", G4069&lt;9, "6–8 Years", G4069&lt;12, "9-11 Years", G4069&gt;=12, "12-14 Years")</f>
        <v>12-14 Years</v>
      </c>
      <c r="J4069" s="7">
        <v>3</v>
      </c>
      <c r="K4069" t="s">
        <v>24</v>
      </c>
      <c r="L4069" s="7">
        <v>44900</v>
      </c>
      <c r="M4069" s="7">
        <v>2400</v>
      </c>
      <c r="N4069" s="7">
        <v>47300</v>
      </c>
      <c r="O4069" t="s">
        <v>65</v>
      </c>
      <c r="P4069" s="3">
        <v>41606</v>
      </c>
      <c r="Q4069" t="s">
        <v>19</v>
      </c>
    </row>
    <row r="4070" spans="1:17" x14ac:dyDescent="0.35">
      <c r="A4070" t="s">
        <v>4122</v>
      </c>
      <c r="B4070" t="s">
        <v>16</v>
      </c>
      <c r="C4070">
        <v>24</v>
      </c>
      <c r="D4070" t="s">
        <v>34</v>
      </c>
      <c r="E4070" t="s">
        <v>35</v>
      </c>
      <c r="F4070" t="s">
        <v>19</v>
      </c>
      <c r="G4070">
        <v>8.8000000000000007</v>
      </c>
      <c r="H4070">
        <v>7.1</v>
      </c>
      <c r="I4070" t="str" cm="1">
        <f t="array" ref="I4070">_xlfn.IFS(G4070&lt;3, "0–2 Years", G4070&lt;6, "3–5 Years", G4070&lt;9, "6–8 Years", G4070&lt;12, "9-11 Years", G4070&gt;=12, "12-14 Years")</f>
        <v>6–8 Years</v>
      </c>
      <c r="J4070">
        <v>4</v>
      </c>
      <c r="K4070" t="s">
        <v>24</v>
      </c>
      <c r="L4070">
        <v>45500</v>
      </c>
      <c r="M4070">
        <v>4400</v>
      </c>
      <c r="N4070">
        <v>49900</v>
      </c>
      <c r="O4070" t="s">
        <v>65</v>
      </c>
      <c r="P4070" s="3">
        <v>42804</v>
      </c>
      <c r="Q4070" t="s">
        <v>19</v>
      </c>
    </row>
    <row r="4071" spans="1:17" x14ac:dyDescent="0.35">
      <c r="A4071" t="s">
        <v>4123</v>
      </c>
      <c r="B4071" t="s">
        <v>16</v>
      </c>
      <c r="C4071" s="7">
        <v>37</v>
      </c>
      <c r="D4071" t="s">
        <v>41</v>
      </c>
      <c r="E4071" t="s">
        <v>67</v>
      </c>
      <c r="F4071" t="s">
        <v>36</v>
      </c>
      <c r="G4071" s="9">
        <v>12.1</v>
      </c>
      <c r="H4071" s="7">
        <v>8</v>
      </c>
      <c r="I4071" t="str" cm="1">
        <f t="array" ref="I4071">_xlfn.IFS(G4071&lt;3, "0–2 Years", G4071&lt;6, "3–5 Years", G4071&lt;9, "6–8 Years", G4071&lt;12, "9-11 Years", G4071&gt;=12, "12-14 Years")</f>
        <v>12-14 Years</v>
      </c>
      <c r="J4071" s="7">
        <v>4</v>
      </c>
      <c r="K4071" t="s">
        <v>20</v>
      </c>
      <c r="L4071" s="7">
        <v>85500</v>
      </c>
      <c r="M4071" s="7">
        <v>6000</v>
      </c>
      <c r="N4071" s="7">
        <v>91500</v>
      </c>
      <c r="O4071" t="s">
        <v>30</v>
      </c>
      <c r="P4071" s="3">
        <v>41602</v>
      </c>
      <c r="Q4071" t="s">
        <v>36</v>
      </c>
    </row>
    <row r="4072" spans="1:17" x14ac:dyDescent="0.35">
      <c r="A4072" t="s">
        <v>4124</v>
      </c>
      <c r="B4072" t="s">
        <v>16</v>
      </c>
      <c r="C4072">
        <v>28</v>
      </c>
      <c r="D4072" t="s">
        <v>44</v>
      </c>
      <c r="E4072" t="s">
        <v>51</v>
      </c>
      <c r="F4072" t="s">
        <v>28</v>
      </c>
      <c r="G4072">
        <v>4.5999999999999996</v>
      </c>
      <c r="H4072">
        <v>3.5</v>
      </c>
      <c r="I4072" t="str" cm="1">
        <f t="array" ref="I4072">_xlfn.IFS(G4072&lt;3, "0–2 Years", G4072&lt;6, "3–5 Years", G4072&lt;9, "6–8 Years", G4072&lt;12, "9-11 Years", G4072&gt;=12, "12-14 Years")</f>
        <v>3–5 Years</v>
      </c>
      <c r="J4072">
        <v>3</v>
      </c>
      <c r="K4072" t="s">
        <v>20</v>
      </c>
      <c r="L4072">
        <v>73600</v>
      </c>
      <c r="M4072">
        <v>10900</v>
      </c>
      <c r="N4072">
        <v>84500</v>
      </c>
      <c r="O4072" t="s">
        <v>21</v>
      </c>
      <c r="P4072" s="3">
        <v>44359</v>
      </c>
      <c r="Q4072" t="s">
        <v>28</v>
      </c>
    </row>
    <row r="4073" spans="1:17" x14ac:dyDescent="0.35">
      <c r="A4073" t="s">
        <v>4125</v>
      </c>
      <c r="B4073" t="s">
        <v>23</v>
      </c>
      <c r="C4073" s="7">
        <v>48</v>
      </c>
      <c r="D4073" t="s">
        <v>55</v>
      </c>
      <c r="E4073" t="s">
        <v>92</v>
      </c>
      <c r="F4073" t="s">
        <v>19</v>
      </c>
      <c r="G4073" s="9">
        <v>14</v>
      </c>
      <c r="H4073" s="7">
        <v>10.5</v>
      </c>
      <c r="I4073" t="str" cm="1">
        <f t="array" ref="I4073">_xlfn.IFS(G4073&lt;3, "0–2 Years", G4073&lt;6, "3–5 Years", G4073&lt;9, "6–8 Years", G4073&lt;12, "9-11 Years", G4073&gt;=12, "12-14 Years")</f>
        <v>12-14 Years</v>
      </c>
      <c r="J4073" s="7">
        <v>3</v>
      </c>
      <c r="K4073" t="s">
        <v>20</v>
      </c>
      <c r="L4073" s="7">
        <v>96600</v>
      </c>
      <c r="M4073" s="7">
        <v>17900</v>
      </c>
      <c r="N4073" s="7">
        <v>114500</v>
      </c>
      <c r="O4073" t="s">
        <v>30</v>
      </c>
      <c r="P4073" s="3">
        <v>40921</v>
      </c>
      <c r="Q4073" t="s">
        <v>19</v>
      </c>
    </row>
    <row r="4074" spans="1:17" x14ac:dyDescent="0.35">
      <c r="A4074" t="s">
        <v>4126</v>
      </c>
      <c r="B4074" t="s">
        <v>16</v>
      </c>
      <c r="C4074">
        <v>34</v>
      </c>
      <c r="D4074" t="s">
        <v>17</v>
      </c>
      <c r="E4074" t="s">
        <v>18</v>
      </c>
      <c r="F4074" t="s">
        <v>36</v>
      </c>
      <c r="G4074">
        <v>11.4</v>
      </c>
      <c r="H4074">
        <v>7.4</v>
      </c>
      <c r="I4074" t="str" cm="1">
        <f t="array" ref="I4074">_xlfn.IFS(G4074&lt;3, "0–2 Years", G4074&lt;6, "3–5 Years", G4074&lt;9, "6–8 Years", G4074&lt;12, "9-11 Years", G4074&gt;=12, "12-14 Years")</f>
        <v>9-11 Years</v>
      </c>
      <c r="J4074">
        <v>3</v>
      </c>
      <c r="K4074" t="s">
        <v>20</v>
      </c>
      <c r="L4074">
        <v>110600</v>
      </c>
      <c r="M4074">
        <v>13700</v>
      </c>
      <c r="N4074">
        <v>124300</v>
      </c>
      <c r="O4074" t="s">
        <v>57</v>
      </c>
      <c r="P4074" s="3">
        <v>41867</v>
      </c>
      <c r="Q4074" t="s">
        <v>36</v>
      </c>
    </row>
    <row r="4075" spans="1:17" x14ac:dyDescent="0.35">
      <c r="A4075" t="s">
        <v>4127</v>
      </c>
      <c r="B4075" t="s">
        <v>16</v>
      </c>
      <c r="C4075">
        <v>32</v>
      </c>
      <c r="D4075" t="s">
        <v>55</v>
      </c>
      <c r="E4075" t="s">
        <v>92</v>
      </c>
      <c r="F4075" t="s">
        <v>28</v>
      </c>
      <c r="G4075">
        <v>11.1</v>
      </c>
      <c r="H4075">
        <v>8.1999999999999993</v>
      </c>
      <c r="I4075" t="str" cm="1">
        <f t="array" ref="I4075">_xlfn.IFS(G4075&lt;3, "0–2 Years", G4075&lt;6, "3–5 Years", G4075&lt;9, "6–8 Years", G4075&lt;12, "9-11 Years", G4075&gt;=12, "12-14 Years")</f>
        <v>9-11 Years</v>
      </c>
      <c r="J4075">
        <v>4</v>
      </c>
      <c r="K4075" t="s">
        <v>69</v>
      </c>
      <c r="L4075">
        <v>95200</v>
      </c>
      <c r="M4075">
        <v>7100</v>
      </c>
      <c r="N4075">
        <v>102300</v>
      </c>
      <c r="O4075" t="s">
        <v>30</v>
      </c>
      <c r="P4075" s="3">
        <v>41958</v>
      </c>
      <c r="Q4075" t="s">
        <v>28</v>
      </c>
    </row>
    <row r="4076" spans="1:17" x14ac:dyDescent="0.35">
      <c r="A4076" t="s">
        <v>4128</v>
      </c>
      <c r="B4076" t="s">
        <v>23</v>
      </c>
      <c r="C4076">
        <v>43</v>
      </c>
      <c r="D4076" t="s">
        <v>44</v>
      </c>
      <c r="E4076" t="s">
        <v>45</v>
      </c>
      <c r="F4076" t="s">
        <v>36</v>
      </c>
      <c r="G4076">
        <v>5.3</v>
      </c>
      <c r="H4076">
        <v>2.2999999999999998</v>
      </c>
      <c r="I4076" t="str" cm="1">
        <f t="array" ref="I4076">_xlfn.IFS(G4076&lt;3, "0–2 Years", G4076&lt;6, "3–5 Years", G4076&lt;9, "6–8 Years", G4076&lt;12, "9-11 Years", G4076&gt;=12, "12-14 Years")</f>
        <v>3–5 Years</v>
      </c>
      <c r="J4076">
        <v>4</v>
      </c>
      <c r="K4076" t="s">
        <v>20</v>
      </c>
      <c r="L4076">
        <v>78700</v>
      </c>
      <c r="M4076">
        <v>4500</v>
      </c>
      <c r="N4076">
        <v>83200</v>
      </c>
      <c r="O4076" t="s">
        <v>21</v>
      </c>
      <c r="P4076" s="3">
        <v>44078</v>
      </c>
      <c r="Q4076" t="s">
        <v>36</v>
      </c>
    </row>
    <row r="4077" spans="1:17" x14ac:dyDescent="0.35">
      <c r="A4077" t="s">
        <v>4129</v>
      </c>
      <c r="B4077" t="s">
        <v>16</v>
      </c>
      <c r="C4077">
        <v>44</v>
      </c>
      <c r="D4077" t="s">
        <v>17</v>
      </c>
      <c r="E4077" t="s">
        <v>18</v>
      </c>
      <c r="F4077" t="s">
        <v>28</v>
      </c>
      <c r="G4077">
        <v>11.9</v>
      </c>
      <c r="H4077">
        <v>7.9</v>
      </c>
      <c r="I4077" t="str" cm="1">
        <f t="array" ref="I4077">_xlfn.IFS(G4077&lt;3, "0–2 Years", G4077&lt;6, "3–5 Years", G4077&lt;9, "6–8 Years", G4077&lt;12, "9-11 Years", G4077&gt;=12, "12-14 Years")</f>
        <v>9-11 Years</v>
      </c>
      <c r="J4077">
        <v>3</v>
      </c>
      <c r="K4077" t="s">
        <v>20</v>
      </c>
      <c r="L4077">
        <v>108600</v>
      </c>
      <c r="M4077">
        <v>6800</v>
      </c>
      <c r="N4077">
        <v>115400</v>
      </c>
      <c r="O4077" t="s">
        <v>57</v>
      </c>
      <c r="P4077" s="3">
        <v>41662</v>
      </c>
      <c r="Q4077" t="s">
        <v>28</v>
      </c>
    </row>
    <row r="4078" spans="1:17" x14ac:dyDescent="0.35">
      <c r="A4078" t="s">
        <v>4130</v>
      </c>
      <c r="B4078" t="s">
        <v>16</v>
      </c>
      <c r="C4078">
        <v>27</v>
      </c>
      <c r="D4078" t="s">
        <v>17</v>
      </c>
      <c r="E4078" t="s">
        <v>18</v>
      </c>
      <c r="F4078" t="s">
        <v>28</v>
      </c>
      <c r="G4078">
        <v>7.5</v>
      </c>
      <c r="H4078">
        <v>6</v>
      </c>
      <c r="I4078" t="str" cm="1">
        <f t="array" ref="I4078">_xlfn.IFS(G4078&lt;3, "0–2 Years", G4078&lt;6, "3–5 Years", G4078&lt;9, "6–8 Years", G4078&lt;12, "9-11 Years", G4078&gt;=12, "12-14 Years")</f>
        <v>6–8 Years</v>
      </c>
      <c r="J4078">
        <v>3</v>
      </c>
      <c r="K4078" t="s">
        <v>20</v>
      </c>
      <c r="L4078">
        <v>100500</v>
      </c>
      <c r="M4078">
        <v>12700</v>
      </c>
      <c r="N4078">
        <v>113200</v>
      </c>
      <c r="O4078" t="s">
        <v>57</v>
      </c>
      <c r="P4078" s="3">
        <v>43282</v>
      </c>
      <c r="Q4078" t="s">
        <v>28</v>
      </c>
    </row>
    <row r="4079" spans="1:17" x14ac:dyDescent="0.35">
      <c r="A4079" t="s">
        <v>4131</v>
      </c>
      <c r="B4079" t="s">
        <v>16</v>
      </c>
      <c r="C4079">
        <v>48</v>
      </c>
      <c r="D4079" t="s">
        <v>34</v>
      </c>
      <c r="E4079" t="s">
        <v>47</v>
      </c>
      <c r="F4079" t="s">
        <v>19</v>
      </c>
      <c r="G4079">
        <v>5.7</v>
      </c>
      <c r="H4079">
        <v>4.9000000000000004</v>
      </c>
      <c r="I4079" t="str" cm="1">
        <f t="array" ref="I4079">_xlfn.IFS(G4079&lt;3, "0–2 Years", G4079&lt;6, "3–5 Years", G4079&lt;9, "6–8 Years", G4079&lt;12, "9-11 Years", G4079&gt;=12, "12-14 Years")</f>
        <v>3–5 Years</v>
      </c>
      <c r="J4079">
        <v>3</v>
      </c>
      <c r="K4079" t="s">
        <v>20</v>
      </c>
      <c r="L4079">
        <v>78800</v>
      </c>
      <c r="M4079">
        <v>7100</v>
      </c>
      <c r="N4079">
        <v>85900</v>
      </c>
      <c r="O4079" t="s">
        <v>21</v>
      </c>
      <c r="P4079" s="3">
        <v>43958</v>
      </c>
      <c r="Q4079" t="s">
        <v>19</v>
      </c>
    </row>
    <row r="4080" spans="1:17" x14ac:dyDescent="0.35">
      <c r="A4080" t="s">
        <v>4132</v>
      </c>
      <c r="B4080" t="s">
        <v>23</v>
      </c>
      <c r="C4080">
        <v>37</v>
      </c>
      <c r="D4080" t="s">
        <v>34</v>
      </c>
      <c r="E4080" t="s">
        <v>35</v>
      </c>
      <c r="F4080" t="s">
        <v>36</v>
      </c>
      <c r="G4080">
        <v>2.6</v>
      </c>
      <c r="H4080">
        <v>2.6</v>
      </c>
      <c r="I4080" t="str" cm="1">
        <f t="array" ref="I4080">_xlfn.IFS(G4080&lt;3, "0–2 Years", G4080&lt;6, "3–5 Years", G4080&lt;9, "6–8 Years", G4080&lt;12, "9-11 Years", G4080&gt;=12, "12-14 Years")</f>
        <v>0–2 Years</v>
      </c>
      <c r="J4080">
        <v>3</v>
      </c>
      <c r="K4080" t="s">
        <v>20</v>
      </c>
      <c r="L4080">
        <v>78300</v>
      </c>
      <c r="M4080">
        <v>4800</v>
      </c>
      <c r="N4080">
        <v>83100</v>
      </c>
      <c r="O4080" t="s">
        <v>21</v>
      </c>
      <c r="P4080" s="3">
        <v>45091</v>
      </c>
      <c r="Q4080" t="s">
        <v>36</v>
      </c>
    </row>
    <row r="4081" spans="1:17" x14ac:dyDescent="0.35">
      <c r="A4081" t="s">
        <v>4133</v>
      </c>
      <c r="B4081" t="s">
        <v>16</v>
      </c>
      <c r="C4081">
        <v>44</v>
      </c>
      <c r="D4081" t="s">
        <v>17</v>
      </c>
      <c r="E4081" t="s">
        <v>27</v>
      </c>
      <c r="F4081" t="s">
        <v>28</v>
      </c>
      <c r="G4081">
        <v>6.4</v>
      </c>
      <c r="H4081">
        <v>4.0999999999999996</v>
      </c>
      <c r="I4081" t="str" cm="1">
        <f t="array" ref="I4081">_xlfn.IFS(G4081&lt;3, "0–2 Years", G4081&lt;6, "3–5 Years", G4081&lt;9, "6–8 Years", G4081&lt;12, "9-11 Years", G4081&gt;=12, "12-14 Years")</f>
        <v>6–8 Years</v>
      </c>
      <c r="J4081">
        <v>2</v>
      </c>
      <c r="K4081" t="s">
        <v>20</v>
      </c>
      <c r="L4081">
        <v>68200</v>
      </c>
      <c r="M4081">
        <v>8400</v>
      </c>
      <c r="N4081">
        <v>76600</v>
      </c>
      <c r="O4081" t="s">
        <v>21</v>
      </c>
      <c r="P4081" s="3">
        <v>43689</v>
      </c>
      <c r="Q4081" t="s">
        <v>28</v>
      </c>
    </row>
    <row r="4082" spans="1:17" x14ac:dyDescent="0.35">
      <c r="A4082" t="s">
        <v>4134</v>
      </c>
      <c r="B4082" t="s">
        <v>23</v>
      </c>
      <c r="C4082" s="7">
        <v>31</v>
      </c>
      <c r="D4082" t="s">
        <v>17</v>
      </c>
      <c r="E4082" t="s">
        <v>27</v>
      </c>
      <c r="F4082" t="s">
        <v>62</v>
      </c>
      <c r="G4082" s="9">
        <v>12.8</v>
      </c>
      <c r="H4082" s="7">
        <v>10.6</v>
      </c>
      <c r="I4082" t="str" cm="1">
        <f t="array" ref="I4082">_xlfn.IFS(G4082&lt;3, "0–2 Years", G4082&lt;6, "3–5 Years", G4082&lt;9, "6–8 Years", G4082&lt;12, "9-11 Years", G4082&gt;=12, "12-14 Years")</f>
        <v>12-14 Years</v>
      </c>
      <c r="J4082" s="7">
        <v>3</v>
      </c>
      <c r="K4082" t="s">
        <v>20</v>
      </c>
      <c r="L4082" s="7">
        <v>97400</v>
      </c>
      <c r="M4082" s="7">
        <v>10100</v>
      </c>
      <c r="N4082" s="7">
        <v>107500</v>
      </c>
      <c r="O4082" t="s">
        <v>30</v>
      </c>
      <c r="P4082" s="3">
        <v>41349</v>
      </c>
      <c r="Q4082" t="s">
        <v>62</v>
      </c>
    </row>
    <row r="4083" spans="1:17" x14ac:dyDescent="0.35">
      <c r="A4083" t="s">
        <v>4135</v>
      </c>
      <c r="B4083" t="s">
        <v>23</v>
      </c>
      <c r="C4083">
        <v>31</v>
      </c>
      <c r="D4083" t="s">
        <v>38</v>
      </c>
      <c r="E4083" t="s">
        <v>112</v>
      </c>
      <c r="F4083" t="s">
        <v>62</v>
      </c>
      <c r="G4083">
        <v>11.8</v>
      </c>
      <c r="H4083">
        <v>7.5</v>
      </c>
      <c r="I4083" t="str" cm="1">
        <f t="array" ref="I4083">_xlfn.IFS(G4083&lt;3, "0–2 Years", G4083&lt;6, "3–5 Years", G4083&lt;9, "6–8 Years", G4083&lt;12, "9-11 Years", G4083&gt;=12, "12-14 Years")</f>
        <v>9-11 Years</v>
      </c>
      <c r="J4083">
        <v>5</v>
      </c>
      <c r="K4083" t="s">
        <v>20</v>
      </c>
      <c r="L4083">
        <v>92100</v>
      </c>
      <c r="M4083">
        <v>6100</v>
      </c>
      <c r="N4083">
        <v>98200</v>
      </c>
      <c r="O4083" t="s">
        <v>30</v>
      </c>
      <c r="P4083" s="3">
        <v>41730</v>
      </c>
      <c r="Q4083" t="s">
        <v>62</v>
      </c>
    </row>
    <row r="4084" spans="1:17" x14ac:dyDescent="0.35">
      <c r="A4084" t="s">
        <v>4136</v>
      </c>
      <c r="B4084" t="s">
        <v>16</v>
      </c>
      <c r="C4084">
        <v>34</v>
      </c>
      <c r="D4084" t="s">
        <v>38</v>
      </c>
      <c r="E4084" t="s">
        <v>112</v>
      </c>
      <c r="F4084" t="s">
        <v>36</v>
      </c>
      <c r="G4084">
        <v>5.7</v>
      </c>
      <c r="H4084">
        <v>5.4</v>
      </c>
      <c r="I4084" t="str" cm="1">
        <f t="array" ref="I4084">_xlfn.IFS(G4084&lt;3, "0–2 Years", G4084&lt;6, "3–5 Years", G4084&lt;9, "6–8 Years", G4084&lt;12, "9-11 Years", G4084&gt;=12, "12-14 Years")</f>
        <v>3–5 Years</v>
      </c>
      <c r="J4084">
        <v>3</v>
      </c>
      <c r="K4084" t="s">
        <v>20</v>
      </c>
      <c r="L4084">
        <v>77500</v>
      </c>
      <c r="M4084">
        <v>6900</v>
      </c>
      <c r="N4084">
        <v>84400</v>
      </c>
      <c r="O4084" t="s">
        <v>21</v>
      </c>
      <c r="P4084" s="3">
        <v>43953</v>
      </c>
      <c r="Q4084" t="s">
        <v>36</v>
      </c>
    </row>
    <row r="4085" spans="1:17" x14ac:dyDescent="0.35">
      <c r="A4085" t="s">
        <v>4137</v>
      </c>
      <c r="B4085" t="s">
        <v>16</v>
      </c>
      <c r="C4085" s="7">
        <v>23</v>
      </c>
      <c r="D4085" t="s">
        <v>17</v>
      </c>
      <c r="E4085" t="s">
        <v>32</v>
      </c>
      <c r="F4085" t="s">
        <v>28</v>
      </c>
      <c r="G4085" s="9">
        <v>12</v>
      </c>
      <c r="H4085" s="7">
        <v>7.6</v>
      </c>
      <c r="I4085" t="str" cm="1">
        <f t="array" ref="I4085">_xlfn.IFS(G4085&lt;3, "0–2 Years", G4085&lt;6, "3–5 Years", G4085&lt;9, "6–8 Years", G4085&lt;12, "9-11 Years", G4085&gt;=12, "12-14 Years")</f>
        <v>12-14 Years</v>
      </c>
      <c r="J4085" s="7">
        <v>3</v>
      </c>
      <c r="K4085" t="s">
        <v>20</v>
      </c>
      <c r="L4085" s="7">
        <v>84600</v>
      </c>
      <c r="M4085" s="7">
        <v>9400</v>
      </c>
      <c r="N4085" s="7">
        <v>94000</v>
      </c>
      <c r="O4085" t="s">
        <v>30</v>
      </c>
      <c r="P4085" s="3">
        <v>41650</v>
      </c>
      <c r="Q4085" t="s">
        <v>28</v>
      </c>
    </row>
    <row r="4086" spans="1:17" x14ac:dyDescent="0.35">
      <c r="A4086" t="s">
        <v>4138</v>
      </c>
      <c r="B4086" t="s">
        <v>16</v>
      </c>
      <c r="C4086">
        <v>29</v>
      </c>
      <c r="D4086" t="s">
        <v>17</v>
      </c>
      <c r="E4086" t="s">
        <v>32</v>
      </c>
      <c r="F4086" t="s">
        <v>28</v>
      </c>
      <c r="G4086">
        <v>1.5</v>
      </c>
      <c r="H4086">
        <v>0.7</v>
      </c>
      <c r="I4086" t="str" cm="1">
        <f t="array" ref="I4086">_xlfn.IFS(G4086&lt;3, "0–2 Years", G4086&lt;6, "3–5 Years", G4086&lt;9, "6–8 Years", G4086&lt;12, "9-11 Years", G4086&gt;=12, "12-14 Years")</f>
        <v>0–2 Years</v>
      </c>
      <c r="J4086">
        <v>3</v>
      </c>
      <c r="K4086" t="s">
        <v>20</v>
      </c>
      <c r="L4086">
        <v>69500</v>
      </c>
      <c r="M4086">
        <v>7900</v>
      </c>
      <c r="N4086">
        <v>77400</v>
      </c>
      <c r="O4086" t="s">
        <v>21</v>
      </c>
      <c r="P4086" s="3">
        <v>45487</v>
      </c>
      <c r="Q4086" t="s">
        <v>28</v>
      </c>
    </row>
    <row r="4087" spans="1:17" x14ac:dyDescent="0.35">
      <c r="A4087" t="s">
        <v>4139</v>
      </c>
      <c r="B4087" t="s">
        <v>23</v>
      </c>
      <c r="C4087">
        <v>36</v>
      </c>
      <c r="D4087" t="s">
        <v>34</v>
      </c>
      <c r="E4087" t="s">
        <v>47</v>
      </c>
      <c r="F4087" t="s">
        <v>28</v>
      </c>
      <c r="G4087">
        <v>6.4</v>
      </c>
      <c r="H4087">
        <v>4.4000000000000004</v>
      </c>
      <c r="I4087" t="str" cm="1">
        <f t="array" ref="I4087">_xlfn.IFS(G4087&lt;3, "0–2 Years", G4087&lt;6, "3–5 Years", G4087&lt;9, "6–8 Years", G4087&lt;12, "9-11 Years", G4087&gt;=12, "12-14 Years")</f>
        <v>6–8 Years</v>
      </c>
      <c r="J4087">
        <v>2</v>
      </c>
      <c r="K4087" t="s">
        <v>20</v>
      </c>
      <c r="L4087">
        <v>77700</v>
      </c>
      <c r="M4087">
        <v>8800</v>
      </c>
      <c r="N4087">
        <v>86500</v>
      </c>
      <c r="O4087" t="s">
        <v>21</v>
      </c>
      <c r="P4087" s="3">
        <v>43679</v>
      </c>
      <c r="Q4087" t="s">
        <v>28</v>
      </c>
    </row>
    <row r="4088" spans="1:17" x14ac:dyDescent="0.35">
      <c r="A4088" t="s">
        <v>4140</v>
      </c>
      <c r="B4088" t="s">
        <v>23</v>
      </c>
      <c r="C4088">
        <v>44</v>
      </c>
      <c r="D4088" t="s">
        <v>34</v>
      </c>
      <c r="E4088" t="s">
        <v>59</v>
      </c>
      <c r="F4088" t="s">
        <v>19</v>
      </c>
      <c r="G4088">
        <v>5.2</v>
      </c>
      <c r="H4088">
        <v>3.3</v>
      </c>
      <c r="I4088" t="str" cm="1">
        <f t="array" ref="I4088">_xlfn.IFS(G4088&lt;3, "0–2 Years", G4088&lt;6, "3–5 Years", G4088&lt;9, "6–8 Years", G4088&lt;12, "9-11 Years", G4088&gt;=12, "12-14 Years")</f>
        <v>3–5 Years</v>
      </c>
      <c r="J4088">
        <v>4</v>
      </c>
      <c r="K4088" t="s">
        <v>20</v>
      </c>
      <c r="L4088">
        <v>105500</v>
      </c>
      <c r="M4088">
        <v>7400</v>
      </c>
      <c r="N4088">
        <v>112900</v>
      </c>
      <c r="O4088" t="s">
        <v>57</v>
      </c>
      <c r="P4088" s="3">
        <v>44106</v>
      </c>
      <c r="Q4088" t="s">
        <v>19</v>
      </c>
    </row>
    <row r="4089" spans="1:17" x14ac:dyDescent="0.35">
      <c r="A4089" t="s">
        <v>4141</v>
      </c>
      <c r="B4089" t="s">
        <v>16</v>
      </c>
      <c r="C4089">
        <v>42</v>
      </c>
      <c r="D4089" t="s">
        <v>34</v>
      </c>
      <c r="E4089" t="s">
        <v>35</v>
      </c>
      <c r="F4089" t="s">
        <v>28</v>
      </c>
      <c r="G4089">
        <v>10.8</v>
      </c>
      <c r="H4089">
        <v>8.9</v>
      </c>
      <c r="I4089" t="str" cm="1">
        <f t="array" ref="I4089">_xlfn.IFS(G4089&lt;3, "0–2 Years", G4089&lt;6, "3–5 Years", G4089&lt;9, "6–8 Years", G4089&lt;12, "9-11 Years", G4089&gt;=12, "12-14 Years")</f>
        <v>9-11 Years</v>
      </c>
      <c r="J4089">
        <v>4</v>
      </c>
      <c r="K4089" t="s">
        <v>20</v>
      </c>
      <c r="L4089">
        <v>80400</v>
      </c>
      <c r="M4089">
        <v>4900</v>
      </c>
      <c r="N4089">
        <v>85300</v>
      </c>
      <c r="O4089" t="s">
        <v>30</v>
      </c>
      <c r="P4089" s="3">
        <v>42083</v>
      </c>
      <c r="Q4089" t="s">
        <v>28</v>
      </c>
    </row>
    <row r="4090" spans="1:17" x14ac:dyDescent="0.35">
      <c r="A4090" t="s">
        <v>4142</v>
      </c>
      <c r="B4090" t="s">
        <v>16</v>
      </c>
      <c r="C4090">
        <v>40</v>
      </c>
      <c r="D4090" t="s">
        <v>38</v>
      </c>
      <c r="E4090" t="s">
        <v>61</v>
      </c>
      <c r="F4090" t="s">
        <v>62</v>
      </c>
      <c r="G4090">
        <v>6.6</v>
      </c>
      <c r="H4090">
        <v>3.8</v>
      </c>
      <c r="I4090" t="str" cm="1">
        <f t="array" ref="I4090">_xlfn.IFS(G4090&lt;3, "0–2 Years", G4090&lt;6, "3–5 Years", G4090&lt;9, "6–8 Years", G4090&lt;12, "9-11 Years", G4090&gt;=12, "12-14 Years")</f>
        <v>6–8 Years</v>
      </c>
      <c r="J4090">
        <v>3</v>
      </c>
      <c r="K4090" t="s">
        <v>20</v>
      </c>
      <c r="L4090">
        <v>108200</v>
      </c>
      <c r="M4090">
        <v>6300</v>
      </c>
      <c r="N4090">
        <v>114500</v>
      </c>
      <c r="O4090" t="s">
        <v>57</v>
      </c>
      <c r="P4090" s="3">
        <v>43617</v>
      </c>
      <c r="Q4090" t="s">
        <v>62</v>
      </c>
    </row>
    <row r="4091" spans="1:17" x14ac:dyDescent="0.35">
      <c r="A4091" t="s">
        <v>4143</v>
      </c>
      <c r="B4091" t="s">
        <v>23</v>
      </c>
      <c r="C4091">
        <v>29</v>
      </c>
      <c r="D4091" t="s">
        <v>17</v>
      </c>
      <c r="E4091" t="s">
        <v>32</v>
      </c>
      <c r="F4091" t="s">
        <v>28</v>
      </c>
      <c r="G4091">
        <v>7.8</v>
      </c>
      <c r="H4091">
        <v>5.0999999999999996</v>
      </c>
      <c r="I4091" t="str" cm="1">
        <f t="array" ref="I4091">_xlfn.IFS(G4091&lt;3, "0–2 Years", G4091&lt;6, "3–5 Years", G4091&lt;9, "6–8 Years", G4091&lt;12, "9-11 Years", G4091&gt;=12, "12-14 Years")</f>
        <v>6–8 Years</v>
      </c>
      <c r="J4091">
        <v>3</v>
      </c>
      <c r="K4091" t="s">
        <v>24</v>
      </c>
      <c r="L4091">
        <v>42200</v>
      </c>
      <c r="M4091">
        <v>3500</v>
      </c>
      <c r="N4091">
        <v>45700</v>
      </c>
      <c r="O4091" t="s">
        <v>65</v>
      </c>
      <c r="P4091" s="3">
        <v>43164</v>
      </c>
      <c r="Q4091" t="s">
        <v>28</v>
      </c>
    </row>
    <row r="4092" spans="1:17" x14ac:dyDescent="0.35">
      <c r="A4092" t="s">
        <v>4144</v>
      </c>
      <c r="B4092" t="s">
        <v>16</v>
      </c>
      <c r="C4092">
        <v>39</v>
      </c>
      <c r="D4092" t="s">
        <v>41</v>
      </c>
      <c r="E4092" t="s">
        <v>42</v>
      </c>
      <c r="F4092" t="s">
        <v>28</v>
      </c>
      <c r="G4092">
        <v>11.8</v>
      </c>
      <c r="I4092" t="str" cm="1">
        <f t="array" ref="I4092">_xlfn.IFS(G4092&lt;3, "0–2 Years", G4092&lt;6, "3–5 Years", G4092&lt;9, "6–8 Years", G4092&lt;12, "9-11 Years", G4092&gt;=12, "12-14 Years")</f>
        <v>9-11 Years</v>
      </c>
      <c r="J4092">
        <v>3</v>
      </c>
      <c r="K4092" t="s">
        <v>24</v>
      </c>
      <c r="L4092">
        <v>43700</v>
      </c>
      <c r="M4092">
        <v>2600</v>
      </c>
      <c r="N4092">
        <v>46300</v>
      </c>
      <c r="O4092" t="s">
        <v>65</v>
      </c>
      <c r="P4092" s="3">
        <v>41710</v>
      </c>
      <c r="Q4092" t="s">
        <v>28</v>
      </c>
    </row>
    <row r="4093" spans="1:17" x14ac:dyDescent="0.35">
      <c r="A4093" t="s">
        <v>4145</v>
      </c>
      <c r="B4093" t="s">
        <v>23</v>
      </c>
      <c r="C4093">
        <v>54</v>
      </c>
      <c r="D4093" t="s">
        <v>55</v>
      </c>
      <c r="E4093" t="s">
        <v>92</v>
      </c>
      <c r="F4093" t="s">
        <v>28</v>
      </c>
      <c r="G4093">
        <v>1.7</v>
      </c>
      <c r="H4093">
        <v>0</v>
      </c>
      <c r="I4093" t="str" cm="1">
        <f t="array" ref="I4093">_xlfn.IFS(G4093&lt;3, "0–2 Years", G4093&lt;6, "3–5 Years", G4093&lt;9, "6–8 Years", G4093&lt;12, "9-11 Years", G4093&gt;=12, "12-14 Years")</f>
        <v>0–2 Years</v>
      </c>
      <c r="J4093">
        <v>3</v>
      </c>
      <c r="K4093" t="s">
        <v>20</v>
      </c>
      <c r="L4093">
        <v>103900</v>
      </c>
      <c r="M4093">
        <v>20500</v>
      </c>
      <c r="N4093">
        <v>124400</v>
      </c>
      <c r="O4093" t="s">
        <v>57</v>
      </c>
      <c r="P4093" s="3">
        <v>45406</v>
      </c>
      <c r="Q4093" t="s">
        <v>28</v>
      </c>
    </row>
    <row r="4094" spans="1:17" x14ac:dyDescent="0.35">
      <c r="A4094" t="s">
        <v>4146</v>
      </c>
      <c r="B4094" t="s">
        <v>16</v>
      </c>
      <c r="C4094">
        <v>30</v>
      </c>
      <c r="D4094" t="s">
        <v>17</v>
      </c>
      <c r="E4094" t="s">
        <v>27</v>
      </c>
      <c r="F4094" t="s">
        <v>19</v>
      </c>
      <c r="G4094">
        <v>10.5</v>
      </c>
      <c r="H4094">
        <v>6.7</v>
      </c>
      <c r="I4094" t="str" cm="1">
        <f t="array" ref="I4094">_xlfn.IFS(G4094&lt;3, "0–2 Years", G4094&lt;6, "3–5 Years", G4094&lt;9, "6–8 Years", G4094&lt;12, "9-11 Years", G4094&gt;=12, "12-14 Years")</f>
        <v>9-11 Years</v>
      </c>
      <c r="J4094">
        <v>3</v>
      </c>
      <c r="K4094" t="s">
        <v>20</v>
      </c>
      <c r="L4094">
        <v>78600</v>
      </c>
      <c r="M4094">
        <v>4300</v>
      </c>
      <c r="N4094">
        <v>82900</v>
      </c>
      <c r="O4094" t="s">
        <v>21</v>
      </c>
      <c r="P4094" s="3">
        <v>42177</v>
      </c>
      <c r="Q4094" t="s">
        <v>19</v>
      </c>
    </row>
    <row r="4095" spans="1:17" x14ac:dyDescent="0.35">
      <c r="A4095" t="s">
        <v>4147</v>
      </c>
      <c r="B4095" t="s">
        <v>23</v>
      </c>
      <c r="C4095">
        <v>36</v>
      </c>
      <c r="D4095" t="s">
        <v>41</v>
      </c>
      <c r="E4095" t="s">
        <v>73</v>
      </c>
      <c r="F4095" t="s">
        <v>28</v>
      </c>
      <c r="G4095">
        <v>6.5</v>
      </c>
      <c r="H4095">
        <v>4.7</v>
      </c>
      <c r="I4095" t="str" cm="1">
        <f t="array" ref="I4095">_xlfn.IFS(G4095&lt;3, "0–2 Years", G4095&lt;6, "3–5 Years", G4095&lt;9, "6–8 Years", G4095&lt;12, "9-11 Years", G4095&gt;=12, "12-14 Years")</f>
        <v>6–8 Years</v>
      </c>
      <c r="J4095">
        <v>3</v>
      </c>
      <c r="K4095" t="s">
        <v>20</v>
      </c>
      <c r="L4095">
        <v>111400</v>
      </c>
      <c r="M4095">
        <v>6400</v>
      </c>
      <c r="N4095">
        <v>117800</v>
      </c>
      <c r="O4095" t="s">
        <v>57</v>
      </c>
      <c r="P4095" s="3">
        <v>43661</v>
      </c>
      <c r="Q4095" t="s">
        <v>28</v>
      </c>
    </row>
    <row r="4096" spans="1:17" x14ac:dyDescent="0.35">
      <c r="A4096" t="s">
        <v>4148</v>
      </c>
      <c r="B4096" t="s">
        <v>23</v>
      </c>
      <c r="C4096">
        <v>32</v>
      </c>
      <c r="D4096" t="s">
        <v>44</v>
      </c>
      <c r="E4096" t="s">
        <v>76</v>
      </c>
      <c r="F4096" t="s">
        <v>19</v>
      </c>
      <c r="G4096">
        <v>3.5</v>
      </c>
      <c r="H4096">
        <v>2.2999999999999998</v>
      </c>
      <c r="I4096" t="str" cm="1">
        <f t="array" ref="I4096">_xlfn.IFS(G4096&lt;3, "0–2 Years", G4096&lt;6, "3–5 Years", G4096&lt;9, "6–8 Years", G4096&lt;12, "9-11 Years", G4096&gt;=12, "12-14 Years")</f>
        <v>3–5 Years</v>
      </c>
      <c r="J4096">
        <v>3</v>
      </c>
      <c r="K4096" t="s">
        <v>24</v>
      </c>
      <c r="L4096">
        <v>63400</v>
      </c>
      <c r="M4096">
        <v>3500</v>
      </c>
      <c r="N4096">
        <v>66900</v>
      </c>
      <c r="O4096" t="s">
        <v>25</v>
      </c>
      <c r="P4096" s="3">
        <v>44746</v>
      </c>
      <c r="Q4096" t="s">
        <v>19</v>
      </c>
    </row>
    <row r="4097" spans="1:17" x14ac:dyDescent="0.35">
      <c r="A4097" t="s">
        <v>4149</v>
      </c>
      <c r="B4097" t="s">
        <v>23</v>
      </c>
      <c r="C4097">
        <v>25</v>
      </c>
      <c r="D4097" t="s">
        <v>44</v>
      </c>
      <c r="E4097" t="s">
        <v>45</v>
      </c>
      <c r="F4097" t="s">
        <v>28</v>
      </c>
      <c r="G4097">
        <v>10.199999999999999</v>
      </c>
      <c r="H4097">
        <v>6.3</v>
      </c>
      <c r="I4097" t="str" cm="1">
        <f t="array" ref="I4097">_xlfn.IFS(G4097&lt;3, "0–2 Years", G4097&lt;6, "3–5 Years", G4097&lt;9, "6–8 Years", G4097&lt;12, "9-11 Years", G4097&gt;=12, "12-14 Years")</f>
        <v>9-11 Years</v>
      </c>
      <c r="J4097">
        <v>5</v>
      </c>
      <c r="K4097" t="s">
        <v>20</v>
      </c>
      <c r="L4097">
        <v>91000</v>
      </c>
      <c r="M4097">
        <v>9200</v>
      </c>
      <c r="N4097">
        <v>100200</v>
      </c>
      <c r="O4097" t="s">
        <v>30</v>
      </c>
      <c r="P4097" s="3">
        <v>42315</v>
      </c>
      <c r="Q4097" t="s">
        <v>28</v>
      </c>
    </row>
    <row r="4098" spans="1:17" x14ac:dyDescent="0.35">
      <c r="A4098" t="s">
        <v>4150</v>
      </c>
      <c r="B4098" t="s">
        <v>16</v>
      </c>
      <c r="C4098" s="7">
        <v>26</v>
      </c>
      <c r="D4098" t="s">
        <v>41</v>
      </c>
      <c r="E4098" t="s">
        <v>67</v>
      </c>
      <c r="F4098" t="s">
        <v>28</v>
      </c>
      <c r="G4098" s="9">
        <v>13.7</v>
      </c>
      <c r="H4098" s="7">
        <v>9.3000000000000007</v>
      </c>
      <c r="I4098" t="str" cm="1">
        <f t="array" ref="I4098">_xlfn.IFS(G4098&lt;3, "0–2 Years", G4098&lt;6, "3–5 Years", G4098&lt;9, "6–8 Years", G4098&lt;12, "9-11 Years", G4098&gt;=12, "12-14 Years")</f>
        <v>12-14 Years</v>
      </c>
      <c r="J4098" s="7">
        <v>1</v>
      </c>
      <c r="K4098" t="s">
        <v>20</v>
      </c>
      <c r="L4098" s="7">
        <v>71900</v>
      </c>
      <c r="M4098" s="7">
        <v>3400</v>
      </c>
      <c r="N4098" s="7">
        <v>75300</v>
      </c>
      <c r="O4098" t="s">
        <v>21</v>
      </c>
      <c r="P4098" s="3">
        <v>41023</v>
      </c>
      <c r="Q4098" t="s">
        <v>28</v>
      </c>
    </row>
    <row r="4099" spans="1:17" x14ac:dyDescent="0.35">
      <c r="A4099" t="s">
        <v>4151</v>
      </c>
      <c r="B4099" t="s">
        <v>16</v>
      </c>
      <c r="C4099">
        <v>37</v>
      </c>
      <c r="D4099" t="s">
        <v>55</v>
      </c>
      <c r="E4099" t="s">
        <v>79</v>
      </c>
      <c r="F4099" t="s">
        <v>36</v>
      </c>
      <c r="G4099">
        <v>11.7</v>
      </c>
      <c r="H4099">
        <v>8.9</v>
      </c>
      <c r="I4099" t="str" cm="1">
        <f t="array" ref="I4099">_xlfn.IFS(G4099&lt;3, "0–2 Years", G4099&lt;6, "3–5 Years", G4099&lt;9, "6–8 Years", G4099&lt;12, "9-11 Years", G4099&gt;=12, "12-14 Years")</f>
        <v>9-11 Years</v>
      </c>
      <c r="J4099">
        <v>3</v>
      </c>
      <c r="K4099" t="s">
        <v>20</v>
      </c>
      <c r="L4099">
        <v>63700</v>
      </c>
      <c r="M4099">
        <v>11100</v>
      </c>
      <c r="N4099">
        <v>74800</v>
      </c>
      <c r="O4099" t="s">
        <v>25</v>
      </c>
      <c r="P4099" s="3">
        <v>41755</v>
      </c>
      <c r="Q4099" t="s">
        <v>36</v>
      </c>
    </row>
    <row r="4100" spans="1:17" x14ac:dyDescent="0.35">
      <c r="A4100" t="s">
        <v>4152</v>
      </c>
      <c r="B4100" t="s">
        <v>23</v>
      </c>
      <c r="C4100">
        <v>36</v>
      </c>
      <c r="D4100" t="s">
        <v>34</v>
      </c>
      <c r="E4100" t="s">
        <v>35</v>
      </c>
      <c r="F4100" t="s">
        <v>28</v>
      </c>
      <c r="G4100">
        <v>6.7</v>
      </c>
      <c r="H4100">
        <v>3.7</v>
      </c>
      <c r="I4100" t="str" cm="1">
        <f t="array" ref="I4100">_xlfn.IFS(G4100&lt;3, "0–2 Years", G4100&lt;6, "3–5 Years", G4100&lt;9, "6–8 Years", G4100&lt;12, "9-11 Years", G4100&gt;=12, "12-14 Years")</f>
        <v>6–8 Years</v>
      </c>
      <c r="J4100">
        <v>3</v>
      </c>
      <c r="K4100" t="s">
        <v>20</v>
      </c>
      <c r="L4100">
        <v>82100</v>
      </c>
      <c r="M4100">
        <v>5200</v>
      </c>
      <c r="N4100">
        <v>87300</v>
      </c>
      <c r="O4100" t="s">
        <v>30</v>
      </c>
      <c r="P4100" s="3">
        <v>43562</v>
      </c>
      <c r="Q4100" t="s">
        <v>28</v>
      </c>
    </row>
    <row r="4101" spans="1:17" x14ac:dyDescent="0.35">
      <c r="A4101" t="s">
        <v>4153</v>
      </c>
      <c r="B4101" t="s">
        <v>23</v>
      </c>
      <c r="C4101">
        <v>23</v>
      </c>
      <c r="D4101" t="s">
        <v>55</v>
      </c>
      <c r="E4101" t="s">
        <v>92</v>
      </c>
      <c r="F4101" t="s">
        <v>36</v>
      </c>
      <c r="G4101">
        <v>10.9</v>
      </c>
      <c r="H4101">
        <v>6.3</v>
      </c>
      <c r="I4101" t="str" cm="1">
        <f t="array" ref="I4101">_xlfn.IFS(G4101&lt;3, "0–2 Years", G4101&lt;6, "3–5 Years", G4101&lt;9, "6–8 Years", G4101&lt;12, "9-11 Years", G4101&gt;=12, "12-14 Years")</f>
        <v>9-11 Years</v>
      </c>
      <c r="J4101">
        <v>5</v>
      </c>
      <c r="K4101" t="s">
        <v>20</v>
      </c>
      <c r="L4101">
        <v>116900</v>
      </c>
      <c r="M4101">
        <v>20100</v>
      </c>
      <c r="N4101">
        <v>137000</v>
      </c>
      <c r="O4101" t="s">
        <v>57</v>
      </c>
      <c r="P4101" s="3">
        <v>42036</v>
      </c>
      <c r="Q4101" t="s">
        <v>36</v>
      </c>
    </row>
    <row r="4102" spans="1:17" x14ac:dyDescent="0.35">
      <c r="A4102" t="s">
        <v>4154</v>
      </c>
      <c r="B4102" t="s">
        <v>16</v>
      </c>
      <c r="C4102" s="7">
        <v>33</v>
      </c>
      <c r="D4102" t="s">
        <v>17</v>
      </c>
      <c r="E4102" t="s">
        <v>27</v>
      </c>
      <c r="F4102" t="s">
        <v>28</v>
      </c>
      <c r="G4102" s="9">
        <v>12.5</v>
      </c>
      <c r="H4102" s="7">
        <v>11.5</v>
      </c>
      <c r="I4102" t="str" cm="1">
        <f t="array" ref="I4102">_xlfn.IFS(G4102&lt;3, "0–2 Years", G4102&lt;6, "3–5 Years", G4102&lt;9, "6–8 Years", G4102&lt;12, "9-11 Years", G4102&gt;=12, "12-14 Years")</f>
        <v>12-14 Years</v>
      </c>
      <c r="J4102" s="7">
        <v>3</v>
      </c>
      <c r="K4102" t="s">
        <v>20</v>
      </c>
      <c r="L4102" s="7">
        <v>81800</v>
      </c>
      <c r="M4102" s="7">
        <v>9500</v>
      </c>
      <c r="N4102" s="7">
        <v>91300</v>
      </c>
      <c r="O4102" t="s">
        <v>30</v>
      </c>
      <c r="P4102" s="3">
        <v>41462</v>
      </c>
      <c r="Q4102" t="s">
        <v>28</v>
      </c>
    </row>
    <row r="4103" spans="1:17" x14ac:dyDescent="0.35">
      <c r="A4103" t="s">
        <v>4155</v>
      </c>
      <c r="B4103" t="s">
        <v>16</v>
      </c>
      <c r="C4103">
        <v>21</v>
      </c>
      <c r="D4103" t="s">
        <v>41</v>
      </c>
      <c r="E4103" t="s">
        <v>67</v>
      </c>
      <c r="F4103" t="s">
        <v>36</v>
      </c>
      <c r="G4103">
        <v>6</v>
      </c>
      <c r="H4103">
        <v>1.9</v>
      </c>
      <c r="I4103" t="str" cm="1">
        <f t="array" ref="I4103">_xlfn.IFS(G4103&lt;3, "0–2 Years", G4103&lt;6, "3–5 Years", G4103&lt;9, "6–8 Years", G4103&lt;12, "9-11 Years", G4103&gt;=12, "12-14 Years")</f>
        <v>6–8 Years</v>
      </c>
      <c r="J4103">
        <v>4</v>
      </c>
      <c r="K4103" t="s">
        <v>20</v>
      </c>
      <c r="L4103">
        <v>71800</v>
      </c>
      <c r="M4103">
        <v>3800</v>
      </c>
      <c r="N4103">
        <v>75600</v>
      </c>
      <c r="O4103" t="s">
        <v>21</v>
      </c>
      <c r="P4103" s="3">
        <v>43842</v>
      </c>
      <c r="Q4103" t="s">
        <v>36</v>
      </c>
    </row>
    <row r="4104" spans="1:17" x14ac:dyDescent="0.35">
      <c r="A4104" t="s">
        <v>4156</v>
      </c>
      <c r="B4104" t="s">
        <v>23</v>
      </c>
      <c r="C4104">
        <v>33</v>
      </c>
      <c r="D4104" t="s">
        <v>55</v>
      </c>
      <c r="E4104" t="s">
        <v>92</v>
      </c>
      <c r="F4104" t="s">
        <v>28</v>
      </c>
      <c r="G4104">
        <v>9.9</v>
      </c>
      <c r="H4104">
        <v>6.1</v>
      </c>
      <c r="I4104" t="str" cm="1">
        <f t="array" ref="I4104">_xlfn.IFS(G4104&lt;3, "0–2 Years", G4104&lt;6, "3–5 Years", G4104&lt;9, "6–8 Years", G4104&lt;12, "9-11 Years", G4104&gt;=12, "12-14 Years")</f>
        <v>9-11 Years</v>
      </c>
      <c r="J4104">
        <v>3</v>
      </c>
      <c r="K4104" t="s">
        <v>20</v>
      </c>
      <c r="L4104">
        <v>95300</v>
      </c>
      <c r="M4104">
        <v>17100</v>
      </c>
      <c r="N4104">
        <v>112400</v>
      </c>
      <c r="O4104" t="s">
        <v>30</v>
      </c>
      <c r="P4104" s="3">
        <v>42418</v>
      </c>
      <c r="Q4104" t="s">
        <v>28</v>
      </c>
    </row>
    <row r="4105" spans="1:17" x14ac:dyDescent="0.35">
      <c r="A4105" t="s">
        <v>4157</v>
      </c>
      <c r="B4105" t="s">
        <v>23</v>
      </c>
      <c r="C4105">
        <v>30</v>
      </c>
      <c r="D4105" t="s">
        <v>34</v>
      </c>
      <c r="E4105" t="s">
        <v>59</v>
      </c>
      <c r="F4105" t="s">
        <v>36</v>
      </c>
      <c r="G4105">
        <v>2.7</v>
      </c>
      <c r="H4105">
        <v>1.8</v>
      </c>
      <c r="I4105" t="str" cm="1">
        <f t="array" ref="I4105">_xlfn.IFS(G4105&lt;3, "0–2 Years", G4105&lt;6, "3–5 Years", G4105&lt;9, "6–8 Years", G4105&lt;12, "9-11 Years", G4105&gt;=12, "12-14 Years")</f>
        <v>0–2 Years</v>
      </c>
      <c r="J4105">
        <v>4</v>
      </c>
      <c r="K4105" t="s">
        <v>20</v>
      </c>
      <c r="L4105">
        <v>99000</v>
      </c>
      <c r="M4105">
        <v>11500</v>
      </c>
      <c r="N4105">
        <v>110500</v>
      </c>
      <c r="O4105" t="s">
        <v>30</v>
      </c>
      <c r="P4105" s="3">
        <v>45037</v>
      </c>
      <c r="Q4105" t="s">
        <v>36</v>
      </c>
    </row>
    <row r="4106" spans="1:17" x14ac:dyDescent="0.35">
      <c r="A4106" t="s">
        <v>4158</v>
      </c>
      <c r="B4106" t="s">
        <v>23</v>
      </c>
      <c r="C4106">
        <v>38</v>
      </c>
      <c r="D4106" t="s">
        <v>34</v>
      </c>
      <c r="E4106" t="s">
        <v>35</v>
      </c>
      <c r="F4106" t="s">
        <v>36</v>
      </c>
      <c r="G4106">
        <v>2.4</v>
      </c>
      <c r="H4106">
        <v>2.4</v>
      </c>
      <c r="I4106" t="str" cm="1">
        <f t="array" ref="I4106">_xlfn.IFS(G4106&lt;3, "0–2 Years", G4106&lt;6, "3–5 Years", G4106&lt;9, "6–8 Years", G4106&lt;12, "9-11 Years", G4106&gt;=12, "12-14 Years")</f>
        <v>0–2 Years</v>
      </c>
      <c r="J4106">
        <v>3</v>
      </c>
      <c r="K4106" t="s">
        <v>20</v>
      </c>
      <c r="L4106">
        <v>85800</v>
      </c>
      <c r="M4106">
        <v>5700</v>
      </c>
      <c r="N4106">
        <v>91500</v>
      </c>
      <c r="O4106" t="s">
        <v>30</v>
      </c>
      <c r="P4106" s="3">
        <v>45138</v>
      </c>
      <c r="Q4106" t="s">
        <v>36</v>
      </c>
    </row>
    <row r="4107" spans="1:17" x14ac:dyDescent="0.35">
      <c r="A4107" t="s">
        <v>4159</v>
      </c>
      <c r="B4107" t="s">
        <v>16</v>
      </c>
      <c r="C4107">
        <v>41</v>
      </c>
      <c r="D4107" t="s">
        <v>41</v>
      </c>
      <c r="E4107" t="s">
        <v>73</v>
      </c>
      <c r="F4107" t="s">
        <v>36</v>
      </c>
      <c r="G4107">
        <v>2.2999999999999998</v>
      </c>
      <c r="H4107">
        <v>0</v>
      </c>
      <c r="I4107" t="str" cm="1">
        <f t="array" ref="I4107">_xlfn.IFS(G4107&lt;3, "0–2 Years", G4107&lt;6, "3–5 Years", G4107&lt;9, "6–8 Years", G4107&lt;12, "9-11 Years", G4107&gt;=12, "12-14 Years")</f>
        <v>0–2 Years</v>
      </c>
      <c r="J4107">
        <v>4</v>
      </c>
      <c r="K4107" t="s">
        <v>20</v>
      </c>
      <c r="L4107">
        <v>110500</v>
      </c>
      <c r="M4107">
        <v>4300</v>
      </c>
      <c r="N4107">
        <v>114800</v>
      </c>
      <c r="O4107" t="s">
        <v>57</v>
      </c>
      <c r="P4107" s="3">
        <v>45194</v>
      </c>
      <c r="Q4107" t="s">
        <v>36</v>
      </c>
    </row>
    <row r="4108" spans="1:17" x14ac:dyDescent="0.35">
      <c r="A4108" t="s">
        <v>4160</v>
      </c>
      <c r="B4108" t="s">
        <v>23</v>
      </c>
      <c r="C4108" s="7">
        <v>28</v>
      </c>
      <c r="D4108" t="s">
        <v>44</v>
      </c>
      <c r="E4108" t="s">
        <v>45</v>
      </c>
      <c r="F4108" t="s">
        <v>19</v>
      </c>
      <c r="G4108" s="9">
        <v>13.9</v>
      </c>
      <c r="H4108" s="7">
        <v>8.8000000000000007</v>
      </c>
      <c r="I4108" t="str" cm="1">
        <f t="array" ref="I4108">_xlfn.IFS(G4108&lt;3, "0–2 Years", G4108&lt;6, "3–5 Years", G4108&lt;9, "6–8 Years", G4108&lt;12, "9-11 Years", G4108&gt;=12, "12-14 Years")</f>
        <v>12-14 Years</v>
      </c>
      <c r="J4108" s="7">
        <v>3</v>
      </c>
      <c r="K4108" t="s">
        <v>20</v>
      </c>
      <c r="L4108" s="7">
        <v>63500</v>
      </c>
      <c r="M4108" s="7">
        <v>4100</v>
      </c>
      <c r="N4108" s="7">
        <v>67600</v>
      </c>
      <c r="O4108" t="s">
        <v>25</v>
      </c>
      <c r="P4108" s="3">
        <v>40961</v>
      </c>
      <c r="Q4108" t="s">
        <v>19</v>
      </c>
    </row>
    <row r="4109" spans="1:17" x14ac:dyDescent="0.35">
      <c r="A4109" t="s">
        <v>4161</v>
      </c>
      <c r="B4109" t="s">
        <v>23</v>
      </c>
      <c r="C4109">
        <v>26</v>
      </c>
      <c r="D4109" t="s">
        <v>41</v>
      </c>
      <c r="E4109" t="s">
        <v>42</v>
      </c>
      <c r="F4109" t="s">
        <v>28</v>
      </c>
      <c r="G4109">
        <v>1.5</v>
      </c>
      <c r="H4109">
        <v>0</v>
      </c>
      <c r="I4109" t="str" cm="1">
        <f t="array" ref="I4109">_xlfn.IFS(G4109&lt;3, "0–2 Years", G4109&lt;6, "3–5 Years", G4109&lt;9, "6–8 Years", G4109&lt;12, "9-11 Years", G4109&gt;=12, "12-14 Years")</f>
        <v>0–2 Years</v>
      </c>
      <c r="J4109">
        <v>2</v>
      </c>
      <c r="K4109" t="s">
        <v>20</v>
      </c>
      <c r="L4109">
        <v>65600</v>
      </c>
      <c r="M4109">
        <v>5300</v>
      </c>
      <c r="N4109">
        <v>70900</v>
      </c>
      <c r="O4109" t="s">
        <v>21</v>
      </c>
      <c r="P4109" s="3">
        <v>45468</v>
      </c>
      <c r="Q4109" t="s">
        <v>28</v>
      </c>
    </row>
    <row r="4110" spans="1:17" x14ac:dyDescent="0.35">
      <c r="A4110" t="s">
        <v>4162</v>
      </c>
      <c r="B4110" t="s">
        <v>16</v>
      </c>
      <c r="C4110">
        <v>38</v>
      </c>
      <c r="D4110" t="s">
        <v>17</v>
      </c>
      <c r="E4110" t="s">
        <v>27</v>
      </c>
      <c r="F4110" t="s">
        <v>36</v>
      </c>
      <c r="G4110">
        <v>7.9</v>
      </c>
      <c r="H4110">
        <v>4.8</v>
      </c>
      <c r="I4110" t="str" cm="1">
        <f t="array" ref="I4110">_xlfn.IFS(G4110&lt;3, "0–2 Years", G4110&lt;6, "3–5 Years", G4110&lt;9, "6–8 Years", G4110&lt;12, "9-11 Years", G4110&gt;=12, "12-14 Years")</f>
        <v>6–8 Years</v>
      </c>
      <c r="J4110">
        <v>3</v>
      </c>
      <c r="K4110" t="s">
        <v>20</v>
      </c>
      <c r="L4110">
        <v>81000</v>
      </c>
      <c r="M4110">
        <v>4800</v>
      </c>
      <c r="N4110">
        <v>85800</v>
      </c>
      <c r="O4110" t="s">
        <v>30</v>
      </c>
      <c r="P4110" s="3">
        <v>43151</v>
      </c>
      <c r="Q4110" t="s">
        <v>36</v>
      </c>
    </row>
    <row r="4111" spans="1:17" x14ac:dyDescent="0.35">
      <c r="A4111" t="s">
        <v>4163</v>
      </c>
      <c r="B4111" t="s">
        <v>23</v>
      </c>
      <c r="C4111">
        <v>26</v>
      </c>
      <c r="D4111" t="s">
        <v>34</v>
      </c>
      <c r="E4111" t="s">
        <v>59</v>
      </c>
      <c r="F4111" t="s">
        <v>36</v>
      </c>
      <c r="G4111">
        <v>4.8</v>
      </c>
      <c r="H4111">
        <v>2.2000000000000002</v>
      </c>
      <c r="I4111" t="str" cm="1">
        <f t="array" ref="I4111">_xlfn.IFS(G4111&lt;3, "0–2 Years", G4111&lt;6, "3–5 Years", G4111&lt;9, "6–8 Years", G4111&lt;12, "9-11 Years", G4111&gt;=12, "12-14 Years")</f>
        <v>3–5 Years</v>
      </c>
      <c r="J4111">
        <v>3</v>
      </c>
      <c r="K4111" t="s">
        <v>20</v>
      </c>
      <c r="L4111">
        <v>105600</v>
      </c>
      <c r="M4111">
        <v>7400</v>
      </c>
      <c r="N4111">
        <v>113000</v>
      </c>
      <c r="O4111" t="s">
        <v>57</v>
      </c>
      <c r="P4111" s="3">
        <v>44259</v>
      </c>
      <c r="Q4111" t="s">
        <v>36</v>
      </c>
    </row>
    <row r="4112" spans="1:17" x14ac:dyDescent="0.35">
      <c r="A4112" t="s">
        <v>4164</v>
      </c>
      <c r="B4112" t="s">
        <v>16</v>
      </c>
      <c r="C4112">
        <v>38</v>
      </c>
      <c r="D4112" t="s">
        <v>38</v>
      </c>
      <c r="E4112" t="s">
        <v>39</v>
      </c>
      <c r="F4112" t="s">
        <v>28</v>
      </c>
      <c r="G4112">
        <v>7.2</v>
      </c>
      <c r="H4112">
        <v>6.4</v>
      </c>
      <c r="I4112" t="str" cm="1">
        <f t="array" ref="I4112">_xlfn.IFS(G4112&lt;3, "0–2 Years", G4112&lt;6, "3–5 Years", G4112&lt;9, "6–8 Years", G4112&lt;12, "9-11 Years", G4112&gt;=12, "12-14 Years")</f>
        <v>6–8 Years</v>
      </c>
      <c r="J4112">
        <v>3</v>
      </c>
      <c r="K4112" t="s">
        <v>69</v>
      </c>
      <c r="L4112">
        <v>62300</v>
      </c>
      <c r="M4112">
        <v>2800</v>
      </c>
      <c r="N4112">
        <v>65100</v>
      </c>
      <c r="O4112" t="s">
        <v>25</v>
      </c>
      <c r="P4112" s="3">
        <v>43383</v>
      </c>
      <c r="Q4112" t="s">
        <v>28</v>
      </c>
    </row>
    <row r="4113" spans="1:17" x14ac:dyDescent="0.35">
      <c r="A4113" t="s">
        <v>4165</v>
      </c>
      <c r="B4113" t="s">
        <v>16</v>
      </c>
      <c r="C4113">
        <v>34</v>
      </c>
      <c r="D4113" t="s">
        <v>34</v>
      </c>
      <c r="E4113" t="s">
        <v>47</v>
      </c>
      <c r="F4113" t="s">
        <v>36</v>
      </c>
      <c r="G4113">
        <v>3.5</v>
      </c>
      <c r="H4113">
        <v>1.4</v>
      </c>
      <c r="I4113" t="str" cm="1">
        <f t="array" ref="I4113">_xlfn.IFS(G4113&lt;3, "0–2 Years", G4113&lt;6, "3–5 Years", G4113&lt;9, "6–8 Years", G4113&lt;12, "9-11 Years", G4113&gt;=12, "12-14 Years")</f>
        <v>3–5 Years</v>
      </c>
      <c r="J4113">
        <v>4</v>
      </c>
      <c r="K4113" t="s">
        <v>20</v>
      </c>
      <c r="L4113">
        <v>70600</v>
      </c>
      <c r="M4113">
        <v>4300</v>
      </c>
      <c r="N4113">
        <v>74900</v>
      </c>
      <c r="O4113" t="s">
        <v>21</v>
      </c>
      <c r="P4113" s="3">
        <v>44735</v>
      </c>
      <c r="Q4113" t="s">
        <v>36</v>
      </c>
    </row>
    <row r="4114" spans="1:17" x14ac:dyDescent="0.35">
      <c r="A4114" t="s">
        <v>4166</v>
      </c>
      <c r="B4114" t="s">
        <v>23</v>
      </c>
      <c r="C4114">
        <v>32</v>
      </c>
      <c r="D4114" t="s">
        <v>55</v>
      </c>
      <c r="E4114" t="s">
        <v>79</v>
      </c>
      <c r="F4114" t="s">
        <v>36</v>
      </c>
      <c r="G4114">
        <v>3.9</v>
      </c>
      <c r="H4114">
        <v>1.8</v>
      </c>
      <c r="I4114" t="str" cm="1">
        <f t="array" ref="I4114">_xlfn.IFS(G4114&lt;3, "0–2 Years", G4114&lt;6, "3–5 Years", G4114&lt;9, "6–8 Years", G4114&lt;12, "9-11 Years", G4114&gt;=12, "12-14 Years")</f>
        <v>3–5 Years</v>
      </c>
      <c r="J4114">
        <v>3</v>
      </c>
      <c r="K4114" t="s">
        <v>20</v>
      </c>
      <c r="L4114">
        <v>66200</v>
      </c>
      <c r="M4114">
        <v>8200</v>
      </c>
      <c r="N4114">
        <v>74400</v>
      </c>
      <c r="O4114" t="s">
        <v>21</v>
      </c>
      <c r="P4114" s="3">
        <v>44582</v>
      </c>
      <c r="Q4114" t="s">
        <v>36</v>
      </c>
    </row>
    <row r="4115" spans="1:17" x14ac:dyDescent="0.35">
      <c r="A4115" t="s">
        <v>4167</v>
      </c>
      <c r="B4115" t="s">
        <v>23</v>
      </c>
      <c r="C4115">
        <v>33</v>
      </c>
      <c r="D4115" t="s">
        <v>41</v>
      </c>
      <c r="E4115" t="s">
        <v>42</v>
      </c>
      <c r="F4115" t="s">
        <v>36</v>
      </c>
      <c r="G4115">
        <v>2.5</v>
      </c>
      <c r="H4115">
        <v>0.8</v>
      </c>
      <c r="I4115" t="str" cm="1">
        <f t="array" ref="I4115">_xlfn.IFS(G4115&lt;3, "0–2 Years", G4115&lt;6, "3–5 Years", G4115&lt;9, "6–8 Years", G4115&lt;12, "9-11 Years", G4115&gt;=12, "12-14 Years")</f>
        <v>0–2 Years</v>
      </c>
      <c r="J4115">
        <v>2</v>
      </c>
      <c r="K4115" t="s">
        <v>24</v>
      </c>
      <c r="L4115">
        <v>42300</v>
      </c>
      <c r="M4115">
        <v>3300</v>
      </c>
      <c r="N4115">
        <v>45600</v>
      </c>
      <c r="O4115" t="s">
        <v>65</v>
      </c>
      <c r="P4115" s="3">
        <v>45114</v>
      </c>
      <c r="Q4115" t="s">
        <v>36</v>
      </c>
    </row>
    <row r="4116" spans="1:17" x14ac:dyDescent="0.35">
      <c r="A4116" t="s">
        <v>4168</v>
      </c>
      <c r="B4116" t="s">
        <v>23</v>
      </c>
      <c r="C4116">
        <v>21</v>
      </c>
      <c r="D4116" t="s">
        <v>17</v>
      </c>
      <c r="E4116" t="s">
        <v>18</v>
      </c>
      <c r="F4116" t="s">
        <v>36</v>
      </c>
      <c r="G4116">
        <v>8</v>
      </c>
      <c r="H4116">
        <v>6.1</v>
      </c>
      <c r="I4116" t="str" cm="1">
        <f t="array" ref="I4116">_xlfn.IFS(G4116&lt;3, "0–2 Years", G4116&lt;6, "3–5 Years", G4116&lt;9, "6–8 Years", G4116&lt;12, "9-11 Years", G4116&gt;=12, "12-14 Years")</f>
        <v>6–8 Years</v>
      </c>
      <c r="J4116">
        <v>3</v>
      </c>
      <c r="K4116" t="s">
        <v>20</v>
      </c>
      <c r="L4116">
        <v>103700</v>
      </c>
      <c r="M4116">
        <v>10300</v>
      </c>
      <c r="N4116">
        <v>114000</v>
      </c>
      <c r="O4116" t="s">
        <v>57</v>
      </c>
      <c r="P4116" s="3">
        <v>43091</v>
      </c>
      <c r="Q4116" t="s">
        <v>36</v>
      </c>
    </row>
    <row r="4117" spans="1:17" x14ac:dyDescent="0.35">
      <c r="A4117" t="s">
        <v>4169</v>
      </c>
      <c r="B4117" t="s">
        <v>23</v>
      </c>
      <c r="C4117">
        <v>22</v>
      </c>
      <c r="D4117" t="s">
        <v>38</v>
      </c>
      <c r="E4117" t="s">
        <v>61</v>
      </c>
      <c r="F4117" t="s">
        <v>19</v>
      </c>
      <c r="G4117">
        <v>7.9</v>
      </c>
      <c r="H4117">
        <v>4</v>
      </c>
      <c r="I4117" t="str" cm="1">
        <f t="array" ref="I4117">_xlfn.IFS(G4117&lt;3, "0–2 Years", G4117&lt;6, "3–5 Years", G4117&lt;9, "6–8 Years", G4117&lt;12, "9-11 Years", G4117&gt;=12, "12-14 Years")</f>
        <v>6–8 Years</v>
      </c>
      <c r="J4117">
        <v>3</v>
      </c>
      <c r="K4117" t="s">
        <v>20</v>
      </c>
      <c r="L4117">
        <v>93900</v>
      </c>
      <c r="M4117">
        <v>3400</v>
      </c>
      <c r="N4117">
        <v>97300</v>
      </c>
      <c r="O4117" t="s">
        <v>30</v>
      </c>
      <c r="P4117" s="3">
        <v>43134</v>
      </c>
      <c r="Q4117" t="s">
        <v>19</v>
      </c>
    </row>
    <row r="4118" spans="1:17" x14ac:dyDescent="0.35">
      <c r="A4118" t="s">
        <v>4170</v>
      </c>
      <c r="B4118" t="s">
        <v>16</v>
      </c>
      <c r="C4118" s="7">
        <v>34</v>
      </c>
      <c r="D4118" t="s">
        <v>38</v>
      </c>
      <c r="E4118" t="s">
        <v>61</v>
      </c>
      <c r="F4118" t="s">
        <v>28</v>
      </c>
      <c r="G4118" s="9">
        <v>13.7</v>
      </c>
      <c r="H4118" s="7">
        <v>8.8000000000000007</v>
      </c>
      <c r="I4118" t="str" cm="1">
        <f t="array" ref="I4118">_xlfn.IFS(G4118&lt;3, "0–2 Years", G4118&lt;6, "3–5 Years", G4118&lt;9, "6–8 Years", G4118&lt;12, "9-11 Years", G4118&gt;=12, "12-14 Years")</f>
        <v>12-14 Years</v>
      </c>
      <c r="J4118" s="7">
        <v>3</v>
      </c>
      <c r="K4118" t="s">
        <v>20</v>
      </c>
      <c r="L4118" s="7">
        <v>102300</v>
      </c>
      <c r="M4118" s="7">
        <v>8800</v>
      </c>
      <c r="N4118" s="7">
        <v>111100</v>
      </c>
      <c r="O4118" t="s">
        <v>57</v>
      </c>
      <c r="P4118" s="3">
        <v>41037</v>
      </c>
      <c r="Q4118" t="s">
        <v>28</v>
      </c>
    </row>
    <row r="4119" spans="1:17" x14ac:dyDescent="0.35">
      <c r="A4119" t="s">
        <v>4171</v>
      </c>
      <c r="B4119" t="s">
        <v>16</v>
      </c>
      <c r="C4119">
        <v>32</v>
      </c>
      <c r="D4119" t="s">
        <v>38</v>
      </c>
      <c r="E4119" t="s">
        <v>39</v>
      </c>
      <c r="F4119" t="s">
        <v>28</v>
      </c>
      <c r="G4119">
        <v>11.2</v>
      </c>
      <c r="H4119">
        <v>6.7</v>
      </c>
      <c r="I4119" t="str" cm="1">
        <f t="array" ref="I4119">_xlfn.IFS(G4119&lt;3, "0–2 Years", G4119&lt;6, "3–5 Years", G4119&lt;9, "6–8 Years", G4119&lt;12, "9-11 Years", G4119&gt;=12, "12-14 Years")</f>
        <v>9-11 Years</v>
      </c>
      <c r="J4119">
        <v>4</v>
      </c>
      <c r="K4119" t="s">
        <v>69</v>
      </c>
      <c r="L4119">
        <v>75000</v>
      </c>
      <c r="M4119">
        <v>7800</v>
      </c>
      <c r="N4119">
        <v>82800</v>
      </c>
      <c r="O4119" t="s">
        <v>21</v>
      </c>
      <c r="P4119" s="3">
        <v>41949</v>
      </c>
      <c r="Q4119" t="s">
        <v>28</v>
      </c>
    </row>
    <row r="4120" spans="1:17" x14ac:dyDescent="0.35">
      <c r="A4120" t="s">
        <v>4172</v>
      </c>
      <c r="B4120" t="s">
        <v>23</v>
      </c>
      <c r="C4120">
        <v>40</v>
      </c>
      <c r="D4120" t="s">
        <v>55</v>
      </c>
      <c r="E4120" t="s">
        <v>79</v>
      </c>
      <c r="F4120" t="s">
        <v>28</v>
      </c>
      <c r="G4120">
        <v>8.3000000000000007</v>
      </c>
      <c r="H4120">
        <v>6.8</v>
      </c>
      <c r="I4120" t="str" cm="1">
        <f t="array" ref="I4120">_xlfn.IFS(G4120&lt;3, "0–2 Years", G4120&lt;6, "3–5 Years", G4120&lt;9, "6–8 Years", G4120&lt;12, "9-11 Years", G4120&gt;=12, "12-14 Years")</f>
        <v>6–8 Years</v>
      </c>
      <c r="J4120">
        <v>3</v>
      </c>
      <c r="K4120" t="s">
        <v>20</v>
      </c>
      <c r="L4120">
        <v>67300</v>
      </c>
      <c r="M4120">
        <v>13300</v>
      </c>
      <c r="N4120">
        <v>80600</v>
      </c>
      <c r="O4120" t="s">
        <v>21</v>
      </c>
      <c r="P4120" s="3">
        <v>42988</v>
      </c>
      <c r="Q4120" t="s">
        <v>28</v>
      </c>
    </row>
    <row r="4121" spans="1:17" x14ac:dyDescent="0.35">
      <c r="A4121" t="s">
        <v>4173</v>
      </c>
      <c r="B4121" t="s">
        <v>23</v>
      </c>
      <c r="C4121">
        <v>43</v>
      </c>
      <c r="D4121" t="s">
        <v>44</v>
      </c>
      <c r="E4121" t="s">
        <v>76</v>
      </c>
      <c r="F4121" t="s">
        <v>28</v>
      </c>
      <c r="G4121">
        <v>6.7</v>
      </c>
      <c r="H4121">
        <v>4</v>
      </c>
      <c r="I4121" t="str" cm="1">
        <f t="array" ref="I4121">_xlfn.IFS(G4121&lt;3, "0–2 Years", G4121&lt;6, "3–5 Years", G4121&lt;9, "6–8 Years", G4121&lt;12, "9-11 Years", G4121&gt;=12, "12-14 Years")</f>
        <v>6–8 Years</v>
      </c>
      <c r="J4121">
        <v>5</v>
      </c>
      <c r="K4121" t="s">
        <v>69</v>
      </c>
      <c r="L4121">
        <v>91700</v>
      </c>
      <c r="M4121">
        <v>12900</v>
      </c>
      <c r="N4121">
        <v>104600</v>
      </c>
      <c r="O4121" t="s">
        <v>30</v>
      </c>
      <c r="P4121" s="3">
        <v>43588</v>
      </c>
      <c r="Q4121" t="s">
        <v>28</v>
      </c>
    </row>
    <row r="4122" spans="1:17" x14ac:dyDescent="0.35">
      <c r="A4122" t="s">
        <v>4174</v>
      </c>
      <c r="B4122" t="s">
        <v>23</v>
      </c>
      <c r="C4122">
        <v>35</v>
      </c>
      <c r="D4122" t="s">
        <v>55</v>
      </c>
      <c r="E4122" t="s">
        <v>56</v>
      </c>
      <c r="F4122" t="s">
        <v>28</v>
      </c>
      <c r="G4122">
        <v>4.4000000000000004</v>
      </c>
      <c r="H4122">
        <v>2.7</v>
      </c>
      <c r="I4122" t="str" cm="1">
        <f t="array" ref="I4122">_xlfn.IFS(G4122&lt;3, "0–2 Years", G4122&lt;6, "3–5 Years", G4122&lt;9, "6–8 Years", G4122&lt;12, "9-11 Years", G4122&gt;=12, "12-14 Years")</f>
        <v>3–5 Years</v>
      </c>
      <c r="J4122">
        <v>3</v>
      </c>
      <c r="K4122" t="s">
        <v>20</v>
      </c>
      <c r="L4122">
        <v>89100</v>
      </c>
      <c r="M4122">
        <v>17300</v>
      </c>
      <c r="N4122">
        <v>106400</v>
      </c>
      <c r="O4122" t="s">
        <v>30</v>
      </c>
      <c r="P4122" s="3">
        <v>44414</v>
      </c>
      <c r="Q4122" t="s">
        <v>28</v>
      </c>
    </row>
    <row r="4123" spans="1:17" x14ac:dyDescent="0.35">
      <c r="A4123" t="s">
        <v>4175</v>
      </c>
      <c r="B4123" t="s">
        <v>23</v>
      </c>
      <c r="C4123" s="7">
        <v>33</v>
      </c>
      <c r="D4123" t="s">
        <v>44</v>
      </c>
      <c r="E4123" t="s">
        <v>81</v>
      </c>
      <c r="F4123" t="s">
        <v>28</v>
      </c>
      <c r="G4123" s="9">
        <v>12.2</v>
      </c>
      <c r="H4123" s="7">
        <v>5.8</v>
      </c>
      <c r="I4123" t="str" cm="1">
        <f t="array" ref="I4123">_xlfn.IFS(G4123&lt;3, "0–2 Years", G4123&lt;6, "3–5 Years", G4123&lt;9, "6–8 Years", G4123&lt;12, "9-11 Years", G4123&gt;=12, "12-14 Years")</f>
        <v>12-14 Years</v>
      </c>
      <c r="J4123" s="7">
        <v>5</v>
      </c>
      <c r="K4123" t="s">
        <v>20</v>
      </c>
      <c r="L4123" s="7">
        <v>94000</v>
      </c>
      <c r="M4123" s="7">
        <v>5300</v>
      </c>
      <c r="N4123" s="7">
        <v>99300</v>
      </c>
      <c r="O4123" t="s">
        <v>30</v>
      </c>
      <c r="P4123" s="3">
        <v>41577</v>
      </c>
      <c r="Q4123" t="s">
        <v>28</v>
      </c>
    </row>
    <row r="4124" spans="1:17" x14ac:dyDescent="0.35">
      <c r="A4124" t="s">
        <v>4176</v>
      </c>
      <c r="B4124" t="s">
        <v>23</v>
      </c>
      <c r="C4124">
        <v>28</v>
      </c>
      <c r="D4124" t="s">
        <v>17</v>
      </c>
      <c r="E4124" t="s">
        <v>32</v>
      </c>
      <c r="F4124" t="s">
        <v>28</v>
      </c>
      <c r="G4124">
        <v>11.7</v>
      </c>
      <c r="H4124">
        <v>7.1</v>
      </c>
      <c r="I4124" t="str" cm="1">
        <f t="array" ref="I4124">_xlfn.IFS(G4124&lt;3, "0–2 Years", G4124&lt;6, "3–5 Years", G4124&lt;9, "6–8 Years", G4124&lt;12, "9-11 Years", G4124&gt;=12, "12-14 Years")</f>
        <v>9-11 Years</v>
      </c>
      <c r="J4124">
        <v>3</v>
      </c>
      <c r="K4124" t="s">
        <v>20</v>
      </c>
      <c r="L4124">
        <v>72500</v>
      </c>
      <c r="M4124">
        <v>7300</v>
      </c>
      <c r="N4124">
        <v>79800</v>
      </c>
      <c r="O4124" t="s">
        <v>21</v>
      </c>
      <c r="P4124" s="3">
        <v>41736</v>
      </c>
      <c r="Q4124" t="s">
        <v>28</v>
      </c>
    </row>
    <row r="4125" spans="1:17" x14ac:dyDescent="0.35">
      <c r="A4125" t="s">
        <v>4177</v>
      </c>
      <c r="B4125" t="s">
        <v>16</v>
      </c>
      <c r="C4125">
        <v>37</v>
      </c>
      <c r="D4125" t="s">
        <v>55</v>
      </c>
      <c r="E4125" t="s">
        <v>79</v>
      </c>
      <c r="F4125" t="s">
        <v>28</v>
      </c>
      <c r="G4125">
        <v>11.2</v>
      </c>
      <c r="H4125">
        <v>7.9</v>
      </c>
      <c r="I4125" t="str" cm="1">
        <f t="array" ref="I4125">_xlfn.IFS(G4125&lt;3, "0–2 Years", G4125&lt;6, "3–5 Years", G4125&lt;9, "6–8 Years", G4125&lt;12, "9-11 Years", G4125&gt;=12, "12-14 Years")</f>
        <v>9-11 Years</v>
      </c>
      <c r="J4125">
        <v>3</v>
      </c>
      <c r="K4125" t="s">
        <v>20</v>
      </c>
      <c r="L4125">
        <v>74700</v>
      </c>
      <c r="M4125">
        <v>6500</v>
      </c>
      <c r="N4125">
        <v>81200</v>
      </c>
      <c r="O4125" t="s">
        <v>21</v>
      </c>
      <c r="P4125" s="3">
        <v>41937</v>
      </c>
      <c r="Q4125" t="s">
        <v>28</v>
      </c>
    </row>
    <row r="4126" spans="1:17" x14ac:dyDescent="0.35">
      <c r="A4126" t="s">
        <v>4178</v>
      </c>
      <c r="B4126" t="s">
        <v>16</v>
      </c>
      <c r="C4126">
        <v>33</v>
      </c>
      <c r="D4126" t="s">
        <v>41</v>
      </c>
      <c r="E4126" t="s">
        <v>73</v>
      </c>
      <c r="F4126" t="s">
        <v>36</v>
      </c>
      <c r="G4126">
        <v>4.0999999999999996</v>
      </c>
      <c r="H4126">
        <v>2.1</v>
      </c>
      <c r="I4126" t="str" cm="1">
        <f t="array" ref="I4126">_xlfn.IFS(G4126&lt;3, "0–2 Years", G4126&lt;6, "3–5 Years", G4126&lt;9, "6–8 Years", G4126&lt;12, "9-11 Years", G4126&gt;=12, "12-14 Years")</f>
        <v>3–5 Years</v>
      </c>
      <c r="J4126">
        <v>3</v>
      </c>
      <c r="K4126" t="s">
        <v>24</v>
      </c>
      <c r="L4126">
        <v>66600</v>
      </c>
      <c r="M4126">
        <v>5400</v>
      </c>
      <c r="N4126">
        <v>72000</v>
      </c>
      <c r="O4126" t="s">
        <v>21</v>
      </c>
      <c r="P4126" s="3">
        <v>44534</v>
      </c>
      <c r="Q4126" t="s">
        <v>36</v>
      </c>
    </row>
    <row r="4127" spans="1:17" x14ac:dyDescent="0.35">
      <c r="A4127" t="s">
        <v>4179</v>
      </c>
      <c r="B4127" t="s">
        <v>16</v>
      </c>
      <c r="C4127">
        <v>46</v>
      </c>
      <c r="D4127" t="s">
        <v>41</v>
      </c>
      <c r="E4127" t="s">
        <v>73</v>
      </c>
      <c r="F4127" t="s">
        <v>28</v>
      </c>
      <c r="G4127">
        <v>6.8</v>
      </c>
      <c r="H4127">
        <v>6.1</v>
      </c>
      <c r="I4127" t="str" cm="1">
        <f t="array" ref="I4127">_xlfn.IFS(G4127&lt;3, "0–2 Years", G4127&lt;6, "3–5 Years", G4127&lt;9, "6–8 Years", G4127&lt;12, "9-11 Years", G4127&gt;=12, "12-14 Years")</f>
        <v>6–8 Years</v>
      </c>
      <c r="J4127">
        <v>4</v>
      </c>
      <c r="K4127" t="s">
        <v>20</v>
      </c>
      <c r="L4127">
        <v>91200</v>
      </c>
      <c r="M4127">
        <v>4400</v>
      </c>
      <c r="N4127">
        <v>95600</v>
      </c>
      <c r="O4127" t="s">
        <v>30</v>
      </c>
      <c r="P4127" s="3">
        <v>43540</v>
      </c>
      <c r="Q4127" t="s">
        <v>28</v>
      </c>
    </row>
    <row r="4128" spans="1:17" x14ac:dyDescent="0.35">
      <c r="A4128" t="s">
        <v>4180</v>
      </c>
      <c r="B4128" t="s">
        <v>16</v>
      </c>
      <c r="C4128">
        <v>32</v>
      </c>
      <c r="D4128" t="s">
        <v>44</v>
      </c>
      <c r="E4128" t="s">
        <v>76</v>
      </c>
      <c r="F4128" t="s">
        <v>28</v>
      </c>
      <c r="G4128">
        <v>2.2000000000000002</v>
      </c>
      <c r="H4128">
        <v>2.1</v>
      </c>
      <c r="I4128" t="str" cm="1">
        <f t="array" ref="I4128">_xlfn.IFS(G4128&lt;3, "0–2 Years", G4128&lt;6, "3–5 Years", G4128&lt;9, "6–8 Years", G4128&lt;12, "9-11 Years", G4128&gt;=12, "12-14 Years")</f>
        <v>0–2 Years</v>
      </c>
      <c r="J4128">
        <v>3</v>
      </c>
      <c r="K4128" t="s">
        <v>20</v>
      </c>
      <c r="L4128">
        <v>87900</v>
      </c>
      <c r="M4128">
        <v>9400</v>
      </c>
      <c r="N4128">
        <v>97300</v>
      </c>
      <c r="O4128" t="s">
        <v>30</v>
      </c>
      <c r="P4128" s="3">
        <v>45213</v>
      </c>
      <c r="Q4128" t="s">
        <v>28</v>
      </c>
    </row>
    <row r="4129" spans="1:17" x14ac:dyDescent="0.35">
      <c r="A4129" t="s">
        <v>4181</v>
      </c>
      <c r="B4129" t="s">
        <v>23</v>
      </c>
      <c r="C4129">
        <v>38</v>
      </c>
      <c r="D4129" t="s">
        <v>44</v>
      </c>
      <c r="E4129" t="s">
        <v>51</v>
      </c>
      <c r="F4129" t="s">
        <v>36</v>
      </c>
      <c r="G4129">
        <v>11.3</v>
      </c>
      <c r="H4129">
        <v>7.1</v>
      </c>
      <c r="I4129" t="str" cm="1">
        <f t="array" ref="I4129">_xlfn.IFS(G4129&lt;3, "0–2 Years", G4129&lt;6, "3–5 Years", G4129&lt;9, "6–8 Years", G4129&lt;12, "9-11 Years", G4129&gt;=12, "12-14 Years")</f>
        <v>9-11 Years</v>
      </c>
      <c r="J4129">
        <v>2</v>
      </c>
      <c r="K4129" t="s">
        <v>20</v>
      </c>
      <c r="L4129">
        <v>95200</v>
      </c>
      <c r="M4129">
        <v>5000</v>
      </c>
      <c r="N4129">
        <v>100200</v>
      </c>
      <c r="O4129" t="s">
        <v>30</v>
      </c>
      <c r="P4129" s="3">
        <v>41912</v>
      </c>
      <c r="Q4129" t="s">
        <v>36</v>
      </c>
    </row>
    <row r="4130" spans="1:17" x14ac:dyDescent="0.35">
      <c r="A4130" t="s">
        <v>4182</v>
      </c>
      <c r="B4130" t="s">
        <v>23</v>
      </c>
      <c r="C4130">
        <v>32</v>
      </c>
      <c r="D4130" t="s">
        <v>34</v>
      </c>
      <c r="E4130" t="s">
        <v>35</v>
      </c>
      <c r="F4130" t="s">
        <v>28</v>
      </c>
      <c r="G4130">
        <v>1.8</v>
      </c>
      <c r="H4130">
        <v>1.8</v>
      </c>
      <c r="I4130" t="str" cm="1">
        <f t="array" ref="I4130">_xlfn.IFS(G4130&lt;3, "0–2 Years", G4130&lt;6, "3–5 Years", G4130&lt;9, "6–8 Years", G4130&lt;12, "9-11 Years", G4130&gt;=12, "12-14 Years")</f>
        <v>0–2 Years</v>
      </c>
      <c r="J4130">
        <v>4</v>
      </c>
      <c r="K4130" t="s">
        <v>69</v>
      </c>
      <c r="L4130">
        <v>65300</v>
      </c>
      <c r="M4130">
        <v>4900</v>
      </c>
      <c r="N4130">
        <v>70200</v>
      </c>
      <c r="O4130" t="s">
        <v>21</v>
      </c>
      <c r="P4130" s="3">
        <v>45356</v>
      </c>
      <c r="Q4130" t="s">
        <v>28</v>
      </c>
    </row>
    <row r="4131" spans="1:17" x14ac:dyDescent="0.35">
      <c r="A4131" t="s">
        <v>4183</v>
      </c>
      <c r="B4131" t="s">
        <v>16</v>
      </c>
      <c r="C4131">
        <v>37</v>
      </c>
      <c r="D4131" t="s">
        <v>17</v>
      </c>
      <c r="E4131" t="s">
        <v>18</v>
      </c>
      <c r="F4131" t="s">
        <v>28</v>
      </c>
      <c r="G4131">
        <v>3.8</v>
      </c>
      <c r="H4131">
        <v>3.7</v>
      </c>
      <c r="I4131" t="str" cm="1">
        <f t="array" ref="I4131">_xlfn.IFS(G4131&lt;3, "0–2 Years", G4131&lt;6, "3–5 Years", G4131&lt;9, "6–8 Years", G4131&lt;12, "9-11 Years", G4131&gt;=12, "12-14 Years")</f>
        <v>3–5 Years</v>
      </c>
      <c r="J4131">
        <v>3</v>
      </c>
      <c r="K4131" t="s">
        <v>20</v>
      </c>
      <c r="L4131">
        <v>98600</v>
      </c>
      <c r="M4131">
        <v>9600</v>
      </c>
      <c r="N4131">
        <v>108200</v>
      </c>
      <c r="O4131" t="s">
        <v>30</v>
      </c>
      <c r="P4131" s="3">
        <v>44627</v>
      </c>
      <c r="Q4131" t="s">
        <v>28</v>
      </c>
    </row>
    <row r="4132" spans="1:17" x14ac:dyDescent="0.35">
      <c r="A4132" t="s">
        <v>4184</v>
      </c>
      <c r="B4132" t="s">
        <v>23</v>
      </c>
      <c r="C4132" s="7">
        <v>25</v>
      </c>
      <c r="D4132" t="s">
        <v>44</v>
      </c>
      <c r="E4132" t="s">
        <v>51</v>
      </c>
      <c r="F4132" t="s">
        <v>28</v>
      </c>
      <c r="G4132" s="9">
        <v>13.1</v>
      </c>
      <c r="H4132" s="7">
        <v>7.7</v>
      </c>
      <c r="I4132" t="str" cm="1">
        <f t="array" ref="I4132">_xlfn.IFS(G4132&lt;3, "0–2 Years", G4132&lt;6, "3–5 Years", G4132&lt;9, "6–8 Years", G4132&lt;12, "9-11 Years", G4132&gt;=12, "12-14 Years")</f>
        <v>12-14 Years</v>
      </c>
      <c r="J4132" s="7">
        <v>3</v>
      </c>
      <c r="K4132" t="s">
        <v>24</v>
      </c>
      <c r="L4132" s="7">
        <v>51700</v>
      </c>
      <c r="M4132" s="7">
        <v>4600</v>
      </c>
      <c r="N4132" s="7">
        <v>56300</v>
      </c>
      <c r="O4132" t="s">
        <v>25</v>
      </c>
      <c r="P4132" s="3">
        <v>41253</v>
      </c>
      <c r="Q4132" t="s">
        <v>28</v>
      </c>
    </row>
    <row r="4133" spans="1:17" x14ac:dyDescent="0.35">
      <c r="A4133" t="s">
        <v>4185</v>
      </c>
      <c r="B4133" t="s">
        <v>16</v>
      </c>
      <c r="C4133">
        <v>33</v>
      </c>
      <c r="D4133" t="s">
        <v>55</v>
      </c>
      <c r="E4133" t="s">
        <v>79</v>
      </c>
      <c r="F4133" t="s">
        <v>19</v>
      </c>
      <c r="G4133">
        <v>3.5</v>
      </c>
      <c r="H4133">
        <v>0</v>
      </c>
      <c r="I4133" t="str" cm="1">
        <f t="array" ref="I4133">_xlfn.IFS(G4133&lt;3, "0–2 Years", G4133&lt;6, "3–5 Years", G4133&lt;9, "6–8 Years", G4133&lt;12, "9-11 Years", G4133&gt;=12, "12-14 Years")</f>
        <v>3–5 Years</v>
      </c>
      <c r="J4133">
        <v>4</v>
      </c>
      <c r="K4133" t="s">
        <v>20</v>
      </c>
      <c r="L4133">
        <v>57500</v>
      </c>
      <c r="M4133">
        <v>6200</v>
      </c>
      <c r="N4133">
        <v>63700</v>
      </c>
      <c r="O4133" t="s">
        <v>25</v>
      </c>
      <c r="P4133" s="3">
        <v>44755</v>
      </c>
      <c r="Q4133" t="s">
        <v>19</v>
      </c>
    </row>
    <row r="4134" spans="1:17" x14ac:dyDescent="0.35">
      <c r="A4134" t="s">
        <v>4186</v>
      </c>
      <c r="B4134" t="s">
        <v>16</v>
      </c>
      <c r="C4134" s="7">
        <v>32</v>
      </c>
      <c r="D4134" t="s">
        <v>55</v>
      </c>
      <c r="E4134" t="s">
        <v>56</v>
      </c>
      <c r="F4134" t="s">
        <v>19</v>
      </c>
      <c r="G4134" s="9">
        <v>13.3</v>
      </c>
      <c r="H4134" s="7">
        <v>7.4</v>
      </c>
      <c r="I4134" t="str" cm="1">
        <f t="array" ref="I4134">_xlfn.IFS(G4134&lt;3, "0–2 Years", G4134&lt;6, "3–5 Years", G4134&lt;9, "6–8 Years", G4134&lt;12, "9-11 Years", G4134&gt;=12, "12-14 Years")</f>
        <v>12-14 Years</v>
      </c>
      <c r="J4134" s="7">
        <v>3</v>
      </c>
      <c r="K4134" t="s">
        <v>20</v>
      </c>
      <c r="L4134" s="7">
        <v>100600</v>
      </c>
      <c r="M4134" s="7">
        <v>15000</v>
      </c>
      <c r="N4134" s="7">
        <v>115600</v>
      </c>
      <c r="O4134" t="s">
        <v>57</v>
      </c>
      <c r="P4134" s="3">
        <v>41147</v>
      </c>
      <c r="Q4134" t="s">
        <v>19</v>
      </c>
    </row>
    <row r="4135" spans="1:17" x14ac:dyDescent="0.35">
      <c r="A4135" t="s">
        <v>4187</v>
      </c>
      <c r="B4135" t="s">
        <v>16</v>
      </c>
      <c r="C4135">
        <v>26</v>
      </c>
      <c r="D4135" t="s">
        <v>41</v>
      </c>
      <c r="E4135" t="s">
        <v>42</v>
      </c>
      <c r="F4135" t="s">
        <v>28</v>
      </c>
      <c r="G4135">
        <v>11.1</v>
      </c>
      <c r="H4135">
        <v>7</v>
      </c>
      <c r="I4135" t="str" cm="1">
        <f t="array" ref="I4135">_xlfn.IFS(G4135&lt;3, "0–2 Years", G4135&lt;6, "3–5 Years", G4135&lt;9, "6–8 Years", G4135&lt;12, "9-11 Years", G4135&gt;=12, "12-14 Years")</f>
        <v>9-11 Years</v>
      </c>
      <c r="J4135">
        <v>3</v>
      </c>
      <c r="K4135" t="s">
        <v>24</v>
      </c>
      <c r="L4135">
        <v>50400</v>
      </c>
      <c r="M4135">
        <v>3300</v>
      </c>
      <c r="N4135">
        <v>53700</v>
      </c>
      <c r="O4135" t="s">
        <v>25</v>
      </c>
      <c r="P4135" s="3">
        <v>41968</v>
      </c>
      <c r="Q4135" t="s">
        <v>28</v>
      </c>
    </row>
    <row r="4136" spans="1:17" x14ac:dyDescent="0.35">
      <c r="A4136" t="s">
        <v>4188</v>
      </c>
      <c r="B4136" t="s">
        <v>16</v>
      </c>
      <c r="C4136">
        <v>48</v>
      </c>
      <c r="D4136" t="s">
        <v>34</v>
      </c>
      <c r="E4136" t="s">
        <v>47</v>
      </c>
      <c r="F4136" t="s">
        <v>28</v>
      </c>
      <c r="G4136">
        <v>7.2</v>
      </c>
      <c r="H4136">
        <v>4.7</v>
      </c>
      <c r="I4136" t="str" cm="1">
        <f t="array" ref="I4136">_xlfn.IFS(G4136&lt;3, "0–2 Years", G4136&lt;6, "3–5 Years", G4136&lt;9, "6–8 Years", G4136&lt;12, "9-11 Years", G4136&gt;=12, "12-14 Years")</f>
        <v>6–8 Years</v>
      </c>
      <c r="J4136">
        <v>3</v>
      </c>
      <c r="K4136" t="s">
        <v>20</v>
      </c>
      <c r="L4136">
        <v>82900</v>
      </c>
      <c r="M4136">
        <v>6000</v>
      </c>
      <c r="N4136">
        <v>88900</v>
      </c>
      <c r="O4136" t="s">
        <v>30</v>
      </c>
      <c r="P4136" s="3">
        <v>43407</v>
      </c>
      <c r="Q4136" t="s">
        <v>28</v>
      </c>
    </row>
    <row r="4137" spans="1:17" x14ac:dyDescent="0.35">
      <c r="A4137" t="s">
        <v>4189</v>
      </c>
      <c r="B4137" t="s">
        <v>23</v>
      </c>
      <c r="C4137">
        <v>26</v>
      </c>
      <c r="D4137" t="s">
        <v>34</v>
      </c>
      <c r="E4137" t="s">
        <v>59</v>
      </c>
      <c r="F4137" t="s">
        <v>28</v>
      </c>
      <c r="G4137">
        <v>5.0999999999999996</v>
      </c>
      <c r="H4137">
        <v>5.0999999999999996</v>
      </c>
      <c r="I4137" t="str" cm="1">
        <f t="array" ref="I4137">_xlfn.IFS(G4137&lt;3, "0–2 Years", G4137&lt;6, "3–5 Years", G4137&lt;9, "6–8 Years", G4137&lt;12, "9-11 Years", G4137&gt;=12, "12-14 Years")</f>
        <v>3–5 Years</v>
      </c>
      <c r="J4137">
        <v>3</v>
      </c>
      <c r="K4137" t="s">
        <v>20</v>
      </c>
      <c r="L4137">
        <v>111900</v>
      </c>
      <c r="M4137">
        <v>9300</v>
      </c>
      <c r="N4137">
        <v>121200</v>
      </c>
      <c r="O4137" t="s">
        <v>57</v>
      </c>
      <c r="P4137" s="3">
        <v>44170</v>
      </c>
      <c r="Q4137" t="s">
        <v>28</v>
      </c>
    </row>
    <row r="4138" spans="1:17" x14ac:dyDescent="0.35">
      <c r="A4138" t="s">
        <v>4190</v>
      </c>
      <c r="B4138" t="s">
        <v>23</v>
      </c>
      <c r="C4138">
        <v>26</v>
      </c>
      <c r="D4138" t="s">
        <v>34</v>
      </c>
      <c r="E4138" t="s">
        <v>59</v>
      </c>
      <c r="F4138" t="s">
        <v>28</v>
      </c>
      <c r="G4138">
        <v>8.8000000000000007</v>
      </c>
      <c r="H4138">
        <v>5</v>
      </c>
      <c r="I4138" t="str" cm="1">
        <f t="array" ref="I4138">_xlfn.IFS(G4138&lt;3, "0–2 Years", G4138&lt;6, "3–5 Years", G4138&lt;9, "6–8 Years", G4138&lt;12, "9-11 Years", G4138&gt;=12, "12-14 Years")</f>
        <v>6–8 Years</v>
      </c>
      <c r="J4138">
        <v>2</v>
      </c>
      <c r="K4138" t="s">
        <v>20</v>
      </c>
      <c r="L4138">
        <v>114400</v>
      </c>
      <c r="M4138">
        <v>7200</v>
      </c>
      <c r="N4138">
        <v>121600</v>
      </c>
      <c r="O4138" t="s">
        <v>57</v>
      </c>
      <c r="P4138" s="3">
        <v>42810</v>
      </c>
      <c r="Q4138" t="s">
        <v>28</v>
      </c>
    </row>
    <row r="4139" spans="1:17" x14ac:dyDescent="0.35">
      <c r="A4139" t="s">
        <v>4191</v>
      </c>
      <c r="B4139" t="s">
        <v>23</v>
      </c>
      <c r="C4139">
        <v>40</v>
      </c>
      <c r="D4139" t="s">
        <v>38</v>
      </c>
      <c r="E4139" t="s">
        <v>112</v>
      </c>
      <c r="F4139" t="s">
        <v>36</v>
      </c>
      <c r="G4139">
        <v>6.5</v>
      </c>
      <c r="H4139">
        <v>2.9</v>
      </c>
      <c r="I4139" t="str" cm="1">
        <f t="array" ref="I4139">_xlfn.IFS(G4139&lt;3, "0–2 Years", G4139&lt;6, "3–5 Years", G4139&lt;9, "6–8 Years", G4139&lt;12, "9-11 Years", G4139&gt;=12, "12-14 Years")</f>
        <v>6–8 Years</v>
      </c>
      <c r="J4139">
        <v>3</v>
      </c>
      <c r="K4139" t="s">
        <v>24</v>
      </c>
      <c r="L4139">
        <v>45900</v>
      </c>
      <c r="M4139">
        <v>1600</v>
      </c>
      <c r="N4139">
        <v>47500</v>
      </c>
      <c r="O4139" t="s">
        <v>65</v>
      </c>
      <c r="P4139" s="3">
        <v>43650</v>
      </c>
      <c r="Q4139" t="s">
        <v>36</v>
      </c>
    </row>
    <row r="4140" spans="1:17" x14ac:dyDescent="0.35">
      <c r="A4140" t="s">
        <v>4192</v>
      </c>
      <c r="B4140" t="s">
        <v>16</v>
      </c>
      <c r="C4140">
        <v>34</v>
      </c>
      <c r="D4140" t="s">
        <v>17</v>
      </c>
      <c r="E4140" t="s">
        <v>32</v>
      </c>
      <c r="F4140" t="s">
        <v>36</v>
      </c>
      <c r="G4140">
        <v>1.2</v>
      </c>
      <c r="H4140">
        <v>0</v>
      </c>
      <c r="I4140" t="str" cm="1">
        <f t="array" ref="I4140">_xlfn.IFS(G4140&lt;3, "0–2 Years", G4140&lt;6, "3–5 Years", G4140&lt;9, "6–8 Years", G4140&lt;12, "9-11 Years", G4140&gt;=12, "12-14 Years")</f>
        <v>0–2 Years</v>
      </c>
      <c r="J4140">
        <v>3</v>
      </c>
      <c r="K4140" t="s">
        <v>20</v>
      </c>
      <c r="L4140">
        <v>63000</v>
      </c>
      <c r="M4140">
        <v>4900</v>
      </c>
      <c r="N4140">
        <v>67900</v>
      </c>
      <c r="O4140" t="s">
        <v>25</v>
      </c>
      <c r="P4140" s="3">
        <v>45578</v>
      </c>
      <c r="Q4140" t="s">
        <v>36</v>
      </c>
    </row>
    <row r="4141" spans="1:17" x14ac:dyDescent="0.35">
      <c r="A4141" t="s">
        <v>4193</v>
      </c>
      <c r="B4141" t="s">
        <v>23</v>
      </c>
      <c r="C4141">
        <v>26</v>
      </c>
      <c r="D4141" t="s">
        <v>34</v>
      </c>
      <c r="E4141" t="s">
        <v>59</v>
      </c>
      <c r="F4141" t="s">
        <v>36</v>
      </c>
      <c r="G4141">
        <v>11.3</v>
      </c>
      <c r="H4141">
        <v>7.4</v>
      </c>
      <c r="I4141" t="str" cm="1">
        <f t="array" ref="I4141">_xlfn.IFS(G4141&lt;3, "0–2 Years", G4141&lt;6, "3–5 Years", G4141&lt;9, "6–8 Years", G4141&lt;12, "9-11 Years", G4141&gt;=12, "12-14 Years")</f>
        <v>9-11 Years</v>
      </c>
      <c r="J4141">
        <v>2</v>
      </c>
      <c r="K4141" t="s">
        <v>69</v>
      </c>
      <c r="L4141">
        <v>84800</v>
      </c>
      <c r="M4141">
        <v>5400</v>
      </c>
      <c r="N4141">
        <v>90200</v>
      </c>
      <c r="O4141" t="s">
        <v>30</v>
      </c>
      <c r="P4141" s="3">
        <v>41902</v>
      </c>
      <c r="Q4141" t="s">
        <v>36</v>
      </c>
    </row>
    <row r="4142" spans="1:17" x14ac:dyDescent="0.35">
      <c r="A4142" t="s">
        <v>4194</v>
      </c>
      <c r="B4142" t="s">
        <v>16</v>
      </c>
      <c r="C4142">
        <v>39</v>
      </c>
      <c r="D4142" t="s">
        <v>41</v>
      </c>
      <c r="E4142" t="s">
        <v>73</v>
      </c>
      <c r="F4142" t="s">
        <v>36</v>
      </c>
      <c r="G4142">
        <v>1.7</v>
      </c>
      <c r="H4142">
        <v>0.6</v>
      </c>
      <c r="I4142" t="str" cm="1">
        <f t="array" ref="I4142">_xlfn.IFS(G4142&lt;3, "0–2 Years", G4142&lt;6, "3–5 Years", G4142&lt;9, "6–8 Years", G4142&lt;12, "9-11 Years", G4142&gt;=12, "12-14 Years")</f>
        <v>0–2 Years</v>
      </c>
      <c r="J4142">
        <v>3</v>
      </c>
      <c r="K4142" t="s">
        <v>20</v>
      </c>
      <c r="L4142">
        <v>103100</v>
      </c>
      <c r="M4142">
        <v>6100</v>
      </c>
      <c r="N4142">
        <v>109200</v>
      </c>
      <c r="O4142" t="s">
        <v>57</v>
      </c>
      <c r="P4142" s="3">
        <v>45394</v>
      </c>
      <c r="Q4142" t="s">
        <v>36</v>
      </c>
    </row>
    <row r="4143" spans="1:17" x14ac:dyDescent="0.35">
      <c r="A4143" t="s">
        <v>4195</v>
      </c>
      <c r="B4143" t="s">
        <v>23</v>
      </c>
      <c r="C4143">
        <v>40</v>
      </c>
      <c r="D4143" t="s">
        <v>34</v>
      </c>
      <c r="E4143" t="s">
        <v>59</v>
      </c>
      <c r="F4143" t="s">
        <v>36</v>
      </c>
      <c r="G4143">
        <v>5.2</v>
      </c>
      <c r="H4143">
        <v>5.0999999999999996</v>
      </c>
      <c r="I4143" t="str" cm="1">
        <f t="array" ref="I4143">_xlfn.IFS(G4143&lt;3, "0–2 Years", G4143&lt;6, "3–5 Years", G4143&lt;9, "6–8 Years", G4143&lt;12, "9-11 Years", G4143&gt;=12, "12-14 Years")</f>
        <v>3–5 Years</v>
      </c>
      <c r="J4143">
        <v>3</v>
      </c>
      <c r="K4143" t="s">
        <v>20</v>
      </c>
      <c r="L4143">
        <v>109900</v>
      </c>
      <c r="M4143">
        <v>11900</v>
      </c>
      <c r="N4143">
        <v>121800</v>
      </c>
      <c r="O4143" t="s">
        <v>57</v>
      </c>
      <c r="P4143" s="3">
        <v>44128</v>
      </c>
      <c r="Q4143" t="s">
        <v>36</v>
      </c>
    </row>
    <row r="4144" spans="1:17" x14ac:dyDescent="0.35">
      <c r="A4144" t="s">
        <v>4196</v>
      </c>
      <c r="B4144" t="s">
        <v>23</v>
      </c>
      <c r="C4144" s="7">
        <v>51</v>
      </c>
      <c r="D4144" t="s">
        <v>34</v>
      </c>
      <c r="E4144" t="s">
        <v>35</v>
      </c>
      <c r="F4144" t="s">
        <v>36</v>
      </c>
      <c r="G4144" s="9">
        <v>13.1</v>
      </c>
      <c r="H4144" s="7">
        <v>10.199999999999999</v>
      </c>
      <c r="I4144" t="str" cm="1">
        <f t="array" ref="I4144">_xlfn.IFS(G4144&lt;3, "0–2 Years", G4144&lt;6, "3–5 Years", G4144&lt;9, "6–8 Years", G4144&lt;12, "9-11 Years", G4144&gt;=12, "12-14 Years")</f>
        <v>12-14 Years</v>
      </c>
      <c r="J4144" s="7">
        <v>3</v>
      </c>
      <c r="K4144" t="s">
        <v>20</v>
      </c>
      <c r="L4144" s="7">
        <v>91800</v>
      </c>
      <c r="M4144" s="7">
        <v>7600</v>
      </c>
      <c r="N4144" s="7">
        <v>99400</v>
      </c>
      <c r="O4144" t="s">
        <v>30</v>
      </c>
      <c r="P4144" s="3">
        <v>41249</v>
      </c>
      <c r="Q4144" t="s">
        <v>36</v>
      </c>
    </row>
    <row r="4145" spans="1:17" x14ac:dyDescent="0.35">
      <c r="A4145" t="s">
        <v>4197</v>
      </c>
      <c r="B4145" t="s">
        <v>16</v>
      </c>
      <c r="C4145" s="7">
        <v>38</v>
      </c>
      <c r="D4145" t="s">
        <v>41</v>
      </c>
      <c r="E4145" t="s">
        <v>42</v>
      </c>
      <c r="F4145" t="s">
        <v>28</v>
      </c>
      <c r="G4145" s="9">
        <v>13.3</v>
      </c>
      <c r="H4145" s="7">
        <v>8.6999999999999993</v>
      </c>
      <c r="I4145" t="str" cm="1">
        <f t="array" ref="I4145">_xlfn.IFS(G4145&lt;3, "0–2 Years", G4145&lt;6, "3–5 Years", G4145&lt;9, "6–8 Years", G4145&lt;12, "9-11 Years", G4145&gt;=12, "12-14 Years")</f>
        <v>12-14 Years</v>
      </c>
      <c r="J4145" s="7">
        <v>3</v>
      </c>
      <c r="K4145" t="s">
        <v>20</v>
      </c>
      <c r="L4145" s="7">
        <v>83800</v>
      </c>
      <c r="M4145" s="7">
        <v>5600</v>
      </c>
      <c r="N4145" s="7">
        <v>89400</v>
      </c>
      <c r="O4145" t="s">
        <v>30</v>
      </c>
      <c r="P4145" s="3">
        <v>41155</v>
      </c>
      <c r="Q4145" t="s">
        <v>28</v>
      </c>
    </row>
    <row r="4146" spans="1:17" x14ac:dyDescent="0.35">
      <c r="A4146" t="s">
        <v>4198</v>
      </c>
      <c r="B4146" t="s">
        <v>16</v>
      </c>
      <c r="C4146">
        <v>31</v>
      </c>
      <c r="D4146" t="s">
        <v>38</v>
      </c>
      <c r="E4146" t="s">
        <v>39</v>
      </c>
      <c r="F4146" t="s">
        <v>28</v>
      </c>
      <c r="G4146">
        <v>4.0999999999999996</v>
      </c>
      <c r="H4146">
        <v>2.6</v>
      </c>
      <c r="I4146" t="str" cm="1">
        <f t="array" ref="I4146">_xlfn.IFS(G4146&lt;3, "0–2 Years", G4146&lt;6, "3–5 Years", G4146&lt;9, "6–8 Years", G4146&lt;12, "9-11 Years", G4146&gt;=12, "12-14 Years")</f>
        <v>3–5 Years</v>
      </c>
      <c r="J4146">
        <v>5</v>
      </c>
      <c r="K4146" t="s">
        <v>20</v>
      </c>
      <c r="L4146">
        <v>68800</v>
      </c>
      <c r="M4146">
        <v>4700</v>
      </c>
      <c r="N4146">
        <v>73500</v>
      </c>
      <c r="O4146" t="s">
        <v>21</v>
      </c>
      <c r="P4146" s="3">
        <v>44516</v>
      </c>
      <c r="Q4146" t="s">
        <v>28</v>
      </c>
    </row>
    <row r="4147" spans="1:17" x14ac:dyDescent="0.35">
      <c r="A4147" t="s">
        <v>4199</v>
      </c>
      <c r="B4147" t="s">
        <v>23</v>
      </c>
      <c r="C4147">
        <v>41</v>
      </c>
      <c r="D4147" t="s">
        <v>34</v>
      </c>
      <c r="E4147" t="s">
        <v>35</v>
      </c>
      <c r="F4147" t="s">
        <v>28</v>
      </c>
      <c r="G4147">
        <v>2</v>
      </c>
      <c r="H4147">
        <v>0</v>
      </c>
      <c r="I4147" t="str" cm="1">
        <f t="array" ref="I4147">_xlfn.IFS(G4147&lt;3, "0–2 Years", G4147&lt;6, "3–5 Years", G4147&lt;9, "6–8 Years", G4147&lt;12, "9-11 Years", G4147&gt;=12, "12-14 Years")</f>
        <v>0–2 Years</v>
      </c>
      <c r="J4147">
        <v>1</v>
      </c>
      <c r="K4147" t="s">
        <v>24</v>
      </c>
      <c r="L4147">
        <v>43500</v>
      </c>
      <c r="M4147">
        <v>2800</v>
      </c>
      <c r="N4147">
        <v>46300</v>
      </c>
      <c r="O4147" t="s">
        <v>65</v>
      </c>
      <c r="P4147" s="3">
        <v>45287</v>
      </c>
      <c r="Q4147" t="s">
        <v>28</v>
      </c>
    </row>
    <row r="4148" spans="1:17" x14ac:dyDescent="0.35">
      <c r="A4148" t="s">
        <v>4200</v>
      </c>
      <c r="B4148" t="s">
        <v>16</v>
      </c>
      <c r="C4148">
        <v>37</v>
      </c>
      <c r="D4148" t="s">
        <v>44</v>
      </c>
      <c r="E4148" t="s">
        <v>76</v>
      </c>
      <c r="F4148" t="s">
        <v>28</v>
      </c>
      <c r="G4148">
        <v>2.9</v>
      </c>
      <c r="H4148">
        <v>0.9</v>
      </c>
      <c r="I4148" t="str" cm="1">
        <f t="array" ref="I4148">_xlfn.IFS(G4148&lt;3, "0–2 Years", G4148&lt;6, "3–5 Years", G4148&lt;9, "6–8 Years", G4148&lt;12, "9-11 Years", G4148&gt;=12, "12-14 Years")</f>
        <v>0–2 Years</v>
      </c>
      <c r="J4148">
        <v>3</v>
      </c>
      <c r="K4148" t="s">
        <v>20</v>
      </c>
      <c r="L4148">
        <v>111500</v>
      </c>
      <c r="M4148">
        <v>10400</v>
      </c>
      <c r="N4148">
        <v>121900</v>
      </c>
      <c r="O4148" t="s">
        <v>57</v>
      </c>
      <c r="P4148" s="3">
        <v>44967</v>
      </c>
      <c r="Q4148" t="s">
        <v>28</v>
      </c>
    </row>
    <row r="4149" spans="1:17" x14ac:dyDescent="0.35">
      <c r="A4149" t="s">
        <v>4201</v>
      </c>
      <c r="B4149" t="s">
        <v>16</v>
      </c>
      <c r="C4149">
        <v>39</v>
      </c>
      <c r="D4149" t="s">
        <v>34</v>
      </c>
      <c r="E4149" t="s">
        <v>35</v>
      </c>
      <c r="F4149" t="s">
        <v>36</v>
      </c>
      <c r="G4149">
        <v>4.0999999999999996</v>
      </c>
      <c r="H4149">
        <v>3.8</v>
      </c>
      <c r="I4149" t="str" cm="1">
        <f t="array" ref="I4149">_xlfn.IFS(G4149&lt;3, "0–2 Years", G4149&lt;6, "3–5 Years", G4149&lt;9, "6–8 Years", G4149&lt;12, "9-11 Years", G4149&gt;=12, "12-14 Years")</f>
        <v>3–5 Years</v>
      </c>
      <c r="J4149">
        <v>3</v>
      </c>
      <c r="K4149" t="s">
        <v>20</v>
      </c>
      <c r="L4149">
        <v>84700</v>
      </c>
      <c r="M4149">
        <v>9900</v>
      </c>
      <c r="N4149">
        <v>94600</v>
      </c>
      <c r="O4149" t="s">
        <v>30</v>
      </c>
      <c r="P4149" s="3">
        <v>44521</v>
      </c>
      <c r="Q4149" t="s">
        <v>36</v>
      </c>
    </row>
    <row r="4150" spans="1:17" x14ac:dyDescent="0.35">
      <c r="A4150" t="s">
        <v>4202</v>
      </c>
      <c r="B4150" t="s">
        <v>16</v>
      </c>
      <c r="C4150">
        <v>28</v>
      </c>
      <c r="D4150" t="s">
        <v>55</v>
      </c>
      <c r="E4150" t="s">
        <v>56</v>
      </c>
      <c r="F4150" t="s">
        <v>19</v>
      </c>
      <c r="G4150">
        <v>9.6</v>
      </c>
      <c r="H4150">
        <v>8.8000000000000007</v>
      </c>
      <c r="I4150" t="str" cm="1">
        <f t="array" ref="I4150">_xlfn.IFS(G4150&lt;3, "0–2 Years", G4150&lt;6, "3–5 Years", G4150&lt;9, "6–8 Years", G4150&lt;12, "9-11 Years", G4150&gt;=12, "12-14 Years")</f>
        <v>9-11 Years</v>
      </c>
      <c r="J4150">
        <v>3</v>
      </c>
      <c r="K4150" t="s">
        <v>20</v>
      </c>
      <c r="L4150">
        <v>99300</v>
      </c>
      <c r="M4150">
        <v>8600</v>
      </c>
      <c r="N4150">
        <v>107900</v>
      </c>
      <c r="O4150" t="s">
        <v>30</v>
      </c>
      <c r="P4150" s="3">
        <v>42506</v>
      </c>
      <c r="Q4150" t="s">
        <v>19</v>
      </c>
    </row>
    <row r="4151" spans="1:17" x14ac:dyDescent="0.35">
      <c r="A4151" t="s">
        <v>4203</v>
      </c>
      <c r="B4151" t="s">
        <v>16</v>
      </c>
      <c r="C4151">
        <v>36</v>
      </c>
      <c r="D4151" t="s">
        <v>34</v>
      </c>
      <c r="E4151" t="s">
        <v>35</v>
      </c>
      <c r="F4151" t="s">
        <v>36</v>
      </c>
      <c r="G4151">
        <v>3.1</v>
      </c>
      <c r="H4151">
        <v>1.6</v>
      </c>
      <c r="I4151" t="str" cm="1">
        <f t="array" ref="I4151">_xlfn.IFS(G4151&lt;3, "0–2 Years", G4151&lt;6, "3–5 Years", G4151&lt;9, "6–8 Years", G4151&lt;12, "9-11 Years", G4151&gt;=12, "12-14 Years")</f>
        <v>3–5 Years</v>
      </c>
      <c r="J4151">
        <v>2</v>
      </c>
      <c r="K4151" t="s">
        <v>20</v>
      </c>
      <c r="L4151">
        <v>86800</v>
      </c>
      <c r="M4151">
        <v>5200</v>
      </c>
      <c r="N4151">
        <v>92000</v>
      </c>
      <c r="O4151" t="s">
        <v>30</v>
      </c>
      <c r="P4151" s="3">
        <v>44880</v>
      </c>
      <c r="Q4151" t="s">
        <v>36</v>
      </c>
    </row>
    <row r="4152" spans="1:17" x14ac:dyDescent="0.35">
      <c r="A4152" t="s">
        <v>4204</v>
      </c>
      <c r="B4152" t="s">
        <v>16</v>
      </c>
      <c r="C4152">
        <v>37</v>
      </c>
      <c r="D4152" t="s">
        <v>17</v>
      </c>
      <c r="E4152" t="s">
        <v>27</v>
      </c>
      <c r="F4152" t="s">
        <v>28</v>
      </c>
      <c r="G4152">
        <v>2.8</v>
      </c>
      <c r="H4152">
        <v>2.2999999999999998</v>
      </c>
      <c r="I4152" t="str" cm="1">
        <f t="array" ref="I4152">_xlfn.IFS(G4152&lt;3, "0–2 Years", G4152&lt;6, "3–5 Years", G4152&lt;9, "6–8 Years", G4152&lt;12, "9-11 Years", G4152&gt;=12, "12-14 Years")</f>
        <v>0–2 Years</v>
      </c>
      <c r="J4152">
        <v>4</v>
      </c>
      <c r="K4152" t="s">
        <v>20</v>
      </c>
      <c r="L4152">
        <v>81400</v>
      </c>
      <c r="M4152">
        <v>10400</v>
      </c>
      <c r="N4152">
        <v>91800</v>
      </c>
      <c r="O4152" t="s">
        <v>30</v>
      </c>
      <c r="P4152" s="3">
        <v>44998</v>
      </c>
      <c r="Q4152" t="s">
        <v>28</v>
      </c>
    </row>
    <row r="4153" spans="1:17" x14ac:dyDescent="0.35">
      <c r="A4153" t="s">
        <v>4205</v>
      </c>
      <c r="B4153" t="s">
        <v>23</v>
      </c>
      <c r="C4153">
        <v>39</v>
      </c>
      <c r="D4153" t="s">
        <v>17</v>
      </c>
      <c r="E4153" t="s">
        <v>18</v>
      </c>
      <c r="F4153" t="s">
        <v>28</v>
      </c>
      <c r="G4153">
        <v>9.5</v>
      </c>
      <c r="H4153">
        <v>5.4</v>
      </c>
      <c r="I4153" t="str" cm="1">
        <f t="array" ref="I4153">_xlfn.IFS(G4153&lt;3, "0–2 Years", G4153&lt;6, "3–5 Years", G4153&lt;9, "6–8 Years", G4153&lt;12, "9-11 Years", G4153&gt;=12, "12-14 Years")</f>
        <v>9-11 Years</v>
      </c>
      <c r="J4153">
        <v>4</v>
      </c>
      <c r="K4153" t="s">
        <v>20</v>
      </c>
      <c r="L4153">
        <v>108600</v>
      </c>
      <c r="M4153">
        <v>8700</v>
      </c>
      <c r="N4153">
        <v>117300</v>
      </c>
      <c r="O4153" t="s">
        <v>57</v>
      </c>
      <c r="P4153" s="3">
        <v>42550</v>
      </c>
      <c r="Q4153" t="s">
        <v>28</v>
      </c>
    </row>
    <row r="4154" spans="1:17" x14ac:dyDescent="0.35">
      <c r="A4154" t="s">
        <v>4206</v>
      </c>
      <c r="B4154" t="s">
        <v>16</v>
      </c>
      <c r="C4154">
        <v>49</v>
      </c>
      <c r="D4154" t="s">
        <v>17</v>
      </c>
      <c r="E4154" t="s">
        <v>18</v>
      </c>
      <c r="F4154" t="s">
        <v>19</v>
      </c>
      <c r="G4154">
        <v>3.6</v>
      </c>
      <c r="H4154">
        <v>3.1</v>
      </c>
      <c r="I4154" t="str" cm="1">
        <f t="array" ref="I4154">_xlfn.IFS(G4154&lt;3, "0–2 Years", G4154&lt;6, "3–5 Years", G4154&lt;9, "6–8 Years", G4154&lt;12, "9-11 Years", G4154&gt;=12, "12-14 Years")</f>
        <v>3–5 Years</v>
      </c>
      <c r="J4154">
        <v>4</v>
      </c>
      <c r="K4154" t="s">
        <v>20</v>
      </c>
      <c r="L4154">
        <v>89400</v>
      </c>
      <c r="M4154">
        <v>10800</v>
      </c>
      <c r="N4154">
        <v>100200</v>
      </c>
      <c r="O4154" t="s">
        <v>30</v>
      </c>
      <c r="P4154" s="3">
        <v>44722</v>
      </c>
      <c r="Q4154" t="s">
        <v>19</v>
      </c>
    </row>
    <row r="4155" spans="1:17" x14ac:dyDescent="0.35">
      <c r="A4155" t="s">
        <v>4207</v>
      </c>
      <c r="B4155" t="s">
        <v>23</v>
      </c>
      <c r="C4155">
        <v>45</v>
      </c>
      <c r="D4155" t="s">
        <v>55</v>
      </c>
      <c r="E4155" t="s">
        <v>79</v>
      </c>
      <c r="F4155" t="s">
        <v>36</v>
      </c>
      <c r="G4155">
        <v>3.6</v>
      </c>
      <c r="H4155">
        <v>2</v>
      </c>
      <c r="I4155" t="str" cm="1">
        <f t="array" ref="I4155">_xlfn.IFS(G4155&lt;3, "0–2 Years", G4155&lt;6, "3–5 Years", G4155&lt;9, "6–8 Years", G4155&lt;12, "9-11 Years", G4155&gt;=12, "12-14 Years")</f>
        <v>3–5 Years</v>
      </c>
      <c r="J4155">
        <v>3</v>
      </c>
      <c r="K4155" t="s">
        <v>20</v>
      </c>
      <c r="L4155">
        <v>55200</v>
      </c>
      <c r="M4155">
        <v>6600</v>
      </c>
      <c r="N4155">
        <v>61800</v>
      </c>
      <c r="O4155" t="s">
        <v>25</v>
      </c>
      <c r="P4155" s="3">
        <v>44690</v>
      </c>
      <c r="Q4155" t="s">
        <v>36</v>
      </c>
    </row>
    <row r="4156" spans="1:17" x14ac:dyDescent="0.35">
      <c r="A4156" t="s">
        <v>4208</v>
      </c>
      <c r="B4156" t="s">
        <v>23</v>
      </c>
      <c r="C4156" s="7">
        <v>28</v>
      </c>
      <c r="D4156" t="s">
        <v>38</v>
      </c>
      <c r="E4156" t="s">
        <v>112</v>
      </c>
      <c r="F4156" t="s">
        <v>62</v>
      </c>
      <c r="G4156" s="9">
        <v>12</v>
      </c>
      <c r="H4156" s="7">
        <v>8.5</v>
      </c>
      <c r="I4156" t="str" cm="1">
        <f t="array" ref="I4156">_xlfn.IFS(G4156&lt;3, "0–2 Years", G4156&lt;6, "3–5 Years", G4156&lt;9, "6–8 Years", G4156&lt;12, "9-11 Years", G4156&gt;=12, "12-14 Years")</f>
        <v>12-14 Years</v>
      </c>
      <c r="J4156" s="7">
        <v>3</v>
      </c>
      <c r="K4156" t="s">
        <v>20</v>
      </c>
      <c r="L4156" s="7">
        <v>73500</v>
      </c>
      <c r="M4156" s="7">
        <v>7400</v>
      </c>
      <c r="N4156" s="7">
        <v>80900</v>
      </c>
      <c r="O4156" t="s">
        <v>21</v>
      </c>
      <c r="P4156" s="3">
        <v>41642</v>
      </c>
      <c r="Q4156" t="s">
        <v>62</v>
      </c>
    </row>
    <row r="4157" spans="1:17" x14ac:dyDescent="0.35">
      <c r="A4157" t="s">
        <v>4209</v>
      </c>
      <c r="B4157" t="s">
        <v>23</v>
      </c>
      <c r="C4157">
        <v>38</v>
      </c>
      <c r="D4157" t="s">
        <v>34</v>
      </c>
      <c r="E4157" t="s">
        <v>59</v>
      </c>
      <c r="F4157" t="s">
        <v>28</v>
      </c>
      <c r="G4157">
        <v>11</v>
      </c>
      <c r="H4157">
        <v>8.3000000000000007</v>
      </c>
      <c r="I4157" t="str" cm="1">
        <f t="array" ref="I4157">_xlfn.IFS(G4157&lt;3, "0–2 Years", G4157&lt;6, "3–5 Years", G4157&lt;9, "6–8 Years", G4157&lt;12, "9-11 Years", G4157&gt;=12, "12-14 Years")</f>
        <v>9-11 Years</v>
      </c>
      <c r="J4157">
        <v>4</v>
      </c>
      <c r="K4157" t="s">
        <v>20</v>
      </c>
      <c r="L4157">
        <v>116900</v>
      </c>
      <c r="M4157">
        <v>5200</v>
      </c>
      <c r="N4157">
        <v>122100</v>
      </c>
      <c r="O4157" t="s">
        <v>57</v>
      </c>
      <c r="P4157" s="3">
        <v>41993</v>
      </c>
      <c r="Q4157" t="s">
        <v>28</v>
      </c>
    </row>
    <row r="4158" spans="1:17" x14ac:dyDescent="0.35">
      <c r="A4158" t="s">
        <v>4210</v>
      </c>
      <c r="B4158" t="s">
        <v>23</v>
      </c>
      <c r="C4158">
        <v>30</v>
      </c>
      <c r="D4158" t="s">
        <v>34</v>
      </c>
      <c r="E4158" t="s">
        <v>47</v>
      </c>
      <c r="F4158" t="s">
        <v>28</v>
      </c>
      <c r="G4158">
        <v>10.199999999999999</v>
      </c>
      <c r="H4158">
        <v>7.1</v>
      </c>
      <c r="I4158" t="str" cm="1">
        <f t="array" ref="I4158">_xlfn.IFS(G4158&lt;3, "0–2 Years", G4158&lt;6, "3–5 Years", G4158&lt;9, "6–8 Years", G4158&lt;12, "9-11 Years", G4158&gt;=12, "12-14 Years")</f>
        <v>9-11 Years</v>
      </c>
      <c r="J4158">
        <v>4</v>
      </c>
      <c r="K4158" t="s">
        <v>20</v>
      </c>
      <c r="L4158">
        <v>84200</v>
      </c>
      <c r="M4158">
        <v>8900</v>
      </c>
      <c r="N4158">
        <v>93100</v>
      </c>
      <c r="O4158" t="s">
        <v>30</v>
      </c>
      <c r="P4158" s="3">
        <v>42287</v>
      </c>
      <c r="Q4158" t="s">
        <v>28</v>
      </c>
    </row>
    <row r="4159" spans="1:17" x14ac:dyDescent="0.35">
      <c r="A4159" t="s">
        <v>4211</v>
      </c>
      <c r="B4159" t="s">
        <v>16</v>
      </c>
      <c r="C4159">
        <v>42</v>
      </c>
      <c r="D4159" t="s">
        <v>17</v>
      </c>
      <c r="E4159" t="s">
        <v>27</v>
      </c>
      <c r="F4159" t="s">
        <v>36</v>
      </c>
      <c r="G4159">
        <v>9.1999999999999993</v>
      </c>
      <c r="H4159">
        <v>5.8</v>
      </c>
      <c r="I4159" t="str" cm="1">
        <f t="array" ref="I4159">_xlfn.IFS(G4159&lt;3, "0–2 Years", G4159&lt;6, "3–5 Years", G4159&lt;9, "6–8 Years", G4159&lt;12, "9-11 Years", G4159&gt;=12, "12-14 Years")</f>
        <v>9-11 Years</v>
      </c>
      <c r="J4159">
        <v>4</v>
      </c>
      <c r="K4159" t="s">
        <v>69</v>
      </c>
      <c r="L4159">
        <v>62800</v>
      </c>
      <c r="M4159">
        <v>3700</v>
      </c>
      <c r="N4159">
        <v>66500</v>
      </c>
      <c r="O4159" t="s">
        <v>25</v>
      </c>
      <c r="P4159" s="3">
        <v>42673</v>
      </c>
      <c r="Q4159" t="s">
        <v>36</v>
      </c>
    </row>
    <row r="4160" spans="1:17" x14ac:dyDescent="0.35">
      <c r="A4160" t="s">
        <v>4212</v>
      </c>
      <c r="B4160" t="s">
        <v>16</v>
      </c>
      <c r="C4160" s="7">
        <v>25</v>
      </c>
      <c r="D4160" t="s">
        <v>38</v>
      </c>
      <c r="E4160" t="s">
        <v>61</v>
      </c>
      <c r="F4160" t="s">
        <v>36</v>
      </c>
      <c r="G4160" s="9">
        <v>12.3</v>
      </c>
      <c r="H4160" s="7">
        <v>8.9</v>
      </c>
      <c r="I4160" t="str" cm="1">
        <f t="array" ref="I4160">_xlfn.IFS(G4160&lt;3, "0–2 Years", G4160&lt;6, "3–5 Years", G4160&lt;9, "6–8 Years", G4160&lt;12, "9-11 Years", G4160&gt;=12, "12-14 Years")</f>
        <v>12-14 Years</v>
      </c>
      <c r="J4160" s="7">
        <v>4</v>
      </c>
      <c r="K4160" t="s">
        <v>20</v>
      </c>
      <c r="L4160" s="7">
        <v>121400</v>
      </c>
      <c r="M4160" s="7">
        <v>10600</v>
      </c>
      <c r="N4160" s="7">
        <v>132000</v>
      </c>
      <c r="O4160" t="s">
        <v>57</v>
      </c>
      <c r="P4160" s="3">
        <v>41531</v>
      </c>
      <c r="Q4160" t="s">
        <v>36</v>
      </c>
    </row>
    <row r="4161" spans="1:17" x14ac:dyDescent="0.35">
      <c r="A4161" t="s">
        <v>4213</v>
      </c>
      <c r="B4161" t="s">
        <v>23</v>
      </c>
      <c r="C4161">
        <v>29</v>
      </c>
      <c r="D4161" t="s">
        <v>34</v>
      </c>
      <c r="E4161" t="s">
        <v>35</v>
      </c>
      <c r="F4161" t="s">
        <v>28</v>
      </c>
      <c r="G4161">
        <v>6.5</v>
      </c>
      <c r="H4161">
        <v>5</v>
      </c>
      <c r="I4161" t="str" cm="1">
        <f t="array" ref="I4161">_xlfn.IFS(G4161&lt;3, "0–2 Years", G4161&lt;6, "3–5 Years", G4161&lt;9, "6–8 Years", G4161&lt;12, "9-11 Years", G4161&gt;=12, "12-14 Years")</f>
        <v>6–8 Years</v>
      </c>
      <c r="J4161">
        <v>1</v>
      </c>
      <c r="K4161" t="s">
        <v>20</v>
      </c>
      <c r="L4161">
        <v>67800</v>
      </c>
      <c r="M4161">
        <v>5400</v>
      </c>
      <c r="N4161">
        <v>73200</v>
      </c>
      <c r="O4161" t="s">
        <v>21</v>
      </c>
      <c r="P4161" s="3">
        <v>43652</v>
      </c>
      <c r="Q4161" t="s">
        <v>28</v>
      </c>
    </row>
    <row r="4162" spans="1:17" x14ac:dyDescent="0.35">
      <c r="A4162" t="s">
        <v>4214</v>
      </c>
      <c r="B4162" t="s">
        <v>23</v>
      </c>
      <c r="C4162">
        <v>25</v>
      </c>
      <c r="D4162" t="s">
        <v>41</v>
      </c>
      <c r="E4162" t="s">
        <v>67</v>
      </c>
      <c r="F4162" t="s">
        <v>36</v>
      </c>
      <c r="G4162">
        <v>9</v>
      </c>
      <c r="H4162">
        <v>5.5</v>
      </c>
      <c r="I4162" t="str" cm="1">
        <f t="array" ref="I4162">_xlfn.IFS(G4162&lt;3, "0–2 Years", G4162&lt;6, "3–5 Years", G4162&lt;9, "6–8 Years", G4162&lt;12, "9-11 Years", G4162&gt;=12, "12-14 Years")</f>
        <v>9-11 Years</v>
      </c>
      <c r="J4162">
        <v>2</v>
      </c>
      <c r="K4162" t="s">
        <v>20</v>
      </c>
      <c r="L4162">
        <v>82600</v>
      </c>
      <c r="M4162">
        <v>4300</v>
      </c>
      <c r="N4162">
        <v>86900</v>
      </c>
      <c r="O4162" t="s">
        <v>30</v>
      </c>
      <c r="P4162" s="3">
        <v>42731</v>
      </c>
      <c r="Q4162" t="s">
        <v>36</v>
      </c>
    </row>
    <row r="4163" spans="1:17" x14ac:dyDescent="0.35">
      <c r="A4163" t="s">
        <v>4215</v>
      </c>
      <c r="B4163" t="s">
        <v>16</v>
      </c>
      <c r="C4163">
        <v>27</v>
      </c>
      <c r="D4163" t="s">
        <v>17</v>
      </c>
      <c r="E4163" t="s">
        <v>18</v>
      </c>
      <c r="F4163" t="s">
        <v>28</v>
      </c>
      <c r="G4163">
        <v>7.1</v>
      </c>
      <c r="H4163">
        <v>5.4</v>
      </c>
      <c r="I4163" t="str" cm="1">
        <f t="array" ref="I4163">_xlfn.IFS(G4163&lt;3, "0–2 Years", G4163&lt;6, "3–5 Years", G4163&lt;9, "6–8 Years", G4163&lt;12, "9-11 Years", G4163&gt;=12, "12-14 Years")</f>
        <v>6–8 Years</v>
      </c>
      <c r="J4163">
        <v>5</v>
      </c>
      <c r="K4163" t="s">
        <v>20</v>
      </c>
      <c r="L4163">
        <v>100200</v>
      </c>
      <c r="M4163">
        <v>10300</v>
      </c>
      <c r="N4163">
        <v>110500</v>
      </c>
      <c r="O4163" t="s">
        <v>57</v>
      </c>
      <c r="P4163" s="3">
        <v>43441</v>
      </c>
      <c r="Q4163" t="s">
        <v>28</v>
      </c>
    </row>
    <row r="4164" spans="1:17" x14ac:dyDescent="0.35">
      <c r="A4164" t="s">
        <v>4216</v>
      </c>
      <c r="B4164" t="s">
        <v>23</v>
      </c>
      <c r="C4164">
        <v>46</v>
      </c>
      <c r="D4164" t="s">
        <v>44</v>
      </c>
      <c r="E4164" t="s">
        <v>76</v>
      </c>
      <c r="F4164" t="s">
        <v>36</v>
      </c>
      <c r="G4164">
        <v>9.6</v>
      </c>
      <c r="H4164">
        <v>6.5</v>
      </c>
      <c r="I4164" t="str" cm="1">
        <f t="array" ref="I4164">_xlfn.IFS(G4164&lt;3, "0–2 Years", G4164&lt;6, "3–5 Years", G4164&lt;9, "6–8 Years", G4164&lt;12, "9-11 Years", G4164&gt;=12, "12-14 Years")</f>
        <v>9-11 Years</v>
      </c>
      <c r="J4164">
        <v>1</v>
      </c>
      <c r="K4164" t="s">
        <v>20</v>
      </c>
      <c r="L4164">
        <v>107700</v>
      </c>
      <c r="M4164">
        <v>13500</v>
      </c>
      <c r="N4164">
        <v>121200</v>
      </c>
      <c r="O4164" t="s">
        <v>57</v>
      </c>
      <c r="P4164" s="3">
        <v>42514</v>
      </c>
      <c r="Q4164" t="s">
        <v>36</v>
      </c>
    </row>
    <row r="4165" spans="1:17" x14ac:dyDescent="0.35">
      <c r="A4165" t="s">
        <v>4217</v>
      </c>
      <c r="B4165" t="s">
        <v>16</v>
      </c>
      <c r="C4165">
        <v>25</v>
      </c>
      <c r="D4165" t="s">
        <v>44</v>
      </c>
      <c r="E4165" t="s">
        <v>51</v>
      </c>
      <c r="F4165" t="s">
        <v>28</v>
      </c>
      <c r="G4165">
        <v>7.5</v>
      </c>
      <c r="H4165">
        <v>4.9000000000000004</v>
      </c>
      <c r="I4165" t="str" cm="1">
        <f t="array" ref="I4165">_xlfn.IFS(G4165&lt;3, "0–2 Years", G4165&lt;6, "3–5 Years", G4165&lt;9, "6–8 Years", G4165&lt;12, "9-11 Years", G4165&gt;=12, "12-14 Years")</f>
        <v>6–8 Years</v>
      </c>
      <c r="J4165">
        <v>3</v>
      </c>
      <c r="K4165" t="s">
        <v>20</v>
      </c>
      <c r="L4165">
        <v>92700</v>
      </c>
      <c r="M4165">
        <v>9200</v>
      </c>
      <c r="N4165">
        <v>101900</v>
      </c>
      <c r="O4165" t="s">
        <v>30</v>
      </c>
      <c r="P4165" s="3">
        <v>43283</v>
      </c>
      <c r="Q4165" t="s">
        <v>28</v>
      </c>
    </row>
    <row r="4166" spans="1:17" x14ac:dyDescent="0.35">
      <c r="A4166" t="s">
        <v>4218</v>
      </c>
      <c r="B4166" t="s">
        <v>23</v>
      </c>
      <c r="C4166">
        <v>25</v>
      </c>
      <c r="D4166" t="s">
        <v>41</v>
      </c>
      <c r="E4166" t="s">
        <v>73</v>
      </c>
      <c r="F4166" t="s">
        <v>36</v>
      </c>
      <c r="G4166">
        <v>11.4</v>
      </c>
      <c r="H4166">
        <v>6.7</v>
      </c>
      <c r="I4166" t="str" cm="1">
        <f t="array" ref="I4166">_xlfn.IFS(G4166&lt;3, "0–2 Years", G4166&lt;6, "3–5 Years", G4166&lt;9, "6–8 Years", G4166&lt;12, "9-11 Years", G4166&gt;=12, "12-14 Years")</f>
        <v>9-11 Years</v>
      </c>
      <c r="J4166">
        <v>2</v>
      </c>
      <c r="K4166" t="s">
        <v>24</v>
      </c>
      <c r="L4166">
        <v>64100</v>
      </c>
      <c r="M4166">
        <v>3700</v>
      </c>
      <c r="N4166">
        <v>67800</v>
      </c>
      <c r="O4166" t="s">
        <v>25</v>
      </c>
      <c r="P4166" s="3">
        <v>41851</v>
      </c>
      <c r="Q4166" t="s">
        <v>36</v>
      </c>
    </row>
    <row r="4167" spans="1:17" x14ac:dyDescent="0.35">
      <c r="A4167" t="s">
        <v>4219</v>
      </c>
      <c r="B4167" t="s">
        <v>23</v>
      </c>
      <c r="C4167">
        <v>35</v>
      </c>
      <c r="D4167" t="s">
        <v>34</v>
      </c>
      <c r="E4167" t="s">
        <v>35</v>
      </c>
      <c r="F4167" t="s">
        <v>28</v>
      </c>
      <c r="G4167">
        <v>11.4</v>
      </c>
      <c r="H4167">
        <v>9.6</v>
      </c>
      <c r="I4167" t="str" cm="1">
        <f t="array" ref="I4167">_xlfn.IFS(G4167&lt;3, "0–2 Years", G4167&lt;6, "3–5 Years", G4167&lt;9, "6–8 Years", G4167&lt;12, "9-11 Years", G4167&gt;=12, "12-14 Years")</f>
        <v>9-11 Years</v>
      </c>
      <c r="J4167">
        <v>3</v>
      </c>
      <c r="K4167" t="s">
        <v>20</v>
      </c>
      <c r="L4167">
        <v>78000</v>
      </c>
      <c r="M4167">
        <v>8800</v>
      </c>
      <c r="N4167">
        <v>86800</v>
      </c>
      <c r="O4167" t="s">
        <v>21</v>
      </c>
      <c r="P4167" s="3">
        <v>41855</v>
      </c>
      <c r="Q4167" t="s">
        <v>28</v>
      </c>
    </row>
    <row r="4168" spans="1:17" x14ac:dyDescent="0.35">
      <c r="A4168" t="s">
        <v>4220</v>
      </c>
      <c r="B4168" t="s">
        <v>16</v>
      </c>
      <c r="C4168">
        <v>38</v>
      </c>
      <c r="D4168" t="s">
        <v>41</v>
      </c>
      <c r="E4168" t="s">
        <v>42</v>
      </c>
      <c r="F4168" t="s">
        <v>19</v>
      </c>
      <c r="G4168">
        <v>4.2</v>
      </c>
      <c r="H4168">
        <v>4</v>
      </c>
      <c r="I4168" t="str" cm="1">
        <f t="array" ref="I4168">_xlfn.IFS(G4168&lt;3, "0–2 Years", G4168&lt;6, "3–5 Years", G4168&lt;9, "6–8 Years", G4168&lt;12, "9-11 Years", G4168&gt;=12, "12-14 Years")</f>
        <v>3–5 Years</v>
      </c>
      <c r="J4168">
        <v>5</v>
      </c>
      <c r="K4168" t="s">
        <v>20</v>
      </c>
      <c r="L4168">
        <v>73700</v>
      </c>
      <c r="M4168">
        <v>5500</v>
      </c>
      <c r="N4168">
        <v>79200</v>
      </c>
      <c r="O4168" t="s">
        <v>21</v>
      </c>
      <c r="P4168" s="3">
        <v>44495</v>
      </c>
      <c r="Q4168" t="s">
        <v>19</v>
      </c>
    </row>
    <row r="4169" spans="1:17" x14ac:dyDescent="0.35">
      <c r="A4169" t="s">
        <v>4221</v>
      </c>
      <c r="B4169" t="s">
        <v>16</v>
      </c>
      <c r="C4169">
        <v>39</v>
      </c>
      <c r="D4169" t="s">
        <v>55</v>
      </c>
      <c r="E4169" t="s">
        <v>56</v>
      </c>
      <c r="F4169" t="s">
        <v>36</v>
      </c>
      <c r="G4169">
        <v>9.1</v>
      </c>
      <c r="H4169">
        <v>7.2</v>
      </c>
      <c r="I4169" t="str" cm="1">
        <f t="array" ref="I4169">_xlfn.IFS(G4169&lt;3, "0–2 Years", G4169&lt;6, "3–5 Years", G4169&lt;9, "6–8 Years", G4169&lt;12, "9-11 Years", G4169&gt;=12, "12-14 Years")</f>
        <v>9-11 Years</v>
      </c>
      <c r="J4169">
        <v>2</v>
      </c>
      <c r="K4169" t="s">
        <v>20</v>
      </c>
      <c r="L4169">
        <v>100300</v>
      </c>
      <c r="M4169">
        <v>12800</v>
      </c>
      <c r="N4169">
        <v>113100</v>
      </c>
      <c r="O4169" t="s">
        <v>57</v>
      </c>
      <c r="P4169" s="3">
        <v>42700</v>
      </c>
      <c r="Q4169" t="s">
        <v>36</v>
      </c>
    </row>
    <row r="4170" spans="1:17" x14ac:dyDescent="0.35">
      <c r="A4170" t="s">
        <v>4222</v>
      </c>
      <c r="B4170" t="s">
        <v>16</v>
      </c>
      <c r="C4170">
        <v>21</v>
      </c>
      <c r="D4170" t="s">
        <v>17</v>
      </c>
      <c r="E4170" t="s">
        <v>18</v>
      </c>
      <c r="F4170" t="s">
        <v>36</v>
      </c>
      <c r="G4170">
        <v>11.2</v>
      </c>
      <c r="H4170">
        <v>8</v>
      </c>
      <c r="I4170" t="str" cm="1">
        <f t="array" ref="I4170">_xlfn.IFS(G4170&lt;3, "0–2 Years", G4170&lt;6, "3–5 Years", G4170&lt;9, "6–8 Years", G4170&lt;12, "9-11 Years", G4170&gt;=12, "12-14 Years")</f>
        <v>9-11 Years</v>
      </c>
      <c r="J4170">
        <v>4</v>
      </c>
      <c r="K4170" t="s">
        <v>20</v>
      </c>
      <c r="L4170">
        <v>102000</v>
      </c>
      <c r="M4170">
        <v>9700</v>
      </c>
      <c r="N4170">
        <v>111700</v>
      </c>
      <c r="O4170" t="s">
        <v>57</v>
      </c>
      <c r="P4170" s="3">
        <v>41948</v>
      </c>
      <c r="Q4170" t="s">
        <v>36</v>
      </c>
    </row>
    <row r="4171" spans="1:17" x14ac:dyDescent="0.35">
      <c r="A4171" t="s">
        <v>4223</v>
      </c>
      <c r="B4171" t="s">
        <v>16</v>
      </c>
      <c r="C4171">
        <v>39</v>
      </c>
      <c r="D4171" t="s">
        <v>41</v>
      </c>
      <c r="E4171" t="s">
        <v>73</v>
      </c>
      <c r="F4171" t="s">
        <v>36</v>
      </c>
      <c r="G4171">
        <v>2.4</v>
      </c>
      <c r="H4171">
        <v>2</v>
      </c>
      <c r="I4171" t="str" cm="1">
        <f t="array" ref="I4171">_xlfn.IFS(G4171&lt;3, "0–2 Years", G4171&lt;6, "3–5 Years", G4171&lt;9, "6–8 Years", G4171&lt;12, "9-11 Years", G4171&gt;=12, "12-14 Years")</f>
        <v>0–2 Years</v>
      </c>
      <c r="J4171">
        <v>3</v>
      </c>
      <c r="K4171" t="s">
        <v>20</v>
      </c>
      <c r="L4171">
        <v>105800</v>
      </c>
      <c r="M4171">
        <v>5000</v>
      </c>
      <c r="N4171">
        <v>110800</v>
      </c>
      <c r="O4171" t="s">
        <v>57</v>
      </c>
      <c r="P4171" s="3">
        <v>45155</v>
      </c>
      <c r="Q4171" t="s">
        <v>36</v>
      </c>
    </row>
    <row r="4172" spans="1:17" x14ac:dyDescent="0.35">
      <c r="A4172" t="s">
        <v>4224</v>
      </c>
      <c r="B4172" t="s">
        <v>23</v>
      </c>
      <c r="C4172">
        <v>58</v>
      </c>
      <c r="D4172" t="s">
        <v>17</v>
      </c>
      <c r="E4172" t="s">
        <v>32</v>
      </c>
      <c r="F4172" t="s">
        <v>36</v>
      </c>
      <c r="G4172">
        <v>11.4</v>
      </c>
      <c r="H4172">
        <v>6.9</v>
      </c>
      <c r="I4172" t="str" cm="1">
        <f t="array" ref="I4172">_xlfn.IFS(G4172&lt;3, "0–2 Years", G4172&lt;6, "3–5 Years", G4172&lt;9, "6–8 Years", G4172&lt;12, "9-11 Years", G4172&gt;=12, "12-14 Years")</f>
        <v>9-11 Years</v>
      </c>
      <c r="J4172">
        <v>4</v>
      </c>
      <c r="K4172" t="s">
        <v>24</v>
      </c>
      <c r="L4172">
        <v>46100</v>
      </c>
      <c r="M4172">
        <v>6200</v>
      </c>
      <c r="N4172">
        <v>52300</v>
      </c>
      <c r="O4172" t="s">
        <v>65</v>
      </c>
      <c r="P4172" s="3">
        <v>41866</v>
      </c>
      <c r="Q4172" t="s">
        <v>36</v>
      </c>
    </row>
    <row r="4173" spans="1:17" x14ac:dyDescent="0.35">
      <c r="A4173" t="s">
        <v>4225</v>
      </c>
      <c r="B4173" t="s">
        <v>16</v>
      </c>
      <c r="C4173">
        <v>45</v>
      </c>
      <c r="D4173" t="s">
        <v>44</v>
      </c>
      <c r="E4173" t="s">
        <v>76</v>
      </c>
      <c r="F4173" t="s">
        <v>36</v>
      </c>
      <c r="G4173">
        <v>7.1</v>
      </c>
      <c r="H4173">
        <v>5.7</v>
      </c>
      <c r="I4173" t="str" cm="1">
        <f t="array" ref="I4173">_xlfn.IFS(G4173&lt;3, "0–2 Years", G4173&lt;6, "3–5 Years", G4173&lt;9, "6–8 Years", G4173&lt;12, "9-11 Years", G4173&gt;=12, "12-14 Years")</f>
        <v>6–8 Years</v>
      </c>
      <c r="J4173">
        <v>4</v>
      </c>
      <c r="K4173" t="s">
        <v>20</v>
      </c>
      <c r="L4173">
        <v>108500</v>
      </c>
      <c r="M4173">
        <v>13000</v>
      </c>
      <c r="N4173">
        <v>121500</v>
      </c>
      <c r="O4173" t="s">
        <v>57</v>
      </c>
      <c r="P4173" s="3">
        <v>43426</v>
      </c>
      <c r="Q4173" t="s">
        <v>36</v>
      </c>
    </row>
    <row r="4174" spans="1:17" x14ac:dyDescent="0.35">
      <c r="A4174" t="s">
        <v>4226</v>
      </c>
      <c r="B4174" t="s">
        <v>23</v>
      </c>
      <c r="C4174">
        <v>27</v>
      </c>
      <c r="D4174" t="s">
        <v>44</v>
      </c>
      <c r="E4174" t="s">
        <v>81</v>
      </c>
      <c r="F4174" t="s">
        <v>36</v>
      </c>
      <c r="G4174">
        <v>11.5</v>
      </c>
      <c r="H4174">
        <v>6.9</v>
      </c>
      <c r="I4174" t="str" cm="1">
        <f t="array" ref="I4174">_xlfn.IFS(G4174&lt;3, "0–2 Years", G4174&lt;6, "3–5 Years", G4174&lt;9, "6–8 Years", G4174&lt;12, "9-11 Years", G4174&gt;=12, "12-14 Years")</f>
        <v>9-11 Years</v>
      </c>
      <c r="J4174">
        <v>4</v>
      </c>
      <c r="K4174" t="s">
        <v>20</v>
      </c>
      <c r="L4174">
        <v>110300</v>
      </c>
      <c r="M4174">
        <v>12800</v>
      </c>
      <c r="N4174">
        <v>123100</v>
      </c>
      <c r="O4174" t="s">
        <v>57</v>
      </c>
      <c r="P4174" s="3">
        <v>41831</v>
      </c>
      <c r="Q4174" t="s">
        <v>36</v>
      </c>
    </row>
    <row r="4175" spans="1:17" x14ac:dyDescent="0.35">
      <c r="A4175" t="s">
        <v>4227</v>
      </c>
      <c r="B4175" t="s">
        <v>16</v>
      </c>
      <c r="C4175">
        <v>39</v>
      </c>
      <c r="D4175" t="s">
        <v>55</v>
      </c>
      <c r="E4175" t="s">
        <v>56</v>
      </c>
      <c r="F4175" t="s">
        <v>28</v>
      </c>
      <c r="G4175">
        <v>1.8</v>
      </c>
      <c r="H4175">
        <v>1.8</v>
      </c>
      <c r="I4175" t="str" cm="1">
        <f t="array" ref="I4175">_xlfn.IFS(G4175&lt;3, "0–2 Years", G4175&lt;6, "3–5 Years", G4175&lt;9, "6–8 Years", G4175&lt;12, "9-11 Years", G4175&gt;=12, "12-14 Years")</f>
        <v>0–2 Years</v>
      </c>
      <c r="J4175">
        <v>2</v>
      </c>
      <c r="K4175" t="s">
        <v>20</v>
      </c>
      <c r="L4175">
        <v>89500</v>
      </c>
      <c r="M4175">
        <v>10700</v>
      </c>
      <c r="N4175">
        <v>100200</v>
      </c>
      <c r="O4175" t="s">
        <v>30</v>
      </c>
      <c r="P4175" s="3">
        <v>45356</v>
      </c>
      <c r="Q4175" t="s">
        <v>28</v>
      </c>
    </row>
    <row r="4176" spans="1:17" x14ac:dyDescent="0.35">
      <c r="A4176" t="s">
        <v>4228</v>
      </c>
      <c r="B4176" t="s">
        <v>16</v>
      </c>
      <c r="C4176">
        <v>21</v>
      </c>
      <c r="D4176" t="s">
        <v>38</v>
      </c>
      <c r="E4176" t="s">
        <v>39</v>
      </c>
      <c r="F4176" t="s">
        <v>28</v>
      </c>
      <c r="G4176">
        <v>7.7</v>
      </c>
      <c r="H4176">
        <v>4.8</v>
      </c>
      <c r="I4176" t="str" cm="1">
        <f t="array" ref="I4176">_xlfn.IFS(G4176&lt;3, "0–2 Years", G4176&lt;6, "3–5 Years", G4176&lt;9, "6–8 Years", G4176&lt;12, "9-11 Years", G4176&gt;=12, "12-14 Years")</f>
        <v>6–8 Years</v>
      </c>
      <c r="J4176">
        <v>3</v>
      </c>
      <c r="K4176" t="s">
        <v>20</v>
      </c>
      <c r="L4176">
        <v>86900</v>
      </c>
      <c r="M4176">
        <v>6900</v>
      </c>
      <c r="N4176">
        <v>93800</v>
      </c>
      <c r="O4176" t="s">
        <v>30</v>
      </c>
      <c r="P4176" s="3">
        <v>43218</v>
      </c>
      <c r="Q4176" t="s">
        <v>28</v>
      </c>
    </row>
    <row r="4177" spans="1:17" x14ac:dyDescent="0.35">
      <c r="A4177" t="s">
        <v>4229</v>
      </c>
      <c r="B4177" t="s">
        <v>16</v>
      </c>
      <c r="C4177">
        <v>40</v>
      </c>
      <c r="D4177" t="s">
        <v>34</v>
      </c>
      <c r="E4177" t="s">
        <v>47</v>
      </c>
      <c r="F4177" t="s">
        <v>28</v>
      </c>
      <c r="G4177">
        <v>1.3</v>
      </c>
      <c r="H4177">
        <v>0</v>
      </c>
      <c r="I4177" t="str" cm="1">
        <f t="array" ref="I4177">_xlfn.IFS(G4177&lt;3, "0–2 Years", G4177&lt;6, "3–5 Years", G4177&lt;9, "6–8 Years", G4177&lt;12, "9-11 Years", G4177&gt;=12, "12-14 Years")</f>
        <v>0–2 Years</v>
      </c>
      <c r="J4177">
        <v>3</v>
      </c>
      <c r="K4177" t="s">
        <v>20</v>
      </c>
      <c r="L4177">
        <v>64200</v>
      </c>
      <c r="M4177">
        <v>3300</v>
      </c>
      <c r="N4177">
        <v>67500</v>
      </c>
      <c r="O4177" t="s">
        <v>25</v>
      </c>
      <c r="P4177" s="3">
        <v>45566</v>
      </c>
      <c r="Q4177" t="s">
        <v>28</v>
      </c>
    </row>
    <row r="4178" spans="1:17" x14ac:dyDescent="0.35">
      <c r="A4178" t="s">
        <v>4230</v>
      </c>
      <c r="B4178" t="s">
        <v>23</v>
      </c>
      <c r="C4178" s="7">
        <v>31</v>
      </c>
      <c r="D4178" t="s">
        <v>41</v>
      </c>
      <c r="E4178" t="s">
        <v>42</v>
      </c>
      <c r="F4178" t="s">
        <v>28</v>
      </c>
      <c r="G4178" s="9">
        <v>12.5</v>
      </c>
      <c r="H4178" s="7">
        <v>9.1</v>
      </c>
      <c r="I4178" t="str" cm="1">
        <f t="array" ref="I4178">_xlfn.IFS(G4178&lt;3, "0–2 Years", G4178&lt;6, "3–5 Years", G4178&lt;9, "6–8 Years", G4178&lt;12, "9-11 Years", G4178&gt;=12, "12-14 Years")</f>
        <v>12-14 Years</v>
      </c>
      <c r="J4178" s="7">
        <v>1</v>
      </c>
      <c r="K4178" t="s">
        <v>20</v>
      </c>
      <c r="L4178" s="7">
        <v>79900</v>
      </c>
      <c r="M4178" s="7">
        <v>3000</v>
      </c>
      <c r="N4178" s="7">
        <v>82900</v>
      </c>
      <c r="O4178" t="s">
        <v>21</v>
      </c>
      <c r="P4178" s="3">
        <v>41460</v>
      </c>
      <c r="Q4178" t="s">
        <v>28</v>
      </c>
    </row>
    <row r="4179" spans="1:17" x14ac:dyDescent="0.35">
      <c r="A4179" t="s">
        <v>4231</v>
      </c>
      <c r="B4179" t="s">
        <v>16</v>
      </c>
      <c r="C4179" s="7">
        <v>24</v>
      </c>
      <c r="D4179" t="s">
        <v>34</v>
      </c>
      <c r="E4179" t="s">
        <v>47</v>
      </c>
      <c r="F4179" t="s">
        <v>36</v>
      </c>
      <c r="G4179" s="9">
        <v>12.1</v>
      </c>
      <c r="H4179" s="7">
        <v>6.7</v>
      </c>
      <c r="I4179" t="str" cm="1">
        <f t="array" ref="I4179">_xlfn.IFS(G4179&lt;3, "0–2 Years", G4179&lt;6, "3–5 Years", G4179&lt;9, "6–8 Years", G4179&lt;12, "9-11 Years", G4179&gt;=12, "12-14 Years")</f>
        <v>12-14 Years</v>
      </c>
      <c r="J4179" s="7">
        <v>3</v>
      </c>
      <c r="K4179" t="s">
        <v>20</v>
      </c>
      <c r="L4179" s="7">
        <v>88000</v>
      </c>
      <c r="M4179" s="7">
        <v>10100</v>
      </c>
      <c r="N4179" s="7">
        <v>98100</v>
      </c>
      <c r="O4179" t="s">
        <v>30</v>
      </c>
      <c r="P4179" s="3">
        <v>41599</v>
      </c>
      <c r="Q4179" t="s">
        <v>36</v>
      </c>
    </row>
    <row r="4180" spans="1:17" x14ac:dyDescent="0.35">
      <c r="A4180" t="s">
        <v>4232</v>
      </c>
      <c r="B4180" t="s">
        <v>23</v>
      </c>
      <c r="C4180" s="7">
        <v>28</v>
      </c>
      <c r="D4180" t="s">
        <v>17</v>
      </c>
      <c r="E4180" t="s">
        <v>18</v>
      </c>
      <c r="F4180" t="s">
        <v>36</v>
      </c>
      <c r="G4180" s="9">
        <v>12</v>
      </c>
      <c r="H4180" s="7">
        <v>8</v>
      </c>
      <c r="I4180" t="str" cm="1">
        <f t="array" ref="I4180">_xlfn.IFS(G4180&lt;3, "0–2 Years", G4180&lt;6, "3–5 Years", G4180&lt;9, "6–8 Years", G4180&lt;12, "9-11 Years", G4180&gt;=12, "12-14 Years")</f>
        <v>12-14 Years</v>
      </c>
      <c r="J4180" s="7">
        <v>3</v>
      </c>
      <c r="K4180" t="s">
        <v>20</v>
      </c>
      <c r="L4180" s="7">
        <v>131300</v>
      </c>
      <c r="M4180" s="7">
        <v>15800</v>
      </c>
      <c r="N4180" s="7">
        <v>147100</v>
      </c>
      <c r="O4180" t="s">
        <v>57</v>
      </c>
      <c r="P4180" s="3">
        <v>41658</v>
      </c>
      <c r="Q4180" t="s">
        <v>36</v>
      </c>
    </row>
    <row r="4181" spans="1:17" x14ac:dyDescent="0.35">
      <c r="A4181" t="s">
        <v>4233</v>
      </c>
      <c r="B4181" t="s">
        <v>23</v>
      </c>
      <c r="C4181">
        <v>41</v>
      </c>
      <c r="D4181" t="s">
        <v>44</v>
      </c>
      <c r="E4181" t="s">
        <v>76</v>
      </c>
      <c r="F4181" t="s">
        <v>28</v>
      </c>
      <c r="G4181">
        <v>5.2</v>
      </c>
      <c r="H4181">
        <v>2.5</v>
      </c>
      <c r="I4181" t="str" cm="1">
        <f t="array" ref="I4181">_xlfn.IFS(G4181&lt;3, "0–2 Years", G4181&lt;6, "3–5 Years", G4181&lt;9, "6–8 Years", G4181&lt;12, "9-11 Years", G4181&gt;=12, "12-14 Years")</f>
        <v>3–5 Years</v>
      </c>
      <c r="J4181">
        <v>3</v>
      </c>
      <c r="K4181" t="s">
        <v>20</v>
      </c>
      <c r="L4181">
        <v>110900</v>
      </c>
      <c r="M4181">
        <v>14200</v>
      </c>
      <c r="N4181">
        <v>125100</v>
      </c>
      <c r="O4181" t="s">
        <v>57</v>
      </c>
      <c r="P4181" s="3">
        <v>44116</v>
      </c>
      <c r="Q4181" t="s">
        <v>28</v>
      </c>
    </row>
    <row r="4182" spans="1:17" x14ac:dyDescent="0.35">
      <c r="A4182" t="s">
        <v>4234</v>
      </c>
      <c r="B4182" t="s">
        <v>16</v>
      </c>
      <c r="C4182">
        <v>34</v>
      </c>
      <c r="D4182" t="s">
        <v>55</v>
      </c>
      <c r="E4182" t="s">
        <v>56</v>
      </c>
      <c r="F4182" t="s">
        <v>36</v>
      </c>
      <c r="G4182">
        <v>8.4</v>
      </c>
      <c r="H4182">
        <v>4.9000000000000004</v>
      </c>
      <c r="I4182" t="str" cm="1">
        <f t="array" ref="I4182">_xlfn.IFS(G4182&lt;3, "0–2 Years", G4182&lt;6, "3–5 Years", G4182&lt;9, "6–8 Years", G4182&lt;12, "9-11 Years", G4182&gt;=12, "12-14 Years")</f>
        <v>6–8 Years</v>
      </c>
      <c r="J4182">
        <v>4</v>
      </c>
      <c r="K4182" t="s">
        <v>20</v>
      </c>
      <c r="L4182">
        <v>121100</v>
      </c>
      <c r="M4182">
        <v>17100</v>
      </c>
      <c r="N4182">
        <v>138200</v>
      </c>
      <c r="O4182" t="s">
        <v>57</v>
      </c>
      <c r="P4182" s="3">
        <v>42946</v>
      </c>
      <c r="Q4182" t="s">
        <v>36</v>
      </c>
    </row>
    <row r="4183" spans="1:17" x14ac:dyDescent="0.35">
      <c r="A4183" t="s">
        <v>4235</v>
      </c>
      <c r="B4183" t="s">
        <v>16</v>
      </c>
      <c r="C4183">
        <v>34</v>
      </c>
      <c r="D4183" t="s">
        <v>17</v>
      </c>
      <c r="E4183" t="s">
        <v>32</v>
      </c>
      <c r="F4183" t="s">
        <v>28</v>
      </c>
      <c r="G4183">
        <v>4.9000000000000004</v>
      </c>
      <c r="H4183">
        <v>2.4</v>
      </c>
      <c r="I4183" t="str" cm="1">
        <f t="array" ref="I4183">_xlfn.IFS(G4183&lt;3, "0–2 Years", G4183&lt;6, "3–5 Years", G4183&lt;9, "6–8 Years", G4183&lt;12, "9-11 Years", G4183&gt;=12, "12-14 Years")</f>
        <v>3–5 Years</v>
      </c>
      <c r="J4183">
        <v>4</v>
      </c>
      <c r="K4183" t="s">
        <v>24</v>
      </c>
      <c r="L4183">
        <v>43500</v>
      </c>
      <c r="M4183">
        <v>5200</v>
      </c>
      <c r="N4183">
        <v>48700</v>
      </c>
      <c r="O4183" t="s">
        <v>65</v>
      </c>
      <c r="P4183" s="3">
        <v>44216</v>
      </c>
      <c r="Q4183" t="s">
        <v>28</v>
      </c>
    </row>
    <row r="4184" spans="1:17" x14ac:dyDescent="0.35">
      <c r="A4184" t="s">
        <v>4236</v>
      </c>
      <c r="B4184" t="s">
        <v>16</v>
      </c>
      <c r="C4184">
        <v>24</v>
      </c>
      <c r="D4184" t="s">
        <v>17</v>
      </c>
      <c r="E4184" t="s">
        <v>27</v>
      </c>
      <c r="F4184" t="s">
        <v>36</v>
      </c>
      <c r="G4184">
        <v>3.3</v>
      </c>
      <c r="H4184">
        <v>1</v>
      </c>
      <c r="I4184" t="str" cm="1">
        <f t="array" ref="I4184">_xlfn.IFS(G4184&lt;3, "0–2 Years", G4184&lt;6, "3–5 Years", G4184&lt;9, "6–8 Years", G4184&lt;12, "9-11 Years", G4184&gt;=12, "12-14 Years")</f>
        <v>3–5 Years</v>
      </c>
      <c r="J4184">
        <v>4</v>
      </c>
      <c r="K4184" t="s">
        <v>20</v>
      </c>
      <c r="L4184">
        <v>84600</v>
      </c>
      <c r="M4184">
        <v>5300</v>
      </c>
      <c r="N4184">
        <v>89900</v>
      </c>
      <c r="O4184" t="s">
        <v>30</v>
      </c>
      <c r="P4184" s="3">
        <v>44821</v>
      </c>
      <c r="Q4184" t="s">
        <v>36</v>
      </c>
    </row>
    <row r="4185" spans="1:17" x14ac:dyDescent="0.35">
      <c r="A4185" t="s">
        <v>4237</v>
      </c>
      <c r="B4185" t="s">
        <v>16</v>
      </c>
      <c r="C4185">
        <v>24</v>
      </c>
      <c r="D4185" t="s">
        <v>55</v>
      </c>
      <c r="E4185" t="s">
        <v>92</v>
      </c>
      <c r="F4185" t="s">
        <v>28</v>
      </c>
      <c r="G4185">
        <v>2.2999999999999998</v>
      </c>
      <c r="H4185">
        <v>2.2999999999999998</v>
      </c>
      <c r="I4185" t="str" cm="1">
        <f t="array" ref="I4185">_xlfn.IFS(G4185&lt;3, "0–2 Years", G4185&lt;6, "3–5 Years", G4185&lt;9, "6–8 Years", G4185&lt;12, "9-11 Years", G4185&gt;=12, "12-14 Years")</f>
        <v>0–2 Years</v>
      </c>
      <c r="J4185">
        <v>4</v>
      </c>
      <c r="K4185" t="s">
        <v>69</v>
      </c>
      <c r="L4185">
        <v>75700</v>
      </c>
      <c r="M4185">
        <v>13700</v>
      </c>
      <c r="N4185">
        <v>89400</v>
      </c>
      <c r="O4185" t="s">
        <v>21</v>
      </c>
      <c r="P4185" s="3">
        <v>45182</v>
      </c>
      <c r="Q4185" t="s">
        <v>28</v>
      </c>
    </row>
    <row r="4186" spans="1:17" x14ac:dyDescent="0.35">
      <c r="A4186" t="s">
        <v>4238</v>
      </c>
      <c r="B4186" t="s">
        <v>23</v>
      </c>
      <c r="C4186">
        <v>26</v>
      </c>
      <c r="D4186" t="s">
        <v>41</v>
      </c>
      <c r="E4186" t="s">
        <v>42</v>
      </c>
      <c r="F4186" t="s">
        <v>28</v>
      </c>
      <c r="G4186">
        <v>2.7</v>
      </c>
      <c r="H4186">
        <v>1.9</v>
      </c>
      <c r="I4186" t="str" cm="1">
        <f t="array" ref="I4186">_xlfn.IFS(G4186&lt;3, "0–2 Years", G4186&lt;6, "3–5 Years", G4186&lt;9, "6–8 Years", G4186&lt;12, "9-11 Years", G4186&gt;=12, "12-14 Years")</f>
        <v>0–2 Years</v>
      </c>
      <c r="J4186">
        <v>3</v>
      </c>
      <c r="K4186" t="s">
        <v>20</v>
      </c>
      <c r="L4186">
        <v>64400</v>
      </c>
      <c r="M4186">
        <v>4300</v>
      </c>
      <c r="N4186">
        <v>68700</v>
      </c>
      <c r="O4186" t="s">
        <v>25</v>
      </c>
      <c r="P4186" s="3">
        <v>45019</v>
      </c>
      <c r="Q4186" t="s">
        <v>28</v>
      </c>
    </row>
    <row r="4187" spans="1:17" x14ac:dyDescent="0.35">
      <c r="A4187" t="s">
        <v>4239</v>
      </c>
      <c r="B4187" t="s">
        <v>23</v>
      </c>
      <c r="C4187">
        <v>36</v>
      </c>
      <c r="D4187" t="s">
        <v>38</v>
      </c>
      <c r="E4187" t="s">
        <v>61</v>
      </c>
      <c r="F4187" t="s">
        <v>36</v>
      </c>
      <c r="G4187">
        <v>8.6</v>
      </c>
      <c r="H4187">
        <v>6.1</v>
      </c>
      <c r="I4187" t="str" cm="1">
        <f t="array" ref="I4187">_xlfn.IFS(G4187&lt;3, "0–2 Years", G4187&lt;6, "3–5 Years", G4187&lt;9, "6–8 Years", G4187&lt;12, "9-11 Years", G4187&gt;=12, "12-14 Years")</f>
        <v>6–8 Years</v>
      </c>
      <c r="J4187">
        <v>3</v>
      </c>
      <c r="K4187" t="s">
        <v>20</v>
      </c>
      <c r="L4187">
        <v>108600</v>
      </c>
      <c r="M4187">
        <v>8800</v>
      </c>
      <c r="N4187">
        <v>117400</v>
      </c>
      <c r="O4187" t="s">
        <v>57</v>
      </c>
      <c r="P4187" s="3">
        <v>42869</v>
      </c>
      <c r="Q4187" t="s">
        <v>36</v>
      </c>
    </row>
    <row r="4188" spans="1:17" x14ac:dyDescent="0.35">
      <c r="A4188" t="s">
        <v>4240</v>
      </c>
      <c r="B4188" t="s">
        <v>16</v>
      </c>
      <c r="C4188">
        <v>29</v>
      </c>
      <c r="D4188" t="s">
        <v>17</v>
      </c>
      <c r="E4188" t="s">
        <v>27</v>
      </c>
      <c r="F4188" t="s">
        <v>28</v>
      </c>
      <c r="G4188">
        <v>11.9</v>
      </c>
      <c r="H4188">
        <v>5.2</v>
      </c>
      <c r="I4188" t="str" cm="1">
        <f t="array" ref="I4188">_xlfn.IFS(G4188&lt;3, "0–2 Years", G4188&lt;6, "3–5 Years", G4188&lt;9, "6–8 Years", G4188&lt;12, "9-11 Years", G4188&gt;=12, "12-14 Years")</f>
        <v>9-11 Years</v>
      </c>
      <c r="J4188">
        <v>3</v>
      </c>
      <c r="K4188" t="s">
        <v>20</v>
      </c>
      <c r="L4188">
        <v>89100</v>
      </c>
      <c r="M4188">
        <v>10400</v>
      </c>
      <c r="N4188">
        <v>99500</v>
      </c>
      <c r="O4188" t="s">
        <v>30</v>
      </c>
      <c r="P4188" s="3">
        <v>41673</v>
      </c>
      <c r="Q4188" t="s">
        <v>28</v>
      </c>
    </row>
    <row r="4189" spans="1:17" x14ac:dyDescent="0.35">
      <c r="A4189" t="s">
        <v>4241</v>
      </c>
      <c r="B4189" t="s">
        <v>16</v>
      </c>
      <c r="C4189">
        <v>29</v>
      </c>
      <c r="D4189" t="s">
        <v>55</v>
      </c>
      <c r="E4189" t="s">
        <v>92</v>
      </c>
      <c r="F4189" t="s">
        <v>28</v>
      </c>
      <c r="G4189">
        <v>4.7</v>
      </c>
      <c r="H4189">
        <v>1.5</v>
      </c>
      <c r="I4189" t="str" cm="1">
        <f t="array" ref="I4189">_xlfn.IFS(G4189&lt;3, "0–2 Years", G4189&lt;6, "3–5 Years", G4189&lt;9, "6–8 Years", G4189&lt;12, "9-11 Years", G4189&gt;=12, "12-14 Years")</f>
        <v>3–5 Years</v>
      </c>
      <c r="J4189">
        <v>3</v>
      </c>
      <c r="K4189" t="s">
        <v>20</v>
      </c>
      <c r="L4189">
        <v>102800</v>
      </c>
      <c r="M4189">
        <v>7800</v>
      </c>
      <c r="N4189">
        <v>110600</v>
      </c>
      <c r="O4189" t="s">
        <v>57</v>
      </c>
      <c r="P4189" s="3">
        <v>44292</v>
      </c>
      <c r="Q4189" t="s">
        <v>28</v>
      </c>
    </row>
    <row r="4190" spans="1:17" x14ac:dyDescent="0.35">
      <c r="A4190" t="s">
        <v>4242</v>
      </c>
      <c r="B4190" t="s">
        <v>23</v>
      </c>
      <c r="C4190">
        <v>28</v>
      </c>
      <c r="D4190" t="s">
        <v>41</v>
      </c>
      <c r="E4190" t="s">
        <v>67</v>
      </c>
      <c r="F4190" t="s">
        <v>36</v>
      </c>
      <c r="G4190">
        <v>1.3</v>
      </c>
      <c r="H4190">
        <v>1.3</v>
      </c>
      <c r="I4190" t="str" cm="1">
        <f t="array" ref="I4190">_xlfn.IFS(G4190&lt;3, "0–2 Years", G4190&lt;6, "3–5 Years", G4190&lt;9, "6–8 Years", G4190&lt;12, "9-11 Years", G4190&gt;=12, "12-14 Years")</f>
        <v>0–2 Years</v>
      </c>
      <c r="J4190">
        <v>3</v>
      </c>
      <c r="K4190" t="s">
        <v>69</v>
      </c>
      <c r="L4190">
        <v>57900</v>
      </c>
      <c r="M4190">
        <v>2800</v>
      </c>
      <c r="N4190">
        <v>60700</v>
      </c>
      <c r="O4190" t="s">
        <v>25</v>
      </c>
      <c r="P4190" s="3">
        <v>45552</v>
      </c>
      <c r="Q4190" t="s">
        <v>36</v>
      </c>
    </row>
    <row r="4191" spans="1:17" x14ac:dyDescent="0.35">
      <c r="A4191" t="s">
        <v>4243</v>
      </c>
      <c r="B4191" t="s">
        <v>23</v>
      </c>
      <c r="C4191">
        <v>21</v>
      </c>
      <c r="D4191" t="s">
        <v>17</v>
      </c>
      <c r="E4191" t="s">
        <v>18</v>
      </c>
      <c r="F4191" t="s">
        <v>36</v>
      </c>
      <c r="G4191">
        <v>11.2</v>
      </c>
      <c r="H4191">
        <v>8.1</v>
      </c>
      <c r="I4191" t="str" cm="1">
        <f t="array" ref="I4191">_xlfn.IFS(G4191&lt;3, "0–2 Years", G4191&lt;6, "3–5 Years", G4191&lt;9, "6–8 Years", G4191&lt;12, "9-11 Years", G4191&gt;=12, "12-14 Years")</f>
        <v>9-11 Years</v>
      </c>
      <c r="J4191">
        <v>3</v>
      </c>
      <c r="K4191" t="s">
        <v>20</v>
      </c>
      <c r="L4191">
        <v>92200</v>
      </c>
      <c r="M4191">
        <v>4600</v>
      </c>
      <c r="N4191">
        <v>96800</v>
      </c>
      <c r="O4191" t="s">
        <v>30</v>
      </c>
      <c r="P4191" s="3">
        <v>41946</v>
      </c>
      <c r="Q4191" t="s">
        <v>36</v>
      </c>
    </row>
    <row r="4192" spans="1:17" x14ac:dyDescent="0.35">
      <c r="A4192" t="s">
        <v>4244</v>
      </c>
      <c r="B4192" t="s">
        <v>16</v>
      </c>
      <c r="C4192" s="7">
        <v>32</v>
      </c>
      <c r="D4192" t="s">
        <v>34</v>
      </c>
      <c r="E4192" t="s">
        <v>59</v>
      </c>
      <c r="F4192" t="s">
        <v>19</v>
      </c>
      <c r="G4192" s="9">
        <v>12.7</v>
      </c>
      <c r="H4192" s="7">
        <v>7.3</v>
      </c>
      <c r="I4192" t="str" cm="1">
        <f t="array" ref="I4192">_xlfn.IFS(G4192&lt;3, "0–2 Years", G4192&lt;6, "3–5 Years", G4192&lt;9, "6–8 Years", G4192&lt;12, "9-11 Years", G4192&gt;=12, "12-14 Years")</f>
        <v>12-14 Years</v>
      </c>
      <c r="J4192" s="7">
        <v>4</v>
      </c>
      <c r="K4192" t="s">
        <v>20</v>
      </c>
      <c r="L4192" s="7">
        <v>111200</v>
      </c>
      <c r="M4192" s="7">
        <v>5300</v>
      </c>
      <c r="N4192" s="7">
        <v>116500</v>
      </c>
      <c r="O4192" t="s">
        <v>57</v>
      </c>
      <c r="P4192" s="3">
        <v>41381</v>
      </c>
      <c r="Q4192" t="s">
        <v>19</v>
      </c>
    </row>
    <row r="4193" spans="1:17" x14ac:dyDescent="0.35">
      <c r="A4193" t="s">
        <v>4245</v>
      </c>
      <c r="B4193" t="s">
        <v>16</v>
      </c>
      <c r="C4193" s="7">
        <v>38</v>
      </c>
      <c r="D4193" t="s">
        <v>44</v>
      </c>
      <c r="E4193" t="s">
        <v>81</v>
      </c>
      <c r="F4193" t="s">
        <v>36</v>
      </c>
      <c r="G4193" s="9">
        <v>12.5</v>
      </c>
      <c r="H4193" s="7">
        <v>5.5</v>
      </c>
      <c r="I4193" t="str" cm="1">
        <f t="array" ref="I4193">_xlfn.IFS(G4193&lt;3, "0–2 Years", G4193&lt;6, "3–5 Years", G4193&lt;9, "6–8 Years", G4193&lt;12, "9-11 Years", G4193&gt;=12, "12-14 Years")</f>
        <v>12-14 Years</v>
      </c>
      <c r="J4193" s="7">
        <v>4</v>
      </c>
      <c r="K4193" t="s">
        <v>20</v>
      </c>
      <c r="L4193" s="7">
        <v>105600</v>
      </c>
      <c r="M4193" s="7">
        <v>8700</v>
      </c>
      <c r="N4193" s="7">
        <v>114300</v>
      </c>
      <c r="O4193" t="s">
        <v>57</v>
      </c>
      <c r="P4193" s="3">
        <v>41468</v>
      </c>
      <c r="Q4193" t="s">
        <v>36</v>
      </c>
    </row>
    <row r="4194" spans="1:17" x14ac:dyDescent="0.35">
      <c r="A4194" t="s">
        <v>4246</v>
      </c>
      <c r="B4194" t="s">
        <v>16</v>
      </c>
      <c r="C4194">
        <v>39</v>
      </c>
      <c r="D4194" t="s">
        <v>44</v>
      </c>
      <c r="E4194" t="s">
        <v>51</v>
      </c>
      <c r="F4194" t="s">
        <v>19</v>
      </c>
      <c r="G4194">
        <v>2.5</v>
      </c>
      <c r="H4194">
        <v>2.5</v>
      </c>
      <c r="I4194" t="str" cm="1">
        <f t="array" ref="I4194">_xlfn.IFS(G4194&lt;3, "0–2 Years", G4194&lt;6, "3–5 Years", G4194&lt;9, "6–8 Years", G4194&lt;12, "9-11 Years", G4194&gt;=12, "12-14 Years")</f>
        <v>0–2 Years</v>
      </c>
      <c r="J4194">
        <v>4</v>
      </c>
      <c r="K4194" t="s">
        <v>20</v>
      </c>
      <c r="L4194">
        <v>76100</v>
      </c>
      <c r="M4194">
        <v>8900</v>
      </c>
      <c r="N4194">
        <v>85000</v>
      </c>
      <c r="O4194" t="s">
        <v>21</v>
      </c>
      <c r="P4194" s="3">
        <v>45107</v>
      </c>
      <c r="Q4194" t="s">
        <v>19</v>
      </c>
    </row>
    <row r="4195" spans="1:17" x14ac:dyDescent="0.35">
      <c r="A4195" t="s">
        <v>4247</v>
      </c>
      <c r="B4195" t="s">
        <v>23</v>
      </c>
      <c r="C4195">
        <v>42</v>
      </c>
      <c r="D4195" t="s">
        <v>38</v>
      </c>
      <c r="E4195" t="s">
        <v>61</v>
      </c>
      <c r="F4195" t="s">
        <v>36</v>
      </c>
      <c r="G4195">
        <v>11.6</v>
      </c>
      <c r="H4195">
        <v>7.9</v>
      </c>
      <c r="I4195" t="str" cm="1">
        <f t="array" ref="I4195">_xlfn.IFS(G4195&lt;3, "0–2 Years", G4195&lt;6, "3–5 Years", G4195&lt;9, "6–8 Years", G4195&lt;12, "9-11 Years", G4195&gt;=12, "12-14 Years")</f>
        <v>9-11 Years</v>
      </c>
      <c r="J4195">
        <v>3</v>
      </c>
      <c r="K4195" t="s">
        <v>20</v>
      </c>
      <c r="L4195">
        <v>112800</v>
      </c>
      <c r="M4195">
        <v>10300</v>
      </c>
      <c r="N4195">
        <v>123100</v>
      </c>
      <c r="O4195" t="s">
        <v>57</v>
      </c>
      <c r="P4195" s="3">
        <v>41777</v>
      </c>
      <c r="Q4195" t="s">
        <v>36</v>
      </c>
    </row>
    <row r="4196" spans="1:17" x14ac:dyDescent="0.35">
      <c r="A4196" t="s">
        <v>4248</v>
      </c>
      <c r="B4196" t="s">
        <v>23</v>
      </c>
      <c r="C4196">
        <v>54</v>
      </c>
      <c r="D4196" t="s">
        <v>38</v>
      </c>
      <c r="E4196" t="s">
        <v>39</v>
      </c>
      <c r="F4196" t="s">
        <v>28</v>
      </c>
      <c r="G4196">
        <v>9.4</v>
      </c>
      <c r="H4196">
        <v>4.4000000000000004</v>
      </c>
      <c r="I4196" t="str" cm="1">
        <f t="array" ref="I4196">_xlfn.IFS(G4196&lt;3, "0–2 Years", G4196&lt;6, "3–5 Years", G4196&lt;9, "6–8 Years", G4196&lt;12, "9-11 Years", G4196&gt;=12, "12-14 Years")</f>
        <v>9-11 Years</v>
      </c>
      <c r="J4196">
        <v>3</v>
      </c>
      <c r="K4196" t="s">
        <v>69</v>
      </c>
      <c r="L4196">
        <v>63500</v>
      </c>
      <c r="M4196">
        <v>5500</v>
      </c>
      <c r="N4196">
        <v>69000</v>
      </c>
      <c r="O4196" t="s">
        <v>25</v>
      </c>
      <c r="P4196" s="3">
        <v>42573</v>
      </c>
      <c r="Q4196" t="s">
        <v>28</v>
      </c>
    </row>
    <row r="4197" spans="1:17" x14ac:dyDescent="0.35">
      <c r="A4197" t="s">
        <v>4249</v>
      </c>
      <c r="B4197" t="s">
        <v>23</v>
      </c>
      <c r="C4197">
        <v>34</v>
      </c>
      <c r="D4197" t="s">
        <v>44</v>
      </c>
      <c r="E4197" t="s">
        <v>51</v>
      </c>
      <c r="F4197" t="s">
        <v>62</v>
      </c>
      <c r="G4197">
        <v>3.5</v>
      </c>
      <c r="H4197">
        <v>2.6</v>
      </c>
      <c r="I4197" t="str" cm="1">
        <f t="array" ref="I4197">_xlfn.IFS(G4197&lt;3, "0–2 Years", G4197&lt;6, "3–5 Years", G4197&lt;9, "6–8 Years", G4197&lt;12, "9-11 Years", G4197&gt;=12, "12-14 Years")</f>
        <v>3–5 Years</v>
      </c>
      <c r="J4197">
        <v>4</v>
      </c>
      <c r="K4197" t="s">
        <v>20</v>
      </c>
      <c r="L4197">
        <v>93400</v>
      </c>
      <c r="M4197">
        <v>7600</v>
      </c>
      <c r="N4197">
        <v>101000</v>
      </c>
      <c r="O4197" t="s">
        <v>30</v>
      </c>
      <c r="P4197" s="3">
        <v>44729</v>
      </c>
      <c r="Q4197" t="s">
        <v>62</v>
      </c>
    </row>
    <row r="4198" spans="1:17" x14ac:dyDescent="0.35">
      <c r="A4198" t="s">
        <v>4250</v>
      </c>
      <c r="B4198" t="s">
        <v>23</v>
      </c>
      <c r="C4198">
        <v>37</v>
      </c>
      <c r="D4198" t="s">
        <v>41</v>
      </c>
      <c r="E4198" t="s">
        <v>42</v>
      </c>
      <c r="F4198" t="s">
        <v>36</v>
      </c>
      <c r="G4198">
        <v>6.3</v>
      </c>
      <c r="H4198">
        <v>3.2</v>
      </c>
      <c r="I4198" t="str" cm="1">
        <f t="array" ref="I4198">_xlfn.IFS(G4198&lt;3, "0–2 Years", G4198&lt;6, "3–5 Years", G4198&lt;9, "6–8 Years", G4198&lt;12, "9-11 Years", G4198&gt;=12, "12-14 Years")</f>
        <v>6–8 Years</v>
      </c>
      <c r="J4198">
        <v>4</v>
      </c>
      <c r="K4198" t="s">
        <v>20</v>
      </c>
      <c r="L4198">
        <v>95100</v>
      </c>
      <c r="M4198">
        <v>6400</v>
      </c>
      <c r="N4198">
        <v>101500</v>
      </c>
      <c r="O4198" t="s">
        <v>30</v>
      </c>
      <c r="P4198" s="3">
        <v>43705</v>
      </c>
      <c r="Q4198" t="s">
        <v>36</v>
      </c>
    </row>
    <row r="4199" spans="1:17" x14ac:dyDescent="0.35">
      <c r="A4199" t="s">
        <v>4251</v>
      </c>
      <c r="B4199" t="s">
        <v>23</v>
      </c>
      <c r="C4199" s="7">
        <v>28</v>
      </c>
      <c r="D4199" t="s">
        <v>17</v>
      </c>
      <c r="E4199" t="s">
        <v>18</v>
      </c>
      <c r="F4199" t="s">
        <v>28</v>
      </c>
      <c r="G4199" s="9">
        <v>13.1</v>
      </c>
      <c r="H4199" s="7">
        <v>9.1</v>
      </c>
      <c r="I4199" t="str" cm="1">
        <f t="array" ref="I4199">_xlfn.IFS(G4199&lt;3, "0–2 Years", G4199&lt;6, "3–5 Years", G4199&lt;9, "6–8 Years", G4199&lt;12, "9-11 Years", G4199&gt;=12, "12-14 Years")</f>
        <v>12-14 Years</v>
      </c>
      <c r="J4199" s="7">
        <v>2</v>
      </c>
      <c r="K4199" t="s">
        <v>20</v>
      </c>
      <c r="L4199" s="7">
        <v>108400</v>
      </c>
      <c r="M4199" s="7">
        <v>14200</v>
      </c>
      <c r="N4199" s="7">
        <v>122600</v>
      </c>
      <c r="O4199" t="s">
        <v>57</v>
      </c>
      <c r="P4199" s="3">
        <v>41224</v>
      </c>
      <c r="Q4199" t="s">
        <v>28</v>
      </c>
    </row>
    <row r="4200" spans="1:17" x14ac:dyDescent="0.35">
      <c r="A4200" t="s">
        <v>4252</v>
      </c>
      <c r="B4200" t="s">
        <v>16</v>
      </c>
      <c r="C4200">
        <v>48</v>
      </c>
      <c r="D4200" t="s">
        <v>41</v>
      </c>
      <c r="E4200" t="s">
        <v>67</v>
      </c>
      <c r="F4200" t="s">
        <v>36</v>
      </c>
      <c r="G4200">
        <v>11</v>
      </c>
      <c r="H4200">
        <v>5.3</v>
      </c>
      <c r="I4200" t="str" cm="1">
        <f t="array" ref="I4200">_xlfn.IFS(G4200&lt;3, "0–2 Years", G4200&lt;6, "3–5 Years", G4200&lt;9, "6–8 Years", G4200&lt;12, "9-11 Years", G4200&gt;=12, "12-14 Years")</f>
        <v>9-11 Years</v>
      </c>
      <c r="J4200">
        <v>3</v>
      </c>
      <c r="K4200" t="s">
        <v>20</v>
      </c>
      <c r="L4200">
        <v>82500</v>
      </c>
      <c r="M4200">
        <v>2600</v>
      </c>
      <c r="N4200">
        <v>85100</v>
      </c>
      <c r="O4200" t="s">
        <v>30</v>
      </c>
      <c r="P4200" s="3">
        <v>42006</v>
      </c>
      <c r="Q4200" t="s">
        <v>36</v>
      </c>
    </row>
    <row r="4201" spans="1:17" x14ac:dyDescent="0.35">
      <c r="A4201" t="s">
        <v>4253</v>
      </c>
      <c r="B4201" t="s">
        <v>16</v>
      </c>
      <c r="C4201">
        <v>36</v>
      </c>
      <c r="D4201" t="s">
        <v>38</v>
      </c>
      <c r="E4201" t="s">
        <v>39</v>
      </c>
      <c r="F4201" t="s">
        <v>36</v>
      </c>
      <c r="G4201">
        <v>5.4</v>
      </c>
      <c r="H4201">
        <v>4.9000000000000004</v>
      </c>
      <c r="I4201" t="str" cm="1">
        <f t="array" ref="I4201">_xlfn.IFS(G4201&lt;3, "0–2 Years", G4201&lt;6, "3–5 Years", G4201&lt;9, "6–8 Years", G4201&lt;12, "9-11 Years", G4201&gt;=12, "12-14 Years")</f>
        <v>3–5 Years</v>
      </c>
      <c r="J4201">
        <v>3</v>
      </c>
      <c r="K4201" t="s">
        <v>20</v>
      </c>
      <c r="L4201">
        <v>71800</v>
      </c>
      <c r="M4201">
        <v>6400</v>
      </c>
      <c r="N4201">
        <v>78200</v>
      </c>
      <c r="O4201" t="s">
        <v>21</v>
      </c>
      <c r="P4201" s="3">
        <v>44037</v>
      </c>
      <c r="Q4201" t="s">
        <v>36</v>
      </c>
    </row>
    <row r="4202" spans="1:17" x14ac:dyDescent="0.35">
      <c r="A4202" t="s">
        <v>4254</v>
      </c>
      <c r="B4202" t="s">
        <v>16</v>
      </c>
      <c r="C4202">
        <v>39</v>
      </c>
      <c r="D4202" t="s">
        <v>44</v>
      </c>
      <c r="E4202" t="s">
        <v>81</v>
      </c>
      <c r="F4202" t="s">
        <v>28</v>
      </c>
      <c r="G4202">
        <v>7</v>
      </c>
      <c r="H4202">
        <v>2.8</v>
      </c>
      <c r="I4202" t="str" cm="1">
        <f t="array" ref="I4202">_xlfn.IFS(G4202&lt;3, "0–2 Years", G4202&lt;6, "3–5 Years", G4202&lt;9, "6–8 Years", G4202&lt;12, "9-11 Years", G4202&gt;=12, "12-14 Years")</f>
        <v>6–8 Years</v>
      </c>
      <c r="J4202">
        <v>1</v>
      </c>
      <c r="K4202" t="s">
        <v>24</v>
      </c>
      <c r="L4202">
        <v>60400</v>
      </c>
      <c r="M4202">
        <v>8400</v>
      </c>
      <c r="N4202">
        <v>68800</v>
      </c>
      <c r="O4202" t="s">
        <v>25</v>
      </c>
      <c r="P4202" s="3">
        <v>43480</v>
      </c>
      <c r="Q4202" t="s">
        <v>28</v>
      </c>
    </row>
    <row r="4203" spans="1:17" x14ac:dyDescent="0.35">
      <c r="A4203" t="s">
        <v>4255</v>
      </c>
      <c r="B4203" t="s">
        <v>23</v>
      </c>
      <c r="C4203">
        <v>54</v>
      </c>
      <c r="D4203" t="s">
        <v>34</v>
      </c>
      <c r="E4203" t="s">
        <v>59</v>
      </c>
      <c r="F4203" t="s">
        <v>28</v>
      </c>
      <c r="G4203">
        <v>3.2</v>
      </c>
      <c r="H4203">
        <v>0.9</v>
      </c>
      <c r="I4203" t="str" cm="1">
        <f t="array" ref="I4203">_xlfn.IFS(G4203&lt;3, "0–2 Years", G4203&lt;6, "3–5 Years", G4203&lt;9, "6–8 Years", G4203&lt;12, "9-11 Years", G4203&gt;=12, "12-14 Years")</f>
        <v>3–5 Years</v>
      </c>
      <c r="J4203">
        <v>5</v>
      </c>
      <c r="K4203" t="s">
        <v>69</v>
      </c>
      <c r="L4203">
        <v>92400</v>
      </c>
      <c r="M4203">
        <v>9400</v>
      </c>
      <c r="N4203">
        <v>101800</v>
      </c>
      <c r="O4203" t="s">
        <v>30</v>
      </c>
      <c r="P4203" s="3">
        <v>44843</v>
      </c>
      <c r="Q4203" t="s">
        <v>28</v>
      </c>
    </row>
    <row r="4204" spans="1:17" x14ac:dyDescent="0.35">
      <c r="A4204" t="s">
        <v>4256</v>
      </c>
      <c r="B4204" t="s">
        <v>23</v>
      </c>
      <c r="C4204" s="7">
        <v>24</v>
      </c>
      <c r="D4204" t="s">
        <v>17</v>
      </c>
      <c r="E4204" t="s">
        <v>27</v>
      </c>
      <c r="F4204" t="s">
        <v>28</v>
      </c>
      <c r="G4204" s="9">
        <v>13.2</v>
      </c>
      <c r="H4204" s="7">
        <v>7.2</v>
      </c>
      <c r="I4204" t="str" cm="1">
        <f t="array" ref="I4204">_xlfn.IFS(G4204&lt;3, "0–2 Years", G4204&lt;6, "3–5 Years", G4204&lt;9, "6–8 Years", G4204&lt;12, "9-11 Years", G4204&gt;=12, "12-14 Years")</f>
        <v>12-14 Years</v>
      </c>
      <c r="J4204" s="7">
        <v>4</v>
      </c>
      <c r="K4204" t="s">
        <v>20</v>
      </c>
      <c r="L4204" s="7">
        <v>89600</v>
      </c>
      <c r="M4204" s="7">
        <v>5600</v>
      </c>
      <c r="N4204" s="7">
        <v>95200</v>
      </c>
      <c r="O4204" t="s">
        <v>30</v>
      </c>
      <c r="P4204" s="3">
        <v>41195</v>
      </c>
      <c r="Q4204" t="s">
        <v>28</v>
      </c>
    </row>
    <row r="4205" spans="1:17" x14ac:dyDescent="0.35">
      <c r="A4205" t="s">
        <v>4257</v>
      </c>
      <c r="B4205" t="s">
        <v>16</v>
      </c>
      <c r="C4205">
        <v>45</v>
      </c>
      <c r="D4205" t="s">
        <v>17</v>
      </c>
      <c r="E4205" t="s">
        <v>32</v>
      </c>
      <c r="F4205" t="s">
        <v>36</v>
      </c>
      <c r="G4205">
        <v>2.2000000000000002</v>
      </c>
      <c r="H4205">
        <v>1</v>
      </c>
      <c r="I4205" t="str" cm="1">
        <f t="array" ref="I4205">_xlfn.IFS(G4205&lt;3, "0–2 Years", G4205&lt;6, "3–5 Years", G4205&lt;9, "6–8 Years", G4205&lt;12, "9-11 Years", G4205&gt;=12, "12-14 Years")</f>
        <v>0–2 Years</v>
      </c>
      <c r="J4205">
        <v>4</v>
      </c>
      <c r="K4205" t="s">
        <v>69</v>
      </c>
      <c r="L4205">
        <v>63100</v>
      </c>
      <c r="M4205">
        <v>7600</v>
      </c>
      <c r="N4205">
        <v>70700</v>
      </c>
      <c r="O4205" t="s">
        <v>25</v>
      </c>
      <c r="P4205" s="3">
        <v>45237</v>
      </c>
      <c r="Q4205" t="s">
        <v>36</v>
      </c>
    </row>
    <row r="4206" spans="1:17" x14ac:dyDescent="0.35">
      <c r="A4206" t="s">
        <v>4258</v>
      </c>
      <c r="B4206" t="s">
        <v>16</v>
      </c>
      <c r="C4206">
        <v>26</v>
      </c>
      <c r="D4206" t="s">
        <v>17</v>
      </c>
      <c r="E4206" t="s">
        <v>32</v>
      </c>
      <c r="F4206" t="s">
        <v>28</v>
      </c>
      <c r="G4206">
        <v>3.1</v>
      </c>
      <c r="H4206">
        <v>1</v>
      </c>
      <c r="I4206" t="str" cm="1">
        <f t="array" ref="I4206">_xlfn.IFS(G4206&lt;3, "0–2 Years", G4206&lt;6, "3–5 Years", G4206&lt;9, "6–8 Years", G4206&lt;12, "9-11 Years", G4206&gt;=12, "12-14 Years")</f>
        <v>3–5 Years</v>
      </c>
      <c r="J4206">
        <v>3</v>
      </c>
      <c r="K4206" t="s">
        <v>20</v>
      </c>
      <c r="L4206">
        <v>64000</v>
      </c>
      <c r="M4206">
        <v>5500</v>
      </c>
      <c r="N4206">
        <v>69500</v>
      </c>
      <c r="O4206" t="s">
        <v>25</v>
      </c>
      <c r="P4206" s="3">
        <v>44881</v>
      </c>
      <c r="Q4206" t="s">
        <v>28</v>
      </c>
    </row>
    <row r="4207" spans="1:17" x14ac:dyDescent="0.35">
      <c r="A4207" t="s">
        <v>4259</v>
      </c>
      <c r="B4207" t="s">
        <v>23</v>
      </c>
      <c r="C4207">
        <v>41</v>
      </c>
      <c r="D4207" t="s">
        <v>34</v>
      </c>
      <c r="E4207" t="s">
        <v>47</v>
      </c>
      <c r="F4207" t="s">
        <v>36</v>
      </c>
      <c r="G4207">
        <v>6.8</v>
      </c>
      <c r="H4207">
        <v>4</v>
      </c>
      <c r="I4207" t="str" cm="1">
        <f t="array" ref="I4207">_xlfn.IFS(G4207&lt;3, "0–2 Years", G4207&lt;6, "3–5 Years", G4207&lt;9, "6–8 Years", G4207&lt;12, "9-11 Years", G4207&gt;=12, "12-14 Years")</f>
        <v>6–8 Years</v>
      </c>
      <c r="J4207">
        <v>4</v>
      </c>
      <c r="K4207" t="s">
        <v>24</v>
      </c>
      <c r="L4207">
        <v>50800</v>
      </c>
      <c r="M4207">
        <v>4800</v>
      </c>
      <c r="N4207">
        <v>55600</v>
      </c>
      <c r="O4207" t="s">
        <v>25</v>
      </c>
      <c r="P4207" s="3">
        <v>43527</v>
      </c>
      <c r="Q4207" t="s">
        <v>36</v>
      </c>
    </row>
    <row r="4208" spans="1:17" x14ac:dyDescent="0.35">
      <c r="A4208" t="s">
        <v>4260</v>
      </c>
      <c r="B4208" t="s">
        <v>16</v>
      </c>
      <c r="C4208">
        <v>44</v>
      </c>
      <c r="D4208" t="s">
        <v>55</v>
      </c>
      <c r="E4208" t="s">
        <v>92</v>
      </c>
      <c r="F4208" t="s">
        <v>19</v>
      </c>
      <c r="G4208">
        <v>3.1</v>
      </c>
      <c r="H4208">
        <v>2.5</v>
      </c>
      <c r="I4208" t="str" cm="1">
        <f t="array" ref="I4208">_xlfn.IFS(G4208&lt;3, "0–2 Years", G4208&lt;6, "3–5 Years", G4208&lt;9, "6–8 Years", G4208&lt;12, "9-11 Years", G4208&gt;=12, "12-14 Years")</f>
        <v>3–5 Years</v>
      </c>
      <c r="J4208">
        <v>4</v>
      </c>
      <c r="K4208" t="s">
        <v>20</v>
      </c>
      <c r="L4208">
        <v>105200</v>
      </c>
      <c r="M4208">
        <v>10500</v>
      </c>
      <c r="N4208">
        <v>115700</v>
      </c>
      <c r="O4208" t="s">
        <v>57</v>
      </c>
      <c r="P4208" s="3">
        <v>44894</v>
      </c>
      <c r="Q4208" t="s">
        <v>19</v>
      </c>
    </row>
    <row r="4209" spans="1:17" x14ac:dyDescent="0.35">
      <c r="A4209" t="s">
        <v>4261</v>
      </c>
      <c r="B4209" t="s">
        <v>16</v>
      </c>
      <c r="C4209">
        <v>42</v>
      </c>
      <c r="D4209" t="s">
        <v>34</v>
      </c>
      <c r="E4209" t="s">
        <v>59</v>
      </c>
      <c r="F4209" t="s">
        <v>28</v>
      </c>
      <c r="G4209">
        <v>8.8000000000000007</v>
      </c>
      <c r="H4209">
        <v>4.3</v>
      </c>
      <c r="I4209" t="str" cm="1">
        <f t="array" ref="I4209">_xlfn.IFS(G4209&lt;3, "0–2 Years", G4209&lt;6, "3–5 Years", G4209&lt;9, "6–8 Years", G4209&lt;12, "9-11 Years", G4209&gt;=12, "12-14 Years")</f>
        <v>6–8 Years</v>
      </c>
      <c r="J4209">
        <v>3</v>
      </c>
      <c r="K4209" t="s">
        <v>20</v>
      </c>
      <c r="L4209">
        <v>111500</v>
      </c>
      <c r="M4209">
        <v>7400</v>
      </c>
      <c r="N4209">
        <v>118900</v>
      </c>
      <c r="O4209" t="s">
        <v>57</v>
      </c>
      <c r="P4209" s="3">
        <v>42795</v>
      </c>
      <c r="Q4209" t="s">
        <v>28</v>
      </c>
    </row>
    <row r="4210" spans="1:17" x14ac:dyDescent="0.35">
      <c r="A4210" t="s">
        <v>4262</v>
      </c>
      <c r="B4210" t="s">
        <v>23</v>
      </c>
      <c r="C4210">
        <v>30</v>
      </c>
      <c r="D4210" t="s">
        <v>44</v>
      </c>
      <c r="E4210" t="s">
        <v>76</v>
      </c>
      <c r="F4210" t="s">
        <v>28</v>
      </c>
      <c r="G4210">
        <v>11</v>
      </c>
      <c r="H4210">
        <v>7.6</v>
      </c>
      <c r="I4210" t="str" cm="1">
        <f t="array" ref="I4210">_xlfn.IFS(G4210&lt;3, "0–2 Years", G4210&lt;6, "3–5 Years", G4210&lt;9, "6–8 Years", G4210&lt;12, "9-11 Years", G4210&gt;=12, "12-14 Years")</f>
        <v>9-11 Years</v>
      </c>
      <c r="J4210">
        <v>3</v>
      </c>
      <c r="K4210" t="s">
        <v>20</v>
      </c>
      <c r="L4210">
        <v>115800</v>
      </c>
      <c r="M4210">
        <v>9100</v>
      </c>
      <c r="N4210">
        <v>124900</v>
      </c>
      <c r="O4210" t="s">
        <v>57</v>
      </c>
      <c r="P4210" s="3">
        <v>41987</v>
      </c>
      <c r="Q4210" t="s">
        <v>28</v>
      </c>
    </row>
    <row r="4211" spans="1:17" x14ac:dyDescent="0.35">
      <c r="A4211" t="s">
        <v>4263</v>
      </c>
      <c r="B4211" t="s">
        <v>16</v>
      </c>
      <c r="C4211">
        <v>34</v>
      </c>
      <c r="D4211" t="s">
        <v>41</v>
      </c>
      <c r="E4211" t="s">
        <v>67</v>
      </c>
      <c r="F4211" t="s">
        <v>28</v>
      </c>
      <c r="G4211">
        <v>5.2</v>
      </c>
      <c r="H4211">
        <v>3.1</v>
      </c>
      <c r="I4211" t="str" cm="1">
        <f t="array" ref="I4211">_xlfn.IFS(G4211&lt;3, "0–2 Years", G4211&lt;6, "3–5 Years", G4211&lt;9, "6–8 Years", G4211&lt;12, "9-11 Years", G4211&gt;=12, "12-14 Years")</f>
        <v>3–5 Years</v>
      </c>
      <c r="J4211">
        <v>4</v>
      </c>
      <c r="K4211" t="s">
        <v>20</v>
      </c>
      <c r="L4211">
        <v>62600</v>
      </c>
      <c r="M4211">
        <v>3900</v>
      </c>
      <c r="N4211">
        <v>66500</v>
      </c>
      <c r="O4211" t="s">
        <v>25</v>
      </c>
      <c r="P4211" s="3">
        <v>44119</v>
      </c>
      <c r="Q4211" t="s">
        <v>28</v>
      </c>
    </row>
    <row r="4212" spans="1:17" x14ac:dyDescent="0.35">
      <c r="A4212" t="s">
        <v>4264</v>
      </c>
      <c r="B4212" t="s">
        <v>16</v>
      </c>
      <c r="C4212">
        <v>38</v>
      </c>
      <c r="D4212" t="s">
        <v>17</v>
      </c>
      <c r="E4212" t="s">
        <v>27</v>
      </c>
      <c r="F4212" t="s">
        <v>28</v>
      </c>
      <c r="G4212">
        <v>6.8</v>
      </c>
      <c r="H4212">
        <v>2.2000000000000002</v>
      </c>
      <c r="I4212" t="str" cm="1">
        <f t="array" ref="I4212">_xlfn.IFS(G4212&lt;3, "0–2 Years", G4212&lt;6, "3–5 Years", G4212&lt;9, "6–8 Years", G4212&lt;12, "9-11 Years", G4212&gt;=12, "12-14 Years")</f>
        <v>6–8 Years</v>
      </c>
      <c r="J4212">
        <v>3</v>
      </c>
      <c r="K4212" t="s">
        <v>20</v>
      </c>
      <c r="L4212">
        <v>71200</v>
      </c>
      <c r="M4212">
        <v>8100</v>
      </c>
      <c r="N4212">
        <v>79300</v>
      </c>
      <c r="O4212" t="s">
        <v>21</v>
      </c>
      <c r="P4212" s="3">
        <v>43547</v>
      </c>
      <c r="Q4212" t="s">
        <v>28</v>
      </c>
    </row>
    <row r="4213" spans="1:17" x14ac:dyDescent="0.35">
      <c r="A4213" t="s">
        <v>4265</v>
      </c>
      <c r="B4213" t="s">
        <v>23</v>
      </c>
      <c r="C4213">
        <v>52</v>
      </c>
      <c r="D4213" t="s">
        <v>34</v>
      </c>
      <c r="E4213" t="s">
        <v>59</v>
      </c>
      <c r="F4213" t="s">
        <v>28</v>
      </c>
      <c r="G4213">
        <v>8.1999999999999993</v>
      </c>
      <c r="H4213">
        <v>6.5</v>
      </c>
      <c r="I4213" t="str" cm="1">
        <f t="array" ref="I4213">_xlfn.IFS(G4213&lt;3, "0–2 Years", G4213&lt;6, "3–5 Years", G4213&lt;9, "6–8 Years", G4213&lt;12, "9-11 Years", G4213&gt;=12, "12-14 Years")</f>
        <v>6–8 Years</v>
      </c>
      <c r="J4213">
        <v>3</v>
      </c>
      <c r="K4213" t="s">
        <v>20</v>
      </c>
      <c r="L4213">
        <v>86700</v>
      </c>
      <c r="M4213">
        <v>6400</v>
      </c>
      <c r="N4213">
        <v>93100</v>
      </c>
      <c r="O4213" t="s">
        <v>30</v>
      </c>
      <c r="P4213" s="3">
        <v>43035</v>
      </c>
      <c r="Q4213" t="s">
        <v>28</v>
      </c>
    </row>
    <row r="4214" spans="1:17" x14ac:dyDescent="0.35">
      <c r="A4214" t="s">
        <v>4266</v>
      </c>
      <c r="B4214" t="s">
        <v>16</v>
      </c>
      <c r="C4214" s="7">
        <v>36</v>
      </c>
      <c r="D4214" t="s">
        <v>44</v>
      </c>
      <c r="E4214" t="s">
        <v>51</v>
      </c>
      <c r="F4214" t="s">
        <v>28</v>
      </c>
      <c r="G4214" s="9">
        <v>13.7</v>
      </c>
      <c r="H4214" s="7">
        <v>9.8000000000000007</v>
      </c>
      <c r="I4214" t="str" cm="1">
        <f t="array" ref="I4214">_xlfn.IFS(G4214&lt;3, "0–2 Years", G4214&lt;6, "3–5 Years", G4214&lt;9, "6–8 Years", G4214&lt;12, "9-11 Years", G4214&gt;=12, "12-14 Years")</f>
        <v>12-14 Years</v>
      </c>
      <c r="J4214" s="7">
        <v>3</v>
      </c>
      <c r="K4214" t="s">
        <v>20</v>
      </c>
      <c r="L4214" s="7">
        <v>88900</v>
      </c>
      <c r="M4214" s="7">
        <v>7100</v>
      </c>
      <c r="N4214" s="7">
        <v>96000</v>
      </c>
      <c r="O4214" t="s">
        <v>30</v>
      </c>
      <c r="P4214" s="3">
        <v>41026</v>
      </c>
      <c r="Q4214" t="s">
        <v>28</v>
      </c>
    </row>
    <row r="4215" spans="1:17" x14ac:dyDescent="0.35">
      <c r="A4215" t="s">
        <v>4267</v>
      </c>
      <c r="B4215" t="s">
        <v>23</v>
      </c>
      <c r="C4215">
        <v>45</v>
      </c>
      <c r="D4215" t="s">
        <v>44</v>
      </c>
      <c r="E4215" t="s">
        <v>76</v>
      </c>
      <c r="F4215" t="s">
        <v>28</v>
      </c>
      <c r="G4215">
        <v>8</v>
      </c>
      <c r="H4215">
        <v>5.4</v>
      </c>
      <c r="I4215" t="str" cm="1">
        <f t="array" ref="I4215">_xlfn.IFS(G4215&lt;3, "0–2 Years", G4215&lt;6, "3–5 Years", G4215&lt;9, "6–8 Years", G4215&lt;12, "9-11 Years", G4215&gt;=12, "12-14 Years")</f>
        <v>6–8 Years</v>
      </c>
      <c r="J4215">
        <v>3</v>
      </c>
      <c r="K4215" t="s">
        <v>20</v>
      </c>
      <c r="L4215">
        <v>116500</v>
      </c>
      <c r="M4215">
        <v>11400</v>
      </c>
      <c r="N4215">
        <v>127900</v>
      </c>
      <c r="O4215" t="s">
        <v>57</v>
      </c>
      <c r="P4215" s="3">
        <v>43090</v>
      </c>
      <c r="Q4215" t="s">
        <v>28</v>
      </c>
    </row>
    <row r="4216" spans="1:17" x14ac:dyDescent="0.35">
      <c r="A4216" t="s">
        <v>4268</v>
      </c>
      <c r="B4216" t="s">
        <v>16</v>
      </c>
      <c r="C4216" s="7">
        <v>34</v>
      </c>
      <c r="D4216" t="s">
        <v>17</v>
      </c>
      <c r="E4216" t="s">
        <v>32</v>
      </c>
      <c r="F4216" t="s">
        <v>28</v>
      </c>
      <c r="G4216" s="9">
        <v>13.2</v>
      </c>
      <c r="H4216" s="7">
        <v>8</v>
      </c>
      <c r="I4216" t="str" cm="1">
        <f t="array" ref="I4216">_xlfn.IFS(G4216&lt;3, "0–2 Years", G4216&lt;6, "3–5 Years", G4216&lt;9, "6–8 Years", G4216&lt;12, "9-11 Years", G4216&gt;=12, "12-14 Years")</f>
        <v>12-14 Years</v>
      </c>
      <c r="J4216" s="7">
        <v>3</v>
      </c>
      <c r="K4216" t="s">
        <v>20</v>
      </c>
      <c r="L4216" s="7">
        <v>78000</v>
      </c>
      <c r="M4216" s="7">
        <v>6000</v>
      </c>
      <c r="N4216" s="7">
        <v>84000</v>
      </c>
      <c r="O4216" t="s">
        <v>21</v>
      </c>
      <c r="P4216" s="3">
        <v>41216</v>
      </c>
      <c r="Q4216" t="s">
        <v>28</v>
      </c>
    </row>
    <row r="4217" spans="1:17" x14ac:dyDescent="0.35">
      <c r="A4217" t="s">
        <v>4269</v>
      </c>
      <c r="B4217" t="s">
        <v>23</v>
      </c>
      <c r="C4217">
        <v>32</v>
      </c>
      <c r="D4217" t="s">
        <v>17</v>
      </c>
      <c r="E4217" t="s">
        <v>27</v>
      </c>
      <c r="F4217" t="s">
        <v>28</v>
      </c>
      <c r="G4217">
        <v>4.2</v>
      </c>
      <c r="H4217">
        <v>3.9</v>
      </c>
      <c r="I4217" t="str" cm="1">
        <f t="array" ref="I4217">_xlfn.IFS(G4217&lt;3, "0–2 Years", G4217&lt;6, "3–5 Years", G4217&lt;9, "6–8 Years", G4217&lt;12, "9-11 Years", G4217&gt;=12, "12-14 Years")</f>
        <v>3–5 Years</v>
      </c>
      <c r="J4217">
        <v>3</v>
      </c>
      <c r="K4217" t="s">
        <v>20</v>
      </c>
      <c r="L4217">
        <v>65600</v>
      </c>
      <c r="M4217">
        <v>6700</v>
      </c>
      <c r="N4217">
        <v>72300</v>
      </c>
      <c r="O4217" t="s">
        <v>21</v>
      </c>
      <c r="P4217" s="3">
        <v>44497</v>
      </c>
      <c r="Q4217" t="s">
        <v>28</v>
      </c>
    </row>
    <row r="4218" spans="1:17" x14ac:dyDescent="0.35">
      <c r="A4218" t="s">
        <v>4270</v>
      </c>
      <c r="B4218" t="s">
        <v>23</v>
      </c>
      <c r="C4218">
        <v>45</v>
      </c>
      <c r="D4218" t="s">
        <v>17</v>
      </c>
      <c r="E4218" t="s">
        <v>32</v>
      </c>
      <c r="F4218" t="s">
        <v>36</v>
      </c>
      <c r="G4218">
        <v>9.1999999999999993</v>
      </c>
      <c r="H4218">
        <v>6.5</v>
      </c>
      <c r="I4218" t="str" cm="1">
        <f t="array" ref="I4218">_xlfn.IFS(G4218&lt;3, "0–2 Years", G4218&lt;6, "3–5 Years", G4218&lt;9, "6–8 Years", G4218&lt;12, "9-11 Years", G4218&gt;=12, "12-14 Years")</f>
        <v>9-11 Years</v>
      </c>
      <c r="J4218">
        <v>3</v>
      </c>
      <c r="K4218" t="s">
        <v>69</v>
      </c>
      <c r="L4218">
        <v>62000</v>
      </c>
      <c r="M4218">
        <v>5000</v>
      </c>
      <c r="N4218">
        <v>67000</v>
      </c>
      <c r="O4218" t="s">
        <v>25</v>
      </c>
      <c r="P4218" s="3">
        <v>42671</v>
      </c>
      <c r="Q4218" t="s">
        <v>36</v>
      </c>
    </row>
    <row r="4219" spans="1:17" x14ac:dyDescent="0.35">
      <c r="A4219" t="s">
        <v>4271</v>
      </c>
      <c r="B4219" t="s">
        <v>23</v>
      </c>
      <c r="C4219" s="7">
        <v>34</v>
      </c>
      <c r="D4219" t="s">
        <v>44</v>
      </c>
      <c r="E4219" t="s">
        <v>51</v>
      </c>
      <c r="F4219" t="s">
        <v>19</v>
      </c>
      <c r="G4219" s="9">
        <v>12.3</v>
      </c>
      <c r="H4219" s="7">
        <v>7.3</v>
      </c>
      <c r="I4219" t="str" cm="1">
        <f t="array" ref="I4219">_xlfn.IFS(G4219&lt;3, "0–2 Years", G4219&lt;6, "3–5 Years", G4219&lt;9, "6–8 Years", G4219&lt;12, "9-11 Years", G4219&gt;=12, "12-14 Years")</f>
        <v>12-14 Years</v>
      </c>
      <c r="J4219" s="7">
        <v>2</v>
      </c>
      <c r="K4219" t="s">
        <v>20</v>
      </c>
      <c r="L4219" s="7">
        <v>80200</v>
      </c>
      <c r="M4219" s="7">
        <v>9800</v>
      </c>
      <c r="N4219" s="7">
        <v>90000</v>
      </c>
      <c r="O4219" t="s">
        <v>30</v>
      </c>
      <c r="P4219" s="3">
        <v>41519</v>
      </c>
      <c r="Q4219" t="s">
        <v>19</v>
      </c>
    </row>
    <row r="4220" spans="1:17" x14ac:dyDescent="0.35">
      <c r="A4220" t="s">
        <v>4272</v>
      </c>
      <c r="B4220" t="s">
        <v>23</v>
      </c>
      <c r="C4220">
        <v>41</v>
      </c>
      <c r="D4220" t="s">
        <v>34</v>
      </c>
      <c r="E4220" t="s">
        <v>35</v>
      </c>
      <c r="F4220" t="s">
        <v>19</v>
      </c>
      <c r="G4220">
        <v>5.7</v>
      </c>
      <c r="H4220">
        <v>3.6</v>
      </c>
      <c r="I4220" t="str" cm="1">
        <f t="array" ref="I4220">_xlfn.IFS(G4220&lt;3, "0–2 Years", G4220&lt;6, "3–5 Years", G4220&lt;9, "6–8 Years", G4220&lt;12, "9-11 Years", G4220&gt;=12, "12-14 Years")</f>
        <v>3–5 Years</v>
      </c>
      <c r="J4220">
        <v>3</v>
      </c>
      <c r="K4220" t="s">
        <v>20</v>
      </c>
      <c r="L4220">
        <v>61800</v>
      </c>
      <c r="M4220">
        <v>2500</v>
      </c>
      <c r="N4220">
        <v>64300</v>
      </c>
      <c r="O4220" t="s">
        <v>25</v>
      </c>
      <c r="P4220" s="3">
        <v>43947</v>
      </c>
      <c r="Q4220" t="s">
        <v>19</v>
      </c>
    </row>
    <row r="4221" spans="1:17" x14ac:dyDescent="0.35">
      <c r="A4221" t="s">
        <v>4273</v>
      </c>
      <c r="B4221" t="s">
        <v>23</v>
      </c>
      <c r="C4221">
        <v>46</v>
      </c>
      <c r="D4221" t="s">
        <v>34</v>
      </c>
      <c r="E4221" t="s">
        <v>47</v>
      </c>
      <c r="F4221" t="s">
        <v>28</v>
      </c>
      <c r="G4221">
        <v>2.7</v>
      </c>
      <c r="H4221">
        <v>2.7</v>
      </c>
      <c r="I4221" t="str" cm="1">
        <f t="array" ref="I4221">_xlfn.IFS(G4221&lt;3, "0–2 Years", G4221&lt;6, "3–5 Years", G4221&lt;9, "6–8 Years", G4221&lt;12, "9-11 Years", G4221&gt;=12, "12-14 Years")</f>
        <v>0–2 Years</v>
      </c>
      <c r="J4221">
        <v>2</v>
      </c>
      <c r="K4221" t="s">
        <v>20</v>
      </c>
      <c r="L4221">
        <v>70000</v>
      </c>
      <c r="M4221">
        <v>4800</v>
      </c>
      <c r="N4221">
        <v>74800</v>
      </c>
      <c r="O4221" t="s">
        <v>21</v>
      </c>
      <c r="P4221" s="3">
        <v>45051</v>
      </c>
      <c r="Q4221" t="s">
        <v>28</v>
      </c>
    </row>
    <row r="4222" spans="1:17" x14ac:dyDescent="0.35">
      <c r="A4222" t="s">
        <v>4274</v>
      </c>
      <c r="B4222" t="s">
        <v>16</v>
      </c>
      <c r="C4222" s="7">
        <v>45</v>
      </c>
      <c r="D4222" t="s">
        <v>34</v>
      </c>
      <c r="E4222" t="s">
        <v>35</v>
      </c>
      <c r="F4222" t="s">
        <v>36</v>
      </c>
      <c r="G4222" s="9">
        <v>12.3</v>
      </c>
      <c r="H4222" s="7">
        <v>5.9</v>
      </c>
      <c r="I4222" t="str" cm="1">
        <f t="array" ref="I4222">_xlfn.IFS(G4222&lt;3, "0–2 Years", G4222&lt;6, "3–5 Years", G4222&lt;9, "6–8 Years", G4222&lt;12, "9-11 Years", G4222&gt;=12, "12-14 Years")</f>
        <v>12-14 Years</v>
      </c>
      <c r="J4222" s="7">
        <v>2</v>
      </c>
      <c r="K4222" t="s">
        <v>20</v>
      </c>
      <c r="L4222" s="7">
        <v>87100</v>
      </c>
      <c r="M4222" s="7">
        <v>6400</v>
      </c>
      <c r="N4222" s="7">
        <v>93500</v>
      </c>
      <c r="O4222" t="s">
        <v>30</v>
      </c>
      <c r="P4222" s="3">
        <v>41536</v>
      </c>
      <c r="Q4222" t="s">
        <v>36</v>
      </c>
    </row>
    <row r="4223" spans="1:17" x14ac:dyDescent="0.35">
      <c r="A4223" t="s">
        <v>4275</v>
      </c>
      <c r="B4223" t="s">
        <v>23</v>
      </c>
      <c r="C4223">
        <v>46</v>
      </c>
      <c r="D4223" t="s">
        <v>55</v>
      </c>
      <c r="E4223" t="s">
        <v>79</v>
      </c>
      <c r="F4223" t="s">
        <v>28</v>
      </c>
      <c r="G4223">
        <v>11</v>
      </c>
      <c r="H4223">
        <v>8.3000000000000007</v>
      </c>
      <c r="I4223" t="str" cm="1">
        <f t="array" ref="I4223">_xlfn.IFS(G4223&lt;3, "0–2 Years", G4223&lt;6, "3–5 Years", G4223&lt;9, "6–8 Years", G4223&lt;12, "9-11 Years", G4223&gt;=12, "12-14 Years")</f>
        <v>9-11 Years</v>
      </c>
      <c r="J4223">
        <v>4</v>
      </c>
      <c r="K4223" t="s">
        <v>24</v>
      </c>
      <c r="L4223">
        <v>47300</v>
      </c>
      <c r="M4223">
        <v>5100</v>
      </c>
      <c r="N4223">
        <v>52400</v>
      </c>
      <c r="O4223" t="s">
        <v>65</v>
      </c>
      <c r="P4223" s="3">
        <v>42022</v>
      </c>
      <c r="Q4223" t="s">
        <v>28</v>
      </c>
    </row>
    <row r="4224" spans="1:17" x14ac:dyDescent="0.35">
      <c r="A4224" t="s">
        <v>4276</v>
      </c>
      <c r="B4224" t="s">
        <v>23</v>
      </c>
      <c r="C4224">
        <v>39</v>
      </c>
      <c r="D4224" t="s">
        <v>55</v>
      </c>
      <c r="E4224" t="s">
        <v>79</v>
      </c>
      <c r="F4224" t="s">
        <v>36</v>
      </c>
      <c r="G4224">
        <v>8.5</v>
      </c>
      <c r="H4224">
        <v>6.4</v>
      </c>
      <c r="I4224" t="str" cm="1">
        <f t="array" ref="I4224">_xlfn.IFS(G4224&lt;3, "0–2 Years", G4224&lt;6, "3–5 Years", G4224&lt;9, "6–8 Years", G4224&lt;12, "9-11 Years", G4224&gt;=12, "12-14 Years")</f>
        <v>6–8 Years</v>
      </c>
      <c r="J4224">
        <v>5</v>
      </c>
      <c r="K4224" t="s">
        <v>24</v>
      </c>
      <c r="L4224">
        <v>41700</v>
      </c>
      <c r="M4224">
        <v>5400</v>
      </c>
      <c r="N4224">
        <v>47100</v>
      </c>
      <c r="O4224" t="s">
        <v>65</v>
      </c>
      <c r="P4224" s="3">
        <v>42909</v>
      </c>
      <c r="Q4224" t="s">
        <v>36</v>
      </c>
    </row>
    <row r="4225" spans="1:17" x14ac:dyDescent="0.35">
      <c r="A4225" t="s">
        <v>4277</v>
      </c>
      <c r="B4225" t="s">
        <v>23</v>
      </c>
      <c r="C4225">
        <v>35</v>
      </c>
      <c r="D4225" t="s">
        <v>17</v>
      </c>
      <c r="E4225" t="s">
        <v>18</v>
      </c>
      <c r="F4225" t="s">
        <v>28</v>
      </c>
      <c r="G4225">
        <v>10.3</v>
      </c>
      <c r="H4225">
        <v>6.3</v>
      </c>
      <c r="I4225" t="str" cm="1">
        <f t="array" ref="I4225">_xlfn.IFS(G4225&lt;3, "0–2 Years", G4225&lt;6, "3–5 Years", G4225&lt;9, "6–8 Years", G4225&lt;12, "9-11 Years", G4225&gt;=12, "12-14 Years")</f>
        <v>9-11 Years</v>
      </c>
      <c r="J4225">
        <v>3</v>
      </c>
      <c r="K4225" t="s">
        <v>20</v>
      </c>
      <c r="L4225">
        <v>99200</v>
      </c>
      <c r="M4225">
        <v>8400</v>
      </c>
      <c r="N4225">
        <v>107600</v>
      </c>
      <c r="O4225" t="s">
        <v>30</v>
      </c>
      <c r="P4225" s="3">
        <v>42248</v>
      </c>
      <c r="Q4225" t="s">
        <v>28</v>
      </c>
    </row>
    <row r="4226" spans="1:17" x14ac:dyDescent="0.35">
      <c r="A4226" t="s">
        <v>4278</v>
      </c>
      <c r="B4226" t="s">
        <v>16</v>
      </c>
      <c r="C4226">
        <v>42</v>
      </c>
      <c r="D4226" t="s">
        <v>55</v>
      </c>
      <c r="E4226" t="s">
        <v>92</v>
      </c>
      <c r="F4226" t="s">
        <v>28</v>
      </c>
      <c r="G4226">
        <v>11.6</v>
      </c>
      <c r="H4226">
        <v>7.7</v>
      </c>
      <c r="I4226" t="str" cm="1">
        <f t="array" ref="I4226">_xlfn.IFS(G4226&lt;3, "0–2 Years", G4226&lt;6, "3–5 Years", G4226&lt;9, "6–8 Years", G4226&lt;12, "9-11 Years", G4226&gt;=12, "12-14 Years")</f>
        <v>9-11 Years</v>
      </c>
      <c r="J4226">
        <v>3</v>
      </c>
      <c r="K4226" t="s">
        <v>24</v>
      </c>
      <c r="L4226">
        <v>70100</v>
      </c>
      <c r="M4226">
        <v>10200</v>
      </c>
      <c r="N4226">
        <v>80300</v>
      </c>
      <c r="O4226" t="s">
        <v>21</v>
      </c>
      <c r="P4226" s="3">
        <v>41802</v>
      </c>
      <c r="Q4226" t="s">
        <v>28</v>
      </c>
    </row>
    <row r="4227" spans="1:17" x14ac:dyDescent="0.35">
      <c r="A4227" t="s">
        <v>4279</v>
      </c>
      <c r="B4227" t="s">
        <v>23</v>
      </c>
      <c r="C4227">
        <v>29</v>
      </c>
      <c r="D4227" t="s">
        <v>41</v>
      </c>
      <c r="E4227" t="s">
        <v>42</v>
      </c>
      <c r="F4227" t="s">
        <v>28</v>
      </c>
      <c r="G4227">
        <v>6.2</v>
      </c>
      <c r="H4227">
        <v>4.4000000000000004</v>
      </c>
      <c r="I4227" t="str" cm="1">
        <f t="array" ref="I4227">_xlfn.IFS(G4227&lt;3, "0–2 Years", G4227&lt;6, "3–5 Years", G4227&lt;9, "6–8 Years", G4227&lt;12, "9-11 Years", G4227&gt;=12, "12-14 Years")</f>
        <v>6–8 Years</v>
      </c>
      <c r="J4227">
        <v>5</v>
      </c>
      <c r="K4227" t="s">
        <v>20</v>
      </c>
      <c r="L4227">
        <v>65400</v>
      </c>
      <c r="M4227">
        <v>4200</v>
      </c>
      <c r="N4227">
        <v>69600</v>
      </c>
      <c r="O4227" t="s">
        <v>21</v>
      </c>
      <c r="P4227" s="3">
        <v>43753</v>
      </c>
      <c r="Q4227" t="s">
        <v>28</v>
      </c>
    </row>
    <row r="4228" spans="1:17" x14ac:dyDescent="0.35">
      <c r="A4228" t="s">
        <v>4280</v>
      </c>
      <c r="B4228" t="s">
        <v>16</v>
      </c>
      <c r="C4228">
        <v>35</v>
      </c>
      <c r="D4228" t="s">
        <v>44</v>
      </c>
      <c r="E4228" t="s">
        <v>76</v>
      </c>
      <c r="F4228" t="s">
        <v>28</v>
      </c>
      <c r="G4228">
        <v>2</v>
      </c>
      <c r="H4228">
        <v>0</v>
      </c>
      <c r="I4228" t="str" cm="1">
        <f t="array" ref="I4228">_xlfn.IFS(G4228&lt;3, "0–2 Years", G4228&lt;6, "3–5 Years", G4228&lt;9, "6–8 Years", G4228&lt;12, "9-11 Years", G4228&gt;=12, "12-14 Years")</f>
        <v>0–2 Years</v>
      </c>
      <c r="J4228">
        <v>4</v>
      </c>
      <c r="K4228" t="s">
        <v>69</v>
      </c>
      <c r="L4228">
        <v>85300</v>
      </c>
      <c r="M4228">
        <v>5500</v>
      </c>
      <c r="N4228">
        <v>90800</v>
      </c>
      <c r="O4228" t="s">
        <v>30</v>
      </c>
      <c r="P4228" s="3">
        <v>45289</v>
      </c>
      <c r="Q4228" t="s">
        <v>28</v>
      </c>
    </row>
    <row r="4229" spans="1:17" x14ac:dyDescent="0.35">
      <c r="A4229" t="s">
        <v>4281</v>
      </c>
      <c r="B4229" t="s">
        <v>16</v>
      </c>
      <c r="C4229" s="7">
        <v>26</v>
      </c>
      <c r="D4229" t="s">
        <v>38</v>
      </c>
      <c r="E4229" t="s">
        <v>112</v>
      </c>
      <c r="F4229" t="s">
        <v>28</v>
      </c>
      <c r="G4229" s="9">
        <v>12.6</v>
      </c>
      <c r="H4229" s="7">
        <v>11</v>
      </c>
      <c r="I4229" t="str" cm="1">
        <f t="array" ref="I4229">_xlfn.IFS(G4229&lt;3, "0–2 Years", G4229&lt;6, "3–5 Years", G4229&lt;9, "6–8 Years", G4229&lt;12, "9-11 Years", G4229&gt;=12, "12-14 Years")</f>
        <v>12-14 Years</v>
      </c>
      <c r="J4229" s="7">
        <v>2</v>
      </c>
      <c r="K4229" t="s">
        <v>20</v>
      </c>
      <c r="L4229" s="7">
        <v>66600</v>
      </c>
      <c r="M4229" s="7">
        <v>2900</v>
      </c>
      <c r="N4229" s="7">
        <v>69500</v>
      </c>
      <c r="O4229" t="s">
        <v>21</v>
      </c>
      <c r="P4229" s="3">
        <v>41437</v>
      </c>
      <c r="Q4229" t="s">
        <v>28</v>
      </c>
    </row>
    <row r="4230" spans="1:17" x14ac:dyDescent="0.35">
      <c r="A4230" t="s">
        <v>4282</v>
      </c>
      <c r="B4230" t="s">
        <v>16</v>
      </c>
      <c r="C4230">
        <v>33</v>
      </c>
      <c r="D4230" t="s">
        <v>38</v>
      </c>
      <c r="E4230" t="s">
        <v>112</v>
      </c>
      <c r="F4230" t="s">
        <v>28</v>
      </c>
      <c r="G4230">
        <v>9.4</v>
      </c>
      <c r="H4230">
        <v>7.1</v>
      </c>
      <c r="I4230" t="str" cm="1">
        <f t="array" ref="I4230">_xlfn.IFS(G4230&lt;3, "0–2 Years", G4230&lt;6, "3–5 Years", G4230&lt;9, "6–8 Years", G4230&lt;12, "9-11 Years", G4230&gt;=12, "12-14 Years")</f>
        <v>9-11 Years</v>
      </c>
      <c r="J4230">
        <v>2</v>
      </c>
      <c r="K4230" t="s">
        <v>24</v>
      </c>
      <c r="L4230">
        <v>44300</v>
      </c>
      <c r="M4230">
        <v>3300</v>
      </c>
      <c r="N4230">
        <v>47600</v>
      </c>
      <c r="O4230" t="s">
        <v>65</v>
      </c>
      <c r="P4230" s="3">
        <v>42590</v>
      </c>
      <c r="Q4230" t="s">
        <v>28</v>
      </c>
    </row>
    <row r="4231" spans="1:17" x14ac:dyDescent="0.35">
      <c r="A4231" t="s">
        <v>4283</v>
      </c>
      <c r="B4231" t="s">
        <v>16</v>
      </c>
      <c r="C4231">
        <v>22</v>
      </c>
      <c r="D4231" t="s">
        <v>55</v>
      </c>
      <c r="E4231" t="s">
        <v>92</v>
      </c>
      <c r="F4231" t="s">
        <v>28</v>
      </c>
      <c r="G4231">
        <v>9.3000000000000007</v>
      </c>
      <c r="H4231">
        <v>5.2</v>
      </c>
      <c r="I4231" t="str" cm="1">
        <f t="array" ref="I4231">_xlfn.IFS(G4231&lt;3, "0–2 Years", G4231&lt;6, "3–5 Years", G4231&lt;9, "6–8 Years", G4231&lt;12, "9-11 Years", G4231&gt;=12, "12-14 Years")</f>
        <v>9-11 Years</v>
      </c>
      <c r="J4231">
        <v>3</v>
      </c>
      <c r="K4231" t="s">
        <v>20</v>
      </c>
      <c r="L4231">
        <v>114100</v>
      </c>
      <c r="M4231">
        <v>11100</v>
      </c>
      <c r="N4231">
        <v>125200</v>
      </c>
      <c r="O4231" t="s">
        <v>57</v>
      </c>
      <c r="P4231" s="3">
        <v>42629</v>
      </c>
      <c r="Q4231" t="s">
        <v>28</v>
      </c>
    </row>
    <row r="4232" spans="1:17" x14ac:dyDescent="0.35">
      <c r="A4232" t="s">
        <v>4284</v>
      </c>
      <c r="B4232" t="s">
        <v>23</v>
      </c>
      <c r="C4232" s="7">
        <v>30</v>
      </c>
      <c r="D4232" t="s">
        <v>17</v>
      </c>
      <c r="E4232" t="s">
        <v>27</v>
      </c>
      <c r="F4232" t="s">
        <v>19</v>
      </c>
      <c r="G4232" s="9">
        <v>12.6</v>
      </c>
      <c r="H4232" s="7">
        <v>8</v>
      </c>
      <c r="I4232" t="str" cm="1">
        <f t="array" ref="I4232">_xlfn.IFS(G4232&lt;3, "0–2 Years", G4232&lt;6, "3–5 Years", G4232&lt;9, "6–8 Years", G4232&lt;12, "9-11 Years", G4232&gt;=12, "12-14 Years")</f>
        <v>12-14 Years</v>
      </c>
      <c r="J4232" s="7">
        <v>3</v>
      </c>
      <c r="K4232" t="s">
        <v>20</v>
      </c>
      <c r="L4232" s="7">
        <v>76800</v>
      </c>
      <c r="M4232" s="7">
        <v>9400</v>
      </c>
      <c r="N4232" s="7">
        <v>86200</v>
      </c>
      <c r="O4232" t="s">
        <v>21</v>
      </c>
      <c r="P4232" s="3">
        <v>41406</v>
      </c>
      <c r="Q4232" t="s">
        <v>19</v>
      </c>
    </row>
    <row r="4233" spans="1:17" x14ac:dyDescent="0.35">
      <c r="A4233" t="s">
        <v>4285</v>
      </c>
      <c r="B4233" t="s">
        <v>16</v>
      </c>
      <c r="C4233">
        <v>50</v>
      </c>
      <c r="D4233" t="s">
        <v>38</v>
      </c>
      <c r="E4233" t="s">
        <v>112</v>
      </c>
      <c r="F4233" t="s">
        <v>36</v>
      </c>
      <c r="G4233">
        <v>8.6999999999999993</v>
      </c>
      <c r="H4233">
        <v>5</v>
      </c>
      <c r="I4233" t="str" cm="1">
        <f t="array" ref="I4233">_xlfn.IFS(G4233&lt;3, "0–2 Years", G4233&lt;6, "3–5 Years", G4233&lt;9, "6–8 Years", G4233&lt;12, "9-11 Years", G4233&gt;=12, "12-14 Years")</f>
        <v>6–8 Years</v>
      </c>
      <c r="J4233">
        <v>3</v>
      </c>
      <c r="K4233" t="s">
        <v>20</v>
      </c>
      <c r="L4233">
        <v>71600</v>
      </c>
      <c r="M4233">
        <v>7200</v>
      </c>
      <c r="N4233">
        <v>78800</v>
      </c>
      <c r="O4233" t="s">
        <v>21</v>
      </c>
      <c r="P4233" s="3">
        <v>42830</v>
      </c>
      <c r="Q4233" t="s">
        <v>36</v>
      </c>
    </row>
    <row r="4234" spans="1:17" x14ac:dyDescent="0.35">
      <c r="A4234" t="s">
        <v>4286</v>
      </c>
      <c r="B4234" t="s">
        <v>23</v>
      </c>
      <c r="C4234">
        <v>41</v>
      </c>
      <c r="D4234" t="s">
        <v>44</v>
      </c>
      <c r="E4234" t="s">
        <v>45</v>
      </c>
      <c r="F4234" t="s">
        <v>36</v>
      </c>
      <c r="G4234">
        <v>2.8</v>
      </c>
      <c r="H4234">
        <v>1</v>
      </c>
      <c r="I4234" t="str" cm="1">
        <f t="array" ref="I4234">_xlfn.IFS(G4234&lt;3, "0–2 Years", G4234&lt;6, "3–5 Years", G4234&lt;9, "6–8 Years", G4234&lt;12, "9-11 Years", G4234&gt;=12, "12-14 Years")</f>
        <v>0–2 Years</v>
      </c>
      <c r="J4234">
        <v>4</v>
      </c>
      <c r="K4234" t="s">
        <v>20</v>
      </c>
      <c r="L4234">
        <v>72600</v>
      </c>
      <c r="M4234">
        <v>8900</v>
      </c>
      <c r="N4234">
        <v>81500</v>
      </c>
      <c r="O4234" t="s">
        <v>21</v>
      </c>
      <c r="P4234" s="3">
        <v>45012</v>
      </c>
      <c r="Q4234" t="s">
        <v>36</v>
      </c>
    </row>
    <row r="4235" spans="1:17" x14ac:dyDescent="0.35">
      <c r="A4235" t="s">
        <v>4287</v>
      </c>
      <c r="B4235" t="s">
        <v>16</v>
      </c>
      <c r="C4235">
        <v>43</v>
      </c>
      <c r="D4235" t="s">
        <v>41</v>
      </c>
      <c r="E4235" t="s">
        <v>67</v>
      </c>
      <c r="F4235" t="s">
        <v>28</v>
      </c>
      <c r="G4235">
        <v>6.6</v>
      </c>
      <c r="H4235">
        <v>3.8</v>
      </c>
      <c r="I4235" t="str" cm="1">
        <f t="array" ref="I4235">_xlfn.IFS(G4235&lt;3, "0–2 Years", G4235&lt;6, "3–5 Years", G4235&lt;9, "6–8 Years", G4235&lt;12, "9-11 Years", G4235&gt;=12, "12-14 Years")</f>
        <v>6–8 Years</v>
      </c>
      <c r="J4235">
        <v>3</v>
      </c>
      <c r="K4235" t="s">
        <v>20</v>
      </c>
      <c r="L4235">
        <v>65100</v>
      </c>
      <c r="M4235">
        <v>5000</v>
      </c>
      <c r="N4235">
        <v>70100</v>
      </c>
      <c r="O4235" t="s">
        <v>21</v>
      </c>
      <c r="P4235" s="3">
        <v>43609</v>
      </c>
      <c r="Q4235" t="s">
        <v>28</v>
      </c>
    </row>
    <row r="4236" spans="1:17" x14ac:dyDescent="0.35">
      <c r="A4236" t="s">
        <v>4288</v>
      </c>
      <c r="B4236" t="s">
        <v>23</v>
      </c>
      <c r="C4236">
        <v>63</v>
      </c>
      <c r="D4236" t="s">
        <v>41</v>
      </c>
      <c r="E4236" t="s">
        <v>73</v>
      </c>
      <c r="F4236" t="s">
        <v>36</v>
      </c>
      <c r="G4236">
        <v>3.3</v>
      </c>
      <c r="H4236">
        <v>3.3</v>
      </c>
      <c r="I4236" t="str" cm="1">
        <f t="array" ref="I4236">_xlfn.IFS(G4236&lt;3, "0–2 Years", G4236&lt;6, "3–5 Years", G4236&lt;9, "6–8 Years", G4236&lt;12, "9-11 Years", G4236&gt;=12, "12-14 Years")</f>
        <v>3–5 Years</v>
      </c>
      <c r="J4236">
        <v>3</v>
      </c>
      <c r="K4236" t="s">
        <v>20</v>
      </c>
      <c r="L4236">
        <v>102200</v>
      </c>
      <c r="M4236">
        <v>8800</v>
      </c>
      <c r="N4236">
        <v>111000</v>
      </c>
      <c r="O4236" t="s">
        <v>57</v>
      </c>
      <c r="P4236" s="3">
        <v>44830</v>
      </c>
      <c r="Q4236" t="s">
        <v>36</v>
      </c>
    </row>
    <row r="4237" spans="1:17" x14ac:dyDescent="0.35">
      <c r="A4237" t="s">
        <v>4289</v>
      </c>
      <c r="B4237" t="s">
        <v>23</v>
      </c>
      <c r="C4237">
        <v>39</v>
      </c>
      <c r="D4237" t="s">
        <v>17</v>
      </c>
      <c r="E4237" t="s">
        <v>32</v>
      </c>
      <c r="F4237" t="s">
        <v>36</v>
      </c>
      <c r="G4237">
        <v>10.7</v>
      </c>
      <c r="H4237">
        <v>5.2</v>
      </c>
      <c r="I4237" t="str" cm="1">
        <f t="array" ref="I4237">_xlfn.IFS(G4237&lt;3, "0–2 Years", G4237&lt;6, "3–5 Years", G4237&lt;9, "6–8 Years", G4237&lt;12, "9-11 Years", G4237&gt;=12, "12-14 Years")</f>
        <v>9-11 Years</v>
      </c>
      <c r="J4237">
        <v>3</v>
      </c>
      <c r="K4237" t="s">
        <v>20</v>
      </c>
      <c r="L4237">
        <v>74000</v>
      </c>
      <c r="M4237">
        <v>8200</v>
      </c>
      <c r="N4237">
        <v>82200</v>
      </c>
      <c r="O4237" t="s">
        <v>21</v>
      </c>
      <c r="P4237" s="3">
        <v>42099</v>
      </c>
      <c r="Q4237" t="s">
        <v>36</v>
      </c>
    </row>
    <row r="4238" spans="1:17" x14ac:dyDescent="0.35">
      <c r="A4238" t="s">
        <v>4290</v>
      </c>
      <c r="B4238" t="s">
        <v>16</v>
      </c>
      <c r="C4238">
        <v>38</v>
      </c>
      <c r="D4238" t="s">
        <v>34</v>
      </c>
      <c r="E4238" t="s">
        <v>59</v>
      </c>
      <c r="F4238" t="s">
        <v>36</v>
      </c>
      <c r="G4238">
        <v>5.9</v>
      </c>
      <c r="H4238">
        <v>5.0999999999999996</v>
      </c>
      <c r="I4238" t="str" cm="1">
        <f t="array" ref="I4238">_xlfn.IFS(G4238&lt;3, "0–2 Years", G4238&lt;6, "3–5 Years", G4238&lt;9, "6–8 Years", G4238&lt;12, "9-11 Years", G4238&gt;=12, "12-14 Years")</f>
        <v>3–5 Years</v>
      </c>
      <c r="J4238">
        <v>4</v>
      </c>
      <c r="K4238" t="s">
        <v>20</v>
      </c>
      <c r="L4238">
        <v>111600</v>
      </c>
      <c r="M4238">
        <v>10900</v>
      </c>
      <c r="N4238">
        <v>122500</v>
      </c>
      <c r="O4238" t="s">
        <v>57</v>
      </c>
      <c r="P4238" s="3">
        <v>43859</v>
      </c>
      <c r="Q4238" t="s">
        <v>36</v>
      </c>
    </row>
    <row r="4239" spans="1:17" x14ac:dyDescent="0.35">
      <c r="A4239" t="s">
        <v>4291</v>
      </c>
      <c r="B4239" t="s">
        <v>23</v>
      </c>
      <c r="C4239">
        <v>34</v>
      </c>
      <c r="D4239" t="s">
        <v>34</v>
      </c>
      <c r="E4239" t="s">
        <v>35</v>
      </c>
      <c r="F4239" t="s">
        <v>36</v>
      </c>
      <c r="G4239">
        <v>10.8</v>
      </c>
      <c r="H4239">
        <v>5</v>
      </c>
      <c r="I4239" t="str" cm="1">
        <f t="array" ref="I4239">_xlfn.IFS(G4239&lt;3, "0–2 Years", G4239&lt;6, "3–5 Years", G4239&lt;9, "6–8 Years", G4239&lt;12, "9-11 Years", G4239&gt;=12, "12-14 Years")</f>
        <v>9-11 Years</v>
      </c>
      <c r="J4239">
        <v>4</v>
      </c>
      <c r="K4239" t="s">
        <v>20</v>
      </c>
      <c r="L4239">
        <v>90900</v>
      </c>
      <c r="M4239">
        <v>6500</v>
      </c>
      <c r="N4239">
        <v>97400</v>
      </c>
      <c r="O4239" t="s">
        <v>30</v>
      </c>
      <c r="P4239" s="3">
        <v>42068</v>
      </c>
      <c r="Q4239" t="s">
        <v>36</v>
      </c>
    </row>
    <row r="4240" spans="1:17" x14ac:dyDescent="0.35">
      <c r="A4240" t="s">
        <v>4292</v>
      </c>
      <c r="B4240" t="s">
        <v>16</v>
      </c>
      <c r="C4240" s="7">
        <v>34</v>
      </c>
      <c r="D4240" t="s">
        <v>38</v>
      </c>
      <c r="E4240" t="s">
        <v>61</v>
      </c>
      <c r="F4240" t="s">
        <v>28</v>
      </c>
      <c r="G4240" s="9">
        <v>13.7</v>
      </c>
      <c r="H4240" s="7">
        <v>8.9</v>
      </c>
      <c r="I4240" t="str" cm="1">
        <f t="array" ref="I4240">_xlfn.IFS(G4240&lt;3, "0–2 Years", G4240&lt;6, "3–5 Years", G4240&lt;9, "6–8 Years", G4240&lt;12, "9-11 Years", G4240&gt;=12, "12-14 Years")</f>
        <v>12-14 Years</v>
      </c>
      <c r="J4240" s="7">
        <v>3</v>
      </c>
      <c r="K4240" t="s">
        <v>20</v>
      </c>
      <c r="L4240" s="7">
        <v>110500</v>
      </c>
      <c r="M4240" s="7">
        <v>8700</v>
      </c>
      <c r="N4240" s="7">
        <v>119200</v>
      </c>
      <c r="O4240" t="s">
        <v>57</v>
      </c>
      <c r="P4240" s="3">
        <v>41021</v>
      </c>
      <c r="Q4240" t="s">
        <v>28</v>
      </c>
    </row>
    <row r="4241" spans="1:17" x14ac:dyDescent="0.35">
      <c r="A4241" t="s">
        <v>4293</v>
      </c>
      <c r="B4241" t="s">
        <v>16</v>
      </c>
      <c r="C4241">
        <v>40</v>
      </c>
      <c r="D4241" t="s">
        <v>17</v>
      </c>
      <c r="E4241" t="s">
        <v>27</v>
      </c>
      <c r="F4241" t="s">
        <v>36</v>
      </c>
      <c r="G4241">
        <v>8.8000000000000007</v>
      </c>
      <c r="H4241">
        <v>6.7</v>
      </c>
      <c r="I4241" t="str" cm="1">
        <f t="array" ref="I4241">_xlfn.IFS(G4241&lt;3, "0–2 Years", G4241&lt;6, "3–5 Years", G4241&lt;9, "6–8 Years", G4241&lt;12, "9-11 Years", G4241&gt;=12, "12-14 Years")</f>
        <v>6–8 Years</v>
      </c>
      <c r="J4241">
        <v>1</v>
      </c>
      <c r="K4241" t="s">
        <v>20</v>
      </c>
      <c r="L4241">
        <v>75100</v>
      </c>
      <c r="M4241">
        <v>5400</v>
      </c>
      <c r="N4241">
        <v>80500</v>
      </c>
      <c r="O4241" t="s">
        <v>21</v>
      </c>
      <c r="P4241" s="3">
        <v>42807</v>
      </c>
      <c r="Q4241" t="s">
        <v>36</v>
      </c>
    </row>
    <row r="4242" spans="1:17" x14ac:dyDescent="0.35">
      <c r="A4242" t="s">
        <v>4294</v>
      </c>
      <c r="B4242" t="s">
        <v>23</v>
      </c>
      <c r="C4242">
        <v>32</v>
      </c>
      <c r="D4242" t="s">
        <v>55</v>
      </c>
      <c r="E4242" t="s">
        <v>56</v>
      </c>
      <c r="F4242" t="s">
        <v>28</v>
      </c>
      <c r="G4242">
        <v>6.3</v>
      </c>
      <c r="H4242">
        <v>5.8</v>
      </c>
      <c r="I4242" t="str" cm="1">
        <f t="array" ref="I4242">_xlfn.IFS(G4242&lt;3, "0–2 Years", G4242&lt;6, "3–5 Years", G4242&lt;9, "6–8 Years", G4242&lt;12, "9-11 Years", G4242&gt;=12, "12-14 Years")</f>
        <v>6–8 Years</v>
      </c>
      <c r="J4242">
        <v>5</v>
      </c>
      <c r="K4242" t="s">
        <v>20</v>
      </c>
      <c r="L4242">
        <v>105500</v>
      </c>
      <c r="M4242">
        <v>9600</v>
      </c>
      <c r="N4242">
        <v>115100</v>
      </c>
      <c r="O4242" t="s">
        <v>57</v>
      </c>
      <c r="P4242" s="3">
        <v>43723</v>
      </c>
      <c r="Q4242" t="s">
        <v>28</v>
      </c>
    </row>
    <row r="4243" spans="1:17" x14ac:dyDescent="0.35">
      <c r="A4243" t="s">
        <v>4295</v>
      </c>
      <c r="B4243" t="s">
        <v>23</v>
      </c>
      <c r="C4243">
        <v>26</v>
      </c>
      <c r="D4243" t="s">
        <v>34</v>
      </c>
      <c r="E4243" t="s">
        <v>47</v>
      </c>
      <c r="F4243" t="s">
        <v>28</v>
      </c>
      <c r="G4243">
        <v>5.9</v>
      </c>
      <c r="H4243">
        <v>5</v>
      </c>
      <c r="I4243" t="str" cm="1">
        <f t="array" ref="I4243">_xlfn.IFS(G4243&lt;3, "0–2 Years", G4243&lt;6, "3–5 Years", G4243&lt;9, "6–8 Years", G4243&lt;12, "9-11 Years", G4243&gt;=12, "12-14 Years")</f>
        <v>3–5 Years</v>
      </c>
      <c r="J4243">
        <v>3</v>
      </c>
      <c r="K4243" t="s">
        <v>20</v>
      </c>
      <c r="L4243">
        <v>89100</v>
      </c>
      <c r="M4243">
        <v>5400</v>
      </c>
      <c r="N4243">
        <v>94500</v>
      </c>
      <c r="O4243" t="s">
        <v>30</v>
      </c>
      <c r="P4243" s="3">
        <v>43863</v>
      </c>
      <c r="Q4243" t="s">
        <v>28</v>
      </c>
    </row>
    <row r="4244" spans="1:17" x14ac:dyDescent="0.35">
      <c r="A4244" t="s">
        <v>4296</v>
      </c>
      <c r="B4244" t="s">
        <v>23</v>
      </c>
      <c r="C4244">
        <v>43</v>
      </c>
      <c r="D4244" t="s">
        <v>44</v>
      </c>
      <c r="E4244" t="s">
        <v>76</v>
      </c>
      <c r="F4244" t="s">
        <v>28</v>
      </c>
      <c r="G4244">
        <v>9.6999999999999993</v>
      </c>
      <c r="H4244">
        <v>5.0999999999999996</v>
      </c>
      <c r="I4244" t="str" cm="1">
        <f t="array" ref="I4244">_xlfn.IFS(G4244&lt;3, "0–2 Years", G4244&lt;6, "3–5 Years", G4244&lt;9, "6–8 Years", G4244&lt;12, "9-11 Years", G4244&gt;=12, "12-14 Years")</f>
        <v>9-11 Years</v>
      </c>
      <c r="J4244">
        <v>3</v>
      </c>
      <c r="K4244" t="s">
        <v>69</v>
      </c>
      <c r="L4244">
        <v>87400</v>
      </c>
      <c r="M4244">
        <v>9500</v>
      </c>
      <c r="N4244">
        <v>96900</v>
      </c>
      <c r="O4244" t="s">
        <v>30</v>
      </c>
      <c r="P4244" s="3">
        <v>42484</v>
      </c>
      <c r="Q4244" t="s">
        <v>28</v>
      </c>
    </row>
    <row r="4245" spans="1:17" x14ac:dyDescent="0.35">
      <c r="A4245" t="s">
        <v>4297</v>
      </c>
      <c r="B4245" t="s">
        <v>16</v>
      </c>
      <c r="C4245" s="7">
        <v>37</v>
      </c>
      <c r="D4245" t="s">
        <v>34</v>
      </c>
      <c r="E4245" t="s">
        <v>47</v>
      </c>
      <c r="F4245" t="s">
        <v>28</v>
      </c>
      <c r="G4245" s="9">
        <v>13.5</v>
      </c>
      <c r="H4245" s="7">
        <v>8.6999999999999993</v>
      </c>
      <c r="I4245" t="str" cm="1">
        <f t="array" ref="I4245">_xlfn.IFS(G4245&lt;3, "0–2 Years", G4245&lt;6, "3–5 Years", G4245&lt;9, "6–8 Years", G4245&lt;12, "9-11 Years", G4245&gt;=12, "12-14 Years")</f>
        <v>12-14 Years</v>
      </c>
      <c r="J4245" s="7">
        <v>3</v>
      </c>
      <c r="K4245" t="s">
        <v>20</v>
      </c>
      <c r="L4245" s="7">
        <v>98200</v>
      </c>
      <c r="M4245" s="7">
        <v>10700</v>
      </c>
      <c r="N4245" s="7">
        <v>108900</v>
      </c>
      <c r="O4245" t="s">
        <v>30</v>
      </c>
      <c r="P4245" s="3">
        <v>41075</v>
      </c>
      <c r="Q4245" t="s">
        <v>28</v>
      </c>
    </row>
    <row r="4246" spans="1:17" x14ac:dyDescent="0.35">
      <c r="A4246" t="s">
        <v>4298</v>
      </c>
      <c r="B4246" t="s">
        <v>23</v>
      </c>
      <c r="C4246">
        <v>47</v>
      </c>
      <c r="D4246" t="s">
        <v>41</v>
      </c>
      <c r="E4246" t="s">
        <v>73</v>
      </c>
      <c r="F4246" t="s">
        <v>28</v>
      </c>
      <c r="G4246">
        <v>9.6</v>
      </c>
      <c r="H4246">
        <v>8.5</v>
      </c>
      <c r="I4246" t="str" cm="1">
        <f t="array" ref="I4246">_xlfn.IFS(G4246&lt;3, "0–2 Years", G4246&lt;6, "3–5 Years", G4246&lt;9, "6–8 Years", G4246&lt;12, "9-11 Years", G4246&gt;=12, "12-14 Years")</f>
        <v>9-11 Years</v>
      </c>
      <c r="J4246">
        <v>3</v>
      </c>
      <c r="K4246" t="s">
        <v>20</v>
      </c>
      <c r="L4246">
        <v>111200</v>
      </c>
      <c r="M4246">
        <v>4500</v>
      </c>
      <c r="N4246">
        <v>115700</v>
      </c>
      <c r="O4246" t="s">
        <v>57</v>
      </c>
      <c r="P4246" s="3">
        <v>42502</v>
      </c>
      <c r="Q4246" t="s">
        <v>28</v>
      </c>
    </row>
    <row r="4247" spans="1:17" x14ac:dyDescent="0.35">
      <c r="A4247" t="s">
        <v>4299</v>
      </c>
      <c r="B4247" t="s">
        <v>16</v>
      </c>
      <c r="C4247">
        <v>38</v>
      </c>
      <c r="D4247" t="s">
        <v>38</v>
      </c>
      <c r="E4247" t="s">
        <v>112</v>
      </c>
      <c r="F4247" t="s">
        <v>36</v>
      </c>
      <c r="G4247">
        <v>1.2</v>
      </c>
      <c r="H4247">
        <v>0</v>
      </c>
      <c r="I4247" t="str" cm="1">
        <f t="array" ref="I4247">_xlfn.IFS(G4247&lt;3, "0–2 Years", G4247&lt;6, "3–5 Years", G4247&lt;9, "6–8 Years", G4247&lt;12, "9-11 Years", G4247&gt;=12, "12-14 Years")</f>
        <v>0–2 Years</v>
      </c>
      <c r="J4247">
        <v>3</v>
      </c>
      <c r="K4247" t="s">
        <v>20</v>
      </c>
      <c r="L4247">
        <v>63900</v>
      </c>
      <c r="M4247">
        <v>4900</v>
      </c>
      <c r="N4247">
        <v>68800</v>
      </c>
      <c r="O4247" t="s">
        <v>25</v>
      </c>
      <c r="P4247" s="3">
        <v>45578</v>
      </c>
      <c r="Q4247" t="s">
        <v>36</v>
      </c>
    </row>
    <row r="4248" spans="1:17" x14ac:dyDescent="0.35">
      <c r="A4248" t="s">
        <v>4300</v>
      </c>
      <c r="B4248" t="s">
        <v>23</v>
      </c>
      <c r="C4248" s="7">
        <v>49</v>
      </c>
      <c r="D4248" t="s">
        <v>17</v>
      </c>
      <c r="E4248" t="s">
        <v>32</v>
      </c>
      <c r="F4248" t="s">
        <v>28</v>
      </c>
      <c r="G4248" s="9">
        <v>12.3</v>
      </c>
      <c r="H4248" s="7">
        <v>8.1999999999999993</v>
      </c>
      <c r="I4248" t="str" cm="1">
        <f t="array" ref="I4248">_xlfn.IFS(G4248&lt;3, "0–2 Years", G4248&lt;6, "3–5 Years", G4248&lt;9, "6–8 Years", G4248&lt;12, "9-11 Years", G4248&gt;=12, "12-14 Years")</f>
        <v>12-14 Years</v>
      </c>
      <c r="J4248" s="7">
        <v>4</v>
      </c>
      <c r="K4248" t="s">
        <v>20</v>
      </c>
      <c r="L4248" s="7">
        <v>80200</v>
      </c>
      <c r="M4248" s="7">
        <v>9600</v>
      </c>
      <c r="N4248" s="7">
        <v>89800</v>
      </c>
      <c r="O4248" t="s">
        <v>30</v>
      </c>
      <c r="P4248" s="3">
        <v>41517</v>
      </c>
      <c r="Q4248" t="s">
        <v>28</v>
      </c>
    </row>
    <row r="4249" spans="1:17" x14ac:dyDescent="0.35">
      <c r="A4249" t="s">
        <v>4301</v>
      </c>
      <c r="B4249" t="s">
        <v>23</v>
      </c>
      <c r="C4249">
        <v>43</v>
      </c>
      <c r="D4249" t="s">
        <v>44</v>
      </c>
      <c r="E4249" t="s">
        <v>76</v>
      </c>
      <c r="F4249" t="s">
        <v>28</v>
      </c>
      <c r="G4249">
        <v>6</v>
      </c>
      <c r="H4249">
        <v>3.1</v>
      </c>
      <c r="I4249" t="str" cm="1">
        <f t="array" ref="I4249">_xlfn.IFS(G4249&lt;3, "0–2 Years", G4249&lt;6, "3–5 Years", G4249&lt;9, "6–8 Years", G4249&lt;12, "9-11 Years", G4249&gt;=12, "12-14 Years")</f>
        <v>6–8 Years</v>
      </c>
      <c r="J4249">
        <v>4</v>
      </c>
      <c r="K4249" t="s">
        <v>20</v>
      </c>
      <c r="L4249">
        <v>118900</v>
      </c>
      <c r="M4249">
        <v>11600</v>
      </c>
      <c r="N4249">
        <v>130500</v>
      </c>
      <c r="O4249" t="s">
        <v>57</v>
      </c>
      <c r="P4249" s="3">
        <v>43849</v>
      </c>
      <c r="Q4249" t="s">
        <v>28</v>
      </c>
    </row>
    <row r="4250" spans="1:17" x14ac:dyDescent="0.35">
      <c r="A4250" t="s">
        <v>4302</v>
      </c>
      <c r="B4250" t="s">
        <v>23</v>
      </c>
      <c r="C4250">
        <v>34</v>
      </c>
      <c r="D4250" t="s">
        <v>34</v>
      </c>
      <c r="E4250" t="s">
        <v>47</v>
      </c>
      <c r="F4250" t="s">
        <v>62</v>
      </c>
      <c r="G4250">
        <v>10.8</v>
      </c>
      <c r="H4250">
        <v>8.3000000000000007</v>
      </c>
      <c r="I4250" t="str" cm="1">
        <f t="array" ref="I4250">_xlfn.IFS(G4250&lt;3, "0–2 Years", G4250&lt;6, "3–5 Years", G4250&lt;9, "6–8 Years", G4250&lt;12, "9-11 Years", G4250&gt;=12, "12-14 Years")</f>
        <v>9-11 Years</v>
      </c>
      <c r="J4250">
        <v>2</v>
      </c>
      <c r="K4250" t="s">
        <v>20</v>
      </c>
      <c r="L4250">
        <v>79400</v>
      </c>
      <c r="M4250">
        <v>4000</v>
      </c>
      <c r="N4250">
        <v>83400</v>
      </c>
      <c r="O4250" t="s">
        <v>21</v>
      </c>
      <c r="P4250" s="3">
        <v>42093</v>
      </c>
      <c r="Q4250" t="s">
        <v>62</v>
      </c>
    </row>
    <row r="4251" spans="1:17" x14ac:dyDescent="0.35">
      <c r="A4251" t="s">
        <v>4303</v>
      </c>
      <c r="B4251" t="s">
        <v>16</v>
      </c>
      <c r="C4251">
        <v>42</v>
      </c>
      <c r="D4251" t="s">
        <v>41</v>
      </c>
      <c r="E4251" t="s">
        <v>73</v>
      </c>
      <c r="F4251" t="s">
        <v>28</v>
      </c>
      <c r="G4251">
        <v>11.1</v>
      </c>
      <c r="H4251">
        <v>3.9</v>
      </c>
      <c r="I4251" t="str" cm="1">
        <f t="array" ref="I4251">_xlfn.IFS(G4251&lt;3, "0–2 Years", G4251&lt;6, "3–5 Years", G4251&lt;9, "6–8 Years", G4251&lt;12, "9-11 Years", G4251&gt;=12, "12-14 Years")</f>
        <v>9-11 Years</v>
      </c>
      <c r="J4251">
        <v>3</v>
      </c>
      <c r="K4251" t="s">
        <v>20</v>
      </c>
      <c r="L4251">
        <v>107400</v>
      </c>
      <c r="M4251">
        <v>5100</v>
      </c>
      <c r="N4251">
        <v>112500</v>
      </c>
      <c r="O4251" t="s">
        <v>57</v>
      </c>
      <c r="P4251" s="3">
        <v>41971</v>
      </c>
      <c r="Q4251" t="s">
        <v>28</v>
      </c>
    </row>
    <row r="4252" spans="1:17" x14ac:dyDescent="0.35">
      <c r="A4252" t="s">
        <v>4304</v>
      </c>
      <c r="B4252" t="s">
        <v>23</v>
      </c>
      <c r="C4252">
        <v>34</v>
      </c>
      <c r="D4252" t="s">
        <v>38</v>
      </c>
      <c r="E4252" t="s">
        <v>112</v>
      </c>
      <c r="F4252" t="s">
        <v>28</v>
      </c>
      <c r="G4252">
        <v>7.9</v>
      </c>
      <c r="H4252">
        <v>3</v>
      </c>
      <c r="I4252" t="str" cm="1">
        <f t="array" ref="I4252">_xlfn.IFS(G4252&lt;3, "0–2 Years", G4252&lt;6, "3–5 Years", G4252&lt;9, "6–8 Years", G4252&lt;12, "9-11 Years", G4252&gt;=12, "12-14 Years")</f>
        <v>6–8 Years</v>
      </c>
      <c r="J4252">
        <v>4</v>
      </c>
      <c r="K4252" t="s">
        <v>20</v>
      </c>
      <c r="L4252">
        <v>68200</v>
      </c>
      <c r="M4252">
        <v>2700</v>
      </c>
      <c r="N4252">
        <v>70900</v>
      </c>
      <c r="O4252" t="s">
        <v>21</v>
      </c>
      <c r="P4252" s="3">
        <v>43125</v>
      </c>
      <c r="Q4252" t="s">
        <v>28</v>
      </c>
    </row>
    <row r="4253" spans="1:17" x14ac:dyDescent="0.35">
      <c r="A4253" t="s">
        <v>4305</v>
      </c>
      <c r="B4253" t="s">
        <v>23</v>
      </c>
      <c r="C4253">
        <v>34</v>
      </c>
      <c r="D4253" t="s">
        <v>34</v>
      </c>
      <c r="E4253" t="s">
        <v>59</v>
      </c>
      <c r="F4253" t="s">
        <v>28</v>
      </c>
      <c r="G4253">
        <v>6.6</v>
      </c>
      <c r="H4253">
        <v>4.2</v>
      </c>
      <c r="I4253" t="str" cm="1">
        <f t="array" ref="I4253">_xlfn.IFS(G4253&lt;3, "0–2 Years", G4253&lt;6, "3–5 Years", G4253&lt;9, "6–8 Years", G4253&lt;12, "9-11 Years", G4253&gt;=12, "12-14 Years")</f>
        <v>6–8 Years</v>
      </c>
      <c r="J4253">
        <v>3</v>
      </c>
      <c r="K4253" t="s">
        <v>20</v>
      </c>
      <c r="L4253">
        <v>97300</v>
      </c>
      <c r="M4253">
        <v>10800</v>
      </c>
      <c r="N4253">
        <v>108100</v>
      </c>
      <c r="O4253" t="s">
        <v>30</v>
      </c>
      <c r="P4253" s="3">
        <v>43622</v>
      </c>
      <c r="Q4253" t="s">
        <v>28</v>
      </c>
    </row>
    <row r="4254" spans="1:17" x14ac:dyDescent="0.35">
      <c r="A4254" t="s">
        <v>4306</v>
      </c>
      <c r="B4254" t="s">
        <v>16</v>
      </c>
      <c r="C4254">
        <v>39</v>
      </c>
      <c r="D4254" t="s">
        <v>41</v>
      </c>
      <c r="E4254" t="s">
        <v>42</v>
      </c>
      <c r="F4254" t="s">
        <v>36</v>
      </c>
      <c r="G4254">
        <v>11.1</v>
      </c>
      <c r="H4254">
        <v>6.6</v>
      </c>
      <c r="I4254" t="str" cm="1">
        <f t="array" ref="I4254">_xlfn.IFS(G4254&lt;3, "0–2 Years", G4254&lt;6, "3–5 Years", G4254&lt;9, "6–8 Years", G4254&lt;12, "9-11 Years", G4254&gt;=12, "12-14 Years")</f>
        <v>9-11 Years</v>
      </c>
      <c r="J4254">
        <v>2</v>
      </c>
      <c r="K4254" t="s">
        <v>20</v>
      </c>
      <c r="L4254">
        <v>78200</v>
      </c>
      <c r="M4254">
        <v>2500</v>
      </c>
      <c r="N4254">
        <v>80700</v>
      </c>
      <c r="O4254" t="s">
        <v>21</v>
      </c>
      <c r="P4254" s="3">
        <v>41969</v>
      </c>
      <c r="Q4254" t="s">
        <v>36</v>
      </c>
    </row>
    <row r="4255" spans="1:17" x14ac:dyDescent="0.35">
      <c r="A4255" t="s">
        <v>4307</v>
      </c>
      <c r="B4255" t="s">
        <v>23</v>
      </c>
      <c r="C4255">
        <v>29</v>
      </c>
      <c r="D4255" t="s">
        <v>34</v>
      </c>
      <c r="E4255" t="s">
        <v>47</v>
      </c>
      <c r="F4255" t="s">
        <v>28</v>
      </c>
      <c r="G4255">
        <v>3.9</v>
      </c>
      <c r="H4255">
        <v>2.4</v>
      </c>
      <c r="I4255" t="str" cm="1">
        <f t="array" ref="I4255">_xlfn.IFS(G4255&lt;3, "0–2 Years", G4255&lt;6, "3–5 Years", G4255&lt;9, "6–8 Years", G4255&lt;12, "9-11 Years", G4255&gt;=12, "12-14 Years")</f>
        <v>3–5 Years</v>
      </c>
      <c r="J4255">
        <v>3</v>
      </c>
      <c r="K4255" t="s">
        <v>20</v>
      </c>
      <c r="L4255">
        <v>77600</v>
      </c>
      <c r="M4255">
        <v>3700</v>
      </c>
      <c r="N4255">
        <v>81300</v>
      </c>
      <c r="O4255" t="s">
        <v>21</v>
      </c>
      <c r="P4255" s="3">
        <v>44585</v>
      </c>
      <c r="Q4255" t="s">
        <v>28</v>
      </c>
    </row>
    <row r="4256" spans="1:17" x14ac:dyDescent="0.35">
      <c r="A4256" t="s">
        <v>4308</v>
      </c>
      <c r="B4256" t="s">
        <v>16</v>
      </c>
      <c r="C4256">
        <v>26</v>
      </c>
      <c r="D4256" t="s">
        <v>44</v>
      </c>
      <c r="E4256" t="s">
        <v>76</v>
      </c>
      <c r="F4256" t="s">
        <v>36</v>
      </c>
      <c r="G4256">
        <v>10</v>
      </c>
      <c r="H4256">
        <v>6.2</v>
      </c>
      <c r="I4256" t="str" cm="1">
        <f t="array" ref="I4256">_xlfn.IFS(G4256&lt;3, "0–2 Years", G4256&lt;6, "3–5 Years", G4256&lt;9, "6–8 Years", G4256&lt;12, "9-11 Years", G4256&gt;=12, "12-14 Years")</f>
        <v>9-11 Years</v>
      </c>
      <c r="J4256">
        <v>4</v>
      </c>
      <c r="K4256" t="s">
        <v>24</v>
      </c>
      <c r="L4256">
        <v>75900</v>
      </c>
      <c r="M4256">
        <v>8700</v>
      </c>
      <c r="N4256">
        <v>84600</v>
      </c>
      <c r="O4256" t="s">
        <v>21</v>
      </c>
      <c r="P4256" s="3">
        <v>42376</v>
      </c>
      <c r="Q4256" t="s">
        <v>36</v>
      </c>
    </row>
    <row r="4257" spans="1:17" x14ac:dyDescent="0.35">
      <c r="A4257" t="s">
        <v>4309</v>
      </c>
      <c r="B4257" t="s">
        <v>23</v>
      </c>
      <c r="C4257">
        <v>55</v>
      </c>
      <c r="D4257" t="s">
        <v>17</v>
      </c>
      <c r="E4257" t="s">
        <v>27</v>
      </c>
      <c r="F4257" t="s">
        <v>36</v>
      </c>
      <c r="G4257">
        <v>11.4</v>
      </c>
      <c r="H4257">
        <v>6.1</v>
      </c>
      <c r="I4257" t="str" cm="1">
        <f t="array" ref="I4257">_xlfn.IFS(G4257&lt;3, "0–2 Years", G4257&lt;6, "3–5 Years", G4257&lt;9, "6–8 Years", G4257&lt;12, "9-11 Years", G4257&gt;=12, "12-14 Years")</f>
        <v>9-11 Years</v>
      </c>
      <c r="J4257">
        <v>3</v>
      </c>
      <c r="K4257" t="s">
        <v>24</v>
      </c>
      <c r="L4257">
        <v>47500</v>
      </c>
      <c r="M4257">
        <v>4800</v>
      </c>
      <c r="N4257">
        <v>52300</v>
      </c>
      <c r="O4257" t="s">
        <v>65</v>
      </c>
      <c r="P4257" s="3">
        <v>41849</v>
      </c>
      <c r="Q4257" t="s">
        <v>36</v>
      </c>
    </row>
    <row r="4258" spans="1:17" x14ac:dyDescent="0.35">
      <c r="A4258" t="s">
        <v>4310</v>
      </c>
      <c r="B4258" t="s">
        <v>23</v>
      </c>
      <c r="C4258">
        <v>35</v>
      </c>
      <c r="D4258" t="s">
        <v>17</v>
      </c>
      <c r="E4258" t="s">
        <v>18</v>
      </c>
      <c r="F4258" t="s">
        <v>36</v>
      </c>
      <c r="G4258">
        <v>4.2</v>
      </c>
      <c r="H4258">
        <v>1.1000000000000001</v>
      </c>
      <c r="I4258" t="str" cm="1">
        <f t="array" ref="I4258">_xlfn.IFS(G4258&lt;3, "0–2 Years", G4258&lt;6, "3–5 Years", G4258&lt;9, "6–8 Years", G4258&lt;12, "9-11 Years", G4258&gt;=12, "12-14 Years")</f>
        <v>3–5 Years</v>
      </c>
      <c r="J4258">
        <v>3</v>
      </c>
      <c r="K4258" t="s">
        <v>20</v>
      </c>
      <c r="L4258">
        <v>108600</v>
      </c>
      <c r="M4258">
        <v>5600</v>
      </c>
      <c r="N4258">
        <v>114200</v>
      </c>
      <c r="O4258" t="s">
        <v>57</v>
      </c>
      <c r="P4258" s="3">
        <v>44494</v>
      </c>
      <c r="Q4258" t="s">
        <v>36</v>
      </c>
    </row>
    <row r="4259" spans="1:17" x14ac:dyDescent="0.35">
      <c r="A4259" t="s">
        <v>4311</v>
      </c>
      <c r="B4259" t="s">
        <v>23</v>
      </c>
      <c r="C4259">
        <v>21</v>
      </c>
      <c r="D4259" t="s">
        <v>44</v>
      </c>
      <c r="E4259" t="s">
        <v>76</v>
      </c>
      <c r="F4259" t="s">
        <v>19</v>
      </c>
      <c r="G4259">
        <v>1.9</v>
      </c>
      <c r="H4259">
        <v>0.4</v>
      </c>
      <c r="I4259" t="str" cm="1">
        <f t="array" ref="I4259">_xlfn.IFS(G4259&lt;3, "0–2 Years", G4259&lt;6, "3–5 Years", G4259&lt;9, "6–8 Years", G4259&lt;12, "9-11 Years", G4259&gt;=12, "12-14 Years")</f>
        <v>0–2 Years</v>
      </c>
      <c r="J4259">
        <v>2</v>
      </c>
      <c r="K4259" t="s">
        <v>24</v>
      </c>
      <c r="L4259">
        <v>58000</v>
      </c>
      <c r="M4259">
        <v>3200</v>
      </c>
      <c r="N4259">
        <v>61200</v>
      </c>
      <c r="O4259" t="s">
        <v>25</v>
      </c>
      <c r="P4259" s="3">
        <v>45323</v>
      </c>
      <c r="Q4259" t="s">
        <v>19</v>
      </c>
    </row>
    <row r="4260" spans="1:17" x14ac:dyDescent="0.35">
      <c r="A4260" t="s">
        <v>4312</v>
      </c>
      <c r="B4260" t="s">
        <v>16</v>
      </c>
      <c r="C4260" s="7">
        <v>30</v>
      </c>
      <c r="D4260" t="s">
        <v>55</v>
      </c>
      <c r="E4260" t="s">
        <v>56</v>
      </c>
      <c r="F4260" t="s">
        <v>36</v>
      </c>
      <c r="G4260" s="9">
        <v>13.2</v>
      </c>
      <c r="H4260" s="7">
        <v>8.8000000000000007</v>
      </c>
      <c r="I4260" t="str" cm="1">
        <f t="array" ref="I4260">_xlfn.IFS(G4260&lt;3, "0–2 Years", G4260&lt;6, "3–5 Years", G4260&lt;9, "6–8 Years", G4260&lt;12, "9-11 Years", G4260&gt;=12, "12-14 Years")</f>
        <v>12-14 Years</v>
      </c>
      <c r="J4260" s="7">
        <v>3</v>
      </c>
      <c r="K4260" t="s">
        <v>20</v>
      </c>
      <c r="L4260" s="7">
        <v>95600</v>
      </c>
      <c r="M4260" s="7">
        <v>12800</v>
      </c>
      <c r="N4260" s="7">
        <v>108400</v>
      </c>
      <c r="O4260" t="s">
        <v>30</v>
      </c>
      <c r="P4260" s="3">
        <v>41186</v>
      </c>
      <c r="Q4260" t="s">
        <v>36</v>
      </c>
    </row>
    <row r="4261" spans="1:17" x14ac:dyDescent="0.35">
      <c r="A4261" t="s">
        <v>4313</v>
      </c>
      <c r="B4261" t="s">
        <v>23</v>
      </c>
      <c r="C4261">
        <v>33</v>
      </c>
      <c r="D4261" t="s">
        <v>17</v>
      </c>
      <c r="E4261" t="s">
        <v>32</v>
      </c>
      <c r="F4261" t="s">
        <v>28</v>
      </c>
      <c r="G4261">
        <v>6.1</v>
      </c>
      <c r="H4261">
        <v>5.5</v>
      </c>
      <c r="I4261" t="str" cm="1">
        <f t="array" ref="I4261">_xlfn.IFS(G4261&lt;3, "0–2 Years", G4261&lt;6, "3–5 Years", G4261&lt;9, "6–8 Years", G4261&lt;12, "9-11 Years", G4261&gt;=12, "12-14 Years")</f>
        <v>6–8 Years</v>
      </c>
      <c r="J4261">
        <v>5</v>
      </c>
      <c r="K4261" t="s">
        <v>20</v>
      </c>
      <c r="L4261">
        <v>75000</v>
      </c>
      <c r="M4261">
        <v>6400</v>
      </c>
      <c r="N4261">
        <v>81400</v>
      </c>
      <c r="O4261" t="s">
        <v>21</v>
      </c>
      <c r="P4261" s="3">
        <v>43792</v>
      </c>
      <c r="Q4261" t="s">
        <v>28</v>
      </c>
    </row>
    <row r="4262" spans="1:17" x14ac:dyDescent="0.35">
      <c r="A4262" t="s">
        <v>4314</v>
      </c>
      <c r="B4262" t="s">
        <v>23</v>
      </c>
      <c r="C4262">
        <v>37</v>
      </c>
      <c r="D4262" t="s">
        <v>34</v>
      </c>
      <c r="E4262" t="s">
        <v>47</v>
      </c>
      <c r="F4262" t="s">
        <v>19</v>
      </c>
      <c r="G4262">
        <v>7.6</v>
      </c>
      <c r="H4262">
        <v>6.3</v>
      </c>
      <c r="I4262" t="str" cm="1">
        <f t="array" ref="I4262">_xlfn.IFS(G4262&lt;3, "0–2 Years", G4262&lt;6, "3–5 Years", G4262&lt;9, "6–8 Years", G4262&lt;12, "9-11 Years", G4262&gt;=12, "12-14 Years")</f>
        <v>6–8 Years</v>
      </c>
      <c r="J4262">
        <v>4</v>
      </c>
      <c r="K4262" t="s">
        <v>20</v>
      </c>
      <c r="L4262">
        <v>79500</v>
      </c>
      <c r="M4262">
        <v>9100</v>
      </c>
      <c r="N4262">
        <v>88600</v>
      </c>
      <c r="O4262" t="s">
        <v>21</v>
      </c>
      <c r="P4262" s="3">
        <v>43244</v>
      </c>
      <c r="Q4262" t="s">
        <v>19</v>
      </c>
    </row>
    <row r="4263" spans="1:17" x14ac:dyDescent="0.35">
      <c r="A4263" t="s">
        <v>4315</v>
      </c>
      <c r="B4263" t="s">
        <v>16</v>
      </c>
      <c r="C4263">
        <v>40</v>
      </c>
      <c r="D4263" t="s">
        <v>44</v>
      </c>
      <c r="E4263" t="s">
        <v>81</v>
      </c>
      <c r="F4263" t="s">
        <v>28</v>
      </c>
      <c r="G4263">
        <v>9.9</v>
      </c>
      <c r="H4263">
        <v>4.3</v>
      </c>
      <c r="I4263" t="str" cm="1">
        <f t="array" ref="I4263">_xlfn.IFS(G4263&lt;3, "0–2 Years", G4263&lt;6, "3–5 Years", G4263&lt;9, "6–8 Years", G4263&lt;12, "9-11 Years", G4263&gt;=12, "12-14 Years")</f>
        <v>9-11 Years</v>
      </c>
      <c r="J4263">
        <v>2</v>
      </c>
      <c r="K4263" t="s">
        <v>24</v>
      </c>
      <c r="L4263">
        <v>61800</v>
      </c>
      <c r="M4263">
        <v>4800</v>
      </c>
      <c r="N4263">
        <v>66600</v>
      </c>
      <c r="O4263" t="s">
        <v>25</v>
      </c>
      <c r="P4263" s="3">
        <v>42391</v>
      </c>
      <c r="Q4263" t="s">
        <v>28</v>
      </c>
    </row>
    <row r="4264" spans="1:17" x14ac:dyDescent="0.35">
      <c r="A4264" t="s">
        <v>4316</v>
      </c>
      <c r="B4264" t="s">
        <v>23</v>
      </c>
      <c r="C4264">
        <v>45</v>
      </c>
      <c r="D4264" t="s">
        <v>38</v>
      </c>
      <c r="E4264" t="s">
        <v>61</v>
      </c>
      <c r="F4264" t="s">
        <v>28</v>
      </c>
      <c r="G4264">
        <v>1.9</v>
      </c>
      <c r="I4264" t="str" cm="1">
        <f t="array" ref="I4264">_xlfn.IFS(G4264&lt;3, "0–2 Years", G4264&lt;6, "3–5 Years", G4264&lt;9, "6–8 Years", G4264&lt;12, "9-11 Years", G4264&gt;=12, "12-14 Years")</f>
        <v>0–2 Years</v>
      </c>
      <c r="J4264">
        <v>3</v>
      </c>
      <c r="K4264" t="s">
        <v>20</v>
      </c>
      <c r="L4264">
        <v>90700</v>
      </c>
      <c r="M4264">
        <v>8300</v>
      </c>
      <c r="N4264">
        <v>99000</v>
      </c>
      <c r="O4264" t="s">
        <v>30</v>
      </c>
      <c r="P4264" s="3">
        <v>45316</v>
      </c>
      <c r="Q4264" t="s">
        <v>28</v>
      </c>
    </row>
    <row r="4265" spans="1:17" x14ac:dyDescent="0.35">
      <c r="A4265" t="s">
        <v>4317</v>
      </c>
      <c r="B4265" t="s">
        <v>23</v>
      </c>
      <c r="C4265">
        <v>34</v>
      </c>
      <c r="D4265" t="s">
        <v>55</v>
      </c>
      <c r="E4265" t="s">
        <v>79</v>
      </c>
      <c r="F4265" t="s">
        <v>28</v>
      </c>
      <c r="G4265">
        <v>1</v>
      </c>
      <c r="H4265">
        <v>1</v>
      </c>
      <c r="I4265" t="str" cm="1">
        <f t="array" ref="I4265">_xlfn.IFS(G4265&lt;3, "0–2 Years", G4265&lt;6, "3–5 Years", G4265&lt;9, "6–8 Years", G4265&lt;12, "9-11 Years", G4265&gt;=12, "12-14 Years")</f>
        <v>0–2 Years</v>
      </c>
      <c r="J4265">
        <v>2</v>
      </c>
      <c r="K4265" t="s">
        <v>20</v>
      </c>
      <c r="L4265">
        <v>60200</v>
      </c>
      <c r="M4265">
        <v>6300</v>
      </c>
      <c r="N4265">
        <v>66500</v>
      </c>
      <c r="O4265" t="s">
        <v>25</v>
      </c>
      <c r="P4265" s="3">
        <v>45650</v>
      </c>
      <c r="Q4265" t="s">
        <v>28</v>
      </c>
    </row>
    <row r="4266" spans="1:17" x14ac:dyDescent="0.35">
      <c r="A4266" t="s">
        <v>4318</v>
      </c>
      <c r="B4266" t="s">
        <v>23</v>
      </c>
      <c r="C4266">
        <v>29</v>
      </c>
      <c r="D4266" t="s">
        <v>34</v>
      </c>
      <c r="E4266" t="s">
        <v>35</v>
      </c>
      <c r="F4266" t="s">
        <v>28</v>
      </c>
      <c r="G4266">
        <v>10</v>
      </c>
      <c r="H4266">
        <v>4.8</v>
      </c>
      <c r="I4266" t="str" cm="1">
        <f t="array" ref="I4266">_xlfn.IFS(G4266&lt;3, "0–2 Years", G4266&lt;6, "3–5 Years", G4266&lt;9, "6–8 Years", G4266&lt;12, "9-11 Years", G4266&gt;=12, "12-14 Years")</f>
        <v>9-11 Years</v>
      </c>
      <c r="J4266">
        <v>3</v>
      </c>
      <c r="K4266" t="s">
        <v>20</v>
      </c>
      <c r="L4266">
        <v>79400</v>
      </c>
      <c r="M4266">
        <v>8200</v>
      </c>
      <c r="N4266">
        <v>87600</v>
      </c>
      <c r="O4266" t="s">
        <v>21</v>
      </c>
      <c r="P4266" s="3">
        <v>42387</v>
      </c>
      <c r="Q4266" t="s">
        <v>28</v>
      </c>
    </row>
    <row r="4267" spans="1:17" x14ac:dyDescent="0.35">
      <c r="A4267" t="s">
        <v>4319</v>
      </c>
      <c r="B4267" t="s">
        <v>23</v>
      </c>
      <c r="C4267">
        <v>38</v>
      </c>
      <c r="D4267" t="s">
        <v>38</v>
      </c>
      <c r="E4267" t="s">
        <v>39</v>
      </c>
      <c r="G4267">
        <v>5.2</v>
      </c>
      <c r="H4267">
        <v>3.7</v>
      </c>
      <c r="I4267" t="str" cm="1">
        <f t="array" ref="I4267">_xlfn.IFS(G4267&lt;3, "0–2 Years", G4267&lt;6, "3–5 Years", G4267&lt;9, "6–8 Years", G4267&lt;12, "9-11 Years", G4267&gt;=12, "12-14 Years")</f>
        <v>3–5 Years</v>
      </c>
      <c r="J4267">
        <v>3</v>
      </c>
      <c r="K4267" t="s">
        <v>24</v>
      </c>
      <c r="L4267">
        <v>45700</v>
      </c>
      <c r="M4267">
        <v>4400</v>
      </c>
      <c r="N4267">
        <v>50100</v>
      </c>
      <c r="O4267" t="s">
        <v>65</v>
      </c>
      <c r="P4267" s="3">
        <v>44111</v>
      </c>
      <c r="Q4267" t="s">
        <v>5104</v>
      </c>
    </row>
    <row r="4268" spans="1:17" x14ac:dyDescent="0.35">
      <c r="A4268" t="s">
        <v>4320</v>
      </c>
      <c r="B4268" t="s">
        <v>23</v>
      </c>
      <c r="C4268" s="7">
        <v>48</v>
      </c>
      <c r="D4268" t="s">
        <v>34</v>
      </c>
      <c r="E4268" t="s">
        <v>47</v>
      </c>
      <c r="F4268" t="s">
        <v>19</v>
      </c>
      <c r="G4268" s="9">
        <v>12.5</v>
      </c>
      <c r="H4268" s="7">
        <v>6.2</v>
      </c>
      <c r="I4268" t="str" cm="1">
        <f t="array" ref="I4268">_xlfn.IFS(G4268&lt;3, "0–2 Years", G4268&lt;6, "3–5 Years", G4268&lt;9, "6–8 Years", G4268&lt;12, "9-11 Years", G4268&gt;=12, "12-14 Years")</f>
        <v>12-14 Years</v>
      </c>
      <c r="J4268" s="7">
        <v>5</v>
      </c>
      <c r="K4268" t="s">
        <v>20</v>
      </c>
      <c r="L4268" s="7">
        <v>87300</v>
      </c>
      <c r="M4268" s="7">
        <v>4700</v>
      </c>
      <c r="N4268" s="7">
        <v>92000</v>
      </c>
      <c r="O4268" t="s">
        <v>30</v>
      </c>
      <c r="P4268" s="3">
        <v>41441</v>
      </c>
      <c r="Q4268" t="s">
        <v>19</v>
      </c>
    </row>
    <row r="4269" spans="1:17" x14ac:dyDescent="0.35">
      <c r="A4269" t="s">
        <v>4321</v>
      </c>
      <c r="B4269" t="s">
        <v>23</v>
      </c>
      <c r="C4269">
        <v>29</v>
      </c>
      <c r="D4269" t="s">
        <v>44</v>
      </c>
      <c r="E4269" t="s">
        <v>45</v>
      </c>
      <c r="F4269" t="s">
        <v>36</v>
      </c>
      <c r="G4269">
        <v>11.4</v>
      </c>
      <c r="H4269">
        <v>8.4</v>
      </c>
      <c r="I4269" t="str" cm="1">
        <f t="array" ref="I4269">_xlfn.IFS(G4269&lt;3, "0–2 Years", G4269&lt;6, "3–5 Years", G4269&lt;9, "6–8 Years", G4269&lt;12, "9-11 Years", G4269&gt;=12, "12-14 Years")</f>
        <v>9-11 Years</v>
      </c>
      <c r="J4269">
        <v>2</v>
      </c>
      <c r="K4269" t="s">
        <v>20</v>
      </c>
      <c r="L4269">
        <v>74100</v>
      </c>
      <c r="M4269">
        <v>9100</v>
      </c>
      <c r="N4269">
        <v>83200</v>
      </c>
      <c r="O4269" t="s">
        <v>21</v>
      </c>
      <c r="P4269" s="3">
        <v>41863</v>
      </c>
      <c r="Q4269" t="s">
        <v>36</v>
      </c>
    </row>
    <row r="4270" spans="1:17" x14ac:dyDescent="0.35">
      <c r="A4270" t="s">
        <v>4322</v>
      </c>
      <c r="B4270" t="s">
        <v>23</v>
      </c>
      <c r="C4270">
        <v>37</v>
      </c>
      <c r="D4270" t="s">
        <v>41</v>
      </c>
      <c r="E4270" t="s">
        <v>42</v>
      </c>
      <c r="F4270" t="s">
        <v>28</v>
      </c>
      <c r="G4270">
        <v>3.8</v>
      </c>
      <c r="H4270">
        <v>3.8</v>
      </c>
      <c r="I4270" t="str" cm="1">
        <f t="array" ref="I4270">_xlfn.IFS(G4270&lt;3, "0–2 Years", G4270&lt;6, "3–5 Years", G4270&lt;9, "6–8 Years", G4270&lt;12, "9-11 Years", G4270&gt;=12, "12-14 Years")</f>
        <v>3–5 Years</v>
      </c>
      <c r="J4270">
        <v>3</v>
      </c>
      <c r="K4270" t="s">
        <v>24</v>
      </c>
      <c r="L4270">
        <v>49900</v>
      </c>
      <c r="M4270">
        <v>1900</v>
      </c>
      <c r="N4270">
        <v>51800</v>
      </c>
      <c r="O4270" t="s">
        <v>65</v>
      </c>
      <c r="P4270" s="3">
        <v>44645</v>
      </c>
      <c r="Q4270" t="s">
        <v>28</v>
      </c>
    </row>
    <row r="4271" spans="1:17" x14ac:dyDescent="0.35">
      <c r="A4271" t="s">
        <v>4323</v>
      </c>
      <c r="B4271" t="s">
        <v>23</v>
      </c>
      <c r="C4271">
        <v>38</v>
      </c>
      <c r="D4271" t="s">
        <v>44</v>
      </c>
      <c r="E4271" t="s">
        <v>45</v>
      </c>
      <c r="F4271" t="s">
        <v>28</v>
      </c>
      <c r="G4271">
        <v>1.1000000000000001</v>
      </c>
      <c r="H4271">
        <v>0.5</v>
      </c>
      <c r="I4271" t="str" cm="1">
        <f t="array" ref="I4271">_xlfn.IFS(G4271&lt;3, "0–2 Years", G4271&lt;6, "3–5 Years", G4271&lt;9, "6–8 Years", G4271&lt;12, "9-11 Years", G4271&gt;=12, "12-14 Years")</f>
        <v>0–2 Years</v>
      </c>
      <c r="J4271">
        <v>4</v>
      </c>
      <c r="K4271" t="s">
        <v>20</v>
      </c>
      <c r="L4271">
        <v>72500</v>
      </c>
      <c r="M4271">
        <v>8900</v>
      </c>
      <c r="N4271">
        <v>81400</v>
      </c>
      <c r="O4271" t="s">
        <v>21</v>
      </c>
      <c r="P4271" s="3">
        <v>45624</v>
      </c>
      <c r="Q4271" t="s">
        <v>28</v>
      </c>
    </row>
    <row r="4272" spans="1:17" x14ac:dyDescent="0.35">
      <c r="A4272" t="s">
        <v>4324</v>
      </c>
      <c r="B4272" t="s">
        <v>23</v>
      </c>
      <c r="C4272">
        <v>30</v>
      </c>
      <c r="D4272" t="s">
        <v>41</v>
      </c>
      <c r="E4272" t="s">
        <v>73</v>
      </c>
      <c r="F4272" t="s">
        <v>36</v>
      </c>
      <c r="G4272">
        <v>3.3</v>
      </c>
      <c r="H4272">
        <v>2.4</v>
      </c>
      <c r="I4272" t="str" cm="1">
        <f t="array" ref="I4272">_xlfn.IFS(G4272&lt;3, "0–2 Years", G4272&lt;6, "3–5 Years", G4272&lt;9, "6–8 Years", G4272&lt;12, "9-11 Years", G4272&gt;=12, "12-14 Years")</f>
        <v>3–5 Years</v>
      </c>
      <c r="J4272">
        <v>3</v>
      </c>
      <c r="K4272" t="s">
        <v>20</v>
      </c>
      <c r="L4272">
        <v>90400</v>
      </c>
      <c r="M4272">
        <v>6800</v>
      </c>
      <c r="N4272">
        <v>97200</v>
      </c>
      <c r="O4272" t="s">
        <v>30</v>
      </c>
      <c r="P4272" s="3">
        <v>44832</v>
      </c>
      <c r="Q4272" t="s">
        <v>36</v>
      </c>
    </row>
    <row r="4273" spans="1:17" x14ac:dyDescent="0.35">
      <c r="A4273" t="s">
        <v>4325</v>
      </c>
      <c r="B4273" t="s">
        <v>16</v>
      </c>
      <c r="C4273">
        <v>21</v>
      </c>
      <c r="D4273" t="s">
        <v>34</v>
      </c>
      <c r="E4273" t="s">
        <v>35</v>
      </c>
      <c r="F4273" t="s">
        <v>28</v>
      </c>
      <c r="G4273">
        <v>4.7</v>
      </c>
      <c r="H4273">
        <v>2.8</v>
      </c>
      <c r="I4273" t="str" cm="1">
        <f t="array" ref="I4273">_xlfn.IFS(G4273&lt;3, "0–2 Years", G4273&lt;6, "3–5 Years", G4273&lt;9, "6–8 Years", G4273&lt;12, "9-11 Years", G4273&gt;=12, "12-14 Years")</f>
        <v>3–5 Years</v>
      </c>
      <c r="J4273">
        <v>3</v>
      </c>
      <c r="K4273" t="s">
        <v>20</v>
      </c>
      <c r="L4273">
        <v>82400</v>
      </c>
      <c r="M4273">
        <v>9500</v>
      </c>
      <c r="N4273">
        <v>91900</v>
      </c>
      <c r="O4273" t="s">
        <v>30</v>
      </c>
      <c r="P4273" s="3">
        <v>44320</v>
      </c>
      <c r="Q4273" t="s">
        <v>28</v>
      </c>
    </row>
    <row r="4274" spans="1:17" x14ac:dyDescent="0.35">
      <c r="A4274" t="s">
        <v>4326</v>
      </c>
      <c r="B4274" t="s">
        <v>23</v>
      </c>
      <c r="C4274">
        <v>43</v>
      </c>
      <c r="D4274" t="s">
        <v>41</v>
      </c>
      <c r="E4274" t="s">
        <v>73</v>
      </c>
      <c r="F4274" t="s">
        <v>19</v>
      </c>
      <c r="G4274">
        <v>8.6</v>
      </c>
      <c r="I4274" t="str" cm="1">
        <f t="array" ref="I4274">_xlfn.IFS(G4274&lt;3, "0–2 Years", G4274&lt;6, "3–5 Years", G4274&lt;9, "6–8 Years", G4274&lt;12, "9-11 Years", G4274&gt;=12, "12-14 Years")</f>
        <v>6–8 Years</v>
      </c>
      <c r="J4274">
        <v>3</v>
      </c>
      <c r="K4274" t="s">
        <v>20</v>
      </c>
      <c r="L4274">
        <v>99000</v>
      </c>
      <c r="M4274">
        <v>7300</v>
      </c>
      <c r="N4274">
        <v>106300</v>
      </c>
      <c r="O4274" t="s">
        <v>30</v>
      </c>
      <c r="P4274" s="3">
        <v>42887</v>
      </c>
      <c r="Q4274" t="s">
        <v>19</v>
      </c>
    </row>
    <row r="4275" spans="1:17" x14ac:dyDescent="0.35">
      <c r="A4275" t="s">
        <v>4327</v>
      </c>
      <c r="B4275" t="s">
        <v>16</v>
      </c>
      <c r="C4275">
        <v>35</v>
      </c>
      <c r="D4275" t="s">
        <v>55</v>
      </c>
      <c r="E4275" t="s">
        <v>56</v>
      </c>
      <c r="F4275" t="s">
        <v>28</v>
      </c>
      <c r="G4275">
        <v>2.1</v>
      </c>
      <c r="H4275">
        <v>1.8</v>
      </c>
      <c r="I4275" t="str" cm="1">
        <f t="array" ref="I4275">_xlfn.IFS(G4275&lt;3, "0–2 Years", G4275&lt;6, "3–5 Years", G4275&lt;9, "6–8 Years", G4275&lt;12, "9-11 Years", G4275&gt;=12, "12-14 Years")</f>
        <v>0–2 Years</v>
      </c>
      <c r="J4275">
        <v>2</v>
      </c>
      <c r="K4275" t="s">
        <v>20</v>
      </c>
      <c r="L4275">
        <v>99600</v>
      </c>
      <c r="M4275">
        <v>9100</v>
      </c>
      <c r="N4275">
        <v>108700</v>
      </c>
      <c r="O4275" t="s">
        <v>30</v>
      </c>
      <c r="P4275" s="3">
        <v>45269</v>
      </c>
      <c r="Q4275" t="s">
        <v>28</v>
      </c>
    </row>
    <row r="4276" spans="1:17" x14ac:dyDescent="0.35">
      <c r="A4276" t="s">
        <v>4328</v>
      </c>
      <c r="B4276" t="s">
        <v>23</v>
      </c>
      <c r="C4276">
        <v>27</v>
      </c>
      <c r="D4276" t="s">
        <v>34</v>
      </c>
      <c r="E4276" t="s">
        <v>47</v>
      </c>
      <c r="F4276" t="s">
        <v>36</v>
      </c>
      <c r="G4276">
        <v>6.8</v>
      </c>
      <c r="H4276">
        <v>5.2</v>
      </c>
      <c r="I4276" t="str" cm="1">
        <f t="array" ref="I4276">_xlfn.IFS(G4276&lt;3, "0–2 Years", G4276&lt;6, "3–5 Years", G4276&lt;9, "6–8 Years", G4276&lt;12, "9-11 Years", G4276&gt;=12, "12-14 Years")</f>
        <v>6–8 Years</v>
      </c>
      <c r="J4276">
        <v>4</v>
      </c>
      <c r="K4276" t="s">
        <v>20</v>
      </c>
      <c r="L4276">
        <v>78400</v>
      </c>
      <c r="M4276">
        <v>5300</v>
      </c>
      <c r="N4276">
        <v>83700</v>
      </c>
      <c r="O4276" t="s">
        <v>21</v>
      </c>
      <c r="P4276" s="3">
        <v>43526</v>
      </c>
      <c r="Q4276" t="s">
        <v>36</v>
      </c>
    </row>
    <row r="4277" spans="1:17" x14ac:dyDescent="0.35">
      <c r="A4277" t="s">
        <v>4329</v>
      </c>
      <c r="B4277" t="s">
        <v>23</v>
      </c>
      <c r="C4277">
        <v>21</v>
      </c>
      <c r="D4277" t="s">
        <v>38</v>
      </c>
      <c r="E4277" t="s">
        <v>112</v>
      </c>
      <c r="F4277" t="s">
        <v>28</v>
      </c>
      <c r="G4277">
        <v>7.2</v>
      </c>
      <c r="H4277">
        <v>3.6</v>
      </c>
      <c r="I4277" t="str" cm="1">
        <f t="array" ref="I4277">_xlfn.IFS(G4277&lt;3, "0–2 Years", G4277&lt;6, "3–5 Years", G4277&lt;9, "6–8 Years", G4277&lt;12, "9-11 Years", G4277&gt;=12, "12-14 Years")</f>
        <v>6–8 Years</v>
      </c>
      <c r="J4277">
        <v>4</v>
      </c>
      <c r="K4277" t="s">
        <v>20</v>
      </c>
      <c r="L4277">
        <v>75500</v>
      </c>
      <c r="M4277">
        <v>3100</v>
      </c>
      <c r="N4277">
        <v>78600</v>
      </c>
      <c r="O4277" t="s">
        <v>21</v>
      </c>
      <c r="P4277" s="3">
        <v>43390</v>
      </c>
      <c r="Q4277" t="s">
        <v>28</v>
      </c>
    </row>
    <row r="4278" spans="1:17" x14ac:dyDescent="0.35">
      <c r="A4278" t="s">
        <v>4330</v>
      </c>
      <c r="B4278" t="s">
        <v>16</v>
      </c>
      <c r="C4278" s="7">
        <v>37</v>
      </c>
      <c r="D4278" t="s">
        <v>55</v>
      </c>
      <c r="E4278" t="s">
        <v>92</v>
      </c>
      <c r="F4278" t="s">
        <v>36</v>
      </c>
      <c r="G4278" s="9">
        <v>12.1</v>
      </c>
      <c r="H4278" s="7">
        <v>8</v>
      </c>
      <c r="I4278" t="str" cm="1">
        <f t="array" ref="I4278">_xlfn.IFS(G4278&lt;3, "0–2 Years", G4278&lt;6, "3–5 Years", G4278&lt;9, "6–8 Years", G4278&lt;12, "9-11 Years", G4278&gt;=12, "12-14 Years")</f>
        <v>12-14 Years</v>
      </c>
      <c r="J4278" s="7">
        <v>4</v>
      </c>
      <c r="K4278" t="s">
        <v>20</v>
      </c>
      <c r="L4278" s="7">
        <v>99300</v>
      </c>
      <c r="M4278" s="7">
        <v>8100</v>
      </c>
      <c r="N4278" s="7">
        <v>107400</v>
      </c>
      <c r="O4278" t="s">
        <v>30</v>
      </c>
      <c r="P4278" s="3">
        <v>41617</v>
      </c>
      <c r="Q4278" t="s">
        <v>36</v>
      </c>
    </row>
    <row r="4279" spans="1:17" x14ac:dyDescent="0.35">
      <c r="A4279" t="s">
        <v>4331</v>
      </c>
      <c r="B4279" t="s">
        <v>16</v>
      </c>
      <c r="C4279">
        <v>34</v>
      </c>
      <c r="D4279" t="s">
        <v>44</v>
      </c>
      <c r="E4279" t="s">
        <v>76</v>
      </c>
      <c r="F4279" t="s">
        <v>36</v>
      </c>
      <c r="G4279">
        <v>11.8</v>
      </c>
      <c r="H4279">
        <v>6.2</v>
      </c>
      <c r="I4279" t="str" cm="1">
        <f t="array" ref="I4279">_xlfn.IFS(G4279&lt;3, "0–2 Years", G4279&lt;6, "3–5 Years", G4279&lt;9, "6–8 Years", G4279&lt;12, "9-11 Years", G4279&gt;=12, "12-14 Years")</f>
        <v>9-11 Years</v>
      </c>
      <c r="J4279">
        <v>4</v>
      </c>
      <c r="K4279" t="s">
        <v>20</v>
      </c>
      <c r="L4279">
        <v>103400</v>
      </c>
      <c r="M4279">
        <v>11100</v>
      </c>
      <c r="N4279">
        <v>114500</v>
      </c>
      <c r="O4279" t="s">
        <v>57</v>
      </c>
      <c r="P4279" s="3">
        <v>41711</v>
      </c>
      <c r="Q4279" t="s">
        <v>36</v>
      </c>
    </row>
    <row r="4280" spans="1:17" x14ac:dyDescent="0.35">
      <c r="A4280" t="s">
        <v>4332</v>
      </c>
      <c r="B4280" t="s">
        <v>16</v>
      </c>
      <c r="C4280">
        <v>35</v>
      </c>
      <c r="D4280" t="s">
        <v>44</v>
      </c>
      <c r="E4280" t="s">
        <v>51</v>
      </c>
      <c r="F4280" t="s">
        <v>19</v>
      </c>
      <c r="G4280">
        <v>5.6</v>
      </c>
      <c r="H4280">
        <v>4.5999999999999996</v>
      </c>
      <c r="I4280" t="str" cm="1">
        <f t="array" ref="I4280">_xlfn.IFS(G4280&lt;3, "0–2 Years", G4280&lt;6, "3–5 Years", G4280&lt;9, "6–8 Years", G4280&lt;12, "9-11 Years", G4280&gt;=12, "12-14 Years")</f>
        <v>3–5 Years</v>
      </c>
      <c r="J4280">
        <v>2</v>
      </c>
      <c r="K4280" t="s">
        <v>20</v>
      </c>
      <c r="L4280">
        <v>64400</v>
      </c>
      <c r="M4280">
        <v>3400</v>
      </c>
      <c r="N4280">
        <v>67800</v>
      </c>
      <c r="O4280" t="s">
        <v>25</v>
      </c>
      <c r="P4280" s="3">
        <v>43984</v>
      </c>
      <c r="Q4280" t="s">
        <v>19</v>
      </c>
    </row>
    <row r="4281" spans="1:17" x14ac:dyDescent="0.35">
      <c r="A4281" t="s">
        <v>4333</v>
      </c>
      <c r="B4281" t="s">
        <v>23</v>
      </c>
      <c r="C4281">
        <v>40</v>
      </c>
      <c r="D4281" t="s">
        <v>34</v>
      </c>
      <c r="E4281" t="s">
        <v>35</v>
      </c>
      <c r="F4281" t="s">
        <v>28</v>
      </c>
      <c r="G4281">
        <v>10.7</v>
      </c>
      <c r="H4281">
        <v>6.5</v>
      </c>
      <c r="I4281" t="str" cm="1">
        <f t="array" ref="I4281">_xlfn.IFS(G4281&lt;3, "0–2 Years", G4281&lt;6, "3–5 Years", G4281&lt;9, "6–8 Years", G4281&lt;12, "9-11 Years", G4281&gt;=12, "12-14 Years")</f>
        <v>9-11 Years</v>
      </c>
      <c r="J4281">
        <v>4</v>
      </c>
      <c r="K4281" t="s">
        <v>20</v>
      </c>
      <c r="L4281">
        <v>83800</v>
      </c>
      <c r="M4281">
        <v>9800</v>
      </c>
      <c r="N4281">
        <v>93600</v>
      </c>
      <c r="O4281" t="s">
        <v>30</v>
      </c>
      <c r="P4281" s="3">
        <v>42110</v>
      </c>
      <c r="Q4281" t="s">
        <v>28</v>
      </c>
    </row>
    <row r="4282" spans="1:17" x14ac:dyDescent="0.35">
      <c r="A4282" t="s">
        <v>4334</v>
      </c>
      <c r="B4282" t="s">
        <v>16</v>
      </c>
      <c r="C4282">
        <v>33</v>
      </c>
      <c r="D4282" t="s">
        <v>55</v>
      </c>
      <c r="E4282" t="s">
        <v>56</v>
      </c>
      <c r="F4282" t="s">
        <v>28</v>
      </c>
      <c r="G4282">
        <v>2.5</v>
      </c>
      <c r="H4282">
        <v>0.6</v>
      </c>
      <c r="I4282" t="str" cm="1">
        <f t="array" ref="I4282">_xlfn.IFS(G4282&lt;3, "0–2 Years", G4282&lt;6, "3–5 Years", G4282&lt;9, "6–8 Years", G4282&lt;12, "9-11 Years", G4282&gt;=12, "12-14 Years")</f>
        <v>0–2 Years</v>
      </c>
      <c r="J4282">
        <v>3</v>
      </c>
      <c r="K4282" t="s">
        <v>20</v>
      </c>
      <c r="L4282">
        <v>106200</v>
      </c>
      <c r="M4282">
        <v>9300</v>
      </c>
      <c r="N4282">
        <v>115500</v>
      </c>
      <c r="O4282" t="s">
        <v>57</v>
      </c>
      <c r="P4282" s="3">
        <v>45122</v>
      </c>
      <c r="Q4282" t="s">
        <v>28</v>
      </c>
    </row>
    <row r="4283" spans="1:17" x14ac:dyDescent="0.35">
      <c r="A4283" t="s">
        <v>4335</v>
      </c>
      <c r="B4283" t="s">
        <v>16</v>
      </c>
      <c r="C4283" s="7">
        <v>35</v>
      </c>
      <c r="D4283" t="s">
        <v>55</v>
      </c>
      <c r="E4283" t="s">
        <v>79</v>
      </c>
      <c r="G4283" s="9">
        <v>12.7</v>
      </c>
      <c r="H4283" s="7">
        <v>8.4</v>
      </c>
      <c r="I4283" t="str" cm="1">
        <f t="array" ref="I4283">_xlfn.IFS(G4283&lt;3, "0–2 Years", G4283&lt;6, "3–5 Years", G4283&lt;9, "6–8 Years", G4283&lt;12, "9-11 Years", G4283&gt;=12, "12-14 Years")</f>
        <v>12-14 Years</v>
      </c>
      <c r="J4283" s="7">
        <v>4</v>
      </c>
      <c r="K4283" t="s">
        <v>24</v>
      </c>
      <c r="L4283" s="7">
        <v>43400</v>
      </c>
      <c r="M4283" s="7">
        <v>5900</v>
      </c>
      <c r="N4283" s="7">
        <v>49300</v>
      </c>
      <c r="O4283" t="s">
        <v>65</v>
      </c>
      <c r="P4283" s="3">
        <v>41379</v>
      </c>
      <c r="Q4283" t="s">
        <v>5104</v>
      </c>
    </row>
    <row r="4284" spans="1:17" x14ac:dyDescent="0.35">
      <c r="A4284" t="s">
        <v>4336</v>
      </c>
      <c r="B4284" t="s">
        <v>16</v>
      </c>
      <c r="C4284">
        <v>36</v>
      </c>
      <c r="D4284" t="s">
        <v>38</v>
      </c>
      <c r="E4284" t="s">
        <v>39</v>
      </c>
      <c r="F4284" t="s">
        <v>28</v>
      </c>
      <c r="G4284">
        <v>4.4000000000000004</v>
      </c>
      <c r="H4284">
        <v>4.4000000000000004</v>
      </c>
      <c r="I4284" t="str" cm="1">
        <f t="array" ref="I4284">_xlfn.IFS(G4284&lt;3, "0–2 Years", G4284&lt;6, "3–5 Years", G4284&lt;9, "6–8 Years", G4284&lt;12, "9-11 Years", G4284&gt;=12, "12-14 Years")</f>
        <v>3–5 Years</v>
      </c>
      <c r="J4284">
        <v>2</v>
      </c>
      <c r="K4284" t="s">
        <v>20</v>
      </c>
      <c r="L4284">
        <v>81400</v>
      </c>
      <c r="M4284">
        <v>7600</v>
      </c>
      <c r="N4284">
        <v>89000</v>
      </c>
      <c r="O4284" t="s">
        <v>30</v>
      </c>
      <c r="P4284" s="3">
        <v>44416</v>
      </c>
      <c r="Q4284" t="s">
        <v>28</v>
      </c>
    </row>
    <row r="4285" spans="1:17" x14ac:dyDescent="0.35">
      <c r="A4285" t="s">
        <v>4337</v>
      </c>
      <c r="B4285" t="s">
        <v>16</v>
      </c>
      <c r="C4285">
        <v>47</v>
      </c>
      <c r="D4285" t="s">
        <v>34</v>
      </c>
      <c r="E4285" t="s">
        <v>47</v>
      </c>
      <c r="F4285" t="s">
        <v>36</v>
      </c>
      <c r="G4285">
        <v>3.2</v>
      </c>
      <c r="H4285">
        <v>3</v>
      </c>
      <c r="I4285" t="str" cm="1">
        <f t="array" ref="I4285">_xlfn.IFS(G4285&lt;3, "0–2 Years", G4285&lt;6, "3–5 Years", G4285&lt;9, "6–8 Years", G4285&lt;12, "9-11 Years", G4285&gt;=12, "12-14 Years")</f>
        <v>3–5 Years</v>
      </c>
      <c r="J4285">
        <v>3</v>
      </c>
      <c r="K4285" t="s">
        <v>20</v>
      </c>
      <c r="L4285">
        <v>85400</v>
      </c>
      <c r="M4285">
        <v>7300</v>
      </c>
      <c r="N4285">
        <v>92700</v>
      </c>
      <c r="O4285" t="s">
        <v>30</v>
      </c>
      <c r="P4285" s="3">
        <v>44854</v>
      </c>
      <c r="Q4285" t="s">
        <v>36</v>
      </c>
    </row>
    <row r="4286" spans="1:17" x14ac:dyDescent="0.35">
      <c r="A4286" t="s">
        <v>4338</v>
      </c>
      <c r="B4286" t="s">
        <v>23</v>
      </c>
      <c r="C4286">
        <v>23</v>
      </c>
      <c r="D4286" t="s">
        <v>55</v>
      </c>
      <c r="E4286" t="s">
        <v>92</v>
      </c>
      <c r="F4286" t="s">
        <v>28</v>
      </c>
      <c r="G4286">
        <v>11.8</v>
      </c>
      <c r="H4286">
        <v>8.1</v>
      </c>
      <c r="I4286" t="str" cm="1">
        <f t="array" ref="I4286">_xlfn.IFS(G4286&lt;3, "0–2 Years", G4286&lt;6, "3–5 Years", G4286&lt;9, "6–8 Years", G4286&lt;12, "9-11 Years", G4286&gt;=12, "12-14 Years")</f>
        <v>9-11 Years</v>
      </c>
      <c r="J4286">
        <v>2</v>
      </c>
      <c r="K4286" t="s">
        <v>20</v>
      </c>
      <c r="L4286">
        <v>115600</v>
      </c>
      <c r="M4286">
        <v>15000</v>
      </c>
      <c r="N4286">
        <v>130600</v>
      </c>
      <c r="O4286" t="s">
        <v>57</v>
      </c>
      <c r="P4286" s="3">
        <v>41727</v>
      </c>
      <c r="Q4286" t="s">
        <v>28</v>
      </c>
    </row>
    <row r="4287" spans="1:17" x14ac:dyDescent="0.35">
      <c r="A4287" t="s">
        <v>4339</v>
      </c>
      <c r="B4287" t="s">
        <v>16</v>
      </c>
      <c r="C4287" s="7">
        <v>52</v>
      </c>
      <c r="D4287" t="s">
        <v>41</v>
      </c>
      <c r="E4287" t="s">
        <v>73</v>
      </c>
      <c r="F4287" t="s">
        <v>36</v>
      </c>
      <c r="G4287" s="9">
        <v>13.1</v>
      </c>
      <c r="H4287" s="7">
        <v>9.8000000000000007</v>
      </c>
      <c r="I4287" t="str" cm="1">
        <f t="array" ref="I4287">_xlfn.IFS(G4287&lt;3, "0–2 Years", G4287&lt;6, "3–5 Years", G4287&lt;9, "6–8 Years", G4287&lt;12, "9-11 Years", G4287&gt;=12, "12-14 Years")</f>
        <v>12-14 Years</v>
      </c>
      <c r="J4287" s="7">
        <v>4</v>
      </c>
      <c r="K4287" t="s">
        <v>20</v>
      </c>
      <c r="L4287" s="7">
        <v>102600</v>
      </c>
      <c r="M4287" s="7">
        <v>5500</v>
      </c>
      <c r="N4287" s="7">
        <v>108100</v>
      </c>
      <c r="O4287" t="s">
        <v>57</v>
      </c>
      <c r="P4287" s="3">
        <v>41245</v>
      </c>
      <c r="Q4287" t="s">
        <v>36</v>
      </c>
    </row>
    <row r="4288" spans="1:17" x14ac:dyDescent="0.35">
      <c r="A4288" t="s">
        <v>4340</v>
      </c>
      <c r="B4288" t="s">
        <v>16</v>
      </c>
      <c r="C4288">
        <v>37</v>
      </c>
      <c r="D4288" t="s">
        <v>34</v>
      </c>
      <c r="E4288" t="s">
        <v>35</v>
      </c>
      <c r="F4288" t="s">
        <v>28</v>
      </c>
      <c r="G4288">
        <v>3.1</v>
      </c>
      <c r="H4288">
        <v>0.5</v>
      </c>
      <c r="I4288" t="str" cm="1">
        <f t="array" ref="I4288">_xlfn.IFS(G4288&lt;3, "0–2 Years", G4288&lt;6, "3–5 Years", G4288&lt;9, "6–8 Years", G4288&lt;12, "9-11 Years", G4288&gt;=12, "12-14 Years")</f>
        <v>3–5 Years</v>
      </c>
      <c r="J4288">
        <v>4</v>
      </c>
      <c r="K4288" t="s">
        <v>20</v>
      </c>
      <c r="L4288">
        <v>83100</v>
      </c>
      <c r="M4288">
        <v>9100</v>
      </c>
      <c r="N4288">
        <v>92200</v>
      </c>
      <c r="O4288" t="s">
        <v>30</v>
      </c>
      <c r="P4288" s="3">
        <v>44898</v>
      </c>
      <c r="Q4288" t="s">
        <v>28</v>
      </c>
    </row>
    <row r="4289" spans="1:17" x14ac:dyDescent="0.35">
      <c r="A4289" t="s">
        <v>4341</v>
      </c>
      <c r="B4289" t="s">
        <v>23</v>
      </c>
      <c r="C4289">
        <v>43</v>
      </c>
      <c r="D4289" t="s">
        <v>34</v>
      </c>
      <c r="E4289" t="s">
        <v>47</v>
      </c>
      <c r="F4289" t="s">
        <v>36</v>
      </c>
      <c r="G4289">
        <v>9.6</v>
      </c>
      <c r="H4289">
        <v>6.3</v>
      </c>
      <c r="I4289" t="str" cm="1">
        <f t="array" ref="I4289">_xlfn.IFS(G4289&lt;3, "0–2 Years", G4289&lt;6, "3–5 Years", G4289&lt;9, "6–8 Years", G4289&lt;12, "9-11 Years", G4289&gt;=12, "12-14 Years")</f>
        <v>9-11 Years</v>
      </c>
      <c r="J4289">
        <v>3</v>
      </c>
      <c r="K4289" t="s">
        <v>20</v>
      </c>
      <c r="L4289">
        <v>87900</v>
      </c>
      <c r="M4289">
        <v>8900</v>
      </c>
      <c r="N4289">
        <v>96800</v>
      </c>
      <c r="O4289" t="s">
        <v>30</v>
      </c>
      <c r="P4289" s="3">
        <v>42511</v>
      </c>
      <c r="Q4289" t="s">
        <v>36</v>
      </c>
    </row>
    <row r="4290" spans="1:17" x14ac:dyDescent="0.35">
      <c r="A4290" t="s">
        <v>4342</v>
      </c>
      <c r="B4290" t="s">
        <v>16</v>
      </c>
      <c r="C4290">
        <v>45</v>
      </c>
      <c r="D4290" t="s">
        <v>41</v>
      </c>
      <c r="E4290" t="s">
        <v>67</v>
      </c>
      <c r="F4290" t="s">
        <v>28</v>
      </c>
      <c r="G4290">
        <v>7.9</v>
      </c>
      <c r="H4290">
        <v>5.4</v>
      </c>
      <c r="I4290" t="str" cm="1">
        <f t="array" ref="I4290">_xlfn.IFS(G4290&lt;3, "0–2 Years", G4290&lt;6, "3–5 Years", G4290&lt;9, "6–8 Years", G4290&lt;12, "9-11 Years", G4290&gt;=12, "12-14 Years")</f>
        <v>6–8 Years</v>
      </c>
      <c r="J4290">
        <v>3</v>
      </c>
      <c r="K4290" t="s">
        <v>69</v>
      </c>
      <c r="L4290">
        <v>60900</v>
      </c>
      <c r="M4290">
        <v>4300</v>
      </c>
      <c r="N4290">
        <v>65200</v>
      </c>
      <c r="O4290" t="s">
        <v>25</v>
      </c>
      <c r="P4290" s="3">
        <v>43143</v>
      </c>
      <c r="Q4290" t="s">
        <v>28</v>
      </c>
    </row>
    <row r="4291" spans="1:17" x14ac:dyDescent="0.35">
      <c r="A4291" t="s">
        <v>4343</v>
      </c>
      <c r="B4291" t="s">
        <v>23</v>
      </c>
      <c r="C4291">
        <v>21</v>
      </c>
      <c r="D4291" t="s">
        <v>44</v>
      </c>
      <c r="E4291" t="s">
        <v>81</v>
      </c>
      <c r="F4291" t="s">
        <v>28</v>
      </c>
      <c r="G4291">
        <v>8.9</v>
      </c>
      <c r="H4291">
        <v>6.5</v>
      </c>
      <c r="I4291" t="str" cm="1">
        <f t="array" ref="I4291">_xlfn.IFS(G4291&lt;3, "0–2 Years", G4291&lt;6, "3–5 Years", G4291&lt;9, "6–8 Years", G4291&lt;12, "9-11 Years", G4291&gt;=12, "12-14 Years")</f>
        <v>6–8 Years</v>
      </c>
      <c r="J4291">
        <v>3</v>
      </c>
      <c r="K4291" t="s">
        <v>20</v>
      </c>
      <c r="L4291">
        <v>114500</v>
      </c>
      <c r="M4291">
        <v>10000</v>
      </c>
      <c r="N4291">
        <v>124500</v>
      </c>
      <c r="O4291" t="s">
        <v>57</v>
      </c>
      <c r="P4291" s="3">
        <v>42761</v>
      </c>
      <c r="Q4291" t="s">
        <v>28</v>
      </c>
    </row>
    <row r="4292" spans="1:17" x14ac:dyDescent="0.35">
      <c r="A4292" t="s">
        <v>4344</v>
      </c>
      <c r="B4292" t="s">
        <v>16</v>
      </c>
      <c r="C4292">
        <v>32</v>
      </c>
      <c r="D4292" t="s">
        <v>17</v>
      </c>
      <c r="E4292" t="s">
        <v>27</v>
      </c>
      <c r="F4292" t="s">
        <v>28</v>
      </c>
      <c r="G4292">
        <v>11.4</v>
      </c>
      <c r="H4292">
        <v>8.1999999999999993</v>
      </c>
      <c r="I4292" t="str" cm="1">
        <f t="array" ref="I4292">_xlfn.IFS(G4292&lt;3, "0–2 Years", G4292&lt;6, "3–5 Years", G4292&lt;9, "6–8 Years", G4292&lt;12, "9-11 Years", G4292&gt;=12, "12-14 Years")</f>
        <v>9-11 Years</v>
      </c>
      <c r="J4292">
        <v>3</v>
      </c>
      <c r="K4292" t="s">
        <v>20</v>
      </c>
      <c r="L4292">
        <v>81600</v>
      </c>
      <c r="M4292">
        <v>5700</v>
      </c>
      <c r="N4292">
        <v>87300</v>
      </c>
      <c r="O4292" t="s">
        <v>30</v>
      </c>
      <c r="P4292" s="3">
        <v>41850</v>
      </c>
      <c r="Q4292" t="s">
        <v>28</v>
      </c>
    </row>
    <row r="4293" spans="1:17" x14ac:dyDescent="0.35">
      <c r="A4293" t="s">
        <v>4345</v>
      </c>
      <c r="B4293" t="s">
        <v>23</v>
      </c>
      <c r="C4293">
        <v>33</v>
      </c>
      <c r="D4293" t="s">
        <v>38</v>
      </c>
      <c r="E4293" t="s">
        <v>112</v>
      </c>
      <c r="F4293" t="s">
        <v>28</v>
      </c>
      <c r="G4293">
        <v>6.6</v>
      </c>
      <c r="H4293">
        <v>4.0999999999999996</v>
      </c>
      <c r="I4293" t="str" cm="1">
        <f t="array" ref="I4293">_xlfn.IFS(G4293&lt;3, "0–2 Years", G4293&lt;6, "3–5 Years", G4293&lt;9, "6–8 Years", G4293&lt;12, "9-11 Years", G4293&gt;=12, "12-14 Years")</f>
        <v>6–8 Years</v>
      </c>
      <c r="J4293">
        <v>4</v>
      </c>
      <c r="K4293" t="s">
        <v>20</v>
      </c>
      <c r="L4293">
        <v>66800</v>
      </c>
      <c r="M4293">
        <v>3200</v>
      </c>
      <c r="N4293">
        <v>70000</v>
      </c>
      <c r="O4293" t="s">
        <v>21</v>
      </c>
      <c r="P4293" s="3">
        <v>43597</v>
      </c>
      <c r="Q4293" t="s">
        <v>28</v>
      </c>
    </row>
    <row r="4294" spans="1:17" x14ac:dyDescent="0.35">
      <c r="A4294" t="s">
        <v>4346</v>
      </c>
      <c r="B4294" t="s">
        <v>23</v>
      </c>
      <c r="C4294">
        <v>31</v>
      </c>
      <c r="D4294" t="s">
        <v>17</v>
      </c>
      <c r="E4294" t="s">
        <v>32</v>
      </c>
      <c r="F4294" t="s">
        <v>19</v>
      </c>
      <c r="G4294">
        <v>1.8</v>
      </c>
      <c r="H4294">
        <v>1.8</v>
      </c>
      <c r="I4294" t="str" cm="1">
        <f t="array" ref="I4294">_xlfn.IFS(G4294&lt;3, "0–2 Years", G4294&lt;6, "3–5 Years", G4294&lt;9, "6–8 Years", G4294&lt;12, "9-11 Years", G4294&gt;=12, "12-14 Years")</f>
        <v>0–2 Years</v>
      </c>
      <c r="J4294">
        <v>3</v>
      </c>
      <c r="K4294" t="s">
        <v>20</v>
      </c>
      <c r="L4294">
        <v>55800</v>
      </c>
      <c r="M4294">
        <v>5700</v>
      </c>
      <c r="N4294">
        <v>61500</v>
      </c>
      <c r="O4294" t="s">
        <v>25</v>
      </c>
      <c r="P4294" s="3">
        <v>45351</v>
      </c>
      <c r="Q4294" t="s">
        <v>19</v>
      </c>
    </row>
    <row r="4295" spans="1:17" x14ac:dyDescent="0.35">
      <c r="A4295" t="s">
        <v>4347</v>
      </c>
      <c r="B4295" t="s">
        <v>23</v>
      </c>
      <c r="C4295">
        <v>35</v>
      </c>
      <c r="D4295" t="s">
        <v>44</v>
      </c>
      <c r="E4295" t="s">
        <v>81</v>
      </c>
      <c r="F4295" t="s">
        <v>19</v>
      </c>
      <c r="G4295">
        <v>5.2</v>
      </c>
      <c r="H4295">
        <v>3.4</v>
      </c>
      <c r="I4295" t="str" cm="1">
        <f t="array" ref="I4295">_xlfn.IFS(G4295&lt;3, "0–2 Years", G4295&lt;6, "3–5 Years", G4295&lt;9, "6–8 Years", G4295&lt;12, "9-11 Years", G4295&gt;=12, "12-14 Years")</f>
        <v>3–5 Years</v>
      </c>
      <c r="J4295">
        <v>3</v>
      </c>
      <c r="K4295" t="s">
        <v>20</v>
      </c>
      <c r="L4295">
        <v>91200</v>
      </c>
      <c r="M4295">
        <v>7800</v>
      </c>
      <c r="N4295">
        <v>99000</v>
      </c>
      <c r="O4295" t="s">
        <v>30</v>
      </c>
      <c r="P4295" s="3">
        <v>44141</v>
      </c>
      <c r="Q4295" t="s">
        <v>19</v>
      </c>
    </row>
    <row r="4296" spans="1:17" x14ac:dyDescent="0.35">
      <c r="A4296" t="s">
        <v>4348</v>
      </c>
      <c r="B4296" t="s">
        <v>23</v>
      </c>
      <c r="C4296">
        <v>34</v>
      </c>
      <c r="D4296" t="s">
        <v>38</v>
      </c>
      <c r="E4296" t="s">
        <v>61</v>
      </c>
      <c r="F4296" t="s">
        <v>28</v>
      </c>
      <c r="G4296">
        <v>10.5</v>
      </c>
      <c r="H4296">
        <v>7.6</v>
      </c>
      <c r="I4296" t="str" cm="1">
        <f t="array" ref="I4296">_xlfn.IFS(G4296&lt;3, "0–2 Years", G4296&lt;6, "3–5 Years", G4296&lt;9, "6–8 Years", G4296&lt;12, "9-11 Years", G4296&gt;=12, "12-14 Years")</f>
        <v>9-11 Years</v>
      </c>
      <c r="J4296">
        <v>3</v>
      </c>
      <c r="K4296" t="s">
        <v>20</v>
      </c>
      <c r="L4296">
        <v>101600</v>
      </c>
      <c r="M4296">
        <v>9600</v>
      </c>
      <c r="N4296">
        <v>111200</v>
      </c>
      <c r="O4296" t="s">
        <v>57</v>
      </c>
      <c r="P4296" s="3">
        <v>42171</v>
      </c>
      <c r="Q4296" t="s">
        <v>28</v>
      </c>
    </row>
    <row r="4297" spans="1:17" x14ac:dyDescent="0.35">
      <c r="A4297" t="s">
        <v>4349</v>
      </c>
      <c r="B4297" t="s">
        <v>16</v>
      </c>
      <c r="C4297">
        <v>39</v>
      </c>
      <c r="D4297" t="s">
        <v>44</v>
      </c>
      <c r="E4297" t="s">
        <v>81</v>
      </c>
      <c r="F4297" t="s">
        <v>28</v>
      </c>
      <c r="G4297">
        <v>2.2000000000000002</v>
      </c>
      <c r="H4297">
        <v>1.3</v>
      </c>
      <c r="I4297" t="str" cm="1">
        <f t="array" ref="I4297">_xlfn.IFS(G4297&lt;3, "0–2 Years", G4297&lt;6, "3–5 Years", G4297&lt;9, "6–8 Years", G4297&lt;12, "9-11 Years", G4297&gt;=12, "12-14 Years")</f>
        <v>0–2 Years</v>
      </c>
      <c r="J4297">
        <v>3</v>
      </c>
      <c r="K4297" t="s">
        <v>20</v>
      </c>
      <c r="L4297">
        <v>91500</v>
      </c>
      <c r="M4297">
        <v>13400</v>
      </c>
      <c r="N4297">
        <v>104900</v>
      </c>
      <c r="O4297" t="s">
        <v>30</v>
      </c>
      <c r="P4297" s="3">
        <v>45227</v>
      </c>
      <c r="Q4297" t="s">
        <v>28</v>
      </c>
    </row>
    <row r="4298" spans="1:17" x14ac:dyDescent="0.35">
      <c r="A4298" t="s">
        <v>4350</v>
      </c>
      <c r="B4298" t="s">
        <v>16</v>
      </c>
      <c r="C4298">
        <v>28</v>
      </c>
      <c r="D4298" t="s">
        <v>41</v>
      </c>
      <c r="E4298" t="s">
        <v>67</v>
      </c>
      <c r="F4298" t="s">
        <v>19</v>
      </c>
      <c r="G4298">
        <v>8.6</v>
      </c>
      <c r="H4298">
        <v>6.3</v>
      </c>
      <c r="I4298" t="str" cm="1">
        <f t="array" ref="I4298">_xlfn.IFS(G4298&lt;3, "0–2 Years", G4298&lt;6, "3–5 Years", G4298&lt;9, "6–8 Years", G4298&lt;12, "9-11 Years", G4298&gt;=12, "12-14 Years")</f>
        <v>6–8 Years</v>
      </c>
      <c r="J4298">
        <v>3</v>
      </c>
      <c r="K4298" t="s">
        <v>20</v>
      </c>
      <c r="L4298">
        <v>67300</v>
      </c>
      <c r="M4298">
        <v>5000</v>
      </c>
      <c r="N4298">
        <v>72300</v>
      </c>
      <c r="O4298" t="s">
        <v>21</v>
      </c>
      <c r="P4298" s="3">
        <v>42896</v>
      </c>
      <c r="Q4298" t="s">
        <v>19</v>
      </c>
    </row>
    <row r="4299" spans="1:17" x14ac:dyDescent="0.35">
      <c r="A4299" t="s">
        <v>4351</v>
      </c>
      <c r="B4299" t="s">
        <v>23</v>
      </c>
      <c r="C4299">
        <v>43</v>
      </c>
      <c r="D4299" t="s">
        <v>44</v>
      </c>
      <c r="E4299" t="s">
        <v>76</v>
      </c>
      <c r="F4299" t="s">
        <v>28</v>
      </c>
      <c r="G4299">
        <v>7.9</v>
      </c>
      <c r="H4299">
        <v>4.9000000000000004</v>
      </c>
      <c r="I4299" t="str" cm="1">
        <f t="array" ref="I4299">_xlfn.IFS(G4299&lt;3, "0–2 Years", G4299&lt;6, "3–5 Years", G4299&lt;9, "6–8 Years", G4299&lt;12, "9-11 Years", G4299&gt;=12, "12-14 Years")</f>
        <v>6–8 Years</v>
      </c>
      <c r="J4299">
        <v>3</v>
      </c>
      <c r="K4299" t="s">
        <v>20</v>
      </c>
      <c r="L4299">
        <v>101400</v>
      </c>
      <c r="M4299">
        <v>9900</v>
      </c>
      <c r="N4299">
        <v>111300</v>
      </c>
      <c r="O4299" t="s">
        <v>57</v>
      </c>
      <c r="P4299" s="3">
        <v>43128</v>
      </c>
      <c r="Q4299" t="s">
        <v>28</v>
      </c>
    </row>
    <row r="4300" spans="1:17" x14ac:dyDescent="0.35">
      <c r="A4300" t="s">
        <v>4352</v>
      </c>
      <c r="B4300" t="s">
        <v>23</v>
      </c>
      <c r="C4300">
        <v>34</v>
      </c>
      <c r="D4300" t="s">
        <v>44</v>
      </c>
      <c r="E4300" t="s">
        <v>76</v>
      </c>
      <c r="F4300" t="s">
        <v>36</v>
      </c>
      <c r="G4300">
        <v>7.9</v>
      </c>
      <c r="H4300">
        <v>3.6</v>
      </c>
      <c r="I4300" t="str" cm="1">
        <f t="array" ref="I4300">_xlfn.IFS(G4300&lt;3, "0–2 Years", G4300&lt;6, "3–5 Years", G4300&lt;9, "6–8 Years", G4300&lt;12, "9-11 Years", G4300&gt;=12, "12-14 Years")</f>
        <v>6–8 Years</v>
      </c>
      <c r="J4300">
        <v>2</v>
      </c>
      <c r="K4300" t="s">
        <v>20</v>
      </c>
      <c r="L4300">
        <v>108500</v>
      </c>
      <c r="M4300">
        <v>13600</v>
      </c>
      <c r="N4300">
        <v>122100</v>
      </c>
      <c r="O4300" t="s">
        <v>57</v>
      </c>
      <c r="P4300" s="3">
        <v>43125</v>
      </c>
      <c r="Q4300" t="s">
        <v>36</v>
      </c>
    </row>
    <row r="4301" spans="1:17" x14ac:dyDescent="0.35">
      <c r="A4301" t="s">
        <v>4353</v>
      </c>
      <c r="B4301" t="s">
        <v>23</v>
      </c>
      <c r="C4301">
        <v>25</v>
      </c>
      <c r="D4301" t="s">
        <v>34</v>
      </c>
      <c r="E4301" t="s">
        <v>47</v>
      </c>
      <c r="F4301" t="s">
        <v>19</v>
      </c>
      <c r="G4301">
        <v>8.3000000000000007</v>
      </c>
      <c r="H4301">
        <v>3.7</v>
      </c>
      <c r="I4301" t="str" cm="1">
        <f t="array" ref="I4301">_xlfn.IFS(G4301&lt;3, "0–2 Years", G4301&lt;6, "3–5 Years", G4301&lt;9, "6–8 Years", G4301&lt;12, "9-11 Years", G4301&gt;=12, "12-14 Years")</f>
        <v>6–8 Years</v>
      </c>
      <c r="J4301">
        <v>3</v>
      </c>
      <c r="K4301" t="s">
        <v>20</v>
      </c>
      <c r="L4301">
        <v>82200</v>
      </c>
      <c r="M4301">
        <v>6300</v>
      </c>
      <c r="N4301">
        <v>88500</v>
      </c>
      <c r="O4301" t="s">
        <v>30</v>
      </c>
      <c r="P4301" s="3">
        <v>43006</v>
      </c>
      <c r="Q4301" t="s">
        <v>19</v>
      </c>
    </row>
    <row r="4302" spans="1:17" x14ac:dyDescent="0.35">
      <c r="A4302" t="s">
        <v>4354</v>
      </c>
      <c r="B4302" t="s">
        <v>23</v>
      </c>
      <c r="C4302">
        <v>29</v>
      </c>
      <c r="D4302" t="s">
        <v>34</v>
      </c>
      <c r="E4302" t="s">
        <v>35</v>
      </c>
      <c r="F4302" t="s">
        <v>36</v>
      </c>
      <c r="G4302">
        <v>2.4</v>
      </c>
      <c r="H4302">
        <v>0.8</v>
      </c>
      <c r="I4302" t="str" cm="1">
        <f t="array" ref="I4302">_xlfn.IFS(G4302&lt;3, "0–2 Years", G4302&lt;6, "3–5 Years", G4302&lt;9, "6–8 Years", G4302&lt;12, "9-11 Years", G4302&gt;=12, "12-14 Years")</f>
        <v>0–2 Years</v>
      </c>
      <c r="J4302">
        <v>4</v>
      </c>
      <c r="K4302" t="s">
        <v>20</v>
      </c>
      <c r="L4302">
        <v>89500</v>
      </c>
      <c r="M4302">
        <v>5900</v>
      </c>
      <c r="N4302">
        <v>95400</v>
      </c>
      <c r="O4302" t="s">
        <v>30</v>
      </c>
      <c r="P4302" s="3">
        <v>45152</v>
      </c>
      <c r="Q4302" t="s">
        <v>36</v>
      </c>
    </row>
    <row r="4303" spans="1:17" x14ac:dyDescent="0.35">
      <c r="A4303" t="s">
        <v>4355</v>
      </c>
      <c r="B4303" t="s">
        <v>23</v>
      </c>
      <c r="C4303">
        <v>44</v>
      </c>
      <c r="D4303" t="s">
        <v>55</v>
      </c>
      <c r="E4303" t="s">
        <v>79</v>
      </c>
      <c r="F4303" t="s">
        <v>36</v>
      </c>
      <c r="G4303">
        <v>3.5</v>
      </c>
      <c r="H4303">
        <v>0.3</v>
      </c>
      <c r="I4303" t="str" cm="1">
        <f t="array" ref="I4303">_xlfn.IFS(G4303&lt;3, "0–2 Years", G4303&lt;6, "3–5 Years", G4303&lt;9, "6–8 Years", G4303&lt;12, "9-11 Years", G4303&gt;=12, "12-14 Years")</f>
        <v>3–5 Years</v>
      </c>
      <c r="J4303">
        <v>4</v>
      </c>
      <c r="K4303" t="s">
        <v>20</v>
      </c>
      <c r="L4303">
        <v>70700</v>
      </c>
      <c r="M4303">
        <v>14300</v>
      </c>
      <c r="N4303">
        <v>85000</v>
      </c>
      <c r="O4303" t="s">
        <v>21</v>
      </c>
      <c r="P4303" s="3">
        <v>44744</v>
      </c>
      <c r="Q4303" t="s">
        <v>36</v>
      </c>
    </row>
    <row r="4304" spans="1:17" x14ac:dyDescent="0.35">
      <c r="A4304" t="s">
        <v>4356</v>
      </c>
      <c r="B4304" t="s">
        <v>23</v>
      </c>
      <c r="C4304">
        <v>45</v>
      </c>
      <c r="D4304" t="s">
        <v>38</v>
      </c>
      <c r="E4304" t="s">
        <v>61</v>
      </c>
      <c r="F4304" t="s">
        <v>19</v>
      </c>
      <c r="G4304">
        <v>2.6</v>
      </c>
      <c r="H4304">
        <v>0.6</v>
      </c>
      <c r="I4304" t="str" cm="1">
        <f t="array" ref="I4304">_xlfn.IFS(G4304&lt;3, "0–2 Years", G4304&lt;6, "3–5 Years", G4304&lt;9, "6–8 Years", G4304&lt;12, "9-11 Years", G4304&gt;=12, "12-14 Years")</f>
        <v>0–2 Years</v>
      </c>
      <c r="J4304">
        <v>3</v>
      </c>
      <c r="K4304" t="s">
        <v>20</v>
      </c>
      <c r="L4304">
        <v>91900</v>
      </c>
      <c r="M4304">
        <v>4000</v>
      </c>
      <c r="N4304">
        <v>95900</v>
      </c>
      <c r="O4304" t="s">
        <v>30</v>
      </c>
      <c r="P4304" s="3">
        <v>45089</v>
      </c>
      <c r="Q4304" t="s">
        <v>19</v>
      </c>
    </row>
    <row r="4305" spans="1:17" x14ac:dyDescent="0.35">
      <c r="A4305" t="s">
        <v>4357</v>
      </c>
      <c r="B4305" t="s">
        <v>16</v>
      </c>
      <c r="C4305">
        <v>33</v>
      </c>
      <c r="D4305" t="s">
        <v>55</v>
      </c>
      <c r="E4305" t="s">
        <v>92</v>
      </c>
      <c r="F4305" t="s">
        <v>28</v>
      </c>
      <c r="G4305">
        <v>3.2</v>
      </c>
      <c r="H4305">
        <v>1.1000000000000001</v>
      </c>
      <c r="I4305" t="str" cm="1">
        <f t="array" ref="I4305">_xlfn.IFS(G4305&lt;3, "0–2 Years", G4305&lt;6, "3–5 Years", G4305&lt;9, "6–8 Years", G4305&lt;12, "9-11 Years", G4305&gt;=12, "12-14 Years")</f>
        <v>3–5 Years</v>
      </c>
      <c r="J4305">
        <v>4</v>
      </c>
      <c r="K4305" t="s">
        <v>69</v>
      </c>
      <c r="L4305">
        <v>73200</v>
      </c>
      <c r="M4305">
        <v>10800</v>
      </c>
      <c r="N4305">
        <v>84000</v>
      </c>
      <c r="O4305" t="s">
        <v>21</v>
      </c>
      <c r="P4305" s="3">
        <v>44864</v>
      </c>
      <c r="Q4305" t="s">
        <v>28</v>
      </c>
    </row>
    <row r="4306" spans="1:17" x14ac:dyDescent="0.35">
      <c r="A4306" t="s">
        <v>4358</v>
      </c>
      <c r="B4306" t="s">
        <v>16</v>
      </c>
      <c r="C4306" s="7">
        <v>24</v>
      </c>
      <c r="D4306" t="s">
        <v>44</v>
      </c>
      <c r="E4306" t="s">
        <v>45</v>
      </c>
      <c r="F4306" t="s">
        <v>28</v>
      </c>
      <c r="G4306" s="9">
        <v>12.1</v>
      </c>
      <c r="H4306" s="7">
        <v>9.6</v>
      </c>
      <c r="I4306" t="str" cm="1">
        <f t="array" ref="I4306">_xlfn.IFS(G4306&lt;3, "0–2 Years", G4306&lt;6, "3–5 Years", G4306&lt;9, "6–8 Years", G4306&lt;12, "9-11 Years", G4306&gt;=12, "12-14 Years")</f>
        <v>12-14 Years</v>
      </c>
      <c r="J4306" s="7">
        <v>4</v>
      </c>
      <c r="K4306" t="s">
        <v>20</v>
      </c>
      <c r="L4306" s="7">
        <v>88600</v>
      </c>
      <c r="M4306" s="7">
        <v>10500</v>
      </c>
      <c r="N4306" s="7">
        <v>99100</v>
      </c>
      <c r="O4306" t="s">
        <v>30</v>
      </c>
      <c r="P4306" s="3">
        <v>41591</v>
      </c>
      <c r="Q4306" t="s">
        <v>28</v>
      </c>
    </row>
    <row r="4307" spans="1:17" x14ac:dyDescent="0.35">
      <c r="A4307" t="s">
        <v>4359</v>
      </c>
      <c r="B4307" t="s">
        <v>16</v>
      </c>
      <c r="C4307">
        <v>34</v>
      </c>
      <c r="D4307" t="s">
        <v>34</v>
      </c>
      <c r="E4307" t="s">
        <v>35</v>
      </c>
      <c r="F4307" t="s">
        <v>36</v>
      </c>
      <c r="G4307">
        <v>4.9000000000000004</v>
      </c>
      <c r="H4307">
        <v>4.0999999999999996</v>
      </c>
      <c r="I4307" t="str" cm="1">
        <f t="array" ref="I4307">_xlfn.IFS(G4307&lt;3, "0–2 Years", G4307&lt;6, "3–5 Years", G4307&lt;9, "6–8 Years", G4307&lt;12, "9-11 Years", G4307&gt;=12, "12-14 Years")</f>
        <v>3–5 Years</v>
      </c>
      <c r="J4307">
        <v>4</v>
      </c>
      <c r="K4307" t="s">
        <v>20</v>
      </c>
      <c r="L4307">
        <v>83400</v>
      </c>
      <c r="M4307">
        <v>9500</v>
      </c>
      <c r="N4307">
        <v>92900</v>
      </c>
      <c r="O4307" t="s">
        <v>30</v>
      </c>
      <c r="P4307" s="3">
        <v>44222</v>
      </c>
      <c r="Q4307" t="s">
        <v>36</v>
      </c>
    </row>
    <row r="4308" spans="1:17" x14ac:dyDescent="0.35">
      <c r="A4308" t="s">
        <v>4360</v>
      </c>
      <c r="B4308" t="s">
        <v>23</v>
      </c>
      <c r="C4308">
        <v>34</v>
      </c>
      <c r="D4308" t="s">
        <v>17</v>
      </c>
      <c r="E4308" t="s">
        <v>32</v>
      </c>
      <c r="F4308" t="s">
        <v>28</v>
      </c>
      <c r="G4308">
        <v>8.9</v>
      </c>
      <c r="H4308">
        <v>3.8</v>
      </c>
      <c r="I4308" t="str" cm="1">
        <f t="array" ref="I4308">_xlfn.IFS(G4308&lt;3, "0–2 Years", G4308&lt;6, "3–5 Years", G4308&lt;9, "6–8 Years", G4308&lt;12, "9-11 Years", G4308&gt;=12, "12-14 Years")</f>
        <v>6–8 Years</v>
      </c>
      <c r="J4308">
        <v>2</v>
      </c>
      <c r="K4308" t="s">
        <v>20</v>
      </c>
      <c r="L4308">
        <v>76700</v>
      </c>
      <c r="M4308">
        <v>5600</v>
      </c>
      <c r="N4308">
        <v>82300</v>
      </c>
      <c r="O4308" t="s">
        <v>21</v>
      </c>
      <c r="P4308" s="3">
        <v>42767</v>
      </c>
      <c r="Q4308" t="s">
        <v>28</v>
      </c>
    </row>
    <row r="4309" spans="1:17" x14ac:dyDescent="0.35">
      <c r="A4309" t="s">
        <v>4361</v>
      </c>
      <c r="B4309" t="s">
        <v>16</v>
      </c>
      <c r="C4309">
        <v>23</v>
      </c>
      <c r="D4309" t="s">
        <v>55</v>
      </c>
      <c r="E4309" t="s">
        <v>79</v>
      </c>
      <c r="F4309" t="s">
        <v>28</v>
      </c>
      <c r="G4309">
        <v>3.2</v>
      </c>
      <c r="H4309">
        <v>1.2</v>
      </c>
      <c r="I4309" t="str" cm="1">
        <f t="array" ref="I4309">_xlfn.IFS(G4309&lt;3, "0–2 Years", G4309&lt;6, "3–5 Years", G4309&lt;9, "6–8 Years", G4309&lt;12, "9-11 Years", G4309&gt;=12, "12-14 Years")</f>
        <v>3–5 Years</v>
      </c>
      <c r="J4309">
        <v>3</v>
      </c>
      <c r="K4309" t="s">
        <v>20</v>
      </c>
      <c r="L4309">
        <v>58400</v>
      </c>
      <c r="M4309">
        <v>9600</v>
      </c>
      <c r="N4309">
        <v>68000</v>
      </c>
      <c r="O4309" t="s">
        <v>25</v>
      </c>
      <c r="P4309" s="3">
        <v>44853</v>
      </c>
      <c r="Q4309" t="s">
        <v>28</v>
      </c>
    </row>
    <row r="4310" spans="1:17" x14ac:dyDescent="0.35">
      <c r="A4310" t="s">
        <v>4362</v>
      </c>
      <c r="B4310" t="s">
        <v>16</v>
      </c>
      <c r="C4310">
        <v>32</v>
      </c>
      <c r="D4310" t="s">
        <v>55</v>
      </c>
      <c r="E4310" t="s">
        <v>92</v>
      </c>
      <c r="F4310" t="s">
        <v>36</v>
      </c>
      <c r="G4310">
        <v>1.7</v>
      </c>
      <c r="H4310">
        <v>0</v>
      </c>
      <c r="I4310" t="str" cm="1">
        <f t="array" ref="I4310">_xlfn.IFS(G4310&lt;3, "0–2 Years", G4310&lt;6, "3–5 Years", G4310&lt;9, "6–8 Years", G4310&lt;12, "9-11 Years", G4310&gt;=12, "12-14 Years")</f>
        <v>0–2 Years</v>
      </c>
      <c r="J4310">
        <v>3</v>
      </c>
      <c r="K4310" t="s">
        <v>20</v>
      </c>
      <c r="L4310">
        <v>86600</v>
      </c>
      <c r="M4310">
        <v>16800</v>
      </c>
      <c r="N4310">
        <v>103400</v>
      </c>
      <c r="O4310" t="s">
        <v>30</v>
      </c>
      <c r="P4310" s="3">
        <v>45407</v>
      </c>
      <c r="Q4310" t="s">
        <v>36</v>
      </c>
    </row>
    <row r="4311" spans="1:17" x14ac:dyDescent="0.35">
      <c r="A4311" t="s">
        <v>4363</v>
      </c>
      <c r="B4311" t="s">
        <v>16</v>
      </c>
      <c r="C4311">
        <v>23</v>
      </c>
      <c r="D4311" t="s">
        <v>55</v>
      </c>
      <c r="E4311" t="s">
        <v>79</v>
      </c>
      <c r="F4311" t="s">
        <v>19</v>
      </c>
      <c r="G4311">
        <v>1.9</v>
      </c>
      <c r="H4311">
        <v>1.3</v>
      </c>
      <c r="I4311" t="str" cm="1">
        <f t="array" ref="I4311">_xlfn.IFS(G4311&lt;3, "0–2 Years", G4311&lt;6, "3–5 Years", G4311&lt;9, "6–8 Years", G4311&lt;12, "9-11 Years", G4311&gt;=12, "12-14 Years")</f>
        <v>0–2 Years</v>
      </c>
      <c r="J4311">
        <v>3</v>
      </c>
      <c r="K4311" t="s">
        <v>20</v>
      </c>
      <c r="L4311">
        <v>59900</v>
      </c>
      <c r="M4311">
        <v>7100</v>
      </c>
      <c r="N4311">
        <v>67000</v>
      </c>
      <c r="O4311" t="s">
        <v>25</v>
      </c>
      <c r="P4311" s="3">
        <v>45313</v>
      </c>
      <c r="Q4311" t="s">
        <v>19</v>
      </c>
    </row>
    <row r="4312" spans="1:17" x14ac:dyDescent="0.35">
      <c r="A4312" t="s">
        <v>4364</v>
      </c>
      <c r="B4312" t="s">
        <v>23</v>
      </c>
      <c r="C4312">
        <v>33</v>
      </c>
      <c r="D4312" t="s">
        <v>41</v>
      </c>
      <c r="E4312" t="s">
        <v>73</v>
      </c>
      <c r="F4312" t="s">
        <v>36</v>
      </c>
      <c r="G4312">
        <v>10.1</v>
      </c>
      <c r="H4312">
        <v>5.4</v>
      </c>
      <c r="I4312" t="str" cm="1">
        <f t="array" ref="I4312">_xlfn.IFS(G4312&lt;3, "0–2 Years", G4312&lt;6, "3–5 Years", G4312&lt;9, "6–8 Years", G4312&lt;12, "9-11 Years", G4312&gt;=12, "12-14 Years")</f>
        <v>9-11 Years</v>
      </c>
      <c r="J4312">
        <v>3</v>
      </c>
      <c r="K4312" t="s">
        <v>24</v>
      </c>
      <c r="L4312">
        <v>68800</v>
      </c>
      <c r="M4312">
        <v>5900</v>
      </c>
      <c r="N4312">
        <v>74700</v>
      </c>
      <c r="O4312" t="s">
        <v>21</v>
      </c>
      <c r="P4312" s="3">
        <v>42325</v>
      </c>
      <c r="Q4312" t="s">
        <v>36</v>
      </c>
    </row>
    <row r="4313" spans="1:17" x14ac:dyDescent="0.35">
      <c r="A4313" t="s">
        <v>4365</v>
      </c>
      <c r="B4313" t="s">
        <v>23</v>
      </c>
      <c r="C4313">
        <v>38</v>
      </c>
      <c r="D4313" t="s">
        <v>17</v>
      </c>
      <c r="E4313" t="s">
        <v>32</v>
      </c>
      <c r="F4313" t="s">
        <v>36</v>
      </c>
      <c r="G4313">
        <v>7.7</v>
      </c>
      <c r="H4313">
        <v>5.2</v>
      </c>
      <c r="I4313" t="str" cm="1">
        <f t="array" ref="I4313">_xlfn.IFS(G4313&lt;3, "0–2 Years", G4313&lt;6, "3–5 Years", G4313&lt;9, "6–8 Years", G4313&lt;12, "9-11 Years", G4313&gt;=12, "12-14 Years")</f>
        <v>6–8 Years</v>
      </c>
      <c r="J4313">
        <v>3</v>
      </c>
      <c r="K4313" t="s">
        <v>24</v>
      </c>
      <c r="L4313">
        <v>50200</v>
      </c>
      <c r="M4313">
        <v>3500</v>
      </c>
      <c r="N4313">
        <v>53700</v>
      </c>
      <c r="O4313" t="s">
        <v>25</v>
      </c>
      <c r="P4313" s="3">
        <v>43218</v>
      </c>
      <c r="Q4313" t="s">
        <v>36</v>
      </c>
    </row>
    <row r="4314" spans="1:17" x14ac:dyDescent="0.35">
      <c r="A4314" t="s">
        <v>4366</v>
      </c>
      <c r="B4314" t="s">
        <v>16</v>
      </c>
      <c r="C4314">
        <v>39</v>
      </c>
      <c r="D4314" t="s">
        <v>34</v>
      </c>
      <c r="E4314" t="s">
        <v>47</v>
      </c>
      <c r="F4314" t="s">
        <v>36</v>
      </c>
      <c r="G4314">
        <v>6.3</v>
      </c>
      <c r="H4314">
        <v>3.8</v>
      </c>
      <c r="I4314" t="str" cm="1">
        <f t="array" ref="I4314">_xlfn.IFS(G4314&lt;3, "0–2 Years", G4314&lt;6, "3–5 Years", G4314&lt;9, "6–8 Years", G4314&lt;12, "9-11 Years", G4314&gt;=12, "12-14 Years")</f>
        <v>6–8 Years</v>
      </c>
      <c r="J4314">
        <v>3</v>
      </c>
      <c r="K4314" t="s">
        <v>20</v>
      </c>
      <c r="L4314">
        <v>74500</v>
      </c>
      <c r="M4314">
        <v>8600</v>
      </c>
      <c r="N4314">
        <v>83100</v>
      </c>
      <c r="O4314" t="s">
        <v>21</v>
      </c>
      <c r="P4314" s="3">
        <v>43709</v>
      </c>
      <c r="Q4314" t="s">
        <v>36</v>
      </c>
    </row>
    <row r="4315" spans="1:17" x14ac:dyDescent="0.35">
      <c r="A4315" t="s">
        <v>4367</v>
      </c>
      <c r="B4315" t="s">
        <v>23</v>
      </c>
      <c r="C4315" s="7">
        <v>47</v>
      </c>
      <c r="D4315" t="s">
        <v>55</v>
      </c>
      <c r="E4315" t="s">
        <v>56</v>
      </c>
      <c r="F4315" t="s">
        <v>28</v>
      </c>
      <c r="G4315" s="9">
        <v>12.2</v>
      </c>
      <c r="H4315" s="7">
        <v>7.5</v>
      </c>
      <c r="I4315" t="str" cm="1">
        <f t="array" ref="I4315">_xlfn.IFS(G4315&lt;3, "0–2 Years", G4315&lt;6, "3–5 Years", G4315&lt;9, "6–8 Years", G4315&lt;12, "9-11 Years", G4315&gt;=12, "12-14 Years")</f>
        <v>12-14 Years</v>
      </c>
      <c r="J4315" s="7">
        <v>3</v>
      </c>
      <c r="K4315" t="s">
        <v>20</v>
      </c>
      <c r="L4315" s="7">
        <v>110600</v>
      </c>
      <c r="M4315" s="7">
        <v>19300</v>
      </c>
      <c r="N4315" s="7">
        <v>129900</v>
      </c>
      <c r="O4315" t="s">
        <v>57</v>
      </c>
      <c r="P4315" s="3">
        <v>41580</v>
      </c>
      <c r="Q4315" t="s">
        <v>28</v>
      </c>
    </row>
    <row r="4316" spans="1:17" x14ac:dyDescent="0.35">
      <c r="A4316" t="s">
        <v>4368</v>
      </c>
      <c r="B4316" t="s">
        <v>16</v>
      </c>
      <c r="C4316">
        <v>21</v>
      </c>
      <c r="D4316" t="s">
        <v>34</v>
      </c>
      <c r="E4316" t="s">
        <v>35</v>
      </c>
      <c r="F4316" t="s">
        <v>28</v>
      </c>
      <c r="G4316">
        <v>8.6999999999999993</v>
      </c>
      <c r="H4316">
        <v>4.4000000000000004</v>
      </c>
      <c r="I4316" t="str" cm="1">
        <f t="array" ref="I4316">_xlfn.IFS(G4316&lt;3, "0–2 Years", G4316&lt;6, "3–5 Years", G4316&lt;9, "6–8 Years", G4316&lt;12, "9-11 Years", G4316&gt;=12, "12-14 Years")</f>
        <v>6–8 Years</v>
      </c>
      <c r="J4316">
        <v>4</v>
      </c>
      <c r="K4316" t="s">
        <v>20</v>
      </c>
      <c r="L4316">
        <v>64900</v>
      </c>
      <c r="M4316">
        <v>7000</v>
      </c>
      <c r="N4316">
        <v>71900</v>
      </c>
      <c r="O4316" t="s">
        <v>25</v>
      </c>
      <c r="P4316" s="3">
        <v>42836</v>
      </c>
      <c r="Q4316" t="s">
        <v>28</v>
      </c>
    </row>
    <row r="4317" spans="1:17" x14ac:dyDescent="0.35">
      <c r="A4317" t="s">
        <v>4369</v>
      </c>
      <c r="B4317" t="s">
        <v>16</v>
      </c>
      <c r="C4317">
        <v>41</v>
      </c>
      <c r="D4317" t="s">
        <v>34</v>
      </c>
      <c r="E4317" t="s">
        <v>59</v>
      </c>
      <c r="F4317" t="s">
        <v>36</v>
      </c>
      <c r="G4317">
        <v>2</v>
      </c>
      <c r="H4317">
        <v>0.6</v>
      </c>
      <c r="I4317" t="str" cm="1">
        <f t="array" ref="I4317">_xlfn.IFS(G4317&lt;3, "0–2 Years", G4317&lt;6, "3–5 Years", G4317&lt;9, "6–8 Years", G4317&lt;12, "9-11 Years", G4317&gt;=12, "12-14 Years")</f>
        <v>0–2 Years</v>
      </c>
      <c r="J4317">
        <v>1</v>
      </c>
      <c r="K4317" t="s">
        <v>20</v>
      </c>
      <c r="L4317">
        <v>89000</v>
      </c>
      <c r="M4317">
        <v>4500</v>
      </c>
      <c r="N4317">
        <v>93500</v>
      </c>
      <c r="O4317" t="s">
        <v>30</v>
      </c>
      <c r="P4317" s="3">
        <v>45279</v>
      </c>
      <c r="Q4317" t="s">
        <v>36</v>
      </c>
    </row>
    <row r="4318" spans="1:17" x14ac:dyDescent="0.35">
      <c r="A4318" t="s">
        <v>4370</v>
      </c>
      <c r="B4318" t="s">
        <v>23</v>
      </c>
      <c r="C4318" s="7">
        <v>37</v>
      </c>
      <c r="D4318" t="s">
        <v>41</v>
      </c>
      <c r="E4318" t="s">
        <v>42</v>
      </c>
      <c r="F4318" t="s">
        <v>28</v>
      </c>
      <c r="G4318" s="9">
        <v>13.7</v>
      </c>
      <c r="H4318" s="7">
        <v>8.9</v>
      </c>
      <c r="I4318" t="str" cm="1">
        <f t="array" ref="I4318">_xlfn.IFS(G4318&lt;3, "0–2 Years", G4318&lt;6, "3–5 Years", G4318&lt;9, "6–8 Years", G4318&lt;12, "9-11 Years", G4318&gt;=12, "12-14 Years")</f>
        <v>12-14 Years</v>
      </c>
      <c r="J4318" s="7">
        <v>4</v>
      </c>
      <c r="K4318" t="s">
        <v>20</v>
      </c>
      <c r="L4318" s="7">
        <v>29400</v>
      </c>
      <c r="M4318" s="7">
        <v>60800</v>
      </c>
      <c r="N4318" s="7">
        <v>90200</v>
      </c>
      <c r="O4318" t="s">
        <v>65</v>
      </c>
      <c r="P4318" s="3">
        <v>41014</v>
      </c>
      <c r="Q4318" t="s">
        <v>28</v>
      </c>
    </row>
    <row r="4319" spans="1:17" x14ac:dyDescent="0.35">
      <c r="A4319" t="s">
        <v>4371</v>
      </c>
      <c r="B4319" t="s">
        <v>16</v>
      </c>
      <c r="C4319">
        <v>40</v>
      </c>
      <c r="D4319" t="s">
        <v>38</v>
      </c>
      <c r="E4319" t="s">
        <v>61</v>
      </c>
      <c r="F4319" t="s">
        <v>36</v>
      </c>
      <c r="G4319">
        <v>3.6</v>
      </c>
      <c r="H4319">
        <v>3.6</v>
      </c>
      <c r="I4319" t="str" cm="1">
        <f t="array" ref="I4319">_xlfn.IFS(G4319&lt;3, "0–2 Years", G4319&lt;6, "3–5 Years", G4319&lt;9, "6–8 Years", G4319&lt;12, "9-11 Years", G4319&gt;=12, "12-14 Years")</f>
        <v>3–5 Years</v>
      </c>
      <c r="J4319">
        <v>3</v>
      </c>
      <c r="K4319" t="s">
        <v>20</v>
      </c>
      <c r="L4319">
        <v>105700</v>
      </c>
      <c r="M4319">
        <v>10600</v>
      </c>
      <c r="N4319">
        <v>116300</v>
      </c>
      <c r="O4319" t="s">
        <v>57</v>
      </c>
      <c r="P4319" s="3">
        <v>44692</v>
      </c>
      <c r="Q4319" t="s">
        <v>36</v>
      </c>
    </row>
    <row r="4320" spans="1:17" x14ac:dyDescent="0.35">
      <c r="A4320" t="s">
        <v>4372</v>
      </c>
      <c r="B4320" t="s">
        <v>23</v>
      </c>
      <c r="C4320" s="7">
        <v>40</v>
      </c>
      <c r="D4320" t="s">
        <v>34</v>
      </c>
      <c r="E4320" t="s">
        <v>59</v>
      </c>
      <c r="F4320" t="s">
        <v>36</v>
      </c>
      <c r="G4320" s="9">
        <v>12.1</v>
      </c>
      <c r="H4320" s="7">
        <v>7.6</v>
      </c>
      <c r="I4320" t="str" cm="1">
        <f t="array" ref="I4320">_xlfn.IFS(G4320&lt;3, "0–2 Years", G4320&lt;6, "3–5 Years", G4320&lt;9, "6–8 Years", G4320&lt;12, "9-11 Years", G4320&gt;=12, "12-14 Years")</f>
        <v>12-14 Years</v>
      </c>
      <c r="J4320" s="7">
        <v>3</v>
      </c>
      <c r="K4320" t="s">
        <v>20</v>
      </c>
      <c r="L4320" s="7">
        <v>122700</v>
      </c>
      <c r="M4320" s="7">
        <v>12600</v>
      </c>
      <c r="N4320" s="7">
        <v>135300</v>
      </c>
      <c r="O4320" t="s">
        <v>57</v>
      </c>
      <c r="P4320" s="3">
        <v>41612</v>
      </c>
      <c r="Q4320" t="s">
        <v>36</v>
      </c>
    </row>
    <row r="4321" spans="1:17" x14ac:dyDescent="0.35">
      <c r="A4321" t="s">
        <v>4373</v>
      </c>
      <c r="B4321" t="s">
        <v>23</v>
      </c>
      <c r="C4321">
        <v>34</v>
      </c>
      <c r="D4321" t="s">
        <v>17</v>
      </c>
      <c r="E4321" t="s">
        <v>32</v>
      </c>
      <c r="F4321" t="s">
        <v>28</v>
      </c>
      <c r="G4321">
        <v>7.6</v>
      </c>
      <c r="H4321">
        <v>3.6</v>
      </c>
      <c r="I4321" t="str" cm="1">
        <f t="array" ref="I4321">_xlfn.IFS(G4321&lt;3, "0–2 Years", G4321&lt;6, "3–5 Years", G4321&lt;9, "6–8 Years", G4321&lt;12, "9-11 Years", G4321&gt;=12, "12-14 Years")</f>
        <v>6–8 Years</v>
      </c>
      <c r="J4321">
        <v>4</v>
      </c>
      <c r="K4321" t="s">
        <v>20</v>
      </c>
      <c r="L4321">
        <v>64100</v>
      </c>
      <c r="M4321">
        <v>5400</v>
      </c>
      <c r="N4321">
        <v>69500</v>
      </c>
      <c r="O4321" t="s">
        <v>25</v>
      </c>
      <c r="P4321" s="3">
        <v>43264</v>
      </c>
      <c r="Q4321" t="s">
        <v>28</v>
      </c>
    </row>
    <row r="4322" spans="1:17" x14ac:dyDescent="0.35">
      <c r="A4322" t="s">
        <v>4374</v>
      </c>
      <c r="B4322" t="s">
        <v>23</v>
      </c>
      <c r="C4322">
        <v>34</v>
      </c>
      <c r="D4322" t="s">
        <v>55</v>
      </c>
      <c r="E4322" t="s">
        <v>79</v>
      </c>
      <c r="F4322" t="s">
        <v>28</v>
      </c>
      <c r="G4322">
        <v>8.6</v>
      </c>
      <c r="H4322">
        <v>7.5</v>
      </c>
      <c r="I4322" t="str" cm="1">
        <f t="array" ref="I4322">_xlfn.IFS(G4322&lt;3, "0–2 Years", G4322&lt;6, "3–5 Years", G4322&lt;9, "6–8 Years", G4322&lt;12, "9-11 Years", G4322&gt;=12, "12-14 Years")</f>
        <v>6–8 Years</v>
      </c>
      <c r="J4322">
        <v>4</v>
      </c>
      <c r="K4322" t="s">
        <v>20</v>
      </c>
      <c r="L4322">
        <v>63600</v>
      </c>
      <c r="M4322">
        <v>9000</v>
      </c>
      <c r="N4322">
        <v>72600</v>
      </c>
      <c r="O4322" t="s">
        <v>25</v>
      </c>
      <c r="P4322" s="3">
        <v>42890</v>
      </c>
      <c r="Q4322" t="s">
        <v>28</v>
      </c>
    </row>
    <row r="4323" spans="1:17" x14ac:dyDescent="0.35">
      <c r="A4323" t="s">
        <v>4375</v>
      </c>
      <c r="B4323" t="s">
        <v>16</v>
      </c>
      <c r="C4323" s="7">
        <v>27</v>
      </c>
      <c r="D4323" t="s">
        <v>41</v>
      </c>
      <c r="E4323" t="s">
        <v>67</v>
      </c>
      <c r="F4323" t="s">
        <v>28</v>
      </c>
      <c r="G4323" s="9">
        <v>13.3</v>
      </c>
      <c r="H4323" s="7">
        <v>8.9</v>
      </c>
      <c r="I4323" t="str" cm="1">
        <f t="array" ref="I4323">_xlfn.IFS(G4323&lt;3, "0–2 Years", G4323&lt;6, "3–5 Years", G4323&lt;9, "6–8 Years", G4323&lt;12, "9-11 Years", G4323&gt;=12, "12-14 Years")</f>
        <v>12-14 Years</v>
      </c>
      <c r="J4323" s="7">
        <v>4</v>
      </c>
      <c r="K4323" t="s">
        <v>20</v>
      </c>
      <c r="L4323" s="7">
        <v>72400</v>
      </c>
      <c r="M4323" s="7">
        <v>2800</v>
      </c>
      <c r="N4323" s="7">
        <v>75200</v>
      </c>
      <c r="O4323" t="s">
        <v>21</v>
      </c>
      <c r="P4323" s="3">
        <v>41175</v>
      </c>
      <c r="Q4323" t="s">
        <v>28</v>
      </c>
    </row>
    <row r="4324" spans="1:17" x14ac:dyDescent="0.35">
      <c r="A4324" t="s">
        <v>4376</v>
      </c>
      <c r="B4324" t="s">
        <v>23</v>
      </c>
      <c r="C4324" s="7">
        <v>39</v>
      </c>
      <c r="D4324" t="s">
        <v>41</v>
      </c>
      <c r="E4324" t="s">
        <v>42</v>
      </c>
      <c r="F4324" t="s">
        <v>28</v>
      </c>
      <c r="G4324" s="9">
        <v>13.6</v>
      </c>
      <c r="H4324" s="7">
        <v>9</v>
      </c>
      <c r="I4324" t="str" cm="1">
        <f t="array" ref="I4324">_xlfn.IFS(G4324&lt;3, "0–2 Years", G4324&lt;6, "3–5 Years", G4324&lt;9, "6–8 Years", G4324&lt;12, "9-11 Years", G4324&gt;=12, "12-14 Years")</f>
        <v>12-14 Years</v>
      </c>
      <c r="J4324" s="7">
        <v>3</v>
      </c>
      <c r="K4324" t="s">
        <v>20</v>
      </c>
      <c r="L4324" s="7">
        <v>77500</v>
      </c>
      <c r="M4324" s="7">
        <v>2700</v>
      </c>
      <c r="N4324" s="7">
        <v>80200</v>
      </c>
      <c r="O4324" t="s">
        <v>21</v>
      </c>
      <c r="P4324" s="3">
        <v>41070</v>
      </c>
      <c r="Q4324" t="s">
        <v>28</v>
      </c>
    </row>
    <row r="4325" spans="1:17" x14ac:dyDescent="0.35">
      <c r="A4325" t="s">
        <v>4377</v>
      </c>
      <c r="B4325" t="s">
        <v>23</v>
      </c>
      <c r="C4325" s="7">
        <v>32</v>
      </c>
      <c r="D4325" t="s">
        <v>55</v>
      </c>
      <c r="E4325" t="s">
        <v>56</v>
      </c>
      <c r="F4325" t="s">
        <v>28</v>
      </c>
      <c r="G4325" s="9">
        <v>12</v>
      </c>
      <c r="H4325" s="7">
        <v>7.7</v>
      </c>
      <c r="I4325" t="str" cm="1">
        <f t="array" ref="I4325">_xlfn.IFS(G4325&lt;3, "0–2 Years", G4325&lt;6, "3–5 Years", G4325&lt;9, "6–8 Years", G4325&lt;12, "9-11 Years", G4325&gt;=12, "12-14 Years")</f>
        <v>12-14 Years</v>
      </c>
      <c r="J4325" s="7">
        <v>3</v>
      </c>
      <c r="K4325" t="s">
        <v>20</v>
      </c>
      <c r="L4325" s="7">
        <v>81100</v>
      </c>
      <c r="M4325" s="7">
        <v>14200</v>
      </c>
      <c r="N4325" s="7">
        <v>95300</v>
      </c>
      <c r="O4325" t="s">
        <v>30</v>
      </c>
      <c r="P4325" s="3">
        <v>41628</v>
      </c>
      <c r="Q4325" t="s">
        <v>28</v>
      </c>
    </row>
    <row r="4326" spans="1:17" x14ac:dyDescent="0.35">
      <c r="A4326" t="s">
        <v>4378</v>
      </c>
      <c r="B4326" t="s">
        <v>16</v>
      </c>
      <c r="C4326">
        <v>27</v>
      </c>
      <c r="D4326" t="s">
        <v>17</v>
      </c>
      <c r="E4326" t="s">
        <v>27</v>
      </c>
      <c r="F4326" t="s">
        <v>28</v>
      </c>
      <c r="G4326">
        <v>6.8</v>
      </c>
      <c r="H4326">
        <v>5</v>
      </c>
      <c r="I4326" t="str" cm="1">
        <f t="array" ref="I4326">_xlfn.IFS(G4326&lt;3, "0–2 Years", G4326&lt;6, "3–5 Years", G4326&lt;9, "6–8 Years", G4326&lt;12, "9-11 Years", G4326&gt;=12, "12-14 Years")</f>
        <v>6–8 Years</v>
      </c>
      <c r="J4326">
        <v>4</v>
      </c>
      <c r="K4326" t="s">
        <v>20</v>
      </c>
      <c r="L4326">
        <v>81100</v>
      </c>
      <c r="M4326">
        <v>9700</v>
      </c>
      <c r="N4326">
        <v>90800</v>
      </c>
      <c r="O4326" t="s">
        <v>30</v>
      </c>
      <c r="P4326" s="3">
        <v>43535</v>
      </c>
      <c r="Q4326" t="s">
        <v>28</v>
      </c>
    </row>
    <row r="4327" spans="1:17" x14ac:dyDescent="0.35">
      <c r="A4327" t="s">
        <v>4379</v>
      </c>
      <c r="B4327" t="s">
        <v>23</v>
      </c>
      <c r="C4327">
        <v>38</v>
      </c>
      <c r="D4327" t="s">
        <v>17</v>
      </c>
      <c r="E4327" t="s">
        <v>27</v>
      </c>
      <c r="F4327" t="s">
        <v>28</v>
      </c>
      <c r="G4327">
        <v>9.6</v>
      </c>
      <c r="H4327">
        <v>8.6</v>
      </c>
      <c r="I4327" t="str" cm="1">
        <f t="array" ref="I4327">_xlfn.IFS(G4327&lt;3, "0–2 Years", G4327&lt;6, "3–5 Years", G4327&lt;9, "6–8 Years", G4327&lt;12, "9-11 Years", G4327&gt;=12, "12-14 Years")</f>
        <v>9-11 Years</v>
      </c>
      <c r="J4327">
        <v>3</v>
      </c>
      <c r="K4327" t="s">
        <v>20</v>
      </c>
      <c r="L4327">
        <v>65500</v>
      </c>
      <c r="M4327">
        <v>8700</v>
      </c>
      <c r="N4327">
        <v>74200</v>
      </c>
      <c r="O4327" t="s">
        <v>21</v>
      </c>
      <c r="P4327" s="3">
        <v>42519</v>
      </c>
      <c r="Q4327" t="s">
        <v>28</v>
      </c>
    </row>
    <row r="4328" spans="1:17" x14ac:dyDescent="0.35">
      <c r="A4328" t="s">
        <v>4380</v>
      </c>
      <c r="B4328" t="s">
        <v>16</v>
      </c>
      <c r="C4328">
        <v>38</v>
      </c>
      <c r="D4328" t="s">
        <v>55</v>
      </c>
      <c r="E4328" t="s">
        <v>79</v>
      </c>
      <c r="F4328" t="s">
        <v>28</v>
      </c>
      <c r="G4328">
        <v>1.3</v>
      </c>
      <c r="H4328">
        <v>0</v>
      </c>
      <c r="I4328" t="str" cm="1">
        <f t="array" ref="I4328">_xlfn.IFS(G4328&lt;3, "0–2 Years", G4328&lt;6, "3–5 Years", G4328&lt;9, "6–8 Years", G4328&lt;12, "9-11 Years", G4328&gt;=12, "12-14 Years")</f>
        <v>0–2 Years</v>
      </c>
      <c r="J4328">
        <v>4</v>
      </c>
      <c r="K4328" t="s">
        <v>20</v>
      </c>
      <c r="L4328">
        <v>55500</v>
      </c>
      <c r="M4328">
        <v>5300</v>
      </c>
      <c r="N4328">
        <v>60800</v>
      </c>
      <c r="O4328" t="s">
        <v>25</v>
      </c>
      <c r="P4328" s="3">
        <v>45557</v>
      </c>
      <c r="Q4328" t="s">
        <v>28</v>
      </c>
    </row>
    <row r="4329" spans="1:17" x14ac:dyDescent="0.35">
      <c r="A4329" t="s">
        <v>4381</v>
      </c>
      <c r="B4329" t="s">
        <v>23</v>
      </c>
      <c r="C4329">
        <v>37</v>
      </c>
      <c r="D4329" t="s">
        <v>41</v>
      </c>
      <c r="E4329" t="s">
        <v>42</v>
      </c>
      <c r="F4329" t="s">
        <v>28</v>
      </c>
      <c r="G4329">
        <v>1.8</v>
      </c>
      <c r="H4329">
        <v>1.8</v>
      </c>
      <c r="I4329" t="str" cm="1">
        <f t="array" ref="I4329">_xlfn.IFS(G4329&lt;3, "0–2 Years", G4329&lt;6, "3–5 Years", G4329&lt;9, "6–8 Years", G4329&lt;12, "9-11 Years", G4329&gt;=12, "12-14 Years")</f>
        <v>0–2 Years</v>
      </c>
      <c r="J4329">
        <v>3</v>
      </c>
      <c r="K4329" t="s">
        <v>24</v>
      </c>
      <c r="L4329">
        <v>47400</v>
      </c>
      <c r="M4329">
        <v>1700</v>
      </c>
      <c r="N4329">
        <v>49100</v>
      </c>
      <c r="O4329" t="s">
        <v>65</v>
      </c>
      <c r="P4329" s="3">
        <v>45363</v>
      </c>
      <c r="Q4329" t="s">
        <v>28</v>
      </c>
    </row>
    <row r="4330" spans="1:17" x14ac:dyDescent="0.35">
      <c r="A4330" t="s">
        <v>4382</v>
      </c>
      <c r="B4330" t="s">
        <v>16</v>
      </c>
      <c r="C4330" s="7">
        <v>41</v>
      </c>
      <c r="D4330" t="s">
        <v>38</v>
      </c>
      <c r="E4330" t="s">
        <v>112</v>
      </c>
      <c r="F4330" t="s">
        <v>36</v>
      </c>
      <c r="G4330" s="9">
        <v>12.5</v>
      </c>
      <c r="H4330" s="7">
        <v>8.9</v>
      </c>
      <c r="I4330" t="str" cm="1">
        <f t="array" ref="I4330">_xlfn.IFS(G4330&lt;3, "0–2 Years", G4330&lt;6, "3–5 Years", G4330&lt;9, "6–8 Years", G4330&lt;12, "9-11 Years", G4330&gt;=12, "12-14 Years")</f>
        <v>12-14 Years</v>
      </c>
      <c r="J4330" s="7">
        <v>3</v>
      </c>
      <c r="K4330" t="s">
        <v>20</v>
      </c>
      <c r="L4330" s="7">
        <v>78300</v>
      </c>
      <c r="M4330" s="7">
        <v>7200</v>
      </c>
      <c r="N4330" s="7">
        <v>85500</v>
      </c>
      <c r="O4330" t="s">
        <v>21</v>
      </c>
      <c r="P4330" s="3">
        <v>41462</v>
      </c>
      <c r="Q4330" t="s">
        <v>36</v>
      </c>
    </row>
    <row r="4331" spans="1:17" x14ac:dyDescent="0.35">
      <c r="A4331" t="s">
        <v>4383</v>
      </c>
      <c r="B4331" t="s">
        <v>16</v>
      </c>
      <c r="C4331">
        <v>40</v>
      </c>
      <c r="D4331" t="s">
        <v>34</v>
      </c>
      <c r="E4331" t="s">
        <v>47</v>
      </c>
      <c r="F4331" t="s">
        <v>36</v>
      </c>
      <c r="G4331">
        <v>3.8</v>
      </c>
      <c r="H4331">
        <v>2.2000000000000002</v>
      </c>
      <c r="I4331" t="str" cm="1">
        <f t="array" ref="I4331">_xlfn.IFS(G4331&lt;3, "0–2 Years", G4331&lt;6, "3–5 Years", G4331&lt;9, "6–8 Years", G4331&lt;12, "9-11 Years", G4331&gt;=12, "12-14 Years")</f>
        <v>3–5 Years</v>
      </c>
      <c r="J4331">
        <v>3</v>
      </c>
      <c r="K4331" t="s">
        <v>20</v>
      </c>
      <c r="L4331">
        <v>80100</v>
      </c>
      <c r="M4331">
        <v>3400</v>
      </c>
      <c r="N4331">
        <v>83500</v>
      </c>
      <c r="O4331" t="s">
        <v>30</v>
      </c>
      <c r="P4331" s="3">
        <v>44641</v>
      </c>
      <c r="Q4331" t="s">
        <v>36</v>
      </c>
    </row>
    <row r="4332" spans="1:17" x14ac:dyDescent="0.35">
      <c r="A4332" t="s">
        <v>4384</v>
      </c>
      <c r="B4332" t="s">
        <v>23</v>
      </c>
      <c r="C4332">
        <v>50</v>
      </c>
      <c r="D4332" t="s">
        <v>17</v>
      </c>
      <c r="E4332" t="s">
        <v>27</v>
      </c>
      <c r="F4332" t="s">
        <v>28</v>
      </c>
      <c r="G4332">
        <v>6.7</v>
      </c>
      <c r="H4332">
        <v>4.0999999999999996</v>
      </c>
      <c r="I4332" t="str" cm="1">
        <f t="array" ref="I4332">_xlfn.IFS(G4332&lt;3, "0–2 Years", G4332&lt;6, "3–5 Years", G4332&lt;9, "6–8 Years", G4332&lt;12, "9-11 Years", G4332&gt;=12, "12-14 Years")</f>
        <v>6–8 Years</v>
      </c>
      <c r="J4332">
        <v>4</v>
      </c>
      <c r="K4332" t="s">
        <v>24</v>
      </c>
      <c r="L4332">
        <v>43500</v>
      </c>
      <c r="M4332">
        <v>5800</v>
      </c>
      <c r="N4332">
        <v>49300</v>
      </c>
      <c r="O4332" t="s">
        <v>65</v>
      </c>
      <c r="P4332" s="3">
        <v>43583</v>
      </c>
      <c r="Q4332" t="s">
        <v>28</v>
      </c>
    </row>
    <row r="4333" spans="1:17" x14ac:dyDescent="0.35">
      <c r="A4333" t="s">
        <v>4385</v>
      </c>
      <c r="B4333" t="s">
        <v>16</v>
      </c>
      <c r="C4333">
        <v>41</v>
      </c>
      <c r="D4333" t="s">
        <v>34</v>
      </c>
      <c r="E4333" t="s">
        <v>35</v>
      </c>
      <c r="F4333" t="s">
        <v>28</v>
      </c>
      <c r="G4333">
        <v>5.3</v>
      </c>
      <c r="H4333">
        <v>2.7</v>
      </c>
      <c r="I4333" t="str" cm="1">
        <f t="array" ref="I4333">_xlfn.IFS(G4333&lt;3, "0–2 Years", G4333&lt;6, "3–5 Years", G4333&lt;9, "6–8 Years", G4333&lt;12, "9-11 Years", G4333&gt;=12, "12-14 Years")</f>
        <v>3–5 Years</v>
      </c>
      <c r="J4333">
        <v>2</v>
      </c>
      <c r="K4333" t="s">
        <v>24</v>
      </c>
      <c r="L4333">
        <v>44800</v>
      </c>
      <c r="M4333">
        <v>4000</v>
      </c>
      <c r="N4333">
        <v>48800</v>
      </c>
      <c r="O4333" t="s">
        <v>65</v>
      </c>
      <c r="P4333" s="3">
        <v>44084</v>
      </c>
      <c r="Q4333" t="s">
        <v>28</v>
      </c>
    </row>
    <row r="4334" spans="1:17" x14ac:dyDescent="0.35">
      <c r="A4334" t="s">
        <v>4386</v>
      </c>
      <c r="B4334" t="s">
        <v>16</v>
      </c>
      <c r="C4334" s="7">
        <v>34</v>
      </c>
      <c r="D4334" t="s">
        <v>55</v>
      </c>
      <c r="E4334" t="s">
        <v>92</v>
      </c>
      <c r="F4334" t="s">
        <v>28</v>
      </c>
      <c r="G4334" s="9">
        <v>13.9</v>
      </c>
      <c r="H4334" s="7">
        <v>10.6</v>
      </c>
      <c r="I4334" t="str" cm="1">
        <f t="array" ref="I4334">_xlfn.IFS(G4334&lt;3, "0–2 Years", G4334&lt;6, "3–5 Years", G4334&lt;9, "6–8 Years", G4334&lt;12, "9-11 Years", G4334&gt;=12, "12-14 Years")</f>
        <v>12-14 Years</v>
      </c>
      <c r="J4334" s="7">
        <v>4</v>
      </c>
      <c r="K4334" t="s">
        <v>69</v>
      </c>
      <c r="L4334" s="7">
        <v>88400</v>
      </c>
      <c r="M4334" s="7">
        <v>9800</v>
      </c>
      <c r="N4334" s="7">
        <v>98200</v>
      </c>
      <c r="O4334" t="s">
        <v>30</v>
      </c>
      <c r="P4334" s="3">
        <v>40936</v>
      </c>
      <c r="Q4334" t="s">
        <v>28</v>
      </c>
    </row>
    <row r="4335" spans="1:17" x14ac:dyDescent="0.35">
      <c r="A4335" t="s">
        <v>4387</v>
      </c>
      <c r="B4335" t="s">
        <v>23</v>
      </c>
      <c r="C4335">
        <v>27</v>
      </c>
      <c r="D4335" t="s">
        <v>17</v>
      </c>
      <c r="E4335" t="s">
        <v>27</v>
      </c>
      <c r="F4335" t="s">
        <v>19</v>
      </c>
      <c r="G4335">
        <v>9.6</v>
      </c>
      <c r="H4335">
        <v>5.0999999999999996</v>
      </c>
      <c r="I4335" t="str" cm="1">
        <f t="array" ref="I4335">_xlfn.IFS(G4335&lt;3, "0–2 Years", G4335&lt;6, "3–5 Years", G4335&lt;9, "6–8 Years", G4335&lt;12, "9-11 Years", G4335&gt;=12, "12-14 Years")</f>
        <v>9-11 Years</v>
      </c>
      <c r="J4335">
        <v>3</v>
      </c>
      <c r="K4335" t="s">
        <v>20</v>
      </c>
      <c r="L4335">
        <v>77100</v>
      </c>
      <c r="M4335">
        <v>9100</v>
      </c>
      <c r="N4335">
        <v>86200</v>
      </c>
      <c r="O4335" t="s">
        <v>21</v>
      </c>
      <c r="P4335" s="3">
        <v>42515</v>
      </c>
      <c r="Q4335" t="s">
        <v>19</v>
      </c>
    </row>
    <row r="4336" spans="1:17" x14ac:dyDescent="0.35">
      <c r="A4336" t="s">
        <v>4388</v>
      </c>
      <c r="B4336" t="s">
        <v>23</v>
      </c>
      <c r="C4336">
        <v>40</v>
      </c>
      <c r="D4336" t="s">
        <v>55</v>
      </c>
      <c r="E4336" t="s">
        <v>92</v>
      </c>
      <c r="F4336" t="s">
        <v>36</v>
      </c>
      <c r="G4336">
        <v>2.2999999999999998</v>
      </c>
      <c r="H4336">
        <v>1</v>
      </c>
      <c r="I4336" t="str" cm="1">
        <f t="array" ref="I4336">_xlfn.IFS(G4336&lt;3, "0–2 Years", G4336&lt;6, "3–5 Years", G4336&lt;9, "6–8 Years", G4336&lt;12, "9-11 Years", G4336&gt;=12, "12-14 Years")</f>
        <v>0–2 Years</v>
      </c>
      <c r="J4336">
        <v>3</v>
      </c>
      <c r="K4336" t="s">
        <v>20</v>
      </c>
      <c r="L4336">
        <v>92600</v>
      </c>
      <c r="M4336">
        <v>11500</v>
      </c>
      <c r="N4336">
        <v>104100</v>
      </c>
      <c r="O4336" t="s">
        <v>30</v>
      </c>
      <c r="P4336" s="3">
        <v>45198</v>
      </c>
      <c r="Q4336" t="s">
        <v>36</v>
      </c>
    </row>
    <row r="4337" spans="1:17" x14ac:dyDescent="0.35">
      <c r="A4337" t="s">
        <v>4389</v>
      </c>
      <c r="B4337" t="s">
        <v>16</v>
      </c>
      <c r="C4337">
        <v>42</v>
      </c>
      <c r="D4337" t="s">
        <v>34</v>
      </c>
      <c r="E4337" t="s">
        <v>47</v>
      </c>
      <c r="F4337" t="s">
        <v>28</v>
      </c>
      <c r="G4337">
        <v>8.6999999999999993</v>
      </c>
      <c r="H4337">
        <v>5.5</v>
      </c>
      <c r="I4337" t="str" cm="1">
        <f t="array" ref="I4337">_xlfn.IFS(G4337&lt;3, "0–2 Years", G4337&lt;6, "3–5 Years", G4337&lt;9, "6–8 Years", G4337&lt;12, "9-11 Years", G4337&gt;=12, "12-14 Years")</f>
        <v>6–8 Years</v>
      </c>
      <c r="J4337">
        <v>3</v>
      </c>
      <c r="K4337" t="s">
        <v>24</v>
      </c>
      <c r="L4337">
        <v>51300</v>
      </c>
      <c r="M4337">
        <v>3900</v>
      </c>
      <c r="N4337">
        <v>55200</v>
      </c>
      <c r="O4337" t="s">
        <v>25</v>
      </c>
      <c r="P4337" s="3">
        <v>42845</v>
      </c>
      <c r="Q4337" t="s">
        <v>28</v>
      </c>
    </row>
    <row r="4338" spans="1:17" x14ac:dyDescent="0.35">
      <c r="A4338" t="s">
        <v>4390</v>
      </c>
      <c r="B4338" t="s">
        <v>23</v>
      </c>
      <c r="C4338">
        <v>46</v>
      </c>
      <c r="D4338" t="s">
        <v>38</v>
      </c>
      <c r="E4338" t="s">
        <v>61</v>
      </c>
      <c r="F4338" t="s">
        <v>28</v>
      </c>
      <c r="G4338">
        <v>1.9</v>
      </c>
      <c r="H4338">
        <v>1.3</v>
      </c>
      <c r="I4338" t="str" cm="1">
        <f t="array" ref="I4338">_xlfn.IFS(G4338&lt;3, "0–2 Years", G4338&lt;6, "3–5 Years", G4338&lt;9, "6–8 Years", G4338&lt;12, "9-11 Years", G4338&gt;=12, "12-14 Years")</f>
        <v>0–2 Years</v>
      </c>
      <c r="J4338">
        <v>2</v>
      </c>
      <c r="K4338" t="s">
        <v>20</v>
      </c>
      <c r="L4338">
        <v>94800</v>
      </c>
      <c r="M4338">
        <v>3700</v>
      </c>
      <c r="N4338">
        <v>98500</v>
      </c>
      <c r="O4338" t="s">
        <v>30</v>
      </c>
      <c r="P4338" s="3">
        <v>45340</v>
      </c>
      <c r="Q4338" t="s">
        <v>28</v>
      </c>
    </row>
    <row r="4339" spans="1:17" x14ac:dyDescent="0.35">
      <c r="A4339" t="s">
        <v>4391</v>
      </c>
      <c r="B4339" t="s">
        <v>23</v>
      </c>
      <c r="C4339">
        <v>27</v>
      </c>
      <c r="D4339" t="s">
        <v>17</v>
      </c>
      <c r="E4339" t="s">
        <v>32</v>
      </c>
      <c r="F4339" t="s">
        <v>62</v>
      </c>
      <c r="G4339">
        <v>1.2</v>
      </c>
      <c r="H4339">
        <v>1.2</v>
      </c>
      <c r="I4339" t="str" cm="1">
        <f t="array" ref="I4339">_xlfn.IFS(G4339&lt;3, "0–2 Years", G4339&lt;6, "3–5 Years", G4339&lt;9, "6–8 Years", G4339&lt;12, "9-11 Years", G4339&gt;=12, "12-14 Years")</f>
        <v>0–2 Years</v>
      </c>
      <c r="J4339">
        <v>2</v>
      </c>
      <c r="K4339" t="s">
        <v>20</v>
      </c>
      <c r="L4339">
        <v>72800</v>
      </c>
      <c r="M4339">
        <v>4100</v>
      </c>
      <c r="N4339">
        <v>76900</v>
      </c>
      <c r="O4339" t="s">
        <v>21</v>
      </c>
      <c r="P4339" s="3">
        <v>45595</v>
      </c>
      <c r="Q4339" t="s">
        <v>62</v>
      </c>
    </row>
    <row r="4340" spans="1:17" x14ac:dyDescent="0.35">
      <c r="A4340" t="s">
        <v>4392</v>
      </c>
      <c r="B4340" t="s">
        <v>23</v>
      </c>
      <c r="C4340">
        <v>39</v>
      </c>
      <c r="D4340" t="s">
        <v>34</v>
      </c>
      <c r="E4340" t="s">
        <v>35</v>
      </c>
      <c r="F4340" t="s">
        <v>28</v>
      </c>
      <c r="G4340">
        <v>1.9</v>
      </c>
      <c r="H4340">
        <v>1.9</v>
      </c>
      <c r="I4340" t="str" cm="1">
        <f t="array" ref="I4340">_xlfn.IFS(G4340&lt;3, "0–2 Years", G4340&lt;6, "3–5 Years", G4340&lt;9, "6–8 Years", G4340&lt;12, "9-11 Years", G4340&gt;=12, "12-14 Years")</f>
        <v>0–2 Years</v>
      </c>
      <c r="J4340">
        <v>3</v>
      </c>
      <c r="K4340" t="s">
        <v>20</v>
      </c>
      <c r="L4340">
        <v>63000</v>
      </c>
      <c r="M4340">
        <v>4000</v>
      </c>
      <c r="N4340">
        <v>67000</v>
      </c>
      <c r="O4340" t="s">
        <v>25</v>
      </c>
      <c r="P4340" s="3">
        <v>45311</v>
      </c>
      <c r="Q4340" t="s">
        <v>28</v>
      </c>
    </row>
    <row r="4341" spans="1:17" x14ac:dyDescent="0.35">
      <c r="A4341" t="s">
        <v>4393</v>
      </c>
      <c r="B4341" t="s">
        <v>16</v>
      </c>
      <c r="C4341" s="7">
        <v>41</v>
      </c>
      <c r="D4341" t="s">
        <v>55</v>
      </c>
      <c r="E4341" t="s">
        <v>92</v>
      </c>
      <c r="F4341" t="s">
        <v>28</v>
      </c>
      <c r="G4341" s="9">
        <v>13.2</v>
      </c>
      <c r="H4341" s="7">
        <v>9.1</v>
      </c>
      <c r="I4341" t="str" cm="1">
        <f t="array" ref="I4341">_xlfn.IFS(G4341&lt;3, "0–2 Years", G4341&lt;6, "3–5 Years", G4341&lt;9, "6–8 Years", G4341&lt;12, "9-11 Years", G4341&gt;=12, "12-14 Years")</f>
        <v>12-14 Years</v>
      </c>
      <c r="J4341" s="7">
        <v>4</v>
      </c>
      <c r="K4341" t="s">
        <v>24</v>
      </c>
      <c r="L4341" s="7">
        <v>68200</v>
      </c>
      <c r="M4341" s="7">
        <v>6000</v>
      </c>
      <c r="N4341" s="7">
        <v>74200</v>
      </c>
      <c r="O4341" t="s">
        <v>21</v>
      </c>
      <c r="P4341" s="3">
        <v>41191</v>
      </c>
      <c r="Q4341" t="s">
        <v>28</v>
      </c>
    </row>
    <row r="4342" spans="1:17" x14ac:dyDescent="0.35">
      <c r="A4342" t="s">
        <v>4394</v>
      </c>
      <c r="B4342" t="s">
        <v>16</v>
      </c>
      <c r="C4342">
        <v>43</v>
      </c>
      <c r="D4342" t="s">
        <v>44</v>
      </c>
      <c r="E4342" t="s">
        <v>45</v>
      </c>
      <c r="F4342" t="s">
        <v>62</v>
      </c>
      <c r="G4342">
        <v>7.6</v>
      </c>
      <c r="H4342">
        <v>4.8</v>
      </c>
      <c r="I4342" t="str" cm="1">
        <f t="array" ref="I4342">_xlfn.IFS(G4342&lt;3, "0–2 Years", G4342&lt;6, "3–5 Years", G4342&lt;9, "6–8 Years", G4342&lt;12, "9-11 Years", G4342&gt;=12, "12-14 Years")</f>
        <v>6–8 Years</v>
      </c>
      <c r="J4342">
        <v>4</v>
      </c>
      <c r="K4342" t="s">
        <v>20</v>
      </c>
      <c r="L4342">
        <v>79200</v>
      </c>
      <c r="M4342">
        <v>11600</v>
      </c>
      <c r="N4342">
        <v>90800</v>
      </c>
      <c r="O4342" t="s">
        <v>21</v>
      </c>
      <c r="P4342" s="3">
        <v>43263</v>
      </c>
      <c r="Q4342" t="s">
        <v>62</v>
      </c>
    </row>
    <row r="4343" spans="1:17" x14ac:dyDescent="0.35">
      <c r="A4343" t="s">
        <v>4395</v>
      </c>
      <c r="B4343" t="s">
        <v>23</v>
      </c>
      <c r="C4343">
        <v>44</v>
      </c>
      <c r="D4343" t="s">
        <v>17</v>
      </c>
      <c r="E4343" t="s">
        <v>32</v>
      </c>
      <c r="F4343" t="s">
        <v>36</v>
      </c>
      <c r="G4343">
        <v>7.2</v>
      </c>
      <c r="H4343">
        <v>3.3</v>
      </c>
      <c r="I4343" t="str" cm="1">
        <f t="array" ref="I4343">_xlfn.IFS(G4343&lt;3, "0–2 Years", G4343&lt;6, "3–5 Years", G4343&lt;9, "6–8 Years", G4343&lt;12, "9-11 Years", G4343&gt;=12, "12-14 Years")</f>
        <v>6–8 Years</v>
      </c>
      <c r="J4343">
        <v>3</v>
      </c>
      <c r="K4343" t="s">
        <v>20</v>
      </c>
      <c r="L4343">
        <v>69900</v>
      </c>
      <c r="M4343">
        <v>8300</v>
      </c>
      <c r="N4343">
        <v>78200</v>
      </c>
      <c r="O4343" t="s">
        <v>21</v>
      </c>
      <c r="P4343" s="3">
        <v>43396</v>
      </c>
      <c r="Q4343" t="s">
        <v>36</v>
      </c>
    </row>
    <row r="4344" spans="1:17" x14ac:dyDescent="0.35">
      <c r="A4344" t="s">
        <v>4396</v>
      </c>
      <c r="B4344" t="s">
        <v>23</v>
      </c>
      <c r="C4344">
        <v>33</v>
      </c>
      <c r="D4344" t="s">
        <v>38</v>
      </c>
      <c r="E4344" t="s">
        <v>112</v>
      </c>
      <c r="F4344" t="s">
        <v>28</v>
      </c>
      <c r="G4344">
        <v>7</v>
      </c>
      <c r="H4344">
        <v>4.3</v>
      </c>
      <c r="I4344" t="str" cm="1">
        <f t="array" ref="I4344">_xlfn.IFS(G4344&lt;3, "0–2 Years", G4344&lt;6, "3–5 Years", G4344&lt;9, "6–8 Years", G4344&lt;12, "9-11 Years", G4344&gt;=12, "12-14 Years")</f>
        <v>6–8 Years</v>
      </c>
      <c r="J4344">
        <v>3</v>
      </c>
      <c r="K4344" t="s">
        <v>20</v>
      </c>
      <c r="L4344">
        <v>65400</v>
      </c>
      <c r="M4344">
        <v>5800</v>
      </c>
      <c r="N4344">
        <v>71200</v>
      </c>
      <c r="O4344" t="s">
        <v>21</v>
      </c>
      <c r="P4344" s="3">
        <v>43454</v>
      </c>
      <c r="Q4344" t="s">
        <v>28</v>
      </c>
    </row>
    <row r="4345" spans="1:17" x14ac:dyDescent="0.35">
      <c r="A4345" t="s">
        <v>4397</v>
      </c>
      <c r="B4345" t="s">
        <v>23</v>
      </c>
      <c r="C4345">
        <v>38</v>
      </c>
      <c r="D4345" t="s">
        <v>17</v>
      </c>
      <c r="E4345" t="s">
        <v>27</v>
      </c>
      <c r="F4345" t="s">
        <v>28</v>
      </c>
      <c r="G4345">
        <v>11.9</v>
      </c>
      <c r="H4345">
        <v>7.3</v>
      </c>
      <c r="I4345" t="str" cm="1">
        <f t="array" ref="I4345">_xlfn.IFS(G4345&lt;3, "0–2 Years", G4345&lt;6, "3–5 Years", G4345&lt;9, "6–8 Years", G4345&lt;12, "9-11 Years", G4345&gt;=12, "12-14 Years")</f>
        <v>9-11 Years</v>
      </c>
      <c r="J4345">
        <v>3</v>
      </c>
      <c r="K4345" t="s">
        <v>20</v>
      </c>
      <c r="L4345">
        <v>91300</v>
      </c>
      <c r="M4345">
        <v>10800</v>
      </c>
      <c r="N4345">
        <v>102100</v>
      </c>
      <c r="O4345" t="s">
        <v>30</v>
      </c>
      <c r="P4345" s="3">
        <v>41664</v>
      </c>
      <c r="Q4345" t="s">
        <v>28</v>
      </c>
    </row>
    <row r="4346" spans="1:17" x14ac:dyDescent="0.35">
      <c r="A4346" t="s">
        <v>4398</v>
      </c>
      <c r="B4346" t="s">
        <v>23</v>
      </c>
      <c r="C4346" s="7">
        <v>30</v>
      </c>
      <c r="D4346" t="s">
        <v>44</v>
      </c>
      <c r="E4346" t="s">
        <v>45</v>
      </c>
      <c r="F4346" t="s">
        <v>28</v>
      </c>
      <c r="G4346" s="9">
        <v>13.7</v>
      </c>
      <c r="H4346" s="7">
        <v>7.9</v>
      </c>
      <c r="I4346" t="str" cm="1">
        <f t="array" ref="I4346">_xlfn.IFS(G4346&lt;3, "0–2 Years", G4346&lt;6, "3–5 Years", G4346&lt;9, "6–8 Years", G4346&lt;12, "9-11 Years", G4346&gt;=12, "12-14 Years")</f>
        <v>12-14 Years</v>
      </c>
      <c r="J4346" s="7">
        <v>4</v>
      </c>
      <c r="K4346" t="s">
        <v>20</v>
      </c>
      <c r="L4346" s="7">
        <v>86700</v>
      </c>
      <c r="M4346" s="7">
        <v>7700</v>
      </c>
      <c r="N4346" s="7">
        <v>94400</v>
      </c>
      <c r="O4346" t="s">
        <v>30</v>
      </c>
      <c r="P4346" s="3">
        <v>41008</v>
      </c>
      <c r="Q4346" t="s">
        <v>28</v>
      </c>
    </row>
    <row r="4347" spans="1:17" x14ac:dyDescent="0.35">
      <c r="A4347" t="s">
        <v>4399</v>
      </c>
      <c r="B4347" t="s">
        <v>23</v>
      </c>
      <c r="C4347">
        <v>30</v>
      </c>
      <c r="D4347" t="s">
        <v>17</v>
      </c>
      <c r="E4347" t="s">
        <v>27</v>
      </c>
      <c r="F4347" t="s">
        <v>28</v>
      </c>
      <c r="G4347">
        <v>4.5999999999999996</v>
      </c>
      <c r="H4347">
        <v>3.1</v>
      </c>
      <c r="I4347" t="str" cm="1">
        <f t="array" ref="I4347">_xlfn.IFS(G4347&lt;3, "0–2 Years", G4347&lt;6, "3–5 Years", G4347&lt;9, "6–8 Years", G4347&lt;12, "9-11 Years", G4347&gt;=12, "12-14 Years")</f>
        <v>3–5 Years</v>
      </c>
      <c r="J4347">
        <v>4</v>
      </c>
      <c r="K4347" t="s">
        <v>20</v>
      </c>
      <c r="L4347">
        <v>69400</v>
      </c>
      <c r="M4347">
        <v>5100</v>
      </c>
      <c r="N4347">
        <v>74500</v>
      </c>
      <c r="O4347" t="s">
        <v>21</v>
      </c>
      <c r="P4347" s="3">
        <v>44353</v>
      </c>
      <c r="Q4347" t="s">
        <v>28</v>
      </c>
    </row>
    <row r="4348" spans="1:17" x14ac:dyDescent="0.35">
      <c r="A4348" t="s">
        <v>4400</v>
      </c>
      <c r="B4348" t="s">
        <v>16</v>
      </c>
      <c r="C4348">
        <v>38</v>
      </c>
      <c r="D4348" t="s">
        <v>55</v>
      </c>
      <c r="E4348" t="s">
        <v>79</v>
      </c>
      <c r="F4348" t="s">
        <v>36</v>
      </c>
      <c r="G4348">
        <v>7.6</v>
      </c>
      <c r="H4348">
        <v>6.4</v>
      </c>
      <c r="I4348" t="str" cm="1">
        <f t="array" ref="I4348">_xlfn.IFS(G4348&lt;3, "0–2 Years", G4348&lt;6, "3–5 Years", G4348&lt;9, "6–8 Years", G4348&lt;12, "9-11 Years", G4348&gt;=12, "12-14 Years")</f>
        <v>6–8 Years</v>
      </c>
      <c r="J4348">
        <v>2</v>
      </c>
      <c r="K4348" t="s">
        <v>20</v>
      </c>
      <c r="L4348">
        <v>65000</v>
      </c>
      <c r="M4348">
        <v>7700</v>
      </c>
      <c r="N4348">
        <v>72700</v>
      </c>
      <c r="O4348" t="s">
        <v>21</v>
      </c>
      <c r="P4348" s="3">
        <v>43235</v>
      </c>
      <c r="Q4348" t="s">
        <v>36</v>
      </c>
    </row>
    <row r="4349" spans="1:17" x14ac:dyDescent="0.35">
      <c r="A4349" t="s">
        <v>4401</v>
      </c>
      <c r="B4349" t="s">
        <v>23</v>
      </c>
      <c r="C4349" s="7">
        <v>35</v>
      </c>
      <c r="D4349" t="s">
        <v>44</v>
      </c>
      <c r="E4349" t="s">
        <v>76</v>
      </c>
      <c r="F4349" t="s">
        <v>36</v>
      </c>
      <c r="G4349" s="9">
        <v>13.2</v>
      </c>
      <c r="H4349" s="7">
        <v>8.1</v>
      </c>
      <c r="I4349" t="str" cm="1">
        <f t="array" ref="I4349">_xlfn.IFS(G4349&lt;3, "0–2 Years", G4349&lt;6, "3–5 Years", G4349&lt;9, "6–8 Years", G4349&lt;12, "9-11 Years", G4349&gt;=12, "12-14 Years")</f>
        <v>12-14 Years</v>
      </c>
      <c r="J4349" s="7">
        <v>1</v>
      </c>
      <c r="K4349" t="s">
        <v>20</v>
      </c>
      <c r="L4349" s="7">
        <v>112800</v>
      </c>
      <c r="M4349" s="7">
        <v>8700</v>
      </c>
      <c r="N4349" s="7">
        <v>121500</v>
      </c>
      <c r="O4349" t="s">
        <v>57</v>
      </c>
      <c r="P4349" s="3">
        <v>41205</v>
      </c>
      <c r="Q4349" t="s">
        <v>36</v>
      </c>
    </row>
    <row r="4350" spans="1:17" x14ac:dyDescent="0.35">
      <c r="A4350" t="s">
        <v>4402</v>
      </c>
      <c r="B4350" t="s">
        <v>23</v>
      </c>
      <c r="C4350">
        <v>28</v>
      </c>
      <c r="D4350" t="s">
        <v>41</v>
      </c>
      <c r="E4350" t="s">
        <v>42</v>
      </c>
      <c r="F4350" t="s">
        <v>28</v>
      </c>
      <c r="G4350">
        <v>9.6999999999999993</v>
      </c>
      <c r="H4350">
        <v>6.4</v>
      </c>
      <c r="I4350" t="str" cm="1">
        <f t="array" ref="I4350">_xlfn.IFS(G4350&lt;3, "0–2 Years", G4350&lt;6, "3–5 Years", G4350&lt;9, "6–8 Years", G4350&lt;12, "9-11 Years", G4350&gt;=12, "12-14 Years")</f>
        <v>9-11 Years</v>
      </c>
      <c r="J4350">
        <v>3</v>
      </c>
      <c r="K4350" t="s">
        <v>20</v>
      </c>
      <c r="L4350">
        <v>70500</v>
      </c>
      <c r="M4350">
        <v>5700</v>
      </c>
      <c r="N4350">
        <v>76200</v>
      </c>
      <c r="O4350" t="s">
        <v>21</v>
      </c>
      <c r="P4350" s="3">
        <v>42490</v>
      </c>
      <c r="Q4350" t="s">
        <v>28</v>
      </c>
    </row>
    <row r="4351" spans="1:17" x14ac:dyDescent="0.35">
      <c r="A4351" t="s">
        <v>4403</v>
      </c>
      <c r="B4351" t="s">
        <v>16</v>
      </c>
      <c r="C4351">
        <v>32</v>
      </c>
      <c r="D4351" t="s">
        <v>44</v>
      </c>
      <c r="E4351" t="s">
        <v>51</v>
      </c>
      <c r="F4351" t="s">
        <v>19</v>
      </c>
      <c r="G4351">
        <v>5</v>
      </c>
      <c r="H4351">
        <v>4.5999999999999996</v>
      </c>
      <c r="I4351" t="str" cm="1">
        <f t="array" ref="I4351">_xlfn.IFS(G4351&lt;3, "0–2 Years", G4351&lt;6, "3–5 Years", G4351&lt;9, "6–8 Years", G4351&lt;12, "9-11 Years", G4351&gt;=12, "12-14 Years")</f>
        <v>3–5 Years</v>
      </c>
      <c r="J4351">
        <v>3</v>
      </c>
      <c r="K4351" t="s">
        <v>20</v>
      </c>
      <c r="L4351">
        <v>68000</v>
      </c>
      <c r="M4351">
        <v>5100</v>
      </c>
      <c r="N4351">
        <v>73100</v>
      </c>
      <c r="O4351" t="s">
        <v>21</v>
      </c>
      <c r="P4351" s="3">
        <v>44193</v>
      </c>
      <c r="Q4351" t="s">
        <v>19</v>
      </c>
    </row>
    <row r="4352" spans="1:17" x14ac:dyDescent="0.35">
      <c r="A4352" t="s">
        <v>4404</v>
      </c>
      <c r="B4352" t="s">
        <v>16</v>
      </c>
      <c r="C4352">
        <v>43</v>
      </c>
      <c r="D4352" t="s">
        <v>17</v>
      </c>
      <c r="E4352" t="s">
        <v>32</v>
      </c>
      <c r="F4352" t="s">
        <v>28</v>
      </c>
      <c r="G4352">
        <v>2</v>
      </c>
      <c r="H4352">
        <v>0</v>
      </c>
      <c r="I4352" t="str" cm="1">
        <f t="array" ref="I4352">_xlfn.IFS(G4352&lt;3, "0–2 Years", G4352&lt;6, "3–5 Years", G4352&lt;9, "6–8 Years", G4352&lt;12, "9-11 Years", G4352&gt;=12, "12-14 Years")</f>
        <v>0–2 Years</v>
      </c>
      <c r="J4352">
        <v>3</v>
      </c>
      <c r="K4352" t="s">
        <v>20</v>
      </c>
      <c r="L4352">
        <v>59900</v>
      </c>
      <c r="M4352">
        <v>3600</v>
      </c>
      <c r="N4352">
        <v>63500</v>
      </c>
      <c r="O4352" t="s">
        <v>25</v>
      </c>
      <c r="P4352" s="3">
        <v>45285</v>
      </c>
      <c r="Q4352" t="s">
        <v>28</v>
      </c>
    </row>
    <row r="4353" spans="1:17" x14ac:dyDescent="0.35">
      <c r="A4353" t="s">
        <v>4405</v>
      </c>
      <c r="B4353" t="s">
        <v>16</v>
      </c>
      <c r="C4353">
        <v>45</v>
      </c>
      <c r="D4353" t="s">
        <v>44</v>
      </c>
      <c r="E4353" t="s">
        <v>51</v>
      </c>
      <c r="F4353" t="s">
        <v>28</v>
      </c>
      <c r="G4353">
        <v>1.1000000000000001</v>
      </c>
      <c r="H4353">
        <v>0</v>
      </c>
      <c r="I4353" t="str" cm="1">
        <f t="array" ref="I4353">_xlfn.IFS(G4353&lt;3, "0–2 Years", G4353&lt;6, "3–5 Years", G4353&lt;9, "6–8 Years", G4353&lt;12, "9-11 Years", G4353&gt;=12, "12-14 Years")</f>
        <v>0–2 Years</v>
      </c>
      <c r="J4353">
        <v>4</v>
      </c>
      <c r="K4353" t="s">
        <v>69</v>
      </c>
      <c r="L4353">
        <v>62400</v>
      </c>
      <c r="M4353">
        <v>5300</v>
      </c>
      <c r="N4353">
        <v>67700</v>
      </c>
      <c r="O4353" t="s">
        <v>25</v>
      </c>
      <c r="P4353" s="3">
        <v>45616</v>
      </c>
      <c r="Q4353" t="s">
        <v>28</v>
      </c>
    </row>
    <row r="4354" spans="1:17" x14ac:dyDescent="0.35">
      <c r="A4354" t="s">
        <v>4406</v>
      </c>
      <c r="B4354" t="s">
        <v>23</v>
      </c>
      <c r="C4354">
        <v>35</v>
      </c>
      <c r="D4354" t="s">
        <v>44</v>
      </c>
      <c r="E4354" t="s">
        <v>51</v>
      </c>
      <c r="F4354" t="s">
        <v>28</v>
      </c>
      <c r="G4354">
        <v>11.5</v>
      </c>
      <c r="H4354">
        <v>7.2</v>
      </c>
      <c r="I4354" t="str" cm="1">
        <f t="array" ref="I4354">_xlfn.IFS(G4354&lt;3, "0–2 Years", G4354&lt;6, "3–5 Years", G4354&lt;9, "6–8 Years", G4354&lt;12, "9-11 Years", G4354&gt;=12, "12-14 Years")</f>
        <v>9-11 Years</v>
      </c>
      <c r="J4354">
        <v>3</v>
      </c>
      <c r="K4354" t="s">
        <v>69</v>
      </c>
      <c r="L4354">
        <v>72000</v>
      </c>
      <c r="M4354">
        <v>7700</v>
      </c>
      <c r="N4354">
        <v>79700</v>
      </c>
      <c r="O4354" t="s">
        <v>21</v>
      </c>
      <c r="P4354" s="3">
        <v>41824</v>
      </c>
      <c r="Q4354" t="s">
        <v>28</v>
      </c>
    </row>
    <row r="4355" spans="1:17" x14ac:dyDescent="0.35">
      <c r="A4355" t="s">
        <v>4407</v>
      </c>
      <c r="B4355" t="s">
        <v>23</v>
      </c>
      <c r="C4355">
        <v>37</v>
      </c>
      <c r="D4355" t="s">
        <v>17</v>
      </c>
      <c r="E4355" t="s">
        <v>32</v>
      </c>
      <c r="F4355" t="s">
        <v>19</v>
      </c>
      <c r="G4355">
        <v>1.4</v>
      </c>
      <c r="H4355">
        <v>1.4</v>
      </c>
      <c r="I4355" t="str" cm="1">
        <f t="array" ref="I4355">_xlfn.IFS(G4355&lt;3, "0–2 Years", G4355&lt;6, "3–5 Years", G4355&lt;9, "6–8 Years", G4355&lt;12, "9-11 Years", G4355&gt;=12, "12-14 Years")</f>
        <v>0–2 Years</v>
      </c>
      <c r="J4355">
        <v>2</v>
      </c>
      <c r="K4355" t="s">
        <v>24</v>
      </c>
      <c r="L4355">
        <v>31500</v>
      </c>
      <c r="M4355">
        <v>2600</v>
      </c>
      <c r="N4355">
        <v>34100</v>
      </c>
      <c r="O4355" t="s">
        <v>65</v>
      </c>
      <c r="P4355" s="3">
        <v>45505</v>
      </c>
      <c r="Q4355" t="s">
        <v>19</v>
      </c>
    </row>
    <row r="4356" spans="1:17" x14ac:dyDescent="0.35">
      <c r="A4356" t="s">
        <v>4408</v>
      </c>
      <c r="B4356" t="s">
        <v>23</v>
      </c>
      <c r="C4356">
        <v>53</v>
      </c>
      <c r="D4356" t="s">
        <v>55</v>
      </c>
      <c r="E4356" t="s">
        <v>56</v>
      </c>
      <c r="F4356" t="s">
        <v>36</v>
      </c>
      <c r="G4356">
        <v>9.6999999999999993</v>
      </c>
      <c r="H4356">
        <v>7</v>
      </c>
      <c r="I4356" t="str" cm="1">
        <f t="array" ref="I4356">_xlfn.IFS(G4356&lt;3, "0–2 Years", G4356&lt;6, "3–5 Years", G4356&lt;9, "6–8 Years", G4356&lt;12, "9-11 Years", G4356&gt;=12, "12-14 Years")</f>
        <v>9-11 Years</v>
      </c>
      <c r="J4356">
        <v>3</v>
      </c>
      <c r="K4356" t="s">
        <v>20</v>
      </c>
      <c r="L4356">
        <v>121400</v>
      </c>
      <c r="M4356">
        <v>15800</v>
      </c>
      <c r="N4356">
        <v>137200</v>
      </c>
      <c r="O4356" t="s">
        <v>57</v>
      </c>
      <c r="P4356" s="3">
        <v>42470</v>
      </c>
      <c r="Q4356" t="s">
        <v>36</v>
      </c>
    </row>
    <row r="4357" spans="1:17" x14ac:dyDescent="0.35">
      <c r="A4357" t="s">
        <v>4409</v>
      </c>
      <c r="B4357" t="s">
        <v>16</v>
      </c>
      <c r="C4357" s="7">
        <v>39</v>
      </c>
      <c r="D4357" t="s">
        <v>17</v>
      </c>
      <c r="E4357" t="s">
        <v>32</v>
      </c>
      <c r="F4357" t="s">
        <v>28</v>
      </c>
      <c r="G4357" s="9">
        <v>12.3</v>
      </c>
      <c r="H4357" s="7">
        <v>8.5</v>
      </c>
      <c r="I4357" t="str" cm="1">
        <f t="array" ref="I4357">_xlfn.IFS(G4357&lt;3, "0–2 Years", G4357&lt;6, "3–5 Years", G4357&lt;9, "6–8 Years", G4357&lt;12, "9-11 Years", G4357&gt;=12, "12-14 Years")</f>
        <v>12-14 Years</v>
      </c>
      <c r="J4357" s="7">
        <v>3</v>
      </c>
      <c r="K4357" t="s">
        <v>20</v>
      </c>
      <c r="L4357" s="7">
        <v>67200</v>
      </c>
      <c r="M4357" s="7">
        <v>3600</v>
      </c>
      <c r="N4357" s="7">
        <v>70800</v>
      </c>
      <c r="O4357" t="s">
        <v>21</v>
      </c>
      <c r="P4357" s="3">
        <v>41532</v>
      </c>
      <c r="Q4357" t="s">
        <v>28</v>
      </c>
    </row>
    <row r="4358" spans="1:17" x14ac:dyDescent="0.35">
      <c r="A4358" t="s">
        <v>4410</v>
      </c>
      <c r="B4358" t="s">
        <v>16</v>
      </c>
      <c r="C4358">
        <v>29</v>
      </c>
      <c r="D4358" t="s">
        <v>38</v>
      </c>
      <c r="E4358" t="s">
        <v>39</v>
      </c>
      <c r="F4358" t="s">
        <v>19</v>
      </c>
      <c r="G4358">
        <v>8.3000000000000007</v>
      </c>
      <c r="H4358">
        <v>3.9</v>
      </c>
      <c r="I4358" t="str" cm="1">
        <f t="array" ref="I4358">_xlfn.IFS(G4358&lt;3, "0–2 Years", G4358&lt;6, "3–5 Years", G4358&lt;9, "6–8 Years", G4358&lt;12, "9-11 Years", G4358&gt;=12, "12-14 Years")</f>
        <v>6–8 Years</v>
      </c>
      <c r="J4358">
        <v>5</v>
      </c>
      <c r="K4358" t="s">
        <v>20</v>
      </c>
      <c r="L4358">
        <v>72500</v>
      </c>
      <c r="M4358">
        <v>6100</v>
      </c>
      <c r="N4358">
        <v>78600</v>
      </c>
      <c r="O4358" t="s">
        <v>21</v>
      </c>
      <c r="P4358" s="3">
        <v>42997</v>
      </c>
      <c r="Q4358" t="s">
        <v>19</v>
      </c>
    </row>
    <row r="4359" spans="1:17" x14ac:dyDescent="0.35">
      <c r="A4359" t="s">
        <v>4411</v>
      </c>
      <c r="B4359" t="s">
        <v>23</v>
      </c>
      <c r="C4359">
        <v>47</v>
      </c>
      <c r="D4359" t="s">
        <v>41</v>
      </c>
      <c r="E4359" t="s">
        <v>73</v>
      </c>
      <c r="F4359" t="s">
        <v>28</v>
      </c>
      <c r="G4359">
        <v>10.3</v>
      </c>
      <c r="H4359">
        <v>6.9</v>
      </c>
      <c r="I4359" t="str" cm="1">
        <f t="array" ref="I4359">_xlfn.IFS(G4359&lt;3, "0–2 Years", G4359&lt;6, "3–5 Years", G4359&lt;9, "6–8 Years", G4359&lt;12, "9-11 Years", G4359&gt;=12, "12-14 Years")</f>
        <v>9-11 Years</v>
      </c>
      <c r="J4359">
        <v>3</v>
      </c>
      <c r="K4359" t="s">
        <v>20</v>
      </c>
      <c r="L4359">
        <v>103100</v>
      </c>
      <c r="M4359">
        <v>6500</v>
      </c>
      <c r="N4359">
        <v>109600</v>
      </c>
      <c r="O4359" t="s">
        <v>57</v>
      </c>
      <c r="P4359" s="3">
        <v>42266</v>
      </c>
      <c r="Q4359" t="s">
        <v>28</v>
      </c>
    </row>
    <row r="4360" spans="1:17" x14ac:dyDescent="0.35">
      <c r="A4360" t="s">
        <v>4412</v>
      </c>
      <c r="B4360" t="s">
        <v>16</v>
      </c>
      <c r="C4360">
        <v>34</v>
      </c>
      <c r="D4360" t="s">
        <v>34</v>
      </c>
      <c r="E4360" t="s">
        <v>35</v>
      </c>
      <c r="F4360" t="s">
        <v>36</v>
      </c>
      <c r="G4360">
        <v>3.1</v>
      </c>
      <c r="H4360">
        <v>2.4</v>
      </c>
      <c r="I4360" t="str" cm="1">
        <f t="array" ref="I4360">_xlfn.IFS(G4360&lt;3, "0–2 Years", G4360&lt;6, "3–5 Years", G4360&lt;9, "6–8 Years", G4360&lt;12, "9-11 Years", G4360&gt;=12, "12-14 Years")</f>
        <v>3–5 Years</v>
      </c>
      <c r="J4360">
        <v>4</v>
      </c>
      <c r="K4360" t="s">
        <v>20</v>
      </c>
      <c r="L4360">
        <v>89100</v>
      </c>
      <c r="M4360">
        <v>5500</v>
      </c>
      <c r="N4360">
        <v>94600</v>
      </c>
      <c r="O4360" t="s">
        <v>30</v>
      </c>
      <c r="P4360" s="3">
        <v>44906</v>
      </c>
      <c r="Q4360" t="s">
        <v>36</v>
      </c>
    </row>
    <row r="4361" spans="1:17" x14ac:dyDescent="0.35">
      <c r="A4361" t="s">
        <v>4413</v>
      </c>
      <c r="B4361" t="s">
        <v>23</v>
      </c>
      <c r="C4361">
        <v>44</v>
      </c>
      <c r="D4361" t="s">
        <v>55</v>
      </c>
      <c r="E4361" t="s">
        <v>56</v>
      </c>
      <c r="F4361" t="s">
        <v>28</v>
      </c>
      <c r="G4361">
        <v>2.6</v>
      </c>
      <c r="H4361">
        <v>2.4</v>
      </c>
      <c r="I4361" t="str" cm="1">
        <f t="array" ref="I4361">_xlfn.IFS(G4361&lt;3, "0–2 Years", G4361&lt;6, "3–5 Years", G4361&lt;9, "6–8 Years", G4361&lt;12, "9-11 Years", G4361&gt;=12, "12-14 Years")</f>
        <v>0–2 Years</v>
      </c>
      <c r="J4361">
        <v>3</v>
      </c>
      <c r="K4361" t="s">
        <v>20</v>
      </c>
      <c r="L4361">
        <v>87400</v>
      </c>
      <c r="M4361">
        <v>8100</v>
      </c>
      <c r="N4361">
        <v>95500</v>
      </c>
      <c r="O4361" t="s">
        <v>30</v>
      </c>
      <c r="P4361" s="3">
        <v>45065</v>
      </c>
      <c r="Q4361" t="s">
        <v>28</v>
      </c>
    </row>
    <row r="4362" spans="1:17" x14ac:dyDescent="0.35">
      <c r="A4362" t="s">
        <v>4414</v>
      </c>
      <c r="B4362" t="s">
        <v>23</v>
      </c>
      <c r="C4362" s="7">
        <v>40</v>
      </c>
      <c r="D4362" t="s">
        <v>44</v>
      </c>
      <c r="E4362" t="s">
        <v>76</v>
      </c>
      <c r="F4362" t="s">
        <v>36</v>
      </c>
      <c r="G4362" s="9">
        <v>12</v>
      </c>
      <c r="H4362" s="7">
        <v>7.1</v>
      </c>
      <c r="I4362" t="str" cm="1">
        <f t="array" ref="I4362">_xlfn.IFS(G4362&lt;3, "0–2 Years", G4362&lt;6, "3–5 Years", G4362&lt;9, "6–8 Years", G4362&lt;12, "9-11 Years", G4362&gt;=12, "12-14 Years")</f>
        <v>12-14 Years</v>
      </c>
      <c r="J4362" s="7">
        <v>1</v>
      </c>
      <c r="K4362" t="s">
        <v>20</v>
      </c>
      <c r="L4362" s="7">
        <v>116500</v>
      </c>
      <c r="M4362" s="7">
        <v>6100</v>
      </c>
      <c r="N4362" s="7">
        <v>122600</v>
      </c>
      <c r="O4362" t="s">
        <v>57</v>
      </c>
      <c r="P4362" s="3">
        <v>41635</v>
      </c>
      <c r="Q4362" t="s">
        <v>36</v>
      </c>
    </row>
    <row r="4363" spans="1:17" x14ac:dyDescent="0.35">
      <c r="A4363" t="s">
        <v>4415</v>
      </c>
      <c r="B4363" t="s">
        <v>16</v>
      </c>
      <c r="C4363">
        <v>39</v>
      </c>
      <c r="D4363" t="s">
        <v>38</v>
      </c>
      <c r="E4363" t="s">
        <v>61</v>
      </c>
      <c r="F4363" t="s">
        <v>28</v>
      </c>
      <c r="G4363">
        <v>4.3</v>
      </c>
      <c r="H4363">
        <v>3</v>
      </c>
      <c r="I4363" t="str" cm="1">
        <f t="array" ref="I4363">_xlfn.IFS(G4363&lt;3, "0–2 Years", G4363&lt;6, "3–5 Years", G4363&lt;9, "6–8 Years", G4363&lt;12, "9-11 Years", G4363&gt;=12, "12-14 Years")</f>
        <v>3–5 Years</v>
      </c>
      <c r="J4363">
        <v>3</v>
      </c>
      <c r="K4363" t="s">
        <v>20</v>
      </c>
      <c r="L4363">
        <v>88700</v>
      </c>
      <c r="M4363">
        <v>3400</v>
      </c>
      <c r="N4363">
        <v>92100</v>
      </c>
      <c r="O4363" t="s">
        <v>30</v>
      </c>
      <c r="P4363" s="3">
        <v>44463</v>
      </c>
      <c r="Q4363" t="s">
        <v>28</v>
      </c>
    </row>
    <row r="4364" spans="1:17" x14ac:dyDescent="0.35">
      <c r="A4364" t="s">
        <v>4416</v>
      </c>
      <c r="B4364" t="s">
        <v>23</v>
      </c>
      <c r="C4364">
        <v>38</v>
      </c>
      <c r="D4364" t="s">
        <v>55</v>
      </c>
      <c r="E4364" t="s">
        <v>56</v>
      </c>
      <c r="F4364" t="s">
        <v>28</v>
      </c>
      <c r="G4364">
        <v>11</v>
      </c>
      <c r="H4364">
        <v>4.5999999999999996</v>
      </c>
      <c r="I4364" t="str" cm="1">
        <f t="array" ref="I4364">_xlfn.IFS(G4364&lt;3, "0–2 Years", G4364&lt;6, "3–5 Years", G4364&lt;9, "6–8 Years", G4364&lt;12, "9-11 Years", G4364&gt;=12, "12-14 Years")</f>
        <v>9-11 Years</v>
      </c>
      <c r="J4364">
        <v>4</v>
      </c>
      <c r="K4364" t="s">
        <v>20</v>
      </c>
      <c r="L4364">
        <v>104300</v>
      </c>
      <c r="M4364">
        <v>10600</v>
      </c>
      <c r="N4364">
        <v>114900</v>
      </c>
      <c r="O4364" t="s">
        <v>57</v>
      </c>
      <c r="P4364" s="3">
        <v>42013</v>
      </c>
      <c r="Q4364" t="s">
        <v>28</v>
      </c>
    </row>
    <row r="4365" spans="1:17" x14ac:dyDescent="0.35">
      <c r="A4365" t="s">
        <v>4417</v>
      </c>
      <c r="B4365" t="s">
        <v>16</v>
      </c>
      <c r="C4365">
        <v>37</v>
      </c>
      <c r="D4365" t="s">
        <v>38</v>
      </c>
      <c r="E4365" t="s">
        <v>61</v>
      </c>
      <c r="F4365" t="s">
        <v>28</v>
      </c>
      <c r="G4365">
        <v>1.8</v>
      </c>
      <c r="H4365">
        <v>1.8</v>
      </c>
      <c r="I4365" t="str" cm="1">
        <f t="array" ref="I4365">_xlfn.IFS(G4365&lt;3, "0–2 Years", G4365&lt;6, "3–5 Years", G4365&lt;9, "6–8 Years", G4365&lt;12, "9-11 Years", G4365&gt;=12, "12-14 Years")</f>
        <v>0–2 Years</v>
      </c>
      <c r="J4365">
        <v>3</v>
      </c>
      <c r="K4365" t="s">
        <v>20</v>
      </c>
      <c r="L4365">
        <v>85900</v>
      </c>
      <c r="M4365">
        <v>7200</v>
      </c>
      <c r="N4365">
        <v>93100</v>
      </c>
      <c r="O4365" t="s">
        <v>30</v>
      </c>
      <c r="P4365" s="3">
        <v>45371</v>
      </c>
      <c r="Q4365" t="s">
        <v>28</v>
      </c>
    </row>
    <row r="4366" spans="1:17" x14ac:dyDescent="0.35">
      <c r="A4366" t="s">
        <v>4418</v>
      </c>
      <c r="B4366" t="s">
        <v>16</v>
      </c>
      <c r="C4366" s="7">
        <v>32</v>
      </c>
      <c r="D4366" t="s">
        <v>44</v>
      </c>
      <c r="E4366" t="s">
        <v>81</v>
      </c>
      <c r="F4366" t="s">
        <v>28</v>
      </c>
      <c r="G4366" s="9">
        <v>13.8</v>
      </c>
      <c r="H4366" s="7">
        <v>8.1</v>
      </c>
      <c r="I4366" t="str" cm="1">
        <f t="array" ref="I4366">_xlfn.IFS(G4366&lt;3, "0–2 Years", G4366&lt;6, "3–5 Years", G4366&lt;9, "6–8 Years", G4366&lt;12, "9-11 Years", G4366&gt;=12, "12-14 Years")</f>
        <v>12-14 Years</v>
      </c>
      <c r="J4366" s="7">
        <v>3</v>
      </c>
      <c r="K4366" t="s">
        <v>20</v>
      </c>
      <c r="L4366" s="7">
        <v>110100</v>
      </c>
      <c r="M4366" s="7">
        <v>16000</v>
      </c>
      <c r="N4366" s="7">
        <v>126100</v>
      </c>
      <c r="O4366" t="s">
        <v>57</v>
      </c>
      <c r="P4366" s="3">
        <v>40982</v>
      </c>
      <c r="Q4366" t="s">
        <v>28</v>
      </c>
    </row>
    <row r="4367" spans="1:17" x14ac:dyDescent="0.35">
      <c r="A4367" t="s">
        <v>4419</v>
      </c>
      <c r="B4367" t="s">
        <v>23</v>
      </c>
      <c r="C4367">
        <v>50</v>
      </c>
      <c r="D4367" t="s">
        <v>34</v>
      </c>
      <c r="E4367" t="s">
        <v>35</v>
      </c>
      <c r="F4367" t="s">
        <v>28</v>
      </c>
      <c r="G4367">
        <v>8.8000000000000007</v>
      </c>
      <c r="H4367">
        <v>7.8</v>
      </c>
      <c r="I4367" t="str" cm="1">
        <f t="array" ref="I4367">_xlfn.IFS(G4367&lt;3, "0–2 Years", G4367&lt;6, "3–5 Years", G4367&lt;9, "6–8 Years", G4367&lt;12, "9-11 Years", G4367&gt;=12, "12-14 Years")</f>
        <v>6–8 Years</v>
      </c>
      <c r="J4367">
        <v>3</v>
      </c>
      <c r="K4367" t="s">
        <v>24</v>
      </c>
      <c r="L4367">
        <v>49200</v>
      </c>
      <c r="M4367">
        <v>4700</v>
      </c>
      <c r="N4367">
        <v>53900</v>
      </c>
      <c r="O4367" t="s">
        <v>65</v>
      </c>
      <c r="P4367" s="3">
        <v>42799</v>
      </c>
      <c r="Q4367" t="s">
        <v>28</v>
      </c>
    </row>
    <row r="4368" spans="1:17" x14ac:dyDescent="0.35">
      <c r="A4368" t="s">
        <v>4420</v>
      </c>
      <c r="B4368" t="s">
        <v>23</v>
      </c>
      <c r="C4368">
        <v>39</v>
      </c>
      <c r="D4368" t="s">
        <v>55</v>
      </c>
      <c r="E4368" t="s">
        <v>79</v>
      </c>
      <c r="F4368" t="s">
        <v>36</v>
      </c>
      <c r="G4368">
        <v>10.199999999999999</v>
      </c>
      <c r="H4368">
        <v>6.1</v>
      </c>
      <c r="I4368" t="str" cm="1">
        <f t="array" ref="I4368">_xlfn.IFS(G4368&lt;3, "0–2 Years", G4368&lt;6, "3–5 Years", G4368&lt;9, "6–8 Years", G4368&lt;12, "9-11 Years", G4368&gt;=12, "12-14 Years")</f>
        <v>9-11 Years</v>
      </c>
      <c r="J4368">
        <v>1</v>
      </c>
      <c r="K4368" t="s">
        <v>20</v>
      </c>
      <c r="L4368">
        <v>69300</v>
      </c>
      <c r="M4368">
        <v>7200</v>
      </c>
      <c r="N4368">
        <v>76500</v>
      </c>
      <c r="O4368" t="s">
        <v>21</v>
      </c>
      <c r="P4368" s="3">
        <v>42303</v>
      </c>
      <c r="Q4368" t="s">
        <v>36</v>
      </c>
    </row>
    <row r="4369" spans="1:17" x14ac:dyDescent="0.35">
      <c r="A4369" t="s">
        <v>4421</v>
      </c>
      <c r="B4369" t="s">
        <v>23</v>
      </c>
      <c r="C4369">
        <v>36</v>
      </c>
      <c r="D4369" t="s">
        <v>17</v>
      </c>
      <c r="E4369" t="s">
        <v>32</v>
      </c>
      <c r="F4369" t="s">
        <v>62</v>
      </c>
      <c r="G4369">
        <v>1.7</v>
      </c>
      <c r="H4369">
        <v>0</v>
      </c>
      <c r="I4369" t="str" cm="1">
        <f t="array" ref="I4369">_xlfn.IFS(G4369&lt;3, "0–2 Years", G4369&lt;6, "3–5 Years", G4369&lt;9, "6–8 Years", G4369&lt;12, "9-11 Years", G4369&gt;=12, "12-14 Years")</f>
        <v>0–2 Years</v>
      </c>
      <c r="J4369">
        <v>3</v>
      </c>
      <c r="K4369" t="s">
        <v>20</v>
      </c>
      <c r="L4369">
        <v>62900</v>
      </c>
      <c r="M4369">
        <v>3700</v>
      </c>
      <c r="N4369">
        <v>66600</v>
      </c>
      <c r="O4369" t="s">
        <v>25</v>
      </c>
      <c r="P4369" s="3">
        <v>45403</v>
      </c>
      <c r="Q4369" t="s">
        <v>62</v>
      </c>
    </row>
    <row r="4370" spans="1:17" x14ac:dyDescent="0.35">
      <c r="A4370" t="s">
        <v>4422</v>
      </c>
      <c r="B4370" t="s">
        <v>16</v>
      </c>
      <c r="C4370">
        <v>30</v>
      </c>
      <c r="D4370" t="s">
        <v>44</v>
      </c>
      <c r="E4370" t="s">
        <v>76</v>
      </c>
      <c r="F4370" t="s">
        <v>62</v>
      </c>
      <c r="G4370">
        <v>10.7</v>
      </c>
      <c r="H4370">
        <v>8.6</v>
      </c>
      <c r="I4370" t="str" cm="1">
        <f t="array" ref="I4370">_xlfn.IFS(G4370&lt;3, "0–2 Years", G4370&lt;6, "3–5 Years", G4370&lt;9, "6–8 Years", G4370&lt;12, "9-11 Years", G4370&gt;=12, "12-14 Years")</f>
        <v>9-11 Years</v>
      </c>
      <c r="J4370">
        <v>2</v>
      </c>
      <c r="K4370" t="s">
        <v>69</v>
      </c>
      <c r="L4370">
        <v>104200</v>
      </c>
      <c r="M4370">
        <v>13300</v>
      </c>
      <c r="N4370">
        <v>117500</v>
      </c>
      <c r="O4370" t="s">
        <v>57</v>
      </c>
      <c r="P4370" s="3">
        <v>42125</v>
      </c>
      <c r="Q4370" t="s">
        <v>62</v>
      </c>
    </row>
    <row r="4371" spans="1:17" x14ac:dyDescent="0.35">
      <c r="A4371" t="s">
        <v>4423</v>
      </c>
      <c r="B4371" t="s">
        <v>23</v>
      </c>
      <c r="C4371">
        <v>35</v>
      </c>
      <c r="D4371" t="s">
        <v>17</v>
      </c>
      <c r="E4371" t="s">
        <v>27</v>
      </c>
      <c r="F4371" t="s">
        <v>36</v>
      </c>
      <c r="G4371">
        <v>1.2</v>
      </c>
      <c r="H4371">
        <v>0.7</v>
      </c>
      <c r="I4371" t="str" cm="1">
        <f t="array" ref="I4371">_xlfn.IFS(G4371&lt;3, "0–2 Years", G4371&lt;6, "3–5 Years", G4371&lt;9, "6–8 Years", G4371&lt;12, "9-11 Years", G4371&gt;=12, "12-14 Years")</f>
        <v>0–2 Years</v>
      </c>
      <c r="J4371">
        <v>2</v>
      </c>
      <c r="K4371" t="s">
        <v>69</v>
      </c>
      <c r="L4371">
        <v>60800</v>
      </c>
      <c r="M4371">
        <v>6600</v>
      </c>
      <c r="N4371">
        <v>67400</v>
      </c>
      <c r="O4371" t="s">
        <v>25</v>
      </c>
      <c r="P4371" s="3">
        <v>45590</v>
      </c>
      <c r="Q4371" t="s">
        <v>36</v>
      </c>
    </row>
    <row r="4372" spans="1:17" x14ac:dyDescent="0.35">
      <c r="A4372" t="s">
        <v>4424</v>
      </c>
      <c r="B4372" t="s">
        <v>16</v>
      </c>
      <c r="C4372">
        <v>36</v>
      </c>
      <c r="D4372" t="s">
        <v>34</v>
      </c>
      <c r="E4372" t="s">
        <v>35</v>
      </c>
      <c r="F4372" t="s">
        <v>28</v>
      </c>
      <c r="G4372">
        <v>5.6</v>
      </c>
      <c r="H4372">
        <v>2.4</v>
      </c>
      <c r="I4372" t="str" cm="1">
        <f t="array" ref="I4372">_xlfn.IFS(G4372&lt;3, "0–2 Years", G4372&lt;6, "3–5 Years", G4372&lt;9, "6–8 Years", G4372&lt;12, "9-11 Years", G4372&gt;=12, "12-14 Years")</f>
        <v>3–5 Years</v>
      </c>
      <c r="J4372">
        <v>3</v>
      </c>
      <c r="K4372" t="s">
        <v>20</v>
      </c>
      <c r="L4372">
        <v>71400</v>
      </c>
      <c r="M4372">
        <v>6100</v>
      </c>
      <c r="N4372">
        <v>77500</v>
      </c>
      <c r="O4372" t="s">
        <v>21</v>
      </c>
      <c r="P4372" s="3">
        <v>43986</v>
      </c>
      <c r="Q4372" t="s">
        <v>28</v>
      </c>
    </row>
    <row r="4373" spans="1:17" x14ac:dyDescent="0.35">
      <c r="A4373" t="s">
        <v>4425</v>
      </c>
      <c r="B4373" t="s">
        <v>23</v>
      </c>
      <c r="C4373">
        <v>33</v>
      </c>
      <c r="D4373" t="s">
        <v>34</v>
      </c>
      <c r="E4373" t="s">
        <v>59</v>
      </c>
      <c r="F4373" t="s">
        <v>19</v>
      </c>
      <c r="G4373">
        <v>5.7</v>
      </c>
      <c r="H4373">
        <v>2.4</v>
      </c>
      <c r="I4373" t="str" cm="1">
        <f t="array" ref="I4373">_xlfn.IFS(G4373&lt;3, "0–2 Years", G4373&lt;6, "3–5 Years", G4373&lt;9, "6–8 Years", G4373&lt;12, "9-11 Years", G4373&gt;=12, "12-14 Years")</f>
        <v>3–5 Years</v>
      </c>
      <c r="J4373">
        <v>4</v>
      </c>
      <c r="K4373" t="s">
        <v>24</v>
      </c>
      <c r="L4373">
        <v>59200</v>
      </c>
      <c r="M4373">
        <v>4300</v>
      </c>
      <c r="N4373">
        <v>63500</v>
      </c>
      <c r="O4373" t="s">
        <v>25</v>
      </c>
      <c r="P4373" s="3">
        <v>43926</v>
      </c>
      <c r="Q4373" t="s">
        <v>19</v>
      </c>
    </row>
    <row r="4374" spans="1:17" x14ac:dyDescent="0.35">
      <c r="A4374" t="s">
        <v>4426</v>
      </c>
      <c r="B4374" t="s">
        <v>16</v>
      </c>
      <c r="C4374">
        <v>26</v>
      </c>
      <c r="D4374" t="s">
        <v>44</v>
      </c>
      <c r="E4374" t="s">
        <v>51</v>
      </c>
      <c r="F4374" t="s">
        <v>28</v>
      </c>
      <c r="G4374">
        <v>9</v>
      </c>
      <c r="H4374">
        <v>4.5999999999999996</v>
      </c>
      <c r="I4374" t="str" cm="1">
        <f t="array" ref="I4374">_xlfn.IFS(G4374&lt;3, "0–2 Years", G4374&lt;6, "3–5 Years", G4374&lt;9, "6–8 Years", G4374&lt;12, "9-11 Years", G4374&gt;=12, "12-14 Years")</f>
        <v>9-11 Years</v>
      </c>
      <c r="J4374">
        <v>3</v>
      </c>
      <c r="K4374" t="s">
        <v>20</v>
      </c>
      <c r="L4374">
        <v>77400</v>
      </c>
      <c r="M4374">
        <v>9200</v>
      </c>
      <c r="N4374">
        <v>86600</v>
      </c>
      <c r="O4374" t="s">
        <v>21</v>
      </c>
      <c r="P4374" s="3">
        <v>42744</v>
      </c>
      <c r="Q4374" t="s">
        <v>28</v>
      </c>
    </row>
    <row r="4375" spans="1:17" x14ac:dyDescent="0.35">
      <c r="A4375" t="s">
        <v>4427</v>
      </c>
      <c r="B4375" t="s">
        <v>23</v>
      </c>
      <c r="C4375">
        <v>35</v>
      </c>
      <c r="D4375" t="s">
        <v>38</v>
      </c>
      <c r="E4375" t="s">
        <v>112</v>
      </c>
      <c r="F4375" t="s">
        <v>28</v>
      </c>
      <c r="G4375">
        <v>2.2000000000000002</v>
      </c>
      <c r="H4375">
        <v>1.1000000000000001</v>
      </c>
      <c r="I4375" t="str" cm="1">
        <f t="array" ref="I4375">_xlfn.IFS(G4375&lt;3, "0–2 Years", G4375&lt;6, "3–5 Years", G4375&lt;9, "6–8 Years", G4375&lt;12, "9-11 Years", G4375&gt;=12, "12-14 Years")</f>
        <v>0–2 Years</v>
      </c>
      <c r="J4375">
        <v>3</v>
      </c>
      <c r="K4375" t="s">
        <v>20</v>
      </c>
      <c r="L4375">
        <v>68300</v>
      </c>
      <c r="M4375">
        <v>4600</v>
      </c>
      <c r="N4375">
        <v>72900</v>
      </c>
      <c r="O4375" t="s">
        <v>21</v>
      </c>
      <c r="P4375" s="3">
        <v>45224</v>
      </c>
      <c r="Q4375" t="s">
        <v>28</v>
      </c>
    </row>
    <row r="4376" spans="1:17" x14ac:dyDescent="0.35">
      <c r="A4376" t="s">
        <v>4428</v>
      </c>
      <c r="B4376" t="s">
        <v>23</v>
      </c>
      <c r="C4376">
        <v>30</v>
      </c>
      <c r="D4376" t="s">
        <v>44</v>
      </c>
      <c r="E4376" t="s">
        <v>45</v>
      </c>
      <c r="F4376" t="s">
        <v>36</v>
      </c>
      <c r="G4376">
        <v>1.3</v>
      </c>
      <c r="H4376">
        <v>1.3</v>
      </c>
      <c r="I4376" t="str" cm="1">
        <f t="array" ref="I4376">_xlfn.IFS(G4376&lt;3, "0–2 Years", G4376&lt;6, "3–5 Years", G4376&lt;9, "6–8 Years", G4376&lt;12, "9-11 Years", G4376&gt;=12, "12-14 Years")</f>
        <v>0–2 Years</v>
      </c>
      <c r="J4376">
        <v>2</v>
      </c>
      <c r="K4376" t="s">
        <v>20</v>
      </c>
      <c r="L4376">
        <v>71900</v>
      </c>
      <c r="M4376">
        <v>6300</v>
      </c>
      <c r="N4376">
        <v>78200</v>
      </c>
      <c r="O4376" t="s">
        <v>21</v>
      </c>
      <c r="P4376" s="3">
        <v>45543</v>
      </c>
      <c r="Q4376" t="s">
        <v>36</v>
      </c>
    </row>
    <row r="4377" spans="1:17" x14ac:dyDescent="0.35">
      <c r="A4377" t="s">
        <v>4429</v>
      </c>
      <c r="B4377" t="s">
        <v>16</v>
      </c>
      <c r="C4377">
        <v>24</v>
      </c>
      <c r="D4377" t="s">
        <v>38</v>
      </c>
      <c r="E4377" t="s">
        <v>61</v>
      </c>
      <c r="F4377" t="s">
        <v>62</v>
      </c>
      <c r="G4377">
        <v>9</v>
      </c>
      <c r="H4377">
        <v>4.4000000000000004</v>
      </c>
      <c r="I4377" t="str" cm="1">
        <f t="array" ref="I4377">_xlfn.IFS(G4377&lt;3, "0–2 Years", G4377&lt;6, "3–5 Years", G4377&lt;9, "6–8 Years", G4377&lt;12, "9-11 Years", G4377&gt;=12, "12-14 Years")</f>
        <v>9-11 Years</v>
      </c>
      <c r="J4377">
        <v>4</v>
      </c>
      <c r="K4377" t="s">
        <v>20</v>
      </c>
      <c r="L4377">
        <v>122300</v>
      </c>
      <c r="M4377">
        <v>8500</v>
      </c>
      <c r="N4377">
        <v>130800</v>
      </c>
      <c r="O4377" t="s">
        <v>57</v>
      </c>
      <c r="P4377" s="3">
        <v>42744</v>
      </c>
      <c r="Q4377" t="s">
        <v>62</v>
      </c>
    </row>
    <row r="4378" spans="1:17" x14ac:dyDescent="0.35">
      <c r="A4378" t="s">
        <v>4430</v>
      </c>
      <c r="B4378" t="s">
        <v>23</v>
      </c>
      <c r="C4378">
        <v>35</v>
      </c>
      <c r="D4378" t="s">
        <v>41</v>
      </c>
      <c r="E4378" t="s">
        <v>67</v>
      </c>
      <c r="F4378" t="s">
        <v>28</v>
      </c>
      <c r="G4378">
        <v>6.5</v>
      </c>
      <c r="H4378">
        <v>5.2</v>
      </c>
      <c r="I4378" t="str" cm="1">
        <f t="array" ref="I4378">_xlfn.IFS(G4378&lt;3, "0–2 Years", G4378&lt;6, "3–5 Years", G4378&lt;9, "6–8 Years", G4378&lt;12, "9-11 Years", G4378&gt;=12, "12-14 Years")</f>
        <v>6–8 Years</v>
      </c>
      <c r="J4378">
        <v>3</v>
      </c>
      <c r="K4378" t="s">
        <v>20</v>
      </c>
      <c r="L4378">
        <v>77800</v>
      </c>
      <c r="M4378">
        <v>2600</v>
      </c>
      <c r="N4378">
        <v>80400</v>
      </c>
      <c r="O4378" t="s">
        <v>21</v>
      </c>
      <c r="P4378" s="3">
        <v>43661</v>
      </c>
      <c r="Q4378" t="s">
        <v>28</v>
      </c>
    </row>
    <row r="4379" spans="1:17" x14ac:dyDescent="0.35">
      <c r="A4379" t="s">
        <v>4431</v>
      </c>
      <c r="B4379" t="s">
        <v>16</v>
      </c>
      <c r="C4379" s="7">
        <v>24</v>
      </c>
      <c r="D4379" t="s">
        <v>34</v>
      </c>
      <c r="E4379" t="s">
        <v>47</v>
      </c>
      <c r="F4379" t="s">
        <v>28</v>
      </c>
      <c r="G4379" s="9">
        <v>13.8</v>
      </c>
      <c r="H4379" s="7">
        <v>8.9</v>
      </c>
      <c r="I4379" t="str" cm="1">
        <f t="array" ref="I4379">_xlfn.IFS(G4379&lt;3, "0–2 Years", G4379&lt;6, "3–5 Years", G4379&lt;9, "6–8 Years", G4379&lt;12, "9-11 Years", G4379&gt;=12, "12-14 Years")</f>
        <v>12-14 Years</v>
      </c>
      <c r="J4379" s="7">
        <v>3</v>
      </c>
      <c r="K4379" t="s">
        <v>20</v>
      </c>
      <c r="L4379" s="7">
        <v>79100</v>
      </c>
      <c r="M4379" s="7">
        <v>7400</v>
      </c>
      <c r="N4379" s="7">
        <v>86500</v>
      </c>
      <c r="O4379" t="s">
        <v>21</v>
      </c>
      <c r="P4379" s="3">
        <v>40981</v>
      </c>
      <c r="Q4379" t="s">
        <v>28</v>
      </c>
    </row>
    <row r="4380" spans="1:17" x14ac:dyDescent="0.35">
      <c r="A4380" t="s">
        <v>4432</v>
      </c>
      <c r="B4380" t="s">
        <v>16</v>
      </c>
      <c r="C4380">
        <v>21</v>
      </c>
      <c r="D4380" t="s">
        <v>34</v>
      </c>
      <c r="E4380" t="s">
        <v>47</v>
      </c>
      <c r="F4380" t="s">
        <v>28</v>
      </c>
      <c r="G4380">
        <v>10.8</v>
      </c>
      <c r="H4380">
        <v>6.4</v>
      </c>
      <c r="I4380" t="str" cm="1">
        <f t="array" ref="I4380">_xlfn.IFS(G4380&lt;3, "0–2 Years", G4380&lt;6, "3–5 Years", G4380&lt;9, "6–8 Years", G4380&lt;12, "9-11 Years", G4380&gt;=12, "12-14 Years")</f>
        <v>9-11 Years</v>
      </c>
      <c r="J4380">
        <v>3</v>
      </c>
      <c r="K4380" t="s">
        <v>20</v>
      </c>
      <c r="L4380">
        <v>67600</v>
      </c>
      <c r="M4380">
        <v>6300</v>
      </c>
      <c r="N4380">
        <v>73900</v>
      </c>
      <c r="O4380" t="s">
        <v>21</v>
      </c>
      <c r="P4380" s="3">
        <v>42094</v>
      </c>
      <c r="Q4380" t="s">
        <v>28</v>
      </c>
    </row>
    <row r="4381" spans="1:17" x14ac:dyDescent="0.35">
      <c r="A4381" t="s">
        <v>4433</v>
      </c>
      <c r="B4381" t="s">
        <v>16</v>
      </c>
      <c r="C4381" s="7">
        <v>27</v>
      </c>
      <c r="D4381" t="s">
        <v>55</v>
      </c>
      <c r="E4381" t="s">
        <v>79</v>
      </c>
      <c r="F4381" t="s">
        <v>62</v>
      </c>
      <c r="G4381" s="9">
        <v>12.1</v>
      </c>
      <c r="H4381" s="7">
        <v>6.9</v>
      </c>
      <c r="I4381" t="str" cm="1">
        <f t="array" ref="I4381">_xlfn.IFS(G4381&lt;3, "0–2 Years", G4381&lt;6, "3–5 Years", G4381&lt;9, "6–8 Years", G4381&lt;12, "9-11 Years", G4381&gt;=12, "12-14 Years")</f>
        <v>12-14 Years</v>
      </c>
      <c r="J4381" s="7">
        <v>3</v>
      </c>
      <c r="K4381" t="s">
        <v>20</v>
      </c>
      <c r="L4381" s="7">
        <v>77300</v>
      </c>
      <c r="M4381" s="7">
        <v>9300</v>
      </c>
      <c r="N4381" s="7">
        <v>86600</v>
      </c>
      <c r="O4381" t="s">
        <v>21</v>
      </c>
      <c r="P4381" s="3">
        <v>41608</v>
      </c>
      <c r="Q4381" t="s">
        <v>62</v>
      </c>
    </row>
    <row r="4382" spans="1:17" x14ac:dyDescent="0.35">
      <c r="A4382" t="s">
        <v>4434</v>
      </c>
      <c r="B4382" t="s">
        <v>23</v>
      </c>
      <c r="C4382">
        <v>37</v>
      </c>
      <c r="D4382" t="s">
        <v>34</v>
      </c>
      <c r="E4382" t="s">
        <v>59</v>
      </c>
      <c r="F4382" t="s">
        <v>19</v>
      </c>
      <c r="G4382">
        <v>11.8</v>
      </c>
      <c r="H4382">
        <v>7.2</v>
      </c>
      <c r="I4382" t="str" cm="1">
        <f t="array" ref="I4382">_xlfn.IFS(G4382&lt;3, "0–2 Years", G4382&lt;6, "3–5 Years", G4382&lt;9, "6–8 Years", G4382&lt;12, "9-11 Years", G4382&gt;=12, "12-14 Years")</f>
        <v>9-11 Years</v>
      </c>
      <c r="J4382">
        <v>4</v>
      </c>
      <c r="K4382" t="s">
        <v>24</v>
      </c>
      <c r="L4382">
        <v>63800</v>
      </c>
      <c r="M4382">
        <v>2800</v>
      </c>
      <c r="N4382">
        <v>66600</v>
      </c>
      <c r="O4382" t="s">
        <v>25</v>
      </c>
      <c r="P4382" s="3">
        <v>41712</v>
      </c>
      <c r="Q4382" t="s">
        <v>19</v>
      </c>
    </row>
    <row r="4383" spans="1:17" x14ac:dyDescent="0.35">
      <c r="A4383" t="s">
        <v>4435</v>
      </c>
      <c r="B4383" t="s">
        <v>23</v>
      </c>
      <c r="C4383">
        <v>39</v>
      </c>
      <c r="D4383" t="s">
        <v>34</v>
      </c>
      <c r="E4383" t="s">
        <v>35</v>
      </c>
      <c r="F4383" t="s">
        <v>36</v>
      </c>
      <c r="G4383">
        <v>6.9</v>
      </c>
      <c r="H4383">
        <v>4.2</v>
      </c>
      <c r="I4383" t="str" cm="1">
        <f t="array" ref="I4383">_xlfn.IFS(G4383&lt;3, "0–2 Years", G4383&lt;6, "3–5 Years", G4383&lt;9, "6–8 Years", G4383&lt;12, "9-11 Years", G4383&gt;=12, "12-14 Years")</f>
        <v>6–8 Years</v>
      </c>
      <c r="J4383">
        <v>4</v>
      </c>
      <c r="K4383" t="s">
        <v>24</v>
      </c>
      <c r="L4383">
        <v>54400</v>
      </c>
      <c r="M4383">
        <v>3100</v>
      </c>
      <c r="N4383">
        <v>57500</v>
      </c>
      <c r="O4383" t="s">
        <v>25</v>
      </c>
      <c r="P4383" s="3">
        <v>43494</v>
      </c>
      <c r="Q4383" t="s">
        <v>36</v>
      </c>
    </row>
    <row r="4384" spans="1:17" x14ac:dyDescent="0.35">
      <c r="A4384" t="s">
        <v>4436</v>
      </c>
      <c r="B4384" t="s">
        <v>23</v>
      </c>
      <c r="C4384">
        <v>34</v>
      </c>
      <c r="D4384" t="s">
        <v>34</v>
      </c>
      <c r="E4384" t="s">
        <v>35</v>
      </c>
      <c r="F4384" t="s">
        <v>36</v>
      </c>
      <c r="G4384">
        <v>6.5</v>
      </c>
      <c r="H4384">
        <v>4.8</v>
      </c>
      <c r="I4384" t="str" cm="1">
        <f t="array" ref="I4384">_xlfn.IFS(G4384&lt;3, "0–2 Years", G4384&lt;6, "3–5 Years", G4384&lt;9, "6–8 Years", G4384&lt;12, "9-11 Years", G4384&gt;=12, "12-14 Years")</f>
        <v>6–8 Years</v>
      </c>
      <c r="J4384">
        <v>3</v>
      </c>
      <c r="K4384" t="s">
        <v>24</v>
      </c>
      <c r="L4384">
        <v>47200</v>
      </c>
      <c r="M4384">
        <v>4900</v>
      </c>
      <c r="N4384">
        <v>52100</v>
      </c>
      <c r="O4384" t="s">
        <v>65</v>
      </c>
      <c r="P4384" s="3">
        <v>43654</v>
      </c>
      <c r="Q4384" t="s">
        <v>36</v>
      </c>
    </row>
    <row r="4385" spans="1:17" x14ac:dyDescent="0.35">
      <c r="A4385" t="s">
        <v>4437</v>
      </c>
      <c r="B4385" t="s">
        <v>16</v>
      </c>
      <c r="C4385">
        <v>30</v>
      </c>
      <c r="D4385" t="s">
        <v>41</v>
      </c>
      <c r="E4385" t="s">
        <v>42</v>
      </c>
      <c r="F4385" t="s">
        <v>19</v>
      </c>
      <c r="G4385">
        <v>8.3000000000000007</v>
      </c>
      <c r="H4385">
        <v>2</v>
      </c>
      <c r="I4385" t="str" cm="1">
        <f t="array" ref="I4385">_xlfn.IFS(G4385&lt;3, "0–2 Years", G4385&lt;6, "3–5 Years", G4385&lt;9, "6–8 Years", G4385&lt;12, "9-11 Years", G4385&gt;=12, "12-14 Years")</f>
        <v>6–8 Years</v>
      </c>
      <c r="J4385">
        <v>2</v>
      </c>
      <c r="K4385" t="s">
        <v>24</v>
      </c>
      <c r="L4385">
        <v>49600</v>
      </c>
      <c r="M4385">
        <v>4200</v>
      </c>
      <c r="N4385">
        <v>53800</v>
      </c>
      <c r="O4385" t="s">
        <v>65</v>
      </c>
      <c r="P4385" s="3">
        <v>42998</v>
      </c>
      <c r="Q4385" t="s">
        <v>19</v>
      </c>
    </row>
    <row r="4386" spans="1:17" x14ac:dyDescent="0.35">
      <c r="A4386" t="s">
        <v>4438</v>
      </c>
      <c r="B4386" t="s">
        <v>23</v>
      </c>
      <c r="C4386" s="7">
        <v>40</v>
      </c>
      <c r="D4386" t="s">
        <v>44</v>
      </c>
      <c r="E4386" t="s">
        <v>81</v>
      </c>
      <c r="F4386" t="s">
        <v>36</v>
      </c>
      <c r="G4386" s="9">
        <v>12.4</v>
      </c>
      <c r="H4386" s="7">
        <v>7.2</v>
      </c>
      <c r="I4386" t="str" cm="1">
        <f t="array" ref="I4386">_xlfn.IFS(G4386&lt;3, "0–2 Years", G4386&lt;6, "3–5 Years", G4386&lt;9, "6–8 Years", G4386&lt;12, "9-11 Years", G4386&gt;=12, "12-14 Years")</f>
        <v>12-14 Years</v>
      </c>
      <c r="J4386" s="7">
        <v>3</v>
      </c>
      <c r="K4386" t="s">
        <v>20</v>
      </c>
      <c r="L4386" s="7">
        <v>114800</v>
      </c>
      <c r="M4386" s="7">
        <v>13100</v>
      </c>
      <c r="N4386" s="7">
        <v>127900</v>
      </c>
      <c r="O4386" t="s">
        <v>57</v>
      </c>
      <c r="P4386" s="3">
        <v>41500</v>
      </c>
      <c r="Q4386" t="s">
        <v>36</v>
      </c>
    </row>
    <row r="4387" spans="1:17" x14ac:dyDescent="0.35">
      <c r="A4387" t="s">
        <v>4439</v>
      </c>
      <c r="B4387" t="s">
        <v>16</v>
      </c>
      <c r="C4387">
        <v>47</v>
      </c>
      <c r="D4387" t="s">
        <v>44</v>
      </c>
      <c r="E4387" t="s">
        <v>76</v>
      </c>
      <c r="F4387" t="s">
        <v>28</v>
      </c>
      <c r="G4387">
        <v>2.4</v>
      </c>
      <c r="H4387">
        <v>0</v>
      </c>
      <c r="I4387" t="str" cm="1">
        <f t="array" ref="I4387">_xlfn.IFS(G4387&lt;3, "0–2 Years", G4387&lt;6, "3–5 Years", G4387&lt;9, "6–8 Years", G4387&lt;12, "9-11 Years", G4387&gt;=12, "12-14 Years")</f>
        <v>0–2 Years</v>
      </c>
      <c r="J4387">
        <v>4</v>
      </c>
      <c r="K4387" t="s">
        <v>20</v>
      </c>
      <c r="L4387">
        <v>97100</v>
      </c>
      <c r="M4387">
        <v>14400</v>
      </c>
      <c r="N4387">
        <v>111500</v>
      </c>
      <c r="O4387" t="s">
        <v>30</v>
      </c>
      <c r="P4387" s="3">
        <v>45138</v>
      </c>
      <c r="Q4387" t="s">
        <v>28</v>
      </c>
    </row>
    <row r="4388" spans="1:17" x14ac:dyDescent="0.35">
      <c r="A4388" t="s">
        <v>4440</v>
      </c>
      <c r="B4388" t="s">
        <v>23</v>
      </c>
      <c r="C4388">
        <v>41</v>
      </c>
      <c r="D4388" t="s">
        <v>55</v>
      </c>
      <c r="E4388" t="s">
        <v>56</v>
      </c>
      <c r="F4388" t="s">
        <v>19</v>
      </c>
      <c r="G4388">
        <v>11</v>
      </c>
      <c r="H4388">
        <v>7.2</v>
      </c>
      <c r="I4388" t="str" cm="1">
        <f t="array" ref="I4388">_xlfn.IFS(G4388&lt;3, "0–2 Years", G4388&lt;6, "3–5 Years", G4388&lt;9, "6–8 Years", G4388&lt;12, "9-11 Years", G4388&gt;=12, "12-14 Years")</f>
        <v>9-11 Years</v>
      </c>
      <c r="J4388">
        <v>2</v>
      </c>
      <c r="K4388" t="s">
        <v>20</v>
      </c>
      <c r="L4388">
        <v>87300</v>
      </c>
      <c r="M4388">
        <v>7600</v>
      </c>
      <c r="N4388">
        <v>94900</v>
      </c>
      <c r="O4388" t="s">
        <v>30</v>
      </c>
      <c r="P4388" s="3">
        <v>41997</v>
      </c>
      <c r="Q4388" t="s">
        <v>19</v>
      </c>
    </row>
    <row r="4389" spans="1:17" x14ac:dyDescent="0.35">
      <c r="A4389" t="s">
        <v>4441</v>
      </c>
      <c r="B4389" t="s">
        <v>23</v>
      </c>
      <c r="C4389">
        <v>37</v>
      </c>
      <c r="D4389" t="s">
        <v>17</v>
      </c>
      <c r="E4389" t="s">
        <v>32</v>
      </c>
      <c r="F4389" t="s">
        <v>36</v>
      </c>
      <c r="G4389">
        <v>9.5</v>
      </c>
      <c r="H4389">
        <v>6.4</v>
      </c>
      <c r="I4389" t="str" cm="1">
        <f t="array" ref="I4389">_xlfn.IFS(G4389&lt;3, "0–2 Years", G4389&lt;6, "3–5 Years", G4389&lt;9, "6–8 Years", G4389&lt;12, "9-11 Years", G4389&gt;=12, "12-14 Years")</f>
        <v>9-11 Years</v>
      </c>
      <c r="J4389">
        <v>3</v>
      </c>
      <c r="K4389" t="s">
        <v>20</v>
      </c>
      <c r="L4389">
        <v>78100</v>
      </c>
      <c r="M4389">
        <v>7800</v>
      </c>
      <c r="N4389">
        <v>85900</v>
      </c>
      <c r="O4389" t="s">
        <v>21</v>
      </c>
      <c r="P4389" s="3">
        <v>42552</v>
      </c>
      <c r="Q4389" t="s">
        <v>36</v>
      </c>
    </row>
    <row r="4390" spans="1:17" x14ac:dyDescent="0.35">
      <c r="A4390" t="s">
        <v>4442</v>
      </c>
      <c r="B4390" t="s">
        <v>16</v>
      </c>
      <c r="C4390">
        <v>21</v>
      </c>
      <c r="D4390" t="s">
        <v>55</v>
      </c>
      <c r="E4390" t="s">
        <v>92</v>
      </c>
      <c r="F4390" t="s">
        <v>28</v>
      </c>
      <c r="G4390">
        <v>11.8</v>
      </c>
      <c r="H4390">
        <v>8.5</v>
      </c>
      <c r="I4390" t="str" cm="1">
        <f t="array" ref="I4390">_xlfn.IFS(G4390&lt;3, "0–2 Years", G4390&lt;6, "3–5 Years", G4390&lt;9, "6–8 Years", G4390&lt;12, "9-11 Years", G4390&gt;=12, "12-14 Years")</f>
        <v>9-11 Years</v>
      </c>
      <c r="J4390">
        <v>3</v>
      </c>
      <c r="K4390" t="s">
        <v>20</v>
      </c>
      <c r="L4390">
        <v>92100</v>
      </c>
      <c r="M4390">
        <v>14700</v>
      </c>
      <c r="N4390">
        <v>106800</v>
      </c>
      <c r="O4390" t="s">
        <v>30</v>
      </c>
      <c r="P4390" s="3">
        <v>41712</v>
      </c>
      <c r="Q4390" t="s">
        <v>28</v>
      </c>
    </row>
    <row r="4391" spans="1:17" x14ac:dyDescent="0.35">
      <c r="A4391" t="s">
        <v>4443</v>
      </c>
      <c r="B4391" t="s">
        <v>23</v>
      </c>
      <c r="C4391">
        <v>33</v>
      </c>
      <c r="D4391" t="s">
        <v>38</v>
      </c>
      <c r="E4391" t="s">
        <v>39</v>
      </c>
      <c r="F4391" t="s">
        <v>36</v>
      </c>
      <c r="G4391">
        <v>10.1</v>
      </c>
      <c r="H4391">
        <v>9.6999999999999993</v>
      </c>
      <c r="I4391" t="str" cm="1">
        <f t="array" ref="I4391">_xlfn.IFS(G4391&lt;3, "0–2 Years", G4391&lt;6, "3–5 Years", G4391&lt;9, "6–8 Years", G4391&lt;12, "9-11 Years", G4391&gt;=12, "12-14 Years")</f>
        <v>9-11 Years</v>
      </c>
      <c r="J4391">
        <v>3</v>
      </c>
      <c r="K4391" t="s">
        <v>20</v>
      </c>
      <c r="L4391">
        <v>83900</v>
      </c>
      <c r="M4391">
        <v>5200</v>
      </c>
      <c r="N4391">
        <v>89100</v>
      </c>
      <c r="O4391" t="s">
        <v>30</v>
      </c>
      <c r="P4391" s="3">
        <v>42324</v>
      </c>
      <c r="Q4391" t="s">
        <v>36</v>
      </c>
    </row>
    <row r="4392" spans="1:17" x14ac:dyDescent="0.35">
      <c r="A4392" t="s">
        <v>4444</v>
      </c>
      <c r="B4392" t="s">
        <v>16</v>
      </c>
      <c r="C4392">
        <v>42</v>
      </c>
      <c r="D4392" t="s">
        <v>17</v>
      </c>
      <c r="E4392" t="s">
        <v>18</v>
      </c>
      <c r="F4392" t="s">
        <v>28</v>
      </c>
      <c r="G4392">
        <v>8.1</v>
      </c>
      <c r="H4392">
        <v>7.9</v>
      </c>
      <c r="I4392" t="str" cm="1">
        <f t="array" ref="I4392">_xlfn.IFS(G4392&lt;3, "0–2 Years", G4392&lt;6, "3–5 Years", G4392&lt;9, "6–8 Years", G4392&lt;12, "9-11 Years", G4392&gt;=12, "12-14 Years")</f>
        <v>6–8 Years</v>
      </c>
      <c r="J4392">
        <v>3</v>
      </c>
      <c r="K4392" t="s">
        <v>20</v>
      </c>
      <c r="L4392">
        <v>90200</v>
      </c>
      <c r="M4392">
        <v>11900</v>
      </c>
      <c r="N4392">
        <v>102100</v>
      </c>
      <c r="O4392" t="s">
        <v>30</v>
      </c>
      <c r="P4392" s="3">
        <v>43058</v>
      </c>
      <c r="Q4392" t="s">
        <v>28</v>
      </c>
    </row>
    <row r="4393" spans="1:17" x14ac:dyDescent="0.35">
      <c r="A4393" t="s">
        <v>4445</v>
      </c>
      <c r="B4393" t="s">
        <v>16</v>
      </c>
      <c r="C4393">
        <v>41</v>
      </c>
      <c r="D4393" t="s">
        <v>55</v>
      </c>
      <c r="E4393" t="s">
        <v>92</v>
      </c>
      <c r="F4393" t="s">
        <v>36</v>
      </c>
      <c r="G4393">
        <v>8.6</v>
      </c>
      <c r="H4393">
        <v>4.5999999999999996</v>
      </c>
      <c r="I4393" t="str" cm="1">
        <f t="array" ref="I4393">_xlfn.IFS(G4393&lt;3, "0–2 Years", G4393&lt;6, "3–5 Years", G4393&lt;9, "6–8 Years", G4393&lt;12, "9-11 Years", G4393&gt;=12, "12-14 Years")</f>
        <v>6–8 Years</v>
      </c>
      <c r="J4393">
        <v>3</v>
      </c>
      <c r="K4393" t="s">
        <v>20</v>
      </c>
      <c r="L4393">
        <v>119500</v>
      </c>
      <c r="M4393">
        <v>15000</v>
      </c>
      <c r="N4393">
        <v>134500</v>
      </c>
      <c r="O4393" t="s">
        <v>57</v>
      </c>
      <c r="P4393" s="3">
        <v>42879</v>
      </c>
      <c r="Q4393" t="s">
        <v>36</v>
      </c>
    </row>
    <row r="4394" spans="1:17" x14ac:dyDescent="0.35">
      <c r="A4394" t="s">
        <v>4446</v>
      </c>
      <c r="B4394" t="s">
        <v>16</v>
      </c>
      <c r="C4394">
        <v>35</v>
      </c>
      <c r="D4394" t="s">
        <v>41</v>
      </c>
      <c r="E4394" t="s">
        <v>67</v>
      </c>
      <c r="F4394" t="s">
        <v>28</v>
      </c>
      <c r="G4394">
        <v>5.3</v>
      </c>
      <c r="H4394">
        <v>3.9</v>
      </c>
      <c r="I4394" t="str" cm="1">
        <f t="array" ref="I4394">_xlfn.IFS(G4394&lt;3, "0–2 Years", G4394&lt;6, "3–5 Years", G4394&lt;9, "6–8 Years", G4394&lt;12, "9-11 Years", G4394&gt;=12, "12-14 Years")</f>
        <v>3–5 Years</v>
      </c>
      <c r="J4394">
        <v>3</v>
      </c>
      <c r="K4394" t="s">
        <v>20</v>
      </c>
      <c r="L4394">
        <v>71200</v>
      </c>
      <c r="M4394">
        <v>5300</v>
      </c>
      <c r="N4394">
        <v>76500</v>
      </c>
      <c r="O4394" t="s">
        <v>21</v>
      </c>
      <c r="P4394" s="3">
        <v>44078</v>
      </c>
      <c r="Q4394" t="s">
        <v>28</v>
      </c>
    </row>
    <row r="4395" spans="1:17" x14ac:dyDescent="0.35">
      <c r="A4395" t="s">
        <v>4447</v>
      </c>
      <c r="B4395" t="s">
        <v>16</v>
      </c>
      <c r="C4395">
        <v>33</v>
      </c>
      <c r="D4395" t="s">
        <v>34</v>
      </c>
      <c r="E4395" t="s">
        <v>35</v>
      </c>
      <c r="F4395" t="s">
        <v>36</v>
      </c>
      <c r="G4395">
        <v>9.4</v>
      </c>
      <c r="H4395">
        <v>7.2</v>
      </c>
      <c r="I4395" t="str" cm="1">
        <f t="array" ref="I4395">_xlfn.IFS(G4395&lt;3, "0–2 Years", G4395&lt;6, "3–5 Years", G4395&lt;9, "6–8 Years", G4395&lt;12, "9-11 Years", G4395&gt;=12, "12-14 Years")</f>
        <v>9-11 Years</v>
      </c>
      <c r="J4395">
        <v>4</v>
      </c>
      <c r="K4395" t="s">
        <v>20</v>
      </c>
      <c r="L4395">
        <v>70200</v>
      </c>
      <c r="M4395">
        <v>7400</v>
      </c>
      <c r="N4395">
        <v>77600</v>
      </c>
      <c r="O4395" t="s">
        <v>21</v>
      </c>
      <c r="P4395" s="3">
        <v>42589</v>
      </c>
      <c r="Q4395" t="s">
        <v>36</v>
      </c>
    </row>
    <row r="4396" spans="1:17" x14ac:dyDescent="0.35">
      <c r="A4396" t="s">
        <v>4448</v>
      </c>
      <c r="B4396" t="s">
        <v>23</v>
      </c>
      <c r="C4396">
        <v>38</v>
      </c>
      <c r="D4396" t="s">
        <v>38</v>
      </c>
      <c r="E4396" t="s">
        <v>112</v>
      </c>
      <c r="F4396" t="s">
        <v>19</v>
      </c>
      <c r="G4396">
        <v>4.2</v>
      </c>
      <c r="H4396">
        <v>1.2</v>
      </c>
      <c r="I4396" t="str" cm="1">
        <f t="array" ref="I4396">_xlfn.IFS(G4396&lt;3, "0–2 Years", G4396&lt;6, "3–5 Years", G4396&lt;9, "6–8 Years", G4396&lt;12, "9-11 Years", G4396&gt;=12, "12-14 Years")</f>
        <v>3–5 Years</v>
      </c>
      <c r="J4396">
        <v>3</v>
      </c>
      <c r="K4396" t="s">
        <v>20</v>
      </c>
      <c r="L4396">
        <v>58800</v>
      </c>
      <c r="M4396">
        <v>3100</v>
      </c>
      <c r="N4396">
        <v>61900</v>
      </c>
      <c r="O4396" t="s">
        <v>25</v>
      </c>
      <c r="P4396" s="3">
        <v>44476</v>
      </c>
      <c r="Q4396" t="s">
        <v>19</v>
      </c>
    </row>
    <row r="4397" spans="1:17" x14ac:dyDescent="0.35">
      <c r="A4397" t="s">
        <v>4449</v>
      </c>
      <c r="B4397" t="s">
        <v>23</v>
      </c>
      <c r="C4397">
        <v>51</v>
      </c>
      <c r="D4397" t="s">
        <v>41</v>
      </c>
      <c r="E4397" t="s">
        <v>42</v>
      </c>
      <c r="F4397" t="s">
        <v>36</v>
      </c>
      <c r="G4397">
        <v>1.3</v>
      </c>
      <c r="H4397">
        <v>1.3</v>
      </c>
      <c r="I4397" t="str" cm="1">
        <f t="array" ref="I4397">_xlfn.IFS(G4397&lt;3, "0–2 Years", G4397&lt;6, "3–5 Years", G4397&lt;9, "6–8 Years", G4397&lt;12, "9-11 Years", G4397&gt;=12, "12-14 Years")</f>
        <v>0–2 Years</v>
      </c>
      <c r="J4397">
        <v>2</v>
      </c>
      <c r="K4397" t="s">
        <v>20</v>
      </c>
      <c r="L4397">
        <v>75700</v>
      </c>
      <c r="M4397">
        <v>5000</v>
      </c>
      <c r="N4397">
        <v>80700</v>
      </c>
      <c r="O4397" t="s">
        <v>21</v>
      </c>
      <c r="P4397" s="3">
        <v>45534</v>
      </c>
      <c r="Q4397" t="s">
        <v>36</v>
      </c>
    </row>
    <row r="4398" spans="1:17" x14ac:dyDescent="0.35">
      <c r="A4398" t="s">
        <v>4450</v>
      </c>
      <c r="B4398" t="s">
        <v>16</v>
      </c>
      <c r="C4398">
        <v>43</v>
      </c>
      <c r="D4398" t="s">
        <v>44</v>
      </c>
      <c r="E4398" t="s">
        <v>45</v>
      </c>
      <c r="F4398" t="s">
        <v>28</v>
      </c>
      <c r="G4398">
        <v>9.8000000000000007</v>
      </c>
      <c r="H4398">
        <v>7.6</v>
      </c>
      <c r="I4398" t="str" cm="1">
        <f t="array" ref="I4398">_xlfn.IFS(G4398&lt;3, "0–2 Years", G4398&lt;6, "3–5 Years", G4398&lt;9, "6–8 Years", G4398&lt;12, "9-11 Years", G4398&gt;=12, "12-14 Years")</f>
        <v>9-11 Years</v>
      </c>
      <c r="J4398">
        <v>3</v>
      </c>
      <c r="K4398" t="s">
        <v>20</v>
      </c>
      <c r="L4398">
        <v>76100</v>
      </c>
      <c r="M4398">
        <v>8100</v>
      </c>
      <c r="N4398">
        <v>84200</v>
      </c>
      <c r="O4398" t="s">
        <v>21</v>
      </c>
      <c r="P4398" s="3">
        <v>42442</v>
      </c>
      <c r="Q4398" t="s">
        <v>28</v>
      </c>
    </row>
    <row r="4399" spans="1:17" x14ac:dyDescent="0.35">
      <c r="A4399" t="s">
        <v>4451</v>
      </c>
      <c r="B4399" t="s">
        <v>16</v>
      </c>
      <c r="C4399">
        <v>25</v>
      </c>
      <c r="D4399" t="s">
        <v>55</v>
      </c>
      <c r="E4399" t="s">
        <v>92</v>
      </c>
      <c r="F4399" t="s">
        <v>28</v>
      </c>
      <c r="G4399">
        <v>3.4</v>
      </c>
      <c r="H4399">
        <v>1.1000000000000001</v>
      </c>
      <c r="I4399" t="str" cm="1">
        <f t="array" ref="I4399">_xlfn.IFS(G4399&lt;3, "0–2 Years", G4399&lt;6, "3–5 Years", G4399&lt;9, "6–8 Years", G4399&lt;12, "9-11 Years", G4399&gt;=12, "12-14 Years")</f>
        <v>3–5 Years</v>
      </c>
      <c r="J4399">
        <v>2</v>
      </c>
      <c r="K4399" t="s">
        <v>24</v>
      </c>
      <c r="L4399">
        <v>63900</v>
      </c>
      <c r="M4399">
        <v>6800</v>
      </c>
      <c r="N4399">
        <v>70700</v>
      </c>
      <c r="O4399" t="s">
        <v>25</v>
      </c>
      <c r="P4399" s="3">
        <v>44763</v>
      </c>
      <c r="Q4399" t="s">
        <v>28</v>
      </c>
    </row>
    <row r="4400" spans="1:17" x14ac:dyDescent="0.35">
      <c r="A4400" t="s">
        <v>4452</v>
      </c>
      <c r="B4400" t="s">
        <v>16</v>
      </c>
      <c r="C4400">
        <v>25</v>
      </c>
      <c r="D4400" t="s">
        <v>34</v>
      </c>
      <c r="E4400" t="s">
        <v>59</v>
      </c>
      <c r="F4400" t="s">
        <v>28</v>
      </c>
      <c r="G4400">
        <v>1.8</v>
      </c>
      <c r="H4400">
        <v>0</v>
      </c>
      <c r="I4400" t="str" cm="1">
        <f t="array" ref="I4400">_xlfn.IFS(G4400&lt;3, "0–2 Years", G4400&lt;6, "3–5 Years", G4400&lt;9, "6–8 Years", G4400&lt;12, "9-11 Years", G4400&gt;=12, "12-14 Years")</f>
        <v>0–2 Years</v>
      </c>
      <c r="J4400">
        <v>4</v>
      </c>
      <c r="K4400" t="s">
        <v>20</v>
      </c>
      <c r="L4400">
        <v>108300</v>
      </c>
      <c r="M4400">
        <v>10100</v>
      </c>
      <c r="N4400">
        <v>118400</v>
      </c>
      <c r="O4400" t="s">
        <v>57</v>
      </c>
      <c r="P4400" s="3">
        <v>45370</v>
      </c>
      <c r="Q4400" t="s">
        <v>28</v>
      </c>
    </row>
    <row r="4401" spans="1:17" x14ac:dyDescent="0.35">
      <c r="A4401" t="s">
        <v>4453</v>
      </c>
      <c r="B4401" t="s">
        <v>23</v>
      </c>
      <c r="C4401">
        <v>40</v>
      </c>
      <c r="D4401" t="s">
        <v>55</v>
      </c>
      <c r="E4401" t="s">
        <v>56</v>
      </c>
      <c r="F4401" t="s">
        <v>28</v>
      </c>
      <c r="G4401">
        <v>7.3</v>
      </c>
      <c r="H4401">
        <v>3.7</v>
      </c>
      <c r="I4401" t="str" cm="1">
        <f t="array" ref="I4401">_xlfn.IFS(G4401&lt;3, "0–2 Years", G4401&lt;6, "3–5 Years", G4401&lt;9, "6–8 Years", G4401&lt;12, "9-11 Years", G4401&gt;=12, "12-14 Years")</f>
        <v>6–8 Years</v>
      </c>
      <c r="J4401">
        <v>4</v>
      </c>
      <c r="K4401" t="s">
        <v>20</v>
      </c>
      <c r="L4401">
        <v>102000</v>
      </c>
      <c r="M4401">
        <v>12400</v>
      </c>
      <c r="N4401">
        <v>114400</v>
      </c>
      <c r="O4401" t="s">
        <v>57</v>
      </c>
      <c r="P4401" s="3">
        <v>43352</v>
      </c>
      <c r="Q4401" t="s">
        <v>28</v>
      </c>
    </row>
    <row r="4402" spans="1:17" x14ac:dyDescent="0.35">
      <c r="A4402" t="s">
        <v>4454</v>
      </c>
      <c r="B4402" t="s">
        <v>23</v>
      </c>
      <c r="C4402">
        <v>48</v>
      </c>
      <c r="D4402" t="s">
        <v>41</v>
      </c>
      <c r="E4402" t="s">
        <v>67</v>
      </c>
      <c r="F4402" t="s">
        <v>36</v>
      </c>
      <c r="G4402">
        <v>9.4</v>
      </c>
      <c r="H4402">
        <v>5.3</v>
      </c>
      <c r="I4402" t="str" cm="1">
        <f t="array" ref="I4402">_xlfn.IFS(G4402&lt;3, "0–2 Years", G4402&lt;6, "3–5 Years", G4402&lt;9, "6–8 Years", G4402&lt;12, "9-11 Years", G4402&gt;=12, "12-14 Years")</f>
        <v>9-11 Years</v>
      </c>
      <c r="J4402">
        <v>5</v>
      </c>
      <c r="K4402" t="s">
        <v>20</v>
      </c>
      <c r="L4402">
        <v>84000</v>
      </c>
      <c r="M4402">
        <v>6900</v>
      </c>
      <c r="N4402">
        <v>90900</v>
      </c>
      <c r="O4402" t="s">
        <v>30</v>
      </c>
      <c r="P4402" s="3">
        <v>42600</v>
      </c>
      <c r="Q4402" t="s">
        <v>36</v>
      </c>
    </row>
    <row r="4403" spans="1:17" x14ac:dyDescent="0.35">
      <c r="A4403" t="s">
        <v>4455</v>
      </c>
      <c r="B4403" t="s">
        <v>16</v>
      </c>
      <c r="C4403">
        <v>25</v>
      </c>
      <c r="D4403" t="s">
        <v>38</v>
      </c>
      <c r="E4403" t="s">
        <v>39</v>
      </c>
      <c r="F4403" t="s">
        <v>28</v>
      </c>
      <c r="G4403">
        <v>11.3</v>
      </c>
      <c r="H4403">
        <v>7.7</v>
      </c>
      <c r="I4403" t="str" cm="1">
        <f t="array" ref="I4403">_xlfn.IFS(G4403&lt;3, "0–2 Years", G4403&lt;6, "3–5 Years", G4403&lt;9, "6–8 Years", G4403&lt;12, "9-11 Years", G4403&gt;=12, "12-14 Years")</f>
        <v>9-11 Years</v>
      </c>
      <c r="J4403">
        <v>2</v>
      </c>
      <c r="K4403" t="s">
        <v>20</v>
      </c>
      <c r="L4403">
        <v>80300</v>
      </c>
      <c r="M4403">
        <v>4200</v>
      </c>
      <c r="N4403">
        <v>84500</v>
      </c>
      <c r="O4403" t="s">
        <v>30</v>
      </c>
      <c r="P4403" s="3">
        <v>41903</v>
      </c>
      <c r="Q4403" t="s">
        <v>28</v>
      </c>
    </row>
    <row r="4404" spans="1:17" x14ac:dyDescent="0.35">
      <c r="A4404" t="s">
        <v>4456</v>
      </c>
      <c r="B4404" t="s">
        <v>23</v>
      </c>
      <c r="C4404">
        <v>42</v>
      </c>
      <c r="D4404" t="s">
        <v>41</v>
      </c>
      <c r="E4404" t="s">
        <v>73</v>
      </c>
      <c r="F4404" t="s">
        <v>28</v>
      </c>
      <c r="G4404">
        <v>3</v>
      </c>
      <c r="H4404">
        <v>0</v>
      </c>
      <c r="I4404" t="str" cm="1">
        <f t="array" ref="I4404">_xlfn.IFS(G4404&lt;3, "0–2 Years", G4404&lt;6, "3–5 Years", G4404&lt;9, "6–8 Years", G4404&lt;12, "9-11 Years", G4404&gt;=12, "12-14 Years")</f>
        <v>3–5 Years</v>
      </c>
      <c r="J4404">
        <v>2</v>
      </c>
      <c r="K4404" t="s">
        <v>20</v>
      </c>
      <c r="L4404">
        <v>102600</v>
      </c>
      <c r="M4404">
        <v>5800</v>
      </c>
      <c r="N4404">
        <v>108400</v>
      </c>
      <c r="O4404" t="s">
        <v>57</v>
      </c>
      <c r="P4404" s="3">
        <v>44942</v>
      </c>
      <c r="Q4404" t="s">
        <v>28</v>
      </c>
    </row>
    <row r="4405" spans="1:17" x14ac:dyDescent="0.35">
      <c r="A4405" t="s">
        <v>4457</v>
      </c>
      <c r="B4405" t="s">
        <v>23</v>
      </c>
      <c r="C4405">
        <v>52</v>
      </c>
      <c r="D4405" t="s">
        <v>41</v>
      </c>
      <c r="E4405" t="s">
        <v>42</v>
      </c>
      <c r="F4405" t="s">
        <v>28</v>
      </c>
      <c r="G4405">
        <v>7.9</v>
      </c>
      <c r="H4405">
        <v>3.5</v>
      </c>
      <c r="I4405" t="str" cm="1">
        <f t="array" ref="I4405">_xlfn.IFS(G4405&lt;3, "0–2 Years", G4405&lt;6, "3–5 Years", G4405&lt;9, "6–8 Years", G4405&lt;12, "9-11 Years", G4405&gt;=12, "12-14 Years")</f>
        <v>6–8 Years</v>
      </c>
      <c r="J4405">
        <v>2</v>
      </c>
      <c r="K4405" t="s">
        <v>20</v>
      </c>
      <c r="L4405">
        <v>71000</v>
      </c>
      <c r="M4405">
        <v>3800</v>
      </c>
      <c r="N4405">
        <v>74800</v>
      </c>
      <c r="O4405" t="s">
        <v>21</v>
      </c>
      <c r="P4405" s="3">
        <v>43148</v>
      </c>
      <c r="Q4405" t="s">
        <v>28</v>
      </c>
    </row>
    <row r="4406" spans="1:17" x14ac:dyDescent="0.35">
      <c r="A4406" t="s">
        <v>4458</v>
      </c>
      <c r="B4406" t="s">
        <v>23</v>
      </c>
      <c r="C4406">
        <v>39</v>
      </c>
      <c r="D4406" t="s">
        <v>55</v>
      </c>
      <c r="E4406" t="s">
        <v>79</v>
      </c>
      <c r="F4406" t="s">
        <v>62</v>
      </c>
      <c r="G4406">
        <v>11.8</v>
      </c>
      <c r="H4406">
        <v>6.9</v>
      </c>
      <c r="I4406" t="str" cm="1">
        <f t="array" ref="I4406">_xlfn.IFS(G4406&lt;3, "0–2 Years", G4406&lt;6, "3–5 Years", G4406&lt;9, "6–8 Years", G4406&lt;12, "9-11 Years", G4406&gt;=12, "12-14 Years")</f>
        <v>9-11 Years</v>
      </c>
      <c r="J4406">
        <v>3</v>
      </c>
      <c r="K4406" t="s">
        <v>20</v>
      </c>
      <c r="L4406">
        <v>85900</v>
      </c>
      <c r="M4406">
        <v>13500</v>
      </c>
      <c r="N4406">
        <v>99400</v>
      </c>
      <c r="O4406" t="s">
        <v>30</v>
      </c>
      <c r="P4406" s="3">
        <v>41706</v>
      </c>
      <c r="Q4406" t="s">
        <v>62</v>
      </c>
    </row>
    <row r="4407" spans="1:17" x14ac:dyDescent="0.35">
      <c r="A4407" t="s">
        <v>4459</v>
      </c>
      <c r="B4407" t="s">
        <v>16</v>
      </c>
      <c r="C4407">
        <v>37</v>
      </c>
      <c r="D4407" t="s">
        <v>38</v>
      </c>
      <c r="E4407" t="s">
        <v>39</v>
      </c>
      <c r="F4407" t="s">
        <v>28</v>
      </c>
      <c r="G4407">
        <v>3.6</v>
      </c>
      <c r="H4407">
        <v>2.2000000000000002</v>
      </c>
      <c r="I4407" t="str" cm="1">
        <f t="array" ref="I4407">_xlfn.IFS(G4407&lt;3, "0–2 Years", G4407&lt;6, "3–5 Years", G4407&lt;9, "6–8 Years", G4407&lt;12, "9-11 Years", G4407&gt;=12, "12-14 Years")</f>
        <v>3–5 Years</v>
      </c>
      <c r="J4407">
        <v>3</v>
      </c>
      <c r="K4407" t="s">
        <v>20</v>
      </c>
      <c r="L4407">
        <v>75300</v>
      </c>
      <c r="M4407">
        <v>4800</v>
      </c>
      <c r="N4407">
        <v>80100</v>
      </c>
      <c r="O4407" t="s">
        <v>21</v>
      </c>
      <c r="P4407" s="3">
        <v>44717</v>
      </c>
      <c r="Q4407" t="s">
        <v>28</v>
      </c>
    </row>
    <row r="4408" spans="1:17" x14ac:dyDescent="0.35">
      <c r="A4408" t="s">
        <v>4460</v>
      </c>
      <c r="B4408" t="s">
        <v>16</v>
      </c>
      <c r="C4408">
        <v>45</v>
      </c>
      <c r="D4408" t="s">
        <v>17</v>
      </c>
      <c r="E4408" t="s">
        <v>27</v>
      </c>
      <c r="F4408" t="s">
        <v>36</v>
      </c>
      <c r="G4408">
        <v>9.1999999999999993</v>
      </c>
      <c r="H4408">
        <v>5.3</v>
      </c>
      <c r="I4408" t="str" cm="1">
        <f t="array" ref="I4408">_xlfn.IFS(G4408&lt;3, "0–2 Years", G4408&lt;6, "3–5 Years", G4408&lt;9, "6–8 Years", G4408&lt;12, "9-11 Years", G4408&gt;=12, "12-14 Years")</f>
        <v>9-11 Years</v>
      </c>
      <c r="J4408">
        <v>4</v>
      </c>
      <c r="K4408" t="s">
        <v>24</v>
      </c>
      <c r="L4408">
        <v>54100</v>
      </c>
      <c r="M4408">
        <v>6000</v>
      </c>
      <c r="N4408">
        <v>60100</v>
      </c>
      <c r="O4408" t="s">
        <v>25</v>
      </c>
      <c r="P4408" s="3">
        <v>42679</v>
      </c>
      <c r="Q4408" t="s">
        <v>36</v>
      </c>
    </row>
    <row r="4409" spans="1:17" x14ac:dyDescent="0.35">
      <c r="A4409" t="s">
        <v>4461</v>
      </c>
      <c r="B4409" t="s">
        <v>16</v>
      </c>
      <c r="C4409" s="7">
        <v>36</v>
      </c>
      <c r="D4409" t="s">
        <v>34</v>
      </c>
      <c r="E4409" t="s">
        <v>47</v>
      </c>
      <c r="F4409" t="s">
        <v>19</v>
      </c>
      <c r="G4409" s="9">
        <v>12.8</v>
      </c>
      <c r="H4409" s="7">
        <v>8</v>
      </c>
      <c r="I4409" t="str" cm="1">
        <f t="array" ref="I4409">_xlfn.IFS(G4409&lt;3, "0–2 Years", G4409&lt;6, "3–5 Years", G4409&lt;9, "6–8 Years", G4409&lt;12, "9-11 Years", G4409&gt;=12, "12-14 Years")</f>
        <v>12-14 Years</v>
      </c>
      <c r="J4409" s="7">
        <v>3</v>
      </c>
      <c r="K4409" t="s">
        <v>20</v>
      </c>
      <c r="L4409" s="7">
        <v>94300</v>
      </c>
      <c r="M4409" s="7">
        <v>5300</v>
      </c>
      <c r="N4409" s="7">
        <v>99600</v>
      </c>
      <c r="O4409" t="s">
        <v>30</v>
      </c>
      <c r="P4409" s="3">
        <v>41337</v>
      </c>
      <c r="Q4409" t="s">
        <v>19</v>
      </c>
    </row>
    <row r="4410" spans="1:17" x14ac:dyDescent="0.35">
      <c r="A4410" t="s">
        <v>4462</v>
      </c>
      <c r="B4410" t="s">
        <v>23</v>
      </c>
      <c r="C4410">
        <v>38</v>
      </c>
      <c r="D4410" t="s">
        <v>55</v>
      </c>
      <c r="E4410" t="s">
        <v>79</v>
      </c>
      <c r="F4410" t="s">
        <v>28</v>
      </c>
      <c r="G4410">
        <v>6.1</v>
      </c>
      <c r="H4410">
        <v>4.0999999999999996</v>
      </c>
      <c r="I4410" t="str" cm="1">
        <f t="array" ref="I4410">_xlfn.IFS(G4410&lt;3, "0–2 Years", G4410&lt;6, "3–5 Years", G4410&lt;9, "6–8 Years", G4410&lt;12, "9-11 Years", G4410&gt;=12, "12-14 Years")</f>
        <v>6–8 Years</v>
      </c>
      <c r="J4410">
        <v>3</v>
      </c>
      <c r="K4410" t="s">
        <v>20</v>
      </c>
      <c r="L4410">
        <v>71700</v>
      </c>
      <c r="M4410">
        <v>9300</v>
      </c>
      <c r="N4410">
        <v>81000</v>
      </c>
      <c r="O4410" t="s">
        <v>21</v>
      </c>
      <c r="P4410" s="3">
        <v>43807</v>
      </c>
      <c r="Q4410" t="s">
        <v>28</v>
      </c>
    </row>
    <row r="4411" spans="1:17" x14ac:dyDescent="0.35">
      <c r="A4411" t="s">
        <v>4463</v>
      </c>
      <c r="B4411" t="s">
        <v>16</v>
      </c>
      <c r="C4411" s="7">
        <v>36</v>
      </c>
      <c r="D4411" t="s">
        <v>17</v>
      </c>
      <c r="E4411" t="s">
        <v>32</v>
      </c>
      <c r="F4411" t="s">
        <v>36</v>
      </c>
      <c r="G4411" s="9">
        <v>12.9</v>
      </c>
      <c r="H4411" s="7"/>
      <c r="I4411" t="str" cm="1">
        <f t="array" ref="I4411">_xlfn.IFS(G4411&lt;3, "0–2 Years", G4411&lt;6, "3–5 Years", G4411&lt;9, "6–8 Years", G4411&lt;12, "9-11 Years", G4411&gt;=12, "12-14 Years")</f>
        <v>12-14 Years</v>
      </c>
      <c r="J4411" s="7">
        <v>3</v>
      </c>
      <c r="K4411" t="s">
        <v>20</v>
      </c>
      <c r="L4411" s="7">
        <v>90300</v>
      </c>
      <c r="M4411" s="7">
        <v>5300</v>
      </c>
      <c r="N4411" s="7">
        <v>95600</v>
      </c>
      <c r="O4411" t="s">
        <v>30</v>
      </c>
      <c r="P4411" s="3">
        <v>41319</v>
      </c>
      <c r="Q4411" t="s">
        <v>36</v>
      </c>
    </row>
    <row r="4412" spans="1:17" x14ac:dyDescent="0.35">
      <c r="A4412" t="s">
        <v>4464</v>
      </c>
      <c r="B4412" t="s">
        <v>23</v>
      </c>
      <c r="C4412">
        <v>43</v>
      </c>
      <c r="D4412" t="s">
        <v>34</v>
      </c>
      <c r="E4412" t="s">
        <v>47</v>
      </c>
      <c r="F4412" t="s">
        <v>28</v>
      </c>
      <c r="G4412">
        <v>10.9</v>
      </c>
      <c r="H4412">
        <v>7.1</v>
      </c>
      <c r="I4412" t="str" cm="1">
        <f t="array" ref="I4412">_xlfn.IFS(G4412&lt;3, "0–2 Years", G4412&lt;6, "3–5 Years", G4412&lt;9, "6–8 Years", G4412&lt;12, "9-11 Years", G4412&gt;=12, "12-14 Years")</f>
        <v>9-11 Years</v>
      </c>
      <c r="J4412">
        <v>4</v>
      </c>
      <c r="K4412" t="s">
        <v>20</v>
      </c>
      <c r="L4412">
        <v>98600</v>
      </c>
      <c r="M4412">
        <v>7700</v>
      </c>
      <c r="N4412">
        <v>106300</v>
      </c>
      <c r="O4412" t="s">
        <v>30</v>
      </c>
      <c r="P4412" s="3">
        <v>42052</v>
      </c>
      <c r="Q4412" t="s">
        <v>28</v>
      </c>
    </row>
    <row r="4413" spans="1:17" x14ac:dyDescent="0.35">
      <c r="A4413" t="s">
        <v>4465</v>
      </c>
      <c r="B4413" t="s">
        <v>23</v>
      </c>
      <c r="C4413">
        <v>33</v>
      </c>
      <c r="D4413" t="s">
        <v>44</v>
      </c>
      <c r="E4413" t="s">
        <v>76</v>
      </c>
      <c r="F4413" t="s">
        <v>28</v>
      </c>
      <c r="G4413">
        <v>5.5</v>
      </c>
      <c r="H4413">
        <v>2.6</v>
      </c>
      <c r="I4413" t="str" cm="1">
        <f t="array" ref="I4413">_xlfn.IFS(G4413&lt;3, "0–2 Years", G4413&lt;6, "3–5 Years", G4413&lt;9, "6–8 Years", G4413&lt;12, "9-11 Years", G4413&gt;=12, "12-14 Years")</f>
        <v>3–5 Years</v>
      </c>
      <c r="J4413">
        <v>4</v>
      </c>
      <c r="K4413" t="s">
        <v>20</v>
      </c>
      <c r="L4413">
        <v>115000</v>
      </c>
      <c r="M4413">
        <v>11400</v>
      </c>
      <c r="N4413">
        <v>126400</v>
      </c>
      <c r="O4413" t="s">
        <v>57</v>
      </c>
      <c r="P4413" s="3">
        <v>44003</v>
      </c>
      <c r="Q4413" t="s">
        <v>28</v>
      </c>
    </row>
    <row r="4414" spans="1:17" x14ac:dyDescent="0.35">
      <c r="A4414" t="s">
        <v>4466</v>
      </c>
      <c r="B4414" t="s">
        <v>16</v>
      </c>
      <c r="C4414">
        <v>30</v>
      </c>
      <c r="D4414" t="s">
        <v>34</v>
      </c>
      <c r="E4414" t="s">
        <v>47</v>
      </c>
      <c r="F4414" t="s">
        <v>36</v>
      </c>
      <c r="G4414">
        <v>10</v>
      </c>
      <c r="H4414">
        <v>7.4</v>
      </c>
      <c r="I4414" t="str" cm="1">
        <f t="array" ref="I4414">_xlfn.IFS(G4414&lt;3, "0–2 Years", G4414&lt;6, "3–5 Years", G4414&lt;9, "6–8 Years", G4414&lt;12, "9-11 Years", G4414&gt;=12, "12-14 Years")</f>
        <v>9-11 Years</v>
      </c>
      <c r="J4414">
        <v>5</v>
      </c>
      <c r="K4414" t="s">
        <v>20</v>
      </c>
      <c r="L4414">
        <v>87300</v>
      </c>
      <c r="M4414">
        <v>4100</v>
      </c>
      <c r="N4414">
        <v>91400</v>
      </c>
      <c r="O4414" t="s">
        <v>30</v>
      </c>
      <c r="P4414" s="3">
        <v>42373</v>
      </c>
      <c r="Q4414" t="s">
        <v>36</v>
      </c>
    </row>
    <row r="4415" spans="1:17" x14ac:dyDescent="0.35">
      <c r="A4415" t="s">
        <v>4467</v>
      </c>
      <c r="B4415" t="s">
        <v>23</v>
      </c>
      <c r="C4415">
        <v>42</v>
      </c>
      <c r="D4415" t="s">
        <v>34</v>
      </c>
      <c r="E4415" t="s">
        <v>35</v>
      </c>
      <c r="F4415" t="s">
        <v>28</v>
      </c>
      <c r="G4415">
        <v>1.7</v>
      </c>
      <c r="H4415">
        <v>1.7</v>
      </c>
      <c r="I4415" t="str" cm="1">
        <f t="array" ref="I4415">_xlfn.IFS(G4415&lt;3, "0–2 Years", G4415&lt;6, "3–5 Years", G4415&lt;9, "6–8 Years", G4415&lt;12, "9-11 Years", G4415&gt;=12, "12-14 Years")</f>
        <v>0–2 Years</v>
      </c>
      <c r="J4415">
        <v>3</v>
      </c>
      <c r="K4415" t="s">
        <v>20</v>
      </c>
      <c r="L4415">
        <v>64400</v>
      </c>
      <c r="M4415">
        <v>7600</v>
      </c>
      <c r="N4415">
        <v>72000</v>
      </c>
      <c r="O4415" t="s">
        <v>25</v>
      </c>
      <c r="P4415" s="3">
        <v>45390</v>
      </c>
      <c r="Q4415" t="s">
        <v>28</v>
      </c>
    </row>
    <row r="4416" spans="1:17" x14ac:dyDescent="0.35">
      <c r="A4416" t="s">
        <v>4468</v>
      </c>
      <c r="B4416" t="s">
        <v>16</v>
      </c>
      <c r="C4416">
        <v>42</v>
      </c>
      <c r="D4416" t="s">
        <v>41</v>
      </c>
      <c r="E4416" t="s">
        <v>67</v>
      </c>
      <c r="F4416" t="s">
        <v>28</v>
      </c>
      <c r="G4416">
        <v>4.9000000000000004</v>
      </c>
      <c r="H4416">
        <v>4.8</v>
      </c>
      <c r="I4416" t="str" cm="1">
        <f t="array" ref="I4416">_xlfn.IFS(G4416&lt;3, "0–2 Years", G4416&lt;6, "3–5 Years", G4416&lt;9, "6–8 Years", G4416&lt;12, "9-11 Years", G4416&gt;=12, "12-14 Years")</f>
        <v>3–5 Years</v>
      </c>
      <c r="J4416">
        <v>3</v>
      </c>
      <c r="K4416" t="s">
        <v>20</v>
      </c>
      <c r="L4416">
        <v>62400</v>
      </c>
      <c r="M4416">
        <v>3000</v>
      </c>
      <c r="N4416">
        <v>65400</v>
      </c>
      <c r="O4416" t="s">
        <v>25</v>
      </c>
      <c r="P4416" s="3">
        <v>44247</v>
      </c>
      <c r="Q4416" t="s">
        <v>28</v>
      </c>
    </row>
    <row r="4417" spans="1:17" x14ac:dyDescent="0.35">
      <c r="A4417" t="s">
        <v>4469</v>
      </c>
      <c r="B4417" t="s">
        <v>23</v>
      </c>
      <c r="C4417">
        <v>35</v>
      </c>
      <c r="D4417" t="s">
        <v>55</v>
      </c>
      <c r="E4417" t="s">
        <v>92</v>
      </c>
      <c r="F4417" t="s">
        <v>28</v>
      </c>
      <c r="G4417">
        <v>5</v>
      </c>
      <c r="H4417">
        <v>5</v>
      </c>
      <c r="I4417" t="str" cm="1">
        <f t="array" ref="I4417">_xlfn.IFS(G4417&lt;3, "0–2 Years", G4417&lt;6, "3–5 Years", G4417&lt;9, "6–8 Years", G4417&lt;12, "9-11 Years", G4417&gt;=12, "12-14 Years")</f>
        <v>3–5 Years</v>
      </c>
      <c r="J4417">
        <v>4</v>
      </c>
      <c r="K4417" t="s">
        <v>20</v>
      </c>
      <c r="L4417">
        <v>106100</v>
      </c>
      <c r="M4417">
        <v>15600</v>
      </c>
      <c r="N4417">
        <v>121700</v>
      </c>
      <c r="O4417" t="s">
        <v>57</v>
      </c>
      <c r="P4417" s="3">
        <v>44206</v>
      </c>
      <c r="Q4417" t="s">
        <v>28</v>
      </c>
    </row>
    <row r="4418" spans="1:17" x14ac:dyDescent="0.35">
      <c r="A4418" t="s">
        <v>4470</v>
      </c>
      <c r="B4418" t="s">
        <v>23</v>
      </c>
      <c r="C4418">
        <v>31</v>
      </c>
      <c r="D4418" t="s">
        <v>55</v>
      </c>
      <c r="E4418" t="s">
        <v>79</v>
      </c>
      <c r="F4418" t="s">
        <v>36</v>
      </c>
      <c r="G4418">
        <v>1.4</v>
      </c>
      <c r="H4418">
        <v>1.4</v>
      </c>
      <c r="I4418" t="str" cm="1">
        <f t="array" ref="I4418">_xlfn.IFS(G4418&lt;3, "0–2 Years", G4418&lt;6, "3–5 Years", G4418&lt;9, "6–8 Years", G4418&lt;12, "9-11 Years", G4418&gt;=12, "12-14 Years")</f>
        <v>0–2 Years</v>
      </c>
      <c r="J4418">
        <v>2</v>
      </c>
      <c r="K4418" t="s">
        <v>20</v>
      </c>
      <c r="L4418">
        <v>61700</v>
      </c>
      <c r="M4418">
        <v>10100</v>
      </c>
      <c r="N4418">
        <v>71800</v>
      </c>
      <c r="O4418" t="s">
        <v>25</v>
      </c>
      <c r="P4418" s="3">
        <v>45515</v>
      </c>
      <c r="Q4418" t="s">
        <v>36</v>
      </c>
    </row>
    <row r="4419" spans="1:17" x14ac:dyDescent="0.35">
      <c r="A4419" t="s">
        <v>4471</v>
      </c>
      <c r="B4419" t="s">
        <v>16</v>
      </c>
      <c r="C4419" s="7">
        <v>36</v>
      </c>
      <c r="D4419" t="s">
        <v>44</v>
      </c>
      <c r="E4419" t="s">
        <v>51</v>
      </c>
      <c r="F4419" t="s">
        <v>28</v>
      </c>
      <c r="G4419" s="9">
        <v>13.1</v>
      </c>
      <c r="H4419" s="7">
        <v>8.1999999999999993</v>
      </c>
      <c r="I4419" t="str" cm="1">
        <f t="array" ref="I4419">_xlfn.IFS(G4419&lt;3, "0–2 Years", G4419&lt;6, "3–5 Years", G4419&lt;9, "6–8 Years", G4419&lt;12, "9-11 Years", G4419&gt;=12, "12-14 Years")</f>
        <v>12-14 Years</v>
      </c>
      <c r="J4419" s="7">
        <v>1</v>
      </c>
      <c r="K4419" t="s">
        <v>20</v>
      </c>
      <c r="L4419" s="7">
        <v>79500</v>
      </c>
      <c r="M4419" s="7">
        <v>6700</v>
      </c>
      <c r="N4419" s="7">
        <v>86200</v>
      </c>
      <c r="O4419" t="s">
        <v>21</v>
      </c>
      <c r="P4419" s="3">
        <v>41253</v>
      </c>
      <c r="Q4419" t="s">
        <v>28</v>
      </c>
    </row>
    <row r="4420" spans="1:17" x14ac:dyDescent="0.35">
      <c r="A4420" t="s">
        <v>4472</v>
      </c>
      <c r="B4420" t="s">
        <v>23</v>
      </c>
      <c r="C4420">
        <v>31</v>
      </c>
      <c r="D4420" t="s">
        <v>38</v>
      </c>
      <c r="E4420" t="s">
        <v>61</v>
      </c>
      <c r="F4420" t="s">
        <v>19</v>
      </c>
      <c r="G4420">
        <v>6.2</v>
      </c>
      <c r="H4420">
        <v>4</v>
      </c>
      <c r="I4420" t="str" cm="1">
        <f t="array" ref="I4420">_xlfn.IFS(G4420&lt;3, "0–2 Years", G4420&lt;6, "3–5 Years", G4420&lt;9, "6–8 Years", G4420&lt;12, "9-11 Years", G4420&gt;=12, "12-14 Years")</f>
        <v>6–8 Years</v>
      </c>
      <c r="J4420">
        <v>3</v>
      </c>
      <c r="K4420" t="s">
        <v>20</v>
      </c>
      <c r="L4420">
        <v>81500</v>
      </c>
      <c r="M4420">
        <v>5400</v>
      </c>
      <c r="N4420">
        <v>86900</v>
      </c>
      <c r="O4420" t="s">
        <v>30</v>
      </c>
      <c r="P4420" s="3">
        <v>43745</v>
      </c>
      <c r="Q4420" t="s">
        <v>19</v>
      </c>
    </row>
    <row r="4421" spans="1:17" x14ac:dyDescent="0.35">
      <c r="A4421" t="s">
        <v>4473</v>
      </c>
      <c r="B4421" t="s">
        <v>16</v>
      </c>
      <c r="C4421">
        <v>29</v>
      </c>
      <c r="D4421" t="s">
        <v>44</v>
      </c>
      <c r="E4421" t="s">
        <v>51</v>
      </c>
      <c r="F4421" t="s">
        <v>28</v>
      </c>
      <c r="G4421">
        <v>2</v>
      </c>
      <c r="H4421">
        <v>1.1000000000000001</v>
      </c>
      <c r="I4421" t="str" cm="1">
        <f t="array" ref="I4421">_xlfn.IFS(G4421&lt;3, "0–2 Years", G4421&lt;6, "3–5 Years", G4421&lt;9, "6–8 Years", G4421&lt;12, "9-11 Years", G4421&gt;=12, "12-14 Years")</f>
        <v>0–2 Years</v>
      </c>
      <c r="J4421">
        <v>4</v>
      </c>
      <c r="K4421" t="s">
        <v>20</v>
      </c>
      <c r="L4421">
        <v>78500</v>
      </c>
      <c r="M4421">
        <v>6100</v>
      </c>
      <c r="N4421">
        <v>84600</v>
      </c>
      <c r="O4421" t="s">
        <v>21</v>
      </c>
      <c r="P4421" s="3">
        <v>45299</v>
      </c>
      <c r="Q4421" t="s">
        <v>28</v>
      </c>
    </row>
    <row r="4422" spans="1:17" x14ac:dyDescent="0.35">
      <c r="A4422" t="s">
        <v>4474</v>
      </c>
      <c r="B4422" t="s">
        <v>16</v>
      </c>
      <c r="C4422" s="7">
        <v>21</v>
      </c>
      <c r="D4422" t="s">
        <v>17</v>
      </c>
      <c r="E4422" t="s">
        <v>27</v>
      </c>
      <c r="F4422" t="s">
        <v>36</v>
      </c>
      <c r="G4422" s="9">
        <v>13.2</v>
      </c>
      <c r="H4422" s="7">
        <v>7.7</v>
      </c>
      <c r="I4422" t="str" cm="1">
        <f t="array" ref="I4422">_xlfn.IFS(G4422&lt;3, "0–2 Years", G4422&lt;6, "3–5 Years", G4422&lt;9, "6–8 Years", G4422&lt;12, "9-11 Years", G4422&gt;=12, "12-14 Years")</f>
        <v>12-14 Years</v>
      </c>
      <c r="J4422" s="7">
        <v>3</v>
      </c>
      <c r="K4422" t="s">
        <v>20</v>
      </c>
      <c r="L4422" s="7">
        <v>77200</v>
      </c>
      <c r="M4422" s="7">
        <v>3800</v>
      </c>
      <c r="N4422" s="7">
        <v>81000</v>
      </c>
      <c r="O4422" t="s">
        <v>21</v>
      </c>
      <c r="P4422" s="3">
        <v>41200</v>
      </c>
      <c r="Q4422" t="s">
        <v>36</v>
      </c>
    </row>
    <row r="4423" spans="1:17" x14ac:dyDescent="0.35">
      <c r="A4423" t="s">
        <v>4475</v>
      </c>
      <c r="B4423" t="s">
        <v>23</v>
      </c>
      <c r="C4423">
        <v>31</v>
      </c>
      <c r="D4423" t="s">
        <v>17</v>
      </c>
      <c r="E4423" t="s">
        <v>32</v>
      </c>
      <c r="F4423" t="s">
        <v>28</v>
      </c>
      <c r="G4423">
        <v>2.5</v>
      </c>
      <c r="H4423">
        <v>2.2000000000000002</v>
      </c>
      <c r="I4423" t="str" cm="1">
        <f t="array" ref="I4423">_xlfn.IFS(G4423&lt;3, "0–2 Years", G4423&lt;6, "3–5 Years", G4423&lt;9, "6–8 Years", G4423&lt;12, "9-11 Years", G4423&gt;=12, "12-14 Years")</f>
        <v>0–2 Years</v>
      </c>
      <c r="J4423">
        <v>1</v>
      </c>
      <c r="K4423" t="s">
        <v>20</v>
      </c>
      <c r="L4423">
        <v>57700</v>
      </c>
      <c r="M4423">
        <v>3900</v>
      </c>
      <c r="N4423">
        <v>61600</v>
      </c>
      <c r="O4423" t="s">
        <v>25</v>
      </c>
      <c r="P4423" s="3">
        <v>45095</v>
      </c>
      <c r="Q4423" t="s">
        <v>28</v>
      </c>
    </row>
    <row r="4424" spans="1:17" x14ac:dyDescent="0.35">
      <c r="A4424" t="s">
        <v>4476</v>
      </c>
      <c r="B4424" t="s">
        <v>23</v>
      </c>
      <c r="C4424">
        <v>45</v>
      </c>
      <c r="D4424" t="s">
        <v>17</v>
      </c>
      <c r="E4424" t="s">
        <v>18</v>
      </c>
      <c r="F4424" t="s">
        <v>28</v>
      </c>
      <c r="G4424">
        <v>7.8</v>
      </c>
      <c r="H4424">
        <v>6.1</v>
      </c>
      <c r="I4424" t="str" cm="1">
        <f t="array" ref="I4424">_xlfn.IFS(G4424&lt;3, "0–2 Years", G4424&lt;6, "3–5 Years", G4424&lt;9, "6–8 Years", G4424&lt;12, "9-11 Years", G4424&gt;=12, "12-14 Years")</f>
        <v>6–8 Years</v>
      </c>
      <c r="J4424">
        <v>5</v>
      </c>
      <c r="K4424" t="s">
        <v>69</v>
      </c>
      <c r="L4424">
        <v>84500</v>
      </c>
      <c r="M4424">
        <v>6600</v>
      </c>
      <c r="N4424">
        <v>91100</v>
      </c>
      <c r="O4424" t="s">
        <v>30</v>
      </c>
      <c r="P4424" s="3">
        <v>43184</v>
      </c>
      <c r="Q4424" t="s">
        <v>28</v>
      </c>
    </row>
    <row r="4425" spans="1:17" x14ac:dyDescent="0.35">
      <c r="A4425" t="s">
        <v>4477</v>
      </c>
      <c r="B4425" t="s">
        <v>23</v>
      </c>
      <c r="C4425">
        <v>36</v>
      </c>
      <c r="D4425" t="s">
        <v>41</v>
      </c>
      <c r="E4425" t="s">
        <v>42</v>
      </c>
      <c r="F4425" t="s">
        <v>36</v>
      </c>
      <c r="G4425">
        <v>1.5</v>
      </c>
      <c r="H4425">
        <v>1.5</v>
      </c>
      <c r="I4425" t="str" cm="1">
        <f t="array" ref="I4425">_xlfn.IFS(G4425&lt;3, "0–2 Years", G4425&lt;6, "3–5 Years", G4425&lt;9, "6–8 Years", G4425&lt;12, "9-11 Years", G4425&gt;=12, "12-14 Years")</f>
        <v>0–2 Years</v>
      </c>
      <c r="J4425">
        <v>3</v>
      </c>
      <c r="K4425" t="s">
        <v>20</v>
      </c>
      <c r="L4425">
        <v>72100</v>
      </c>
      <c r="M4425">
        <v>5800</v>
      </c>
      <c r="N4425">
        <v>77900</v>
      </c>
      <c r="O4425" t="s">
        <v>21</v>
      </c>
      <c r="P4425" s="3">
        <v>45479</v>
      </c>
      <c r="Q4425" t="s">
        <v>36</v>
      </c>
    </row>
    <row r="4426" spans="1:17" x14ac:dyDescent="0.35">
      <c r="A4426" t="s">
        <v>4478</v>
      </c>
      <c r="B4426" t="s">
        <v>16</v>
      </c>
      <c r="C4426">
        <v>38</v>
      </c>
      <c r="D4426" t="s">
        <v>38</v>
      </c>
      <c r="E4426" t="s">
        <v>39</v>
      </c>
      <c r="F4426" t="s">
        <v>36</v>
      </c>
      <c r="G4426">
        <v>2.8</v>
      </c>
      <c r="H4426">
        <v>0</v>
      </c>
      <c r="I4426" t="str" cm="1">
        <f t="array" ref="I4426">_xlfn.IFS(G4426&lt;3, "0–2 Years", G4426&lt;6, "3–5 Years", G4426&lt;9, "6–8 Years", G4426&lt;12, "9-11 Years", G4426&gt;=12, "12-14 Years")</f>
        <v>0–2 Years</v>
      </c>
      <c r="J4426">
        <v>3</v>
      </c>
      <c r="K4426" t="s">
        <v>20</v>
      </c>
      <c r="L4426">
        <v>76700</v>
      </c>
      <c r="M4426">
        <v>7900</v>
      </c>
      <c r="N4426">
        <v>84600</v>
      </c>
      <c r="O4426" t="s">
        <v>21</v>
      </c>
      <c r="P4426" s="3">
        <v>45016</v>
      </c>
      <c r="Q4426" t="s">
        <v>36</v>
      </c>
    </row>
    <row r="4427" spans="1:17" x14ac:dyDescent="0.35">
      <c r="A4427" t="s">
        <v>4479</v>
      </c>
      <c r="B4427" t="s">
        <v>16</v>
      </c>
      <c r="C4427">
        <v>39</v>
      </c>
      <c r="D4427" t="s">
        <v>34</v>
      </c>
      <c r="E4427" t="s">
        <v>47</v>
      </c>
      <c r="F4427" t="s">
        <v>28</v>
      </c>
      <c r="G4427">
        <v>1.5</v>
      </c>
      <c r="H4427">
        <v>0.6</v>
      </c>
      <c r="I4427" t="str" cm="1">
        <f t="array" ref="I4427">_xlfn.IFS(G4427&lt;3, "0–2 Years", G4427&lt;6, "3–5 Years", G4427&lt;9, "6–8 Years", G4427&lt;12, "9-11 Years", G4427&gt;=12, "12-14 Years")</f>
        <v>0–2 Years</v>
      </c>
      <c r="J4427">
        <v>3</v>
      </c>
      <c r="K4427" t="s">
        <v>20</v>
      </c>
      <c r="L4427">
        <v>69600</v>
      </c>
      <c r="M4427">
        <v>7100</v>
      </c>
      <c r="N4427">
        <v>76700</v>
      </c>
      <c r="O4427" t="s">
        <v>21</v>
      </c>
      <c r="P4427" s="3">
        <v>45476</v>
      </c>
      <c r="Q4427" t="s">
        <v>28</v>
      </c>
    </row>
    <row r="4428" spans="1:17" x14ac:dyDescent="0.35">
      <c r="A4428" t="s">
        <v>4480</v>
      </c>
      <c r="B4428" t="s">
        <v>23</v>
      </c>
      <c r="C4428">
        <v>37</v>
      </c>
      <c r="D4428" t="s">
        <v>44</v>
      </c>
      <c r="E4428" t="s">
        <v>81</v>
      </c>
      <c r="F4428" t="s">
        <v>28</v>
      </c>
      <c r="G4428">
        <v>1.7</v>
      </c>
      <c r="H4428">
        <v>1.7</v>
      </c>
      <c r="I4428" t="str" cm="1">
        <f t="array" ref="I4428">_xlfn.IFS(G4428&lt;3, "0–2 Years", G4428&lt;6, "3–5 Years", G4428&lt;9, "6–8 Years", G4428&lt;12, "9-11 Years", G4428&gt;=12, "12-14 Years")</f>
        <v>0–2 Years</v>
      </c>
      <c r="J4428">
        <v>3</v>
      </c>
      <c r="K4428" t="s">
        <v>20</v>
      </c>
      <c r="L4428">
        <v>86000</v>
      </c>
      <c r="M4428">
        <v>12800</v>
      </c>
      <c r="N4428">
        <v>98800</v>
      </c>
      <c r="O4428" t="s">
        <v>30</v>
      </c>
      <c r="P4428" s="3">
        <v>45412</v>
      </c>
      <c r="Q4428" t="s">
        <v>28</v>
      </c>
    </row>
    <row r="4429" spans="1:17" x14ac:dyDescent="0.35">
      <c r="A4429" t="s">
        <v>4481</v>
      </c>
      <c r="B4429" t="s">
        <v>23</v>
      </c>
      <c r="C4429">
        <v>22</v>
      </c>
      <c r="D4429" t="s">
        <v>41</v>
      </c>
      <c r="E4429" t="s">
        <v>42</v>
      </c>
      <c r="F4429" t="s">
        <v>36</v>
      </c>
      <c r="G4429">
        <v>9.1999999999999993</v>
      </c>
      <c r="H4429">
        <v>4.9000000000000004</v>
      </c>
      <c r="I4429" t="str" cm="1">
        <f t="array" ref="I4429">_xlfn.IFS(G4429&lt;3, "0–2 Years", G4429&lt;6, "3–5 Years", G4429&lt;9, "6–8 Years", G4429&lt;12, "9-11 Years", G4429&gt;=12, "12-14 Years")</f>
        <v>9-11 Years</v>
      </c>
      <c r="J4429">
        <v>4</v>
      </c>
      <c r="K4429" t="s">
        <v>24</v>
      </c>
      <c r="L4429">
        <v>60100</v>
      </c>
      <c r="M4429">
        <v>5000</v>
      </c>
      <c r="N4429">
        <v>65100</v>
      </c>
      <c r="O4429" t="s">
        <v>25</v>
      </c>
      <c r="P4429" s="3">
        <v>42680</v>
      </c>
      <c r="Q4429" t="s">
        <v>36</v>
      </c>
    </row>
    <row r="4430" spans="1:17" x14ac:dyDescent="0.35">
      <c r="A4430" t="s">
        <v>4482</v>
      </c>
      <c r="B4430" t="s">
        <v>16</v>
      </c>
      <c r="C4430">
        <v>29</v>
      </c>
      <c r="D4430" t="s">
        <v>34</v>
      </c>
      <c r="E4430" t="s">
        <v>35</v>
      </c>
      <c r="F4430" t="s">
        <v>19</v>
      </c>
      <c r="G4430">
        <v>2.1</v>
      </c>
      <c r="H4430">
        <v>0.9</v>
      </c>
      <c r="I4430" t="str" cm="1">
        <f t="array" ref="I4430">_xlfn.IFS(G4430&lt;3, "0–2 Years", G4430&lt;6, "3–5 Years", G4430&lt;9, "6–8 Years", G4430&lt;12, "9-11 Years", G4430&gt;=12, "12-14 Years")</f>
        <v>0–2 Years</v>
      </c>
      <c r="J4430">
        <v>3</v>
      </c>
      <c r="K4430" t="s">
        <v>20</v>
      </c>
      <c r="L4430">
        <v>75400</v>
      </c>
      <c r="M4430">
        <v>5600</v>
      </c>
      <c r="N4430">
        <v>81000</v>
      </c>
      <c r="O4430" t="s">
        <v>21</v>
      </c>
      <c r="P4430" s="3">
        <v>45263</v>
      </c>
      <c r="Q4430" t="s">
        <v>19</v>
      </c>
    </row>
    <row r="4431" spans="1:17" x14ac:dyDescent="0.35">
      <c r="A4431" t="s">
        <v>4483</v>
      </c>
      <c r="B4431" t="s">
        <v>23</v>
      </c>
      <c r="C4431">
        <v>43</v>
      </c>
      <c r="D4431" t="s">
        <v>41</v>
      </c>
      <c r="E4431" t="s">
        <v>73</v>
      </c>
      <c r="F4431" t="s">
        <v>28</v>
      </c>
      <c r="G4431">
        <v>8.6</v>
      </c>
      <c r="H4431">
        <v>2.2000000000000002</v>
      </c>
      <c r="I4431" t="str" cm="1">
        <f t="array" ref="I4431">_xlfn.IFS(G4431&lt;3, "0–2 Years", G4431&lt;6, "3–5 Years", G4431&lt;9, "6–8 Years", G4431&lt;12, "9-11 Years", G4431&gt;=12, "12-14 Years")</f>
        <v>6–8 Years</v>
      </c>
      <c r="J4431">
        <v>3</v>
      </c>
      <c r="K4431" t="s">
        <v>20</v>
      </c>
      <c r="L4431">
        <v>103400</v>
      </c>
      <c r="M4431">
        <v>8200</v>
      </c>
      <c r="N4431">
        <v>111600</v>
      </c>
      <c r="O4431" t="s">
        <v>57</v>
      </c>
      <c r="P4431" s="3">
        <v>42894</v>
      </c>
      <c r="Q4431" t="s">
        <v>28</v>
      </c>
    </row>
    <row r="4432" spans="1:17" x14ac:dyDescent="0.35">
      <c r="A4432" t="s">
        <v>4484</v>
      </c>
      <c r="B4432" t="s">
        <v>16</v>
      </c>
      <c r="C4432">
        <v>34</v>
      </c>
      <c r="D4432" t="s">
        <v>34</v>
      </c>
      <c r="E4432" t="s">
        <v>47</v>
      </c>
      <c r="F4432" t="s">
        <v>28</v>
      </c>
      <c r="G4432">
        <v>5.3</v>
      </c>
      <c r="H4432">
        <v>4</v>
      </c>
      <c r="I4432" t="str" cm="1">
        <f t="array" ref="I4432">_xlfn.IFS(G4432&lt;3, "0–2 Years", G4432&lt;6, "3–5 Years", G4432&lt;9, "6–8 Years", G4432&lt;12, "9-11 Years", G4432&gt;=12, "12-14 Years")</f>
        <v>3–5 Years</v>
      </c>
      <c r="J4432">
        <v>3</v>
      </c>
      <c r="K4432" t="s">
        <v>20</v>
      </c>
      <c r="L4432">
        <v>75400</v>
      </c>
      <c r="M4432">
        <v>6100</v>
      </c>
      <c r="N4432">
        <v>81500</v>
      </c>
      <c r="O4432" t="s">
        <v>21</v>
      </c>
      <c r="P4432" s="3">
        <v>44094</v>
      </c>
      <c r="Q4432" t="s">
        <v>28</v>
      </c>
    </row>
    <row r="4433" spans="1:17" x14ac:dyDescent="0.35">
      <c r="A4433" t="s">
        <v>4485</v>
      </c>
      <c r="B4433" t="s">
        <v>23</v>
      </c>
      <c r="C4433">
        <v>32</v>
      </c>
      <c r="D4433" t="s">
        <v>17</v>
      </c>
      <c r="E4433" t="s">
        <v>27</v>
      </c>
      <c r="F4433" t="s">
        <v>28</v>
      </c>
      <c r="G4433">
        <v>9.1</v>
      </c>
      <c r="H4433">
        <v>5.6</v>
      </c>
      <c r="I4433" t="str" cm="1">
        <f t="array" ref="I4433">_xlfn.IFS(G4433&lt;3, "0–2 Years", G4433&lt;6, "3–5 Years", G4433&lt;9, "6–8 Years", G4433&lt;12, "9-11 Years", G4433&gt;=12, "12-14 Years")</f>
        <v>9-11 Years</v>
      </c>
      <c r="J4433">
        <v>3</v>
      </c>
      <c r="K4433" t="s">
        <v>20</v>
      </c>
      <c r="L4433">
        <v>75300</v>
      </c>
      <c r="M4433">
        <v>4600</v>
      </c>
      <c r="N4433">
        <v>79900</v>
      </c>
      <c r="O4433" t="s">
        <v>21</v>
      </c>
      <c r="P4433" s="3">
        <v>42704</v>
      </c>
      <c r="Q4433" t="s">
        <v>28</v>
      </c>
    </row>
    <row r="4434" spans="1:17" x14ac:dyDescent="0.35">
      <c r="A4434" t="s">
        <v>4486</v>
      </c>
      <c r="B4434" t="s">
        <v>16</v>
      </c>
      <c r="C4434" s="7">
        <v>41</v>
      </c>
      <c r="D4434" t="s">
        <v>38</v>
      </c>
      <c r="E4434" t="s">
        <v>39</v>
      </c>
      <c r="F4434" t="s">
        <v>28</v>
      </c>
      <c r="G4434" s="9">
        <v>13.6</v>
      </c>
      <c r="H4434" s="7">
        <v>8.4</v>
      </c>
      <c r="I4434" t="str" cm="1">
        <f t="array" ref="I4434">_xlfn.IFS(G4434&lt;3, "0–2 Years", G4434&lt;6, "3–5 Years", G4434&lt;9, "6–8 Years", G4434&lt;12, "9-11 Years", G4434&gt;=12, "12-14 Years")</f>
        <v>12-14 Years</v>
      </c>
      <c r="J4434" s="7">
        <v>4</v>
      </c>
      <c r="K4434" t="s">
        <v>20</v>
      </c>
      <c r="L4434" s="7">
        <v>91900</v>
      </c>
      <c r="M4434" s="7">
        <v>4700</v>
      </c>
      <c r="N4434" s="7">
        <v>96600</v>
      </c>
      <c r="O4434" t="s">
        <v>30</v>
      </c>
      <c r="P4434" s="3">
        <v>41065</v>
      </c>
      <c r="Q4434" t="s">
        <v>28</v>
      </c>
    </row>
    <row r="4435" spans="1:17" x14ac:dyDescent="0.35">
      <c r="A4435" t="s">
        <v>4487</v>
      </c>
      <c r="B4435" t="s">
        <v>23</v>
      </c>
      <c r="C4435">
        <v>24</v>
      </c>
      <c r="D4435" t="s">
        <v>44</v>
      </c>
      <c r="E4435" t="s">
        <v>76</v>
      </c>
      <c r="F4435" t="s">
        <v>36</v>
      </c>
      <c r="G4435">
        <v>9</v>
      </c>
      <c r="H4435">
        <v>6.8</v>
      </c>
      <c r="I4435" t="str" cm="1">
        <f t="array" ref="I4435">_xlfn.IFS(G4435&lt;3, "0–2 Years", G4435&lt;6, "3–5 Years", G4435&lt;9, "6–8 Years", G4435&lt;12, "9-11 Years", G4435&gt;=12, "12-14 Years")</f>
        <v>9-11 Years</v>
      </c>
      <c r="J4435">
        <v>3</v>
      </c>
      <c r="K4435" t="s">
        <v>20</v>
      </c>
      <c r="L4435">
        <v>120400</v>
      </c>
      <c r="M4435">
        <v>10200</v>
      </c>
      <c r="N4435">
        <v>130600</v>
      </c>
      <c r="O4435" t="s">
        <v>57</v>
      </c>
      <c r="P4435" s="3">
        <v>42739</v>
      </c>
      <c r="Q4435" t="s">
        <v>36</v>
      </c>
    </row>
    <row r="4436" spans="1:17" x14ac:dyDescent="0.35">
      <c r="A4436" t="s">
        <v>4488</v>
      </c>
      <c r="B4436" t="s">
        <v>23</v>
      </c>
      <c r="C4436">
        <v>28</v>
      </c>
      <c r="D4436" t="s">
        <v>17</v>
      </c>
      <c r="E4436" t="s">
        <v>27</v>
      </c>
      <c r="F4436" t="s">
        <v>36</v>
      </c>
      <c r="G4436">
        <v>6.5</v>
      </c>
      <c r="H4436">
        <v>4.8</v>
      </c>
      <c r="I4436" t="str" cm="1">
        <f t="array" ref="I4436">_xlfn.IFS(G4436&lt;3, "0–2 Years", G4436&lt;6, "3–5 Years", G4436&lt;9, "6–8 Years", G4436&lt;12, "9-11 Years", G4436&gt;=12, "12-14 Years")</f>
        <v>6–8 Years</v>
      </c>
      <c r="J4436">
        <v>4</v>
      </c>
      <c r="K4436" t="s">
        <v>20</v>
      </c>
      <c r="L4436">
        <v>72200</v>
      </c>
      <c r="M4436">
        <v>6500</v>
      </c>
      <c r="N4436">
        <v>78700</v>
      </c>
      <c r="O4436" t="s">
        <v>21</v>
      </c>
      <c r="P4436" s="3">
        <v>43643</v>
      </c>
      <c r="Q4436" t="s">
        <v>36</v>
      </c>
    </row>
    <row r="4437" spans="1:17" x14ac:dyDescent="0.35">
      <c r="A4437" t="s">
        <v>4489</v>
      </c>
      <c r="B4437" t="s">
        <v>23</v>
      </c>
      <c r="C4437">
        <v>45</v>
      </c>
      <c r="D4437" t="s">
        <v>17</v>
      </c>
      <c r="E4437" t="s">
        <v>27</v>
      </c>
      <c r="F4437" t="s">
        <v>36</v>
      </c>
      <c r="G4437">
        <v>2.7</v>
      </c>
      <c r="H4437">
        <v>0.2</v>
      </c>
      <c r="I4437" t="str" cm="1">
        <f t="array" ref="I4437">_xlfn.IFS(G4437&lt;3, "0–2 Years", G4437&lt;6, "3–5 Years", G4437&lt;9, "6–8 Years", G4437&lt;12, "9-11 Years", G4437&gt;=12, "12-14 Years")</f>
        <v>0–2 Years</v>
      </c>
      <c r="J4437">
        <v>3</v>
      </c>
      <c r="K4437" t="s">
        <v>24</v>
      </c>
      <c r="L4437">
        <v>48000</v>
      </c>
      <c r="M4437">
        <v>2400</v>
      </c>
      <c r="N4437">
        <v>50400</v>
      </c>
      <c r="O4437" t="s">
        <v>65</v>
      </c>
      <c r="P4437" s="3">
        <v>45054</v>
      </c>
      <c r="Q4437" t="s">
        <v>36</v>
      </c>
    </row>
    <row r="4438" spans="1:17" x14ac:dyDescent="0.35">
      <c r="A4438" t="s">
        <v>4490</v>
      </c>
      <c r="B4438" t="s">
        <v>23</v>
      </c>
      <c r="C4438">
        <v>27</v>
      </c>
      <c r="D4438" t="s">
        <v>17</v>
      </c>
      <c r="E4438" t="s">
        <v>18</v>
      </c>
      <c r="F4438" t="s">
        <v>36</v>
      </c>
      <c r="G4438">
        <v>11.3</v>
      </c>
      <c r="H4438">
        <v>9.6</v>
      </c>
      <c r="I4438" t="str" cm="1">
        <f t="array" ref="I4438">_xlfn.IFS(G4438&lt;3, "0–2 Years", G4438&lt;6, "3–5 Years", G4438&lt;9, "6–8 Years", G4438&lt;12, "9-11 Years", G4438&gt;=12, "12-14 Years")</f>
        <v>9-11 Years</v>
      </c>
      <c r="J4438">
        <v>4</v>
      </c>
      <c r="K4438" t="s">
        <v>20</v>
      </c>
      <c r="L4438">
        <v>118800</v>
      </c>
      <c r="M4438">
        <v>9400</v>
      </c>
      <c r="N4438">
        <v>128200</v>
      </c>
      <c r="O4438" t="s">
        <v>57</v>
      </c>
      <c r="P4438" s="3">
        <v>41896</v>
      </c>
      <c r="Q4438" t="s">
        <v>36</v>
      </c>
    </row>
    <row r="4439" spans="1:17" x14ac:dyDescent="0.35">
      <c r="A4439" t="s">
        <v>4491</v>
      </c>
      <c r="B4439" t="s">
        <v>16</v>
      </c>
      <c r="C4439">
        <v>33</v>
      </c>
      <c r="D4439" t="s">
        <v>55</v>
      </c>
      <c r="E4439" t="s">
        <v>92</v>
      </c>
      <c r="F4439" t="s">
        <v>36</v>
      </c>
      <c r="G4439">
        <v>3.4</v>
      </c>
      <c r="H4439">
        <v>3.4</v>
      </c>
      <c r="I4439" t="str" cm="1">
        <f t="array" ref="I4439">_xlfn.IFS(G4439&lt;3, "0–2 Years", G4439&lt;6, "3–5 Years", G4439&lt;9, "6–8 Years", G4439&lt;12, "9-11 Years", G4439&gt;=12, "12-14 Years")</f>
        <v>3–5 Years</v>
      </c>
      <c r="J4439">
        <v>3</v>
      </c>
      <c r="K4439" t="s">
        <v>20</v>
      </c>
      <c r="L4439">
        <v>91400</v>
      </c>
      <c r="M4439">
        <v>13700</v>
      </c>
      <c r="N4439">
        <v>105100</v>
      </c>
      <c r="O4439" t="s">
        <v>30</v>
      </c>
      <c r="P4439" s="3">
        <v>44795</v>
      </c>
      <c r="Q4439" t="s">
        <v>36</v>
      </c>
    </row>
    <row r="4440" spans="1:17" x14ac:dyDescent="0.35">
      <c r="A4440" t="s">
        <v>4492</v>
      </c>
      <c r="B4440" t="s">
        <v>16</v>
      </c>
      <c r="C4440">
        <v>42</v>
      </c>
      <c r="D4440" t="s">
        <v>55</v>
      </c>
      <c r="E4440" t="s">
        <v>79</v>
      </c>
      <c r="F4440" t="s">
        <v>28</v>
      </c>
      <c r="G4440">
        <v>3.7</v>
      </c>
      <c r="H4440">
        <v>1.1000000000000001</v>
      </c>
      <c r="I4440" t="str" cm="1">
        <f t="array" ref="I4440">_xlfn.IFS(G4440&lt;3, "0–2 Years", G4440&lt;6, "3–5 Years", G4440&lt;9, "6–8 Years", G4440&lt;12, "9-11 Years", G4440&gt;=12, "12-14 Years")</f>
        <v>3–5 Years</v>
      </c>
      <c r="J4440">
        <v>3</v>
      </c>
      <c r="K4440" t="s">
        <v>20</v>
      </c>
      <c r="L4440">
        <v>63500</v>
      </c>
      <c r="M4440">
        <v>10900</v>
      </c>
      <c r="N4440">
        <v>74400</v>
      </c>
      <c r="O4440" t="s">
        <v>25</v>
      </c>
      <c r="P4440" s="3">
        <v>44655</v>
      </c>
      <c r="Q4440" t="s">
        <v>28</v>
      </c>
    </row>
    <row r="4441" spans="1:17" x14ac:dyDescent="0.35">
      <c r="A4441" t="s">
        <v>4493</v>
      </c>
      <c r="B4441" t="s">
        <v>16</v>
      </c>
      <c r="C4441">
        <v>45</v>
      </c>
      <c r="D4441" t="s">
        <v>44</v>
      </c>
      <c r="E4441" t="s">
        <v>81</v>
      </c>
      <c r="F4441" t="s">
        <v>28</v>
      </c>
      <c r="G4441">
        <v>6</v>
      </c>
      <c r="H4441">
        <v>4.3</v>
      </c>
      <c r="I4441" t="str" cm="1">
        <f t="array" ref="I4441">_xlfn.IFS(G4441&lt;3, "0–2 Years", G4441&lt;6, "3–5 Years", G4441&lt;9, "6–8 Years", G4441&lt;12, "9-11 Years", G4441&gt;=12, "12-14 Years")</f>
        <v>6–8 Years</v>
      </c>
      <c r="J4441">
        <v>1</v>
      </c>
      <c r="K4441" t="s">
        <v>20</v>
      </c>
      <c r="L4441">
        <v>95500</v>
      </c>
      <c r="M4441">
        <v>6700</v>
      </c>
      <c r="N4441">
        <v>102200</v>
      </c>
      <c r="O4441" t="s">
        <v>30</v>
      </c>
      <c r="P4441" s="3">
        <v>43840</v>
      </c>
      <c r="Q4441" t="s">
        <v>28</v>
      </c>
    </row>
    <row r="4442" spans="1:17" x14ac:dyDescent="0.35">
      <c r="A4442" t="s">
        <v>4494</v>
      </c>
      <c r="B4442" t="s">
        <v>16</v>
      </c>
      <c r="C4442">
        <v>29</v>
      </c>
      <c r="D4442" t="s">
        <v>34</v>
      </c>
      <c r="E4442" t="s">
        <v>47</v>
      </c>
      <c r="F4442" t="s">
        <v>28</v>
      </c>
      <c r="G4442">
        <v>4.3</v>
      </c>
      <c r="H4442">
        <v>3.1</v>
      </c>
      <c r="I4442" t="str" cm="1">
        <f t="array" ref="I4442">_xlfn.IFS(G4442&lt;3, "0–2 Years", G4442&lt;6, "3–5 Years", G4442&lt;9, "6–8 Years", G4442&lt;12, "9-11 Years", G4442&gt;=12, "12-14 Years")</f>
        <v>3–5 Years</v>
      </c>
      <c r="J4442">
        <v>4</v>
      </c>
      <c r="K4442" t="s">
        <v>24</v>
      </c>
      <c r="L4442">
        <v>53700</v>
      </c>
      <c r="M4442">
        <v>5300</v>
      </c>
      <c r="N4442">
        <v>59000</v>
      </c>
      <c r="O4442" t="s">
        <v>25</v>
      </c>
      <c r="P4442" s="3">
        <v>44448</v>
      </c>
      <c r="Q4442" t="s">
        <v>28</v>
      </c>
    </row>
    <row r="4443" spans="1:17" x14ac:dyDescent="0.35">
      <c r="A4443" t="s">
        <v>4495</v>
      </c>
      <c r="B4443" t="s">
        <v>16</v>
      </c>
      <c r="C4443">
        <v>48</v>
      </c>
      <c r="D4443" t="s">
        <v>38</v>
      </c>
      <c r="E4443" t="s">
        <v>39</v>
      </c>
      <c r="F4443" t="s">
        <v>19</v>
      </c>
      <c r="G4443">
        <v>11.8</v>
      </c>
      <c r="H4443">
        <v>7.3</v>
      </c>
      <c r="I4443" t="str" cm="1">
        <f t="array" ref="I4443">_xlfn.IFS(G4443&lt;3, "0–2 Years", G4443&lt;6, "3–5 Years", G4443&lt;9, "6–8 Years", G4443&lt;12, "9-11 Years", G4443&gt;=12, "12-14 Years")</f>
        <v>9-11 Years</v>
      </c>
      <c r="J4443">
        <v>4</v>
      </c>
      <c r="K4443" t="s">
        <v>20</v>
      </c>
      <c r="L4443">
        <v>84100</v>
      </c>
      <c r="M4443">
        <v>5300</v>
      </c>
      <c r="N4443">
        <v>89400</v>
      </c>
      <c r="O4443" t="s">
        <v>30</v>
      </c>
      <c r="P4443" s="3">
        <v>41731</v>
      </c>
      <c r="Q4443" t="s">
        <v>19</v>
      </c>
    </row>
    <row r="4444" spans="1:17" x14ac:dyDescent="0.35">
      <c r="A4444" t="s">
        <v>4496</v>
      </c>
      <c r="B4444" t="s">
        <v>23</v>
      </c>
      <c r="C4444">
        <v>35</v>
      </c>
      <c r="D4444" t="s">
        <v>38</v>
      </c>
      <c r="E4444" t="s">
        <v>112</v>
      </c>
      <c r="F4444" t="s">
        <v>28</v>
      </c>
      <c r="G4444">
        <v>8.4</v>
      </c>
      <c r="H4444">
        <v>5.8</v>
      </c>
      <c r="I4444" t="str" cm="1">
        <f t="array" ref="I4444">_xlfn.IFS(G4444&lt;3, "0–2 Years", G4444&lt;6, "3–5 Years", G4444&lt;9, "6–8 Years", G4444&lt;12, "9-11 Years", G4444&gt;=12, "12-14 Years")</f>
        <v>6–8 Years</v>
      </c>
      <c r="J4444">
        <v>3</v>
      </c>
      <c r="K4444" t="s">
        <v>20</v>
      </c>
      <c r="L4444">
        <v>77600</v>
      </c>
      <c r="M4444">
        <v>5500</v>
      </c>
      <c r="N4444">
        <v>83100</v>
      </c>
      <c r="O4444" t="s">
        <v>21</v>
      </c>
      <c r="P4444" s="3">
        <v>42937</v>
      </c>
      <c r="Q4444" t="s">
        <v>28</v>
      </c>
    </row>
    <row r="4445" spans="1:17" x14ac:dyDescent="0.35">
      <c r="A4445" t="s">
        <v>4497</v>
      </c>
      <c r="B4445" t="s">
        <v>23</v>
      </c>
      <c r="C4445">
        <v>33</v>
      </c>
      <c r="D4445" t="s">
        <v>17</v>
      </c>
      <c r="E4445" t="s">
        <v>27</v>
      </c>
      <c r="F4445" t="s">
        <v>62</v>
      </c>
      <c r="G4445">
        <v>3.6</v>
      </c>
      <c r="H4445">
        <v>2.8</v>
      </c>
      <c r="I4445" t="str" cm="1">
        <f t="array" ref="I4445">_xlfn.IFS(G4445&lt;3, "0–2 Years", G4445&lt;6, "3–5 Years", G4445&lt;9, "6–8 Years", G4445&lt;12, "9-11 Years", G4445&gt;=12, "12-14 Years")</f>
        <v>3–5 Years</v>
      </c>
      <c r="J4445">
        <v>5</v>
      </c>
      <c r="K4445" t="s">
        <v>20</v>
      </c>
      <c r="L4445">
        <v>84800</v>
      </c>
      <c r="M4445">
        <v>5100</v>
      </c>
      <c r="N4445">
        <v>89900</v>
      </c>
      <c r="O4445" t="s">
        <v>30</v>
      </c>
      <c r="P4445" s="3">
        <v>44694</v>
      </c>
      <c r="Q4445" t="s">
        <v>62</v>
      </c>
    </row>
    <row r="4446" spans="1:17" x14ac:dyDescent="0.35">
      <c r="A4446" t="s">
        <v>4498</v>
      </c>
      <c r="B4446" t="s">
        <v>16</v>
      </c>
      <c r="C4446">
        <v>35</v>
      </c>
      <c r="D4446" t="s">
        <v>44</v>
      </c>
      <c r="E4446" t="s">
        <v>51</v>
      </c>
      <c r="F4446" t="s">
        <v>28</v>
      </c>
      <c r="G4446">
        <v>3.3</v>
      </c>
      <c r="H4446">
        <v>0.6</v>
      </c>
      <c r="I4446" t="str" cm="1">
        <f t="array" ref="I4446">_xlfn.IFS(G4446&lt;3, "0–2 Years", G4446&lt;6, "3–5 Years", G4446&lt;9, "6–8 Years", G4446&lt;12, "9-11 Years", G4446&gt;=12, "12-14 Years")</f>
        <v>3–5 Years</v>
      </c>
      <c r="J4446">
        <v>5</v>
      </c>
      <c r="K4446" t="s">
        <v>69</v>
      </c>
      <c r="L4446">
        <v>70600</v>
      </c>
      <c r="M4446">
        <v>7900</v>
      </c>
      <c r="N4446">
        <v>78500</v>
      </c>
      <c r="O4446" t="s">
        <v>21</v>
      </c>
      <c r="P4446" s="3">
        <v>44810</v>
      </c>
      <c r="Q4446" t="s">
        <v>28</v>
      </c>
    </row>
    <row r="4447" spans="1:17" x14ac:dyDescent="0.35">
      <c r="A4447" t="s">
        <v>4499</v>
      </c>
      <c r="B4447" t="s">
        <v>23</v>
      </c>
      <c r="C4447">
        <v>34</v>
      </c>
      <c r="D4447" t="s">
        <v>41</v>
      </c>
      <c r="E4447" t="s">
        <v>73</v>
      </c>
      <c r="F4447" t="s">
        <v>28</v>
      </c>
      <c r="G4447">
        <v>4.3</v>
      </c>
      <c r="H4447">
        <v>2.7</v>
      </c>
      <c r="I4447" t="str" cm="1">
        <f t="array" ref="I4447">_xlfn.IFS(G4447&lt;3, "0–2 Years", G4447&lt;6, "3–5 Years", G4447&lt;9, "6–8 Years", G4447&lt;12, "9-11 Years", G4447&gt;=12, "12-14 Years")</f>
        <v>3–5 Years</v>
      </c>
      <c r="J4447">
        <v>3</v>
      </c>
      <c r="K4447" t="s">
        <v>20</v>
      </c>
      <c r="L4447">
        <v>91300</v>
      </c>
      <c r="M4447">
        <v>6800</v>
      </c>
      <c r="N4447">
        <v>98100</v>
      </c>
      <c r="O4447" t="s">
        <v>30</v>
      </c>
      <c r="P4447" s="3">
        <v>44441</v>
      </c>
      <c r="Q4447" t="s">
        <v>28</v>
      </c>
    </row>
    <row r="4448" spans="1:17" x14ac:dyDescent="0.35">
      <c r="A4448" t="s">
        <v>4500</v>
      </c>
      <c r="B4448" t="s">
        <v>16</v>
      </c>
      <c r="C4448">
        <v>36</v>
      </c>
      <c r="D4448" t="s">
        <v>38</v>
      </c>
      <c r="E4448" t="s">
        <v>112</v>
      </c>
      <c r="F4448" t="s">
        <v>28</v>
      </c>
      <c r="G4448">
        <v>11.9</v>
      </c>
      <c r="H4448">
        <v>8.9</v>
      </c>
      <c r="I4448" t="str" cm="1">
        <f t="array" ref="I4448">_xlfn.IFS(G4448&lt;3, "0–2 Years", G4448&lt;6, "3–5 Years", G4448&lt;9, "6–8 Years", G4448&lt;12, "9-11 Years", G4448&gt;=12, "12-14 Years")</f>
        <v>9-11 Years</v>
      </c>
      <c r="J4448">
        <v>3</v>
      </c>
      <c r="K4448" t="s">
        <v>20</v>
      </c>
      <c r="L4448">
        <v>88200</v>
      </c>
      <c r="M4448">
        <v>9200</v>
      </c>
      <c r="N4448">
        <v>97400</v>
      </c>
      <c r="O4448" t="s">
        <v>30</v>
      </c>
      <c r="P4448" s="3">
        <v>41692</v>
      </c>
      <c r="Q4448" t="s">
        <v>28</v>
      </c>
    </row>
    <row r="4449" spans="1:17" x14ac:dyDescent="0.35">
      <c r="A4449" t="s">
        <v>4501</v>
      </c>
      <c r="B4449" t="s">
        <v>23</v>
      </c>
      <c r="C4449">
        <v>21</v>
      </c>
      <c r="D4449" t="s">
        <v>38</v>
      </c>
      <c r="E4449" t="s">
        <v>112</v>
      </c>
      <c r="F4449" t="s">
        <v>36</v>
      </c>
      <c r="G4449">
        <v>4.2</v>
      </c>
      <c r="H4449">
        <v>3</v>
      </c>
      <c r="I4449" t="str" cm="1">
        <f t="array" ref="I4449">_xlfn.IFS(G4449&lt;3, "0–2 Years", G4449&lt;6, "3–5 Years", G4449&lt;9, "6–8 Years", G4449&lt;12, "9-11 Years", G4449&gt;=12, "12-14 Years")</f>
        <v>3–5 Years</v>
      </c>
      <c r="J4449">
        <v>3</v>
      </c>
      <c r="K4449" t="s">
        <v>20</v>
      </c>
      <c r="L4449">
        <v>75700</v>
      </c>
      <c r="M4449">
        <v>4500</v>
      </c>
      <c r="N4449">
        <v>80200</v>
      </c>
      <c r="O4449" t="s">
        <v>21</v>
      </c>
      <c r="P4449" s="3">
        <v>44490</v>
      </c>
      <c r="Q4449" t="s">
        <v>36</v>
      </c>
    </row>
    <row r="4450" spans="1:17" x14ac:dyDescent="0.35">
      <c r="A4450" t="s">
        <v>4502</v>
      </c>
      <c r="B4450" t="s">
        <v>23</v>
      </c>
      <c r="C4450">
        <v>29</v>
      </c>
      <c r="D4450" t="s">
        <v>44</v>
      </c>
      <c r="E4450" t="s">
        <v>76</v>
      </c>
      <c r="F4450" t="s">
        <v>36</v>
      </c>
      <c r="G4450">
        <v>8.1</v>
      </c>
      <c r="H4450">
        <v>7.6</v>
      </c>
      <c r="I4450" t="str" cm="1">
        <f t="array" ref="I4450">_xlfn.IFS(G4450&lt;3, "0–2 Years", G4450&lt;6, "3–5 Years", G4450&lt;9, "6–8 Years", G4450&lt;12, "9-11 Years", G4450&gt;=12, "12-14 Years")</f>
        <v>6–8 Years</v>
      </c>
      <c r="J4450">
        <v>3</v>
      </c>
      <c r="K4450" t="s">
        <v>20</v>
      </c>
      <c r="L4450">
        <v>121800</v>
      </c>
      <c r="M4450">
        <v>15900</v>
      </c>
      <c r="N4450">
        <v>137700</v>
      </c>
      <c r="O4450" t="s">
        <v>57</v>
      </c>
      <c r="P4450" s="3">
        <v>43055</v>
      </c>
      <c r="Q4450" t="s">
        <v>36</v>
      </c>
    </row>
    <row r="4451" spans="1:17" x14ac:dyDescent="0.35">
      <c r="A4451" t="s">
        <v>4503</v>
      </c>
      <c r="B4451" t="s">
        <v>16</v>
      </c>
      <c r="C4451">
        <v>23</v>
      </c>
      <c r="D4451" t="s">
        <v>44</v>
      </c>
      <c r="E4451" t="s">
        <v>51</v>
      </c>
      <c r="F4451" t="s">
        <v>28</v>
      </c>
      <c r="G4451">
        <v>5.8</v>
      </c>
      <c r="H4451">
        <v>1.5</v>
      </c>
      <c r="I4451" t="str" cm="1">
        <f t="array" ref="I4451">_xlfn.IFS(G4451&lt;3, "0–2 Years", G4451&lt;6, "3–5 Years", G4451&lt;9, "6–8 Years", G4451&lt;12, "9-11 Years", G4451&gt;=12, "12-14 Years")</f>
        <v>3–5 Years</v>
      </c>
      <c r="J4451">
        <v>2</v>
      </c>
      <c r="K4451" t="s">
        <v>20</v>
      </c>
      <c r="L4451">
        <v>84700</v>
      </c>
      <c r="M4451">
        <v>12700</v>
      </c>
      <c r="N4451">
        <v>97400</v>
      </c>
      <c r="O4451" t="s">
        <v>30</v>
      </c>
      <c r="P4451" s="3">
        <v>43889</v>
      </c>
      <c r="Q4451" t="s">
        <v>28</v>
      </c>
    </row>
    <row r="4452" spans="1:17" x14ac:dyDescent="0.35">
      <c r="A4452" t="s">
        <v>4504</v>
      </c>
      <c r="B4452" t="s">
        <v>16</v>
      </c>
      <c r="C4452">
        <v>39</v>
      </c>
      <c r="D4452" t="s">
        <v>41</v>
      </c>
      <c r="E4452" t="s">
        <v>42</v>
      </c>
      <c r="F4452" t="s">
        <v>28</v>
      </c>
      <c r="G4452">
        <v>9.5</v>
      </c>
      <c r="H4452">
        <v>5.3</v>
      </c>
      <c r="I4452" t="str" cm="1">
        <f t="array" ref="I4452">_xlfn.IFS(G4452&lt;3, "0–2 Years", G4452&lt;6, "3–5 Years", G4452&lt;9, "6–8 Years", G4452&lt;12, "9-11 Years", G4452&gt;=12, "12-14 Years")</f>
        <v>9-11 Years</v>
      </c>
      <c r="J4452">
        <v>4</v>
      </c>
      <c r="K4452" t="s">
        <v>20</v>
      </c>
      <c r="L4452">
        <v>81500</v>
      </c>
      <c r="M4452">
        <v>7300</v>
      </c>
      <c r="N4452">
        <v>88800</v>
      </c>
      <c r="O4452" t="s">
        <v>30</v>
      </c>
      <c r="P4452" s="3">
        <v>42550</v>
      </c>
      <c r="Q4452" t="s">
        <v>28</v>
      </c>
    </row>
    <row r="4453" spans="1:17" x14ac:dyDescent="0.35">
      <c r="A4453" t="s">
        <v>4505</v>
      </c>
      <c r="B4453" t="s">
        <v>23</v>
      </c>
      <c r="C4453">
        <v>41</v>
      </c>
      <c r="D4453" t="s">
        <v>41</v>
      </c>
      <c r="E4453" t="s">
        <v>73</v>
      </c>
      <c r="F4453" t="s">
        <v>36</v>
      </c>
      <c r="G4453">
        <v>5.6</v>
      </c>
      <c r="H4453">
        <v>3.3</v>
      </c>
      <c r="I4453" t="str" cm="1">
        <f t="array" ref="I4453">_xlfn.IFS(G4453&lt;3, "0–2 Years", G4453&lt;6, "3–5 Years", G4453&lt;9, "6–8 Years", G4453&lt;12, "9-11 Years", G4453&gt;=12, "12-14 Years")</f>
        <v>3–5 Years</v>
      </c>
      <c r="J4453">
        <v>2</v>
      </c>
      <c r="K4453" t="s">
        <v>20</v>
      </c>
      <c r="L4453">
        <v>92800</v>
      </c>
      <c r="M4453">
        <v>3700</v>
      </c>
      <c r="N4453">
        <v>96500</v>
      </c>
      <c r="O4453" t="s">
        <v>30</v>
      </c>
      <c r="P4453" s="3">
        <v>43980</v>
      </c>
      <c r="Q4453" t="s">
        <v>36</v>
      </c>
    </row>
    <row r="4454" spans="1:17" x14ac:dyDescent="0.35">
      <c r="A4454" t="s">
        <v>4506</v>
      </c>
      <c r="B4454" t="s">
        <v>16</v>
      </c>
      <c r="C4454">
        <v>41</v>
      </c>
      <c r="D4454" t="s">
        <v>41</v>
      </c>
      <c r="E4454" t="s">
        <v>67</v>
      </c>
      <c r="F4454" t="s">
        <v>28</v>
      </c>
      <c r="G4454">
        <v>3.1</v>
      </c>
      <c r="H4454">
        <v>2.1</v>
      </c>
      <c r="I4454" t="str" cm="1">
        <f t="array" ref="I4454">_xlfn.IFS(G4454&lt;3, "0–2 Years", G4454&lt;6, "3–5 Years", G4454&lt;9, "6–8 Years", G4454&lt;12, "9-11 Years", G4454&gt;=12, "12-14 Years")</f>
        <v>3–5 Years</v>
      </c>
      <c r="J4454">
        <v>2</v>
      </c>
      <c r="K4454" t="s">
        <v>24</v>
      </c>
      <c r="L4454">
        <v>36300</v>
      </c>
      <c r="M4454">
        <v>2500</v>
      </c>
      <c r="N4454">
        <v>38800</v>
      </c>
      <c r="O4454" t="s">
        <v>65</v>
      </c>
      <c r="P4454" s="3">
        <v>44898</v>
      </c>
      <c r="Q4454" t="s">
        <v>28</v>
      </c>
    </row>
    <row r="4455" spans="1:17" x14ac:dyDescent="0.35">
      <c r="A4455" t="s">
        <v>4507</v>
      </c>
      <c r="B4455" t="s">
        <v>16</v>
      </c>
      <c r="C4455">
        <v>38</v>
      </c>
      <c r="D4455" t="s">
        <v>55</v>
      </c>
      <c r="E4455" t="s">
        <v>56</v>
      </c>
      <c r="F4455" t="s">
        <v>28</v>
      </c>
      <c r="G4455">
        <v>1.6</v>
      </c>
      <c r="H4455">
        <v>0.5</v>
      </c>
      <c r="I4455" t="str" cm="1">
        <f t="array" ref="I4455">_xlfn.IFS(G4455&lt;3, "0–2 Years", G4455&lt;6, "3–5 Years", G4455&lt;9, "6–8 Years", G4455&lt;12, "9-11 Years", G4455&gt;=12, "12-14 Years")</f>
        <v>0–2 Years</v>
      </c>
      <c r="J4455">
        <v>2</v>
      </c>
      <c r="K4455" t="s">
        <v>24</v>
      </c>
      <c r="L4455">
        <v>57100</v>
      </c>
      <c r="M4455">
        <v>7600</v>
      </c>
      <c r="N4455">
        <v>64700</v>
      </c>
      <c r="O4455" t="s">
        <v>25</v>
      </c>
      <c r="P4455" s="3">
        <v>45435</v>
      </c>
      <c r="Q4455" t="s">
        <v>28</v>
      </c>
    </row>
    <row r="4456" spans="1:17" x14ac:dyDescent="0.35">
      <c r="A4456" t="s">
        <v>4508</v>
      </c>
      <c r="B4456" t="s">
        <v>23</v>
      </c>
      <c r="C4456" s="7">
        <v>30</v>
      </c>
      <c r="D4456" t="s">
        <v>38</v>
      </c>
      <c r="E4456" t="s">
        <v>39</v>
      </c>
      <c r="F4456" t="s">
        <v>19</v>
      </c>
      <c r="G4456" s="9">
        <v>13</v>
      </c>
      <c r="H4456" s="7">
        <v>8.3000000000000007</v>
      </c>
      <c r="I4456" t="str" cm="1">
        <f t="array" ref="I4456">_xlfn.IFS(G4456&lt;3, "0–2 Years", G4456&lt;6, "3–5 Years", G4456&lt;9, "6–8 Years", G4456&lt;12, "9-11 Years", G4456&gt;=12, "12-14 Years")</f>
        <v>12-14 Years</v>
      </c>
      <c r="J4456" s="7">
        <v>3</v>
      </c>
      <c r="K4456" t="s">
        <v>20</v>
      </c>
      <c r="L4456" s="7">
        <v>72200</v>
      </c>
      <c r="M4456" s="7">
        <v>3900</v>
      </c>
      <c r="N4456" s="7">
        <v>76100</v>
      </c>
      <c r="O4456" t="s">
        <v>21</v>
      </c>
      <c r="P4456" s="3">
        <v>41269</v>
      </c>
      <c r="Q4456" t="s">
        <v>19</v>
      </c>
    </row>
    <row r="4457" spans="1:17" x14ac:dyDescent="0.35">
      <c r="A4457" t="s">
        <v>4509</v>
      </c>
      <c r="B4457" t="s">
        <v>16</v>
      </c>
      <c r="C4457">
        <v>29</v>
      </c>
      <c r="D4457" t="s">
        <v>34</v>
      </c>
      <c r="E4457" t="s">
        <v>59</v>
      </c>
      <c r="F4457" t="s">
        <v>36</v>
      </c>
      <c r="G4457">
        <v>2.8</v>
      </c>
      <c r="H4457">
        <v>1.7</v>
      </c>
      <c r="I4457" t="str" cm="1">
        <f t="array" ref="I4457">_xlfn.IFS(G4457&lt;3, "0–2 Years", G4457&lt;6, "3–5 Years", G4457&lt;9, "6–8 Years", G4457&lt;12, "9-11 Years", G4457&gt;=12, "12-14 Years")</f>
        <v>0–2 Years</v>
      </c>
      <c r="J4457">
        <v>4</v>
      </c>
      <c r="K4457" t="s">
        <v>20</v>
      </c>
      <c r="L4457">
        <v>100600</v>
      </c>
      <c r="M4457">
        <v>11100</v>
      </c>
      <c r="N4457">
        <v>111700</v>
      </c>
      <c r="O4457" t="s">
        <v>57</v>
      </c>
      <c r="P4457" s="3">
        <v>45000</v>
      </c>
      <c r="Q4457" t="s">
        <v>36</v>
      </c>
    </row>
    <row r="4458" spans="1:17" x14ac:dyDescent="0.35">
      <c r="A4458" t="s">
        <v>4510</v>
      </c>
      <c r="B4458" t="s">
        <v>23</v>
      </c>
      <c r="C4458">
        <v>29</v>
      </c>
      <c r="D4458" t="s">
        <v>44</v>
      </c>
      <c r="E4458" t="s">
        <v>51</v>
      </c>
      <c r="F4458" t="s">
        <v>28</v>
      </c>
      <c r="G4458">
        <v>2.5</v>
      </c>
      <c r="H4458">
        <v>0</v>
      </c>
      <c r="I4458" t="str" cm="1">
        <f t="array" ref="I4458">_xlfn.IFS(G4458&lt;3, "0–2 Years", G4458&lt;6, "3–5 Years", G4458&lt;9, "6–8 Years", G4458&lt;12, "9-11 Years", G4458&gt;=12, "12-14 Years")</f>
        <v>0–2 Years</v>
      </c>
      <c r="J4458">
        <v>2</v>
      </c>
      <c r="K4458" t="s">
        <v>20</v>
      </c>
      <c r="L4458">
        <v>26915</v>
      </c>
      <c r="M4458">
        <v>10000</v>
      </c>
      <c r="N4458">
        <v>36915</v>
      </c>
      <c r="O4458" t="s">
        <v>65</v>
      </c>
      <c r="P4458" s="3">
        <v>45118</v>
      </c>
      <c r="Q4458" t="s">
        <v>28</v>
      </c>
    </row>
    <row r="4459" spans="1:17" x14ac:dyDescent="0.35">
      <c r="A4459" t="s">
        <v>4511</v>
      </c>
      <c r="B4459" t="s">
        <v>16</v>
      </c>
      <c r="C4459">
        <v>47</v>
      </c>
      <c r="D4459" t="s">
        <v>55</v>
      </c>
      <c r="E4459" t="s">
        <v>79</v>
      </c>
      <c r="F4459" t="s">
        <v>28</v>
      </c>
      <c r="G4459">
        <v>8.8000000000000007</v>
      </c>
      <c r="H4459">
        <v>6.7</v>
      </c>
      <c r="I4459" t="str" cm="1">
        <f t="array" ref="I4459">_xlfn.IFS(G4459&lt;3, "0–2 Years", G4459&lt;6, "3–5 Years", G4459&lt;9, "6–8 Years", G4459&lt;12, "9-11 Years", G4459&gt;=12, "12-14 Years")</f>
        <v>6–8 Years</v>
      </c>
      <c r="J4459">
        <v>4</v>
      </c>
      <c r="K4459" t="s">
        <v>20</v>
      </c>
      <c r="L4459">
        <v>56900</v>
      </c>
      <c r="M4459">
        <v>7900</v>
      </c>
      <c r="N4459">
        <v>64800</v>
      </c>
      <c r="O4459" t="s">
        <v>25</v>
      </c>
      <c r="P4459" s="3">
        <v>42794</v>
      </c>
      <c r="Q4459" t="s">
        <v>28</v>
      </c>
    </row>
    <row r="4460" spans="1:17" x14ac:dyDescent="0.35">
      <c r="A4460" t="s">
        <v>4512</v>
      </c>
      <c r="B4460" t="s">
        <v>23</v>
      </c>
      <c r="C4460">
        <v>32</v>
      </c>
      <c r="D4460" t="s">
        <v>44</v>
      </c>
      <c r="E4460" t="s">
        <v>81</v>
      </c>
      <c r="F4460" t="s">
        <v>36</v>
      </c>
      <c r="G4460">
        <v>8.3000000000000007</v>
      </c>
      <c r="H4460">
        <v>4.2</v>
      </c>
      <c r="I4460" t="str" cm="1">
        <f t="array" ref="I4460">_xlfn.IFS(G4460&lt;3, "0–2 Years", G4460&lt;6, "3–5 Years", G4460&lt;9, "6–8 Years", G4460&lt;12, "9-11 Years", G4460&gt;=12, "12-14 Years")</f>
        <v>6–8 Years</v>
      </c>
      <c r="J4460">
        <v>3</v>
      </c>
      <c r="K4460" t="s">
        <v>20</v>
      </c>
      <c r="L4460">
        <v>101400</v>
      </c>
      <c r="M4460">
        <v>9900</v>
      </c>
      <c r="N4460">
        <v>111300</v>
      </c>
      <c r="O4460" t="s">
        <v>57</v>
      </c>
      <c r="P4460" s="3">
        <v>42976</v>
      </c>
      <c r="Q4460" t="s">
        <v>36</v>
      </c>
    </row>
    <row r="4461" spans="1:17" x14ac:dyDescent="0.35">
      <c r="A4461" t="s">
        <v>4513</v>
      </c>
      <c r="B4461" t="s">
        <v>23</v>
      </c>
      <c r="C4461">
        <v>31</v>
      </c>
      <c r="D4461" t="s">
        <v>17</v>
      </c>
      <c r="E4461" t="s">
        <v>18</v>
      </c>
      <c r="F4461" t="s">
        <v>19</v>
      </c>
      <c r="G4461">
        <v>2.7</v>
      </c>
      <c r="H4461">
        <v>0.4</v>
      </c>
      <c r="I4461" t="str" cm="1">
        <f t="array" ref="I4461">_xlfn.IFS(G4461&lt;3, "0–2 Years", G4461&lt;6, "3–5 Years", G4461&lt;9, "6–8 Years", G4461&lt;12, "9-11 Years", G4461&gt;=12, "12-14 Years")</f>
        <v>0–2 Years</v>
      </c>
      <c r="J4461">
        <v>3</v>
      </c>
      <c r="K4461" t="s">
        <v>20</v>
      </c>
      <c r="L4461">
        <v>96200</v>
      </c>
      <c r="M4461">
        <v>9000</v>
      </c>
      <c r="N4461">
        <v>105200</v>
      </c>
      <c r="O4461" t="s">
        <v>30</v>
      </c>
      <c r="P4461" s="3">
        <v>45042</v>
      </c>
      <c r="Q4461" t="s">
        <v>19</v>
      </c>
    </row>
    <row r="4462" spans="1:17" x14ac:dyDescent="0.35">
      <c r="A4462" t="s">
        <v>4514</v>
      </c>
      <c r="B4462" t="s">
        <v>23</v>
      </c>
      <c r="C4462">
        <v>38</v>
      </c>
      <c r="D4462" t="s">
        <v>17</v>
      </c>
      <c r="E4462" t="s">
        <v>18</v>
      </c>
      <c r="F4462" t="s">
        <v>36</v>
      </c>
      <c r="G4462">
        <v>5.0999999999999996</v>
      </c>
      <c r="H4462">
        <v>4.5999999999999996</v>
      </c>
      <c r="I4462" t="str" cm="1">
        <f t="array" ref="I4462">_xlfn.IFS(G4462&lt;3, "0–2 Years", G4462&lt;6, "3–5 Years", G4462&lt;9, "6–8 Years", G4462&lt;12, "9-11 Years", G4462&gt;=12, "12-14 Years")</f>
        <v>3–5 Years</v>
      </c>
      <c r="J4462">
        <v>3</v>
      </c>
      <c r="K4462" t="s">
        <v>20</v>
      </c>
      <c r="L4462">
        <v>98900</v>
      </c>
      <c r="M4462">
        <v>8500</v>
      </c>
      <c r="N4462">
        <v>107400</v>
      </c>
      <c r="O4462" t="s">
        <v>30</v>
      </c>
      <c r="P4462" s="3">
        <v>44160</v>
      </c>
      <c r="Q4462" t="s">
        <v>36</v>
      </c>
    </row>
    <row r="4463" spans="1:17" x14ac:dyDescent="0.35">
      <c r="A4463" t="s">
        <v>4515</v>
      </c>
      <c r="B4463" t="s">
        <v>16</v>
      </c>
      <c r="C4463">
        <v>22</v>
      </c>
      <c r="D4463" t="s">
        <v>55</v>
      </c>
      <c r="E4463" t="s">
        <v>56</v>
      </c>
      <c r="F4463" t="s">
        <v>36</v>
      </c>
      <c r="G4463">
        <v>10.199999999999999</v>
      </c>
      <c r="H4463">
        <v>6.9</v>
      </c>
      <c r="I4463" t="str" cm="1">
        <f t="array" ref="I4463">_xlfn.IFS(G4463&lt;3, "0–2 Years", G4463&lt;6, "3–5 Years", G4463&lt;9, "6–8 Years", G4463&lt;12, "9-11 Years", G4463&gt;=12, "12-14 Years")</f>
        <v>9-11 Years</v>
      </c>
      <c r="J4463">
        <v>3</v>
      </c>
      <c r="K4463" t="s">
        <v>20</v>
      </c>
      <c r="L4463">
        <v>96300</v>
      </c>
      <c r="M4463">
        <v>14800</v>
      </c>
      <c r="N4463">
        <v>111100</v>
      </c>
      <c r="O4463" t="s">
        <v>30</v>
      </c>
      <c r="P4463" s="3">
        <v>42287</v>
      </c>
      <c r="Q4463" t="s">
        <v>36</v>
      </c>
    </row>
    <row r="4464" spans="1:17" x14ac:dyDescent="0.35">
      <c r="A4464" t="s">
        <v>4516</v>
      </c>
      <c r="B4464" t="s">
        <v>16</v>
      </c>
      <c r="C4464">
        <v>36</v>
      </c>
      <c r="D4464" t="s">
        <v>41</v>
      </c>
      <c r="E4464" t="s">
        <v>73</v>
      </c>
      <c r="F4464" t="s">
        <v>28</v>
      </c>
      <c r="G4464">
        <v>4.8</v>
      </c>
      <c r="H4464">
        <v>2.8</v>
      </c>
      <c r="I4464" t="str" cm="1">
        <f t="array" ref="I4464">_xlfn.IFS(G4464&lt;3, "0–2 Years", G4464&lt;6, "3–5 Years", G4464&lt;9, "6–8 Years", G4464&lt;12, "9-11 Years", G4464&gt;=12, "12-14 Years")</f>
        <v>3–5 Years</v>
      </c>
      <c r="J4464">
        <v>3</v>
      </c>
      <c r="K4464" t="s">
        <v>20</v>
      </c>
      <c r="L4464">
        <v>93900</v>
      </c>
      <c r="M4464">
        <v>6800</v>
      </c>
      <c r="N4464">
        <v>100700</v>
      </c>
      <c r="O4464" t="s">
        <v>30</v>
      </c>
      <c r="P4464" s="3">
        <v>44252</v>
      </c>
      <c r="Q4464" t="s">
        <v>28</v>
      </c>
    </row>
    <row r="4465" spans="1:17" x14ac:dyDescent="0.35">
      <c r="A4465" t="s">
        <v>4517</v>
      </c>
      <c r="B4465" t="s">
        <v>23</v>
      </c>
      <c r="C4465">
        <v>32</v>
      </c>
      <c r="D4465" t="s">
        <v>44</v>
      </c>
      <c r="E4465" t="s">
        <v>76</v>
      </c>
      <c r="F4465" t="s">
        <v>28</v>
      </c>
      <c r="G4465">
        <v>10.5</v>
      </c>
      <c r="H4465">
        <v>5.8</v>
      </c>
      <c r="I4465" t="str" cm="1">
        <f t="array" ref="I4465">_xlfn.IFS(G4465&lt;3, "0–2 Years", G4465&lt;6, "3–5 Years", G4465&lt;9, "6–8 Years", G4465&lt;12, "9-11 Years", G4465&gt;=12, "12-14 Years")</f>
        <v>9-11 Years</v>
      </c>
      <c r="J4465">
        <v>2</v>
      </c>
      <c r="K4465" t="s">
        <v>20</v>
      </c>
      <c r="L4465">
        <v>107900</v>
      </c>
      <c r="M4465">
        <v>8800</v>
      </c>
      <c r="N4465">
        <v>116700</v>
      </c>
      <c r="O4465" t="s">
        <v>57</v>
      </c>
      <c r="P4465" s="3">
        <v>42178</v>
      </c>
      <c r="Q4465" t="s">
        <v>28</v>
      </c>
    </row>
    <row r="4466" spans="1:17" x14ac:dyDescent="0.35">
      <c r="A4466" t="s">
        <v>4518</v>
      </c>
      <c r="B4466" t="s">
        <v>16</v>
      </c>
      <c r="C4466">
        <v>26</v>
      </c>
      <c r="D4466" t="s">
        <v>38</v>
      </c>
      <c r="E4466" t="s">
        <v>39</v>
      </c>
      <c r="F4466" t="s">
        <v>28</v>
      </c>
      <c r="G4466">
        <v>2.4</v>
      </c>
      <c r="H4466">
        <v>2.4</v>
      </c>
      <c r="I4466" t="str" cm="1">
        <f t="array" ref="I4466">_xlfn.IFS(G4466&lt;3, "0–2 Years", G4466&lt;6, "3–5 Years", G4466&lt;9, "6–8 Years", G4466&lt;12, "9-11 Years", G4466&gt;=12, "12-14 Years")</f>
        <v>0–2 Years</v>
      </c>
      <c r="J4466">
        <v>3</v>
      </c>
      <c r="K4466" t="s">
        <v>20</v>
      </c>
      <c r="L4466">
        <v>61900</v>
      </c>
      <c r="M4466">
        <v>3700</v>
      </c>
      <c r="N4466">
        <v>65600</v>
      </c>
      <c r="O4466" t="s">
        <v>25</v>
      </c>
      <c r="P4466" s="3">
        <v>45162</v>
      </c>
      <c r="Q4466" t="s">
        <v>28</v>
      </c>
    </row>
    <row r="4467" spans="1:17" x14ac:dyDescent="0.35">
      <c r="A4467" t="s">
        <v>4519</v>
      </c>
      <c r="B4467" t="s">
        <v>23</v>
      </c>
      <c r="C4467">
        <v>21</v>
      </c>
      <c r="D4467" t="s">
        <v>38</v>
      </c>
      <c r="E4467" t="s">
        <v>112</v>
      </c>
      <c r="F4467" t="s">
        <v>28</v>
      </c>
      <c r="G4467">
        <v>7.2</v>
      </c>
      <c r="H4467">
        <v>4.3</v>
      </c>
      <c r="I4467" t="str" cm="1">
        <f t="array" ref="I4467">_xlfn.IFS(G4467&lt;3, "0–2 Years", G4467&lt;6, "3–5 Years", G4467&lt;9, "6–8 Years", G4467&lt;12, "9-11 Years", G4467&gt;=12, "12-14 Years")</f>
        <v>6–8 Years</v>
      </c>
      <c r="J4467">
        <v>5</v>
      </c>
      <c r="K4467" t="s">
        <v>20</v>
      </c>
      <c r="L4467">
        <v>75000</v>
      </c>
      <c r="M4467">
        <v>6200</v>
      </c>
      <c r="N4467">
        <v>81200</v>
      </c>
      <c r="O4467" t="s">
        <v>21</v>
      </c>
      <c r="P4467" s="3">
        <v>43401</v>
      </c>
      <c r="Q4467" t="s">
        <v>28</v>
      </c>
    </row>
    <row r="4468" spans="1:17" x14ac:dyDescent="0.35">
      <c r="A4468" t="s">
        <v>4520</v>
      </c>
      <c r="B4468" t="s">
        <v>16</v>
      </c>
      <c r="C4468" s="7">
        <v>30</v>
      </c>
      <c r="D4468" t="s">
        <v>17</v>
      </c>
      <c r="E4468" t="s">
        <v>32</v>
      </c>
      <c r="F4468" t="s">
        <v>28</v>
      </c>
      <c r="G4468" s="9">
        <v>13</v>
      </c>
      <c r="H4468" s="7">
        <v>6.6</v>
      </c>
      <c r="I4468" t="str" cm="1">
        <f t="array" ref="I4468">_xlfn.IFS(G4468&lt;3, "0–2 Years", G4468&lt;6, "3–5 Years", G4468&lt;9, "6–8 Years", G4468&lt;12, "9-11 Years", G4468&gt;=12, "12-14 Years")</f>
        <v>12-14 Years</v>
      </c>
      <c r="J4468" s="7">
        <v>4</v>
      </c>
      <c r="K4468" t="s">
        <v>20</v>
      </c>
      <c r="L4468" s="7">
        <v>77600</v>
      </c>
      <c r="M4468" s="7">
        <v>5500</v>
      </c>
      <c r="N4468" s="7">
        <v>83100</v>
      </c>
      <c r="O4468" t="s">
        <v>21</v>
      </c>
      <c r="P4468" s="3">
        <v>41272</v>
      </c>
      <c r="Q4468" t="s">
        <v>28</v>
      </c>
    </row>
    <row r="4469" spans="1:17" x14ac:dyDescent="0.35">
      <c r="A4469" t="s">
        <v>4521</v>
      </c>
      <c r="B4469" t="s">
        <v>16</v>
      </c>
      <c r="C4469">
        <v>23</v>
      </c>
      <c r="D4469" t="s">
        <v>41</v>
      </c>
      <c r="E4469" t="s">
        <v>67</v>
      </c>
      <c r="F4469" t="s">
        <v>28</v>
      </c>
      <c r="G4469">
        <v>8.1999999999999993</v>
      </c>
      <c r="H4469">
        <v>6.9</v>
      </c>
      <c r="I4469" t="str" cm="1">
        <f t="array" ref="I4469">_xlfn.IFS(G4469&lt;3, "0–2 Years", G4469&lt;6, "3–5 Years", G4469&lt;9, "6–8 Years", G4469&lt;12, "9-11 Years", G4469&gt;=12, "12-14 Years")</f>
        <v>6–8 Years</v>
      </c>
      <c r="J4469">
        <v>4</v>
      </c>
      <c r="K4469" t="s">
        <v>20</v>
      </c>
      <c r="L4469">
        <v>77000</v>
      </c>
      <c r="M4469">
        <v>5200</v>
      </c>
      <c r="N4469">
        <v>82200</v>
      </c>
      <c r="O4469" t="s">
        <v>21</v>
      </c>
      <c r="P4469" s="3">
        <v>43036</v>
      </c>
      <c r="Q4469" t="s">
        <v>28</v>
      </c>
    </row>
    <row r="4470" spans="1:17" x14ac:dyDescent="0.35">
      <c r="A4470" t="s">
        <v>4522</v>
      </c>
      <c r="B4470" t="s">
        <v>16</v>
      </c>
      <c r="C4470">
        <v>34</v>
      </c>
      <c r="D4470" t="s">
        <v>34</v>
      </c>
      <c r="E4470" t="s">
        <v>47</v>
      </c>
      <c r="F4470" t="s">
        <v>28</v>
      </c>
      <c r="G4470">
        <v>6.3</v>
      </c>
      <c r="H4470">
        <v>5.3</v>
      </c>
      <c r="I4470" t="str" cm="1">
        <f t="array" ref="I4470">_xlfn.IFS(G4470&lt;3, "0–2 Years", G4470&lt;6, "3–5 Years", G4470&lt;9, "6–8 Years", G4470&lt;12, "9-11 Years", G4470&gt;=12, "12-14 Years")</f>
        <v>6–8 Years</v>
      </c>
      <c r="J4470">
        <v>2</v>
      </c>
      <c r="K4470" t="s">
        <v>20</v>
      </c>
      <c r="L4470">
        <v>72900</v>
      </c>
      <c r="M4470">
        <v>8700</v>
      </c>
      <c r="N4470">
        <v>81600</v>
      </c>
      <c r="O4470" t="s">
        <v>21</v>
      </c>
      <c r="P4470" s="3">
        <v>43728</v>
      </c>
      <c r="Q4470" t="s">
        <v>28</v>
      </c>
    </row>
    <row r="4471" spans="1:17" x14ac:dyDescent="0.35">
      <c r="A4471" t="s">
        <v>4523</v>
      </c>
      <c r="B4471" t="s">
        <v>16</v>
      </c>
      <c r="C4471">
        <v>34</v>
      </c>
      <c r="D4471" t="s">
        <v>55</v>
      </c>
      <c r="E4471" t="s">
        <v>79</v>
      </c>
      <c r="F4471" t="s">
        <v>36</v>
      </c>
      <c r="G4471">
        <v>7.4</v>
      </c>
      <c r="H4471">
        <v>3.8</v>
      </c>
      <c r="I4471" t="str" cm="1">
        <f t="array" ref="I4471">_xlfn.IFS(G4471&lt;3, "0–2 Years", G4471&lt;6, "3–5 Years", G4471&lt;9, "6–8 Years", G4471&lt;12, "9-11 Years", G4471&gt;=12, "12-14 Years")</f>
        <v>6–8 Years</v>
      </c>
      <c r="J4471">
        <v>3</v>
      </c>
      <c r="K4471" t="s">
        <v>20</v>
      </c>
      <c r="L4471">
        <v>77500</v>
      </c>
      <c r="M4471">
        <v>15400</v>
      </c>
      <c r="N4471">
        <v>92900</v>
      </c>
      <c r="O4471" t="s">
        <v>21</v>
      </c>
      <c r="P4471" s="3">
        <v>43310</v>
      </c>
      <c r="Q4471" t="s">
        <v>36</v>
      </c>
    </row>
    <row r="4472" spans="1:17" x14ac:dyDescent="0.35">
      <c r="A4472" t="s">
        <v>4524</v>
      </c>
      <c r="B4472" t="s">
        <v>16</v>
      </c>
      <c r="C4472">
        <v>47</v>
      </c>
      <c r="D4472" t="s">
        <v>44</v>
      </c>
      <c r="E4472" t="s">
        <v>51</v>
      </c>
      <c r="F4472" t="s">
        <v>62</v>
      </c>
      <c r="G4472">
        <v>6.4</v>
      </c>
      <c r="H4472">
        <v>4.2</v>
      </c>
      <c r="I4472" t="str" cm="1">
        <f t="array" ref="I4472">_xlfn.IFS(G4472&lt;3, "0–2 Years", G4472&lt;6, "3–5 Years", G4472&lt;9, "6–8 Years", G4472&lt;12, "9-11 Years", G4472&gt;=12, "12-14 Years")</f>
        <v>6–8 Years</v>
      </c>
      <c r="J4472">
        <v>3</v>
      </c>
      <c r="K4472" t="s">
        <v>20</v>
      </c>
      <c r="L4472">
        <v>91200</v>
      </c>
      <c r="M4472">
        <v>9100</v>
      </c>
      <c r="N4472">
        <v>100300</v>
      </c>
      <c r="O4472" t="s">
        <v>30</v>
      </c>
      <c r="P4472" s="3">
        <v>43670</v>
      </c>
      <c r="Q4472" t="s">
        <v>62</v>
      </c>
    </row>
    <row r="4473" spans="1:17" x14ac:dyDescent="0.35">
      <c r="A4473" t="s">
        <v>4525</v>
      </c>
      <c r="B4473" t="s">
        <v>16</v>
      </c>
      <c r="C4473">
        <v>31</v>
      </c>
      <c r="D4473" t="s">
        <v>34</v>
      </c>
      <c r="E4473" t="s">
        <v>59</v>
      </c>
      <c r="F4473" t="s">
        <v>19</v>
      </c>
      <c r="G4473">
        <v>11.6</v>
      </c>
      <c r="H4473">
        <v>8.6999999999999993</v>
      </c>
      <c r="I4473" t="str" cm="1">
        <f t="array" ref="I4473">_xlfn.IFS(G4473&lt;3, "0–2 Years", G4473&lt;6, "3–5 Years", G4473&lt;9, "6–8 Years", G4473&lt;12, "9-11 Years", G4473&gt;=12, "12-14 Years")</f>
        <v>9-11 Years</v>
      </c>
      <c r="J4473">
        <v>4</v>
      </c>
      <c r="K4473" t="s">
        <v>20</v>
      </c>
      <c r="L4473">
        <v>113400</v>
      </c>
      <c r="M4473">
        <v>10800</v>
      </c>
      <c r="N4473">
        <v>124200</v>
      </c>
      <c r="O4473" t="s">
        <v>57</v>
      </c>
      <c r="P4473" s="3">
        <v>41785</v>
      </c>
      <c r="Q4473" t="s">
        <v>19</v>
      </c>
    </row>
    <row r="4474" spans="1:17" x14ac:dyDescent="0.35">
      <c r="A4474" t="s">
        <v>4526</v>
      </c>
      <c r="B4474" t="s">
        <v>23</v>
      </c>
      <c r="C4474">
        <v>45</v>
      </c>
      <c r="D4474" t="s">
        <v>44</v>
      </c>
      <c r="E4474" t="s">
        <v>76</v>
      </c>
      <c r="F4474" t="s">
        <v>28</v>
      </c>
      <c r="G4474">
        <v>11.7</v>
      </c>
      <c r="H4474">
        <v>7</v>
      </c>
      <c r="I4474" t="str" cm="1">
        <f t="array" ref="I4474">_xlfn.IFS(G4474&lt;3, "0–2 Years", G4474&lt;6, "3–5 Years", G4474&lt;9, "6–8 Years", G4474&lt;12, "9-11 Years", G4474&gt;=12, "12-14 Years")</f>
        <v>9-11 Years</v>
      </c>
      <c r="J4474">
        <v>3</v>
      </c>
      <c r="K4474" t="s">
        <v>20</v>
      </c>
      <c r="L4474">
        <v>125300</v>
      </c>
      <c r="M4474">
        <v>16600</v>
      </c>
      <c r="N4474">
        <v>141900</v>
      </c>
      <c r="O4474" t="s">
        <v>57</v>
      </c>
      <c r="P4474" s="3">
        <v>41755</v>
      </c>
      <c r="Q4474" t="s">
        <v>28</v>
      </c>
    </row>
    <row r="4475" spans="1:17" x14ac:dyDescent="0.35">
      <c r="A4475" t="s">
        <v>4527</v>
      </c>
      <c r="B4475" t="s">
        <v>23</v>
      </c>
      <c r="C4475">
        <v>38</v>
      </c>
      <c r="D4475" t="s">
        <v>34</v>
      </c>
      <c r="E4475" t="s">
        <v>47</v>
      </c>
      <c r="F4475" t="s">
        <v>36</v>
      </c>
      <c r="G4475">
        <v>5</v>
      </c>
      <c r="H4475">
        <v>5</v>
      </c>
      <c r="I4475" t="str" cm="1">
        <f t="array" ref="I4475">_xlfn.IFS(G4475&lt;3, "0–2 Years", G4475&lt;6, "3–5 Years", G4475&lt;9, "6–8 Years", G4475&lt;12, "9-11 Years", G4475&gt;=12, "12-14 Years")</f>
        <v>3–5 Years</v>
      </c>
      <c r="J4475">
        <v>5</v>
      </c>
      <c r="K4475" t="s">
        <v>20</v>
      </c>
      <c r="L4475">
        <v>78900</v>
      </c>
      <c r="M4475">
        <v>8300</v>
      </c>
      <c r="N4475">
        <v>87200</v>
      </c>
      <c r="O4475" t="s">
        <v>21</v>
      </c>
      <c r="P4475" s="3">
        <v>44203</v>
      </c>
      <c r="Q4475" t="s">
        <v>36</v>
      </c>
    </row>
    <row r="4476" spans="1:17" x14ac:dyDescent="0.35">
      <c r="A4476" t="s">
        <v>4528</v>
      </c>
      <c r="B4476" t="s">
        <v>23</v>
      </c>
      <c r="C4476">
        <v>34</v>
      </c>
      <c r="D4476" t="s">
        <v>17</v>
      </c>
      <c r="E4476" t="s">
        <v>18</v>
      </c>
      <c r="F4476" t="s">
        <v>28</v>
      </c>
      <c r="G4476">
        <v>5.7</v>
      </c>
      <c r="H4476">
        <v>2.5</v>
      </c>
      <c r="I4476" t="str" cm="1">
        <f t="array" ref="I4476">_xlfn.IFS(G4476&lt;3, "0–2 Years", G4476&lt;6, "3–5 Years", G4476&lt;9, "6–8 Years", G4476&lt;12, "9-11 Years", G4476&gt;=12, "12-14 Years")</f>
        <v>3–5 Years</v>
      </c>
      <c r="J4476">
        <v>3</v>
      </c>
      <c r="K4476" t="s">
        <v>20</v>
      </c>
      <c r="L4476">
        <v>108100</v>
      </c>
      <c r="M4476">
        <v>11800</v>
      </c>
      <c r="N4476">
        <v>119900</v>
      </c>
      <c r="O4476" t="s">
        <v>57</v>
      </c>
      <c r="P4476" s="3">
        <v>43945</v>
      </c>
      <c r="Q4476" t="s">
        <v>28</v>
      </c>
    </row>
    <row r="4477" spans="1:17" x14ac:dyDescent="0.35">
      <c r="A4477" t="s">
        <v>4529</v>
      </c>
      <c r="B4477" t="s">
        <v>23</v>
      </c>
      <c r="C4477">
        <v>21</v>
      </c>
      <c r="D4477" t="s">
        <v>44</v>
      </c>
      <c r="E4477" t="s">
        <v>76</v>
      </c>
      <c r="F4477" t="s">
        <v>28</v>
      </c>
      <c r="G4477">
        <v>9.6</v>
      </c>
      <c r="H4477">
        <v>7.6</v>
      </c>
      <c r="I4477" t="str" cm="1">
        <f t="array" ref="I4477">_xlfn.IFS(G4477&lt;3, "0–2 Years", G4477&lt;6, "3–5 Years", G4477&lt;9, "6–8 Years", G4477&lt;12, "9-11 Years", G4477&gt;=12, "12-14 Years")</f>
        <v>9-11 Years</v>
      </c>
      <c r="J4477">
        <v>4</v>
      </c>
      <c r="K4477" t="s">
        <v>20</v>
      </c>
      <c r="L4477">
        <v>116800</v>
      </c>
      <c r="M4477">
        <v>12000</v>
      </c>
      <c r="N4477">
        <v>128800</v>
      </c>
      <c r="O4477" t="s">
        <v>57</v>
      </c>
      <c r="P4477" s="3">
        <v>42522</v>
      </c>
      <c r="Q4477" t="s">
        <v>28</v>
      </c>
    </row>
    <row r="4478" spans="1:17" x14ac:dyDescent="0.35">
      <c r="A4478" t="s">
        <v>4530</v>
      </c>
      <c r="B4478" t="s">
        <v>16</v>
      </c>
      <c r="C4478">
        <v>43</v>
      </c>
      <c r="D4478" t="s">
        <v>34</v>
      </c>
      <c r="E4478" t="s">
        <v>59</v>
      </c>
      <c r="F4478" t="s">
        <v>28</v>
      </c>
      <c r="G4478">
        <v>4.3</v>
      </c>
      <c r="H4478">
        <v>1.6</v>
      </c>
      <c r="I4478" t="str" cm="1">
        <f t="array" ref="I4478">_xlfn.IFS(G4478&lt;3, "0–2 Years", G4478&lt;6, "3–5 Years", G4478&lt;9, "6–8 Years", G4478&lt;12, "9-11 Years", G4478&gt;=12, "12-14 Years")</f>
        <v>3–5 Years</v>
      </c>
      <c r="J4478">
        <v>3</v>
      </c>
      <c r="K4478" t="s">
        <v>20</v>
      </c>
      <c r="L4478">
        <v>108700</v>
      </c>
      <c r="M4478">
        <v>4400</v>
      </c>
      <c r="N4478">
        <v>113100</v>
      </c>
      <c r="O4478" t="s">
        <v>57</v>
      </c>
      <c r="P4478" s="3">
        <v>44441</v>
      </c>
      <c r="Q4478" t="s">
        <v>28</v>
      </c>
    </row>
    <row r="4479" spans="1:17" x14ac:dyDescent="0.35">
      <c r="A4479" t="s">
        <v>4531</v>
      </c>
      <c r="B4479" t="s">
        <v>23</v>
      </c>
      <c r="C4479">
        <v>21</v>
      </c>
      <c r="D4479" t="s">
        <v>44</v>
      </c>
      <c r="E4479" t="s">
        <v>45</v>
      </c>
      <c r="F4479" t="s">
        <v>28</v>
      </c>
      <c r="G4479">
        <v>5.0999999999999996</v>
      </c>
      <c r="H4479">
        <v>4</v>
      </c>
      <c r="I4479" t="str" cm="1">
        <f t="array" ref="I4479">_xlfn.IFS(G4479&lt;3, "0–2 Years", G4479&lt;6, "3–5 Years", G4479&lt;9, "6–8 Years", G4479&lt;12, "9-11 Years", G4479&gt;=12, "12-14 Years")</f>
        <v>3–5 Years</v>
      </c>
      <c r="J4479">
        <v>2</v>
      </c>
      <c r="K4479" t="s">
        <v>20</v>
      </c>
      <c r="L4479">
        <v>65000</v>
      </c>
      <c r="M4479">
        <v>7600</v>
      </c>
      <c r="N4479">
        <v>72600</v>
      </c>
      <c r="O4479" t="s">
        <v>21</v>
      </c>
      <c r="P4479" s="3">
        <v>44161</v>
      </c>
      <c r="Q4479" t="s">
        <v>28</v>
      </c>
    </row>
    <row r="4480" spans="1:17" x14ac:dyDescent="0.35">
      <c r="A4480" t="s">
        <v>4532</v>
      </c>
      <c r="B4480" t="s">
        <v>16</v>
      </c>
      <c r="C4480" s="7">
        <v>34</v>
      </c>
      <c r="D4480" t="s">
        <v>34</v>
      </c>
      <c r="E4480" t="s">
        <v>35</v>
      </c>
      <c r="F4480" t="s">
        <v>28</v>
      </c>
      <c r="G4480" s="9">
        <v>13.7</v>
      </c>
      <c r="H4480" s="7">
        <v>8.8000000000000007</v>
      </c>
      <c r="I4480" t="str" cm="1">
        <f t="array" ref="I4480">_xlfn.IFS(G4480&lt;3, "0–2 Years", G4480&lt;6, "3–5 Years", G4480&lt;9, "6–8 Years", G4480&lt;12, "9-11 Years", G4480&gt;=12, "12-14 Years")</f>
        <v>12-14 Years</v>
      </c>
      <c r="J4480" s="7">
        <v>4</v>
      </c>
      <c r="K4480" t="s">
        <v>20</v>
      </c>
      <c r="L4480" s="7">
        <v>76700</v>
      </c>
      <c r="M4480" s="7">
        <v>3100</v>
      </c>
      <c r="N4480" s="7">
        <v>79800</v>
      </c>
      <c r="O4480" t="s">
        <v>21</v>
      </c>
      <c r="P4480" s="3">
        <v>41022</v>
      </c>
      <c r="Q4480" t="s">
        <v>28</v>
      </c>
    </row>
    <row r="4481" spans="1:17" x14ac:dyDescent="0.35">
      <c r="A4481" t="s">
        <v>4533</v>
      </c>
      <c r="B4481" t="s">
        <v>16</v>
      </c>
      <c r="C4481">
        <v>46</v>
      </c>
      <c r="D4481" t="s">
        <v>17</v>
      </c>
      <c r="E4481" t="s">
        <v>27</v>
      </c>
      <c r="F4481" t="s">
        <v>62</v>
      </c>
      <c r="G4481">
        <v>2.4</v>
      </c>
      <c r="H4481">
        <v>0</v>
      </c>
      <c r="I4481" t="str" cm="1">
        <f t="array" ref="I4481">_xlfn.IFS(G4481&lt;3, "0–2 Years", G4481&lt;6, "3–5 Years", G4481&lt;9, "6–8 Years", G4481&lt;12, "9-11 Years", G4481&gt;=12, "12-14 Years")</f>
        <v>0–2 Years</v>
      </c>
      <c r="J4481">
        <v>4</v>
      </c>
      <c r="K4481" t="s">
        <v>20</v>
      </c>
      <c r="L4481">
        <v>79700</v>
      </c>
      <c r="M4481">
        <v>10500</v>
      </c>
      <c r="N4481">
        <v>90200</v>
      </c>
      <c r="O4481" t="s">
        <v>21</v>
      </c>
      <c r="P4481" s="3">
        <v>45140</v>
      </c>
      <c r="Q4481" t="s">
        <v>62</v>
      </c>
    </row>
    <row r="4482" spans="1:17" x14ac:dyDescent="0.35">
      <c r="A4482" t="s">
        <v>4534</v>
      </c>
      <c r="B4482" t="s">
        <v>23</v>
      </c>
      <c r="C4482">
        <v>28</v>
      </c>
      <c r="D4482" t="s">
        <v>17</v>
      </c>
      <c r="E4482" t="s">
        <v>18</v>
      </c>
      <c r="F4482" t="s">
        <v>19</v>
      </c>
      <c r="G4482">
        <v>7</v>
      </c>
      <c r="H4482">
        <v>2.8</v>
      </c>
      <c r="I4482" t="str" cm="1">
        <f t="array" ref="I4482">_xlfn.IFS(G4482&lt;3, "0–2 Years", G4482&lt;6, "3–5 Years", G4482&lt;9, "6–8 Years", G4482&lt;12, "9-11 Years", G4482&gt;=12, "12-14 Years")</f>
        <v>6–8 Years</v>
      </c>
      <c r="J4482">
        <v>2</v>
      </c>
      <c r="K4482" t="s">
        <v>20</v>
      </c>
      <c r="L4482">
        <v>85200</v>
      </c>
      <c r="M4482">
        <v>8800</v>
      </c>
      <c r="N4482">
        <v>94000</v>
      </c>
      <c r="O4482" t="s">
        <v>30</v>
      </c>
      <c r="P4482" s="3">
        <v>43454</v>
      </c>
      <c r="Q4482" t="s">
        <v>19</v>
      </c>
    </row>
    <row r="4483" spans="1:17" x14ac:dyDescent="0.35">
      <c r="A4483" t="s">
        <v>4535</v>
      </c>
      <c r="B4483" t="s">
        <v>23</v>
      </c>
      <c r="C4483">
        <v>21</v>
      </c>
      <c r="D4483" t="s">
        <v>17</v>
      </c>
      <c r="E4483" t="s">
        <v>32</v>
      </c>
      <c r="F4483" t="s">
        <v>28</v>
      </c>
      <c r="G4483">
        <v>5.9</v>
      </c>
      <c r="H4483">
        <v>3.6</v>
      </c>
      <c r="I4483" t="str" cm="1">
        <f t="array" ref="I4483">_xlfn.IFS(G4483&lt;3, "0–2 Years", G4483&lt;6, "3–5 Years", G4483&lt;9, "6–8 Years", G4483&lt;12, "9-11 Years", G4483&gt;=12, "12-14 Years")</f>
        <v>3–5 Years</v>
      </c>
      <c r="J4483">
        <v>3</v>
      </c>
      <c r="K4483" t="s">
        <v>20</v>
      </c>
      <c r="L4483">
        <v>58000</v>
      </c>
      <c r="M4483">
        <v>5300</v>
      </c>
      <c r="N4483">
        <v>63300</v>
      </c>
      <c r="O4483" t="s">
        <v>25</v>
      </c>
      <c r="P4483" s="3">
        <v>43860</v>
      </c>
      <c r="Q4483" t="s">
        <v>28</v>
      </c>
    </row>
    <row r="4484" spans="1:17" x14ac:dyDescent="0.35">
      <c r="A4484" t="s">
        <v>4536</v>
      </c>
      <c r="B4484" t="s">
        <v>23</v>
      </c>
      <c r="C4484">
        <v>39</v>
      </c>
      <c r="D4484" t="s">
        <v>44</v>
      </c>
      <c r="E4484" t="s">
        <v>76</v>
      </c>
      <c r="F4484" t="s">
        <v>28</v>
      </c>
      <c r="G4484">
        <v>9.6</v>
      </c>
      <c r="H4484">
        <v>7.1</v>
      </c>
      <c r="I4484" t="str" cm="1">
        <f t="array" ref="I4484">_xlfn.IFS(G4484&lt;3, "0–2 Years", G4484&lt;6, "3–5 Years", G4484&lt;9, "6–8 Years", G4484&lt;12, "9-11 Years", G4484&gt;=12, "12-14 Years")</f>
        <v>9-11 Years</v>
      </c>
      <c r="J4484">
        <v>4</v>
      </c>
      <c r="K4484" t="s">
        <v>20</v>
      </c>
      <c r="L4484">
        <v>108200</v>
      </c>
      <c r="M4484">
        <v>9900</v>
      </c>
      <c r="N4484">
        <v>118100</v>
      </c>
      <c r="O4484" t="s">
        <v>57</v>
      </c>
      <c r="P4484" s="3">
        <v>42516</v>
      </c>
      <c r="Q4484" t="s">
        <v>28</v>
      </c>
    </row>
    <row r="4485" spans="1:17" x14ac:dyDescent="0.35">
      <c r="A4485" t="s">
        <v>4537</v>
      </c>
      <c r="B4485" t="s">
        <v>23</v>
      </c>
      <c r="C4485">
        <v>36</v>
      </c>
      <c r="D4485" t="s">
        <v>34</v>
      </c>
      <c r="E4485" t="s">
        <v>59</v>
      </c>
      <c r="F4485" t="s">
        <v>28</v>
      </c>
      <c r="G4485">
        <v>4.9000000000000004</v>
      </c>
      <c r="H4485">
        <v>3.6</v>
      </c>
      <c r="I4485" t="str" cm="1">
        <f t="array" ref="I4485">_xlfn.IFS(G4485&lt;3, "0–2 Years", G4485&lt;6, "3–5 Years", G4485&lt;9, "6–8 Years", G4485&lt;12, "9-11 Years", G4485&gt;=12, "12-14 Years")</f>
        <v>3–5 Years</v>
      </c>
      <c r="J4485">
        <v>3</v>
      </c>
      <c r="K4485" t="s">
        <v>20</v>
      </c>
      <c r="L4485">
        <v>101300</v>
      </c>
      <c r="M4485">
        <v>12100</v>
      </c>
      <c r="N4485">
        <v>113400</v>
      </c>
      <c r="O4485" t="s">
        <v>57</v>
      </c>
      <c r="P4485" s="3">
        <v>44216</v>
      </c>
      <c r="Q4485" t="s">
        <v>28</v>
      </c>
    </row>
    <row r="4486" spans="1:17" x14ac:dyDescent="0.35">
      <c r="A4486" t="s">
        <v>4538</v>
      </c>
      <c r="B4486" t="s">
        <v>16</v>
      </c>
      <c r="C4486">
        <v>39</v>
      </c>
      <c r="D4486" t="s">
        <v>55</v>
      </c>
      <c r="E4486" t="s">
        <v>79</v>
      </c>
      <c r="F4486" t="s">
        <v>36</v>
      </c>
      <c r="G4486">
        <v>7.3</v>
      </c>
      <c r="H4486">
        <v>5.6</v>
      </c>
      <c r="I4486" t="str" cm="1">
        <f t="array" ref="I4486">_xlfn.IFS(G4486&lt;3, "0–2 Years", G4486&lt;6, "3–5 Years", G4486&lt;9, "6–8 Years", G4486&lt;12, "9-11 Years", G4486&gt;=12, "12-14 Years")</f>
        <v>6–8 Years</v>
      </c>
      <c r="J4486">
        <v>3</v>
      </c>
      <c r="K4486" t="s">
        <v>20</v>
      </c>
      <c r="L4486">
        <v>65500</v>
      </c>
      <c r="M4486">
        <v>8300</v>
      </c>
      <c r="N4486">
        <v>73800</v>
      </c>
      <c r="O4486" t="s">
        <v>21</v>
      </c>
      <c r="P4486" s="3">
        <v>43346</v>
      </c>
      <c r="Q4486" t="s">
        <v>36</v>
      </c>
    </row>
    <row r="4487" spans="1:17" x14ac:dyDescent="0.35">
      <c r="A4487" t="s">
        <v>4539</v>
      </c>
      <c r="B4487" t="s">
        <v>23</v>
      </c>
      <c r="C4487">
        <v>24</v>
      </c>
      <c r="D4487" t="s">
        <v>38</v>
      </c>
      <c r="E4487" t="s">
        <v>61</v>
      </c>
      <c r="F4487" t="s">
        <v>28</v>
      </c>
      <c r="G4487">
        <v>5.5</v>
      </c>
      <c r="H4487">
        <v>5.5</v>
      </c>
      <c r="I4487" t="str" cm="1">
        <f t="array" ref="I4487">_xlfn.IFS(G4487&lt;3, "0–2 Years", G4487&lt;6, "3–5 Years", G4487&lt;9, "6–8 Years", G4487&lt;12, "9-11 Years", G4487&gt;=12, "12-14 Years")</f>
        <v>3–5 Years</v>
      </c>
      <c r="J4487">
        <v>3</v>
      </c>
      <c r="K4487" t="s">
        <v>20</v>
      </c>
      <c r="L4487">
        <v>86900</v>
      </c>
      <c r="M4487">
        <v>6400</v>
      </c>
      <c r="N4487">
        <v>93300</v>
      </c>
      <c r="O4487" t="s">
        <v>30</v>
      </c>
      <c r="P4487" s="3">
        <v>44020</v>
      </c>
      <c r="Q4487" t="s">
        <v>28</v>
      </c>
    </row>
    <row r="4488" spans="1:17" x14ac:dyDescent="0.35">
      <c r="A4488" t="s">
        <v>4540</v>
      </c>
      <c r="B4488" t="s">
        <v>16</v>
      </c>
      <c r="C4488">
        <v>41</v>
      </c>
      <c r="D4488" t="s">
        <v>41</v>
      </c>
      <c r="E4488" t="s">
        <v>73</v>
      </c>
      <c r="F4488" t="s">
        <v>28</v>
      </c>
      <c r="G4488">
        <v>1.4</v>
      </c>
      <c r="H4488">
        <v>0</v>
      </c>
      <c r="I4488" t="str" cm="1">
        <f t="array" ref="I4488">_xlfn.IFS(G4488&lt;3, "0–2 Years", G4488&lt;6, "3–5 Years", G4488&lt;9, "6–8 Years", G4488&lt;12, "9-11 Years", G4488&gt;=12, "12-14 Years")</f>
        <v>0–2 Years</v>
      </c>
      <c r="J4488">
        <v>3</v>
      </c>
      <c r="K4488" t="s">
        <v>20</v>
      </c>
      <c r="L4488">
        <v>107900</v>
      </c>
      <c r="M4488">
        <v>4300</v>
      </c>
      <c r="N4488">
        <v>112200</v>
      </c>
      <c r="O4488" t="s">
        <v>57</v>
      </c>
      <c r="P4488" s="3">
        <v>45517</v>
      </c>
      <c r="Q4488" t="s">
        <v>28</v>
      </c>
    </row>
    <row r="4489" spans="1:17" x14ac:dyDescent="0.35">
      <c r="A4489" t="s">
        <v>4541</v>
      </c>
      <c r="B4489" t="s">
        <v>16</v>
      </c>
      <c r="C4489">
        <v>37</v>
      </c>
      <c r="D4489" t="s">
        <v>44</v>
      </c>
      <c r="E4489" t="s">
        <v>81</v>
      </c>
      <c r="F4489" t="s">
        <v>36</v>
      </c>
      <c r="G4489">
        <v>10.199999999999999</v>
      </c>
      <c r="H4489">
        <v>10.199999999999999</v>
      </c>
      <c r="I4489" t="str" cm="1">
        <f t="array" ref="I4489">_xlfn.IFS(G4489&lt;3, "0–2 Years", G4489&lt;6, "3–5 Years", G4489&lt;9, "6–8 Years", G4489&lt;12, "9-11 Years", G4489&gt;=12, "12-14 Years")</f>
        <v>9-11 Years</v>
      </c>
      <c r="J4489">
        <v>3</v>
      </c>
      <c r="K4489" t="s">
        <v>20</v>
      </c>
      <c r="L4489">
        <v>104500</v>
      </c>
      <c r="M4489">
        <v>11300</v>
      </c>
      <c r="N4489">
        <v>115800</v>
      </c>
      <c r="O4489" t="s">
        <v>57</v>
      </c>
      <c r="P4489" s="3">
        <v>42313</v>
      </c>
      <c r="Q4489" t="s">
        <v>36</v>
      </c>
    </row>
    <row r="4490" spans="1:17" x14ac:dyDescent="0.35">
      <c r="A4490" t="s">
        <v>4542</v>
      </c>
      <c r="B4490" t="s">
        <v>23</v>
      </c>
      <c r="C4490">
        <v>38</v>
      </c>
      <c r="D4490" t="s">
        <v>38</v>
      </c>
      <c r="E4490" t="s">
        <v>61</v>
      </c>
      <c r="F4490" t="s">
        <v>28</v>
      </c>
      <c r="G4490">
        <v>9</v>
      </c>
      <c r="H4490">
        <v>5.3</v>
      </c>
      <c r="I4490" t="str" cm="1">
        <f t="array" ref="I4490">_xlfn.IFS(G4490&lt;3, "0–2 Years", G4490&lt;6, "3–5 Years", G4490&lt;9, "6–8 Years", G4490&lt;12, "9-11 Years", G4490&gt;=12, "12-14 Years")</f>
        <v>9-11 Years</v>
      </c>
      <c r="J4490">
        <v>2</v>
      </c>
      <c r="K4490" t="s">
        <v>20</v>
      </c>
      <c r="L4490">
        <v>121500</v>
      </c>
      <c r="M4490">
        <v>10200</v>
      </c>
      <c r="N4490">
        <v>131700</v>
      </c>
      <c r="O4490" t="s">
        <v>57</v>
      </c>
      <c r="P4490" s="3">
        <v>42749</v>
      </c>
      <c r="Q4490" t="s">
        <v>28</v>
      </c>
    </row>
    <row r="4491" spans="1:17" x14ac:dyDescent="0.35">
      <c r="A4491" t="s">
        <v>4543</v>
      </c>
      <c r="B4491" t="s">
        <v>23</v>
      </c>
      <c r="C4491">
        <v>46</v>
      </c>
      <c r="D4491" t="s">
        <v>55</v>
      </c>
      <c r="E4491" t="s">
        <v>92</v>
      </c>
      <c r="F4491" t="s">
        <v>36</v>
      </c>
      <c r="G4491">
        <v>7.4</v>
      </c>
      <c r="H4491">
        <v>5.3</v>
      </c>
      <c r="I4491" t="str" cm="1">
        <f t="array" ref="I4491">_xlfn.IFS(G4491&lt;3, "0–2 Years", G4491&lt;6, "3–5 Years", G4491&lt;9, "6–8 Years", G4491&lt;12, "9-11 Years", G4491&gt;=12, "12-14 Years")</f>
        <v>6–8 Years</v>
      </c>
      <c r="J4491">
        <v>2</v>
      </c>
      <c r="K4491" t="s">
        <v>69</v>
      </c>
      <c r="L4491">
        <v>86800</v>
      </c>
      <c r="M4491">
        <v>10300</v>
      </c>
      <c r="N4491">
        <v>97100</v>
      </c>
      <c r="O4491" t="s">
        <v>30</v>
      </c>
      <c r="P4491" s="3">
        <v>43325</v>
      </c>
      <c r="Q4491" t="s">
        <v>36</v>
      </c>
    </row>
    <row r="4492" spans="1:17" x14ac:dyDescent="0.35">
      <c r="A4492" t="s">
        <v>4544</v>
      </c>
      <c r="B4492" t="s">
        <v>16</v>
      </c>
      <c r="C4492">
        <v>39</v>
      </c>
      <c r="D4492" t="s">
        <v>34</v>
      </c>
      <c r="E4492" t="s">
        <v>47</v>
      </c>
      <c r="F4492" t="s">
        <v>19</v>
      </c>
      <c r="G4492">
        <v>11.3</v>
      </c>
      <c r="H4492">
        <v>5.8</v>
      </c>
      <c r="I4492" t="str" cm="1">
        <f t="array" ref="I4492">_xlfn.IFS(G4492&lt;3, "0–2 Years", G4492&lt;6, "3–5 Years", G4492&lt;9, "6–8 Years", G4492&lt;12, "9-11 Years", G4492&gt;=12, "12-14 Years")</f>
        <v>9-11 Years</v>
      </c>
      <c r="J4492">
        <v>3</v>
      </c>
      <c r="K4492" t="s">
        <v>20</v>
      </c>
      <c r="L4492">
        <v>78500</v>
      </c>
      <c r="M4492">
        <v>5200</v>
      </c>
      <c r="N4492">
        <v>83700</v>
      </c>
      <c r="O4492" t="s">
        <v>21</v>
      </c>
      <c r="P4492" s="3">
        <v>41888</v>
      </c>
      <c r="Q4492" t="s">
        <v>19</v>
      </c>
    </row>
    <row r="4493" spans="1:17" x14ac:dyDescent="0.35">
      <c r="A4493" t="s">
        <v>4545</v>
      </c>
      <c r="B4493" t="s">
        <v>16</v>
      </c>
      <c r="C4493" s="7">
        <v>43</v>
      </c>
      <c r="D4493" t="s">
        <v>38</v>
      </c>
      <c r="E4493" t="s">
        <v>39</v>
      </c>
      <c r="F4493" t="s">
        <v>28</v>
      </c>
      <c r="G4493" s="9">
        <v>13.2</v>
      </c>
      <c r="H4493" s="7">
        <v>7.9</v>
      </c>
      <c r="I4493" t="str" cm="1">
        <f t="array" ref="I4493">_xlfn.IFS(G4493&lt;3, "0–2 Years", G4493&lt;6, "3–5 Years", G4493&lt;9, "6–8 Years", G4493&lt;12, "9-11 Years", G4493&gt;=12, "12-14 Years")</f>
        <v>12-14 Years</v>
      </c>
      <c r="J4493" s="7">
        <v>3</v>
      </c>
      <c r="K4493" t="s">
        <v>20</v>
      </c>
      <c r="L4493" s="7">
        <v>84100</v>
      </c>
      <c r="M4493" s="7">
        <v>6000</v>
      </c>
      <c r="N4493" s="7">
        <v>90100</v>
      </c>
      <c r="O4493" t="s">
        <v>30</v>
      </c>
      <c r="P4493" s="3">
        <v>41211</v>
      </c>
      <c r="Q4493" t="s">
        <v>28</v>
      </c>
    </row>
    <row r="4494" spans="1:17" x14ac:dyDescent="0.35">
      <c r="A4494" t="s">
        <v>4546</v>
      </c>
      <c r="B4494" t="s">
        <v>16</v>
      </c>
      <c r="C4494">
        <v>36</v>
      </c>
      <c r="D4494" t="s">
        <v>17</v>
      </c>
      <c r="E4494" t="s">
        <v>32</v>
      </c>
      <c r="F4494" t="s">
        <v>28</v>
      </c>
      <c r="G4494">
        <v>11.4</v>
      </c>
      <c r="H4494">
        <v>7.8</v>
      </c>
      <c r="I4494" t="str" cm="1">
        <f t="array" ref="I4494">_xlfn.IFS(G4494&lt;3, "0–2 Years", G4494&lt;6, "3–5 Years", G4494&lt;9, "6–8 Years", G4494&lt;12, "9-11 Years", G4494&gt;=12, "12-14 Years")</f>
        <v>9-11 Years</v>
      </c>
      <c r="J4494">
        <v>4</v>
      </c>
      <c r="K4494" t="s">
        <v>20</v>
      </c>
      <c r="L4494">
        <v>80600</v>
      </c>
      <c r="M4494">
        <v>9000</v>
      </c>
      <c r="N4494">
        <v>89600</v>
      </c>
      <c r="O4494" t="s">
        <v>30</v>
      </c>
      <c r="P4494" s="3">
        <v>41877</v>
      </c>
      <c r="Q4494" t="s">
        <v>28</v>
      </c>
    </row>
    <row r="4495" spans="1:17" x14ac:dyDescent="0.35">
      <c r="A4495" t="s">
        <v>4547</v>
      </c>
      <c r="B4495" t="s">
        <v>16</v>
      </c>
      <c r="C4495">
        <v>38</v>
      </c>
      <c r="D4495" t="s">
        <v>44</v>
      </c>
      <c r="E4495" t="s">
        <v>51</v>
      </c>
      <c r="F4495" t="s">
        <v>28</v>
      </c>
      <c r="G4495">
        <v>3.7</v>
      </c>
      <c r="H4495">
        <v>2.1</v>
      </c>
      <c r="I4495" t="str" cm="1">
        <f t="array" ref="I4495">_xlfn.IFS(G4495&lt;3, "0–2 Years", G4495&lt;6, "3–5 Years", G4495&lt;9, "6–8 Years", G4495&lt;12, "9-11 Years", G4495&gt;=12, "12-14 Years")</f>
        <v>3–5 Years</v>
      </c>
      <c r="J4495">
        <v>3</v>
      </c>
      <c r="K4495" t="s">
        <v>20</v>
      </c>
      <c r="L4495">
        <v>80900</v>
      </c>
      <c r="M4495">
        <v>6500</v>
      </c>
      <c r="N4495">
        <v>87400</v>
      </c>
      <c r="O4495" t="s">
        <v>30</v>
      </c>
      <c r="P4495" s="3">
        <v>44663</v>
      </c>
      <c r="Q4495" t="s">
        <v>28</v>
      </c>
    </row>
    <row r="4496" spans="1:17" x14ac:dyDescent="0.35">
      <c r="A4496" t="s">
        <v>4548</v>
      </c>
      <c r="B4496" t="s">
        <v>23</v>
      </c>
      <c r="C4496">
        <v>45</v>
      </c>
      <c r="D4496" t="s">
        <v>41</v>
      </c>
      <c r="E4496" t="s">
        <v>67</v>
      </c>
      <c r="F4496" t="s">
        <v>36</v>
      </c>
      <c r="G4496">
        <v>3</v>
      </c>
      <c r="H4496">
        <v>1.2</v>
      </c>
      <c r="I4496" t="str" cm="1">
        <f t="array" ref="I4496">_xlfn.IFS(G4496&lt;3, "0–2 Years", G4496&lt;6, "3–5 Years", G4496&lt;9, "6–8 Years", G4496&lt;12, "9-11 Years", G4496&gt;=12, "12-14 Years")</f>
        <v>3–5 Years</v>
      </c>
      <c r="J4496">
        <v>3</v>
      </c>
      <c r="K4496" t="s">
        <v>20</v>
      </c>
      <c r="L4496">
        <v>65200</v>
      </c>
      <c r="M4496">
        <v>2700</v>
      </c>
      <c r="N4496">
        <v>67900</v>
      </c>
      <c r="O4496" t="s">
        <v>21</v>
      </c>
      <c r="P4496" s="3">
        <v>44910</v>
      </c>
      <c r="Q4496" t="s">
        <v>36</v>
      </c>
    </row>
    <row r="4497" spans="1:17" x14ac:dyDescent="0.35">
      <c r="A4497" t="s">
        <v>4549</v>
      </c>
      <c r="B4497" t="s">
        <v>16</v>
      </c>
      <c r="C4497">
        <v>39</v>
      </c>
      <c r="D4497" t="s">
        <v>41</v>
      </c>
      <c r="E4497" t="s">
        <v>42</v>
      </c>
      <c r="F4497" t="s">
        <v>36</v>
      </c>
      <c r="G4497">
        <v>3.2</v>
      </c>
      <c r="H4497">
        <v>3.2</v>
      </c>
      <c r="I4497" t="str" cm="1">
        <f t="array" ref="I4497">_xlfn.IFS(G4497&lt;3, "0–2 Years", G4497&lt;6, "3–5 Years", G4497&lt;9, "6–8 Years", G4497&lt;12, "9-11 Years", G4497&gt;=12, "12-14 Years")</f>
        <v>3–5 Years</v>
      </c>
      <c r="J4497">
        <v>4</v>
      </c>
      <c r="K4497" t="s">
        <v>20</v>
      </c>
      <c r="L4497">
        <v>70300</v>
      </c>
      <c r="M4497">
        <v>6000</v>
      </c>
      <c r="N4497">
        <v>76300</v>
      </c>
      <c r="O4497" t="s">
        <v>21</v>
      </c>
      <c r="P4497" s="3">
        <v>44861</v>
      </c>
      <c r="Q4497" t="s">
        <v>36</v>
      </c>
    </row>
    <row r="4498" spans="1:17" x14ac:dyDescent="0.35">
      <c r="A4498" t="s">
        <v>4550</v>
      </c>
      <c r="B4498" t="s">
        <v>16</v>
      </c>
      <c r="C4498">
        <v>30</v>
      </c>
      <c r="D4498" t="s">
        <v>38</v>
      </c>
      <c r="E4498" t="s">
        <v>39</v>
      </c>
      <c r="F4498" t="s">
        <v>28</v>
      </c>
      <c r="G4498">
        <v>3.6</v>
      </c>
      <c r="H4498">
        <v>3.2</v>
      </c>
      <c r="I4498" t="str" cm="1">
        <f t="array" ref="I4498">_xlfn.IFS(G4498&lt;3, "0–2 Years", G4498&lt;6, "3–5 Years", G4498&lt;9, "6–8 Years", G4498&lt;12, "9-11 Years", G4498&gt;=12, "12-14 Years")</f>
        <v>3–5 Years</v>
      </c>
      <c r="J4498">
        <v>3</v>
      </c>
      <c r="K4498" t="s">
        <v>20</v>
      </c>
      <c r="L4498">
        <v>77200</v>
      </c>
      <c r="M4498">
        <v>4900</v>
      </c>
      <c r="N4498">
        <v>82100</v>
      </c>
      <c r="O4498" t="s">
        <v>21</v>
      </c>
      <c r="P4498" s="3">
        <v>44702</v>
      </c>
      <c r="Q4498" t="s">
        <v>28</v>
      </c>
    </row>
    <row r="4499" spans="1:17" x14ac:dyDescent="0.35">
      <c r="A4499" t="s">
        <v>4551</v>
      </c>
      <c r="B4499" t="s">
        <v>23</v>
      </c>
      <c r="C4499">
        <v>32</v>
      </c>
      <c r="D4499" t="s">
        <v>34</v>
      </c>
      <c r="E4499" t="s">
        <v>59</v>
      </c>
      <c r="F4499" t="s">
        <v>28</v>
      </c>
      <c r="G4499">
        <v>3.1</v>
      </c>
      <c r="H4499">
        <v>3</v>
      </c>
      <c r="I4499" t="str" cm="1">
        <f t="array" ref="I4499">_xlfn.IFS(G4499&lt;3, "0–2 Years", G4499&lt;6, "3–5 Years", G4499&lt;9, "6–8 Years", G4499&lt;12, "9-11 Years", G4499&gt;=12, "12-14 Years")</f>
        <v>3–5 Years</v>
      </c>
      <c r="J4499">
        <v>4</v>
      </c>
      <c r="K4499" t="s">
        <v>24</v>
      </c>
      <c r="L4499">
        <v>56800</v>
      </c>
      <c r="M4499">
        <v>4000</v>
      </c>
      <c r="N4499">
        <v>60800</v>
      </c>
      <c r="O4499" t="s">
        <v>25</v>
      </c>
      <c r="P4499" s="3">
        <v>44886</v>
      </c>
      <c r="Q4499" t="s">
        <v>28</v>
      </c>
    </row>
    <row r="4500" spans="1:17" x14ac:dyDescent="0.35">
      <c r="A4500" t="s">
        <v>4552</v>
      </c>
      <c r="B4500" t="s">
        <v>16</v>
      </c>
      <c r="C4500">
        <v>31</v>
      </c>
      <c r="D4500" t="s">
        <v>44</v>
      </c>
      <c r="E4500" t="s">
        <v>51</v>
      </c>
      <c r="F4500" t="s">
        <v>28</v>
      </c>
      <c r="G4500">
        <v>5.0999999999999996</v>
      </c>
      <c r="H4500">
        <v>4.0999999999999996</v>
      </c>
      <c r="I4500" t="str" cm="1">
        <f t="array" ref="I4500">_xlfn.IFS(G4500&lt;3, "0–2 Years", G4500&lt;6, "3–5 Years", G4500&lt;9, "6–8 Years", G4500&lt;12, "9-11 Years", G4500&gt;=12, "12-14 Years")</f>
        <v>3–5 Years</v>
      </c>
      <c r="J4500">
        <v>4</v>
      </c>
      <c r="K4500" t="s">
        <v>20</v>
      </c>
      <c r="L4500">
        <v>87700</v>
      </c>
      <c r="M4500">
        <v>12500</v>
      </c>
      <c r="N4500">
        <v>100200</v>
      </c>
      <c r="O4500" t="s">
        <v>30</v>
      </c>
      <c r="P4500" s="3">
        <v>44170</v>
      </c>
      <c r="Q4500" t="s">
        <v>28</v>
      </c>
    </row>
    <row r="4501" spans="1:17" x14ac:dyDescent="0.35">
      <c r="A4501" t="s">
        <v>4553</v>
      </c>
      <c r="B4501" t="s">
        <v>16</v>
      </c>
      <c r="C4501">
        <v>39</v>
      </c>
      <c r="D4501" t="s">
        <v>44</v>
      </c>
      <c r="E4501" t="s">
        <v>76</v>
      </c>
      <c r="F4501" t="s">
        <v>28</v>
      </c>
      <c r="G4501">
        <v>11.8</v>
      </c>
      <c r="H4501">
        <v>9.5</v>
      </c>
      <c r="I4501" t="str" cm="1">
        <f t="array" ref="I4501">_xlfn.IFS(G4501&lt;3, "0–2 Years", G4501&lt;6, "3–5 Years", G4501&lt;9, "6–8 Years", G4501&lt;12, "9-11 Years", G4501&gt;=12, "12-14 Years")</f>
        <v>9-11 Years</v>
      </c>
      <c r="J4501">
        <v>3</v>
      </c>
      <c r="K4501" t="s">
        <v>20</v>
      </c>
      <c r="L4501">
        <v>125100</v>
      </c>
      <c r="M4501">
        <v>8400</v>
      </c>
      <c r="N4501">
        <v>133500</v>
      </c>
      <c r="O4501" t="s">
        <v>57</v>
      </c>
      <c r="P4501" s="3">
        <v>41702</v>
      </c>
      <c r="Q4501" t="s">
        <v>28</v>
      </c>
    </row>
    <row r="4502" spans="1:17" x14ac:dyDescent="0.35">
      <c r="A4502" t="s">
        <v>4554</v>
      </c>
      <c r="B4502" t="s">
        <v>16</v>
      </c>
      <c r="C4502">
        <v>45</v>
      </c>
      <c r="D4502" t="s">
        <v>34</v>
      </c>
      <c r="E4502" t="s">
        <v>59</v>
      </c>
      <c r="F4502" t="s">
        <v>36</v>
      </c>
      <c r="G4502">
        <v>3.2</v>
      </c>
      <c r="H4502">
        <v>2.6</v>
      </c>
      <c r="I4502" t="str" cm="1">
        <f t="array" ref="I4502">_xlfn.IFS(G4502&lt;3, "0–2 Years", G4502&lt;6, "3–5 Years", G4502&lt;9, "6–8 Years", G4502&lt;12, "9-11 Years", G4502&gt;=12, "12-14 Years")</f>
        <v>3–5 Years</v>
      </c>
      <c r="J4502">
        <v>2</v>
      </c>
      <c r="K4502" t="s">
        <v>20</v>
      </c>
      <c r="L4502">
        <v>93100</v>
      </c>
      <c r="M4502">
        <v>5200</v>
      </c>
      <c r="N4502">
        <v>98300</v>
      </c>
      <c r="O4502" t="s">
        <v>30</v>
      </c>
      <c r="P4502" s="3">
        <v>44838</v>
      </c>
      <c r="Q4502" t="s">
        <v>36</v>
      </c>
    </row>
    <row r="4503" spans="1:17" x14ac:dyDescent="0.35">
      <c r="A4503" t="s">
        <v>4555</v>
      </c>
      <c r="B4503" t="s">
        <v>16</v>
      </c>
      <c r="C4503">
        <v>39</v>
      </c>
      <c r="D4503" t="s">
        <v>17</v>
      </c>
      <c r="E4503" t="s">
        <v>27</v>
      </c>
      <c r="F4503" t="s">
        <v>62</v>
      </c>
      <c r="G4503">
        <v>8.5</v>
      </c>
      <c r="H4503">
        <v>4.9000000000000004</v>
      </c>
      <c r="I4503" t="str" cm="1">
        <f t="array" ref="I4503">_xlfn.IFS(G4503&lt;3, "0–2 Years", G4503&lt;6, "3–5 Years", G4503&lt;9, "6–8 Years", G4503&lt;12, "9-11 Years", G4503&gt;=12, "12-14 Years")</f>
        <v>6–8 Years</v>
      </c>
      <c r="J4503">
        <v>3</v>
      </c>
      <c r="K4503" t="s">
        <v>20</v>
      </c>
      <c r="L4503">
        <v>92200</v>
      </c>
      <c r="M4503">
        <v>4300</v>
      </c>
      <c r="N4503">
        <v>96500</v>
      </c>
      <c r="O4503" t="s">
        <v>30</v>
      </c>
      <c r="P4503" s="3">
        <v>42902</v>
      </c>
      <c r="Q4503" t="s">
        <v>62</v>
      </c>
    </row>
    <row r="4504" spans="1:17" x14ac:dyDescent="0.35">
      <c r="A4504" t="s">
        <v>4556</v>
      </c>
      <c r="B4504" t="s">
        <v>23</v>
      </c>
      <c r="C4504">
        <v>43</v>
      </c>
      <c r="D4504" t="s">
        <v>55</v>
      </c>
      <c r="E4504" t="s">
        <v>79</v>
      </c>
      <c r="F4504" t="s">
        <v>28</v>
      </c>
      <c r="G4504">
        <v>3.3</v>
      </c>
      <c r="H4504">
        <v>1.8</v>
      </c>
      <c r="I4504" t="str" cm="1">
        <f t="array" ref="I4504">_xlfn.IFS(G4504&lt;3, "0–2 Years", G4504&lt;6, "3–5 Years", G4504&lt;9, "6–8 Years", G4504&lt;12, "9-11 Years", G4504&gt;=12, "12-14 Years")</f>
        <v>3–5 Years</v>
      </c>
      <c r="J4504">
        <v>4</v>
      </c>
      <c r="K4504" t="s">
        <v>20</v>
      </c>
      <c r="L4504">
        <v>63800</v>
      </c>
      <c r="M4504">
        <v>6400</v>
      </c>
      <c r="N4504">
        <v>70200</v>
      </c>
      <c r="O4504" t="s">
        <v>25</v>
      </c>
      <c r="P4504" s="3">
        <v>44831</v>
      </c>
      <c r="Q4504" t="s">
        <v>28</v>
      </c>
    </row>
    <row r="4505" spans="1:17" x14ac:dyDescent="0.35">
      <c r="A4505" t="s">
        <v>4557</v>
      </c>
      <c r="B4505" t="s">
        <v>16</v>
      </c>
      <c r="C4505">
        <v>32</v>
      </c>
      <c r="D4505" t="s">
        <v>41</v>
      </c>
      <c r="E4505" t="s">
        <v>67</v>
      </c>
      <c r="F4505" t="s">
        <v>36</v>
      </c>
      <c r="G4505">
        <v>10.6</v>
      </c>
      <c r="H4505">
        <v>7.5</v>
      </c>
      <c r="I4505" t="str" cm="1">
        <f t="array" ref="I4505">_xlfn.IFS(G4505&lt;3, "0–2 Years", G4505&lt;6, "3–5 Years", G4505&lt;9, "6–8 Years", G4505&lt;12, "9-11 Years", G4505&gt;=12, "12-14 Years")</f>
        <v>9-11 Years</v>
      </c>
      <c r="J4505">
        <v>3</v>
      </c>
      <c r="K4505" t="s">
        <v>20</v>
      </c>
      <c r="L4505">
        <v>71400</v>
      </c>
      <c r="M4505">
        <v>5500</v>
      </c>
      <c r="N4505">
        <v>76900</v>
      </c>
      <c r="O4505" t="s">
        <v>21</v>
      </c>
      <c r="P4505" s="3">
        <v>42161</v>
      </c>
      <c r="Q4505" t="s">
        <v>36</v>
      </c>
    </row>
    <row r="4506" spans="1:17" x14ac:dyDescent="0.35">
      <c r="A4506" t="s">
        <v>4558</v>
      </c>
      <c r="B4506" t="s">
        <v>23</v>
      </c>
      <c r="C4506">
        <v>53</v>
      </c>
      <c r="D4506" t="s">
        <v>55</v>
      </c>
      <c r="E4506" t="s">
        <v>79</v>
      </c>
      <c r="F4506" t="s">
        <v>62</v>
      </c>
      <c r="G4506">
        <v>10.9</v>
      </c>
      <c r="H4506">
        <v>6.8</v>
      </c>
      <c r="I4506" t="str" cm="1">
        <f t="array" ref="I4506">_xlfn.IFS(G4506&lt;3, "0–2 Years", G4506&lt;6, "3–5 Years", G4506&lt;9, "6–8 Years", G4506&lt;12, "9-11 Years", G4506&gt;=12, "12-14 Years")</f>
        <v>9-11 Years</v>
      </c>
      <c r="J4506">
        <v>3</v>
      </c>
      <c r="K4506" t="s">
        <v>20</v>
      </c>
      <c r="L4506">
        <v>64500</v>
      </c>
      <c r="M4506">
        <v>13400</v>
      </c>
      <c r="N4506">
        <v>77900</v>
      </c>
      <c r="O4506" t="s">
        <v>25</v>
      </c>
      <c r="P4506" s="3">
        <v>42054</v>
      </c>
      <c r="Q4506" t="s">
        <v>62</v>
      </c>
    </row>
    <row r="4507" spans="1:17" x14ac:dyDescent="0.35">
      <c r="A4507" t="s">
        <v>4559</v>
      </c>
      <c r="B4507" t="s">
        <v>16</v>
      </c>
      <c r="C4507">
        <v>21</v>
      </c>
      <c r="D4507" t="s">
        <v>55</v>
      </c>
      <c r="E4507" t="s">
        <v>56</v>
      </c>
      <c r="F4507" t="s">
        <v>19</v>
      </c>
      <c r="G4507">
        <v>1.8</v>
      </c>
      <c r="H4507">
        <v>1.3</v>
      </c>
      <c r="I4507" t="str" cm="1">
        <f t="array" ref="I4507">_xlfn.IFS(G4507&lt;3, "0–2 Years", G4507&lt;6, "3–5 Years", G4507&lt;9, "6–8 Years", G4507&lt;12, "9-11 Years", G4507&gt;=12, "12-14 Years")</f>
        <v>0–2 Years</v>
      </c>
      <c r="J4507">
        <v>5</v>
      </c>
      <c r="K4507" t="s">
        <v>20</v>
      </c>
      <c r="L4507">
        <v>110800</v>
      </c>
      <c r="M4507">
        <v>8200</v>
      </c>
      <c r="N4507">
        <v>119000</v>
      </c>
      <c r="O4507" t="s">
        <v>57</v>
      </c>
      <c r="P4507" s="3">
        <v>45368</v>
      </c>
      <c r="Q4507" t="s">
        <v>19</v>
      </c>
    </row>
    <row r="4508" spans="1:17" x14ac:dyDescent="0.35">
      <c r="A4508" t="s">
        <v>4560</v>
      </c>
      <c r="B4508" t="s">
        <v>23</v>
      </c>
      <c r="C4508" s="7">
        <v>40</v>
      </c>
      <c r="D4508" t="s">
        <v>44</v>
      </c>
      <c r="E4508" t="s">
        <v>51</v>
      </c>
      <c r="F4508" t="s">
        <v>28</v>
      </c>
      <c r="G4508" s="9">
        <v>13.9</v>
      </c>
      <c r="H4508" s="7">
        <v>7.9</v>
      </c>
      <c r="I4508" t="str" cm="1">
        <f t="array" ref="I4508">_xlfn.IFS(G4508&lt;3, "0–2 Years", G4508&lt;6, "3–5 Years", G4508&lt;9, "6–8 Years", G4508&lt;12, "9-11 Years", G4508&gt;=12, "12-14 Years")</f>
        <v>12-14 Years</v>
      </c>
      <c r="J4508" s="7">
        <v>3</v>
      </c>
      <c r="K4508" t="s">
        <v>24</v>
      </c>
      <c r="L4508" s="7">
        <v>62700</v>
      </c>
      <c r="M4508" s="7">
        <v>5400</v>
      </c>
      <c r="N4508" s="7">
        <v>68100</v>
      </c>
      <c r="O4508" t="s">
        <v>25</v>
      </c>
      <c r="P4508" s="3">
        <v>40952</v>
      </c>
      <c r="Q4508" t="s">
        <v>28</v>
      </c>
    </row>
    <row r="4509" spans="1:17" x14ac:dyDescent="0.35">
      <c r="A4509" t="s">
        <v>4561</v>
      </c>
      <c r="B4509" t="s">
        <v>16</v>
      </c>
      <c r="C4509" s="7">
        <v>29</v>
      </c>
      <c r="D4509" t="s">
        <v>38</v>
      </c>
      <c r="E4509" t="s">
        <v>112</v>
      </c>
      <c r="F4509" t="s">
        <v>36</v>
      </c>
      <c r="G4509" s="9">
        <v>12</v>
      </c>
      <c r="H4509" s="7">
        <v>8.3000000000000007</v>
      </c>
      <c r="I4509" t="str" cm="1">
        <f t="array" ref="I4509">_xlfn.IFS(G4509&lt;3, "0–2 Years", G4509&lt;6, "3–5 Years", G4509&lt;9, "6–8 Years", G4509&lt;12, "9-11 Years", G4509&gt;=12, "12-14 Years")</f>
        <v>12-14 Years</v>
      </c>
      <c r="J4509" s="7">
        <v>3</v>
      </c>
      <c r="K4509" t="s">
        <v>20</v>
      </c>
      <c r="L4509" s="7">
        <v>81300</v>
      </c>
      <c r="M4509" s="7">
        <v>5600</v>
      </c>
      <c r="N4509" s="7">
        <v>86900</v>
      </c>
      <c r="O4509" t="s">
        <v>30</v>
      </c>
      <c r="P4509" s="3">
        <v>41635</v>
      </c>
      <c r="Q4509" t="s">
        <v>36</v>
      </c>
    </row>
    <row r="4510" spans="1:17" x14ac:dyDescent="0.35">
      <c r="A4510" t="s">
        <v>4562</v>
      </c>
      <c r="B4510" t="s">
        <v>23</v>
      </c>
      <c r="C4510" s="7">
        <v>44</v>
      </c>
      <c r="D4510" t="s">
        <v>17</v>
      </c>
      <c r="E4510" t="s">
        <v>18</v>
      </c>
      <c r="F4510" t="s">
        <v>36</v>
      </c>
      <c r="G4510" s="9">
        <v>12.3</v>
      </c>
      <c r="H4510" s="7">
        <v>8.6999999999999993</v>
      </c>
      <c r="I4510" t="str" cm="1">
        <f t="array" ref="I4510">_xlfn.IFS(G4510&lt;3, "0–2 Years", G4510&lt;6, "3–5 Years", G4510&lt;9, "6–8 Years", G4510&lt;12, "9-11 Years", G4510&gt;=12, "12-14 Years")</f>
        <v>12-14 Years</v>
      </c>
      <c r="J4510" s="7">
        <v>3</v>
      </c>
      <c r="K4510" t="s">
        <v>69</v>
      </c>
      <c r="L4510" s="7">
        <v>92500</v>
      </c>
      <c r="M4510" s="7">
        <v>7700</v>
      </c>
      <c r="N4510" s="7">
        <v>100200</v>
      </c>
      <c r="O4510" t="s">
        <v>30</v>
      </c>
      <c r="P4510" s="3">
        <v>41547</v>
      </c>
      <c r="Q4510" t="s">
        <v>36</v>
      </c>
    </row>
    <row r="4511" spans="1:17" x14ac:dyDescent="0.35">
      <c r="A4511" t="s">
        <v>4563</v>
      </c>
      <c r="B4511" t="s">
        <v>23</v>
      </c>
      <c r="C4511">
        <v>42</v>
      </c>
      <c r="D4511" t="s">
        <v>55</v>
      </c>
      <c r="E4511" t="s">
        <v>56</v>
      </c>
      <c r="F4511" t="s">
        <v>36</v>
      </c>
      <c r="G4511">
        <v>1.1000000000000001</v>
      </c>
      <c r="H4511">
        <v>0</v>
      </c>
      <c r="I4511" t="str" cm="1">
        <f t="array" ref="I4511">_xlfn.IFS(G4511&lt;3, "0–2 Years", G4511&lt;6, "3–5 Years", G4511&lt;9, "6–8 Years", G4511&lt;12, "9-11 Years", G4511&gt;=12, "12-14 Years")</f>
        <v>0–2 Years</v>
      </c>
      <c r="J4511">
        <v>2</v>
      </c>
      <c r="K4511" t="s">
        <v>20</v>
      </c>
      <c r="L4511">
        <v>107700</v>
      </c>
      <c r="M4511">
        <v>20800</v>
      </c>
      <c r="N4511">
        <v>128500</v>
      </c>
      <c r="O4511" t="s">
        <v>57</v>
      </c>
      <c r="P4511" s="3">
        <v>45631</v>
      </c>
      <c r="Q4511" t="s">
        <v>36</v>
      </c>
    </row>
    <row r="4512" spans="1:17" x14ac:dyDescent="0.35">
      <c r="A4512" t="s">
        <v>4564</v>
      </c>
      <c r="B4512" t="s">
        <v>16</v>
      </c>
      <c r="C4512">
        <v>42</v>
      </c>
      <c r="D4512" t="s">
        <v>34</v>
      </c>
      <c r="E4512" t="s">
        <v>47</v>
      </c>
      <c r="F4512" t="s">
        <v>28</v>
      </c>
      <c r="G4512">
        <v>11.9</v>
      </c>
      <c r="H4512">
        <v>8.4</v>
      </c>
      <c r="I4512" t="str" cm="1">
        <f t="array" ref="I4512">_xlfn.IFS(G4512&lt;3, "0–2 Years", G4512&lt;6, "3–5 Years", G4512&lt;9, "6–8 Years", G4512&lt;12, "9-11 Years", G4512&gt;=12, "12-14 Years")</f>
        <v>9-11 Years</v>
      </c>
      <c r="J4512">
        <v>3</v>
      </c>
      <c r="K4512" t="s">
        <v>24</v>
      </c>
      <c r="L4512">
        <v>51900</v>
      </c>
      <c r="M4512">
        <v>5400</v>
      </c>
      <c r="N4512">
        <v>57300</v>
      </c>
      <c r="O4512" t="s">
        <v>25</v>
      </c>
      <c r="P4512" s="3">
        <v>41669</v>
      </c>
      <c r="Q4512" t="s">
        <v>28</v>
      </c>
    </row>
    <row r="4513" spans="1:17" x14ac:dyDescent="0.35">
      <c r="A4513" t="s">
        <v>4565</v>
      </c>
      <c r="B4513" t="s">
        <v>23</v>
      </c>
      <c r="C4513">
        <v>48</v>
      </c>
      <c r="D4513" t="s">
        <v>41</v>
      </c>
      <c r="E4513" t="s">
        <v>67</v>
      </c>
      <c r="F4513" t="s">
        <v>28</v>
      </c>
      <c r="G4513">
        <v>6.5</v>
      </c>
      <c r="H4513">
        <v>3.8</v>
      </c>
      <c r="I4513" t="str" cm="1">
        <f t="array" ref="I4513">_xlfn.IFS(G4513&lt;3, "0–2 Years", G4513&lt;6, "3–5 Years", G4513&lt;9, "6–8 Years", G4513&lt;12, "9-11 Years", G4513&gt;=12, "12-14 Years")</f>
        <v>6–8 Years</v>
      </c>
      <c r="J4513">
        <v>3</v>
      </c>
      <c r="K4513" t="s">
        <v>20</v>
      </c>
      <c r="L4513">
        <v>73300</v>
      </c>
      <c r="M4513">
        <v>6200</v>
      </c>
      <c r="N4513">
        <v>79500</v>
      </c>
      <c r="O4513" t="s">
        <v>21</v>
      </c>
      <c r="P4513" s="3">
        <v>43652</v>
      </c>
      <c r="Q4513" t="s">
        <v>28</v>
      </c>
    </row>
    <row r="4514" spans="1:17" x14ac:dyDescent="0.35">
      <c r="A4514" t="s">
        <v>4566</v>
      </c>
      <c r="B4514" t="s">
        <v>23</v>
      </c>
      <c r="C4514">
        <v>35</v>
      </c>
      <c r="D4514" t="s">
        <v>55</v>
      </c>
      <c r="E4514" t="s">
        <v>56</v>
      </c>
      <c r="F4514" t="s">
        <v>28</v>
      </c>
      <c r="G4514">
        <v>7.7</v>
      </c>
      <c r="H4514">
        <v>3.4</v>
      </c>
      <c r="I4514" t="str" cm="1">
        <f t="array" ref="I4514">_xlfn.IFS(G4514&lt;3, "0–2 Years", G4514&lt;6, "3–5 Years", G4514&lt;9, "6–8 Years", G4514&lt;12, "9-11 Years", G4514&gt;=12, "12-14 Years")</f>
        <v>6–8 Years</v>
      </c>
      <c r="J4514">
        <v>5</v>
      </c>
      <c r="K4514" t="s">
        <v>20</v>
      </c>
      <c r="L4514">
        <v>102400</v>
      </c>
      <c r="M4514">
        <v>18400</v>
      </c>
      <c r="N4514">
        <v>120800</v>
      </c>
      <c r="O4514" t="s">
        <v>57</v>
      </c>
      <c r="P4514" s="3">
        <v>43218</v>
      </c>
      <c r="Q4514" t="s">
        <v>28</v>
      </c>
    </row>
    <row r="4515" spans="1:17" x14ac:dyDescent="0.35">
      <c r="A4515" t="s">
        <v>4567</v>
      </c>
      <c r="B4515" t="s">
        <v>16</v>
      </c>
      <c r="C4515">
        <v>39</v>
      </c>
      <c r="D4515" t="s">
        <v>17</v>
      </c>
      <c r="E4515" t="s">
        <v>18</v>
      </c>
      <c r="F4515" t="s">
        <v>36</v>
      </c>
      <c r="G4515">
        <v>6.6</v>
      </c>
      <c r="H4515">
        <v>4.0999999999999996</v>
      </c>
      <c r="I4515" t="str" cm="1">
        <f t="array" ref="I4515">_xlfn.IFS(G4515&lt;3, "0–2 Years", G4515&lt;6, "3–5 Years", G4515&lt;9, "6–8 Years", G4515&lt;12, "9-11 Years", G4515&gt;=12, "12-14 Years")</f>
        <v>6–8 Years</v>
      </c>
      <c r="J4515">
        <v>3</v>
      </c>
      <c r="K4515" t="s">
        <v>20</v>
      </c>
      <c r="L4515">
        <v>103700</v>
      </c>
      <c r="M4515">
        <v>9400</v>
      </c>
      <c r="N4515">
        <v>113100</v>
      </c>
      <c r="O4515" t="s">
        <v>57</v>
      </c>
      <c r="P4515" s="3">
        <v>43600</v>
      </c>
      <c r="Q4515" t="s">
        <v>36</v>
      </c>
    </row>
    <row r="4516" spans="1:17" x14ac:dyDescent="0.35">
      <c r="A4516" t="s">
        <v>4568</v>
      </c>
      <c r="B4516" t="s">
        <v>16</v>
      </c>
      <c r="C4516">
        <v>39</v>
      </c>
      <c r="D4516" t="s">
        <v>44</v>
      </c>
      <c r="E4516" t="s">
        <v>76</v>
      </c>
      <c r="F4516" t="s">
        <v>19</v>
      </c>
      <c r="G4516">
        <v>1.3</v>
      </c>
      <c r="H4516">
        <v>0</v>
      </c>
      <c r="I4516" t="str" cm="1">
        <f t="array" ref="I4516">_xlfn.IFS(G4516&lt;3, "0–2 Years", G4516&lt;6, "3–5 Years", G4516&lt;9, "6–8 Years", G4516&lt;12, "9-11 Years", G4516&gt;=12, "12-14 Years")</f>
        <v>0–2 Years</v>
      </c>
      <c r="J4516">
        <v>3</v>
      </c>
      <c r="K4516" t="s">
        <v>24</v>
      </c>
      <c r="L4516">
        <v>55000</v>
      </c>
      <c r="M4516">
        <v>7200</v>
      </c>
      <c r="N4516">
        <v>62200</v>
      </c>
      <c r="O4516" t="s">
        <v>25</v>
      </c>
      <c r="P4516" s="3">
        <v>45532</v>
      </c>
      <c r="Q4516" t="s">
        <v>19</v>
      </c>
    </row>
    <row r="4517" spans="1:17" x14ac:dyDescent="0.35">
      <c r="A4517" t="s">
        <v>4569</v>
      </c>
      <c r="B4517" t="s">
        <v>23</v>
      </c>
      <c r="C4517">
        <v>49</v>
      </c>
      <c r="D4517" t="s">
        <v>55</v>
      </c>
      <c r="E4517" t="s">
        <v>56</v>
      </c>
      <c r="F4517" t="s">
        <v>28</v>
      </c>
      <c r="G4517">
        <v>2.2000000000000002</v>
      </c>
      <c r="H4517">
        <v>0.7</v>
      </c>
      <c r="I4517" t="str" cm="1">
        <f t="array" ref="I4517">_xlfn.IFS(G4517&lt;3, "0–2 Years", G4517&lt;6, "3–5 Years", G4517&lt;9, "6–8 Years", G4517&lt;12, "9-11 Years", G4517&gt;=12, "12-14 Years")</f>
        <v>0–2 Years</v>
      </c>
      <c r="J4517">
        <v>3</v>
      </c>
      <c r="K4517" t="s">
        <v>20</v>
      </c>
      <c r="L4517">
        <v>86000</v>
      </c>
      <c r="M4517">
        <v>7800</v>
      </c>
      <c r="N4517">
        <v>93800</v>
      </c>
      <c r="O4517" t="s">
        <v>30</v>
      </c>
      <c r="P4517" s="3">
        <v>45229</v>
      </c>
      <c r="Q4517" t="s">
        <v>28</v>
      </c>
    </row>
    <row r="4518" spans="1:17" x14ac:dyDescent="0.35">
      <c r="A4518" t="s">
        <v>4570</v>
      </c>
      <c r="B4518" t="s">
        <v>16</v>
      </c>
      <c r="C4518" s="7">
        <v>39</v>
      </c>
      <c r="D4518" t="s">
        <v>55</v>
      </c>
      <c r="E4518" t="s">
        <v>79</v>
      </c>
      <c r="F4518" t="s">
        <v>36</v>
      </c>
      <c r="G4518" s="9">
        <v>12.7</v>
      </c>
      <c r="H4518" s="7">
        <v>7</v>
      </c>
      <c r="I4518" t="str" cm="1">
        <f t="array" ref="I4518">_xlfn.IFS(G4518&lt;3, "0–2 Years", G4518&lt;6, "3–5 Years", G4518&lt;9, "6–8 Years", G4518&lt;12, "9-11 Years", G4518&gt;=12, "12-14 Years")</f>
        <v>12-14 Years</v>
      </c>
      <c r="J4518" s="7">
        <v>2</v>
      </c>
      <c r="K4518" t="s">
        <v>20</v>
      </c>
      <c r="L4518" s="7">
        <v>84700</v>
      </c>
      <c r="M4518" s="7">
        <v>9300</v>
      </c>
      <c r="N4518" s="7">
        <v>94000</v>
      </c>
      <c r="O4518" t="s">
        <v>30</v>
      </c>
      <c r="P4518" s="3">
        <v>41376</v>
      </c>
      <c r="Q4518" t="s">
        <v>36</v>
      </c>
    </row>
    <row r="4519" spans="1:17" x14ac:dyDescent="0.35">
      <c r="A4519" t="s">
        <v>4571</v>
      </c>
      <c r="B4519" t="s">
        <v>16</v>
      </c>
      <c r="C4519">
        <v>35</v>
      </c>
      <c r="D4519" t="s">
        <v>34</v>
      </c>
      <c r="E4519" t="s">
        <v>35</v>
      </c>
      <c r="F4519" t="s">
        <v>36</v>
      </c>
      <c r="G4519">
        <v>10.8</v>
      </c>
      <c r="H4519">
        <v>7.3</v>
      </c>
      <c r="I4519" t="str" cm="1">
        <f t="array" ref="I4519">_xlfn.IFS(G4519&lt;3, "0–2 Years", G4519&lt;6, "3–5 Years", G4519&lt;9, "6–8 Years", G4519&lt;12, "9-11 Years", G4519&gt;=12, "12-14 Years")</f>
        <v>9-11 Years</v>
      </c>
      <c r="J4519">
        <v>3</v>
      </c>
      <c r="K4519" t="s">
        <v>20</v>
      </c>
      <c r="L4519">
        <v>82300</v>
      </c>
      <c r="M4519">
        <v>6200</v>
      </c>
      <c r="N4519">
        <v>88500</v>
      </c>
      <c r="O4519" t="s">
        <v>30</v>
      </c>
      <c r="P4519" s="3">
        <v>42094</v>
      </c>
      <c r="Q4519" t="s">
        <v>36</v>
      </c>
    </row>
    <row r="4520" spans="1:17" x14ac:dyDescent="0.35">
      <c r="A4520" t="s">
        <v>4572</v>
      </c>
      <c r="B4520" t="s">
        <v>23</v>
      </c>
      <c r="C4520" s="7">
        <v>50</v>
      </c>
      <c r="D4520" t="s">
        <v>44</v>
      </c>
      <c r="E4520" t="s">
        <v>51</v>
      </c>
      <c r="F4520" t="s">
        <v>28</v>
      </c>
      <c r="G4520" s="9">
        <v>13.4</v>
      </c>
      <c r="H4520" s="7">
        <v>8</v>
      </c>
      <c r="I4520" t="str" cm="1">
        <f t="array" ref="I4520">_xlfn.IFS(G4520&lt;3, "0–2 Years", G4520&lt;6, "3–5 Years", G4520&lt;9, "6–8 Years", G4520&lt;12, "9-11 Years", G4520&gt;=12, "12-14 Years")</f>
        <v>12-14 Years</v>
      </c>
      <c r="J4520" s="7">
        <v>3</v>
      </c>
      <c r="K4520" t="s">
        <v>20</v>
      </c>
      <c r="L4520" s="7">
        <v>95900</v>
      </c>
      <c r="M4520" s="7">
        <v>13800</v>
      </c>
      <c r="N4520" s="7">
        <v>109700</v>
      </c>
      <c r="O4520" t="s">
        <v>30</v>
      </c>
      <c r="P4520" s="3">
        <v>41118</v>
      </c>
      <c r="Q4520" t="s">
        <v>28</v>
      </c>
    </row>
    <row r="4521" spans="1:17" x14ac:dyDescent="0.35">
      <c r="A4521" t="s">
        <v>4573</v>
      </c>
      <c r="B4521" t="s">
        <v>16</v>
      </c>
      <c r="C4521">
        <v>28</v>
      </c>
      <c r="D4521" t="s">
        <v>34</v>
      </c>
      <c r="E4521" t="s">
        <v>59</v>
      </c>
      <c r="F4521" t="s">
        <v>28</v>
      </c>
      <c r="G4521">
        <v>5.7</v>
      </c>
      <c r="H4521">
        <v>2.7</v>
      </c>
      <c r="I4521" t="str" cm="1">
        <f t="array" ref="I4521">_xlfn.IFS(G4521&lt;3, "0–2 Years", G4521&lt;6, "3–5 Years", G4521&lt;9, "6–8 Years", G4521&lt;12, "9-11 Years", G4521&gt;=12, "12-14 Years")</f>
        <v>3–5 Years</v>
      </c>
      <c r="J4521">
        <v>4</v>
      </c>
      <c r="K4521" t="s">
        <v>20</v>
      </c>
      <c r="L4521">
        <v>112800</v>
      </c>
      <c r="M4521">
        <v>9900</v>
      </c>
      <c r="N4521">
        <v>122700</v>
      </c>
      <c r="O4521" t="s">
        <v>57</v>
      </c>
      <c r="P4521" s="3">
        <v>43931</v>
      </c>
      <c r="Q4521" t="s">
        <v>28</v>
      </c>
    </row>
    <row r="4522" spans="1:17" x14ac:dyDescent="0.35">
      <c r="A4522" t="s">
        <v>4574</v>
      </c>
      <c r="B4522" t="s">
        <v>23</v>
      </c>
      <c r="C4522">
        <v>43</v>
      </c>
      <c r="D4522" t="s">
        <v>55</v>
      </c>
      <c r="E4522" t="s">
        <v>79</v>
      </c>
      <c r="G4522">
        <v>11.5</v>
      </c>
      <c r="H4522">
        <v>6.1</v>
      </c>
      <c r="I4522" t="str" cm="1">
        <f t="array" ref="I4522">_xlfn.IFS(G4522&lt;3, "0–2 Years", G4522&lt;6, "3–5 Years", G4522&lt;9, "6–8 Years", G4522&lt;12, "9-11 Years", G4522&gt;=12, "12-14 Years")</f>
        <v>9-11 Years</v>
      </c>
      <c r="J4522">
        <v>2</v>
      </c>
      <c r="K4522" t="s">
        <v>20</v>
      </c>
      <c r="L4522">
        <v>55900</v>
      </c>
      <c r="M4522">
        <v>9600</v>
      </c>
      <c r="N4522">
        <v>65500</v>
      </c>
      <c r="O4522" t="s">
        <v>25</v>
      </c>
      <c r="P4522" s="3">
        <v>41822</v>
      </c>
      <c r="Q4522" t="s">
        <v>5104</v>
      </c>
    </row>
    <row r="4523" spans="1:17" x14ac:dyDescent="0.35">
      <c r="A4523" t="s">
        <v>4575</v>
      </c>
      <c r="B4523" t="s">
        <v>23</v>
      </c>
      <c r="C4523">
        <v>38</v>
      </c>
      <c r="D4523" t="s">
        <v>44</v>
      </c>
      <c r="E4523" t="s">
        <v>51</v>
      </c>
      <c r="F4523" t="s">
        <v>36</v>
      </c>
      <c r="G4523">
        <v>5.2</v>
      </c>
      <c r="H4523">
        <v>2.2000000000000002</v>
      </c>
      <c r="I4523" t="str" cm="1">
        <f t="array" ref="I4523">_xlfn.IFS(G4523&lt;3, "0–2 Years", G4523&lt;6, "3–5 Years", G4523&lt;9, "6–8 Years", G4523&lt;12, "9-11 Years", G4523&gt;=12, "12-14 Years")</f>
        <v>3–5 Years</v>
      </c>
      <c r="J4523">
        <v>4</v>
      </c>
      <c r="K4523" t="s">
        <v>20</v>
      </c>
      <c r="L4523">
        <v>82100</v>
      </c>
      <c r="M4523">
        <v>8400</v>
      </c>
      <c r="N4523">
        <v>90500</v>
      </c>
      <c r="O4523" t="s">
        <v>30</v>
      </c>
      <c r="P4523" s="3">
        <v>44106</v>
      </c>
      <c r="Q4523" t="s">
        <v>36</v>
      </c>
    </row>
    <row r="4524" spans="1:17" x14ac:dyDescent="0.35">
      <c r="A4524" t="s">
        <v>4576</v>
      </c>
      <c r="B4524" t="s">
        <v>16</v>
      </c>
      <c r="C4524">
        <v>39</v>
      </c>
      <c r="D4524" t="s">
        <v>17</v>
      </c>
      <c r="E4524" t="s">
        <v>32</v>
      </c>
      <c r="F4524" t="s">
        <v>28</v>
      </c>
      <c r="G4524">
        <v>2.7</v>
      </c>
      <c r="H4524">
        <v>0.5</v>
      </c>
      <c r="I4524" t="str" cm="1">
        <f t="array" ref="I4524">_xlfn.IFS(G4524&lt;3, "0–2 Years", G4524&lt;6, "3–5 Years", G4524&lt;9, "6–8 Years", G4524&lt;12, "9-11 Years", G4524&gt;=12, "12-14 Years")</f>
        <v>0–2 Years</v>
      </c>
      <c r="J4524">
        <v>2</v>
      </c>
      <c r="K4524" t="s">
        <v>20</v>
      </c>
      <c r="L4524">
        <v>55900</v>
      </c>
      <c r="M4524">
        <v>2900</v>
      </c>
      <c r="N4524">
        <v>58800</v>
      </c>
      <c r="O4524" t="s">
        <v>25</v>
      </c>
      <c r="P4524" s="3">
        <v>45020</v>
      </c>
      <c r="Q4524" t="s">
        <v>28</v>
      </c>
    </row>
    <row r="4525" spans="1:17" x14ac:dyDescent="0.35">
      <c r="A4525" t="s">
        <v>4577</v>
      </c>
      <c r="B4525" t="s">
        <v>16</v>
      </c>
      <c r="C4525">
        <v>45</v>
      </c>
      <c r="D4525" t="s">
        <v>41</v>
      </c>
      <c r="E4525" t="s">
        <v>42</v>
      </c>
      <c r="F4525" t="s">
        <v>28</v>
      </c>
      <c r="G4525">
        <v>8.3000000000000007</v>
      </c>
      <c r="H4525">
        <v>6.7</v>
      </c>
      <c r="I4525" t="str" cm="1">
        <f t="array" ref="I4525">_xlfn.IFS(G4525&lt;3, "0–2 Years", G4525&lt;6, "3–5 Years", G4525&lt;9, "6–8 Years", G4525&lt;12, "9-11 Years", G4525&gt;=12, "12-14 Years")</f>
        <v>6–8 Years</v>
      </c>
      <c r="J4525">
        <v>3</v>
      </c>
      <c r="K4525" t="s">
        <v>20</v>
      </c>
      <c r="L4525">
        <v>97200</v>
      </c>
      <c r="M4525">
        <v>4400</v>
      </c>
      <c r="N4525">
        <v>101600</v>
      </c>
      <c r="O4525" t="s">
        <v>30</v>
      </c>
      <c r="P4525" s="3">
        <v>42990</v>
      </c>
      <c r="Q4525" t="s">
        <v>28</v>
      </c>
    </row>
    <row r="4526" spans="1:17" x14ac:dyDescent="0.35">
      <c r="A4526" t="s">
        <v>4578</v>
      </c>
      <c r="B4526" t="s">
        <v>23</v>
      </c>
      <c r="C4526">
        <v>30</v>
      </c>
      <c r="D4526" t="s">
        <v>44</v>
      </c>
      <c r="E4526" t="s">
        <v>45</v>
      </c>
      <c r="F4526" t="s">
        <v>28</v>
      </c>
      <c r="G4526">
        <v>3.7</v>
      </c>
      <c r="H4526">
        <v>1.2</v>
      </c>
      <c r="I4526" t="str" cm="1">
        <f t="array" ref="I4526">_xlfn.IFS(G4526&lt;3, "0–2 Years", G4526&lt;6, "3–5 Years", G4526&lt;9, "6–8 Years", G4526&lt;12, "9-11 Years", G4526&gt;=12, "12-14 Years")</f>
        <v>3–5 Years</v>
      </c>
      <c r="J4526"/>
      <c r="K4526" t="s">
        <v>20</v>
      </c>
      <c r="L4526">
        <v>73700</v>
      </c>
      <c r="M4526">
        <v>10300</v>
      </c>
      <c r="N4526">
        <v>84000</v>
      </c>
      <c r="O4526" t="s">
        <v>21</v>
      </c>
      <c r="P4526" s="3">
        <v>44683</v>
      </c>
      <c r="Q4526" t="s">
        <v>28</v>
      </c>
    </row>
    <row r="4527" spans="1:17" x14ac:dyDescent="0.35">
      <c r="A4527" t="s">
        <v>4579</v>
      </c>
      <c r="B4527" t="s">
        <v>16</v>
      </c>
      <c r="C4527">
        <v>38</v>
      </c>
      <c r="D4527" t="s">
        <v>44</v>
      </c>
      <c r="E4527" t="s">
        <v>45</v>
      </c>
      <c r="F4527" t="s">
        <v>36</v>
      </c>
      <c r="G4527">
        <v>5.4</v>
      </c>
      <c r="H4527">
        <v>3.3</v>
      </c>
      <c r="I4527" t="str" cm="1">
        <f t="array" ref="I4527">_xlfn.IFS(G4527&lt;3, "0–2 Years", G4527&lt;6, "3–5 Years", G4527&lt;9, "6–8 Years", G4527&lt;12, "9-11 Years", G4527&gt;=12, "12-14 Years")</f>
        <v>3–5 Years</v>
      </c>
      <c r="J4527">
        <v>3</v>
      </c>
      <c r="K4527" t="s">
        <v>20</v>
      </c>
      <c r="L4527">
        <v>66300</v>
      </c>
      <c r="M4527">
        <v>4300</v>
      </c>
      <c r="N4527">
        <v>70600</v>
      </c>
      <c r="O4527" t="s">
        <v>21</v>
      </c>
      <c r="P4527" s="3">
        <v>44039</v>
      </c>
      <c r="Q4527" t="s">
        <v>36</v>
      </c>
    </row>
    <row r="4528" spans="1:17" x14ac:dyDescent="0.35">
      <c r="A4528" t="s">
        <v>4580</v>
      </c>
      <c r="B4528" t="s">
        <v>23</v>
      </c>
      <c r="C4528">
        <v>37</v>
      </c>
      <c r="D4528" t="s">
        <v>44</v>
      </c>
      <c r="E4528" t="s">
        <v>45</v>
      </c>
      <c r="F4528" t="s">
        <v>36</v>
      </c>
      <c r="G4528">
        <v>10.4</v>
      </c>
      <c r="H4528">
        <v>6.1</v>
      </c>
      <c r="I4528" t="str" cm="1">
        <f t="array" ref="I4528">_xlfn.IFS(G4528&lt;3, "0–2 Years", G4528&lt;6, "3–5 Years", G4528&lt;9, "6–8 Years", G4528&lt;12, "9-11 Years", G4528&gt;=12, "12-14 Years")</f>
        <v>9-11 Years</v>
      </c>
      <c r="J4528">
        <v>3</v>
      </c>
      <c r="K4528" t="s">
        <v>20</v>
      </c>
      <c r="L4528">
        <v>75400</v>
      </c>
      <c r="M4528">
        <v>8900</v>
      </c>
      <c r="N4528">
        <v>84300</v>
      </c>
      <c r="O4528" t="s">
        <v>21</v>
      </c>
      <c r="P4528" s="3">
        <v>42210</v>
      </c>
      <c r="Q4528" t="s">
        <v>36</v>
      </c>
    </row>
    <row r="4529" spans="1:17" x14ac:dyDescent="0.35">
      <c r="A4529" t="s">
        <v>4581</v>
      </c>
      <c r="B4529" t="s">
        <v>16</v>
      </c>
      <c r="C4529">
        <v>31</v>
      </c>
      <c r="D4529" t="s">
        <v>41</v>
      </c>
      <c r="E4529" t="s">
        <v>73</v>
      </c>
      <c r="F4529" t="s">
        <v>36</v>
      </c>
      <c r="G4529">
        <v>4.3</v>
      </c>
      <c r="H4529">
        <v>3.5</v>
      </c>
      <c r="I4529" t="str" cm="1">
        <f t="array" ref="I4529">_xlfn.IFS(G4529&lt;3, "0–2 Years", G4529&lt;6, "3–5 Years", G4529&lt;9, "6–8 Years", G4529&lt;12, "9-11 Years", G4529&gt;=12, "12-14 Years")</f>
        <v>3–5 Years</v>
      </c>
      <c r="J4529">
        <v>4</v>
      </c>
      <c r="K4529" t="s">
        <v>20</v>
      </c>
      <c r="L4529">
        <v>111500</v>
      </c>
      <c r="M4529">
        <v>3800</v>
      </c>
      <c r="N4529">
        <v>115300</v>
      </c>
      <c r="O4529" t="s">
        <v>57</v>
      </c>
      <c r="P4529" s="3">
        <v>44455</v>
      </c>
      <c r="Q4529" t="s">
        <v>36</v>
      </c>
    </row>
    <row r="4530" spans="1:17" x14ac:dyDescent="0.35">
      <c r="A4530" t="s">
        <v>4582</v>
      </c>
      <c r="B4530" t="s">
        <v>16</v>
      </c>
      <c r="C4530">
        <v>44</v>
      </c>
      <c r="D4530" t="s">
        <v>17</v>
      </c>
      <c r="E4530" t="s">
        <v>27</v>
      </c>
      <c r="F4530" t="s">
        <v>28</v>
      </c>
      <c r="G4530">
        <v>8.6999999999999993</v>
      </c>
      <c r="H4530">
        <v>4.9000000000000004</v>
      </c>
      <c r="I4530" t="str" cm="1">
        <f t="array" ref="I4530">_xlfn.IFS(G4530&lt;3, "0–2 Years", G4530&lt;6, "3–5 Years", G4530&lt;9, "6–8 Years", G4530&lt;12, "9-11 Years", G4530&gt;=12, "12-14 Years")</f>
        <v>6–8 Years</v>
      </c>
      <c r="J4530">
        <v>2</v>
      </c>
      <c r="K4530" t="s">
        <v>69</v>
      </c>
      <c r="L4530">
        <v>61300</v>
      </c>
      <c r="M4530">
        <v>5200</v>
      </c>
      <c r="N4530">
        <v>66500</v>
      </c>
      <c r="O4530" t="s">
        <v>25</v>
      </c>
      <c r="P4530" s="3">
        <v>42855</v>
      </c>
      <c r="Q4530" t="s">
        <v>28</v>
      </c>
    </row>
    <row r="4531" spans="1:17" x14ac:dyDescent="0.35">
      <c r="A4531" t="s">
        <v>4583</v>
      </c>
      <c r="B4531" t="s">
        <v>23</v>
      </c>
      <c r="C4531">
        <v>41</v>
      </c>
      <c r="D4531" t="s">
        <v>34</v>
      </c>
      <c r="E4531" t="s">
        <v>47</v>
      </c>
      <c r="F4531" t="s">
        <v>36</v>
      </c>
      <c r="G4531">
        <v>5.0999999999999996</v>
      </c>
      <c r="H4531">
        <v>5.0999999999999996</v>
      </c>
      <c r="I4531" t="str" cm="1">
        <f t="array" ref="I4531">_xlfn.IFS(G4531&lt;3, "0–2 Years", G4531&lt;6, "3–5 Years", G4531&lt;9, "6–8 Years", G4531&lt;12, "9-11 Years", G4531&gt;=12, "12-14 Years")</f>
        <v>3–5 Years</v>
      </c>
      <c r="J4531">
        <v>4</v>
      </c>
      <c r="K4531" t="s">
        <v>24</v>
      </c>
      <c r="L4531">
        <v>46800</v>
      </c>
      <c r="M4531">
        <v>3600</v>
      </c>
      <c r="N4531">
        <v>50400</v>
      </c>
      <c r="O4531" t="s">
        <v>65</v>
      </c>
      <c r="P4531" s="3">
        <v>44159</v>
      </c>
      <c r="Q4531" t="s">
        <v>36</v>
      </c>
    </row>
    <row r="4532" spans="1:17" x14ac:dyDescent="0.35">
      <c r="A4532" t="s">
        <v>4584</v>
      </c>
      <c r="B4532" t="s">
        <v>23</v>
      </c>
      <c r="C4532" s="7">
        <v>50</v>
      </c>
      <c r="D4532" t="s">
        <v>41</v>
      </c>
      <c r="E4532" t="s">
        <v>42</v>
      </c>
      <c r="F4532" t="s">
        <v>28</v>
      </c>
      <c r="G4532" s="9">
        <v>12.6</v>
      </c>
      <c r="H4532" s="7">
        <v>8</v>
      </c>
      <c r="I4532" t="str" cm="1">
        <f t="array" ref="I4532">_xlfn.IFS(G4532&lt;3, "0–2 Years", G4532&lt;6, "3–5 Years", G4532&lt;9, "6–8 Years", G4532&lt;12, "9-11 Years", G4532&gt;=12, "12-14 Years")</f>
        <v>12-14 Years</v>
      </c>
      <c r="J4532" s="7">
        <v>2</v>
      </c>
      <c r="K4532" t="s">
        <v>20</v>
      </c>
      <c r="L4532" s="7">
        <v>75500</v>
      </c>
      <c r="M4532" s="7">
        <v>5000</v>
      </c>
      <c r="N4532" s="7">
        <v>80500</v>
      </c>
      <c r="O4532" t="s">
        <v>21</v>
      </c>
      <c r="P4532" s="3">
        <v>41435</v>
      </c>
      <c r="Q4532" t="s">
        <v>28</v>
      </c>
    </row>
    <row r="4533" spans="1:17" x14ac:dyDescent="0.35">
      <c r="A4533" t="s">
        <v>4585</v>
      </c>
      <c r="B4533" t="s">
        <v>23</v>
      </c>
      <c r="C4533">
        <v>26</v>
      </c>
      <c r="D4533" t="s">
        <v>38</v>
      </c>
      <c r="E4533" t="s">
        <v>112</v>
      </c>
      <c r="F4533" t="s">
        <v>28</v>
      </c>
      <c r="G4533">
        <v>3.5</v>
      </c>
      <c r="H4533">
        <v>2</v>
      </c>
      <c r="I4533" t="str" cm="1">
        <f t="array" ref="I4533">_xlfn.IFS(G4533&lt;3, "0–2 Years", G4533&lt;6, "3–5 Years", G4533&lt;9, "6–8 Years", G4533&lt;12, "9-11 Years", G4533&gt;=12, "12-14 Years")</f>
        <v>3–5 Years</v>
      </c>
      <c r="J4533">
        <v>3</v>
      </c>
      <c r="K4533" t="s">
        <v>20</v>
      </c>
      <c r="L4533">
        <v>66600</v>
      </c>
      <c r="M4533">
        <v>4200</v>
      </c>
      <c r="N4533">
        <v>70800</v>
      </c>
      <c r="O4533" t="s">
        <v>21</v>
      </c>
      <c r="P4533" s="3">
        <v>44747</v>
      </c>
      <c r="Q4533" t="s">
        <v>28</v>
      </c>
    </row>
    <row r="4534" spans="1:17" x14ac:dyDescent="0.35">
      <c r="A4534" t="s">
        <v>4586</v>
      </c>
      <c r="B4534" t="s">
        <v>16</v>
      </c>
      <c r="C4534">
        <v>34</v>
      </c>
      <c r="D4534" t="s">
        <v>41</v>
      </c>
      <c r="E4534" t="s">
        <v>73</v>
      </c>
      <c r="F4534" t="s">
        <v>36</v>
      </c>
      <c r="G4534">
        <v>4.8</v>
      </c>
      <c r="H4534">
        <v>3.6</v>
      </c>
      <c r="I4534" t="str" cm="1">
        <f t="array" ref="I4534">_xlfn.IFS(G4534&lt;3, "0–2 Years", G4534&lt;6, "3–5 Years", G4534&lt;9, "6–8 Years", G4534&lt;12, "9-11 Years", G4534&gt;=12, "12-14 Years")</f>
        <v>3–5 Years</v>
      </c>
      <c r="J4534">
        <v>3</v>
      </c>
      <c r="K4534" t="s">
        <v>20</v>
      </c>
      <c r="L4534">
        <v>101500</v>
      </c>
      <c r="M4534">
        <v>8500</v>
      </c>
      <c r="N4534">
        <v>110000</v>
      </c>
      <c r="O4534" t="s">
        <v>57</v>
      </c>
      <c r="P4534" s="3">
        <v>44260</v>
      </c>
      <c r="Q4534" t="s">
        <v>36</v>
      </c>
    </row>
    <row r="4535" spans="1:17" x14ac:dyDescent="0.35">
      <c r="A4535" t="s">
        <v>4587</v>
      </c>
      <c r="B4535" t="s">
        <v>23</v>
      </c>
      <c r="C4535">
        <v>40</v>
      </c>
      <c r="D4535" t="s">
        <v>38</v>
      </c>
      <c r="E4535" t="s">
        <v>61</v>
      </c>
      <c r="F4535" t="s">
        <v>28</v>
      </c>
      <c r="G4535">
        <v>7.1</v>
      </c>
      <c r="H4535">
        <v>3.6</v>
      </c>
      <c r="I4535" t="str" cm="1">
        <f t="array" ref="I4535">_xlfn.IFS(G4535&lt;3, "0–2 Years", G4535&lt;6, "3–5 Years", G4535&lt;9, "6–8 Years", G4535&lt;12, "9-11 Years", G4535&gt;=12, "12-14 Years")</f>
        <v>6–8 Years</v>
      </c>
      <c r="J4535">
        <v>3</v>
      </c>
      <c r="K4535" t="s">
        <v>20</v>
      </c>
      <c r="L4535">
        <v>96300</v>
      </c>
      <c r="M4535">
        <v>7600</v>
      </c>
      <c r="N4535">
        <v>103900</v>
      </c>
      <c r="O4535" t="s">
        <v>30</v>
      </c>
      <c r="P4535" s="3">
        <v>43417</v>
      </c>
      <c r="Q4535" t="s">
        <v>28</v>
      </c>
    </row>
    <row r="4536" spans="1:17" x14ac:dyDescent="0.35">
      <c r="A4536" t="s">
        <v>4588</v>
      </c>
      <c r="B4536" t="s">
        <v>16</v>
      </c>
      <c r="C4536" s="7">
        <v>33</v>
      </c>
      <c r="D4536" t="s">
        <v>38</v>
      </c>
      <c r="E4536" t="s">
        <v>112</v>
      </c>
      <c r="F4536" t="s">
        <v>28</v>
      </c>
      <c r="G4536" s="9">
        <v>13.7</v>
      </c>
      <c r="H4536" s="7">
        <v>10.1</v>
      </c>
      <c r="I4536" t="str" cm="1">
        <f t="array" ref="I4536">_xlfn.IFS(G4536&lt;3, "0–2 Years", G4536&lt;6, "3–5 Years", G4536&lt;9, "6–8 Years", G4536&lt;12, "9-11 Years", G4536&gt;=12, "12-14 Years")</f>
        <v>12-14 Years</v>
      </c>
      <c r="J4536" s="7">
        <v>3</v>
      </c>
      <c r="K4536" t="s">
        <v>20</v>
      </c>
      <c r="L4536" s="7">
        <v>90600</v>
      </c>
      <c r="M4536" s="7">
        <v>4900</v>
      </c>
      <c r="N4536" s="7">
        <v>95500</v>
      </c>
      <c r="O4536" t="s">
        <v>30</v>
      </c>
      <c r="P4536" s="3">
        <v>41014</v>
      </c>
      <c r="Q4536" t="s">
        <v>28</v>
      </c>
    </row>
    <row r="4537" spans="1:17" x14ac:dyDescent="0.35">
      <c r="A4537" t="s">
        <v>4589</v>
      </c>
      <c r="B4537" t="s">
        <v>16</v>
      </c>
      <c r="C4537">
        <v>32</v>
      </c>
      <c r="D4537" t="s">
        <v>41</v>
      </c>
      <c r="E4537" t="s">
        <v>67</v>
      </c>
      <c r="F4537" t="s">
        <v>36</v>
      </c>
      <c r="G4537">
        <v>3.3</v>
      </c>
      <c r="H4537">
        <v>1.4</v>
      </c>
      <c r="I4537" t="str" cm="1">
        <f t="array" ref="I4537">_xlfn.IFS(G4537&lt;3, "0–2 Years", G4537&lt;6, "3–5 Years", G4537&lt;9, "6–8 Years", G4537&lt;12, "9-11 Years", G4537&gt;=12, "12-14 Years")</f>
        <v>3–5 Years</v>
      </c>
      <c r="J4537">
        <v>1</v>
      </c>
      <c r="K4537" t="s">
        <v>69</v>
      </c>
      <c r="L4537">
        <v>54400</v>
      </c>
      <c r="M4537">
        <v>4100</v>
      </c>
      <c r="N4537">
        <v>58500</v>
      </c>
      <c r="O4537" t="s">
        <v>25</v>
      </c>
      <c r="P4537" s="3">
        <v>44835</v>
      </c>
      <c r="Q4537" t="s">
        <v>36</v>
      </c>
    </row>
    <row r="4538" spans="1:17" x14ac:dyDescent="0.35">
      <c r="A4538" t="s">
        <v>4590</v>
      </c>
      <c r="B4538" t="s">
        <v>16</v>
      </c>
      <c r="C4538">
        <v>35</v>
      </c>
      <c r="D4538" t="s">
        <v>41</v>
      </c>
      <c r="E4538" t="s">
        <v>67</v>
      </c>
      <c r="F4538" t="s">
        <v>28</v>
      </c>
      <c r="G4538">
        <v>6.1</v>
      </c>
      <c r="H4538">
        <v>5.6</v>
      </c>
      <c r="I4538" t="str" cm="1">
        <f t="array" ref="I4538">_xlfn.IFS(G4538&lt;3, "0–2 Years", G4538&lt;6, "3–5 Years", G4538&lt;9, "6–8 Years", G4538&lt;12, "9-11 Years", G4538&gt;=12, "12-14 Years")</f>
        <v>6–8 Years</v>
      </c>
      <c r="J4538">
        <v>4</v>
      </c>
      <c r="K4538" t="s">
        <v>69</v>
      </c>
      <c r="L4538">
        <v>49800</v>
      </c>
      <c r="M4538">
        <v>1900</v>
      </c>
      <c r="N4538">
        <v>51700</v>
      </c>
      <c r="O4538" t="s">
        <v>65</v>
      </c>
      <c r="P4538" s="3">
        <v>43799</v>
      </c>
      <c r="Q4538" t="s">
        <v>28</v>
      </c>
    </row>
    <row r="4539" spans="1:17" x14ac:dyDescent="0.35">
      <c r="A4539" t="s">
        <v>4591</v>
      </c>
      <c r="B4539" t="s">
        <v>23</v>
      </c>
      <c r="C4539">
        <v>45</v>
      </c>
      <c r="D4539" t="s">
        <v>38</v>
      </c>
      <c r="E4539" t="s">
        <v>39</v>
      </c>
      <c r="F4539" t="s">
        <v>19</v>
      </c>
      <c r="G4539">
        <v>11</v>
      </c>
      <c r="H4539">
        <v>7.9</v>
      </c>
      <c r="I4539" t="str" cm="1">
        <f t="array" ref="I4539">_xlfn.IFS(G4539&lt;3, "0–2 Years", G4539&lt;6, "3–5 Years", G4539&lt;9, "6–8 Years", G4539&lt;12, "9-11 Years", G4539&gt;=12, "12-14 Years")</f>
        <v>9-11 Years</v>
      </c>
      <c r="J4539">
        <v>3</v>
      </c>
      <c r="K4539" t="s">
        <v>20</v>
      </c>
      <c r="L4539">
        <v>72200</v>
      </c>
      <c r="M4539">
        <v>3600</v>
      </c>
      <c r="N4539">
        <v>75800</v>
      </c>
      <c r="O4539" t="s">
        <v>21</v>
      </c>
      <c r="P4539" s="3">
        <v>42013</v>
      </c>
      <c r="Q4539" t="s">
        <v>19</v>
      </c>
    </row>
    <row r="4540" spans="1:17" x14ac:dyDescent="0.35">
      <c r="A4540" t="s">
        <v>4592</v>
      </c>
      <c r="B4540" t="s">
        <v>16</v>
      </c>
      <c r="C4540" s="7">
        <v>34</v>
      </c>
      <c r="D4540" t="s">
        <v>44</v>
      </c>
      <c r="E4540" t="s">
        <v>76</v>
      </c>
      <c r="F4540" t="s">
        <v>19</v>
      </c>
      <c r="G4540" s="9">
        <v>13.9</v>
      </c>
      <c r="H4540" s="7">
        <v>9.1</v>
      </c>
      <c r="I4540" t="str" cm="1">
        <f t="array" ref="I4540">_xlfn.IFS(G4540&lt;3, "0–2 Years", G4540&lt;6, "3–5 Years", G4540&lt;9, "6–8 Years", G4540&lt;12, "9-11 Years", G4540&gt;=12, "12-14 Years")</f>
        <v>12-14 Years</v>
      </c>
      <c r="J4540" s="7">
        <v>4</v>
      </c>
      <c r="K4540" t="s">
        <v>20</v>
      </c>
      <c r="L4540" s="7">
        <v>129200</v>
      </c>
      <c r="M4540" s="7">
        <v>18500</v>
      </c>
      <c r="N4540" s="7">
        <v>147700</v>
      </c>
      <c r="O4540" t="s">
        <v>57</v>
      </c>
      <c r="P4540" s="3">
        <v>40932</v>
      </c>
      <c r="Q4540" t="s">
        <v>19</v>
      </c>
    </row>
    <row r="4541" spans="1:17" x14ac:dyDescent="0.35">
      <c r="A4541" t="s">
        <v>4593</v>
      </c>
      <c r="B4541" t="s">
        <v>16</v>
      </c>
      <c r="C4541">
        <v>55</v>
      </c>
      <c r="D4541" t="s">
        <v>38</v>
      </c>
      <c r="E4541" t="s">
        <v>61</v>
      </c>
      <c r="F4541" t="s">
        <v>28</v>
      </c>
      <c r="G4541">
        <v>3.4</v>
      </c>
      <c r="H4541">
        <v>0.6</v>
      </c>
      <c r="I4541" t="str" cm="1">
        <f t="array" ref="I4541">_xlfn.IFS(G4541&lt;3, "0–2 Years", G4541&lt;6, "3–5 Years", G4541&lt;9, "6–8 Years", G4541&lt;12, "9-11 Years", G4541&gt;=12, "12-14 Years")</f>
        <v>3–5 Years</v>
      </c>
      <c r="J4541">
        <v>2</v>
      </c>
      <c r="K4541" t="s">
        <v>20</v>
      </c>
      <c r="L4541">
        <v>90200</v>
      </c>
      <c r="M4541">
        <v>3900</v>
      </c>
      <c r="N4541">
        <v>94100</v>
      </c>
      <c r="O4541" t="s">
        <v>30</v>
      </c>
      <c r="P4541" s="3">
        <v>44778</v>
      </c>
      <c r="Q4541" t="s">
        <v>28</v>
      </c>
    </row>
    <row r="4542" spans="1:17" x14ac:dyDescent="0.35">
      <c r="A4542" t="s">
        <v>4594</v>
      </c>
      <c r="B4542" t="s">
        <v>23</v>
      </c>
      <c r="C4542">
        <v>23</v>
      </c>
      <c r="D4542" t="s">
        <v>34</v>
      </c>
      <c r="E4542" t="s">
        <v>59</v>
      </c>
      <c r="F4542" t="s">
        <v>62</v>
      </c>
      <c r="G4542">
        <v>9.1</v>
      </c>
      <c r="H4542">
        <v>4.4000000000000004</v>
      </c>
      <c r="I4542" t="str" cm="1">
        <f t="array" ref="I4542">_xlfn.IFS(G4542&lt;3, "0–2 Years", G4542&lt;6, "3–5 Years", G4542&lt;9, "6–8 Years", G4542&lt;12, "9-11 Years", G4542&gt;=12, "12-14 Years")</f>
        <v>9-11 Years</v>
      </c>
      <c r="J4542">
        <v>3</v>
      </c>
      <c r="K4542" t="s">
        <v>20</v>
      </c>
      <c r="L4542">
        <v>101100</v>
      </c>
      <c r="M4542">
        <v>7900</v>
      </c>
      <c r="N4542">
        <v>109000</v>
      </c>
      <c r="O4542" t="s">
        <v>57</v>
      </c>
      <c r="P4542" s="3">
        <v>42690</v>
      </c>
      <c r="Q4542" t="s">
        <v>62</v>
      </c>
    </row>
    <row r="4543" spans="1:17" x14ac:dyDescent="0.35">
      <c r="A4543" t="s">
        <v>4595</v>
      </c>
      <c r="B4543" t="s">
        <v>16</v>
      </c>
      <c r="C4543">
        <v>36</v>
      </c>
      <c r="D4543" t="s">
        <v>38</v>
      </c>
      <c r="E4543" t="s">
        <v>112</v>
      </c>
      <c r="F4543" t="s">
        <v>36</v>
      </c>
      <c r="G4543">
        <v>6.9</v>
      </c>
      <c r="H4543">
        <v>4.2</v>
      </c>
      <c r="I4543" t="str" cm="1">
        <f t="array" ref="I4543">_xlfn.IFS(G4543&lt;3, "0–2 Years", G4543&lt;6, "3–5 Years", G4543&lt;9, "6–8 Years", G4543&lt;12, "9-11 Years", G4543&gt;=12, "12-14 Years")</f>
        <v>6–8 Years</v>
      </c>
      <c r="J4543">
        <v>2</v>
      </c>
      <c r="K4543" t="s">
        <v>20</v>
      </c>
      <c r="L4543">
        <v>66300</v>
      </c>
      <c r="M4543">
        <v>6900</v>
      </c>
      <c r="N4543">
        <v>73200</v>
      </c>
      <c r="O4543" t="s">
        <v>21</v>
      </c>
      <c r="P4543" s="3">
        <v>43496</v>
      </c>
      <c r="Q4543" t="s">
        <v>36</v>
      </c>
    </row>
    <row r="4544" spans="1:17" x14ac:dyDescent="0.35">
      <c r="A4544" t="s">
        <v>4596</v>
      </c>
      <c r="B4544" t="s">
        <v>23</v>
      </c>
      <c r="C4544">
        <v>25</v>
      </c>
      <c r="D4544" t="s">
        <v>41</v>
      </c>
      <c r="E4544" t="s">
        <v>73</v>
      </c>
      <c r="F4544" t="s">
        <v>28</v>
      </c>
      <c r="G4544">
        <v>3.5</v>
      </c>
      <c r="H4544">
        <v>2.9</v>
      </c>
      <c r="I4544" t="str" cm="1">
        <f t="array" ref="I4544">_xlfn.IFS(G4544&lt;3, "0–2 Years", G4544&lt;6, "3–5 Years", G4544&lt;9, "6–8 Years", G4544&lt;12, "9-11 Years", G4544&gt;=12, "12-14 Years")</f>
        <v>3–5 Years</v>
      </c>
      <c r="J4544">
        <v>4</v>
      </c>
      <c r="K4544" t="s">
        <v>20</v>
      </c>
      <c r="L4544">
        <v>98500</v>
      </c>
      <c r="M4544">
        <v>4400</v>
      </c>
      <c r="N4544">
        <v>102900</v>
      </c>
      <c r="O4544" t="s">
        <v>30</v>
      </c>
      <c r="P4544" s="3">
        <v>44745</v>
      </c>
      <c r="Q4544" t="s">
        <v>28</v>
      </c>
    </row>
    <row r="4545" spans="1:17" x14ac:dyDescent="0.35">
      <c r="A4545" t="s">
        <v>4597</v>
      </c>
      <c r="B4545" t="s">
        <v>23</v>
      </c>
      <c r="C4545" s="7">
        <v>40</v>
      </c>
      <c r="D4545" t="s">
        <v>44</v>
      </c>
      <c r="E4545" t="s">
        <v>51</v>
      </c>
      <c r="F4545" t="s">
        <v>28</v>
      </c>
      <c r="G4545" s="9">
        <v>12.5</v>
      </c>
      <c r="H4545" s="7">
        <v>9.4</v>
      </c>
      <c r="I4545" t="str" cm="1">
        <f t="array" ref="I4545">_xlfn.IFS(G4545&lt;3, "0–2 Years", G4545&lt;6, "3–5 Years", G4545&lt;9, "6–8 Years", G4545&lt;12, "9-11 Years", G4545&gt;=12, "12-14 Years")</f>
        <v>12-14 Years</v>
      </c>
      <c r="J4545" s="7">
        <v>4</v>
      </c>
      <c r="K4545" t="s">
        <v>20</v>
      </c>
      <c r="L4545" s="7">
        <v>94500</v>
      </c>
      <c r="M4545" s="7">
        <v>8800</v>
      </c>
      <c r="N4545" s="7">
        <v>103300</v>
      </c>
      <c r="O4545" t="s">
        <v>30</v>
      </c>
      <c r="P4545" s="3">
        <v>41466</v>
      </c>
      <c r="Q4545" t="s">
        <v>28</v>
      </c>
    </row>
    <row r="4546" spans="1:17" x14ac:dyDescent="0.35">
      <c r="A4546" t="s">
        <v>4598</v>
      </c>
      <c r="B4546" t="s">
        <v>16</v>
      </c>
      <c r="C4546">
        <v>34</v>
      </c>
      <c r="D4546" t="s">
        <v>55</v>
      </c>
      <c r="E4546" t="s">
        <v>56</v>
      </c>
      <c r="F4546" t="s">
        <v>36</v>
      </c>
      <c r="G4546">
        <v>7.2</v>
      </c>
      <c r="H4546">
        <v>5</v>
      </c>
      <c r="I4546" t="str" cm="1">
        <f t="array" ref="I4546">_xlfn.IFS(G4546&lt;3, "0–2 Years", G4546&lt;6, "3–5 Years", G4546&lt;9, "6–8 Years", G4546&lt;12, "9-11 Years", G4546&gt;=12, "12-14 Years")</f>
        <v>6–8 Years</v>
      </c>
      <c r="J4546">
        <v>3</v>
      </c>
      <c r="K4546" t="s">
        <v>20</v>
      </c>
      <c r="L4546">
        <v>111000</v>
      </c>
      <c r="M4546">
        <v>11800</v>
      </c>
      <c r="N4546">
        <v>122800</v>
      </c>
      <c r="O4546" t="s">
        <v>57</v>
      </c>
      <c r="P4546" s="3">
        <v>43387</v>
      </c>
      <c r="Q4546" t="s">
        <v>36</v>
      </c>
    </row>
    <row r="4547" spans="1:17" x14ac:dyDescent="0.35">
      <c r="A4547" t="s">
        <v>4599</v>
      </c>
      <c r="B4547" t="s">
        <v>23</v>
      </c>
      <c r="C4547">
        <v>33</v>
      </c>
      <c r="D4547" t="s">
        <v>44</v>
      </c>
      <c r="E4547" t="s">
        <v>45</v>
      </c>
      <c r="F4547" t="s">
        <v>36</v>
      </c>
      <c r="G4547">
        <v>4.5</v>
      </c>
      <c r="H4547">
        <v>4.2</v>
      </c>
      <c r="I4547" t="str" cm="1">
        <f t="array" ref="I4547">_xlfn.IFS(G4547&lt;3, "0–2 Years", G4547&lt;6, "3–5 Years", G4547&lt;9, "6–8 Years", G4547&lt;12, "9-11 Years", G4547&gt;=12, "12-14 Years")</f>
        <v>3–5 Years</v>
      </c>
      <c r="J4547">
        <v>3</v>
      </c>
      <c r="K4547" t="s">
        <v>20</v>
      </c>
      <c r="L4547">
        <v>78100</v>
      </c>
      <c r="M4547">
        <v>10900</v>
      </c>
      <c r="N4547">
        <v>89000</v>
      </c>
      <c r="O4547" t="s">
        <v>21</v>
      </c>
      <c r="P4547" s="3">
        <v>44392</v>
      </c>
      <c r="Q4547" t="s">
        <v>36</v>
      </c>
    </row>
    <row r="4548" spans="1:17" x14ac:dyDescent="0.35">
      <c r="A4548" t="s">
        <v>4600</v>
      </c>
      <c r="B4548" t="s">
        <v>23</v>
      </c>
      <c r="C4548" s="7">
        <v>40</v>
      </c>
      <c r="D4548" t="s">
        <v>44</v>
      </c>
      <c r="E4548" t="s">
        <v>51</v>
      </c>
      <c r="F4548" t="s">
        <v>36</v>
      </c>
      <c r="G4548" s="9">
        <v>12.8</v>
      </c>
      <c r="H4548" s="7">
        <v>10.3</v>
      </c>
      <c r="I4548" t="str" cm="1">
        <f t="array" ref="I4548">_xlfn.IFS(G4548&lt;3, "0–2 Years", G4548&lt;6, "3–5 Years", G4548&lt;9, "6–8 Years", G4548&lt;12, "9-11 Years", G4548&gt;=12, "12-14 Years")</f>
        <v>12-14 Years</v>
      </c>
      <c r="J4548" s="7">
        <v>4</v>
      </c>
      <c r="K4548" t="s">
        <v>20</v>
      </c>
      <c r="L4548" s="7">
        <v>110700</v>
      </c>
      <c r="M4548" s="7">
        <v>15600</v>
      </c>
      <c r="N4548" s="7">
        <v>126300</v>
      </c>
      <c r="O4548" t="s">
        <v>57</v>
      </c>
      <c r="P4548" s="3">
        <v>41349</v>
      </c>
      <c r="Q4548" t="s">
        <v>36</v>
      </c>
    </row>
    <row r="4549" spans="1:17" x14ac:dyDescent="0.35">
      <c r="A4549" t="s">
        <v>4601</v>
      </c>
      <c r="B4549" t="s">
        <v>16</v>
      </c>
      <c r="C4549">
        <v>47</v>
      </c>
      <c r="D4549" t="s">
        <v>17</v>
      </c>
      <c r="E4549" t="s">
        <v>32</v>
      </c>
      <c r="F4549" t="s">
        <v>19</v>
      </c>
      <c r="G4549">
        <v>4.7</v>
      </c>
      <c r="H4549">
        <v>4.3</v>
      </c>
      <c r="I4549" t="str" cm="1">
        <f t="array" ref="I4549">_xlfn.IFS(G4549&lt;3, "0–2 Years", G4549&lt;6, "3–5 Years", G4549&lt;9, "6–8 Years", G4549&lt;12, "9-11 Years", G4549&gt;=12, "12-14 Years")</f>
        <v>3–5 Years</v>
      </c>
      <c r="J4549">
        <v>3</v>
      </c>
      <c r="K4549" t="s">
        <v>20</v>
      </c>
      <c r="L4549">
        <v>61500</v>
      </c>
      <c r="M4549">
        <v>6200</v>
      </c>
      <c r="N4549">
        <v>67700</v>
      </c>
      <c r="O4549" t="s">
        <v>25</v>
      </c>
      <c r="P4549" s="3">
        <v>44316</v>
      </c>
      <c r="Q4549" t="s">
        <v>19</v>
      </c>
    </row>
    <row r="4550" spans="1:17" x14ac:dyDescent="0.35">
      <c r="A4550" t="s">
        <v>4602</v>
      </c>
      <c r="B4550" t="s">
        <v>23</v>
      </c>
      <c r="C4550">
        <v>21</v>
      </c>
      <c r="D4550" t="s">
        <v>44</v>
      </c>
      <c r="E4550" t="s">
        <v>45</v>
      </c>
      <c r="F4550" t="s">
        <v>36</v>
      </c>
      <c r="G4550">
        <v>9.4</v>
      </c>
      <c r="H4550">
        <v>6.4</v>
      </c>
      <c r="I4550" t="str" cm="1">
        <f t="array" ref="I4550">_xlfn.IFS(G4550&lt;3, "0–2 Years", G4550&lt;6, "3–5 Years", G4550&lt;9, "6–8 Years", G4550&lt;12, "9-11 Years", G4550&gt;=12, "12-14 Years")</f>
        <v>9-11 Years</v>
      </c>
      <c r="J4550">
        <v>2</v>
      </c>
      <c r="K4550" t="s">
        <v>69</v>
      </c>
      <c r="L4550">
        <v>75800</v>
      </c>
      <c r="M4550">
        <v>5600</v>
      </c>
      <c r="N4550">
        <v>81400</v>
      </c>
      <c r="O4550" t="s">
        <v>21</v>
      </c>
      <c r="P4550" s="3">
        <v>42588</v>
      </c>
      <c r="Q4550" t="s">
        <v>36</v>
      </c>
    </row>
    <row r="4551" spans="1:17" x14ac:dyDescent="0.35">
      <c r="A4551" t="s">
        <v>4603</v>
      </c>
      <c r="B4551" t="s">
        <v>23</v>
      </c>
      <c r="C4551" s="7">
        <v>44</v>
      </c>
      <c r="D4551" t="s">
        <v>55</v>
      </c>
      <c r="E4551" t="s">
        <v>56</v>
      </c>
      <c r="F4551" t="s">
        <v>62</v>
      </c>
      <c r="G4551" s="9">
        <v>13.9</v>
      </c>
      <c r="H4551" s="7">
        <v>9.6</v>
      </c>
      <c r="I4551" t="str" cm="1">
        <f t="array" ref="I4551">_xlfn.IFS(G4551&lt;3, "0–2 Years", G4551&lt;6, "3–5 Years", G4551&lt;9, "6–8 Years", G4551&lt;12, "9-11 Years", G4551&gt;=12, "12-14 Years")</f>
        <v>12-14 Years</v>
      </c>
      <c r="J4551" s="7">
        <v>3</v>
      </c>
      <c r="K4551" t="s">
        <v>20</v>
      </c>
      <c r="L4551" s="7">
        <v>101500</v>
      </c>
      <c r="M4551" s="7">
        <v>18500</v>
      </c>
      <c r="N4551" s="7">
        <v>120000</v>
      </c>
      <c r="O4551" t="s">
        <v>57</v>
      </c>
      <c r="P4551" s="3">
        <v>40956</v>
      </c>
      <c r="Q4551" t="s">
        <v>62</v>
      </c>
    </row>
    <row r="4552" spans="1:17" x14ac:dyDescent="0.35">
      <c r="A4552" t="s">
        <v>4604</v>
      </c>
      <c r="B4552" t="s">
        <v>16</v>
      </c>
      <c r="C4552">
        <v>45</v>
      </c>
      <c r="D4552" t="s">
        <v>44</v>
      </c>
      <c r="E4552" t="s">
        <v>81</v>
      </c>
      <c r="F4552" t="s">
        <v>62</v>
      </c>
      <c r="G4552">
        <v>8.8000000000000007</v>
      </c>
      <c r="H4552">
        <v>5.8</v>
      </c>
      <c r="I4552" t="str" cm="1">
        <f t="array" ref="I4552">_xlfn.IFS(G4552&lt;3, "0–2 Years", G4552&lt;6, "3–5 Years", G4552&lt;9, "6–8 Years", G4552&lt;12, "9-11 Years", G4552&gt;=12, "12-14 Years")</f>
        <v>6–8 Years</v>
      </c>
      <c r="J4552">
        <v>3</v>
      </c>
      <c r="K4552" t="s">
        <v>24</v>
      </c>
      <c r="L4552">
        <v>68600</v>
      </c>
      <c r="M4552">
        <v>6300</v>
      </c>
      <c r="N4552">
        <v>74900</v>
      </c>
      <c r="O4552" t="s">
        <v>21</v>
      </c>
      <c r="P4552" s="3">
        <v>42797</v>
      </c>
      <c r="Q4552" t="s">
        <v>62</v>
      </c>
    </row>
    <row r="4553" spans="1:17" x14ac:dyDescent="0.35">
      <c r="A4553" t="s">
        <v>4605</v>
      </c>
      <c r="B4553" t="s">
        <v>23</v>
      </c>
      <c r="C4553" s="7">
        <v>50</v>
      </c>
      <c r="D4553" t="s">
        <v>38</v>
      </c>
      <c r="E4553" t="s">
        <v>39</v>
      </c>
      <c r="F4553" t="s">
        <v>28</v>
      </c>
      <c r="G4553" s="9">
        <v>12.7</v>
      </c>
      <c r="H4553" s="7">
        <v>8.4</v>
      </c>
      <c r="I4553" t="str" cm="1">
        <f t="array" ref="I4553">_xlfn.IFS(G4553&lt;3, "0–2 Years", G4553&lt;6, "3–5 Years", G4553&lt;9, "6–8 Years", G4553&lt;12, "9-11 Years", G4553&gt;=12, "12-14 Years")</f>
        <v>12-14 Years</v>
      </c>
      <c r="J4553" s="7">
        <v>5</v>
      </c>
      <c r="K4553" t="s">
        <v>24</v>
      </c>
      <c r="L4553" s="7">
        <v>52600</v>
      </c>
      <c r="M4553" s="7">
        <v>5400</v>
      </c>
      <c r="N4553" s="7">
        <v>58000</v>
      </c>
      <c r="O4553" t="s">
        <v>25</v>
      </c>
      <c r="P4553" s="3">
        <v>41390</v>
      </c>
      <c r="Q4553" t="s">
        <v>28</v>
      </c>
    </row>
    <row r="4554" spans="1:17" x14ac:dyDescent="0.35">
      <c r="A4554" t="s">
        <v>4606</v>
      </c>
      <c r="B4554" t="s">
        <v>16</v>
      </c>
      <c r="C4554">
        <v>21</v>
      </c>
      <c r="D4554" t="s">
        <v>41</v>
      </c>
      <c r="E4554" t="s">
        <v>67</v>
      </c>
      <c r="F4554" t="s">
        <v>28</v>
      </c>
      <c r="G4554">
        <v>3.4</v>
      </c>
      <c r="H4554">
        <v>2.2999999999999998</v>
      </c>
      <c r="I4554" t="str" cm="1">
        <f t="array" ref="I4554">_xlfn.IFS(G4554&lt;3, "0–2 Years", G4554&lt;6, "3–5 Years", G4554&lt;9, "6–8 Years", G4554&lt;12, "9-11 Years", G4554&gt;=12, "12-14 Years")</f>
        <v>3–5 Years</v>
      </c>
      <c r="J4554">
        <v>2</v>
      </c>
      <c r="K4554" t="s">
        <v>20</v>
      </c>
      <c r="L4554">
        <v>61500</v>
      </c>
      <c r="M4554">
        <v>2800</v>
      </c>
      <c r="N4554">
        <v>64300</v>
      </c>
      <c r="O4554" t="s">
        <v>25</v>
      </c>
      <c r="P4554" s="3">
        <v>44770</v>
      </c>
      <c r="Q4554" t="s">
        <v>28</v>
      </c>
    </row>
    <row r="4555" spans="1:17" x14ac:dyDescent="0.35">
      <c r="A4555" t="s">
        <v>4607</v>
      </c>
      <c r="B4555" t="s">
        <v>23</v>
      </c>
      <c r="C4555">
        <v>38</v>
      </c>
      <c r="D4555" t="s">
        <v>38</v>
      </c>
      <c r="E4555" t="s">
        <v>39</v>
      </c>
      <c r="F4555" t="s">
        <v>28</v>
      </c>
      <c r="G4555">
        <v>1.5</v>
      </c>
      <c r="H4555">
        <v>0.5</v>
      </c>
      <c r="I4555" t="str" cm="1">
        <f t="array" ref="I4555">_xlfn.IFS(G4555&lt;3, "0–2 Years", G4555&lt;6, "3–5 Years", G4555&lt;9, "6–8 Years", G4555&lt;12, "9-11 Years", G4555&gt;=12, "12-14 Years")</f>
        <v>0–2 Years</v>
      </c>
      <c r="J4555">
        <v>2</v>
      </c>
      <c r="K4555" t="s">
        <v>20</v>
      </c>
      <c r="L4555">
        <v>68000</v>
      </c>
      <c r="M4555">
        <v>5900</v>
      </c>
      <c r="N4555">
        <v>73900</v>
      </c>
      <c r="O4555" t="s">
        <v>21</v>
      </c>
      <c r="P4555" s="3">
        <v>45470</v>
      </c>
      <c r="Q4555" t="s">
        <v>28</v>
      </c>
    </row>
    <row r="4556" spans="1:17" x14ac:dyDescent="0.35">
      <c r="A4556" t="s">
        <v>4608</v>
      </c>
      <c r="B4556" t="s">
        <v>16</v>
      </c>
      <c r="C4556">
        <v>29</v>
      </c>
      <c r="D4556" t="s">
        <v>17</v>
      </c>
      <c r="E4556" t="s">
        <v>27</v>
      </c>
      <c r="F4556" t="s">
        <v>36</v>
      </c>
      <c r="G4556">
        <v>4.3</v>
      </c>
      <c r="H4556">
        <v>4.3</v>
      </c>
      <c r="I4556" t="str" cm="1">
        <f t="array" ref="I4556">_xlfn.IFS(G4556&lt;3, "0–2 Years", G4556&lt;6, "3–5 Years", G4556&lt;9, "6–8 Years", G4556&lt;12, "9-11 Years", G4556&gt;=12, "12-14 Years")</f>
        <v>3–5 Years</v>
      </c>
      <c r="J4556">
        <v>5</v>
      </c>
      <c r="K4556" t="s">
        <v>24</v>
      </c>
      <c r="L4556">
        <v>49400</v>
      </c>
      <c r="M4556">
        <v>5900</v>
      </c>
      <c r="N4556">
        <v>55300</v>
      </c>
      <c r="O4556" t="s">
        <v>65</v>
      </c>
      <c r="P4556" s="3">
        <v>44452</v>
      </c>
      <c r="Q4556" t="s">
        <v>36</v>
      </c>
    </row>
    <row r="4557" spans="1:17" x14ac:dyDescent="0.35">
      <c r="A4557" t="s">
        <v>4609</v>
      </c>
      <c r="B4557" t="s">
        <v>23</v>
      </c>
      <c r="C4557" s="7">
        <v>34</v>
      </c>
      <c r="D4557" t="s">
        <v>17</v>
      </c>
      <c r="E4557" t="s">
        <v>27</v>
      </c>
      <c r="F4557" t="s">
        <v>28</v>
      </c>
      <c r="G4557" s="9">
        <v>13</v>
      </c>
      <c r="H4557" s="7">
        <v>8</v>
      </c>
      <c r="I4557" t="str" cm="1">
        <f t="array" ref="I4557">_xlfn.IFS(G4557&lt;3, "0–2 Years", G4557&lt;6, "3–5 Years", G4557&lt;9, "6–8 Years", G4557&lt;12, "9-11 Years", G4557&gt;=12, "12-14 Years")</f>
        <v>12-14 Years</v>
      </c>
      <c r="J4557" s="7">
        <v>3</v>
      </c>
      <c r="K4557" t="s">
        <v>20</v>
      </c>
      <c r="L4557" s="7">
        <v>76900</v>
      </c>
      <c r="M4557" s="7">
        <v>7000</v>
      </c>
      <c r="N4557" s="7">
        <v>83900</v>
      </c>
      <c r="O4557" t="s">
        <v>21</v>
      </c>
      <c r="P4557" s="3">
        <v>41289</v>
      </c>
      <c r="Q4557" t="s">
        <v>28</v>
      </c>
    </row>
    <row r="4558" spans="1:17" x14ac:dyDescent="0.35">
      <c r="A4558" t="s">
        <v>4610</v>
      </c>
      <c r="B4558" t="s">
        <v>23</v>
      </c>
      <c r="C4558">
        <v>41</v>
      </c>
      <c r="D4558" t="s">
        <v>38</v>
      </c>
      <c r="E4558" t="s">
        <v>61</v>
      </c>
      <c r="F4558" t="s">
        <v>36</v>
      </c>
      <c r="G4558">
        <v>5.7</v>
      </c>
      <c r="H4558">
        <v>4.0999999999999996</v>
      </c>
      <c r="I4558" t="str" cm="1">
        <f t="array" ref="I4558">_xlfn.IFS(G4558&lt;3, "0–2 Years", G4558&lt;6, "3–5 Years", G4558&lt;9, "6–8 Years", G4558&lt;12, "9-11 Years", G4558&gt;=12, "12-14 Years")</f>
        <v>3–5 Years</v>
      </c>
      <c r="J4558">
        <v>3</v>
      </c>
      <c r="K4558" t="s">
        <v>20</v>
      </c>
      <c r="L4558">
        <v>121800</v>
      </c>
      <c r="M4558">
        <v>4900</v>
      </c>
      <c r="N4558">
        <v>126700</v>
      </c>
      <c r="O4558" t="s">
        <v>57</v>
      </c>
      <c r="P4558" s="3">
        <v>43942</v>
      </c>
      <c r="Q4558" t="s">
        <v>36</v>
      </c>
    </row>
    <row r="4559" spans="1:17" x14ac:dyDescent="0.35">
      <c r="A4559" t="s">
        <v>4611</v>
      </c>
      <c r="B4559" t="s">
        <v>23</v>
      </c>
      <c r="C4559">
        <v>38</v>
      </c>
      <c r="D4559" t="s">
        <v>34</v>
      </c>
      <c r="E4559" t="s">
        <v>47</v>
      </c>
      <c r="F4559" t="s">
        <v>28</v>
      </c>
      <c r="G4559">
        <v>6.6</v>
      </c>
      <c r="H4559">
        <v>4.8</v>
      </c>
      <c r="I4559" t="str" cm="1">
        <f t="array" ref="I4559">_xlfn.IFS(G4559&lt;3, "0–2 Years", G4559&lt;6, "3–5 Years", G4559&lt;9, "6–8 Years", G4559&lt;12, "9-11 Years", G4559&gt;=12, "12-14 Years")</f>
        <v>6–8 Years</v>
      </c>
      <c r="J4559">
        <v>3</v>
      </c>
      <c r="K4559" t="s">
        <v>20</v>
      </c>
      <c r="L4559">
        <v>73700</v>
      </c>
      <c r="M4559">
        <v>7600</v>
      </c>
      <c r="N4559">
        <v>81300</v>
      </c>
      <c r="O4559" t="s">
        <v>21</v>
      </c>
      <c r="P4559" s="3">
        <v>43620</v>
      </c>
      <c r="Q4559" t="s">
        <v>28</v>
      </c>
    </row>
    <row r="4560" spans="1:17" x14ac:dyDescent="0.35">
      <c r="A4560" t="s">
        <v>4612</v>
      </c>
      <c r="B4560" t="s">
        <v>16</v>
      </c>
      <c r="C4560" s="7">
        <v>26</v>
      </c>
      <c r="D4560" t="s">
        <v>17</v>
      </c>
      <c r="E4560" t="s">
        <v>18</v>
      </c>
      <c r="F4560" t="s">
        <v>36</v>
      </c>
      <c r="G4560" s="9">
        <v>13.9</v>
      </c>
      <c r="H4560" s="7">
        <v>8.6999999999999993</v>
      </c>
      <c r="I4560" t="str" cm="1">
        <f t="array" ref="I4560">_xlfn.IFS(G4560&lt;3, "0–2 Years", G4560&lt;6, "3–5 Years", G4560&lt;9, "6–8 Years", G4560&lt;12, "9-11 Years", G4560&gt;=12, "12-14 Years")</f>
        <v>12-14 Years</v>
      </c>
      <c r="J4560" s="7">
        <v>4</v>
      </c>
      <c r="K4560" t="s">
        <v>20</v>
      </c>
      <c r="L4560" s="7">
        <v>100400</v>
      </c>
      <c r="M4560" s="7">
        <v>10400</v>
      </c>
      <c r="N4560" s="7">
        <v>110800</v>
      </c>
      <c r="O4560" t="s">
        <v>57</v>
      </c>
      <c r="P4560" s="3">
        <v>40937</v>
      </c>
      <c r="Q4560" t="s">
        <v>36</v>
      </c>
    </row>
    <row r="4561" spans="1:17" x14ac:dyDescent="0.35">
      <c r="A4561" t="s">
        <v>4613</v>
      </c>
      <c r="B4561" t="s">
        <v>23</v>
      </c>
      <c r="C4561">
        <v>24</v>
      </c>
      <c r="D4561" t="s">
        <v>55</v>
      </c>
      <c r="E4561" t="s">
        <v>79</v>
      </c>
      <c r="F4561" t="s">
        <v>28</v>
      </c>
      <c r="G4561">
        <v>10.6</v>
      </c>
      <c r="H4561">
        <v>8.1999999999999993</v>
      </c>
      <c r="I4561" t="str" cm="1">
        <f t="array" ref="I4561">_xlfn.IFS(G4561&lt;3, "0–2 Years", G4561&lt;6, "3–5 Years", G4561&lt;9, "6–8 Years", G4561&lt;12, "9-11 Years", G4561&gt;=12, "12-14 Years")</f>
        <v>9-11 Years</v>
      </c>
      <c r="J4561">
        <v>4</v>
      </c>
      <c r="K4561" t="s">
        <v>20</v>
      </c>
      <c r="L4561">
        <v>77300</v>
      </c>
      <c r="M4561">
        <v>6400</v>
      </c>
      <c r="N4561">
        <v>83700</v>
      </c>
      <c r="O4561" t="s">
        <v>21</v>
      </c>
      <c r="P4561" s="3">
        <v>42164</v>
      </c>
      <c r="Q4561" t="s">
        <v>28</v>
      </c>
    </row>
    <row r="4562" spans="1:17" x14ac:dyDescent="0.35">
      <c r="A4562" t="s">
        <v>4614</v>
      </c>
      <c r="B4562" t="s">
        <v>23</v>
      </c>
      <c r="C4562">
        <v>31</v>
      </c>
      <c r="D4562" t="s">
        <v>55</v>
      </c>
      <c r="E4562" t="s">
        <v>79</v>
      </c>
      <c r="F4562" t="s">
        <v>28</v>
      </c>
      <c r="G4562">
        <v>9</v>
      </c>
      <c r="H4562">
        <v>6.8</v>
      </c>
      <c r="I4562" t="str" cm="1">
        <f t="array" ref="I4562">_xlfn.IFS(G4562&lt;3, "0–2 Years", G4562&lt;6, "3–5 Years", G4562&lt;9, "6–8 Years", G4562&lt;12, "9-11 Years", G4562&gt;=12, "12-14 Years")</f>
        <v>9-11 Years</v>
      </c>
      <c r="J4562">
        <v>3</v>
      </c>
      <c r="K4562" t="s">
        <v>20</v>
      </c>
      <c r="L4562">
        <v>63000</v>
      </c>
      <c r="M4562">
        <v>9000</v>
      </c>
      <c r="N4562">
        <v>72000</v>
      </c>
      <c r="O4562" t="s">
        <v>25</v>
      </c>
      <c r="P4562" s="3">
        <v>42745</v>
      </c>
      <c r="Q4562" t="s">
        <v>28</v>
      </c>
    </row>
    <row r="4563" spans="1:17" x14ac:dyDescent="0.35">
      <c r="A4563" t="s">
        <v>4615</v>
      </c>
      <c r="B4563" t="s">
        <v>23</v>
      </c>
      <c r="C4563">
        <v>44</v>
      </c>
      <c r="D4563" t="s">
        <v>55</v>
      </c>
      <c r="E4563" t="s">
        <v>56</v>
      </c>
      <c r="F4563" t="s">
        <v>28</v>
      </c>
      <c r="G4563">
        <v>7.4</v>
      </c>
      <c r="H4563">
        <v>6.3</v>
      </c>
      <c r="I4563" t="str" cm="1">
        <f t="array" ref="I4563">_xlfn.IFS(G4563&lt;3, "0–2 Years", G4563&lt;6, "3–5 Years", G4563&lt;9, "6–8 Years", G4563&lt;12, "9-11 Years", G4563&gt;=12, "12-14 Years")</f>
        <v>6–8 Years</v>
      </c>
      <c r="J4563">
        <v>3</v>
      </c>
      <c r="K4563" t="s">
        <v>20</v>
      </c>
      <c r="L4563">
        <v>100700</v>
      </c>
      <c r="M4563">
        <v>7600</v>
      </c>
      <c r="N4563">
        <v>108300</v>
      </c>
      <c r="O4563" t="s">
        <v>57</v>
      </c>
      <c r="P4563" s="3">
        <v>43303</v>
      </c>
      <c r="Q4563" t="s">
        <v>28</v>
      </c>
    </row>
    <row r="4564" spans="1:17" x14ac:dyDescent="0.35">
      <c r="A4564" t="s">
        <v>4616</v>
      </c>
      <c r="B4564" t="s">
        <v>16</v>
      </c>
      <c r="C4564">
        <v>38</v>
      </c>
      <c r="D4564" t="s">
        <v>55</v>
      </c>
      <c r="E4564" t="s">
        <v>92</v>
      </c>
      <c r="F4564" t="s">
        <v>28</v>
      </c>
      <c r="G4564">
        <v>7.7</v>
      </c>
      <c r="H4564">
        <v>4.3</v>
      </c>
      <c r="I4564" t="str" cm="1">
        <f t="array" ref="I4564">_xlfn.IFS(G4564&lt;3, "0–2 Years", G4564&lt;6, "3–5 Years", G4564&lt;9, "6–8 Years", G4564&lt;12, "9-11 Years", G4564&gt;=12, "12-14 Years")</f>
        <v>6–8 Years</v>
      </c>
      <c r="J4564">
        <v>4</v>
      </c>
      <c r="K4564" t="s">
        <v>20</v>
      </c>
      <c r="L4564">
        <v>101700</v>
      </c>
      <c r="M4564">
        <v>21000</v>
      </c>
      <c r="N4564">
        <v>122700</v>
      </c>
      <c r="O4564" t="s">
        <v>57</v>
      </c>
      <c r="P4564" s="3">
        <v>43200</v>
      </c>
      <c r="Q4564" t="s">
        <v>28</v>
      </c>
    </row>
    <row r="4565" spans="1:17" x14ac:dyDescent="0.35">
      <c r="A4565" t="s">
        <v>4617</v>
      </c>
      <c r="B4565" t="s">
        <v>16</v>
      </c>
      <c r="C4565">
        <v>39</v>
      </c>
      <c r="D4565" t="s">
        <v>38</v>
      </c>
      <c r="E4565" t="s">
        <v>112</v>
      </c>
      <c r="F4565" t="s">
        <v>28</v>
      </c>
      <c r="G4565">
        <v>1.8</v>
      </c>
      <c r="H4565">
        <v>1.8</v>
      </c>
      <c r="I4565" t="str" cm="1">
        <f t="array" ref="I4565">_xlfn.IFS(G4565&lt;3, "0–2 Years", G4565&lt;6, "3–5 Years", G4565&lt;9, "6–8 Years", G4565&lt;12, "9-11 Years", G4565&gt;=12, "12-14 Years")</f>
        <v>0–2 Years</v>
      </c>
      <c r="J4565">
        <v>3</v>
      </c>
      <c r="K4565" t="s">
        <v>20</v>
      </c>
      <c r="L4565">
        <v>66100</v>
      </c>
      <c r="M4565">
        <v>5000</v>
      </c>
      <c r="N4565">
        <v>71100</v>
      </c>
      <c r="O4565" t="s">
        <v>21</v>
      </c>
      <c r="P4565" s="3">
        <v>45373</v>
      </c>
      <c r="Q4565" t="s">
        <v>28</v>
      </c>
    </row>
    <row r="4566" spans="1:17" x14ac:dyDescent="0.35">
      <c r="A4566" t="s">
        <v>4618</v>
      </c>
      <c r="B4566" t="s">
        <v>16</v>
      </c>
      <c r="C4566" s="7">
        <v>25</v>
      </c>
      <c r="D4566" t="s">
        <v>55</v>
      </c>
      <c r="E4566" t="s">
        <v>79</v>
      </c>
      <c r="F4566" t="s">
        <v>28</v>
      </c>
      <c r="G4566" s="9">
        <v>12.6</v>
      </c>
      <c r="H4566" s="7">
        <v>5.7</v>
      </c>
      <c r="I4566" t="str" cm="1">
        <f t="array" ref="I4566">_xlfn.IFS(G4566&lt;3, "0–2 Years", G4566&lt;6, "3–5 Years", G4566&lt;9, "6–8 Years", G4566&lt;12, "9-11 Years", G4566&gt;=12, "12-14 Years")</f>
        <v>12-14 Years</v>
      </c>
      <c r="J4566" s="7">
        <v>3</v>
      </c>
      <c r="K4566" t="s">
        <v>20</v>
      </c>
      <c r="L4566" s="7">
        <v>75600</v>
      </c>
      <c r="M4566" s="7">
        <v>14800</v>
      </c>
      <c r="N4566" s="7">
        <v>90400</v>
      </c>
      <c r="O4566" t="s">
        <v>21</v>
      </c>
      <c r="P4566" s="3">
        <v>41438</v>
      </c>
      <c r="Q4566" t="s">
        <v>28</v>
      </c>
    </row>
    <row r="4567" spans="1:17" x14ac:dyDescent="0.35">
      <c r="A4567" t="s">
        <v>4619</v>
      </c>
      <c r="B4567" t="s">
        <v>23</v>
      </c>
      <c r="C4567">
        <v>46</v>
      </c>
      <c r="D4567" t="s">
        <v>41</v>
      </c>
      <c r="E4567" t="s">
        <v>73</v>
      </c>
      <c r="F4567" t="s">
        <v>28</v>
      </c>
      <c r="G4567">
        <v>10.4</v>
      </c>
      <c r="H4567">
        <v>6.6</v>
      </c>
      <c r="I4567" t="str" cm="1">
        <f t="array" ref="I4567">_xlfn.IFS(G4567&lt;3, "0–2 Years", G4567&lt;6, "3–5 Years", G4567&lt;9, "6–8 Years", G4567&lt;12, "9-11 Years", G4567&gt;=12, "12-14 Years")</f>
        <v>9-11 Years</v>
      </c>
      <c r="J4567">
        <v>4</v>
      </c>
      <c r="K4567" t="s">
        <v>20</v>
      </c>
      <c r="L4567">
        <v>116400</v>
      </c>
      <c r="M4567">
        <v>10000</v>
      </c>
      <c r="N4567">
        <v>126400</v>
      </c>
      <c r="O4567" t="s">
        <v>57</v>
      </c>
      <c r="P4567" s="3">
        <v>42224</v>
      </c>
      <c r="Q4567" t="s">
        <v>28</v>
      </c>
    </row>
    <row r="4568" spans="1:17" x14ac:dyDescent="0.35">
      <c r="A4568" t="s">
        <v>4620</v>
      </c>
      <c r="B4568" t="s">
        <v>23</v>
      </c>
      <c r="C4568">
        <v>38</v>
      </c>
      <c r="D4568" t="s">
        <v>41</v>
      </c>
      <c r="E4568" t="s">
        <v>42</v>
      </c>
      <c r="F4568" t="s">
        <v>28</v>
      </c>
      <c r="G4568">
        <v>3.1</v>
      </c>
      <c r="H4568">
        <v>1.4</v>
      </c>
      <c r="I4568" t="str" cm="1">
        <f t="array" ref="I4568">_xlfn.IFS(G4568&lt;3, "0–2 Years", G4568&lt;6, "3–5 Years", G4568&lt;9, "6–8 Years", G4568&lt;12, "9-11 Years", G4568&gt;=12, "12-14 Years")</f>
        <v>3–5 Years</v>
      </c>
      <c r="J4568">
        <v>3</v>
      </c>
      <c r="K4568" t="s">
        <v>20</v>
      </c>
      <c r="L4568">
        <v>70600</v>
      </c>
      <c r="M4568">
        <v>5600</v>
      </c>
      <c r="N4568">
        <v>76200</v>
      </c>
      <c r="O4568" t="s">
        <v>21</v>
      </c>
      <c r="P4568" s="3">
        <v>44894</v>
      </c>
      <c r="Q4568" t="s">
        <v>28</v>
      </c>
    </row>
    <row r="4569" spans="1:17" x14ac:dyDescent="0.35">
      <c r="A4569" t="s">
        <v>4621</v>
      </c>
      <c r="B4569" t="s">
        <v>16</v>
      </c>
      <c r="C4569">
        <v>39</v>
      </c>
      <c r="D4569" t="s">
        <v>44</v>
      </c>
      <c r="E4569" t="s">
        <v>76</v>
      </c>
      <c r="F4569" t="s">
        <v>28</v>
      </c>
      <c r="G4569">
        <v>8.1</v>
      </c>
      <c r="H4569">
        <v>6.5</v>
      </c>
      <c r="I4569" t="str" cm="1">
        <f t="array" ref="I4569">_xlfn.IFS(G4569&lt;3, "0–2 Years", G4569&lt;6, "3–5 Years", G4569&lt;9, "6–8 Years", G4569&lt;12, "9-11 Years", G4569&gt;=12, "12-14 Years")</f>
        <v>6–8 Years</v>
      </c>
      <c r="J4569">
        <v>2</v>
      </c>
      <c r="K4569" t="s">
        <v>20</v>
      </c>
      <c r="L4569">
        <v>113000</v>
      </c>
      <c r="M4569">
        <v>11000</v>
      </c>
      <c r="N4569">
        <v>124000</v>
      </c>
      <c r="O4569" t="s">
        <v>57</v>
      </c>
      <c r="P4569" s="3">
        <v>43065</v>
      </c>
      <c r="Q4569" t="s">
        <v>28</v>
      </c>
    </row>
    <row r="4570" spans="1:17" x14ac:dyDescent="0.35">
      <c r="A4570" t="s">
        <v>4622</v>
      </c>
      <c r="B4570" t="s">
        <v>23</v>
      </c>
      <c r="C4570">
        <v>27</v>
      </c>
      <c r="D4570" t="s">
        <v>34</v>
      </c>
      <c r="E4570" t="s">
        <v>59</v>
      </c>
      <c r="F4570" t="s">
        <v>36</v>
      </c>
      <c r="G4570">
        <v>11.5</v>
      </c>
      <c r="H4570">
        <v>6.7</v>
      </c>
      <c r="I4570" t="str" cm="1">
        <f t="array" ref="I4570">_xlfn.IFS(G4570&lt;3, "0–2 Years", G4570&lt;6, "3–5 Years", G4570&lt;9, "6–8 Years", G4570&lt;12, "9-11 Years", G4570&gt;=12, "12-14 Years")</f>
        <v>9-11 Years</v>
      </c>
      <c r="J4570">
        <v>3</v>
      </c>
      <c r="K4570" t="s">
        <v>20</v>
      </c>
      <c r="L4570">
        <v>110600</v>
      </c>
      <c r="M4570">
        <v>9200</v>
      </c>
      <c r="N4570">
        <v>119800</v>
      </c>
      <c r="O4570" t="s">
        <v>57</v>
      </c>
      <c r="P4570" s="3">
        <v>41824</v>
      </c>
      <c r="Q4570" t="s">
        <v>36</v>
      </c>
    </row>
    <row r="4571" spans="1:17" x14ac:dyDescent="0.35">
      <c r="A4571" t="s">
        <v>4623</v>
      </c>
      <c r="B4571" t="s">
        <v>16</v>
      </c>
      <c r="C4571">
        <v>51</v>
      </c>
      <c r="D4571" t="s">
        <v>17</v>
      </c>
      <c r="E4571" t="s">
        <v>18</v>
      </c>
      <c r="F4571" t="s">
        <v>28</v>
      </c>
      <c r="G4571">
        <v>11</v>
      </c>
      <c r="H4571">
        <v>8.3000000000000007</v>
      </c>
      <c r="I4571" t="str" cm="1">
        <f t="array" ref="I4571">_xlfn.IFS(G4571&lt;3, "0–2 Years", G4571&lt;6, "3–5 Years", G4571&lt;9, "6–8 Years", G4571&lt;12, "9-11 Years", G4571&gt;=12, "12-14 Years")</f>
        <v>9-11 Years</v>
      </c>
      <c r="J4571">
        <v>3</v>
      </c>
      <c r="K4571" t="s">
        <v>20</v>
      </c>
      <c r="L4571">
        <v>102100</v>
      </c>
      <c r="M4571">
        <v>7100</v>
      </c>
      <c r="N4571">
        <v>109200</v>
      </c>
      <c r="O4571" t="s">
        <v>57</v>
      </c>
      <c r="P4571" s="3">
        <v>42017</v>
      </c>
      <c r="Q4571" t="s">
        <v>28</v>
      </c>
    </row>
    <row r="4572" spans="1:17" x14ac:dyDescent="0.35">
      <c r="A4572" t="s">
        <v>4624</v>
      </c>
      <c r="B4572" t="s">
        <v>23</v>
      </c>
      <c r="C4572">
        <v>46</v>
      </c>
      <c r="D4572" t="s">
        <v>44</v>
      </c>
      <c r="E4572" t="s">
        <v>81</v>
      </c>
      <c r="F4572" t="s">
        <v>62</v>
      </c>
      <c r="G4572">
        <v>10.6</v>
      </c>
      <c r="H4572">
        <v>4.5</v>
      </c>
      <c r="I4572" t="str" cm="1">
        <f t="array" ref="I4572">_xlfn.IFS(G4572&lt;3, "0–2 Years", G4572&lt;6, "3–5 Years", G4572&lt;9, "6–8 Years", G4572&lt;12, "9-11 Years", G4572&gt;=12, "12-14 Years")</f>
        <v>9-11 Years</v>
      </c>
      <c r="J4572">
        <v>3</v>
      </c>
      <c r="K4572" t="s">
        <v>20</v>
      </c>
      <c r="L4572">
        <v>101800</v>
      </c>
      <c r="M4572">
        <v>14900</v>
      </c>
      <c r="N4572">
        <v>116700</v>
      </c>
      <c r="O4572" t="s">
        <v>57</v>
      </c>
      <c r="P4572" s="3">
        <v>42159</v>
      </c>
      <c r="Q4572" t="s">
        <v>62</v>
      </c>
    </row>
    <row r="4573" spans="1:17" x14ac:dyDescent="0.35">
      <c r="A4573" t="s">
        <v>4625</v>
      </c>
      <c r="B4573" t="s">
        <v>23</v>
      </c>
      <c r="C4573">
        <v>35</v>
      </c>
      <c r="D4573" t="s">
        <v>44</v>
      </c>
      <c r="E4573" t="s">
        <v>76</v>
      </c>
      <c r="F4573" t="s">
        <v>28</v>
      </c>
      <c r="G4573">
        <v>7.9</v>
      </c>
      <c r="H4573">
        <v>2.8</v>
      </c>
      <c r="I4573" t="str" cm="1">
        <f t="array" ref="I4573">_xlfn.IFS(G4573&lt;3, "0–2 Years", G4573&lt;6, "3–5 Years", G4573&lt;9, "6–8 Years", G4573&lt;12, "9-11 Years", G4573&gt;=12, "12-14 Years")</f>
        <v>6–8 Years</v>
      </c>
      <c r="J4573">
        <v>3</v>
      </c>
      <c r="K4573" t="s">
        <v>20</v>
      </c>
      <c r="L4573">
        <v>108200</v>
      </c>
      <c r="M4573">
        <v>6100</v>
      </c>
      <c r="N4573">
        <v>114300</v>
      </c>
      <c r="O4573" t="s">
        <v>57</v>
      </c>
      <c r="P4573" s="3">
        <v>43123</v>
      </c>
      <c r="Q4573" t="s">
        <v>28</v>
      </c>
    </row>
    <row r="4574" spans="1:17" x14ac:dyDescent="0.35">
      <c r="A4574" t="s">
        <v>4626</v>
      </c>
      <c r="B4574" t="s">
        <v>16</v>
      </c>
      <c r="C4574" s="7">
        <v>45</v>
      </c>
      <c r="D4574" t="s">
        <v>17</v>
      </c>
      <c r="E4574" t="s">
        <v>32</v>
      </c>
      <c r="F4574" t="s">
        <v>19</v>
      </c>
      <c r="G4574" s="9">
        <v>12.9</v>
      </c>
      <c r="H4574" s="7">
        <v>6.7</v>
      </c>
      <c r="I4574" t="str" cm="1">
        <f t="array" ref="I4574">_xlfn.IFS(G4574&lt;3, "0–2 Years", G4574&lt;6, "3–5 Years", G4574&lt;9, "6–8 Years", G4574&lt;12, "9-11 Years", G4574&gt;=12, "12-14 Years")</f>
        <v>12-14 Years</v>
      </c>
      <c r="J4574" s="7">
        <v>3</v>
      </c>
      <c r="K4574" t="s">
        <v>20</v>
      </c>
      <c r="L4574" s="7">
        <v>70500</v>
      </c>
      <c r="M4574" s="7">
        <v>5000</v>
      </c>
      <c r="N4574" s="7">
        <v>75500</v>
      </c>
      <c r="O4574" t="s">
        <v>21</v>
      </c>
      <c r="P4574" s="3">
        <v>41318</v>
      </c>
      <c r="Q4574" t="s">
        <v>19</v>
      </c>
    </row>
    <row r="4575" spans="1:17" x14ac:dyDescent="0.35">
      <c r="A4575" t="s">
        <v>4627</v>
      </c>
      <c r="B4575" t="s">
        <v>23</v>
      </c>
      <c r="C4575">
        <v>36</v>
      </c>
      <c r="D4575" t="s">
        <v>55</v>
      </c>
      <c r="E4575" t="s">
        <v>92</v>
      </c>
      <c r="F4575" t="s">
        <v>36</v>
      </c>
      <c r="G4575">
        <v>11.8</v>
      </c>
      <c r="H4575">
        <v>7.8</v>
      </c>
      <c r="I4575" t="str" cm="1">
        <f t="array" ref="I4575">_xlfn.IFS(G4575&lt;3, "0–2 Years", G4575&lt;6, "3–5 Years", G4575&lt;9, "6–8 Years", G4575&lt;12, "9-11 Years", G4575&gt;=12, "12-14 Years")</f>
        <v>9-11 Years</v>
      </c>
      <c r="J4575">
        <v>1</v>
      </c>
      <c r="K4575" t="s">
        <v>20</v>
      </c>
      <c r="L4575">
        <v>99900</v>
      </c>
      <c r="M4575">
        <v>10600</v>
      </c>
      <c r="N4575">
        <v>110500</v>
      </c>
      <c r="O4575" t="s">
        <v>30</v>
      </c>
      <c r="P4575" s="3">
        <v>41700</v>
      </c>
      <c r="Q4575" t="s">
        <v>36</v>
      </c>
    </row>
    <row r="4576" spans="1:17" x14ac:dyDescent="0.35">
      <c r="A4576" t="s">
        <v>4628</v>
      </c>
      <c r="B4576" t="s">
        <v>16</v>
      </c>
      <c r="C4576">
        <v>35</v>
      </c>
      <c r="D4576" t="s">
        <v>44</v>
      </c>
      <c r="E4576" t="s">
        <v>81</v>
      </c>
      <c r="F4576" t="s">
        <v>28</v>
      </c>
      <c r="G4576">
        <v>9.5</v>
      </c>
      <c r="H4576">
        <v>5.0999999999999996</v>
      </c>
      <c r="I4576" t="str" cm="1">
        <f t="array" ref="I4576">_xlfn.IFS(G4576&lt;3, "0–2 Years", G4576&lt;6, "3–5 Years", G4576&lt;9, "6–8 Years", G4576&lt;12, "9-11 Years", G4576&gt;=12, "12-14 Years")</f>
        <v>9-11 Years</v>
      </c>
      <c r="J4576">
        <v>3</v>
      </c>
      <c r="K4576" t="s">
        <v>24</v>
      </c>
      <c r="L4576">
        <v>57700</v>
      </c>
      <c r="M4576">
        <v>5500</v>
      </c>
      <c r="N4576">
        <v>63200</v>
      </c>
      <c r="O4576" t="s">
        <v>25</v>
      </c>
      <c r="P4576" s="3">
        <v>42542</v>
      </c>
      <c r="Q4576" t="s">
        <v>28</v>
      </c>
    </row>
    <row r="4577" spans="1:17" x14ac:dyDescent="0.35">
      <c r="A4577" t="s">
        <v>4629</v>
      </c>
      <c r="B4577" t="s">
        <v>16</v>
      </c>
      <c r="C4577">
        <v>25</v>
      </c>
      <c r="D4577" t="s">
        <v>34</v>
      </c>
      <c r="E4577" t="s">
        <v>59</v>
      </c>
      <c r="F4577" t="s">
        <v>28</v>
      </c>
      <c r="G4577">
        <v>6.9</v>
      </c>
      <c r="H4577">
        <v>3.8</v>
      </c>
      <c r="I4577" t="str" cm="1">
        <f t="array" ref="I4577">_xlfn.IFS(G4577&lt;3, "0–2 Years", G4577&lt;6, "3–5 Years", G4577&lt;9, "6–8 Years", G4577&lt;12, "9-11 Years", G4577&gt;=12, "12-14 Years")</f>
        <v>6–8 Years</v>
      </c>
      <c r="J4577">
        <v>4</v>
      </c>
      <c r="K4577" t="s">
        <v>20</v>
      </c>
      <c r="L4577">
        <v>92800</v>
      </c>
      <c r="M4577">
        <v>6000</v>
      </c>
      <c r="N4577">
        <v>98800</v>
      </c>
      <c r="O4577" t="s">
        <v>30</v>
      </c>
      <c r="P4577" s="3">
        <v>43516</v>
      </c>
      <c r="Q4577" t="s">
        <v>28</v>
      </c>
    </row>
    <row r="4578" spans="1:17" x14ac:dyDescent="0.35">
      <c r="A4578" t="s">
        <v>4630</v>
      </c>
      <c r="B4578" t="s">
        <v>23</v>
      </c>
      <c r="C4578">
        <v>29</v>
      </c>
      <c r="D4578" t="s">
        <v>41</v>
      </c>
      <c r="E4578" t="s">
        <v>73</v>
      </c>
      <c r="F4578" t="s">
        <v>28</v>
      </c>
      <c r="G4578">
        <v>6.7</v>
      </c>
      <c r="H4578">
        <v>4.7</v>
      </c>
      <c r="I4578" t="str" cm="1">
        <f t="array" ref="I4578">_xlfn.IFS(G4578&lt;3, "0–2 Years", G4578&lt;6, "3–5 Years", G4578&lt;9, "6–8 Years", G4578&lt;12, "9-11 Years", G4578&gt;=12, "12-14 Years")</f>
        <v>6–8 Years</v>
      </c>
      <c r="J4578">
        <v>3</v>
      </c>
      <c r="K4578" t="s">
        <v>24</v>
      </c>
      <c r="L4578">
        <v>62400</v>
      </c>
      <c r="M4578">
        <v>2600</v>
      </c>
      <c r="N4578">
        <v>65000</v>
      </c>
      <c r="O4578" t="s">
        <v>25</v>
      </c>
      <c r="P4578" s="3">
        <v>43576</v>
      </c>
      <c r="Q4578" t="s">
        <v>28</v>
      </c>
    </row>
    <row r="4579" spans="1:17" x14ac:dyDescent="0.35">
      <c r="A4579" t="s">
        <v>4631</v>
      </c>
      <c r="B4579" t="s">
        <v>16</v>
      </c>
      <c r="C4579">
        <v>52</v>
      </c>
      <c r="D4579" t="s">
        <v>38</v>
      </c>
      <c r="E4579" t="s">
        <v>112</v>
      </c>
      <c r="F4579" t="s">
        <v>28</v>
      </c>
      <c r="G4579">
        <v>6.3</v>
      </c>
      <c r="H4579">
        <v>5.2</v>
      </c>
      <c r="I4579" t="str" cm="1">
        <f t="array" ref="I4579">_xlfn.IFS(G4579&lt;3, "0–2 Years", G4579&lt;6, "3–5 Years", G4579&lt;9, "6–8 Years", G4579&lt;12, "9-11 Years", G4579&gt;=12, "12-14 Years")</f>
        <v>6–8 Years</v>
      </c>
      <c r="J4579">
        <v>4</v>
      </c>
      <c r="K4579" t="s">
        <v>20</v>
      </c>
      <c r="L4579">
        <v>68600</v>
      </c>
      <c r="M4579">
        <v>5800</v>
      </c>
      <c r="N4579">
        <v>74400</v>
      </c>
      <c r="O4579" t="s">
        <v>21</v>
      </c>
      <c r="P4579" s="3">
        <v>43721</v>
      </c>
      <c r="Q4579" t="s">
        <v>28</v>
      </c>
    </row>
    <row r="4580" spans="1:17" x14ac:dyDescent="0.35">
      <c r="A4580" t="s">
        <v>4632</v>
      </c>
      <c r="B4580" t="s">
        <v>23</v>
      </c>
      <c r="C4580">
        <v>36</v>
      </c>
      <c r="D4580" t="s">
        <v>55</v>
      </c>
      <c r="E4580" t="s">
        <v>79</v>
      </c>
      <c r="F4580" t="s">
        <v>36</v>
      </c>
      <c r="G4580">
        <v>1.9</v>
      </c>
      <c r="H4580">
        <v>0.6</v>
      </c>
      <c r="I4580" t="str" cm="1">
        <f t="array" ref="I4580">_xlfn.IFS(G4580&lt;3, "0–2 Years", G4580&lt;6, "3–5 Years", G4580&lt;9, "6–8 Years", G4580&lt;12, "9-11 Years", G4580&gt;=12, "12-14 Years")</f>
        <v>0–2 Years</v>
      </c>
      <c r="J4580">
        <v>5</v>
      </c>
      <c r="K4580" t="s">
        <v>20</v>
      </c>
      <c r="L4580">
        <v>68100</v>
      </c>
      <c r="M4580">
        <v>4800</v>
      </c>
      <c r="N4580">
        <v>72900</v>
      </c>
      <c r="O4580" t="s">
        <v>21</v>
      </c>
      <c r="P4580" s="3">
        <v>45332</v>
      </c>
      <c r="Q4580" t="s">
        <v>36</v>
      </c>
    </row>
    <row r="4581" spans="1:17" x14ac:dyDescent="0.35">
      <c r="A4581" t="s">
        <v>4633</v>
      </c>
      <c r="B4581" t="s">
        <v>16</v>
      </c>
      <c r="C4581">
        <v>34</v>
      </c>
      <c r="D4581" t="s">
        <v>34</v>
      </c>
      <c r="E4581" t="s">
        <v>47</v>
      </c>
      <c r="F4581" t="s">
        <v>28</v>
      </c>
      <c r="G4581">
        <v>5.9</v>
      </c>
      <c r="H4581">
        <v>2.7</v>
      </c>
      <c r="I4581" t="str" cm="1">
        <f t="array" ref="I4581">_xlfn.IFS(G4581&lt;3, "0–2 Years", G4581&lt;6, "3–5 Years", G4581&lt;9, "6–8 Years", G4581&lt;12, "9-11 Years", G4581&gt;=12, "12-14 Years")</f>
        <v>3–5 Years</v>
      </c>
      <c r="J4581">
        <v>4</v>
      </c>
      <c r="K4581" t="s">
        <v>20</v>
      </c>
      <c r="L4581">
        <v>86400</v>
      </c>
      <c r="M4581">
        <v>4300</v>
      </c>
      <c r="N4581">
        <v>90700</v>
      </c>
      <c r="O4581" t="s">
        <v>30</v>
      </c>
      <c r="P4581" s="3">
        <v>43880</v>
      </c>
      <c r="Q4581" t="s">
        <v>28</v>
      </c>
    </row>
    <row r="4582" spans="1:17" x14ac:dyDescent="0.35">
      <c r="A4582" t="s">
        <v>4634</v>
      </c>
      <c r="B4582" t="s">
        <v>16</v>
      </c>
      <c r="C4582">
        <v>35</v>
      </c>
      <c r="D4582" t="s">
        <v>44</v>
      </c>
      <c r="E4582" t="s">
        <v>51</v>
      </c>
      <c r="F4582" t="s">
        <v>36</v>
      </c>
      <c r="G4582">
        <v>6.8</v>
      </c>
      <c r="H4582">
        <v>3.9</v>
      </c>
      <c r="I4582" t="str" cm="1">
        <f t="array" ref="I4582">_xlfn.IFS(G4582&lt;3, "0–2 Years", G4582&lt;6, "3–5 Years", G4582&lt;9, "6–8 Years", G4582&lt;12, "9-11 Years", G4582&gt;=12, "12-14 Years")</f>
        <v>6–8 Years</v>
      </c>
      <c r="J4582">
        <v>3</v>
      </c>
      <c r="K4582" t="s">
        <v>20</v>
      </c>
      <c r="L4582">
        <v>88800</v>
      </c>
      <c r="M4582">
        <v>7500</v>
      </c>
      <c r="N4582">
        <v>96300</v>
      </c>
      <c r="O4582" t="s">
        <v>30</v>
      </c>
      <c r="P4582" s="3">
        <v>43554</v>
      </c>
      <c r="Q4582" t="s">
        <v>36</v>
      </c>
    </row>
    <row r="4583" spans="1:17" x14ac:dyDescent="0.35">
      <c r="A4583" t="s">
        <v>4635</v>
      </c>
      <c r="B4583" t="s">
        <v>16</v>
      </c>
      <c r="C4583">
        <v>25</v>
      </c>
      <c r="D4583" t="s">
        <v>41</v>
      </c>
      <c r="E4583" t="s">
        <v>67</v>
      </c>
      <c r="F4583" t="s">
        <v>28</v>
      </c>
      <c r="G4583">
        <v>3.7</v>
      </c>
      <c r="H4583">
        <v>3.1</v>
      </c>
      <c r="I4583" t="str" cm="1">
        <f t="array" ref="I4583">_xlfn.IFS(G4583&lt;3, "0–2 Years", G4583&lt;6, "3–5 Years", G4583&lt;9, "6–8 Years", G4583&lt;12, "9-11 Years", G4583&gt;=12, "12-14 Years")</f>
        <v>3–5 Years</v>
      </c>
      <c r="J4583">
        <v>4</v>
      </c>
      <c r="K4583" t="s">
        <v>20</v>
      </c>
      <c r="L4583">
        <v>65000</v>
      </c>
      <c r="M4583">
        <v>2700</v>
      </c>
      <c r="N4583">
        <v>67700</v>
      </c>
      <c r="O4583" t="s">
        <v>21</v>
      </c>
      <c r="P4583" s="3">
        <v>44669</v>
      </c>
      <c r="Q4583" t="s">
        <v>28</v>
      </c>
    </row>
    <row r="4584" spans="1:17" x14ac:dyDescent="0.35">
      <c r="A4584" t="s">
        <v>4636</v>
      </c>
      <c r="B4584" t="s">
        <v>16</v>
      </c>
      <c r="C4584">
        <v>43</v>
      </c>
      <c r="D4584" t="s">
        <v>38</v>
      </c>
      <c r="E4584" t="s">
        <v>61</v>
      </c>
      <c r="F4584" t="s">
        <v>36</v>
      </c>
      <c r="G4584">
        <v>10.9</v>
      </c>
      <c r="H4584">
        <v>5.5</v>
      </c>
      <c r="I4584" t="str" cm="1">
        <f t="array" ref="I4584">_xlfn.IFS(G4584&lt;3, "0–2 Years", G4584&lt;6, "3–5 Years", G4584&lt;9, "6–8 Years", G4584&lt;12, "9-11 Years", G4584&gt;=12, "12-14 Years")</f>
        <v>9-11 Years</v>
      </c>
      <c r="J4584">
        <v>3</v>
      </c>
      <c r="K4584" t="s">
        <v>20</v>
      </c>
      <c r="L4584">
        <v>120100</v>
      </c>
      <c r="M4584">
        <v>12300</v>
      </c>
      <c r="N4584">
        <v>132400</v>
      </c>
      <c r="O4584" t="s">
        <v>57</v>
      </c>
      <c r="P4584" s="3">
        <v>42034</v>
      </c>
      <c r="Q4584" t="s">
        <v>36</v>
      </c>
    </row>
    <row r="4585" spans="1:17" x14ac:dyDescent="0.35">
      <c r="A4585" t="s">
        <v>4637</v>
      </c>
      <c r="B4585" t="s">
        <v>16</v>
      </c>
      <c r="C4585">
        <v>31</v>
      </c>
      <c r="D4585" t="s">
        <v>34</v>
      </c>
      <c r="E4585" t="s">
        <v>35</v>
      </c>
      <c r="F4585" t="s">
        <v>36</v>
      </c>
      <c r="G4585">
        <v>9.1999999999999993</v>
      </c>
      <c r="H4585">
        <v>7.8</v>
      </c>
      <c r="I4585" t="str" cm="1">
        <f t="array" ref="I4585">_xlfn.IFS(G4585&lt;3, "0–2 Years", G4585&lt;6, "3–5 Years", G4585&lt;9, "6–8 Years", G4585&lt;12, "9-11 Years", G4585&gt;=12, "12-14 Years")</f>
        <v>9-11 Years</v>
      </c>
      <c r="J4585">
        <v>5</v>
      </c>
      <c r="K4585" t="s">
        <v>20</v>
      </c>
      <c r="L4585">
        <v>83100</v>
      </c>
      <c r="M4585">
        <v>7000</v>
      </c>
      <c r="N4585">
        <v>90100</v>
      </c>
      <c r="O4585" t="s">
        <v>30</v>
      </c>
      <c r="P4585" s="3">
        <v>42675</v>
      </c>
      <c r="Q4585" t="s">
        <v>36</v>
      </c>
    </row>
    <row r="4586" spans="1:17" x14ac:dyDescent="0.35">
      <c r="A4586" t="s">
        <v>4638</v>
      </c>
      <c r="B4586" t="s">
        <v>16</v>
      </c>
      <c r="C4586">
        <v>41</v>
      </c>
      <c r="D4586" t="s">
        <v>41</v>
      </c>
      <c r="E4586" t="s">
        <v>42</v>
      </c>
      <c r="F4586" t="s">
        <v>36</v>
      </c>
      <c r="G4586">
        <v>7.6</v>
      </c>
      <c r="H4586">
        <v>3.6</v>
      </c>
      <c r="I4586" t="str" cm="1">
        <f t="array" ref="I4586">_xlfn.IFS(G4586&lt;3, "0–2 Years", G4586&lt;6, "3–5 Years", G4586&lt;9, "6–8 Years", G4586&lt;12, "9-11 Years", G4586&gt;=12, "12-14 Years")</f>
        <v>6–8 Years</v>
      </c>
      <c r="J4586">
        <v>3</v>
      </c>
      <c r="K4586" t="s">
        <v>20</v>
      </c>
      <c r="L4586">
        <v>83200</v>
      </c>
      <c r="M4586">
        <v>3800</v>
      </c>
      <c r="N4586">
        <v>87000</v>
      </c>
      <c r="O4586" t="s">
        <v>30</v>
      </c>
      <c r="P4586" s="3">
        <v>43249</v>
      </c>
      <c r="Q4586" t="s">
        <v>36</v>
      </c>
    </row>
    <row r="4587" spans="1:17" x14ac:dyDescent="0.35">
      <c r="A4587" t="s">
        <v>4639</v>
      </c>
      <c r="B4587" t="s">
        <v>23</v>
      </c>
      <c r="C4587">
        <v>47</v>
      </c>
      <c r="D4587" t="s">
        <v>34</v>
      </c>
      <c r="E4587" t="s">
        <v>47</v>
      </c>
      <c r="F4587" t="s">
        <v>36</v>
      </c>
      <c r="G4587">
        <v>6</v>
      </c>
      <c r="H4587">
        <v>5.5</v>
      </c>
      <c r="I4587" t="str" cm="1">
        <f t="array" ref="I4587">_xlfn.IFS(G4587&lt;3, "0–2 Years", G4587&lt;6, "3–5 Years", G4587&lt;9, "6–8 Years", G4587&lt;12, "9-11 Years", G4587&gt;=12, "12-14 Years")</f>
        <v>6–8 Years</v>
      </c>
      <c r="J4587">
        <v>3</v>
      </c>
      <c r="K4587" t="s">
        <v>20</v>
      </c>
      <c r="L4587">
        <v>85500</v>
      </c>
      <c r="M4587">
        <v>6700</v>
      </c>
      <c r="N4587">
        <v>92200</v>
      </c>
      <c r="O4587" t="s">
        <v>30</v>
      </c>
      <c r="P4587" s="3">
        <v>43829</v>
      </c>
      <c r="Q4587" t="s">
        <v>36</v>
      </c>
    </row>
    <row r="4588" spans="1:17" x14ac:dyDescent="0.35">
      <c r="A4588" t="s">
        <v>4640</v>
      </c>
      <c r="B4588" t="s">
        <v>16</v>
      </c>
      <c r="C4588">
        <v>31</v>
      </c>
      <c r="D4588" t="s">
        <v>55</v>
      </c>
      <c r="E4588" t="s">
        <v>92</v>
      </c>
      <c r="F4588" t="s">
        <v>28</v>
      </c>
      <c r="G4588">
        <v>11.3</v>
      </c>
      <c r="H4588">
        <v>7.5</v>
      </c>
      <c r="I4588" t="str" cm="1">
        <f t="array" ref="I4588">_xlfn.IFS(G4588&lt;3, "0–2 Years", G4588&lt;6, "3–5 Years", G4588&lt;9, "6–8 Years", G4588&lt;12, "9-11 Years", G4588&gt;=12, "12-14 Years")</f>
        <v>9-11 Years</v>
      </c>
      <c r="J4588">
        <v>4</v>
      </c>
      <c r="K4588" t="s">
        <v>20</v>
      </c>
      <c r="L4588">
        <v>96500</v>
      </c>
      <c r="M4588">
        <v>15500</v>
      </c>
      <c r="N4588">
        <v>112000</v>
      </c>
      <c r="O4588" t="s">
        <v>30</v>
      </c>
      <c r="P4588" s="3">
        <v>41904</v>
      </c>
      <c r="Q4588" t="s">
        <v>28</v>
      </c>
    </row>
    <row r="4589" spans="1:17" x14ac:dyDescent="0.35">
      <c r="A4589" t="s">
        <v>4641</v>
      </c>
      <c r="B4589" t="s">
        <v>16</v>
      </c>
      <c r="C4589">
        <v>37</v>
      </c>
      <c r="D4589" t="s">
        <v>55</v>
      </c>
      <c r="E4589" t="s">
        <v>56</v>
      </c>
      <c r="F4589" t="s">
        <v>36</v>
      </c>
      <c r="G4589">
        <v>6.3</v>
      </c>
      <c r="H4589">
        <v>3.1</v>
      </c>
      <c r="I4589" t="str" cm="1">
        <f t="array" ref="I4589">_xlfn.IFS(G4589&lt;3, "0–2 Years", G4589&lt;6, "3–5 Years", G4589&lt;9, "6–8 Years", G4589&lt;12, "9-11 Years", G4589&gt;=12, "12-14 Years")</f>
        <v>6–8 Years</v>
      </c>
      <c r="J4589">
        <v>3</v>
      </c>
      <c r="K4589" t="s">
        <v>69</v>
      </c>
      <c r="L4589">
        <v>82700</v>
      </c>
      <c r="M4589">
        <v>11800</v>
      </c>
      <c r="N4589">
        <v>94500</v>
      </c>
      <c r="O4589" t="s">
        <v>30</v>
      </c>
      <c r="P4589" s="3">
        <v>43710</v>
      </c>
      <c r="Q4589" t="s">
        <v>36</v>
      </c>
    </row>
    <row r="4590" spans="1:17" x14ac:dyDescent="0.35">
      <c r="A4590" t="s">
        <v>4642</v>
      </c>
      <c r="B4590" t="s">
        <v>23</v>
      </c>
      <c r="C4590">
        <v>44</v>
      </c>
      <c r="D4590" t="s">
        <v>17</v>
      </c>
      <c r="E4590" t="s">
        <v>27</v>
      </c>
      <c r="F4590" t="s">
        <v>19</v>
      </c>
      <c r="G4590">
        <v>11</v>
      </c>
      <c r="H4590">
        <v>6.8</v>
      </c>
      <c r="I4590" t="str" cm="1">
        <f t="array" ref="I4590">_xlfn.IFS(G4590&lt;3, "0–2 Years", G4590&lt;6, "3–5 Years", G4590&lt;9, "6–8 Years", G4590&lt;12, "9-11 Years", G4590&gt;=12, "12-14 Years")</f>
        <v>9-11 Years</v>
      </c>
      <c r="J4590">
        <v>4</v>
      </c>
      <c r="K4590" t="s">
        <v>69</v>
      </c>
      <c r="L4590">
        <v>64800</v>
      </c>
      <c r="M4590">
        <v>7600</v>
      </c>
      <c r="N4590">
        <v>72400</v>
      </c>
      <c r="O4590" t="s">
        <v>25</v>
      </c>
      <c r="P4590" s="3">
        <v>42010</v>
      </c>
      <c r="Q4590" t="s">
        <v>19</v>
      </c>
    </row>
    <row r="4591" spans="1:17" x14ac:dyDescent="0.35">
      <c r="A4591" t="s">
        <v>4643</v>
      </c>
      <c r="B4591" t="s">
        <v>16</v>
      </c>
      <c r="C4591">
        <v>35</v>
      </c>
      <c r="D4591" t="s">
        <v>41</v>
      </c>
      <c r="E4591" t="s">
        <v>42</v>
      </c>
      <c r="F4591" t="s">
        <v>36</v>
      </c>
      <c r="G4591">
        <v>9.6</v>
      </c>
      <c r="H4591">
        <v>4.4000000000000004</v>
      </c>
      <c r="I4591" t="str" cm="1">
        <f t="array" ref="I4591">_xlfn.IFS(G4591&lt;3, "0–2 Years", G4591&lt;6, "3–5 Years", G4591&lt;9, "6–8 Years", G4591&lt;12, "9-11 Years", G4591&gt;=12, "12-14 Years")</f>
        <v>9-11 Years</v>
      </c>
      <c r="J4591">
        <v>4</v>
      </c>
      <c r="K4591" t="s">
        <v>20</v>
      </c>
      <c r="L4591">
        <v>82800</v>
      </c>
      <c r="M4591">
        <v>4700</v>
      </c>
      <c r="N4591">
        <v>87500</v>
      </c>
      <c r="O4591" t="s">
        <v>30</v>
      </c>
      <c r="P4591" s="3">
        <v>42508</v>
      </c>
      <c r="Q4591" t="s">
        <v>36</v>
      </c>
    </row>
    <row r="4592" spans="1:17" x14ac:dyDescent="0.35">
      <c r="A4592" t="s">
        <v>4644</v>
      </c>
      <c r="B4592" t="s">
        <v>23</v>
      </c>
      <c r="C4592" s="7">
        <v>41</v>
      </c>
      <c r="D4592" t="s">
        <v>34</v>
      </c>
      <c r="E4592" t="s">
        <v>35</v>
      </c>
      <c r="F4592" t="s">
        <v>28</v>
      </c>
      <c r="G4592" s="9">
        <v>12.1</v>
      </c>
      <c r="H4592" s="7">
        <v>8.5</v>
      </c>
      <c r="I4592" t="str" cm="1">
        <f t="array" ref="I4592">_xlfn.IFS(G4592&lt;3, "0–2 Years", G4592&lt;6, "3–5 Years", G4592&lt;9, "6–8 Years", G4592&lt;12, "9-11 Years", G4592&gt;=12, "12-14 Years")</f>
        <v>12-14 Years</v>
      </c>
      <c r="J4592" s="7">
        <v>5</v>
      </c>
      <c r="K4592" t="s">
        <v>69</v>
      </c>
      <c r="L4592" s="7">
        <v>58100</v>
      </c>
      <c r="M4592" s="7">
        <v>6200</v>
      </c>
      <c r="N4592" s="7">
        <v>64300</v>
      </c>
      <c r="O4592" t="s">
        <v>25</v>
      </c>
      <c r="P4592" s="3">
        <v>41609</v>
      </c>
      <c r="Q4592" t="s">
        <v>28</v>
      </c>
    </row>
    <row r="4593" spans="1:17" x14ac:dyDescent="0.35">
      <c r="A4593" t="s">
        <v>4645</v>
      </c>
      <c r="B4593" t="s">
        <v>16</v>
      </c>
      <c r="C4593">
        <v>35</v>
      </c>
      <c r="D4593" t="s">
        <v>41</v>
      </c>
      <c r="E4593" t="s">
        <v>73</v>
      </c>
      <c r="F4593" t="s">
        <v>36</v>
      </c>
      <c r="G4593">
        <v>2.2999999999999998</v>
      </c>
      <c r="H4593">
        <v>0</v>
      </c>
      <c r="I4593" t="str" cm="1">
        <f t="array" ref="I4593">_xlfn.IFS(G4593&lt;3, "0–2 Years", G4593&lt;6, "3–5 Years", G4593&lt;9, "6–8 Years", G4593&lt;12, "9-11 Years", G4593&gt;=12, "12-14 Years")</f>
        <v>0–2 Years</v>
      </c>
      <c r="J4593">
        <v>4</v>
      </c>
      <c r="K4593" t="s">
        <v>24</v>
      </c>
      <c r="L4593">
        <v>59600</v>
      </c>
      <c r="M4593">
        <v>4800</v>
      </c>
      <c r="N4593">
        <v>64400</v>
      </c>
      <c r="O4593" t="s">
        <v>25</v>
      </c>
      <c r="P4593" s="3">
        <v>45179</v>
      </c>
      <c r="Q4593" t="s">
        <v>36</v>
      </c>
    </row>
    <row r="4594" spans="1:17" x14ac:dyDescent="0.35">
      <c r="A4594" t="s">
        <v>4646</v>
      </c>
      <c r="B4594" t="s">
        <v>16</v>
      </c>
      <c r="C4594">
        <v>33</v>
      </c>
      <c r="D4594" t="s">
        <v>38</v>
      </c>
      <c r="E4594" t="s">
        <v>61</v>
      </c>
      <c r="F4594" t="s">
        <v>19</v>
      </c>
      <c r="G4594">
        <v>1.5</v>
      </c>
      <c r="H4594">
        <v>0.6</v>
      </c>
      <c r="I4594" t="str" cm="1">
        <f t="array" ref="I4594">_xlfn.IFS(G4594&lt;3, "0–2 Years", G4594&lt;6, "3–5 Years", G4594&lt;9, "6–8 Years", G4594&lt;12, "9-11 Years", G4594&gt;=12, "12-14 Years")</f>
        <v>0–2 Years</v>
      </c>
      <c r="J4594">
        <v>4</v>
      </c>
      <c r="K4594" t="s">
        <v>20</v>
      </c>
      <c r="L4594">
        <v>86400</v>
      </c>
      <c r="M4594">
        <v>7300</v>
      </c>
      <c r="N4594">
        <v>93700</v>
      </c>
      <c r="O4594" t="s">
        <v>30</v>
      </c>
      <c r="P4594" s="3">
        <v>45487</v>
      </c>
      <c r="Q4594" t="s">
        <v>19</v>
      </c>
    </row>
    <row r="4595" spans="1:17" x14ac:dyDescent="0.35">
      <c r="A4595" t="s">
        <v>4647</v>
      </c>
      <c r="B4595" t="s">
        <v>16</v>
      </c>
      <c r="C4595" s="7">
        <v>42</v>
      </c>
      <c r="D4595" t="s">
        <v>34</v>
      </c>
      <c r="E4595" t="s">
        <v>35</v>
      </c>
      <c r="F4595" t="s">
        <v>36</v>
      </c>
      <c r="G4595" s="9">
        <v>14</v>
      </c>
      <c r="H4595" s="7">
        <v>7.9</v>
      </c>
      <c r="I4595" t="str" cm="1">
        <f t="array" ref="I4595">_xlfn.IFS(G4595&lt;3, "0–2 Years", G4595&lt;6, "3–5 Years", G4595&lt;9, "6–8 Years", G4595&lt;12, "9-11 Years", G4595&gt;=12, "12-14 Years")</f>
        <v>12-14 Years</v>
      </c>
      <c r="J4595" s="7">
        <v>4</v>
      </c>
      <c r="K4595" t="s">
        <v>20</v>
      </c>
      <c r="L4595" s="7">
        <v>88600</v>
      </c>
      <c r="M4595" s="7">
        <v>10500</v>
      </c>
      <c r="N4595" s="7">
        <v>99100</v>
      </c>
      <c r="O4595" t="s">
        <v>30</v>
      </c>
      <c r="P4595" s="3">
        <v>40925</v>
      </c>
      <c r="Q4595" t="s">
        <v>36</v>
      </c>
    </row>
    <row r="4596" spans="1:17" x14ac:dyDescent="0.35">
      <c r="A4596" t="s">
        <v>4648</v>
      </c>
      <c r="B4596" t="s">
        <v>23</v>
      </c>
      <c r="C4596">
        <v>30</v>
      </c>
      <c r="D4596" t="s">
        <v>41</v>
      </c>
      <c r="E4596" t="s">
        <v>73</v>
      </c>
      <c r="F4596" t="s">
        <v>28</v>
      </c>
      <c r="G4596">
        <v>2.8</v>
      </c>
      <c r="H4596">
        <v>2.8</v>
      </c>
      <c r="I4596" t="str" cm="1">
        <f t="array" ref="I4596">_xlfn.IFS(G4596&lt;3, "0–2 Years", G4596&lt;6, "3–5 Years", G4596&lt;9, "6–8 Years", G4596&lt;12, "9-11 Years", G4596&gt;=12, "12-14 Years")</f>
        <v>0–2 Years</v>
      </c>
      <c r="J4596">
        <v>4</v>
      </c>
      <c r="K4596" t="s">
        <v>69</v>
      </c>
      <c r="L4596">
        <v>75900</v>
      </c>
      <c r="M4596">
        <v>4900</v>
      </c>
      <c r="N4596">
        <v>80800</v>
      </c>
      <c r="O4596" t="s">
        <v>21</v>
      </c>
      <c r="P4596" s="3">
        <v>45014</v>
      </c>
      <c r="Q4596" t="s">
        <v>28</v>
      </c>
    </row>
    <row r="4597" spans="1:17" x14ac:dyDescent="0.35">
      <c r="A4597" t="s">
        <v>4649</v>
      </c>
      <c r="B4597" t="s">
        <v>23</v>
      </c>
      <c r="C4597">
        <v>49</v>
      </c>
      <c r="D4597" t="s">
        <v>55</v>
      </c>
      <c r="E4597" t="s">
        <v>92</v>
      </c>
      <c r="F4597" t="s">
        <v>36</v>
      </c>
      <c r="G4597">
        <v>3.7</v>
      </c>
      <c r="H4597">
        <v>3.7</v>
      </c>
      <c r="I4597" t="str" cm="1">
        <f t="array" ref="I4597">_xlfn.IFS(G4597&lt;3, "0–2 Years", G4597&lt;6, "3–5 Years", G4597&lt;9, "6–8 Years", G4597&lt;12, "9-11 Years", G4597&gt;=12, "12-14 Years")</f>
        <v>3–5 Years</v>
      </c>
      <c r="J4597">
        <v>3</v>
      </c>
      <c r="K4597" t="s">
        <v>20</v>
      </c>
      <c r="L4597">
        <v>108200</v>
      </c>
      <c r="M4597">
        <v>14100</v>
      </c>
      <c r="N4597">
        <v>122300</v>
      </c>
      <c r="O4597" t="s">
        <v>57</v>
      </c>
      <c r="P4597" s="3">
        <v>44682</v>
      </c>
      <c r="Q4597" t="s">
        <v>36</v>
      </c>
    </row>
    <row r="4598" spans="1:17" x14ac:dyDescent="0.35">
      <c r="A4598" t="s">
        <v>4650</v>
      </c>
      <c r="B4598" t="s">
        <v>16</v>
      </c>
      <c r="C4598">
        <v>36</v>
      </c>
      <c r="D4598" t="s">
        <v>55</v>
      </c>
      <c r="E4598" t="s">
        <v>56</v>
      </c>
      <c r="F4598" t="s">
        <v>28</v>
      </c>
      <c r="G4598">
        <v>10.7</v>
      </c>
      <c r="H4598">
        <v>6.9</v>
      </c>
      <c r="I4598" t="str" cm="1">
        <f t="array" ref="I4598">_xlfn.IFS(G4598&lt;3, "0–2 Years", G4598&lt;6, "3–5 Years", G4598&lt;9, "6–8 Years", G4598&lt;12, "9-11 Years", G4598&gt;=12, "12-14 Years")</f>
        <v>9-11 Years</v>
      </c>
      <c r="J4598">
        <v>4</v>
      </c>
      <c r="K4598" t="s">
        <v>20</v>
      </c>
      <c r="L4598">
        <v>98500</v>
      </c>
      <c r="M4598">
        <v>10600</v>
      </c>
      <c r="N4598">
        <v>109100</v>
      </c>
      <c r="O4598" t="s">
        <v>30</v>
      </c>
      <c r="P4598" s="3">
        <v>42120</v>
      </c>
      <c r="Q4598" t="s">
        <v>28</v>
      </c>
    </row>
    <row r="4599" spans="1:17" x14ac:dyDescent="0.35">
      <c r="A4599" t="s">
        <v>4651</v>
      </c>
      <c r="B4599" t="s">
        <v>16</v>
      </c>
      <c r="C4599">
        <v>39</v>
      </c>
      <c r="D4599" t="s">
        <v>55</v>
      </c>
      <c r="E4599" t="s">
        <v>79</v>
      </c>
      <c r="F4599" t="s">
        <v>28</v>
      </c>
      <c r="G4599">
        <v>6.6</v>
      </c>
      <c r="H4599">
        <v>4.7</v>
      </c>
      <c r="I4599" t="str" cm="1">
        <f t="array" ref="I4599">_xlfn.IFS(G4599&lt;3, "0–2 Years", G4599&lt;6, "3–5 Years", G4599&lt;9, "6–8 Years", G4599&lt;12, "9-11 Years", G4599&gt;=12, "12-14 Years")</f>
        <v>6–8 Years</v>
      </c>
      <c r="J4599">
        <v>2</v>
      </c>
      <c r="K4599" t="s">
        <v>20</v>
      </c>
      <c r="L4599">
        <v>61700</v>
      </c>
      <c r="M4599">
        <v>11500</v>
      </c>
      <c r="N4599">
        <v>73200</v>
      </c>
      <c r="O4599" t="s">
        <v>25</v>
      </c>
      <c r="P4599" s="3">
        <v>43616</v>
      </c>
      <c r="Q4599" t="s">
        <v>28</v>
      </c>
    </row>
    <row r="4600" spans="1:17" x14ac:dyDescent="0.35">
      <c r="A4600" t="s">
        <v>4652</v>
      </c>
      <c r="B4600" t="s">
        <v>16</v>
      </c>
      <c r="C4600">
        <v>42</v>
      </c>
      <c r="D4600" t="s">
        <v>55</v>
      </c>
      <c r="E4600" t="s">
        <v>79</v>
      </c>
      <c r="F4600" t="s">
        <v>28</v>
      </c>
      <c r="G4600">
        <v>4.9000000000000004</v>
      </c>
      <c r="H4600">
        <v>4</v>
      </c>
      <c r="I4600" t="str" cm="1">
        <f t="array" ref="I4600">_xlfn.IFS(G4600&lt;3, "0–2 Years", G4600&lt;6, "3–5 Years", G4600&lt;9, "6–8 Years", G4600&lt;12, "9-11 Years", G4600&gt;=12, "12-14 Years")</f>
        <v>3–5 Years</v>
      </c>
      <c r="J4600">
        <v>3</v>
      </c>
      <c r="K4600" t="s">
        <v>20</v>
      </c>
      <c r="L4600">
        <v>59500</v>
      </c>
      <c r="M4600">
        <v>10300</v>
      </c>
      <c r="N4600">
        <v>69800</v>
      </c>
      <c r="O4600" t="s">
        <v>25</v>
      </c>
      <c r="P4600" s="3">
        <v>44237</v>
      </c>
      <c r="Q4600" t="s">
        <v>28</v>
      </c>
    </row>
    <row r="4601" spans="1:17" x14ac:dyDescent="0.35">
      <c r="A4601" t="s">
        <v>4653</v>
      </c>
      <c r="B4601" t="s">
        <v>16</v>
      </c>
      <c r="C4601">
        <v>38</v>
      </c>
      <c r="D4601" t="s">
        <v>34</v>
      </c>
      <c r="E4601" t="s">
        <v>59</v>
      </c>
      <c r="F4601" t="s">
        <v>28</v>
      </c>
      <c r="G4601">
        <v>10.7</v>
      </c>
      <c r="H4601">
        <v>5.2</v>
      </c>
      <c r="I4601" t="str" cm="1">
        <f t="array" ref="I4601">_xlfn.IFS(G4601&lt;3, "0–2 Years", G4601&lt;6, "3–5 Years", G4601&lt;9, "6–8 Years", G4601&lt;12, "9-11 Years", G4601&gt;=12, "12-14 Years")</f>
        <v>9-11 Years</v>
      </c>
      <c r="J4601">
        <v>3</v>
      </c>
      <c r="K4601" t="s">
        <v>20</v>
      </c>
      <c r="L4601">
        <v>125200</v>
      </c>
      <c r="M4601">
        <v>11300</v>
      </c>
      <c r="N4601">
        <v>136500</v>
      </c>
      <c r="O4601" t="s">
        <v>57</v>
      </c>
      <c r="P4601" s="3">
        <v>42126</v>
      </c>
      <c r="Q4601" t="s">
        <v>28</v>
      </c>
    </row>
    <row r="4602" spans="1:17" x14ac:dyDescent="0.35">
      <c r="A4602" t="s">
        <v>4654</v>
      </c>
      <c r="B4602" t="s">
        <v>16</v>
      </c>
      <c r="C4602">
        <v>29</v>
      </c>
      <c r="D4602" t="s">
        <v>17</v>
      </c>
      <c r="E4602" t="s">
        <v>18</v>
      </c>
      <c r="F4602" t="s">
        <v>36</v>
      </c>
      <c r="G4602">
        <v>4.5</v>
      </c>
      <c r="H4602">
        <v>4.0999999999999996</v>
      </c>
      <c r="I4602" t="str" cm="1">
        <f t="array" ref="I4602">_xlfn.IFS(G4602&lt;3, "0–2 Years", G4602&lt;6, "3–5 Years", G4602&lt;9, "6–8 Years", G4602&lt;12, "9-11 Years", G4602&gt;=12, "12-14 Years")</f>
        <v>3–5 Years</v>
      </c>
      <c r="J4602">
        <v>3</v>
      </c>
      <c r="K4602" t="s">
        <v>20</v>
      </c>
      <c r="L4602">
        <v>87200</v>
      </c>
      <c r="M4602">
        <v>11100</v>
      </c>
      <c r="N4602">
        <v>98300</v>
      </c>
      <c r="O4602" t="s">
        <v>30</v>
      </c>
      <c r="P4602" s="3">
        <v>44379</v>
      </c>
      <c r="Q4602" t="s">
        <v>36</v>
      </c>
    </row>
    <row r="4603" spans="1:17" x14ac:dyDescent="0.35">
      <c r="A4603" t="s">
        <v>4655</v>
      </c>
      <c r="B4603" t="s">
        <v>23</v>
      </c>
      <c r="C4603">
        <v>23</v>
      </c>
      <c r="D4603" t="s">
        <v>55</v>
      </c>
      <c r="E4603" t="s">
        <v>56</v>
      </c>
      <c r="F4603" t="s">
        <v>28</v>
      </c>
      <c r="G4603">
        <v>6.6</v>
      </c>
      <c r="H4603">
        <v>5.0999999999999996</v>
      </c>
      <c r="I4603" t="str" cm="1">
        <f t="array" ref="I4603">_xlfn.IFS(G4603&lt;3, "0–2 Years", G4603&lt;6, "3–5 Years", G4603&lt;9, "6–8 Years", G4603&lt;12, "9-11 Years", G4603&gt;=12, "12-14 Years")</f>
        <v>6–8 Years</v>
      </c>
      <c r="J4603">
        <v>4</v>
      </c>
      <c r="K4603" t="s">
        <v>20</v>
      </c>
      <c r="L4603">
        <v>108700</v>
      </c>
      <c r="M4603">
        <v>10100</v>
      </c>
      <c r="N4603">
        <v>118800</v>
      </c>
      <c r="O4603" t="s">
        <v>57</v>
      </c>
      <c r="P4603" s="3">
        <v>43612</v>
      </c>
      <c r="Q4603" t="s">
        <v>28</v>
      </c>
    </row>
    <row r="4604" spans="1:17" x14ac:dyDescent="0.35">
      <c r="A4604" t="s">
        <v>4656</v>
      </c>
      <c r="B4604" t="s">
        <v>16</v>
      </c>
      <c r="C4604">
        <v>27</v>
      </c>
      <c r="D4604" t="s">
        <v>38</v>
      </c>
      <c r="E4604" t="s">
        <v>39</v>
      </c>
      <c r="F4604" t="s">
        <v>28</v>
      </c>
      <c r="G4604">
        <v>11.1</v>
      </c>
      <c r="H4604">
        <v>9.5</v>
      </c>
      <c r="I4604" t="str" cm="1">
        <f t="array" ref="I4604">_xlfn.IFS(G4604&lt;3, "0–2 Years", G4604&lt;6, "3–5 Years", G4604&lt;9, "6–8 Years", G4604&lt;12, "9-11 Years", G4604&gt;=12, "12-14 Years")</f>
        <v>9-11 Years</v>
      </c>
      <c r="J4604">
        <v>3</v>
      </c>
      <c r="K4604" t="s">
        <v>24</v>
      </c>
      <c r="L4604">
        <v>54800</v>
      </c>
      <c r="M4604">
        <v>3500</v>
      </c>
      <c r="N4604">
        <v>58300</v>
      </c>
      <c r="O4604" t="s">
        <v>25</v>
      </c>
      <c r="P4604" s="3">
        <v>41970</v>
      </c>
      <c r="Q4604" t="s">
        <v>28</v>
      </c>
    </row>
    <row r="4605" spans="1:17" x14ac:dyDescent="0.35">
      <c r="A4605" t="s">
        <v>4657</v>
      </c>
      <c r="B4605" t="s">
        <v>23</v>
      </c>
      <c r="C4605">
        <v>28</v>
      </c>
      <c r="D4605" t="s">
        <v>55</v>
      </c>
      <c r="E4605" t="s">
        <v>79</v>
      </c>
      <c r="F4605" t="s">
        <v>28</v>
      </c>
      <c r="G4605">
        <v>4.4000000000000004</v>
      </c>
      <c r="H4605">
        <v>4.3</v>
      </c>
      <c r="I4605" t="str" cm="1">
        <f t="array" ref="I4605">_xlfn.IFS(G4605&lt;3, "0–2 Years", G4605&lt;6, "3–5 Years", G4605&lt;9, "6–8 Years", G4605&lt;12, "9-11 Years", G4605&gt;=12, "12-14 Years")</f>
        <v>3–5 Years</v>
      </c>
      <c r="J4605">
        <v>3</v>
      </c>
      <c r="K4605" t="s">
        <v>69</v>
      </c>
      <c r="L4605">
        <v>49900</v>
      </c>
      <c r="M4605">
        <v>9900</v>
      </c>
      <c r="N4605">
        <v>59800</v>
      </c>
      <c r="O4605" t="s">
        <v>65</v>
      </c>
      <c r="P4605" s="3">
        <v>44425</v>
      </c>
      <c r="Q4605" t="s">
        <v>28</v>
      </c>
    </row>
    <row r="4606" spans="1:17" x14ac:dyDescent="0.35">
      <c r="A4606" t="s">
        <v>4658</v>
      </c>
      <c r="B4606" t="s">
        <v>16</v>
      </c>
      <c r="C4606">
        <v>41</v>
      </c>
      <c r="D4606" t="s">
        <v>34</v>
      </c>
      <c r="E4606" t="s">
        <v>59</v>
      </c>
      <c r="F4606" t="s">
        <v>36</v>
      </c>
      <c r="G4606">
        <v>10.4</v>
      </c>
      <c r="H4606">
        <v>8</v>
      </c>
      <c r="I4606" t="str" cm="1">
        <f t="array" ref="I4606">_xlfn.IFS(G4606&lt;3, "0–2 Years", G4606&lt;6, "3–5 Years", G4606&lt;9, "6–8 Years", G4606&lt;12, "9-11 Years", G4606&gt;=12, "12-14 Years")</f>
        <v>9-11 Years</v>
      </c>
      <c r="J4606">
        <v>2</v>
      </c>
      <c r="K4606" t="s">
        <v>20</v>
      </c>
      <c r="L4606">
        <v>97400</v>
      </c>
      <c r="M4606">
        <v>7500</v>
      </c>
      <c r="N4606">
        <v>104900</v>
      </c>
      <c r="O4606" t="s">
        <v>30</v>
      </c>
      <c r="P4606" s="3">
        <v>42214</v>
      </c>
      <c r="Q4606" t="s">
        <v>36</v>
      </c>
    </row>
    <row r="4607" spans="1:17" x14ac:dyDescent="0.35">
      <c r="A4607" t="s">
        <v>4659</v>
      </c>
      <c r="B4607" t="s">
        <v>23</v>
      </c>
      <c r="C4607">
        <v>48</v>
      </c>
      <c r="D4607" t="s">
        <v>55</v>
      </c>
      <c r="E4607" t="s">
        <v>79</v>
      </c>
      <c r="F4607" t="s">
        <v>28</v>
      </c>
      <c r="G4607">
        <v>9.6999999999999993</v>
      </c>
      <c r="H4607">
        <v>4.5999999999999996</v>
      </c>
      <c r="I4607" t="str" cm="1">
        <f t="array" ref="I4607">_xlfn.IFS(G4607&lt;3, "0–2 Years", G4607&lt;6, "3–5 Years", G4607&lt;9, "6–8 Years", G4607&lt;12, "9-11 Years", G4607&gt;=12, "12-14 Years")</f>
        <v>9-11 Years</v>
      </c>
      <c r="J4607">
        <v>4</v>
      </c>
      <c r="K4607" t="s">
        <v>20</v>
      </c>
      <c r="L4607">
        <v>69900</v>
      </c>
      <c r="M4607">
        <v>6200</v>
      </c>
      <c r="N4607">
        <v>76100</v>
      </c>
      <c r="O4607" t="s">
        <v>21</v>
      </c>
      <c r="P4607" s="3">
        <v>42483</v>
      </c>
      <c r="Q4607" t="s">
        <v>28</v>
      </c>
    </row>
    <row r="4608" spans="1:17" x14ac:dyDescent="0.35">
      <c r="A4608" t="s">
        <v>4660</v>
      </c>
      <c r="B4608" t="s">
        <v>16</v>
      </c>
      <c r="C4608" s="7">
        <v>43</v>
      </c>
      <c r="D4608" t="s">
        <v>55</v>
      </c>
      <c r="E4608" t="s">
        <v>92</v>
      </c>
      <c r="F4608" t="s">
        <v>36</v>
      </c>
      <c r="G4608" s="9">
        <v>12.2</v>
      </c>
      <c r="H4608" s="7">
        <v>8.3000000000000007</v>
      </c>
      <c r="I4608" t="str" cm="1">
        <f t="array" ref="I4608">_xlfn.IFS(G4608&lt;3, "0–2 Years", G4608&lt;6, "3–5 Years", G4608&lt;9, "6–8 Years", G4608&lt;12, "9-11 Years", G4608&gt;=12, "12-14 Years")</f>
        <v>12-14 Years</v>
      </c>
      <c r="J4608" s="7">
        <v>3</v>
      </c>
      <c r="K4608" t="s">
        <v>20</v>
      </c>
      <c r="L4608" s="7">
        <v>112500</v>
      </c>
      <c r="M4608" s="7">
        <v>8500</v>
      </c>
      <c r="N4608" s="7">
        <v>121000</v>
      </c>
      <c r="O4608" t="s">
        <v>57</v>
      </c>
      <c r="P4608" s="3">
        <v>41569</v>
      </c>
      <c r="Q4608" t="s">
        <v>36</v>
      </c>
    </row>
    <row r="4609" spans="1:17" x14ac:dyDescent="0.35">
      <c r="A4609" t="s">
        <v>4661</v>
      </c>
      <c r="B4609" t="s">
        <v>16</v>
      </c>
      <c r="C4609" s="7">
        <v>37</v>
      </c>
      <c r="D4609" t="s">
        <v>38</v>
      </c>
      <c r="E4609" t="s">
        <v>61</v>
      </c>
      <c r="F4609" t="s">
        <v>28</v>
      </c>
      <c r="G4609" s="9">
        <v>12</v>
      </c>
      <c r="H4609" s="7">
        <v>9.3000000000000007</v>
      </c>
      <c r="I4609" t="str" cm="1">
        <f t="array" ref="I4609">_xlfn.IFS(G4609&lt;3, "0–2 Years", G4609&lt;6, "3–5 Years", G4609&lt;9, "6–8 Years", G4609&lt;12, "9-11 Years", G4609&gt;=12, "12-14 Years")</f>
        <v>12-14 Years</v>
      </c>
      <c r="J4609" s="7">
        <v>3</v>
      </c>
      <c r="K4609" t="s">
        <v>20</v>
      </c>
      <c r="L4609" s="7">
        <v>102000</v>
      </c>
      <c r="M4609" s="7">
        <v>3600</v>
      </c>
      <c r="N4609" s="7">
        <v>105600</v>
      </c>
      <c r="O4609" t="s">
        <v>57</v>
      </c>
      <c r="P4609" s="3">
        <v>41652</v>
      </c>
      <c r="Q4609" t="s">
        <v>28</v>
      </c>
    </row>
    <row r="4610" spans="1:17" x14ac:dyDescent="0.35">
      <c r="A4610" t="s">
        <v>4662</v>
      </c>
      <c r="B4610" t="s">
        <v>16</v>
      </c>
      <c r="C4610">
        <v>37</v>
      </c>
      <c r="D4610" t="s">
        <v>34</v>
      </c>
      <c r="E4610" t="s">
        <v>35</v>
      </c>
      <c r="F4610" t="s">
        <v>28</v>
      </c>
      <c r="G4610">
        <v>1.4</v>
      </c>
      <c r="H4610">
        <v>0</v>
      </c>
      <c r="I4610" t="str" cm="1">
        <f t="array" ref="I4610">_xlfn.IFS(G4610&lt;3, "0–2 Years", G4610&lt;6, "3–5 Years", G4610&lt;9, "6–8 Years", G4610&lt;12, "9-11 Years", G4610&gt;=12, "12-14 Years")</f>
        <v>0–2 Years</v>
      </c>
      <c r="J4610">
        <v>4</v>
      </c>
      <c r="K4610" t="s">
        <v>24</v>
      </c>
      <c r="L4610">
        <v>42700</v>
      </c>
      <c r="M4610">
        <v>2200</v>
      </c>
      <c r="N4610">
        <v>44900</v>
      </c>
      <c r="O4610" t="s">
        <v>65</v>
      </c>
      <c r="P4610" s="3">
        <v>45494</v>
      </c>
      <c r="Q4610" t="s">
        <v>28</v>
      </c>
    </row>
    <row r="4611" spans="1:17" x14ac:dyDescent="0.35">
      <c r="A4611" t="s">
        <v>4663</v>
      </c>
      <c r="B4611" t="s">
        <v>23</v>
      </c>
      <c r="C4611">
        <v>27</v>
      </c>
      <c r="D4611" t="s">
        <v>41</v>
      </c>
      <c r="E4611" t="s">
        <v>67</v>
      </c>
      <c r="F4611" t="s">
        <v>19</v>
      </c>
      <c r="G4611">
        <v>5.5</v>
      </c>
      <c r="H4611">
        <v>2.5</v>
      </c>
      <c r="I4611" t="str" cm="1">
        <f t="array" ref="I4611">_xlfn.IFS(G4611&lt;3, "0–2 Years", G4611&lt;6, "3–5 Years", G4611&lt;9, "6–8 Years", G4611&lt;12, "9-11 Years", G4611&gt;=12, "12-14 Years")</f>
        <v>3–5 Years</v>
      </c>
      <c r="J4611">
        <v>3</v>
      </c>
      <c r="K4611" t="s">
        <v>20</v>
      </c>
      <c r="L4611">
        <v>74700</v>
      </c>
      <c r="M4611">
        <v>2900</v>
      </c>
      <c r="N4611">
        <v>77600</v>
      </c>
      <c r="O4611" t="s">
        <v>21</v>
      </c>
      <c r="P4611" s="3">
        <v>44016</v>
      </c>
      <c r="Q4611" t="s">
        <v>19</v>
      </c>
    </row>
    <row r="4612" spans="1:17" x14ac:dyDescent="0.35">
      <c r="A4612" t="s">
        <v>4664</v>
      </c>
      <c r="B4612" t="s">
        <v>23</v>
      </c>
      <c r="C4612">
        <v>37</v>
      </c>
      <c r="D4612" t="s">
        <v>41</v>
      </c>
      <c r="E4612" t="s">
        <v>42</v>
      </c>
      <c r="F4612" t="s">
        <v>36</v>
      </c>
      <c r="G4612">
        <v>9.9</v>
      </c>
      <c r="H4612">
        <v>6.2</v>
      </c>
      <c r="I4612" t="str" cm="1">
        <f t="array" ref="I4612">_xlfn.IFS(G4612&lt;3, "0–2 Years", G4612&lt;6, "3–5 Years", G4612&lt;9, "6–8 Years", G4612&lt;12, "9-11 Years", G4612&gt;=12, "12-14 Years")</f>
        <v>9-11 Years</v>
      </c>
      <c r="J4612">
        <v>3</v>
      </c>
      <c r="K4612" t="s">
        <v>20</v>
      </c>
      <c r="L4612">
        <v>84600</v>
      </c>
      <c r="M4612">
        <v>5600</v>
      </c>
      <c r="N4612">
        <v>90200</v>
      </c>
      <c r="O4612" t="s">
        <v>30</v>
      </c>
      <c r="P4612" s="3">
        <v>42413</v>
      </c>
      <c r="Q4612" t="s">
        <v>36</v>
      </c>
    </row>
    <row r="4613" spans="1:17" x14ac:dyDescent="0.35">
      <c r="A4613" t="s">
        <v>4665</v>
      </c>
      <c r="B4613" t="s">
        <v>16</v>
      </c>
      <c r="C4613">
        <v>27</v>
      </c>
      <c r="D4613" t="s">
        <v>55</v>
      </c>
      <c r="E4613" t="s">
        <v>92</v>
      </c>
      <c r="F4613" t="s">
        <v>28</v>
      </c>
      <c r="G4613">
        <v>3.6</v>
      </c>
      <c r="H4613">
        <v>2.2000000000000002</v>
      </c>
      <c r="I4613" t="str" cm="1">
        <f t="array" ref="I4613">_xlfn.IFS(G4613&lt;3, "0–2 Years", G4613&lt;6, "3–5 Years", G4613&lt;9, "6–8 Years", G4613&lt;12, "9-11 Years", G4613&gt;=12, "12-14 Years")</f>
        <v>3–5 Years</v>
      </c>
      <c r="J4613">
        <v>4</v>
      </c>
      <c r="K4613" t="s">
        <v>20</v>
      </c>
      <c r="L4613">
        <v>101200</v>
      </c>
      <c r="M4613">
        <v>8800</v>
      </c>
      <c r="N4613">
        <v>110000</v>
      </c>
      <c r="O4613" t="s">
        <v>57</v>
      </c>
      <c r="P4613" s="3">
        <v>44720</v>
      </c>
      <c r="Q4613" t="s">
        <v>28</v>
      </c>
    </row>
    <row r="4614" spans="1:17" x14ac:dyDescent="0.35">
      <c r="A4614" t="s">
        <v>4666</v>
      </c>
      <c r="B4614" t="s">
        <v>23</v>
      </c>
      <c r="C4614">
        <v>24</v>
      </c>
      <c r="D4614" t="s">
        <v>34</v>
      </c>
      <c r="E4614" t="s">
        <v>47</v>
      </c>
      <c r="F4614" t="s">
        <v>36</v>
      </c>
      <c r="G4614">
        <v>9.6999999999999993</v>
      </c>
      <c r="H4614">
        <v>5.3</v>
      </c>
      <c r="I4614" t="str" cm="1">
        <f t="array" ref="I4614">_xlfn.IFS(G4614&lt;3, "0–2 Years", G4614&lt;6, "3–5 Years", G4614&lt;9, "6–8 Years", G4614&lt;12, "9-11 Years", G4614&gt;=12, "12-14 Years")</f>
        <v>9-11 Years</v>
      </c>
      <c r="J4614">
        <v>5</v>
      </c>
      <c r="K4614" t="s">
        <v>20</v>
      </c>
      <c r="L4614">
        <v>94200</v>
      </c>
      <c r="M4614">
        <v>5200</v>
      </c>
      <c r="N4614">
        <v>99400</v>
      </c>
      <c r="O4614" t="s">
        <v>30</v>
      </c>
      <c r="P4614" s="3">
        <v>42470</v>
      </c>
      <c r="Q4614" t="s">
        <v>36</v>
      </c>
    </row>
    <row r="4615" spans="1:17" x14ac:dyDescent="0.35">
      <c r="A4615" t="s">
        <v>4667</v>
      </c>
      <c r="B4615" t="s">
        <v>23</v>
      </c>
      <c r="C4615">
        <v>25</v>
      </c>
      <c r="D4615" t="s">
        <v>38</v>
      </c>
      <c r="E4615" t="s">
        <v>39</v>
      </c>
      <c r="F4615" t="s">
        <v>19</v>
      </c>
      <c r="G4615">
        <v>6.7</v>
      </c>
      <c r="H4615">
        <v>5.7</v>
      </c>
      <c r="I4615" t="str" cm="1">
        <f t="array" ref="I4615">_xlfn.IFS(G4615&lt;3, "0–2 Years", G4615&lt;6, "3–5 Years", G4615&lt;9, "6–8 Years", G4615&lt;12, "9-11 Years", G4615&gt;=12, "12-14 Years")</f>
        <v>6–8 Years</v>
      </c>
      <c r="J4615">
        <v>4</v>
      </c>
      <c r="K4615" t="s">
        <v>20</v>
      </c>
      <c r="L4615">
        <v>81000</v>
      </c>
      <c r="M4615">
        <v>4500</v>
      </c>
      <c r="N4615">
        <v>85500</v>
      </c>
      <c r="O4615" t="s">
        <v>30</v>
      </c>
      <c r="P4615" s="3">
        <v>43584</v>
      </c>
      <c r="Q4615" t="s">
        <v>19</v>
      </c>
    </row>
    <row r="4616" spans="1:17" x14ac:dyDescent="0.35">
      <c r="A4616" t="s">
        <v>4668</v>
      </c>
      <c r="B4616" t="s">
        <v>16</v>
      </c>
      <c r="C4616">
        <v>31</v>
      </c>
      <c r="D4616" t="s">
        <v>38</v>
      </c>
      <c r="E4616" t="s">
        <v>39</v>
      </c>
      <c r="F4616" t="s">
        <v>19</v>
      </c>
      <c r="G4616">
        <v>11.8</v>
      </c>
      <c r="H4616">
        <v>6.5</v>
      </c>
      <c r="I4616" t="str" cm="1">
        <f t="array" ref="I4616">_xlfn.IFS(G4616&lt;3, "0–2 Years", G4616&lt;6, "3–5 Years", G4616&lt;9, "6–8 Years", G4616&lt;12, "9-11 Years", G4616&gt;=12, "12-14 Years")</f>
        <v>9-11 Years</v>
      </c>
      <c r="J4616">
        <v>3</v>
      </c>
      <c r="K4616" t="s">
        <v>20</v>
      </c>
      <c r="L4616">
        <v>68100</v>
      </c>
      <c r="M4616">
        <v>4100</v>
      </c>
      <c r="N4616">
        <v>72200</v>
      </c>
      <c r="O4616" t="s">
        <v>21</v>
      </c>
      <c r="P4616" s="3">
        <v>41720</v>
      </c>
      <c r="Q4616" t="s">
        <v>19</v>
      </c>
    </row>
    <row r="4617" spans="1:17" x14ac:dyDescent="0.35">
      <c r="A4617" t="s">
        <v>4669</v>
      </c>
      <c r="B4617" t="s">
        <v>16</v>
      </c>
      <c r="C4617">
        <v>25</v>
      </c>
      <c r="D4617" t="s">
        <v>34</v>
      </c>
      <c r="E4617" t="s">
        <v>35</v>
      </c>
      <c r="F4617" t="s">
        <v>36</v>
      </c>
      <c r="G4617">
        <v>6.9</v>
      </c>
      <c r="H4617">
        <v>4.5999999999999996</v>
      </c>
      <c r="I4617" t="str" cm="1">
        <f t="array" ref="I4617">_xlfn.IFS(G4617&lt;3, "0–2 Years", G4617&lt;6, "3–5 Years", G4617&lt;9, "6–8 Years", G4617&lt;12, "9-11 Years", G4617&gt;=12, "12-14 Years")</f>
        <v>6–8 Years</v>
      </c>
      <c r="J4617">
        <v>2</v>
      </c>
      <c r="K4617" t="s">
        <v>20</v>
      </c>
      <c r="L4617">
        <v>95000</v>
      </c>
      <c r="M4617">
        <v>6700</v>
      </c>
      <c r="N4617">
        <v>101700</v>
      </c>
      <c r="O4617" t="s">
        <v>30</v>
      </c>
      <c r="P4617" s="3">
        <v>43486</v>
      </c>
      <c r="Q4617" t="s">
        <v>36</v>
      </c>
    </row>
    <row r="4618" spans="1:17" x14ac:dyDescent="0.35">
      <c r="A4618" t="s">
        <v>4670</v>
      </c>
      <c r="B4618" t="s">
        <v>23</v>
      </c>
      <c r="C4618">
        <v>44</v>
      </c>
      <c r="D4618" t="s">
        <v>44</v>
      </c>
      <c r="E4618" t="s">
        <v>45</v>
      </c>
      <c r="F4618" t="s">
        <v>28</v>
      </c>
      <c r="G4618">
        <v>10</v>
      </c>
      <c r="H4618">
        <v>5.8</v>
      </c>
      <c r="I4618" t="str" cm="1">
        <f t="array" ref="I4618">_xlfn.IFS(G4618&lt;3, "0–2 Years", G4618&lt;6, "3–5 Years", G4618&lt;9, "6–8 Years", G4618&lt;12, "9-11 Years", G4618&gt;=12, "12-14 Years")</f>
        <v>9-11 Years</v>
      </c>
      <c r="J4618">
        <v>3</v>
      </c>
      <c r="K4618" t="s">
        <v>20</v>
      </c>
      <c r="L4618">
        <v>81100</v>
      </c>
      <c r="M4618">
        <v>12000</v>
      </c>
      <c r="N4618">
        <v>93100</v>
      </c>
      <c r="O4618" t="s">
        <v>30</v>
      </c>
      <c r="P4618" s="3">
        <v>42372</v>
      </c>
      <c r="Q4618" t="s">
        <v>28</v>
      </c>
    </row>
    <row r="4619" spans="1:17" x14ac:dyDescent="0.35">
      <c r="A4619" t="s">
        <v>4671</v>
      </c>
      <c r="B4619" t="s">
        <v>16</v>
      </c>
      <c r="C4619">
        <v>34</v>
      </c>
      <c r="D4619" t="s">
        <v>44</v>
      </c>
      <c r="E4619" t="s">
        <v>51</v>
      </c>
      <c r="F4619" t="s">
        <v>28</v>
      </c>
      <c r="G4619">
        <v>4.2</v>
      </c>
      <c r="H4619">
        <v>1</v>
      </c>
      <c r="I4619" t="str" cm="1">
        <f t="array" ref="I4619">_xlfn.IFS(G4619&lt;3, "0–2 Years", G4619&lt;6, "3–5 Years", G4619&lt;9, "6–8 Years", G4619&lt;12, "9-11 Years", G4619&gt;=12, "12-14 Years")</f>
        <v>3–5 Years</v>
      </c>
      <c r="J4619">
        <v>4</v>
      </c>
      <c r="K4619" t="s">
        <v>20</v>
      </c>
      <c r="L4619">
        <v>81400</v>
      </c>
      <c r="M4619">
        <v>12100</v>
      </c>
      <c r="N4619">
        <v>93500</v>
      </c>
      <c r="O4619" t="s">
        <v>30</v>
      </c>
      <c r="P4619" s="3">
        <v>44503</v>
      </c>
      <c r="Q4619" t="s">
        <v>28</v>
      </c>
    </row>
    <row r="4620" spans="1:17" x14ac:dyDescent="0.35">
      <c r="A4620" t="s">
        <v>4672</v>
      </c>
      <c r="B4620" t="s">
        <v>16</v>
      </c>
      <c r="C4620" s="7">
        <v>41</v>
      </c>
      <c r="D4620" t="s">
        <v>41</v>
      </c>
      <c r="E4620" t="s">
        <v>73</v>
      </c>
      <c r="F4620" t="s">
        <v>36</v>
      </c>
      <c r="G4620" s="9">
        <v>12.7</v>
      </c>
      <c r="H4620" s="7">
        <v>8.1</v>
      </c>
      <c r="I4620" t="str" cm="1">
        <f t="array" ref="I4620">_xlfn.IFS(G4620&lt;3, "0–2 Years", G4620&lt;6, "3–5 Years", G4620&lt;9, "6–8 Years", G4620&lt;12, "9-11 Years", G4620&gt;=12, "12-14 Years")</f>
        <v>12-14 Years</v>
      </c>
      <c r="J4620" s="7">
        <v>4</v>
      </c>
      <c r="K4620" t="s">
        <v>20</v>
      </c>
      <c r="L4620" s="7">
        <v>107000</v>
      </c>
      <c r="M4620" s="7">
        <v>7000</v>
      </c>
      <c r="N4620" s="7">
        <v>114000</v>
      </c>
      <c r="O4620" t="s">
        <v>57</v>
      </c>
      <c r="P4620" s="3">
        <v>41384</v>
      </c>
      <c r="Q4620" t="s">
        <v>36</v>
      </c>
    </row>
    <row r="4621" spans="1:17" x14ac:dyDescent="0.35">
      <c r="A4621" t="s">
        <v>4673</v>
      </c>
      <c r="B4621" t="s">
        <v>23</v>
      </c>
      <c r="C4621">
        <v>30</v>
      </c>
      <c r="D4621" t="s">
        <v>41</v>
      </c>
      <c r="E4621" t="s">
        <v>73</v>
      </c>
      <c r="F4621" t="s">
        <v>19</v>
      </c>
      <c r="G4621">
        <v>4.2</v>
      </c>
      <c r="H4621">
        <v>4</v>
      </c>
      <c r="I4621" t="str" cm="1">
        <f t="array" ref="I4621">_xlfn.IFS(G4621&lt;3, "0–2 Years", G4621&lt;6, "3–5 Years", G4621&lt;9, "6–8 Years", G4621&lt;12, "9-11 Years", G4621&gt;=12, "12-14 Years")</f>
        <v>3–5 Years</v>
      </c>
      <c r="J4621">
        <v>3</v>
      </c>
      <c r="K4621" t="s">
        <v>20</v>
      </c>
      <c r="L4621">
        <v>100300</v>
      </c>
      <c r="M4621">
        <v>6000</v>
      </c>
      <c r="N4621">
        <v>106300</v>
      </c>
      <c r="O4621" t="s">
        <v>57</v>
      </c>
      <c r="P4621" s="3">
        <v>44502</v>
      </c>
      <c r="Q4621" t="s">
        <v>19</v>
      </c>
    </row>
    <row r="4622" spans="1:17" x14ac:dyDescent="0.35">
      <c r="A4622" t="s">
        <v>4674</v>
      </c>
      <c r="B4622" t="s">
        <v>23</v>
      </c>
      <c r="C4622">
        <v>29</v>
      </c>
      <c r="D4622" t="s">
        <v>38</v>
      </c>
      <c r="E4622" t="s">
        <v>39</v>
      </c>
      <c r="F4622" t="s">
        <v>28</v>
      </c>
      <c r="G4622">
        <v>10.7</v>
      </c>
      <c r="H4622">
        <v>8.6</v>
      </c>
      <c r="I4622" t="str" cm="1">
        <f t="array" ref="I4622">_xlfn.IFS(G4622&lt;3, "0–2 Years", G4622&lt;6, "3–5 Years", G4622&lt;9, "6–8 Years", G4622&lt;12, "9-11 Years", G4622&gt;=12, "12-14 Years")</f>
        <v>9-11 Years</v>
      </c>
      <c r="J4622">
        <v>3</v>
      </c>
      <c r="K4622" t="s">
        <v>20</v>
      </c>
      <c r="L4622">
        <v>78400</v>
      </c>
      <c r="M4622">
        <v>5200</v>
      </c>
      <c r="N4622">
        <v>83600</v>
      </c>
      <c r="O4622" t="s">
        <v>21</v>
      </c>
      <c r="P4622" s="3">
        <v>42098</v>
      </c>
      <c r="Q4622" t="s">
        <v>28</v>
      </c>
    </row>
    <row r="4623" spans="1:17" x14ac:dyDescent="0.35">
      <c r="A4623" t="s">
        <v>4675</v>
      </c>
      <c r="B4623" t="s">
        <v>16</v>
      </c>
      <c r="C4623">
        <v>49</v>
      </c>
      <c r="D4623" t="s">
        <v>55</v>
      </c>
      <c r="E4623" t="s">
        <v>92</v>
      </c>
      <c r="F4623" t="s">
        <v>62</v>
      </c>
      <c r="G4623">
        <v>7</v>
      </c>
      <c r="H4623">
        <v>5.8</v>
      </c>
      <c r="I4623" t="str" cm="1">
        <f t="array" ref="I4623">_xlfn.IFS(G4623&lt;3, "0–2 Years", G4623&lt;6, "3–5 Years", G4623&lt;9, "6–8 Years", G4623&lt;12, "9-11 Years", G4623&gt;=12, "12-14 Years")</f>
        <v>6–8 Years</v>
      </c>
      <c r="J4623">
        <v>3</v>
      </c>
      <c r="K4623" t="s">
        <v>20</v>
      </c>
      <c r="L4623">
        <v>96200</v>
      </c>
      <c r="M4623">
        <v>10700</v>
      </c>
      <c r="N4623">
        <v>106900</v>
      </c>
      <c r="O4623" t="s">
        <v>30</v>
      </c>
      <c r="P4623" s="3">
        <v>43484</v>
      </c>
      <c r="Q4623" t="s">
        <v>62</v>
      </c>
    </row>
    <row r="4624" spans="1:17" x14ac:dyDescent="0.35">
      <c r="A4624" t="s">
        <v>4676</v>
      </c>
      <c r="B4624" t="s">
        <v>23</v>
      </c>
      <c r="C4624">
        <v>34</v>
      </c>
      <c r="D4624" t="s">
        <v>38</v>
      </c>
      <c r="E4624" t="s">
        <v>112</v>
      </c>
      <c r="F4624" t="s">
        <v>28</v>
      </c>
      <c r="G4624">
        <v>1.7</v>
      </c>
      <c r="H4624">
        <v>0</v>
      </c>
      <c r="I4624" t="str" cm="1">
        <f t="array" ref="I4624">_xlfn.IFS(G4624&lt;3, "0–2 Years", G4624&lt;6, "3–5 Years", G4624&lt;9, "6–8 Years", G4624&lt;12, "9-11 Years", G4624&gt;=12, "12-14 Years")</f>
        <v>0–2 Years</v>
      </c>
      <c r="J4624">
        <v>3</v>
      </c>
      <c r="K4624" t="s">
        <v>20</v>
      </c>
      <c r="L4624">
        <v>68800</v>
      </c>
      <c r="M4624">
        <v>6100</v>
      </c>
      <c r="N4624">
        <v>74900</v>
      </c>
      <c r="O4624" t="s">
        <v>21</v>
      </c>
      <c r="P4624" s="3">
        <v>45405</v>
      </c>
      <c r="Q4624" t="s">
        <v>28</v>
      </c>
    </row>
    <row r="4625" spans="1:17" x14ac:dyDescent="0.35">
      <c r="A4625" t="s">
        <v>4677</v>
      </c>
      <c r="B4625" t="s">
        <v>23</v>
      </c>
      <c r="C4625">
        <v>29</v>
      </c>
      <c r="D4625" t="s">
        <v>44</v>
      </c>
      <c r="E4625" t="s">
        <v>51</v>
      </c>
      <c r="F4625" t="s">
        <v>36</v>
      </c>
      <c r="G4625">
        <v>6.2</v>
      </c>
      <c r="H4625">
        <v>4.2</v>
      </c>
      <c r="I4625" t="str" cm="1">
        <f t="array" ref="I4625">_xlfn.IFS(G4625&lt;3, "0–2 Years", G4625&lt;6, "3–5 Years", G4625&lt;9, "6–8 Years", G4625&lt;12, "9-11 Years", G4625&gt;=12, "12-14 Years")</f>
        <v>6–8 Years</v>
      </c>
      <c r="J4625">
        <v>3</v>
      </c>
      <c r="K4625" t="s">
        <v>20</v>
      </c>
      <c r="L4625">
        <v>86800</v>
      </c>
      <c r="M4625">
        <v>7900</v>
      </c>
      <c r="N4625">
        <v>94700</v>
      </c>
      <c r="O4625" t="s">
        <v>30</v>
      </c>
      <c r="P4625" s="3">
        <v>43775</v>
      </c>
      <c r="Q4625" t="s">
        <v>36</v>
      </c>
    </row>
    <row r="4626" spans="1:17" x14ac:dyDescent="0.35">
      <c r="A4626" t="s">
        <v>4678</v>
      </c>
      <c r="B4626" t="s">
        <v>23</v>
      </c>
      <c r="C4626">
        <v>30</v>
      </c>
      <c r="D4626" t="s">
        <v>38</v>
      </c>
      <c r="E4626" t="s">
        <v>61</v>
      </c>
      <c r="F4626" t="s">
        <v>62</v>
      </c>
      <c r="G4626">
        <v>8.6</v>
      </c>
      <c r="H4626">
        <v>3.4</v>
      </c>
      <c r="I4626" t="str" cm="1">
        <f t="array" ref="I4626">_xlfn.IFS(G4626&lt;3, "0–2 Years", G4626&lt;6, "3–5 Years", G4626&lt;9, "6–8 Years", G4626&lt;12, "9-11 Years", G4626&gt;=12, "12-14 Years")</f>
        <v>6–8 Years</v>
      </c>
      <c r="J4626">
        <v>3</v>
      </c>
      <c r="K4626" t="s">
        <v>20</v>
      </c>
      <c r="L4626">
        <v>104300</v>
      </c>
      <c r="M4626">
        <v>9500</v>
      </c>
      <c r="N4626">
        <v>113800</v>
      </c>
      <c r="O4626" t="s">
        <v>57</v>
      </c>
      <c r="P4626" s="3">
        <v>42895</v>
      </c>
      <c r="Q4626" t="s">
        <v>62</v>
      </c>
    </row>
    <row r="4627" spans="1:17" x14ac:dyDescent="0.35">
      <c r="A4627" t="s">
        <v>4679</v>
      </c>
      <c r="B4627" t="s">
        <v>16</v>
      </c>
      <c r="C4627">
        <v>21</v>
      </c>
      <c r="D4627" t="s">
        <v>17</v>
      </c>
      <c r="E4627" t="s">
        <v>18</v>
      </c>
      <c r="F4627" t="s">
        <v>28</v>
      </c>
      <c r="G4627">
        <v>1.9</v>
      </c>
      <c r="H4627">
        <v>0.2</v>
      </c>
      <c r="I4627" t="str" cm="1">
        <f t="array" ref="I4627">_xlfn.IFS(G4627&lt;3, "0–2 Years", G4627&lt;6, "3–5 Years", G4627&lt;9, "6–8 Years", G4627&lt;12, "9-11 Years", G4627&gt;=12, "12-14 Years")</f>
        <v>0–2 Years</v>
      </c>
      <c r="J4627"/>
      <c r="K4627" t="s">
        <v>20</v>
      </c>
      <c r="L4627">
        <v>85600</v>
      </c>
      <c r="M4627">
        <v>7900</v>
      </c>
      <c r="N4627">
        <v>93500</v>
      </c>
      <c r="O4627" t="s">
        <v>30</v>
      </c>
      <c r="P4627" s="3">
        <v>45332</v>
      </c>
      <c r="Q4627" t="s">
        <v>28</v>
      </c>
    </row>
    <row r="4628" spans="1:17" x14ac:dyDescent="0.35">
      <c r="A4628" t="s">
        <v>4680</v>
      </c>
      <c r="B4628" t="s">
        <v>16</v>
      </c>
      <c r="C4628">
        <v>29</v>
      </c>
      <c r="D4628" t="s">
        <v>44</v>
      </c>
      <c r="E4628" t="s">
        <v>45</v>
      </c>
      <c r="F4628" t="s">
        <v>28</v>
      </c>
      <c r="G4628">
        <v>2.7</v>
      </c>
      <c r="H4628">
        <v>0.6</v>
      </c>
      <c r="I4628" t="str" cm="1">
        <f t="array" ref="I4628">_xlfn.IFS(G4628&lt;3, "0–2 Years", G4628&lt;6, "3–5 Years", G4628&lt;9, "6–8 Years", G4628&lt;12, "9-11 Years", G4628&gt;=12, "12-14 Years")</f>
        <v>0–2 Years</v>
      </c>
      <c r="J4628">
        <v>4</v>
      </c>
      <c r="K4628" t="s">
        <v>24</v>
      </c>
      <c r="L4628">
        <v>34500</v>
      </c>
      <c r="M4628">
        <v>4600</v>
      </c>
      <c r="N4628">
        <v>39100</v>
      </c>
      <c r="O4628" t="s">
        <v>65</v>
      </c>
      <c r="P4628" s="3">
        <v>45053</v>
      </c>
      <c r="Q4628" t="s">
        <v>28</v>
      </c>
    </row>
    <row r="4629" spans="1:17" x14ac:dyDescent="0.35">
      <c r="A4629" t="s">
        <v>4681</v>
      </c>
      <c r="B4629" t="s">
        <v>16</v>
      </c>
      <c r="C4629">
        <v>30</v>
      </c>
      <c r="D4629" t="s">
        <v>55</v>
      </c>
      <c r="E4629" t="s">
        <v>56</v>
      </c>
      <c r="F4629" t="s">
        <v>36</v>
      </c>
      <c r="G4629">
        <v>2.2999999999999998</v>
      </c>
      <c r="H4629">
        <v>1.3</v>
      </c>
      <c r="I4629" t="str" cm="1">
        <f t="array" ref="I4629">_xlfn.IFS(G4629&lt;3, "0–2 Years", G4629&lt;6, "3–5 Years", G4629&lt;9, "6–8 Years", G4629&lt;12, "9-11 Years", G4629&gt;=12, "12-14 Years")</f>
        <v>0–2 Years</v>
      </c>
      <c r="J4629">
        <v>3</v>
      </c>
      <c r="K4629" t="s">
        <v>20</v>
      </c>
      <c r="L4629">
        <v>99600</v>
      </c>
      <c r="M4629">
        <v>18100</v>
      </c>
      <c r="N4629">
        <v>117700</v>
      </c>
      <c r="O4629" t="s">
        <v>30</v>
      </c>
      <c r="P4629" s="3">
        <v>45173</v>
      </c>
      <c r="Q4629" t="s">
        <v>36</v>
      </c>
    </row>
    <row r="4630" spans="1:17" x14ac:dyDescent="0.35">
      <c r="A4630" t="s">
        <v>4682</v>
      </c>
      <c r="B4630" t="s">
        <v>16</v>
      </c>
      <c r="C4630" s="7">
        <v>27</v>
      </c>
      <c r="D4630" t="s">
        <v>44</v>
      </c>
      <c r="E4630" t="s">
        <v>51</v>
      </c>
      <c r="F4630" t="s">
        <v>28</v>
      </c>
      <c r="G4630" s="9">
        <v>13.6</v>
      </c>
      <c r="H4630" s="7">
        <v>7.7</v>
      </c>
      <c r="I4630" t="str" cm="1">
        <f t="array" ref="I4630">_xlfn.IFS(G4630&lt;3, "0–2 Years", G4630&lt;6, "3–5 Years", G4630&lt;9, "6–8 Years", G4630&lt;12, "9-11 Years", G4630&gt;=12, "12-14 Years")</f>
        <v>12-14 Years</v>
      </c>
      <c r="J4630" s="7">
        <v>2</v>
      </c>
      <c r="K4630" t="s">
        <v>20</v>
      </c>
      <c r="L4630" s="7">
        <v>94000</v>
      </c>
      <c r="M4630" s="7">
        <v>6000</v>
      </c>
      <c r="N4630" s="7">
        <v>100000</v>
      </c>
      <c r="O4630" t="s">
        <v>30</v>
      </c>
      <c r="P4630" s="3">
        <v>41070</v>
      </c>
      <c r="Q4630" t="s">
        <v>28</v>
      </c>
    </row>
    <row r="4631" spans="1:17" x14ac:dyDescent="0.35">
      <c r="A4631" t="s">
        <v>4683</v>
      </c>
      <c r="B4631" t="s">
        <v>23</v>
      </c>
      <c r="C4631">
        <v>45</v>
      </c>
      <c r="D4631" t="s">
        <v>44</v>
      </c>
      <c r="E4631" t="s">
        <v>51</v>
      </c>
      <c r="F4631" t="s">
        <v>28</v>
      </c>
      <c r="G4631">
        <v>9.6</v>
      </c>
      <c r="H4631">
        <v>6.1</v>
      </c>
      <c r="I4631" t="str" cm="1">
        <f t="array" ref="I4631">_xlfn.IFS(G4631&lt;3, "0–2 Years", G4631&lt;6, "3–5 Years", G4631&lt;9, "6–8 Years", G4631&lt;12, "9-11 Years", G4631&gt;=12, "12-14 Years")</f>
        <v>9-11 Years</v>
      </c>
      <c r="J4631">
        <v>5</v>
      </c>
      <c r="K4631" t="s">
        <v>20</v>
      </c>
      <c r="L4631">
        <v>77300</v>
      </c>
      <c r="M4631">
        <v>5800</v>
      </c>
      <c r="N4631">
        <v>83100</v>
      </c>
      <c r="O4631" t="s">
        <v>21</v>
      </c>
      <c r="P4631" s="3">
        <v>42520</v>
      </c>
      <c r="Q4631" t="s">
        <v>28</v>
      </c>
    </row>
    <row r="4632" spans="1:17" x14ac:dyDescent="0.35">
      <c r="A4632" t="s">
        <v>4684</v>
      </c>
      <c r="B4632" t="s">
        <v>23</v>
      </c>
      <c r="C4632">
        <v>30</v>
      </c>
      <c r="D4632" t="s">
        <v>34</v>
      </c>
      <c r="E4632" t="s">
        <v>35</v>
      </c>
      <c r="F4632" t="s">
        <v>36</v>
      </c>
      <c r="G4632">
        <v>11.3</v>
      </c>
      <c r="H4632">
        <v>7.1</v>
      </c>
      <c r="I4632" t="str" cm="1">
        <f t="array" ref="I4632">_xlfn.IFS(G4632&lt;3, "0–2 Years", G4632&lt;6, "3–5 Years", G4632&lt;9, "6–8 Years", G4632&lt;12, "9-11 Years", G4632&gt;=12, "12-14 Years")</f>
        <v>9-11 Years</v>
      </c>
      <c r="J4632">
        <v>3</v>
      </c>
      <c r="K4632" t="s">
        <v>20</v>
      </c>
      <c r="L4632">
        <v>90800</v>
      </c>
      <c r="M4632">
        <v>9800</v>
      </c>
      <c r="N4632">
        <v>100600</v>
      </c>
      <c r="O4632" t="s">
        <v>30</v>
      </c>
      <c r="P4632" s="3">
        <v>41911</v>
      </c>
      <c r="Q4632" t="s">
        <v>36</v>
      </c>
    </row>
    <row r="4633" spans="1:17" x14ac:dyDescent="0.35">
      <c r="A4633" t="s">
        <v>4685</v>
      </c>
      <c r="B4633" t="s">
        <v>16</v>
      </c>
      <c r="C4633">
        <v>36</v>
      </c>
      <c r="D4633" t="s">
        <v>44</v>
      </c>
      <c r="E4633" t="s">
        <v>76</v>
      </c>
      <c r="F4633" t="s">
        <v>36</v>
      </c>
      <c r="G4633">
        <v>9.4</v>
      </c>
      <c r="H4633">
        <v>5.0999999999999996</v>
      </c>
      <c r="I4633" t="str" cm="1">
        <f t="array" ref="I4633">_xlfn.IFS(G4633&lt;3, "0–2 Years", G4633&lt;6, "3–5 Years", G4633&lt;9, "6–8 Years", G4633&lt;12, "9-11 Years", G4633&gt;=12, "12-14 Years")</f>
        <v>9-11 Years</v>
      </c>
      <c r="J4633">
        <v>1</v>
      </c>
      <c r="K4633" t="s">
        <v>20</v>
      </c>
      <c r="L4633">
        <v>93900</v>
      </c>
      <c r="M4633">
        <v>10200</v>
      </c>
      <c r="N4633">
        <v>104100</v>
      </c>
      <c r="O4633" t="s">
        <v>30</v>
      </c>
      <c r="P4633" s="3">
        <v>42591</v>
      </c>
      <c r="Q4633" t="s">
        <v>36</v>
      </c>
    </row>
    <row r="4634" spans="1:17" x14ac:dyDescent="0.35">
      <c r="A4634" t="s">
        <v>4686</v>
      </c>
      <c r="B4634" t="s">
        <v>16</v>
      </c>
      <c r="C4634">
        <v>39</v>
      </c>
      <c r="D4634" t="s">
        <v>34</v>
      </c>
      <c r="E4634" t="s">
        <v>35</v>
      </c>
      <c r="F4634" t="s">
        <v>62</v>
      </c>
      <c r="G4634">
        <v>4.0999999999999996</v>
      </c>
      <c r="H4634">
        <v>1.8</v>
      </c>
      <c r="I4634" t="str" cm="1">
        <f t="array" ref="I4634">_xlfn.IFS(G4634&lt;3, "0–2 Years", G4634&lt;6, "3–5 Years", G4634&lt;9, "6–8 Years", G4634&lt;12, "9-11 Years", G4634&gt;=12, "12-14 Years")</f>
        <v>3–5 Years</v>
      </c>
      <c r="J4634">
        <v>3</v>
      </c>
      <c r="K4634" t="s">
        <v>20</v>
      </c>
      <c r="L4634">
        <v>72600</v>
      </c>
      <c r="M4634">
        <v>8400</v>
      </c>
      <c r="N4634">
        <v>81000</v>
      </c>
      <c r="O4634" t="s">
        <v>21</v>
      </c>
      <c r="P4634" s="3">
        <v>44523</v>
      </c>
      <c r="Q4634" t="s">
        <v>62</v>
      </c>
    </row>
    <row r="4635" spans="1:17" x14ac:dyDescent="0.35">
      <c r="A4635" t="s">
        <v>4687</v>
      </c>
      <c r="B4635" t="s">
        <v>16</v>
      </c>
      <c r="C4635">
        <v>33</v>
      </c>
      <c r="D4635" t="s">
        <v>55</v>
      </c>
      <c r="E4635" t="s">
        <v>79</v>
      </c>
      <c r="F4635" t="s">
        <v>28</v>
      </c>
      <c r="G4635">
        <v>4.2</v>
      </c>
      <c r="H4635">
        <v>4.2</v>
      </c>
      <c r="I4635" t="str" cm="1">
        <f t="array" ref="I4635">_xlfn.IFS(G4635&lt;3, "0–2 Years", G4635&lt;6, "3–5 Years", G4635&lt;9, "6–8 Years", G4635&lt;12, "9-11 Years", G4635&gt;=12, "12-14 Years")</f>
        <v>3–5 Years</v>
      </c>
      <c r="J4635">
        <v>3</v>
      </c>
      <c r="K4635" t="s">
        <v>20</v>
      </c>
      <c r="L4635">
        <v>67100</v>
      </c>
      <c r="M4635">
        <v>8900</v>
      </c>
      <c r="N4635">
        <v>76000</v>
      </c>
      <c r="O4635" t="s">
        <v>21</v>
      </c>
      <c r="P4635" s="3">
        <v>44481</v>
      </c>
      <c r="Q4635" t="s">
        <v>28</v>
      </c>
    </row>
    <row r="4636" spans="1:17" x14ac:dyDescent="0.35">
      <c r="A4636" t="s">
        <v>4688</v>
      </c>
      <c r="B4636" t="s">
        <v>23</v>
      </c>
      <c r="C4636">
        <v>40</v>
      </c>
      <c r="D4636" t="s">
        <v>34</v>
      </c>
      <c r="E4636" t="s">
        <v>35</v>
      </c>
      <c r="F4636" t="s">
        <v>28</v>
      </c>
      <c r="G4636">
        <v>6.9</v>
      </c>
      <c r="H4636">
        <v>4.9000000000000004</v>
      </c>
      <c r="I4636" t="str" cm="1">
        <f t="array" ref="I4636">_xlfn.IFS(G4636&lt;3, "0–2 Years", G4636&lt;6, "3–5 Years", G4636&lt;9, "6–8 Years", G4636&lt;12, "9-11 Years", G4636&gt;=12, "12-14 Years")</f>
        <v>6–8 Years</v>
      </c>
      <c r="J4636">
        <v>4</v>
      </c>
      <c r="K4636" t="s">
        <v>20</v>
      </c>
      <c r="L4636">
        <v>71500</v>
      </c>
      <c r="M4636">
        <v>8200</v>
      </c>
      <c r="N4636">
        <v>79700</v>
      </c>
      <c r="O4636" t="s">
        <v>21</v>
      </c>
      <c r="P4636" s="3">
        <v>43505</v>
      </c>
      <c r="Q4636" t="s">
        <v>28</v>
      </c>
    </row>
    <row r="4637" spans="1:17" x14ac:dyDescent="0.35">
      <c r="A4637" t="s">
        <v>4689</v>
      </c>
      <c r="B4637" t="s">
        <v>16</v>
      </c>
      <c r="C4637">
        <v>22</v>
      </c>
      <c r="D4637" t="s">
        <v>34</v>
      </c>
      <c r="E4637" t="s">
        <v>59</v>
      </c>
      <c r="F4637" t="s">
        <v>36</v>
      </c>
      <c r="G4637">
        <v>11.3</v>
      </c>
      <c r="H4637">
        <v>7.9</v>
      </c>
      <c r="I4637" t="str" cm="1">
        <f t="array" ref="I4637">_xlfn.IFS(G4637&lt;3, "0–2 Years", G4637&lt;6, "3–5 Years", G4637&lt;9, "6–8 Years", G4637&lt;12, "9-11 Years", G4637&gt;=12, "12-14 Years")</f>
        <v>9-11 Years</v>
      </c>
      <c r="J4637">
        <v>4</v>
      </c>
      <c r="K4637" t="s">
        <v>20</v>
      </c>
      <c r="L4637">
        <v>124200</v>
      </c>
      <c r="M4637">
        <v>14100</v>
      </c>
      <c r="N4637">
        <v>138300</v>
      </c>
      <c r="O4637" t="s">
        <v>57</v>
      </c>
      <c r="P4637" s="3">
        <v>41898</v>
      </c>
      <c r="Q4637" t="s">
        <v>36</v>
      </c>
    </row>
    <row r="4638" spans="1:17" x14ac:dyDescent="0.35">
      <c r="A4638" t="s">
        <v>4690</v>
      </c>
      <c r="B4638" t="s">
        <v>23</v>
      </c>
      <c r="C4638">
        <v>31</v>
      </c>
      <c r="D4638" t="s">
        <v>41</v>
      </c>
      <c r="E4638" t="s">
        <v>73</v>
      </c>
      <c r="F4638" t="s">
        <v>28</v>
      </c>
      <c r="G4638">
        <v>6.6</v>
      </c>
      <c r="H4638">
        <v>5.0999999999999996</v>
      </c>
      <c r="I4638" t="str" cm="1">
        <f t="array" ref="I4638">_xlfn.IFS(G4638&lt;3, "0–2 Years", G4638&lt;6, "3–5 Years", G4638&lt;9, "6–8 Years", G4638&lt;12, "9-11 Years", G4638&gt;=12, "12-14 Years")</f>
        <v>6–8 Years</v>
      </c>
      <c r="J4638">
        <v>3</v>
      </c>
      <c r="K4638" t="s">
        <v>20</v>
      </c>
      <c r="L4638">
        <v>100000</v>
      </c>
      <c r="M4638">
        <v>4500</v>
      </c>
      <c r="N4638">
        <v>104500</v>
      </c>
      <c r="O4638" t="s">
        <v>57</v>
      </c>
      <c r="P4638" s="3">
        <v>43627</v>
      </c>
      <c r="Q4638" t="s">
        <v>28</v>
      </c>
    </row>
    <row r="4639" spans="1:17" x14ac:dyDescent="0.35">
      <c r="A4639" t="s">
        <v>4691</v>
      </c>
      <c r="B4639" t="s">
        <v>23</v>
      </c>
      <c r="C4639">
        <v>38</v>
      </c>
      <c r="D4639" t="s">
        <v>55</v>
      </c>
      <c r="E4639" t="s">
        <v>92</v>
      </c>
      <c r="F4639" t="s">
        <v>28</v>
      </c>
      <c r="G4639">
        <v>2.5</v>
      </c>
      <c r="H4639">
        <v>0</v>
      </c>
      <c r="I4639" t="str" cm="1">
        <f t="array" ref="I4639">_xlfn.IFS(G4639&lt;3, "0–2 Years", G4639&lt;6, "3–5 Years", G4639&lt;9, "6–8 Years", G4639&lt;12, "9-11 Years", G4639&gt;=12, "12-14 Years")</f>
        <v>0–2 Years</v>
      </c>
      <c r="J4639">
        <v>3</v>
      </c>
      <c r="K4639" t="s">
        <v>24</v>
      </c>
      <c r="L4639">
        <v>63200</v>
      </c>
      <c r="M4639">
        <v>10200</v>
      </c>
      <c r="N4639">
        <v>73400</v>
      </c>
      <c r="O4639" t="s">
        <v>25</v>
      </c>
      <c r="P4639" s="3">
        <v>45102</v>
      </c>
      <c r="Q4639" t="s">
        <v>28</v>
      </c>
    </row>
    <row r="4640" spans="1:17" x14ac:dyDescent="0.35">
      <c r="A4640" t="s">
        <v>4692</v>
      </c>
      <c r="B4640" t="s">
        <v>16</v>
      </c>
      <c r="C4640">
        <v>35</v>
      </c>
      <c r="D4640" t="s">
        <v>44</v>
      </c>
      <c r="E4640" t="s">
        <v>76</v>
      </c>
      <c r="F4640" t="s">
        <v>28</v>
      </c>
      <c r="G4640">
        <v>10.4</v>
      </c>
      <c r="H4640">
        <v>4.2</v>
      </c>
      <c r="I4640" t="str" cm="1">
        <f t="array" ref="I4640">_xlfn.IFS(G4640&lt;3, "0–2 Years", G4640&lt;6, "3–5 Years", G4640&lt;9, "6–8 Years", G4640&lt;12, "9-11 Years", G4640&gt;=12, "12-14 Years")</f>
        <v>9-11 Years</v>
      </c>
      <c r="J4640">
        <v>5</v>
      </c>
      <c r="K4640" t="s">
        <v>24</v>
      </c>
      <c r="L4640">
        <v>64000</v>
      </c>
      <c r="M4640">
        <v>6000</v>
      </c>
      <c r="N4640">
        <v>70000</v>
      </c>
      <c r="O4640" t="s">
        <v>25</v>
      </c>
      <c r="P4640" s="3">
        <v>42207</v>
      </c>
      <c r="Q4640" t="s">
        <v>28</v>
      </c>
    </row>
    <row r="4641" spans="1:17" x14ac:dyDescent="0.35">
      <c r="A4641" t="s">
        <v>4693</v>
      </c>
      <c r="B4641" t="s">
        <v>16</v>
      </c>
      <c r="C4641">
        <v>29</v>
      </c>
      <c r="D4641" t="s">
        <v>41</v>
      </c>
      <c r="E4641" t="s">
        <v>42</v>
      </c>
      <c r="F4641" t="s">
        <v>28</v>
      </c>
      <c r="G4641">
        <v>4</v>
      </c>
      <c r="H4641">
        <v>2.7</v>
      </c>
      <c r="I4641" t="str" cm="1">
        <f t="array" ref="I4641">_xlfn.IFS(G4641&lt;3, "0–2 Years", G4641&lt;6, "3–5 Years", G4641&lt;9, "6–8 Years", G4641&lt;12, "9-11 Years", G4641&gt;=12, "12-14 Years")</f>
        <v>3–5 Years</v>
      </c>
      <c r="J4641">
        <v>4</v>
      </c>
      <c r="K4641" t="s">
        <v>20</v>
      </c>
      <c r="L4641">
        <v>71600</v>
      </c>
      <c r="M4641">
        <v>4200</v>
      </c>
      <c r="N4641">
        <v>75800</v>
      </c>
      <c r="O4641" t="s">
        <v>21</v>
      </c>
      <c r="P4641" s="3">
        <v>44571</v>
      </c>
      <c r="Q4641" t="s">
        <v>28</v>
      </c>
    </row>
    <row r="4642" spans="1:17" x14ac:dyDescent="0.35">
      <c r="A4642" t="s">
        <v>4694</v>
      </c>
      <c r="B4642" t="s">
        <v>23</v>
      </c>
      <c r="C4642" s="7">
        <v>27</v>
      </c>
      <c r="D4642" t="s">
        <v>41</v>
      </c>
      <c r="E4642" t="s">
        <v>67</v>
      </c>
      <c r="F4642" t="s">
        <v>28</v>
      </c>
      <c r="G4642" s="9">
        <v>12.2</v>
      </c>
      <c r="H4642" s="7">
        <v>9.1999999999999993</v>
      </c>
      <c r="I4642" t="str" cm="1">
        <f t="array" ref="I4642">_xlfn.IFS(G4642&lt;3, "0–2 Years", G4642&lt;6, "3–5 Years", G4642&lt;9, "6–8 Years", G4642&lt;12, "9-11 Years", G4642&gt;=12, "12-14 Years")</f>
        <v>12-14 Years</v>
      </c>
      <c r="J4642" s="7">
        <v>3</v>
      </c>
      <c r="K4642" t="s">
        <v>20</v>
      </c>
      <c r="L4642" s="7">
        <v>83500</v>
      </c>
      <c r="M4642" s="7">
        <v>7000</v>
      </c>
      <c r="N4642" s="7">
        <v>90500</v>
      </c>
      <c r="O4642" t="s">
        <v>30</v>
      </c>
      <c r="P4642" s="3">
        <v>41559</v>
      </c>
      <c r="Q4642" t="s">
        <v>28</v>
      </c>
    </row>
    <row r="4643" spans="1:17" x14ac:dyDescent="0.35">
      <c r="A4643" t="s">
        <v>4695</v>
      </c>
      <c r="B4643" t="s">
        <v>16</v>
      </c>
      <c r="C4643">
        <v>36</v>
      </c>
      <c r="D4643" t="s">
        <v>34</v>
      </c>
      <c r="E4643" t="s">
        <v>59</v>
      </c>
      <c r="F4643" t="s">
        <v>28</v>
      </c>
      <c r="G4643">
        <v>4.0999999999999996</v>
      </c>
      <c r="H4643">
        <v>0.7</v>
      </c>
      <c r="I4643" t="str" cm="1">
        <f t="array" ref="I4643">_xlfn.IFS(G4643&lt;3, "0–2 Years", G4643&lt;6, "3–5 Years", G4643&lt;9, "6–8 Years", G4643&lt;12, "9-11 Years", G4643&gt;=12, "12-14 Years")</f>
        <v>3–5 Years</v>
      </c>
      <c r="J4643">
        <v>1</v>
      </c>
      <c r="K4643" t="s">
        <v>20</v>
      </c>
      <c r="L4643">
        <v>99600</v>
      </c>
      <c r="M4643">
        <v>9500</v>
      </c>
      <c r="N4643">
        <v>109100</v>
      </c>
      <c r="O4643" t="s">
        <v>30</v>
      </c>
      <c r="P4643" s="3">
        <v>44508</v>
      </c>
      <c r="Q4643" t="s">
        <v>28</v>
      </c>
    </row>
    <row r="4644" spans="1:17" x14ac:dyDescent="0.35">
      <c r="A4644" t="s">
        <v>4696</v>
      </c>
      <c r="B4644" t="s">
        <v>16</v>
      </c>
      <c r="C4644" s="7">
        <v>43</v>
      </c>
      <c r="D4644" t="s">
        <v>55</v>
      </c>
      <c r="E4644" t="s">
        <v>79</v>
      </c>
      <c r="F4644" t="s">
        <v>19</v>
      </c>
      <c r="G4644" s="9">
        <v>13.4</v>
      </c>
      <c r="H4644" s="7">
        <v>8.3000000000000007</v>
      </c>
      <c r="I4644" t="str" cm="1">
        <f t="array" ref="I4644">_xlfn.IFS(G4644&lt;3, "0–2 Years", G4644&lt;6, "3–5 Years", G4644&lt;9, "6–8 Years", G4644&lt;12, "9-11 Years", G4644&gt;=12, "12-14 Years")</f>
        <v>12-14 Years</v>
      </c>
      <c r="J4644" s="7">
        <v>3</v>
      </c>
      <c r="K4644" t="s">
        <v>69</v>
      </c>
      <c r="L4644" s="7">
        <v>57300</v>
      </c>
      <c r="M4644" s="7">
        <v>9900</v>
      </c>
      <c r="N4644" s="7">
        <v>67200</v>
      </c>
      <c r="O4644" t="s">
        <v>25</v>
      </c>
      <c r="P4644" s="3">
        <v>41146</v>
      </c>
      <c r="Q4644" t="s">
        <v>19</v>
      </c>
    </row>
    <row r="4645" spans="1:17" x14ac:dyDescent="0.35">
      <c r="A4645" t="s">
        <v>4697</v>
      </c>
      <c r="B4645" t="s">
        <v>23</v>
      </c>
      <c r="C4645">
        <v>32</v>
      </c>
      <c r="D4645" t="s">
        <v>41</v>
      </c>
      <c r="E4645" t="s">
        <v>42</v>
      </c>
      <c r="F4645" t="s">
        <v>36</v>
      </c>
      <c r="G4645">
        <v>3.7</v>
      </c>
      <c r="H4645">
        <v>1.8</v>
      </c>
      <c r="I4645" t="str" cm="1">
        <f t="array" ref="I4645">_xlfn.IFS(G4645&lt;3, "0–2 Years", G4645&lt;6, "3–5 Years", G4645&lt;9, "6–8 Years", G4645&lt;12, "9-11 Years", G4645&gt;=12, "12-14 Years")</f>
        <v>3–5 Years</v>
      </c>
      <c r="J4645">
        <v>3</v>
      </c>
      <c r="K4645" t="s">
        <v>20</v>
      </c>
      <c r="L4645">
        <v>72400</v>
      </c>
      <c r="M4645">
        <v>6400</v>
      </c>
      <c r="N4645">
        <v>78800</v>
      </c>
      <c r="O4645" t="s">
        <v>21</v>
      </c>
      <c r="P4645" s="3">
        <v>44682</v>
      </c>
      <c r="Q4645" t="s">
        <v>36</v>
      </c>
    </row>
    <row r="4646" spans="1:17" x14ac:dyDescent="0.35">
      <c r="A4646" t="s">
        <v>4698</v>
      </c>
      <c r="B4646" t="s">
        <v>23</v>
      </c>
      <c r="C4646" s="7">
        <v>38</v>
      </c>
      <c r="D4646" t="s">
        <v>55</v>
      </c>
      <c r="E4646" t="s">
        <v>79</v>
      </c>
      <c r="F4646" t="s">
        <v>36</v>
      </c>
      <c r="G4646" s="9">
        <v>13</v>
      </c>
      <c r="H4646" s="7">
        <v>9</v>
      </c>
      <c r="I4646" t="str" cm="1">
        <f t="array" ref="I4646">_xlfn.IFS(G4646&lt;3, "0–2 Years", G4646&lt;6, "3–5 Years", G4646&lt;9, "6–8 Years", G4646&lt;12, "9-11 Years", G4646&gt;=12, "12-14 Years")</f>
        <v>12-14 Years</v>
      </c>
      <c r="J4646" s="7">
        <v>3</v>
      </c>
      <c r="K4646" t="s">
        <v>69</v>
      </c>
      <c r="L4646" s="7">
        <v>66200</v>
      </c>
      <c r="M4646" s="7">
        <v>11400</v>
      </c>
      <c r="N4646" s="7">
        <v>77600</v>
      </c>
      <c r="O4646" t="s">
        <v>21</v>
      </c>
      <c r="P4646" s="3">
        <v>41293</v>
      </c>
      <c r="Q4646" t="s">
        <v>36</v>
      </c>
    </row>
    <row r="4647" spans="1:17" x14ac:dyDescent="0.35">
      <c r="A4647" t="s">
        <v>4699</v>
      </c>
      <c r="B4647" t="s">
        <v>16</v>
      </c>
      <c r="C4647">
        <v>36</v>
      </c>
      <c r="D4647" t="s">
        <v>55</v>
      </c>
      <c r="E4647" t="s">
        <v>56</v>
      </c>
      <c r="F4647" t="s">
        <v>19</v>
      </c>
      <c r="G4647">
        <v>3.4</v>
      </c>
      <c r="H4647">
        <v>0</v>
      </c>
      <c r="I4647" t="str" cm="1">
        <f t="array" ref="I4647">_xlfn.IFS(G4647&lt;3, "0–2 Years", G4647&lt;6, "3–5 Years", G4647&lt;9, "6–8 Years", G4647&lt;12, "9-11 Years", G4647&gt;=12, "12-14 Years")</f>
        <v>3–5 Years</v>
      </c>
      <c r="J4647">
        <v>3</v>
      </c>
      <c r="K4647" t="s">
        <v>20</v>
      </c>
      <c r="L4647">
        <v>95200</v>
      </c>
      <c r="M4647">
        <v>19500</v>
      </c>
      <c r="N4647">
        <v>114700</v>
      </c>
      <c r="O4647" t="s">
        <v>30</v>
      </c>
      <c r="P4647" s="3">
        <v>44799</v>
      </c>
      <c r="Q4647" t="s">
        <v>19</v>
      </c>
    </row>
    <row r="4648" spans="1:17" x14ac:dyDescent="0.35">
      <c r="A4648" t="s">
        <v>4700</v>
      </c>
      <c r="B4648" t="s">
        <v>16</v>
      </c>
      <c r="C4648">
        <v>38</v>
      </c>
      <c r="D4648" t="s">
        <v>17</v>
      </c>
      <c r="E4648" t="s">
        <v>32</v>
      </c>
      <c r="F4648" t="s">
        <v>28</v>
      </c>
      <c r="G4648">
        <v>2.2999999999999998</v>
      </c>
      <c r="H4648">
        <v>0.4</v>
      </c>
      <c r="I4648" t="str" cm="1">
        <f t="array" ref="I4648">_xlfn.IFS(G4648&lt;3, "0–2 Years", G4648&lt;6, "3–5 Years", G4648&lt;9, "6–8 Years", G4648&lt;12, "9-11 Years", G4648&gt;=12, "12-14 Years")</f>
        <v>0–2 Years</v>
      </c>
      <c r="J4648">
        <v>5</v>
      </c>
      <c r="K4648" t="s">
        <v>20</v>
      </c>
      <c r="L4648">
        <v>68500</v>
      </c>
      <c r="M4648">
        <v>4800</v>
      </c>
      <c r="N4648">
        <v>73300</v>
      </c>
      <c r="O4648" t="s">
        <v>21</v>
      </c>
      <c r="P4648" s="3">
        <v>45192</v>
      </c>
      <c r="Q4648" t="s">
        <v>28</v>
      </c>
    </row>
    <row r="4649" spans="1:17" x14ac:dyDescent="0.35">
      <c r="A4649" t="s">
        <v>4701</v>
      </c>
      <c r="B4649" t="s">
        <v>23</v>
      </c>
      <c r="C4649">
        <v>31</v>
      </c>
      <c r="D4649" t="s">
        <v>55</v>
      </c>
      <c r="E4649" t="s">
        <v>92</v>
      </c>
      <c r="F4649" t="s">
        <v>19</v>
      </c>
      <c r="G4649">
        <v>1.5</v>
      </c>
      <c r="H4649">
        <v>0.9</v>
      </c>
      <c r="I4649" t="str" cm="1">
        <f t="array" ref="I4649">_xlfn.IFS(G4649&lt;3, "0–2 Years", G4649&lt;6, "3–5 Years", G4649&lt;9, "6–8 Years", G4649&lt;12, "9-11 Years", G4649&gt;=12, "12-14 Years")</f>
        <v>0–2 Years</v>
      </c>
      <c r="J4649">
        <v>2</v>
      </c>
      <c r="K4649" t="s">
        <v>20</v>
      </c>
      <c r="L4649">
        <v>89600</v>
      </c>
      <c r="M4649">
        <v>16300</v>
      </c>
      <c r="N4649">
        <v>105900</v>
      </c>
      <c r="O4649" t="s">
        <v>30</v>
      </c>
      <c r="P4649" s="3">
        <v>45461</v>
      </c>
      <c r="Q4649" t="s">
        <v>19</v>
      </c>
    </row>
    <row r="4650" spans="1:17" x14ac:dyDescent="0.35">
      <c r="A4650" t="s">
        <v>4702</v>
      </c>
      <c r="B4650" t="s">
        <v>23</v>
      </c>
      <c r="C4650">
        <v>32</v>
      </c>
      <c r="D4650" t="s">
        <v>44</v>
      </c>
      <c r="E4650" t="s">
        <v>45</v>
      </c>
      <c r="F4650" t="s">
        <v>28</v>
      </c>
      <c r="G4650">
        <v>4.4000000000000004</v>
      </c>
      <c r="H4650">
        <v>4.4000000000000004</v>
      </c>
      <c r="I4650" t="str" cm="1">
        <f t="array" ref="I4650">_xlfn.IFS(G4650&lt;3, "0–2 Years", G4650&lt;6, "3–5 Years", G4650&lt;9, "6–8 Years", G4650&lt;12, "9-11 Years", G4650&gt;=12, "12-14 Years")</f>
        <v>3–5 Years</v>
      </c>
      <c r="J4650">
        <v>3</v>
      </c>
      <c r="K4650" t="s">
        <v>20</v>
      </c>
      <c r="L4650">
        <v>73300</v>
      </c>
      <c r="M4650">
        <v>8100</v>
      </c>
      <c r="N4650">
        <v>81400</v>
      </c>
      <c r="O4650" t="s">
        <v>21</v>
      </c>
      <c r="P4650" s="3">
        <v>44401</v>
      </c>
      <c r="Q4650" t="s">
        <v>28</v>
      </c>
    </row>
    <row r="4651" spans="1:17" x14ac:dyDescent="0.35">
      <c r="A4651" t="s">
        <v>4703</v>
      </c>
      <c r="B4651" t="s">
        <v>16</v>
      </c>
      <c r="C4651">
        <v>29</v>
      </c>
      <c r="D4651" t="s">
        <v>55</v>
      </c>
      <c r="E4651" t="s">
        <v>92</v>
      </c>
      <c r="F4651" t="s">
        <v>28</v>
      </c>
      <c r="G4651">
        <v>10.199999999999999</v>
      </c>
      <c r="H4651">
        <v>6.4</v>
      </c>
      <c r="I4651" t="str" cm="1">
        <f t="array" ref="I4651">_xlfn.IFS(G4651&lt;3, "0–2 Years", G4651&lt;6, "3–5 Years", G4651&lt;9, "6–8 Years", G4651&lt;12, "9-11 Years", G4651&gt;=12, "12-14 Years")</f>
        <v>9-11 Years</v>
      </c>
      <c r="J4651">
        <v>4</v>
      </c>
      <c r="K4651" t="s">
        <v>20</v>
      </c>
      <c r="L4651">
        <v>99100</v>
      </c>
      <c r="M4651">
        <v>9700</v>
      </c>
      <c r="N4651">
        <v>108800</v>
      </c>
      <c r="O4651" t="s">
        <v>30</v>
      </c>
      <c r="P4651" s="3">
        <v>42296</v>
      </c>
      <c r="Q4651" t="s">
        <v>28</v>
      </c>
    </row>
    <row r="4652" spans="1:17" x14ac:dyDescent="0.35">
      <c r="A4652" t="s">
        <v>4704</v>
      </c>
      <c r="B4652" t="s">
        <v>16</v>
      </c>
      <c r="C4652" s="7">
        <v>34</v>
      </c>
      <c r="D4652" t="s">
        <v>17</v>
      </c>
      <c r="E4652" t="s">
        <v>32</v>
      </c>
      <c r="F4652" t="s">
        <v>28</v>
      </c>
      <c r="G4652" s="9">
        <v>13.7</v>
      </c>
      <c r="H4652" s="7">
        <v>10</v>
      </c>
      <c r="I4652" t="str" cm="1">
        <f t="array" ref="I4652">_xlfn.IFS(G4652&lt;3, "0–2 Years", G4652&lt;6, "3–5 Years", G4652&lt;9, "6–8 Years", G4652&lt;12, "9-11 Years", G4652&gt;=12, "12-14 Years")</f>
        <v>12-14 Years</v>
      </c>
      <c r="J4652" s="7">
        <v>3</v>
      </c>
      <c r="K4652" t="s">
        <v>20</v>
      </c>
      <c r="L4652" s="7">
        <v>80900</v>
      </c>
      <c r="M4652" s="7">
        <v>9500</v>
      </c>
      <c r="N4652" s="7">
        <v>90400</v>
      </c>
      <c r="O4652" t="s">
        <v>30</v>
      </c>
      <c r="P4652" s="3">
        <v>41021</v>
      </c>
      <c r="Q4652" t="s">
        <v>28</v>
      </c>
    </row>
    <row r="4653" spans="1:17" x14ac:dyDescent="0.35">
      <c r="A4653" t="s">
        <v>4705</v>
      </c>
      <c r="B4653" t="s">
        <v>16</v>
      </c>
      <c r="C4653">
        <v>22</v>
      </c>
      <c r="D4653" t="s">
        <v>34</v>
      </c>
      <c r="E4653" t="s">
        <v>59</v>
      </c>
      <c r="F4653" t="s">
        <v>28</v>
      </c>
      <c r="G4653">
        <v>10.3</v>
      </c>
      <c r="H4653">
        <v>4.9000000000000004</v>
      </c>
      <c r="I4653" t="str" cm="1">
        <f t="array" ref="I4653">_xlfn.IFS(G4653&lt;3, "0–2 Years", G4653&lt;6, "3–5 Years", G4653&lt;9, "6–8 Years", G4653&lt;12, "9-11 Years", G4653&gt;=12, "12-14 Years")</f>
        <v>9-11 Years</v>
      </c>
      <c r="J4653">
        <v>2</v>
      </c>
      <c r="K4653" t="s">
        <v>20</v>
      </c>
      <c r="L4653">
        <v>110700</v>
      </c>
      <c r="M4653">
        <v>8900</v>
      </c>
      <c r="N4653">
        <v>119600</v>
      </c>
      <c r="O4653" t="s">
        <v>57</v>
      </c>
      <c r="P4653" s="3">
        <v>42246</v>
      </c>
      <c r="Q4653" t="s">
        <v>28</v>
      </c>
    </row>
    <row r="4654" spans="1:17" x14ac:dyDescent="0.35">
      <c r="A4654" t="s">
        <v>4706</v>
      </c>
      <c r="B4654" t="s">
        <v>23</v>
      </c>
      <c r="C4654">
        <v>31</v>
      </c>
      <c r="D4654" t="s">
        <v>34</v>
      </c>
      <c r="E4654" t="s">
        <v>47</v>
      </c>
      <c r="F4654" t="s">
        <v>36</v>
      </c>
      <c r="G4654">
        <v>3.6</v>
      </c>
      <c r="H4654">
        <v>0.2</v>
      </c>
      <c r="I4654" t="str" cm="1">
        <f t="array" ref="I4654">_xlfn.IFS(G4654&lt;3, "0–2 Years", G4654&lt;6, "3–5 Years", G4654&lt;9, "6–8 Years", G4654&lt;12, "9-11 Years", G4654&gt;=12, "12-14 Years")</f>
        <v>3–5 Years</v>
      </c>
      <c r="J4654">
        <v>3</v>
      </c>
      <c r="K4654" t="s">
        <v>20</v>
      </c>
      <c r="L4654">
        <v>80000</v>
      </c>
      <c r="M4654">
        <v>7000</v>
      </c>
      <c r="N4654">
        <v>87000</v>
      </c>
      <c r="O4654" t="s">
        <v>30</v>
      </c>
      <c r="P4654" s="3">
        <v>44725</v>
      </c>
      <c r="Q4654" t="s">
        <v>36</v>
      </c>
    </row>
    <row r="4655" spans="1:17" x14ac:dyDescent="0.35">
      <c r="A4655" t="s">
        <v>4707</v>
      </c>
      <c r="B4655" t="s">
        <v>16</v>
      </c>
      <c r="C4655">
        <v>42</v>
      </c>
      <c r="D4655" t="s">
        <v>34</v>
      </c>
      <c r="E4655" t="s">
        <v>35</v>
      </c>
      <c r="F4655" t="s">
        <v>36</v>
      </c>
      <c r="G4655">
        <v>4.7</v>
      </c>
      <c r="H4655">
        <v>4.5999999999999996</v>
      </c>
      <c r="I4655" t="str" cm="1">
        <f t="array" ref="I4655">_xlfn.IFS(G4655&lt;3, "0–2 Years", G4655&lt;6, "3–5 Years", G4655&lt;9, "6–8 Years", G4655&lt;12, "9-11 Years", G4655&gt;=12, "12-14 Years")</f>
        <v>3–5 Years</v>
      </c>
      <c r="J4655">
        <v>2</v>
      </c>
      <c r="K4655" t="s">
        <v>20</v>
      </c>
      <c r="L4655">
        <v>77700</v>
      </c>
      <c r="M4655">
        <v>7000</v>
      </c>
      <c r="N4655">
        <v>84700</v>
      </c>
      <c r="O4655" t="s">
        <v>21</v>
      </c>
      <c r="P4655" s="3">
        <v>44304</v>
      </c>
      <c r="Q4655" t="s">
        <v>36</v>
      </c>
    </row>
    <row r="4656" spans="1:17" x14ac:dyDescent="0.35">
      <c r="A4656" t="s">
        <v>4708</v>
      </c>
      <c r="B4656" t="s">
        <v>16</v>
      </c>
      <c r="C4656">
        <v>25</v>
      </c>
      <c r="D4656" t="s">
        <v>17</v>
      </c>
      <c r="E4656" t="s">
        <v>18</v>
      </c>
      <c r="F4656" t="s">
        <v>19</v>
      </c>
      <c r="G4656">
        <v>6.4</v>
      </c>
      <c r="H4656">
        <v>5.2</v>
      </c>
      <c r="I4656" t="str" cm="1">
        <f t="array" ref="I4656">_xlfn.IFS(G4656&lt;3, "0–2 Years", G4656&lt;6, "3–5 Years", G4656&lt;9, "6–8 Years", G4656&lt;12, "9-11 Years", G4656&gt;=12, "12-14 Years")</f>
        <v>6–8 Years</v>
      </c>
      <c r="J4656">
        <v>2</v>
      </c>
      <c r="K4656" t="s">
        <v>20</v>
      </c>
      <c r="L4656">
        <v>83000</v>
      </c>
      <c r="M4656">
        <v>11000</v>
      </c>
      <c r="N4656">
        <v>94000</v>
      </c>
      <c r="O4656" t="s">
        <v>30</v>
      </c>
      <c r="P4656" s="3">
        <v>43676</v>
      </c>
      <c r="Q4656" t="s">
        <v>19</v>
      </c>
    </row>
    <row r="4657" spans="1:17" x14ac:dyDescent="0.35">
      <c r="A4657" t="s">
        <v>4709</v>
      </c>
      <c r="B4657" t="s">
        <v>23</v>
      </c>
      <c r="C4657">
        <v>45</v>
      </c>
      <c r="D4657" t="s">
        <v>38</v>
      </c>
      <c r="E4657" t="s">
        <v>61</v>
      </c>
      <c r="F4657" t="s">
        <v>36</v>
      </c>
      <c r="G4657">
        <v>2.2999999999999998</v>
      </c>
      <c r="H4657">
        <v>0</v>
      </c>
      <c r="I4657" t="str" cm="1">
        <f t="array" ref="I4657">_xlfn.IFS(G4657&lt;3, "0–2 Years", G4657&lt;6, "3–5 Years", G4657&lt;9, "6–8 Years", G4657&lt;12, "9-11 Years", G4657&gt;=12, "12-14 Years")</f>
        <v>0–2 Years</v>
      </c>
      <c r="J4657">
        <v>2</v>
      </c>
      <c r="K4657" t="s">
        <v>20</v>
      </c>
      <c r="L4657">
        <v>97900</v>
      </c>
      <c r="M4657">
        <v>8100</v>
      </c>
      <c r="N4657">
        <v>106000</v>
      </c>
      <c r="O4657" t="s">
        <v>30</v>
      </c>
      <c r="P4657" s="3">
        <v>45189</v>
      </c>
      <c r="Q4657" t="s">
        <v>36</v>
      </c>
    </row>
    <row r="4658" spans="1:17" x14ac:dyDescent="0.35">
      <c r="A4658" t="s">
        <v>4710</v>
      </c>
      <c r="B4658" t="s">
        <v>23</v>
      </c>
      <c r="C4658">
        <v>21</v>
      </c>
      <c r="D4658" t="s">
        <v>41</v>
      </c>
      <c r="E4658" t="s">
        <v>42</v>
      </c>
      <c r="F4658" t="s">
        <v>36</v>
      </c>
      <c r="G4658">
        <v>9.1999999999999993</v>
      </c>
      <c r="H4658">
        <v>5.9</v>
      </c>
      <c r="I4658" t="str" cm="1">
        <f t="array" ref="I4658">_xlfn.IFS(G4658&lt;3, "0–2 Years", G4658&lt;6, "3–5 Years", G4658&lt;9, "6–8 Years", G4658&lt;12, "9-11 Years", G4658&gt;=12, "12-14 Years")</f>
        <v>9-11 Years</v>
      </c>
      <c r="J4658">
        <v>4</v>
      </c>
      <c r="K4658" t="s">
        <v>20</v>
      </c>
      <c r="L4658">
        <v>78300</v>
      </c>
      <c r="M4658">
        <v>5000</v>
      </c>
      <c r="N4658">
        <v>83300</v>
      </c>
      <c r="O4658" t="s">
        <v>21</v>
      </c>
      <c r="P4658" s="3">
        <v>42646</v>
      </c>
      <c r="Q4658" t="s">
        <v>36</v>
      </c>
    </row>
    <row r="4659" spans="1:17" x14ac:dyDescent="0.35">
      <c r="A4659" t="s">
        <v>4711</v>
      </c>
      <c r="B4659" t="s">
        <v>16</v>
      </c>
      <c r="C4659">
        <v>48</v>
      </c>
      <c r="D4659" t="s">
        <v>41</v>
      </c>
      <c r="E4659" t="s">
        <v>42</v>
      </c>
      <c r="F4659" t="s">
        <v>28</v>
      </c>
      <c r="G4659">
        <v>8.1999999999999993</v>
      </c>
      <c r="H4659">
        <v>5.0999999999999996</v>
      </c>
      <c r="I4659" t="str" cm="1">
        <f t="array" ref="I4659">_xlfn.IFS(G4659&lt;3, "0–2 Years", G4659&lt;6, "3–5 Years", G4659&lt;9, "6–8 Years", G4659&lt;12, "9-11 Years", G4659&gt;=12, "12-14 Years")</f>
        <v>6–8 Years</v>
      </c>
      <c r="J4659">
        <v>4</v>
      </c>
      <c r="K4659" t="s">
        <v>69</v>
      </c>
      <c r="L4659">
        <v>66100</v>
      </c>
      <c r="M4659">
        <v>3600</v>
      </c>
      <c r="N4659">
        <v>69700</v>
      </c>
      <c r="O4659" t="s">
        <v>21</v>
      </c>
      <c r="P4659" s="3">
        <v>43038</v>
      </c>
      <c r="Q4659" t="s">
        <v>28</v>
      </c>
    </row>
    <row r="4660" spans="1:17" x14ac:dyDescent="0.35">
      <c r="A4660" t="s">
        <v>4712</v>
      </c>
      <c r="B4660" t="s">
        <v>23</v>
      </c>
      <c r="C4660">
        <v>25</v>
      </c>
      <c r="D4660" t="s">
        <v>38</v>
      </c>
      <c r="E4660" t="s">
        <v>39</v>
      </c>
      <c r="F4660" t="s">
        <v>36</v>
      </c>
      <c r="G4660">
        <v>4.0999999999999996</v>
      </c>
      <c r="H4660">
        <v>3.8</v>
      </c>
      <c r="I4660" t="str" cm="1">
        <f t="array" ref="I4660">_xlfn.IFS(G4660&lt;3, "0–2 Years", G4660&lt;6, "3–5 Years", G4660&lt;9, "6–8 Years", G4660&lt;12, "9-11 Years", G4660&gt;=12, "12-14 Years")</f>
        <v>3–5 Years</v>
      </c>
      <c r="J4660">
        <v>2</v>
      </c>
      <c r="K4660" t="s">
        <v>20</v>
      </c>
      <c r="L4660">
        <v>65700</v>
      </c>
      <c r="M4660">
        <v>2400</v>
      </c>
      <c r="N4660">
        <v>68100</v>
      </c>
      <c r="O4660" t="s">
        <v>21</v>
      </c>
      <c r="P4660" s="3">
        <v>44514</v>
      </c>
      <c r="Q4660" t="s">
        <v>36</v>
      </c>
    </row>
    <row r="4661" spans="1:17" x14ac:dyDescent="0.35">
      <c r="A4661" t="s">
        <v>4713</v>
      </c>
      <c r="B4661" t="s">
        <v>16</v>
      </c>
      <c r="C4661">
        <v>57</v>
      </c>
      <c r="D4661" t="s">
        <v>55</v>
      </c>
      <c r="E4661" t="s">
        <v>56</v>
      </c>
      <c r="F4661" t="s">
        <v>28</v>
      </c>
      <c r="G4661">
        <v>8.6999999999999993</v>
      </c>
      <c r="H4661">
        <v>4.7</v>
      </c>
      <c r="I4661" t="str" cm="1">
        <f t="array" ref="I4661">_xlfn.IFS(G4661&lt;3, "0–2 Years", G4661&lt;6, "3–5 Years", G4661&lt;9, "6–8 Years", G4661&lt;12, "9-11 Years", G4661&gt;=12, "12-14 Years")</f>
        <v>6–8 Years</v>
      </c>
      <c r="J4661">
        <v>2</v>
      </c>
      <c r="K4661" t="s">
        <v>20</v>
      </c>
      <c r="L4661">
        <v>106000</v>
      </c>
      <c r="M4661">
        <v>19100</v>
      </c>
      <c r="N4661">
        <v>125100</v>
      </c>
      <c r="O4661" t="s">
        <v>57</v>
      </c>
      <c r="P4661" s="3">
        <v>42838</v>
      </c>
      <c r="Q4661" t="s">
        <v>28</v>
      </c>
    </row>
    <row r="4662" spans="1:17" x14ac:dyDescent="0.35">
      <c r="A4662" t="s">
        <v>4714</v>
      </c>
      <c r="B4662" t="s">
        <v>23</v>
      </c>
      <c r="C4662">
        <v>30</v>
      </c>
      <c r="D4662" t="s">
        <v>55</v>
      </c>
      <c r="E4662" t="s">
        <v>92</v>
      </c>
      <c r="F4662" t="s">
        <v>36</v>
      </c>
      <c r="G4662">
        <v>9.9</v>
      </c>
      <c r="H4662">
        <v>7.9</v>
      </c>
      <c r="I4662" t="str" cm="1">
        <f t="array" ref="I4662">_xlfn.IFS(G4662&lt;3, "0–2 Years", G4662&lt;6, "3–5 Years", G4662&lt;9, "6–8 Years", G4662&lt;12, "9-11 Years", G4662&gt;=12, "12-14 Years")</f>
        <v>9-11 Years</v>
      </c>
      <c r="J4662">
        <v>4</v>
      </c>
      <c r="K4662" t="s">
        <v>20</v>
      </c>
      <c r="L4662">
        <v>106200</v>
      </c>
      <c r="M4662">
        <v>16400</v>
      </c>
      <c r="N4662">
        <v>122600</v>
      </c>
      <c r="O4662" t="s">
        <v>57</v>
      </c>
      <c r="P4662" s="3">
        <v>42409</v>
      </c>
      <c r="Q4662" t="s">
        <v>36</v>
      </c>
    </row>
    <row r="4663" spans="1:17" x14ac:dyDescent="0.35">
      <c r="A4663" t="s">
        <v>4715</v>
      </c>
      <c r="B4663" t="s">
        <v>16</v>
      </c>
      <c r="C4663">
        <v>31</v>
      </c>
      <c r="D4663" t="s">
        <v>41</v>
      </c>
      <c r="E4663" t="s">
        <v>42</v>
      </c>
      <c r="F4663" t="s">
        <v>36</v>
      </c>
      <c r="G4663">
        <v>6.9</v>
      </c>
      <c r="H4663">
        <v>2.5</v>
      </c>
      <c r="I4663" t="str" cm="1">
        <f t="array" ref="I4663">_xlfn.IFS(G4663&lt;3, "0–2 Years", G4663&lt;6, "3–5 Years", G4663&lt;9, "6–8 Years", G4663&lt;12, "9-11 Years", G4663&gt;=12, "12-14 Years")</f>
        <v>6–8 Years</v>
      </c>
      <c r="J4663">
        <v>3</v>
      </c>
      <c r="K4663" t="s">
        <v>20</v>
      </c>
      <c r="L4663">
        <v>70400</v>
      </c>
      <c r="M4663">
        <v>3300</v>
      </c>
      <c r="N4663">
        <v>73700</v>
      </c>
      <c r="O4663" t="s">
        <v>21</v>
      </c>
      <c r="P4663" s="3">
        <v>43521</v>
      </c>
      <c r="Q4663" t="s">
        <v>36</v>
      </c>
    </row>
    <row r="4664" spans="1:17" x14ac:dyDescent="0.35">
      <c r="A4664" t="s">
        <v>4716</v>
      </c>
      <c r="B4664" t="s">
        <v>16</v>
      </c>
      <c r="C4664">
        <v>38</v>
      </c>
      <c r="D4664" t="s">
        <v>38</v>
      </c>
      <c r="E4664" t="s">
        <v>39</v>
      </c>
      <c r="F4664" t="s">
        <v>19</v>
      </c>
      <c r="G4664">
        <v>3.3</v>
      </c>
      <c r="H4664">
        <v>3.3</v>
      </c>
      <c r="I4664" t="str" cm="1">
        <f t="array" ref="I4664">_xlfn.IFS(G4664&lt;3, "0–2 Years", G4664&lt;6, "3–5 Years", G4664&lt;9, "6–8 Years", G4664&lt;12, "9-11 Years", G4664&gt;=12, "12-14 Years")</f>
        <v>3–5 Years</v>
      </c>
      <c r="J4664">
        <v>3</v>
      </c>
      <c r="K4664" t="s">
        <v>24</v>
      </c>
      <c r="L4664">
        <v>51700</v>
      </c>
      <c r="M4664">
        <v>3100</v>
      </c>
      <c r="N4664">
        <v>54800</v>
      </c>
      <c r="O4664" t="s">
        <v>25</v>
      </c>
      <c r="P4664" s="3">
        <v>44817</v>
      </c>
      <c r="Q4664" t="s">
        <v>19</v>
      </c>
    </row>
    <row r="4665" spans="1:17" x14ac:dyDescent="0.35">
      <c r="A4665" t="s">
        <v>4717</v>
      </c>
      <c r="B4665" t="s">
        <v>23</v>
      </c>
      <c r="C4665">
        <v>40</v>
      </c>
      <c r="D4665" t="s">
        <v>55</v>
      </c>
      <c r="E4665" t="s">
        <v>79</v>
      </c>
      <c r="F4665" t="s">
        <v>19</v>
      </c>
      <c r="G4665">
        <v>6.7</v>
      </c>
      <c r="H4665">
        <v>6.7</v>
      </c>
      <c r="I4665" t="str" cm="1">
        <f t="array" ref="I4665">_xlfn.IFS(G4665&lt;3, "0–2 Years", G4665&lt;6, "3–5 Years", G4665&lt;9, "6–8 Years", G4665&lt;12, "9-11 Years", G4665&gt;=12, "12-14 Years")</f>
        <v>6–8 Years</v>
      </c>
      <c r="J4665">
        <v>4</v>
      </c>
      <c r="K4665" t="s">
        <v>69</v>
      </c>
      <c r="L4665">
        <v>57100</v>
      </c>
      <c r="M4665">
        <v>5500</v>
      </c>
      <c r="N4665">
        <v>62600</v>
      </c>
      <c r="O4665" t="s">
        <v>25</v>
      </c>
      <c r="P4665" s="3">
        <v>43562</v>
      </c>
      <c r="Q4665" t="s">
        <v>19</v>
      </c>
    </row>
    <row r="4666" spans="1:17" x14ac:dyDescent="0.35">
      <c r="A4666" t="s">
        <v>4718</v>
      </c>
      <c r="B4666" t="s">
        <v>16</v>
      </c>
      <c r="C4666" s="7">
        <v>26</v>
      </c>
      <c r="D4666" t="s">
        <v>38</v>
      </c>
      <c r="E4666" t="s">
        <v>112</v>
      </c>
      <c r="F4666" t="s">
        <v>36</v>
      </c>
      <c r="G4666" s="9">
        <v>12.7</v>
      </c>
      <c r="H4666" s="7">
        <v>8.6</v>
      </c>
      <c r="I4666" t="str" cm="1">
        <f t="array" ref="I4666">_xlfn.IFS(G4666&lt;3, "0–2 Years", G4666&lt;6, "3–5 Years", G4666&lt;9, "6–8 Years", G4666&lt;12, "9-11 Years", G4666&gt;=12, "12-14 Years")</f>
        <v>12-14 Years</v>
      </c>
      <c r="J4666" s="7">
        <v>2</v>
      </c>
      <c r="K4666" t="s">
        <v>20</v>
      </c>
      <c r="L4666" s="7">
        <v>81400</v>
      </c>
      <c r="M4666" s="7">
        <v>6900</v>
      </c>
      <c r="N4666" s="7">
        <v>88300</v>
      </c>
      <c r="O4666" t="s">
        <v>30</v>
      </c>
      <c r="P4666" s="3">
        <v>41400</v>
      </c>
      <c r="Q4666" t="s">
        <v>36</v>
      </c>
    </row>
    <row r="4667" spans="1:17" x14ac:dyDescent="0.35">
      <c r="A4667" t="s">
        <v>4719</v>
      </c>
      <c r="B4667" t="s">
        <v>16</v>
      </c>
      <c r="C4667" s="7">
        <v>30</v>
      </c>
      <c r="D4667" t="s">
        <v>34</v>
      </c>
      <c r="E4667" t="s">
        <v>47</v>
      </c>
      <c r="F4667" t="s">
        <v>36</v>
      </c>
      <c r="G4667" s="9">
        <v>12.3</v>
      </c>
      <c r="H4667" s="7">
        <v>9</v>
      </c>
      <c r="I4667" t="str" cm="1">
        <f t="array" ref="I4667">_xlfn.IFS(G4667&lt;3, "0–2 Years", G4667&lt;6, "3–5 Years", G4667&lt;9, "6–8 Years", G4667&lt;12, "9-11 Years", G4667&gt;=12, "12-14 Years")</f>
        <v>12-14 Years</v>
      </c>
      <c r="J4667" s="7">
        <v>4</v>
      </c>
      <c r="K4667" t="s">
        <v>20</v>
      </c>
      <c r="L4667" s="7">
        <v>85100</v>
      </c>
      <c r="M4667" s="7">
        <v>4900</v>
      </c>
      <c r="N4667" s="7">
        <v>90000</v>
      </c>
      <c r="O4667" t="s">
        <v>30</v>
      </c>
      <c r="P4667" s="3">
        <v>41527</v>
      </c>
      <c r="Q4667" t="s">
        <v>36</v>
      </c>
    </row>
    <row r="4668" spans="1:17" x14ac:dyDescent="0.35">
      <c r="A4668" t="s">
        <v>4720</v>
      </c>
      <c r="B4668" t="s">
        <v>23</v>
      </c>
      <c r="C4668">
        <v>31</v>
      </c>
      <c r="D4668" t="s">
        <v>41</v>
      </c>
      <c r="E4668" t="s">
        <v>73</v>
      </c>
      <c r="F4668" t="s">
        <v>28</v>
      </c>
      <c r="G4668">
        <v>5.0999999999999996</v>
      </c>
      <c r="H4668">
        <v>3.5</v>
      </c>
      <c r="I4668" t="str" cm="1">
        <f t="array" ref="I4668">_xlfn.IFS(G4668&lt;3, "0–2 Years", G4668&lt;6, "3–5 Years", G4668&lt;9, "6–8 Years", G4668&lt;12, "9-11 Years", G4668&gt;=12, "12-14 Years")</f>
        <v>3–5 Years</v>
      </c>
      <c r="J4668">
        <v>3</v>
      </c>
      <c r="K4668" t="s">
        <v>20</v>
      </c>
      <c r="L4668">
        <v>82000</v>
      </c>
      <c r="M4668">
        <v>3900</v>
      </c>
      <c r="N4668">
        <v>85900</v>
      </c>
      <c r="O4668" t="s">
        <v>30</v>
      </c>
      <c r="P4668" s="3">
        <v>44142</v>
      </c>
      <c r="Q4668" t="s">
        <v>28</v>
      </c>
    </row>
    <row r="4669" spans="1:17" x14ac:dyDescent="0.35">
      <c r="A4669" t="s">
        <v>4721</v>
      </c>
      <c r="B4669" t="s">
        <v>16</v>
      </c>
      <c r="C4669">
        <v>40</v>
      </c>
      <c r="D4669" t="s">
        <v>34</v>
      </c>
      <c r="E4669" t="s">
        <v>35</v>
      </c>
      <c r="F4669" t="s">
        <v>36</v>
      </c>
      <c r="G4669">
        <v>11.6</v>
      </c>
      <c r="H4669">
        <v>9.6</v>
      </c>
      <c r="I4669" t="str" cm="1">
        <f t="array" ref="I4669">_xlfn.IFS(G4669&lt;3, "0–2 Years", G4669&lt;6, "3–5 Years", G4669&lt;9, "6–8 Years", G4669&lt;12, "9-11 Years", G4669&gt;=12, "12-14 Years")</f>
        <v>9-11 Years</v>
      </c>
      <c r="J4669">
        <v>4</v>
      </c>
      <c r="K4669" t="s">
        <v>20</v>
      </c>
      <c r="L4669">
        <v>100800</v>
      </c>
      <c r="M4669">
        <v>5900</v>
      </c>
      <c r="N4669">
        <v>106700</v>
      </c>
      <c r="O4669" t="s">
        <v>57</v>
      </c>
      <c r="P4669" s="3">
        <v>41775</v>
      </c>
      <c r="Q4669" t="s">
        <v>36</v>
      </c>
    </row>
    <row r="4670" spans="1:17" x14ac:dyDescent="0.35">
      <c r="A4670" t="s">
        <v>4722</v>
      </c>
      <c r="B4670" t="s">
        <v>23</v>
      </c>
      <c r="C4670" s="7">
        <v>37</v>
      </c>
      <c r="D4670" t="s">
        <v>38</v>
      </c>
      <c r="E4670" t="s">
        <v>39</v>
      </c>
      <c r="F4670" t="s">
        <v>28</v>
      </c>
      <c r="G4670" s="9">
        <v>12.5</v>
      </c>
      <c r="H4670" s="7">
        <v>8.3000000000000007</v>
      </c>
      <c r="I4670" t="str" cm="1">
        <f t="array" ref="I4670">_xlfn.IFS(G4670&lt;3, "0–2 Years", G4670&lt;6, "3–5 Years", G4670&lt;9, "6–8 Years", G4670&lt;12, "9-11 Years", G4670&gt;=12, "12-14 Years")</f>
        <v>12-14 Years</v>
      </c>
      <c r="J4670" s="7">
        <v>3</v>
      </c>
      <c r="K4670" t="s">
        <v>20</v>
      </c>
      <c r="L4670" s="7">
        <v>96100</v>
      </c>
      <c r="M4670" s="7">
        <v>8400</v>
      </c>
      <c r="N4670" s="7">
        <v>104500</v>
      </c>
      <c r="O4670" t="s">
        <v>30</v>
      </c>
      <c r="P4670" s="3">
        <v>41462</v>
      </c>
      <c r="Q4670" t="s">
        <v>28</v>
      </c>
    </row>
    <row r="4671" spans="1:17" x14ac:dyDescent="0.35">
      <c r="A4671" t="s">
        <v>4723</v>
      </c>
      <c r="B4671" t="s">
        <v>23</v>
      </c>
      <c r="C4671">
        <v>22</v>
      </c>
      <c r="D4671" t="s">
        <v>44</v>
      </c>
      <c r="E4671" t="s">
        <v>45</v>
      </c>
      <c r="F4671" t="s">
        <v>28</v>
      </c>
      <c r="G4671">
        <v>7</v>
      </c>
      <c r="H4671">
        <v>5.5</v>
      </c>
      <c r="I4671" t="str" cm="1">
        <f t="array" ref="I4671">_xlfn.IFS(G4671&lt;3, "0–2 Years", G4671&lt;6, "3–5 Years", G4671&lt;9, "6–8 Years", G4671&lt;12, "9-11 Years", G4671&gt;=12, "12-14 Years")</f>
        <v>6–8 Years</v>
      </c>
      <c r="J4671">
        <v>4</v>
      </c>
      <c r="K4671" t="s">
        <v>20</v>
      </c>
      <c r="L4671">
        <v>76500</v>
      </c>
      <c r="M4671">
        <v>6400</v>
      </c>
      <c r="N4671">
        <v>82900</v>
      </c>
      <c r="O4671" t="s">
        <v>21</v>
      </c>
      <c r="P4671" s="3">
        <v>43483</v>
      </c>
      <c r="Q4671" t="s">
        <v>28</v>
      </c>
    </row>
    <row r="4672" spans="1:17" x14ac:dyDescent="0.35">
      <c r="A4672" t="s">
        <v>4724</v>
      </c>
      <c r="B4672" t="s">
        <v>16</v>
      </c>
      <c r="C4672">
        <v>48</v>
      </c>
      <c r="D4672" t="s">
        <v>41</v>
      </c>
      <c r="E4672" t="s">
        <v>67</v>
      </c>
      <c r="F4672" t="s">
        <v>28</v>
      </c>
      <c r="G4672">
        <v>2.4</v>
      </c>
      <c r="H4672">
        <v>2.4</v>
      </c>
      <c r="I4672" t="str" cm="1">
        <f t="array" ref="I4672">_xlfn.IFS(G4672&lt;3, "0–2 Years", G4672&lt;6, "3–5 Years", G4672&lt;9, "6–8 Years", G4672&lt;12, "9-11 Years", G4672&gt;=12, "12-14 Years")</f>
        <v>0–2 Years</v>
      </c>
      <c r="J4672">
        <v>3</v>
      </c>
      <c r="K4672" t="s">
        <v>20</v>
      </c>
      <c r="L4672">
        <v>70100</v>
      </c>
      <c r="M4672">
        <v>5300</v>
      </c>
      <c r="N4672">
        <v>75400</v>
      </c>
      <c r="O4672" t="s">
        <v>21</v>
      </c>
      <c r="P4672" s="3">
        <v>45155</v>
      </c>
      <c r="Q4672" t="s">
        <v>28</v>
      </c>
    </row>
    <row r="4673" spans="1:17" x14ac:dyDescent="0.35">
      <c r="A4673" t="s">
        <v>4725</v>
      </c>
      <c r="B4673" t="s">
        <v>23</v>
      </c>
      <c r="C4673">
        <v>47</v>
      </c>
      <c r="D4673" t="s">
        <v>55</v>
      </c>
      <c r="E4673" t="s">
        <v>56</v>
      </c>
      <c r="F4673" t="s">
        <v>28</v>
      </c>
      <c r="G4673">
        <v>11.6</v>
      </c>
      <c r="H4673">
        <v>8.4</v>
      </c>
      <c r="I4673" t="str" cm="1">
        <f t="array" ref="I4673">_xlfn.IFS(G4673&lt;3, "0–2 Years", G4673&lt;6, "3–5 Years", G4673&lt;9, "6–8 Years", G4673&lt;12, "9-11 Years", G4673&gt;=12, "12-14 Years")</f>
        <v>9-11 Years</v>
      </c>
      <c r="J4673">
        <v>3</v>
      </c>
      <c r="K4673" t="s">
        <v>20</v>
      </c>
      <c r="L4673">
        <v>108100</v>
      </c>
      <c r="M4673">
        <v>22300</v>
      </c>
      <c r="N4673">
        <v>130400</v>
      </c>
      <c r="O4673" t="s">
        <v>57</v>
      </c>
      <c r="P4673" s="3">
        <v>41780</v>
      </c>
      <c r="Q4673" t="s">
        <v>28</v>
      </c>
    </row>
    <row r="4674" spans="1:17" x14ac:dyDescent="0.35">
      <c r="A4674" t="s">
        <v>4726</v>
      </c>
      <c r="B4674" t="s">
        <v>16</v>
      </c>
      <c r="C4674" s="7">
        <v>33</v>
      </c>
      <c r="D4674" t="s">
        <v>38</v>
      </c>
      <c r="E4674" t="s">
        <v>112</v>
      </c>
      <c r="F4674" t="s">
        <v>36</v>
      </c>
      <c r="G4674" s="9">
        <v>12.9</v>
      </c>
      <c r="H4674" s="7">
        <v>8.9</v>
      </c>
      <c r="I4674" t="str" cm="1">
        <f t="array" ref="I4674">_xlfn.IFS(G4674&lt;3, "0–2 Years", G4674&lt;6, "3–5 Years", G4674&lt;9, "6–8 Years", G4674&lt;12, "9-11 Years", G4674&gt;=12, "12-14 Years")</f>
        <v>12-14 Years</v>
      </c>
      <c r="J4674" s="7">
        <v>2</v>
      </c>
      <c r="K4674" t="s">
        <v>20</v>
      </c>
      <c r="L4674" s="7">
        <v>87000</v>
      </c>
      <c r="M4674" s="7">
        <v>3400</v>
      </c>
      <c r="N4674" s="7">
        <v>90400</v>
      </c>
      <c r="O4674" t="s">
        <v>30</v>
      </c>
      <c r="P4674" s="3">
        <v>41302</v>
      </c>
      <c r="Q4674" t="s">
        <v>36</v>
      </c>
    </row>
    <row r="4675" spans="1:17" x14ac:dyDescent="0.35">
      <c r="A4675" t="s">
        <v>4727</v>
      </c>
      <c r="B4675" t="s">
        <v>23</v>
      </c>
      <c r="C4675">
        <v>30</v>
      </c>
      <c r="D4675" t="s">
        <v>38</v>
      </c>
      <c r="E4675" t="s">
        <v>112</v>
      </c>
      <c r="F4675" t="s">
        <v>36</v>
      </c>
      <c r="G4675">
        <v>2.4</v>
      </c>
      <c r="H4675">
        <v>1.2</v>
      </c>
      <c r="I4675" t="str" cm="1">
        <f t="array" ref="I4675">_xlfn.IFS(G4675&lt;3, "0–2 Years", G4675&lt;6, "3–5 Years", G4675&lt;9, "6–8 Years", G4675&lt;12, "9-11 Years", G4675&gt;=12, "12-14 Years")</f>
        <v>0–2 Years</v>
      </c>
      <c r="J4675">
        <v>3</v>
      </c>
      <c r="K4675" t="s">
        <v>20</v>
      </c>
      <c r="L4675">
        <v>70100</v>
      </c>
      <c r="M4675">
        <v>2700</v>
      </c>
      <c r="N4675">
        <v>72800</v>
      </c>
      <c r="O4675" t="s">
        <v>21</v>
      </c>
      <c r="P4675" s="3">
        <v>45155</v>
      </c>
      <c r="Q4675" t="s">
        <v>36</v>
      </c>
    </row>
    <row r="4676" spans="1:17" x14ac:dyDescent="0.35">
      <c r="A4676" t="s">
        <v>4728</v>
      </c>
      <c r="B4676" t="s">
        <v>16</v>
      </c>
      <c r="C4676">
        <v>25</v>
      </c>
      <c r="D4676" t="s">
        <v>41</v>
      </c>
      <c r="E4676" t="s">
        <v>73</v>
      </c>
      <c r="F4676" t="s">
        <v>36</v>
      </c>
      <c r="G4676">
        <v>4.9000000000000004</v>
      </c>
      <c r="H4676">
        <v>2.9</v>
      </c>
      <c r="I4676" t="str" cm="1">
        <f t="array" ref="I4676">_xlfn.IFS(G4676&lt;3, "0–2 Years", G4676&lt;6, "3–5 Years", G4676&lt;9, "6–8 Years", G4676&lt;12, "9-11 Years", G4676&gt;=12, "12-14 Years")</f>
        <v>3–5 Years</v>
      </c>
      <c r="J4676">
        <v>3</v>
      </c>
      <c r="K4676" t="s">
        <v>20</v>
      </c>
      <c r="L4676">
        <v>102700</v>
      </c>
      <c r="M4676">
        <v>4500</v>
      </c>
      <c r="N4676">
        <v>107200</v>
      </c>
      <c r="O4676" t="s">
        <v>57</v>
      </c>
      <c r="P4676" s="3">
        <v>44234</v>
      </c>
      <c r="Q4676" t="s">
        <v>36</v>
      </c>
    </row>
    <row r="4677" spans="1:17" x14ac:dyDescent="0.35">
      <c r="A4677" t="s">
        <v>4729</v>
      </c>
      <c r="B4677" t="s">
        <v>23</v>
      </c>
      <c r="C4677">
        <v>29</v>
      </c>
      <c r="D4677" t="s">
        <v>38</v>
      </c>
      <c r="E4677" t="s">
        <v>61</v>
      </c>
      <c r="F4677" t="s">
        <v>36</v>
      </c>
      <c r="G4677">
        <v>3.6</v>
      </c>
      <c r="H4677">
        <v>2.9</v>
      </c>
      <c r="I4677" t="str" cm="1">
        <f t="array" ref="I4677">_xlfn.IFS(G4677&lt;3, "0–2 Years", G4677&lt;6, "3–5 Years", G4677&lt;9, "6–8 Years", G4677&lt;12, "9-11 Years", G4677&gt;=12, "12-14 Years")</f>
        <v>3–5 Years</v>
      </c>
      <c r="J4677">
        <v>3</v>
      </c>
      <c r="K4677" t="s">
        <v>69</v>
      </c>
      <c r="L4677">
        <v>82400</v>
      </c>
      <c r="M4677">
        <v>3200</v>
      </c>
      <c r="N4677">
        <v>85600</v>
      </c>
      <c r="O4677" t="s">
        <v>30</v>
      </c>
      <c r="P4677" s="3">
        <v>44700</v>
      </c>
      <c r="Q4677" t="s">
        <v>36</v>
      </c>
    </row>
    <row r="4678" spans="1:17" x14ac:dyDescent="0.35">
      <c r="A4678" t="s">
        <v>4730</v>
      </c>
      <c r="B4678" t="s">
        <v>16</v>
      </c>
      <c r="C4678">
        <v>34</v>
      </c>
      <c r="D4678" t="s">
        <v>34</v>
      </c>
      <c r="E4678" t="s">
        <v>47</v>
      </c>
      <c r="F4678" t="s">
        <v>36</v>
      </c>
      <c r="G4678">
        <v>5.9</v>
      </c>
      <c r="H4678">
        <v>4.3</v>
      </c>
      <c r="I4678" t="str" cm="1">
        <f t="array" ref="I4678">_xlfn.IFS(G4678&lt;3, "0–2 Years", G4678&lt;6, "3–5 Years", G4678&lt;9, "6–8 Years", G4678&lt;12, "9-11 Years", G4678&gt;=12, "12-14 Years")</f>
        <v>3–5 Years</v>
      </c>
      <c r="J4678">
        <v>2</v>
      </c>
      <c r="K4678" t="s">
        <v>69</v>
      </c>
      <c r="L4678">
        <v>66700</v>
      </c>
      <c r="M4678">
        <v>5000</v>
      </c>
      <c r="N4678">
        <v>71700</v>
      </c>
      <c r="O4678" t="s">
        <v>21</v>
      </c>
      <c r="P4678" s="3">
        <v>43883</v>
      </c>
      <c r="Q4678" t="s">
        <v>36</v>
      </c>
    </row>
    <row r="4679" spans="1:17" x14ac:dyDescent="0.35">
      <c r="A4679" t="s">
        <v>4731</v>
      </c>
      <c r="B4679" t="s">
        <v>23</v>
      </c>
      <c r="C4679">
        <v>27</v>
      </c>
      <c r="D4679" t="s">
        <v>55</v>
      </c>
      <c r="E4679" t="s">
        <v>56</v>
      </c>
      <c r="F4679" t="s">
        <v>36</v>
      </c>
      <c r="G4679">
        <v>5</v>
      </c>
      <c r="H4679">
        <v>3.3</v>
      </c>
      <c r="I4679" t="str" cm="1">
        <f t="array" ref="I4679">_xlfn.IFS(G4679&lt;3, "0–2 Years", G4679&lt;6, "3–5 Years", G4679&lt;9, "6–8 Years", G4679&lt;12, "9-11 Years", G4679&gt;=12, "12-14 Years")</f>
        <v>3–5 Years</v>
      </c>
      <c r="J4679">
        <v>3</v>
      </c>
      <c r="K4679" t="s">
        <v>20</v>
      </c>
      <c r="L4679">
        <v>102800</v>
      </c>
      <c r="M4679">
        <v>18800</v>
      </c>
      <c r="N4679">
        <v>121600</v>
      </c>
      <c r="O4679" t="s">
        <v>57</v>
      </c>
      <c r="P4679" s="3">
        <v>44190</v>
      </c>
      <c r="Q4679" t="s">
        <v>36</v>
      </c>
    </row>
    <row r="4680" spans="1:17" x14ac:dyDescent="0.35">
      <c r="A4680" t="s">
        <v>4732</v>
      </c>
      <c r="B4680" t="s">
        <v>16</v>
      </c>
      <c r="C4680">
        <v>44</v>
      </c>
      <c r="D4680" t="s">
        <v>41</v>
      </c>
      <c r="E4680" t="s">
        <v>73</v>
      </c>
      <c r="F4680" t="s">
        <v>62</v>
      </c>
      <c r="G4680">
        <v>10.5</v>
      </c>
      <c r="H4680">
        <v>8</v>
      </c>
      <c r="I4680" t="str" cm="1">
        <f t="array" ref="I4680">_xlfn.IFS(G4680&lt;3, "0–2 Years", G4680&lt;6, "3–5 Years", G4680&lt;9, "6–8 Years", G4680&lt;12, "9-11 Years", G4680&gt;=12, "12-14 Years")</f>
        <v>9-11 Years</v>
      </c>
      <c r="J4680">
        <v>3</v>
      </c>
      <c r="K4680" t="s">
        <v>24</v>
      </c>
      <c r="L4680">
        <v>77700</v>
      </c>
      <c r="M4680">
        <v>5200</v>
      </c>
      <c r="N4680">
        <v>82900</v>
      </c>
      <c r="O4680" t="s">
        <v>21</v>
      </c>
      <c r="P4680" s="3">
        <v>42170</v>
      </c>
      <c r="Q4680" t="s">
        <v>62</v>
      </c>
    </row>
    <row r="4681" spans="1:17" x14ac:dyDescent="0.35">
      <c r="A4681" t="s">
        <v>4733</v>
      </c>
      <c r="B4681" t="s">
        <v>16</v>
      </c>
      <c r="C4681">
        <v>30</v>
      </c>
      <c r="D4681" t="s">
        <v>55</v>
      </c>
      <c r="E4681" t="s">
        <v>79</v>
      </c>
      <c r="F4681" t="s">
        <v>19</v>
      </c>
      <c r="G4681">
        <v>9.6999999999999993</v>
      </c>
      <c r="H4681">
        <v>8.8000000000000007</v>
      </c>
      <c r="I4681" t="str" cm="1">
        <f t="array" ref="I4681">_xlfn.IFS(G4681&lt;3, "0–2 Years", G4681&lt;6, "3–5 Years", G4681&lt;9, "6–8 Years", G4681&lt;12, "9-11 Years", G4681&gt;=12, "12-14 Years")</f>
        <v>9-11 Years</v>
      </c>
      <c r="J4681">
        <v>3</v>
      </c>
      <c r="K4681" t="s">
        <v>20</v>
      </c>
      <c r="L4681">
        <v>65700</v>
      </c>
      <c r="M4681">
        <v>7000</v>
      </c>
      <c r="N4681">
        <v>72700</v>
      </c>
      <c r="O4681" t="s">
        <v>21</v>
      </c>
      <c r="P4681" s="3">
        <v>42483</v>
      </c>
      <c r="Q4681" t="s">
        <v>19</v>
      </c>
    </row>
    <row r="4682" spans="1:17" x14ac:dyDescent="0.35">
      <c r="A4682" t="s">
        <v>4734</v>
      </c>
      <c r="B4682" t="s">
        <v>16</v>
      </c>
      <c r="C4682">
        <v>33</v>
      </c>
      <c r="D4682" t="s">
        <v>41</v>
      </c>
      <c r="E4682" t="s">
        <v>67</v>
      </c>
      <c r="F4682" t="s">
        <v>36</v>
      </c>
      <c r="G4682">
        <v>8.9</v>
      </c>
      <c r="H4682">
        <v>4</v>
      </c>
      <c r="I4682" t="str" cm="1">
        <f t="array" ref="I4682">_xlfn.IFS(G4682&lt;3, "0–2 Years", G4682&lt;6, "3–5 Years", G4682&lt;9, "6–8 Years", G4682&lt;12, "9-11 Years", G4682&gt;=12, "12-14 Years")</f>
        <v>6–8 Years</v>
      </c>
      <c r="J4682">
        <v>3</v>
      </c>
      <c r="K4682" t="s">
        <v>20</v>
      </c>
      <c r="L4682">
        <v>65500</v>
      </c>
      <c r="M4682">
        <v>2500</v>
      </c>
      <c r="N4682">
        <v>68000</v>
      </c>
      <c r="O4682" t="s">
        <v>21</v>
      </c>
      <c r="P4682" s="3">
        <v>42755</v>
      </c>
      <c r="Q4682" t="s">
        <v>36</v>
      </c>
    </row>
    <row r="4683" spans="1:17" x14ac:dyDescent="0.35">
      <c r="A4683" t="s">
        <v>4735</v>
      </c>
      <c r="B4683" t="s">
        <v>23</v>
      </c>
      <c r="C4683">
        <v>24</v>
      </c>
      <c r="D4683" t="s">
        <v>17</v>
      </c>
      <c r="E4683" t="s">
        <v>18</v>
      </c>
      <c r="F4683" t="s">
        <v>36</v>
      </c>
      <c r="G4683">
        <v>10.1</v>
      </c>
      <c r="H4683">
        <v>9.9</v>
      </c>
      <c r="I4683" t="str" cm="1">
        <f t="array" ref="I4683">_xlfn.IFS(G4683&lt;3, "0–2 Years", G4683&lt;6, "3–5 Years", G4683&lt;9, "6–8 Years", G4683&lt;12, "9-11 Years", G4683&gt;=12, "12-14 Years")</f>
        <v>9-11 Years</v>
      </c>
      <c r="J4683">
        <v>3</v>
      </c>
      <c r="K4683" t="s">
        <v>20</v>
      </c>
      <c r="L4683">
        <v>109400</v>
      </c>
      <c r="M4683">
        <v>7800</v>
      </c>
      <c r="N4683">
        <v>117200</v>
      </c>
      <c r="O4683" t="s">
        <v>57</v>
      </c>
      <c r="P4683" s="3">
        <v>42352</v>
      </c>
      <c r="Q4683" t="s">
        <v>36</v>
      </c>
    </row>
    <row r="4684" spans="1:17" x14ac:dyDescent="0.35">
      <c r="A4684" t="s">
        <v>4736</v>
      </c>
      <c r="B4684" t="s">
        <v>16</v>
      </c>
      <c r="C4684" s="7">
        <v>38</v>
      </c>
      <c r="D4684" t="s">
        <v>34</v>
      </c>
      <c r="E4684" t="s">
        <v>59</v>
      </c>
      <c r="F4684" t="s">
        <v>28</v>
      </c>
      <c r="G4684" s="9">
        <v>13.5</v>
      </c>
      <c r="H4684" s="7">
        <v>8.1</v>
      </c>
      <c r="I4684" t="str" cm="1">
        <f t="array" ref="I4684">_xlfn.IFS(G4684&lt;3, "0–2 Years", G4684&lt;6, "3–5 Years", G4684&lt;9, "6–8 Years", G4684&lt;12, "9-11 Years", G4684&gt;=12, "12-14 Years")</f>
        <v>12-14 Years</v>
      </c>
      <c r="J4684" s="7">
        <v>3</v>
      </c>
      <c r="K4684" t="s">
        <v>20</v>
      </c>
      <c r="L4684" s="7">
        <v>110600</v>
      </c>
      <c r="M4684" s="7">
        <v>9000</v>
      </c>
      <c r="N4684" s="7">
        <v>119600</v>
      </c>
      <c r="O4684" t="s">
        <v>57</v>
      </c>
      <c r="P4684" s="3">
        <v>41103</v>
      </c>
      <c r="Q4684" t="s">
        <v>28</v>
      </c>
    </row>
    <row r="4685" spans="1:17" x14ac:dyDescent="0.35">
      <c r="A4685" t="s">
        <v>4737</v>
      </c>
      <c r="B4685" t="s">
        <v>16</v>
      </c>
      <c r="C4685">
        <v>52</v>
      </c>
      <c r="D4685" t="s">
        <v>55</v>
      </c>
      <c r="E4685" t="s">
        <v>79</v>
      </c>
      <c r="F4685" t="s">
        <v>28</v>
      </c>
      <c r="G4685">
        <v>5.0999999999999996</v>
      </c>
      <c r="H4685">
        <v>4.0999999999999996</v>
      </c>
      <c r="I4685" t="str" cm="1">
        <f t="array" ref="I4685">_xlfn.IFS(G4685&lt;3, "0–2 Years", G4685&lt;6, "3–5 Years", G4685&lt;9, "6–8 Years", G4685&lt;12, "9-11 Years", G4685&gt;=12, "12-14 Years")</f>
        <v>3–5 Years</v>
      </c>
      <c r="J4685">
        <v>4</v>
      </c>
      <c r="K4685" t="s">
        <v>20</v>
      </c>
      <c r="L4685">
        <v>63300</v>
      </c>
      <c r="M4685">
        <v>12700</v>
      </c>
      <c r="N4685">
        <v>76000</v>
      </c>
      <c r="O4685" t="s">
        <v>25</v>
      </c>
      <c r="P4685" s="3">
        <v>44169</v>
      </c>
      <c r="Q4685" t="s">
        <v>28</v>
      </c>
    </row>
    <row r="4686" spans="1:17" x14ac:dyDescent="0.35">
      <c r="A4686" t="s">
        <v>4738</v>
      </c>
      <c r="B4686" t="s">
        <v>23</v>
      </c>
      <c r="C4686">
        <v>28</v>
      </c>
      <c r="D4686" t="s">
        <v>17</v>
      </c>
      <c r="E4686" t="s">
        <v>18</v>
      </c>
      <c r="F4686" t="s">
        <v>36</v>
      </c>
      <c r="G4686">
        <v>11.3</v>
      </c>
      <c r="H4686">
        <v>7.7</v>
      </c>
      <c r="I4686" t="str" cm="1">
        <f t="array" ref="I4686">_xlfn.IFS(G4686&lt;3, "0–2 Years", G4686&lt;6, "3–5 Years", G4686&lt;9, "6–8 Years", G4686&lt;12, "9-11 Years", G4686&gt;=12, "12-14 Years")</f>
        <v>9-11 Years</v>
      </c>
      <c r="J4686">
        <v>3</v>
      </c>
      <c r="K4686" t="s">
        <v>20</v>
      </c>
      <c r="L4686">
        <v>114500</v>
      </c>
      <c r="M4686">
        <v>9000</v>
      </c>
      <c r="N4686">
        <v>123500</v>
      </c>
      <c r="O4686" t="s">
        <v>57</v>
      </c>
      <c r="P4686" s="3">
        <v>41885</v>
      </c>
      <c r="Q4686" t="s">
        <v>36</v>
      </c>
    </row>
    <row r="4687" spans="1:17" x14ac:dyDescent="0.35">
      <c r="A4687" t="s">
        <v>4739</v>
      </c>
      <c r="B4687" t="s">
        <v>23</v>
      </c>
      <c r="C4687">
        <v>38</v>
      </c>
      <c r="D4687" t="s">
        <v>17</v>
      </c>
      <c r="E4687" t="s">
        <v>18</v>
      </c>
      <c r="F4687" t="s">
        <v>28</v>
      </c>
      <c r="G4687">
        <v>1.8</v>
      </c>
      <c r="H4687">
        <v>1.8</v>
      </c>
      <c r="I4687" t="str" cm="1">
        <f t="array" ref="I4687">_xlfn.IFS(G4687&lt;3, "0–2 Years", G4687&lt;6, "3–5 Years", G4687&lt;9, "6–8 Years", G4687&lt;12, "9-11 Years", G4687&gt;=12, "12-14 Years")</f>
        <v>0–2 Years</v>
      </c>
      <c r="J4687">
        <v>4</v>
      </c>
      <c r="K4687" t="s">
        <v>20</v>
      </c>
      <c r="L4687">
        <v>98300</v>
      </c>
      <c r="M4687">
        <v>7600</v>
      </c>
      <c r="N4687">
        <v>105900</v>
      </c>
      <c r="O4687" t="s">
        <v>30</v>
      </c>
      <c r="P4687" s="3">
        <v>45361</v>
      </c>
      <c r="Q4687" t="s">
        <v>28</v>
      </c>
    </row>
    <row r="4688" spans="1:17" x14ac:dyDescent="0.35">
      <c r="A4688" t="s">
        <v>4740</v>
      </c>
      <c r="B4688" t="s">
        <v>23</v>
      </c>
      <c r="C4688">
        <v>27</v>
      </c>
      <c r="D4688" t="s">
        <v>44</v>
      </c>
      <c r="E4688" t="s">
        <v>51</v>
      </c>
      <c r="F4688" t="s">
        <v>28</v>
      </c>
      <c r="G4688">
        <v>8.6999999999999993</v>
      </c>
      <c r="H4688">
        <v>3.4</v>
      </c>
      <c r="I4688" t="str" cm="1">
        <f t="array" ref="I4688">_xlfn.IFS(G4688&lt;3, "0–2 Years", G4688&lt;6, "3–5 Years", G4688&lt;9, "6–8 Years", G4688&lt;12, "9-11 Years", G4688&gt;=12, "12-14 Years")</f>
        <v>6–8 Years</v>
      </c>
      <c r="J4688">
        <v>4</v>
      </c>
      <c r="K4688" t="s">
        <v>20</v>
      </c>
      <c r="L4688">
        <v>96300</v>
      </c>
      <c r="M4688">
        <v>6600</v>
      </c>
      <c r="N4688">
        <v>102900</v>
      </c>
      <c r="O4688" t="s">
        <v>30</v>
      </c>
      <c r="P4688" s="3">
        <v>42858</v>
      </c>
      <c r="Q4688" t="s">
        <v>28</v>
      </c>
    </row>
    <row r="4689" spans="1:17" x14ac:dyDescent="0.35">
      <c r="A4689" t="s">
        <v>4741</v>
      </c>
      <c r="B4689" t="s">
        <v>16</v>
      </c>
      <c r="C4689">
        <v>47</v>
      </c>
      <c r="D4689" t="s">
        <v>17</v>
      </c>
      <c r="E4689" t="s">
        <v>27</v>
      </c>
      <c r="F4689" t="s">
        <v>28</v>
      </c>
      <c r="G4689">
        <v>7.2</v>
      </c>
      <c r="H4689">
        <v>4.4000000000000004</v>
      </c>
      <c r="I4689" t="str" cm="1">
        <f t="array" ref="I4689">_xlfn.IFS(G4689&lt;3, "0–2 Years", G4689&lt;6, "3–5 Years", G4689&lt;9, "6–8 Years", G4689&lt;12, "9-11 Years", G4689&gt;=12, "12-14 Years")</f>
        <v>6–8 Years</v>
      </c>
      <c r="J4689">
        <v>4</v>
      </c>
      <c r="K4689" t="s">
        <v>20</v>
      </c>
      <c r="L4689">
        <v>81000</v>
      </c>
      <c r="M4689">
        <v>9300</v>
      </c>
      <c r="N4689">
        <v>90300</v>
      </c>
      <c r="O4689" t="s">
        <v>30</v>
      </c>
      <c r="P4689" s="3">
        <v>43387</v>
      </c>
      <c r="Q4689" t="s">
        <v>28</v>
      </c>
    </row>
    <row r="4690" spans="1:17" x14ac:dyDescent="0.35">
      <c r="A4690" t="s">
        <v>4742</v>
      </c>
      <c r="B4690" t="s">
        <v>23</v>
      </c>
      <c r="C4690">
        <v>43</v>
      </c>
      <c r="D4690" t="s">
        <v>55</v>
      </c>
      <c r="E4690" t="s">
        <v>92</v>
      </c>
      <c r="F4690" t="s">
        <v>28</v>
      </c>
      <c r="G4690">
        <v>3.9</v>
      </c>
      <c r="H4690">
        <v>3.7</v>
      </c>
      <c r="I4690" t="str" cm="1">
        <f t="array" ref="I4690">_xlfn.IFS(G4690&lt;3, "0–2 Years", G4690&lt;6, "3–5 Years", G4690&lt;9, "6–8 Years", G4690&lt;12, "9-11 Years", G4690&gt;=12, "12-14 Years")</f>
        <v>3–5 Years</v>
      </c>
      <c r="J4690">
        <v>1</v>
      </c>
      <c r="K4690" t="s">
        <v>20</v>
      </c>
      <c r="L4690">
        <v>82200</v>
      </c>
      <c r="M4690">
        <v>7300</v>
      </c>
      <c r="N4690">
        <v>89500</v>
      </c>
      <c r="O4690" t="s">
        <v>30</v>
      </c>
      <c r="P4690" s="3">
        <v>44613</v>
      </c>
      <c r="Q4690" t="s">
        <v>28</v>
      </c>
    </row>
    <row r="4691" spans="1:17" x14ac:dyDescent="0.35">
      <c r="A4691" t="s">
        <v>4743</v>
      </c>
      <c r="B4691" t="s">
        <v>23</v>
      </c>
      <c r="C4691">
        <v>38</v>
      </c>
      <c r="D4691" t="s">
        <v>17</v>
      </c>
      <c r="E4691" t="s">
        <v>27</v>
      </c>
      <c r="F4691" t="s">
        <v>28</v>
      </c>
      <c r="G4691">
        <v>7.6</v>
      </c>
      <c r="H4691">
        <v>5.9</v>
      </c>
      <c r="I4691" t="str" cm="1">
        <f t="array" ref="I4691">_xlfn.IFS(G4691&lt;3, "0–2 Years", G4691&lt;6, "3–5 Years", G4691&lt;9, "6–8 Years", G4691&lt;12, "9-11 Years", G4691&gt;=12, "12-14 Years")</f>
        <v>6–8 Years</v>
      </c>
      <c r="J4691">
        <v>4</v>
      </c>
      <c r="K4691" t="s">
        <v>24</v>
      </c>
      <c r="L4691">
        <v>48200</v>
      </c>
      <c r="M4691">
        <v>5200</v>
      </c>
      <c r="N4691">
        <v>53400</v>
      </c>
      <c r="O4691" t="s">
        <v>65</v>
      </c>
      <c r="P4691" s="3">
        <v>43261</v>
      </c>
      <c r="Q4691" t="s">
        <v>28</v>
      </c>
    </row>
    <row r="4692" spans="1:17" x14ac:dyDescent="0.35">
      <c r="A4692" t="s">
        <v>4744</v>
      </c>
      <c r="B4692" t="s">
        <v>16</v>
      </c>
      <c r="C4692" s="7">
        <v>27</v>
      </c>
      <c r="D4692" t="s">
        <v>55</v>
      </c>
      <c r="E4692" t="s">
        <v>79</v>
      </c>
      <c r="F4692" t="s">
        <v>19</v>
      </c>
      <c r="G4692" s="9">
        <v>13.8</v>
      </c>
      <c r="H4692" s="7">
        <v>7.2</v>
      </c>
      <c r="I4692" t="str" cm="1">
        <f t="array" ref="I4692">_xlfn.IFS(G4692&lt;3, "0–2 Years", G4692&lt;6, "3–5 Years", G4692&lt;9, "6–8 Years", G4692&lt;12, "9-11 Years", G4692&gt;=12, "12-14 Years")</f>
        <v>12-14 Years</v>
      </c>
      <c r="J4692" s="7">
        <v>4</v>
      </c>
      <c r="K4692" t="s">
        <v>20</v>
      </c>
      <c r="L4692" s="7">
        <v>72700</v>
      </c>
      <c r="M4692" s="7">
        <v>12000</v>
      </c>
      <c r="N4692" s="7">
        <v>84700</v>
      </c>
      <c r="O4692" t="s">
        <v>21</v>
      </c>
      <c r="P4692" s="3">
        <v>40968</v>
      </c>
      <c r="Q4692" t="s">
        <v>19</v>
      </c>
    </row>
    <row r="4693" spans="1:17" x14ac:dyDescent="0.35">
      <c r="A4693" t="s">
        <v>4745</v>
      </c>
      <c r="B4693" t="s">
        <v>23</v>
      </c>
      <c r="C4693">
        <v>49</v>
      </c>
      <c r="D4693" t="s">
        <v>34</v>
      </c>
      <c r="E4693" t="s">
        <v>35</v>
      </c>
      <c r="F4693" t="s">
        <v>19</v>
      </c>
      <c r="G4693">
        <v>10.4</v>
      </c>
      <c r="H4693">
        <v>6.7</v>
      </c>
      <c r="I4693" t="str" cm="1">
        <f t="array" ref="I4693">_xlfn.IFS(G4693&lt;3, "0–2 Years", G4693&lt;6, "3–5 Years", G4693&lt;9, "6–8 Years", G4693&lt;12, "9-11 Years", G4693&gt;=12, "12-14 Years")</f>
        <v>9-11 Years</v>
      </c>
      <c r="J4693">
        <v>3</v>
      </c>
      <c r="K4693" t="s">
        <v>20</v>
      </c>
      <c r="L4693">
        <v>91600</v>
      </c>
      <c r="M4693">
        <v>9100</v>
      </c>
      <c r="N4693">
        <v>100700</v>
      </c>
      <c r="O4693" t="s">
        <v>30</v>
      </c>
      <c r="P4693" s="3">
        <v>42227</v>
      </c>
      <c r="Q4693" t="s">
        <v>19</v>
      </c>
    </row>
    <row r="4694" spans="1:17" x14ac:dyDescent="0.35">
      <c r="A4694" t="s">
        <v>4746</v>
      </c>
      <c r="B4694" t="s">
        <v>23</v>
      </c>
      <c r="C4694" s="7">
        <v>48</v>
      </c>
      <c r="D4694" t="s">
        <v>34</v>
      </c>
      <c r="E4694" t="s">
        <v>47</v>
      </c>
      <c r="F4694" t="s">
        <v>36</v>
      </c>
      <c r="G4694" s="9">
        <v>12.3</v>
      </c>
      <c r="H4694" s="7">
        <v>7.5</v>
      </c>
      <c r="I4694" t="str" cm="1">
        <f t="array" ref="I4694">_xlfn.IFS(G4694&lt;3, "0–2 Years", G4694&lt;6, "3–5 Years", G4694&lt;9, "6–8 Years", G4694&lt;12, "9-11 Years", G4694&gt;=12, "12-14 Years")</f>
        <v>12-14 Years</v>
      </c>
      <c r="J4694" s="7">
        <v>3</v>
      </c>
      <c r="K4694" t="s">
        <v>24</v>
      </c>
      <c r="L4694" s="7">
        <v>49500</v>
      </c>
      <c r="M4694" s="7">
        <v>5800</v>
      </c>
      <c r="N4694" s="7">
        <v>55300</v>
      </c>
      <c r="O4694" t="s">
        <v>65</v>
      </c>
      <c r="P4694" s="3">
        <v>41516</v>
      </c>
      <c r="Q4694" t="s">
        <v>36</v>
      </c>
    </row>
    <row r="4695" spans="1:17" x14ac:dyDescent="0.35">
      <c r="A4695" t="s">
        <v>4747</v>
      </c>
      <c r="B4695" t="s">
        <v>16</v>
      </c>
      <c r="C4695">
        <v>29</v>
      </c>
      <c r="D4695" t="s">
        <v>55</v>
      </c>
      <c r="E4695" t="s">
        <v>79</v>
      </c>
      <c r="F4695" t="s">
        <v>28</v>
      </c>
      <c r="G4695">
        <v>1.7</v>
      </c>
      <c r="H4695">
        <v>0.9</v>
      </c>
      <c r="I4695" t="str" cm="1">
        <f t="array" ref="I4695">_xlfn.IFS(G4695&lt;3, "0–2 Years", G4695&lt;6, "3–5 Years", G4695&lt;9, "6–8 Years", G4695&lt;12, "9-11 Years", G4695&gt;=12, "12-14 Years")</f>
        <v>0–2 Years</v>
      </c>
      <c r="J4695">
        <v>4</v>
      </c>
      <c r="K4695" t="s">
        <v>20</v>
      </c>
      <c r="L4695">
        <v>56900</v>
      </c>
      <c r="M4695">
        <v>5300</v>
      </c>
      <c r="N4695">
        <v>62200</v>
      </c>
      <c r="O4695" t="s">
        <v>25</v>
      </c>
      <c r="P4695" s="3">
        <v>45401</v>
      </c>
      <c r="Q4695" t="s">
        <v>28</v>
      </c>
    </row>
    <row r="4696" spans="1:17" x14ac:dyDescent="0.35">
      <c r="A4696" t="s">
        <v>4748</v>
      </c>
      <c r="B4696" t="s">
        <v>23</v>
      </c>
      <c r="C4696">
        <v>27</v>
      </c>
      <c r="D4696" t="s">
        <v>55</v>
      </c>
      <c r="E4696" t="s">
        <v>92</v>
      </c>
      <c r="F4696" t="s">
        <v>28</v>
      </c>
      <c r="G4696">
        <v>6.9</v>
      </c>
      <c r="H4696">
        <v>5.4</v>
      </c>
      <c r="I4696" t="str" cm="1">
        <f t="array" ref="I4696">_xlfn.IFS(G4696&lt;3, "0–2 Years", G4696&lt;6, "3–5 Years", G4696&lt;9, "6–8 Years", G4696&lt;12, "9-11 Years", G4696&gt;=12, "12-14 Years")</f>
        <v>6–8 Years</v>
      </c>
      <c r="J4696">
        <v>4</v>
      </c>
      <c r="K4696" t="s">
        <v>20</v>
      </c>
      <c r="L4696">
        <v>93800</v>
      </c>
      <c r="M4696">
        <v>12000</v>
      </c>
      <c r="N4696">
        <v>105800</v>
      </c>
      <c r="O4696" t="s">
        <v>30</v>
      </c>
      <c r="P4696" s="3">
        <v>43513</v>
      </c>
      <c r="Q4696" t="s">
        <v>28</v>
      </c>
    </row>
    <row r="4697" spans="1:17" x14ac:dyDescent="0.35">
      <c r="A4697" t="s">
        <v>4749</v>
      </c>
      <c r="B4697" t="s">
        <v>16</v>
      </c>
      <c r="C4697">
        <v>49</v>
      </c>
      <c r="D4697" t="s">
        <v>34</v>
      </c>
      <c r="E4697" t="s">
        <v>35</v>
      </c>
      <c r="F4697" t="s">
        <v>36</v>
      </c>
      <c r="G4697">
        <v>7.5</v>
      </c>
      <c r="H4697">
        <v>4.4000000000000004</v>
      </c>
      <c r="I4697" t="str" cm="1">
        <f t="array" ref="I4697">_xlfn.IFS(G4697&lt;3, "0–2 Years", G4697&lt;6, "3–5 Years", G4697&lt;9, "6–8 Years", G4697&lt;12, "9-11 Years", G4697&gt;=12, "12-14 Years")</f>
        <v>6–8 Years</v>
      </c>
      <c r="J4697">
        <v>3</v>
      </c>
      <c r="K4697" t="s">
        <v>20</v>
      </c>
      <c r="L4697">
        <v>88900</v>
      </c>
      <c r="M4697">
        <v>4600</v>
      </c>
      <c r="N4697">
        <v>93500</v>
      </c>
      <c r="O4697" t="s">
        <v>30</v>
      </c>
      <c r="P4697" s="3">
        <v>43279</v>
      </c>
      <c r="Q4697" t="s">
        <v>36</v>
      </c>
    </row>
    <row r="4698" spans="1:17" x14ac:dyDescent="0.35">
      <c r="A4698" t="s">
        <v>4750</v>
      </c>
      <c r="B4698" t="s">
        <v>16</v>
      </c>
      <c r="C4698">
        <v>42</v>
      </c>
      <c r="D4698" t="s">
        <v>34</v>
      </c>
      <c r="E4698" t="s">
        <v>35</v>
      </c>
      <c r="F4698" t="s">
        <v>19</v>
      </c>
      <c r="G4698">
        <v>1.6</v>
      </c>
      <c r="H4698">
        <v>0</v>
      </c>
      <c r="I4698" t="str" cm="1">
        <f t="array" ref="I4698">_xlfn.IFS(G4698&lt;3, "0–2 Years", G4698&lt;6, "3–5 Years", G4698&lt;9, "6–8 Years", G4698&lt;12, "9-11 Years", G4698&gt;=12, "12-14 Years")</f>
        <v>0–2 Years</v>
      </c>
      <c r="J4698">
        <v>3</v>
      </c>
      <c r="K4698" t="s">
        <v>20</v>
      </c>
      <c r="L4698">
        <v>72600</v>
      </c>
      <c r="M4698">
        <v>6500</v>
      </c>
      <c r="N4698">
        <v>79100</v>
      </c>
      <c r="O4698" t="s">
        <v>21</v>
      </c>
      <c r="P4698" s="3">
        <v>45439</v>
      </c>
      <c r="Q4698" t="s">
        <v>19</v>
      </c>
    </row>
    <row r="4699" spans="1:17" x14ac:dyDescent="0.35">
      <c r="A4699" t="s">
        <v>4751</v>
      </c>
      <c r="B4699" t="s">
        <v>16</v>
      </c>
      <c r="C4699">
        <v>41</v>
      </c>
      <c r="D4699" t="s">
        <v>55</v>
      </c>
      <c r="E4699" t="s">
        <v>79</v>
      </c>
      <c r="F4699" t="s">
        <v>19</v>
      </c>
      <c r="G4699">
        <v>8.6999999999999993</v>
      </c>
      <c r="H4699">
        <v>4.9000000000000004</v>
      </c>
      <c r="I4699" t="str" cm="1">
        <f t="array" ref="I4699">_xlfn.IFS(G4699&lt;3, "0–2 Years", G4699&lt;6, "3–5 Years", G4699&lt;9, "6–8 Years", G4699&lt;12, "9-11 Years", G4699&gt;=12, "12-14 Years")</f>
        <v>6–8 Years</v>
      </c>
      <c r="J4699">
        <v>4</v>
      </c>
      <c r="K4699" t="s">
        <v>20</v>
      </c>
      <c r="L4699">
        <v>57100</v>
      </c>
      <c r="M4699">
        <v>10500</v>
      </c>
      <c r="N4699">
        <v>67600</v>
      </c>
      <c r="O4699" t="s">
        <v>25</v>
      </c>
      <c r="P4699" s="3">
        <v>42842</v>
      </c>
      <c r="Q4699" t="s">
        <v>19</v>
      </c>
    </row>
    <row r="4700" spans="1:17" x14ac:dyDescent="0.35">
      <c r="A4700" t="s">
        <v>4752</v>
      </c>
      <c r="B4700" t="s">
        <v>23</v>
      </c>
      <c r="C4700" s="7">
        <v>31</v>
      </c>
      <c r="D4700" t="s">
        <v>44</v>
      </c>
      <c r="E4700" t="s">
        <v>76</v>
      </c>
      <c r="F4700" t="s">
        <v>28</v>
      </c>
      <c r="G4700" s="9">
        <v>13.2</v>
      </c>
      <c r="H4700" s="7">
        <v>9.3000000000000007</v>
      </c>
      <c r="I4700" t="str" cm="1">
        <f t="array" ref="I4700">_xlfn.IFS(G4700&lt;3, "0–2 Years", G4700&lt;6, "3–5 Years", G4700&lt;9, "6–8 Years", G4700&lt;12, "9-11 Years", G4700&gt;=12, "12-14 Years")</f>
        <v>12-14 Years</v>
      </c>
      <c r="J4700" s="7">
        <v>3</v>
      </c>
      <c r="K4700" t="s">
        <v>20</v>
      </c>
      <c r="L4700" s="7">
        <v>114000</v>
      </c>
      <c r="M4700" s="7">
        <v>9900</v>
      </c>
      <c r="N4700" s="7">
        <v>123900</v>
      </c>
      <c r="O4700" t="s">
        <v>57</v>
      </c>
      <c r="P4700" s="3">
        <v>41204</v>
      </c>
      <c r="Q4700" t="s">
        <v>28</v>
      </c>
    </row>
    <row r="4701" spans="1:17" x14ac:dyDescent="0.35">
      <c r="A4701" t="s">
        <v>4753</v>
      </c>
      <c r="B4701" t="s">
        <v>23</v>
      </c>
      <c r="C4701">
        <v>42</v>
      </c>
      <c r="D4701" t="s">
        <v>55</v>
      </c>
      <c r="E4701" t="s">
        <v>92</v>
      </c>
      <c r="F4701" t="s">
        <v>28</v>
      </c>
      <c r="G4701">
        <v>5.2</v>
      </c>
      <c r="H4701">
        <v>1.4</v>
      </c>
      <c r="I4701" t="str" cm="1">
        <f t="array" ref="I4701">_xlfn.IFS(G4701&lt;3, "0–2 Years", G4701&lt;6, "3–5 Years", G4701&lt;9, "6–8 Years", G4701&lt;12, "9-11 Years", G4701&gt;=12, "12-14 Years")</f>
        <v>3–5 Years</v>
      </c>
      <c r="J4701">
        <v>3</v>
      </c>
      <c r="K4701" t="s">
        <v>20</v>
      </c>
      <c r="L4701">
        <v>91600</v>
      </c>
      <c r="M4701">
        <v>8800</v>
      </c>
      <c r="N4701">
        <v>100400</v>
      </c>
      <c r="O4701" t="s">
        <v>30</v>
      </c>
      <c r="P4701" s="3">
        <v>44135</v>
      </c>
      <c r="Q4701" t="s">
        <v>28</v>
      </c>
    </row>
    <row r="4702" spans="1:17" x14ac:dyDescent="0.35">
      <c r="A4702" t="s">
        <v>4754</v>
      </c>
      <c r="B4702" t="s">
        <v>23</v>
      </c>
      <c r="C4702">
        <v>38</v>
      </c>
      <c r="D4702" t="s">
        <v>44</v>
      </c>
      <c r="E4702" t="s">
        <v>51</v>
      </c>
      <c r="F4702" t="s">
        <v>28</v>
      </c>
      <c r="G4702">
        <v>3.4</v>
      </c>
      <c r="H4702">
        <v>1.3</v>
      </c>
      <c r="I4702" t="str" cm="1">
        <f t="array" ref="I4702">_xlfn.IFS(G4702&lt;3, "0–2 Years", G4702&lt;6, "3–5 Years", G4702&lt;9, "6–8 Years", G4702&lt;12, "9-11 Years", G4702&gt;=12, "12-14 Years")</f>
        <v>3–5 Years</v>
      </c>
      <c r="J4702">
        <v>3</v>
      </c>
      <c r="K4702" t="s">
        <v>20</v>
      </c>
      <c r="L4702">
        <v>81700</v>
      </c>
      <c r="M4702">
        <v>11900</v>
      </c>
      <c r="N4702">
        <v>93600</v>
      </c>
      <c r="O4702" t="s">
        <v>30</v>
      </c>
      <c r="P4702" s="3">
        <v>44767</v>
      </c>
      <c r="Q4702" t="s">
        <v>28</v>
      </c>
    </row>
    <row r="4703" spans="1:17" x14ac:dyDescent="0.35">
      <c r="A4703" t="s">
        <v>4755</v>
      </c>
      <c r="B4703" t="s">
        <v>16</v>
      </c>
      <c r="C4703">
        <v>44</v>
      </c>
      <c r="D4703" t="s">
        <v>17</v>
      </c>
      <c r="E4703" t="s">
        <v>18</v>
      </c>
      <c r="F4703" t="s">
        <v>62</v>
      </c>
      <c r="G4703">
        <v>11.4</v>
      </c>
      <c r="H4703">
        <v>5.4</v>
      </c>
      <c r="I4703" t="str" cm="1">
        <f t="array" ref="I4703">_xlfn.IFS(G4703&lt;3, "0–2 Years", G4703&lt;6, "3–5 Years", G4703&lt;9, "6–8 Years", G4703&lt;12, "9-11 Years", G4703&gt;=12, "12-14 Years")</f>
        <v>9-11 Years</v>
      </c>
      <c r="J4703">
        <v>5</v>
      </c>
      <c r="K4703" t="s">
        <v>20</v>
      </c>
      <c r="L4703">
        <v>106200</v>
      </c>
      <c r="M4703">
        <v>9200</v>
      </c>
      <c r="N4703">
        <v>115400</v>
      </c>
      <c r="O4703" t="s">
        <v>57</v>
      </c>
      <c r="P4703" s="3">
        <v>41856</v>
      </c>
      <c r="Q4703" t="s">
        <v>62</v>
      </c>
    </row>
    <row r="4704" spans="1:17" x14ac:dyDescent="0.35">
      <c r="A4704" t="s">
        <v>4756</v>
      </c>
      <c r="B4704" t="s">
        <v>16</v>
      </c>
      <c r="C4704">
        <v>44</v>
      </c>
      <c r="D4704" t="s">
        <v>41</v>
      </c>
      <c r="E4704" t="s">
        <v>67</v>
      </c>
      <c r="F4704" t="s">
        <v>36</v>
      </c>
      <c r="G4704">
        <v>7.2</v>
      </c>
      <c r="H4704">
        <v>3.4</v>
      </c>
      <c r="I4704" t="str" cm="1">
        <f t="array" ref="I4704">_xlfn.IFS(G4704&lt;3, "0–2 Years", G4704&lt;6, "3–5 Years", G4704&lt;9, "6–8 Years", G4704&lt;12, "9-11 Years", G4704&gt;=12, "12-14 Years")</f>
        <v>6–8 Years</v>
      </c>
      <c r="J4704">
        <v>3</v>
      </c>
      <c r="K4704" t="s">
        <v>20</v>
      </c>
      <c r="L4704">
        <v>77200</v>
      </c>
      <c r="M4704">
        <v>5600</v>
      </c>
      <c r="N4704">
        <v>82800</v>
      </c>
      <c r="O4704" t="s">
        <v>21</v>
      </c>
      <c r="P4704" s="3">
        <v>43398</v>
      </c>
      <c r="Q4704" t="s">
        <v>36</v>
      </c>
    </row>
    <row r="4705" spans="1:17" x14ac:dyDescent="0.35">
      <c r="A4705" t="s">
        <v>4757</v>
      </c>
      <c r="B4705" t="s">
        <v>23</v>
      </c>
      <c r="C4705">
        <v>41</v>
      </c>
      <c r="D4705" t="s">
        <v>41</v>
      </c>
      <c r="E4705" t="s">
        <v>73</v>
      </c>
      <c r="F4705" t="s">
        <v>28</v>
      </c>
      <c r="G4705">
        <v>7.4</v>
      </c>
      <c r="H4705">
        <v>2.7</v>
      </c>
      <c r="I4705" t="str" cm="1">
        <f t="array" ref="I4705">_xlfn.IFS(G4705&lt;3, "0–2 Years", G4705&lt;6, "3–5 Years", G4705&lt;9, "6–8 Years", G4705&lt;12, "9-11 Years", G4705&gt;=12, "12-14 Years")</f>
        <v>6–8 Years</v>
      </c>
      <c r="J4705">
        <v>2</v>
      </c>
      <c r="K4705" t="s">
        <v>20</v>
      </c>
      <c r="L4705">
        <v>92900</v>
      </c>
      <c r="M4705">
        <v>6300</v>
      </c>
      <c r="N4705">
        <v>99200</v>
      </c>
      <c r="O4705" t="s">
        <v>30</v>
      </c>
      <c r="P4705" s="3">
        <v>43311</v>
      </c>
      <c r="Q4705" t="s">
        <v>28</v>
      </c>
    </row>
    <row r="4706" spans="1:17" x14ac:dyDescent="0.35">
      <c r="A4706" t="s">
        <v>4758</v>
      </c>
      <c r="B4706" t="s">
        <v>16</v>
      </c>
      <c r="C4706">
        <v>28</v>
      </c>
      <c r="D4706" t="s">
        <v>17</v>
      </c>
      <c r="E4706" t="s">
        <v>27</v>
      </c>
      <c r="F4706" t="s">
        <v>28</v>
      </c>
      <c r="G4706">
        <v>7.6</v>
      </c>
      <c r="H4706">
        <v>3.5</v>
      </c>
      <c r="I4706" t="str" cm="1">
        <f t="array" ref="I4706">_xlfn.IFS(G4706&lt;3, "0–2 Years", G4706&lt;6, "3–5 Years", G4706&lt;9, "6–8 Years", G4706&lt;12, "9-11 Years", G4706&gt;=12, "12-14 Years")</f>
        <v>6–8 Years</v>
      </c>
      <c r="J4706">
        <v>2</v>
      </c>
      <c r="K4706" t="s">
        <v>24</v>
      </c>
      <c r="L4706">
        <v>42700</v>
      </c>
      <c r="M4706">
        <v>2200</v>
      </c>
      <c r="N4706">
        <v>44900</v>
      </c>
      <c r="O4706" t="s">
        <v>65</v>
      </c>
      <c r="P4706" s="3">
        <v>43229</v>
      </c>
      <c r="Q4706" t="s">
        <v>28</v>
      </c>
    </row>
    <row r="4707" spans="1:17" x14ac:dyDescent="0.35">
      <c r="A4707" t="s">
        <v>4759</v>
      </c>
      <c r="B4707" t="s">
        <v>23</v>
      </c>
      <c r="C4707">
        <v>29</v>
      </c>
      <c r="D4707" t="s">
        <v>38</v>
      </c>
      <c r="E4707" t="s">
        <v>112</v>
      </c>
      <c r="F4707" t="s">
        <v>19</v>
      </c>
      <c r="G4707">
        <v>11.7</v>
      </c>
      <c r="H4707">
        <v>6.5</v>
      </c>
      <c r="I4707" t="str" cm="1">
        <f t="array" ref="I4707">_xlfn.IFS(G4707&lt;3, "0–2 Years", G4707&lt;6, "3–5 Years", G4707&lt;9, "6–8 Years", G4707&lt;12, "9-11 Years", G4707&gt;=12, "12-14 Years")</f>
        <v>9-11 Years</v>
      </c>
      <c r="J4707">
        <v>3</v>
      </c>
      <c r="K4707" t="s">
        <v>20</v>
      </c>
      <c r="L4707">
        <v>73000</v>
      </c>
      <c r="M4707">
        <v>5500</v>
      </c>
      <c r="N4707">
        <v>78500</v>
      </c>
      <c r="O4707" t="s">
        <v>21</v>
      </c>
      <c r="P4707" s="3">
        <v>41743</v>
      </c>
      <c r="Q4707" t="s">
        <v>19</v>
      </c>
    </row>
    <row r="4708" spans="1:17" x14ac:dyDescent="0.35">
      <c r="A4708" t="s">
        <v>4760</v>
      </c>
      <c r="B4708" t="s">
        <v>23</v>
      </c>
      <c r="C4708">
        <v>25</v>
      </c>
      <c r="D4708" t="s">
        <v>17</v>
      </c>
      <c r="E4708" t="s">
        <v>27</v>
      </c>
      <c r="F4708" t="s">
        <v>28</v>
      </c>
      <c r="G4708">
        <v>1.4</v>
      </c>
      <c r="H4708">
        <v>1.4</v>
      </c>
      <c r="I4708" t="str" cm="1">
        <f t="array" ref="I4708">_xlfn.IFS(G4708&lt;3, "0–2 Years", G4708&lt;6, "3–5 Years", G4708&lt;9, "6–8 Years", G4708&lt;12, "9-11 Years", G4708&gt;=12, "12-14 Years")</f>
        <v>0–2 Years</v>
      </c>
      <c r="J4708">
        <v>3</v>
      </c>
      <c r="K4708" t="s">
        <v>69</v>
      </c>
      <c r="L4708">
        <v>59800</v>
      </c>
      <c r="M4708">
        <v>7100</v>
      </c>
      <c r="N4708">
        <v>66900</v>
      </c>
      <c r="O4708" t="s">
        <v>25</v>
      </c>
      <c r="P4708" s="3">
        <v>45522</v>
      </c>
      <c r="Q4708" t="s">
        <v>28</v>
      </c>
    </row>
    <row r="4709" spans="1:17" x14ac:dyDescent="0.35">
      <c r="A4709" t="s">
        <v>4761</v>
      </c>
      <c r="B4709" t="s">
        <v>23</v>
      </c>
      <c r="C4709">
        <v>27</v>
      </c>
      <c r="D4709" t="s">
        <v>34</v>
      </c>
      <c r="E4709" t="s">
        <v>47</v>
      </c>
      <c r="F4709" t="s">
        <v>28</v>
      </c>
      <c r="G4709">
        <v>2.7</v>
      </c>
      <c r="H4709">
        <v>2</v>
      </c>
      <c r="I4709" t="str" cm="1">
        <f t="array" ref="I4709">_xlfn.IFS(G4709&lt;3, "0–2 Years", G4709&lt;6, "3–5 Years", G4709&lt;9, "6–8 Years", G4709&lt;12, "9-11 Years", G4709&gt;=12, "12-14 Years")</f>
        <v>0–2 Years</v>
      </c>
      <c r="J4709">
        <v>3</v>
      </c>
      <c r="K4709" t="s">
        <v>20</v>
      </c>
      <c r="L4709">
        <v>71200</v>
      </c>
      <c r="M4709">
        <v>4300</v>
      </c>
      <c r="N4709">
        <v>75500</v>
      </c>
      <c r="O4709" t="s">
        <v>21</v>
      </c>
      <c r="P4709" s="3">
        <v>45042</v>
      </c>
      <c r="Q4709" t="s">
        <v>28</v>
      </c>
    </row>
    <row r="4710" spans="1:17" x14ac:dyDescent="0.35">
      <c r="A4710" t="s">
        <v>4762</v>
      </c>
      <c r="B4710" t="s">
        <v>16</v>
      </c>
      <c r="C4710">
        <v>35</v>
      </c>
      <c r="D4710" t="s">
        <v>38</v>
      </c>
      <c r="E4710" t="s">
        <v>39</v>
      </c>
      <c r="F4710" t="s">
        <v>62</v>
      </c>
      <c r="G4710">
        <v>11.6</v>
      </c>
      <c r="H4710">
        <v>8</v>
      </c>
      <c r="I4710" t="str" cm="1">
        <f t="array" ref="I4710">_xlfn.IFS(G4710&lt;3, "0–2 Years", G4710&lt;6, "3–5 Years", G4710&lt;9, "6–8 Years", G4710&lt;12, "9-11 Years", G4710&gt;=12, "12-14 Years")</f>
        <v>9-11 Years</v>
      </c>
      <c r="J4710">
        <v>2</v>
      </c>
      <c r="K4710" t="s">
        <v>20</v>
      </c>
      <c r="L4710">
        <v>99100</v>
      </c>
      <c r="M4710">
        <v>5800</v>
      </c>
      <c r="N4710">
        <v>104900</v>
      </c>
      <c r="O4710" t="s">
        <v>30</v>
      </c>
      <c r="P4710" s="3">
        <v>41787</v>
      </c>
      <c r="Q4710" t="s">
        <v>62</v>
      </c>
    </row>
    <row r="4711" spans="1:17" x14ac:dyDescent="0.35">
      <c r="A4711" t="s">
        <v>4763</v>
      </c>
      <c r="B4711" t="s">
        <v>23</v>
      </c>
      <c r="C4711">
        <v>37</v>
      </c>
      <c r="D4711" t="s">
        <v>17</v>
      </c>
      <c r="E4711" t="s">
        <v>27</v>
      </c>
      <c r="F4711" t="s">
        <v>36</v>
      </c>
      <c r="G4711">
        <v>7.3</v>
      </c>
      <c r="H4711">
        <v>6</v>
      </c>
      <c r="I4711" t="str" cm="1">
        <f t="array" ref="I4711">_xlfn.IFS(G4711&lt;3, "0–2 Years", G4711&lt;6, "3–5 Years", G4711&lt;9, "6–8 Years", G4711&lt;12, "9-11 Years", G4711&gt;=12, "12-14 Years")</f>
        <v>6–8 Years</v>
      </c>
      <c r="J4711">
        <v>3</v>
      </c>
      <c r="K4711" t="s">
        <v>20</v>
      </c>
      <c r="L4711">
        <v>76200</v>
      </c>
      <c r="M4711">
        <v>6600</v>
      </c>
      <c r="N4711">
        <v>82800</v>
      </c>
      <c r="O4711" t="s">
        <v>21</v>
      </c>
      <c r="P4711" s="3">
        <v>43368</v>
      </c>
      <c r="Q4711" t="s">
        <v>36</v>
      </c>
    </row>
    <row r="4712" spans="1:17" x14ac:dyDescent="0.35">
      <c r="A4712" t="s">
        <v>4764</v>
      </c>
      <c r="B4712" t="s">
        <v>23</v>
      </c>
      <c r="C4712">
        <v>34</v>
      </c>
      <c r="D4712" t="s">
        <v>17</v>
      </c>
      <c r="E4712" t="s">
        <v>18</v>
      </c>
      <c r="F4712" t="s">
        <v>36</v>
      </c>
      <c r="G4712">
        <v>2.6</v>
      </c>
      <c r="H4712">
        <v>2.6</v>
      </c>
      <c r="I4712" t="str" cm="1">
        <f t="array" ref="I4712">_xlfn.IFS(G4712&lt;3, "0–2 Years", G4712&lt;6, "3–5 Years", G4712&lt;9, "6–8 Years", G4712&lt;12, "9-11 Years", G4712&gt;=12, "12-14 Years")</f>
        <v>0–2 Years</v>
      </c>
      <c r="J4712">
        <v>3</v>
      </c>
      <c r="K4712" t="s">
        <v>20</v>
      </c>
      <c r="L4712">
        <v>103400</v>
      </c>
      <c r="M4712">
        <v>7000</v>
      </c>
      <c r="N4712">
        <v>110400</v>
      </c>
      <c r="O4712" t="s">
        <v>57</v>
      </c>
      <c r="P4712" s="3">
        <v>45071</v>
      </c>
      <c r="Q4712" t="s">
        <v>36</v>
      </c>
    </row>
    <row r="4713" spans="1:17" x14ac:dyDescent="0.35">
      <c r="A4713" t="s">
        <v>4765</v>
      </c>
      <c r="B4713" t="s">
        <v>16</v>
      </c>
      <c r="C4713">
        <v>33</v>
      </c>
      <c r="D4713" t="s">
        <v>55</v>
      </c>
      <c r="E4713" t="s">
        <v>92</v>
      </c>
      <c r="F4713" t="s">
        <v>36</v>
      </c>
      <c r="G4713">
        <v>2.7</v>
      </c>
      <c r="H4713">
        <v>2.7</v>
      </c>
      <c r="I4713" t="str" cm="1">
        <f t="array" ref="I4713">_xlfn.IFS(G4713&lt;3, "0–2 Years", G4713&lt;6, "3–5 Years", G4713&lt;9, "6–8 Years", G4713&lt;12, "9-11 Years", G4713&gt;=12, "12-14 Years")</f>
        <v>0–2 Years</v>
      </c>
      <c r="J4713">
        <v>3</v>
      </c>
      <c r="K4713" t="s">
        <v>20</v>
      </c>
      <c r="L4713">
        <v>85700</v>
      </c>
      <c r="M4713">
        <v>12100</v>
      </c>
      <c r="N4713">
        <v>97800</v>
      </c>
      <c r="O4713" t="s">
        <v>30</v>
      </c>
      <c r="P4713" s="3">
        <v>45026</v>
      </c>
      <c r="Q4713" t="s">
        <v>36</v>
      </c>
    </row>
    <row r="4714" spans="1:17" x14ac:dyDescent="0.35">
      <c r="A4714" t="s">
        <v>4766</v>
      </c>
      <c r="B4714" t="s">
        <v>16</v>
      </c>
      <c r="C4714">
        <v>51</v>
      </c>
      <c r="D4714" t="s">
        <v>17</v>
      </c>
      <c r="E4714" t="s">
        <v>18</v>
      </c>
      <c r="F4714" t="s">
        <v>36</v>
      </c>
      <c r="G4714">
        <v>1.6</v>
      </c>
      <c r="H4714">
        <v>1.6</v>
      </c>
      <c r="I4714" t="str" cm="1">
        <f t="array" ref="I4714">_xlfn.IFS(G4714&lt;3, "0–2 Years", G4714&lt;6, "3–5 Years", G4714&lt;9, "6–8 Years", G4714&lt;12, "9-11 Years", G4714&gt;=12, "12-14 Years")</f>
        <v>0–2 Years</v>
      </c>
      <c r="J4714">
        <v>2</v>
      </c>
      <c r="K4714" t="s">
        <v>20</v>
      </c>
      <c r="L4714">
        <v>92300</v>
      </c>
      <c r="M4714">
        <v>9000</v>
      </c>
      <c r="N4714">
        <v>101300</v>
      </c>
      <c r="O4714" t="s">
        <v>30</v>
      </c>
      <c r="P4714" s="3">
        <v>45450</v>
      </c>
      <c r="Q4714" t="s">
        <v>36</v>
      </c>
    </row>
    <row r="4715" spans="1:17" x14ac:dyDescent="0.35">
      <c r="A4715" t="s">
        <v>4767</v>
      </c>
      <c r="B4715" t="s">
        <v>16</v>
      </c>
      <c r="C4715" s="7">
        <v>34</v>
      </c>
      <c r="D4715" t="s">
        <v>38</v>
      </c>
      <c r="E4715" t="s">
        <v>112</v>
      </c>
      <c r="F4715" t="s">
        <v>36</v>
      </c>
      <c r="G4715" s="9">
        <v>13.4</v>
      </c>
      <c r="H4715" s="7">
        <v>11.2</v>
      </c>
      <c r="I4715" t="str" cm="1">
        <f t="array" ref="I4715">_xlfn.IFS(G4715&lt;3, "0–2 Years", G4715&lt;6, "3–5 Years", G4715&lt;9, "6–8 Years", G4715&lt;12, "9-11 Years", G4715&gt;=12, "12-14 Years")</f>
        <v>12-14 Years</v>
      </c>
      <c r="J4715" s="7">
        <v>2</v>
      </c>
      <c r="K4715" t="s">
        <v>20</v>
      </c>
      <c r="L4715" s="7">
        <v>84700</v>
      </c>
      <c r="M4715" s="7">
        <v>8600</v>
      </c>
      <c r="N4715" s="7">
        <v>93300</v>
      </c>
      <c r="O4715" t="s">
        <v>30</v>
      </c>
      <c r="P4715" s="3">
        <v>41143</v>
      </c>
      <c r="Q4715" t="s">
        <v>36</v>
      </c>
    </row>
    <row r="4716" spans="1:17" x14ac:dyDescent="0.35">
      <c r="A4716" t="s">
        <v>4768</v>
      </c>
      <c r="B4716" t="s">
        <v>23</v>
      </c>
      <c r="C4716">
        <v>27</v>
      </c>
      <c r="D4716" t="s">
        <v>41</v>
      </c>
      <c r="E4716" t="s">
        <v>73</v>
      </c>
      <c r="F4716" t="s">
        <v>28</v>
      </c>
      <c r="G4716">
        <v>11.8</v>
      </c>
      <c r="H4716">
        <v>5.9</v>
      </c>
      <c r="I4716" t="str" cm="1">
        <f t="array" ref="I4716">_xlfn.IFS(G4716&lt;3, "0–2 Years", G4716&lt;6, "3–5 Years", G4716&lt;9, "6–8 Years", G4716&lt;12, "9-11 Years", G4716&gt;=12, "12-14 Years")</f>
        <v>9-11 Years</v>
      </c>
      <c r="J4716">
        <v>4</v>
      </c>
      <c r="K4716" t="s">
        <v>20</v>
      </c>
      <c r="L4716">
        <v>110500</v>
      </c>
      <c r="M4716">
        <v>4700</v>
      </c>
      <c r="N4716">
        <v>115200</v>
      </c>
      <c r="O4716" t="s">
        <v>57</v>
      </c>
      <c r="P4716" s="3">
        <v>41721</v>
      </c>
      <c r="Q4716" t="s">
        <v>28</v>
      </c>
    </row>
    <row r="4717" spans="1:17" x14ac:dyDescent="0.35">
      <c r="A4717" t="s">
        <v>4769</v>
      </c>
      <c r="B4717" t="s">
        <v>16</v>
      </c>
      <c r="C4717">
        <v>25</v>
      </c>
      <c r="D4717" t="s">
        <v>17</v>
      </c>
      <c r="E4717" t="s">
        <v>32</v>
      </c>
      <c r="F4717" t="s">
        <v>28</v>
      </c>
      <c r="G4717">
        <v>4.7</v>
      </c>
      <c r="H4717">
        <v>2.6</v>
      </c>
      <c r="I4717" t="str" cm="1">
        <f t="array" ref="I4717">_xlfn.IFS(G4717&lt;3, "0–2 Years", G4717&lt;6, "3–5 Years", G4717&lt;9, "6–8 Years", G4717&lt;12, "9-11 Years", G4717&gt;=12, "12-14 Years")</f>
        <v>3–5 Years</v>
      </c>
      <c r="J4717">
        <v>2</v>
      </c>
      <c r="K4717" t="s">
        <v>20</v>
      </c>
      <c r="L4717">
        <v>62700</v>
      </c>
      <c r="M4717">
        <v>3400</v>
      </c>
      <c r="N4717">
        <v>66100</v>
      </c>
      <c r="O4717" t="s">
        <v>25</v>
      </c>
      <c r="P4717" s="3">
        <v>44299</v>
      </c>
      <c r="Q4717" t="s">
        <v>28</v>
      </c>
    </row>
    <row r="4718" spans="1:17" x14ac:dyDescent="0.35">
      <c r="A4718" t="s">
        <v>4770</v>
      </c>
      <c r="B4718" t="s">
        <v>16</v>
      </c>
      <c r="C4718">
        <v>26</v>
      </c>
      <c r="D4718" t="s">
        <v>41</v>
      </c>
      <c r="E4718" t="s">
        <v>42</v>
      </c>
      <c r="F4718" t="s">
        <v>19</v>
      </c>
      <c r="G4718">
        <v>10.9</v>
      </c>
      <c r="H4718">
        <v>5.9</v>
      </c>
      <c r="I4718" t="str" cm="1">
        <f t="array" ref="I4718">_xlfn.IFS(G4718&lt;3, "0–2 Years", G4718&lt;6, "3–5 Years", G4718&lt;9, "6–8 Years", G4718&lt;12, "9-11 Years", G4718&gt;=12, "12-14 Years")</f>
        <v>9-11 Years</v>
      </c>
      <c r="J4718">
        <v>3</v>
      </c>
      <c r="K4718" t="s">
        <v>24</v>
      </c>
      <c r="L4718">
        <v>49100</v>
      </c>
      <c r="M4718">
        <v>4000</v>
      </c>
      <c r="N4718">
        <v>53100</v>
      </c>
      <c r="O4718" t="s">
        <v>65</v>
      </c>
      <c r="P4718" s="3">
        <v>42059</v>
      </c>
      <c r="Q4718" t="s">
        <v>19</v>
      </c>
    </row>
    <row r="4719" spans="1:17" x14ac:dyDescent="0.35">
      <c r="A4719" t="s">
        <v>4771</v>
      </c>
      <c r="B4719" t="s">
        <v>23</v>
      </c>
      <c r="C4719" s="7">
        <v>33</v>
      </c>
      <c r="D4719" t="s">
        <v>38</v>
      </c>
      <c r="E4719" t="s">
        <v>61</v>
      </c>
      <c r="F4719" t="s">
        <v>36</v>
      </c>
      <c r="G4719" s="9">
        <v>12.3</v>
      </c>
      <c r="H4719" s="7">
        <v>6.8</v>
      </c>
      <c r="I4719" t="str" cm="1">
        <f t="array" ref="I4719">_xlfn.IFS(G4719&lt;3, "0–2 Years", G4719&lt;6, "3–5 Years", G4719&lt;9, "6–8 Years", G4719&lt;12, "9-11 Years", G4719&gt;=12, "12-14 Years")</f>
        <v>12-14 Years</v>
      </c>
      <c r="J4719" s="7">
        <v>1</v>
      </c>
      <c r="K4719" t="s">
        <v>20</v>
      </c>
      <c r="L4719" s="7">
        <v>109600</v>
      </c>
      <c r="M4719" s="7">
        <v>10800</v>
      </c>
      <c r="N4719" s="7">
        <v>120400</v>
      </c>
      <c r="O4719" t="s">
        <v>57</v>
      </c>
      <c r="P4719" s="3">
        <v>41518</v>
      </c>
      <c r="Q4719" t="s">
        <v>36</v>
      </c>
    </row>
    <row r="4720" spans="1:17" x14ac:dyDescent="0.35">
      <c r="A4720" t="s">
        <v>4772</v>
      </c>
      <c r="B4720" t="s">
        <v>16</v>
      </c>
      <c r="C4720">
        <v>28</v>
      </c>
      <c r="D4720" t="s">
        <v>44</v>
      </c>
      <c r="E4720" t="s">
        <v>81</v>
      </c>
      <c r="F4720" t="s">
        <v>28</v>
      </c>
      <c r="G4720">
        <v>8</v>
      </c>
      <c r="H4720">
        <v>5.2</v>
      </c>
      <c r="I4720" t="str" cm="1">
        <f t="array" ref="I4720">_xlfn.IFS(G4720&lt;3, "0–2 Years", G4720&lt;6, "3–5 Years", G4720&lt;9, "6–8 Years", G4720&lt;12, "9-11 Years", G4720&gt;=12, "12-14 Years")</f>
        <v>6–8 Years</v>
      </c>
      <c r="J4720">
        <v>3</v>
      </c>
      <c r="K4720" t="s">
        <v>20</v>
      </c>
      <c r="L4720">
        <v>87600</v>
      </c>
      <c r="M4720">
        <v>5300</v>
      </c>
      <c r="N4720">
        <v>92900</v>
      </c>
      <c r="O4720" t="s">
        <v>30</v>
      </c>
      <c r="P4720" s="3">
        <v>43116</v>
      </c>
      <c r="Q4720" t="s">
        <v>28</v>
      </c>
    </row>
    <row r="4721" spans="1:17" x14ac:dyDescent="0.35">
      <c r="A4721" t="s">
        <v>4773</v>
      </c>
      <c r="B4721" t="s">
        <v>16</v>
      </c>
      <c r="C4721">
        <v>38</v>
      </c>
      <c r="D4721" t="s">
        <v>44</v>
      </c>
      <c r="E4721" t="s">
        <v>81</v>
      </c>
      <c r="F4721" t="s">
        <v>36</v>
      </c>
      <c r="G4721">
        <v>6.3</v>
      </c>
      <c r="H4721">
        <v>5.5</v>
      </c>
      <c r="I4721" t="str" cm="1">
        <f t="array" ref="I4721">_xlfn.IFS(G4721&lt;3, "0–2 Years", G4721&lt;6, "3–5 Years", G4721&lt;9, "6–8 Years", G4721&lt;12, "9-11 Years", G4721&gt;=12, "12-14 Years")</f>
        <v>6–8 Years</v>
      </c>
      <c r="J4721">
        <v>3</v>
      </c>
      <c r="K4721" t="s">
        <v>20</v>
      </c>
      <c r="L4721">
        <v>104800</v>
      </c>
      <c r="M4721">
        <v>14600</v>
      </c>
      <c r="N4721">
        <v>119400</v>
      </c>
      <c r="O4721" t="s">
        <v>57</v>
      </c>
      <c r="P4721" s="3">
        <v>43725</v>
      </c>
      <c r="Q4721" t="s">
        <v>36</v>
      </c>
    </row>
    <row r="4722" spans="1:17" x14ac:dyDescent="0.35">
      <c r="A4722" t="s">
        <v>4774</v>
      </c>
      <c r="B4722" t="s">
        <v>16</v>
      </c>
      <c r="C4722" s="7">
        <v>33</v>
      </c>
      <c r="D4722" t="s">
        <v>44</v>
      </c>
      <c r="E4722" t="s">
        <v>81</v>
      </c>
      <c r="F4722" t="s">
        <v>28</v>
      </c>
      <c r="G4722" s="9">
        <v>14</v>
      </c>
      <c r="H4722" s="7">
        <v>7.5</v>
      </c>
      <c r="I4722" t="str" cm="1">
        <f t="array" ref="I4722">_xlfn.IFS(G4722&lt;3, "0–2 Years", G4722&lt;6, "3–5 Years", G4722&lt;9, "6–8 Years", G4722&lt;12, "9-11 Years", G4722&gt;=12, "12-14 Years")</f>
        <v>12-14 Years</v>
      </c>
      <c r="J4722" s="7">
        <v>4</v>
      </c>
      <c r="K4722" t="s">
        <v>20</v>
      </c>
      <c r="L4722" s="7">
        <v>107800</v>
      </c>
      <c r="M4722" s="7">
        <v>6000</v>
      </c>
      <c r="N4722" s="7">
        <v>113800</v>
      </c>
      <c r="O4722" t="s">
        <v>57</v>
      </c>
      <c r="P4722" s="3">
        <v>40911</v>
      </c>
      <c r="Q4722" t="s">
        <v>28</v>
      </c>
    </row>
    <row r="4723" spans="1:17" x14ac:dyDescent="0.35">
      <c r="A4723" t="s">
        <v>4775</v>
      </c>
      <c r="B4723" t="s">
        <v>16</v>
      </c>
      <c r="C4723">
        <v>37</v>
      </c>
      <c r="D4723" t="s">
        <v>38</v>
      </c>
      <c r="E4723" t="s">
        <v>112</v>
      </c>
      <c r="F4723" t="s">
        <v>19</v>
      </c>
      <c r="G4723">
        <v>11.2</v>
      </c>
      <c r="H4723">
        <v>6.4</v>
      </c>
      <c r="I4723" t="str" cm="1">
        <f t="array" ref="I4723">_xlfn.IFS(G4723&lt;3, "0–2 Years", G4723&lt;6, "3–5 Years", G4723&lt;9, "6–8 Years", G4723&lt;12, "9-11 Years", G4723&gt;=12, "12-14 Years")</f>
        <v>9-11 Years</v>
      </c>
      <c r="J4723">
        <v>4</v>
      </c>
      <c r="K4723" t="s">
        <v>20</v>
      </c>
      <c r="L4723">
        <v>57000</v>
      </c>
      <c r="M4723">
        <v>3100</v>
      </c>
      <c r="N4723">
        <v>60100</v>
      </c>
      <c r="O4723" t="s">
        <v>25</v>
      </c>
      <c r="P4723" s="3">
        <v>41946</v>
      </c>
      <c r="Q4723" t="s">
        <v>19</v>
      </c>
    </row>
    <row r="4724" spans="1:17" x14ac:dyDescent="0.35">
      <c r="A4724" t="s">
        <v>4776</v>
      </c>
      <c r="B4724" t="s">
        <v>16</v>
      </c>
      <c r="C4724">
        <v>35</v>
      </c>
      <c r="D4724" t="s">
        <v>41</v>
      </c>
      <c r="E4724" t="s">
        <v>42</v>
      </c>
      <c r="F4724" t="s">
        <v>28</v>
      </c>
      <c r="G4724">
        <v>10.199999999999999</v>
      </c>
      <c r="H4724">
        <v>5.9</v>
      </c>
      <c r="I4724" t="str" cm="1">
        <f t="array" ref="I4724">_xlfn.IFS(G4724&lt;3, "0–2 Years", G4724&lt;6, "3–5 Years", G4724&lt;9, "6–8 Years", G4724&lt;12, "9-11 Years", G4724&gt;=12, "12-14 Years")</f>
        <v>9-11 Years</v>
      </c>
      <c r="J4724">
        <v>3</v>
      </c>
      <c r="K4724" t="s">
        <v>69</v>
      </c>
      <c r="L4724">
        <v>66100</v>
      </c>
      <c r="M4724">
        <v>3800</v>
      </c>
      <c r="N4724">
        <v>69900</v>
      </c>
      <c r="O4724" t="s">
        <v>21</v>
      </c>
      <c r="P4724" s="3">
        <v>42294</v>
      </c>
      <c r="Q4724" t="s">
        <v>28</v>
      </c>
    </row>
    <row r="4725" spans="1:17" x14ac:dyDescent="0.35">
      <c r="A4725" t="s">
        <v>4777</v>
      </c>
      <c r="B4725" t="s">
        <v>16</v>
      </c>
      <c r="C4725">
        <v>21</v>
      </c>
      <c r="D4725" t="s">
        <v>41</v>
      </c>
      <c r="E4725" t="s">
        <v>67</v>
      </c>
      <c r="F4725" t="s">
        <v>28</v>
      </c>
      <c r="G4725">
        <v>9.6999999999999993</v>
      </c>
      <c r="H4725">
        <v>5.5</v>
      </c>
      <c r="I4725" t="str" cm="1">
        <f t="array" ref="I4725">_xlfn.IFS(G4725&lt;3, "0–2 Years", G4725&lt;6, "3–5 Years", G4725&lt;9, "6–8 Years", G4725&lt;12, "9-11 Years", G4725&gt;=12, "12-14 Years")</f>
        <v>9-11 Years</v>
      </c>
      <c r="J4725">
        <v>3</v>
      </c>
      <c r="K4725" t="s">
        <v>20</v>
      </c>
      <c r="L4725">
        <v>68000</v>
      </c>
      <c r="M4725">
        <v>3100</v>
      </c>
      <c r="N4725">
        <v>71100</v>
      </c>
      <c r="O4725" t="s">
        <v>21</v>
      </c>
      <c r="P4725" s="3">
        <v>42486</v>
      </c>
      <c r="Q4725" t="s">
        <v>28</v>
      </c>
    </row>
    <row r="4726" spans="1:17" x14ac:dyDescent="0.35">
      <c r="A4726" t="s">
        <v>4778</v>
      </c>
      <c r="B4726" t="s">
        <v>23</v>
      </c>
      <c r="C4726" s="7">
        <v>41</v>
      </c>
      <c r="D4726" t="s">
        <v>55</v>
      </c>
      <c r="E4726" t="s">
        <v>79</v>
      </c>
      <c r="F4726" t="s">
        <v>36</v>
      </c>
      <c r="G4726" s="9">
        <v>13.6</v>
      </c>
      <c r="H4726" s="7">
        <v>8.6999999999999993</v>
      </c>
      <c r="I4726" t="str" cm="1">
        <f t="array" ref="I4726">_xlfn.IFS(G4726&lt;3, "0–2 Years", G4726&lt;6, "3–5 Years", G4726&lt;9, "6–8 Years", G4726&lt;12, "9-11 Years", G4726&gt;=12, "12-14 Years")</f>
        <v>12-14 Years</v>
      </c>
      <c r="J4726" s="7">
        <v>4</v>
      </c>
      <c r="K4726" t="s">
        <v>20</v>
      </c>
      <c r="L4726" s="7">
        <v>82300</v>
      </c>
      <c r="M4726" s="7">
        <v>14600</v>
      </c>
      <c r="N4726" s="7">
        <v>96900</v>
      </c>
      <c r="O4726" t="s">
        <v>30</v>
      </c>
      <c r="P4726" s="3">
        <v>41055</v>
      </c>
      <c r="Q4726" t="s">
        <v>36</v>
      </c>
    </row>
    <row r="4727" spans="1:17" x14ac:dyDescent="0.35">
      <c r="A4727" t="s">
        <v>4779</v>
      </c>
      <c r="B4727" t="s">
        <v>23</v>
      </c>
      <c r="C4727" s="7">
        <v>28</v>
      </c>
      <c r="D4727" t="s">
        <v>55</v>
      </c>
      <c r="E4727" t="s">
        <v>56</v>
      </c>
      <c r="F4727" t="s">
        <v>28</v>
      </c>
      <c r="G4727" s="9">
        <v>13.4</v>
      </c>
      <c r="H4727" s="7">
        <v>9.6</v>
      </c>
      <c r="I4727" t="str" cm="1">
        <f t="array" ref="I4727">_xlfn.IFS(G4727&lt;3, "0–2 Years", G4727&lt;6, "3–5 Years", G4727&lt;9, "6–8 Years", G4727&lt;12, "9-11 Years", G4727&gt;=12, "12-14 Years")</f>
        <v>12-14 Years</v>
      </c>
      <c r="J4727" s="7">
        <v>5</v>
      </c>
      <c r="K4727" t="s">
        <v>20</v>
      </c>
      <c r="L4727" s="7">
        <v>127900</v>
      </c>
      <c r="M4727" s="7">
        <v>25500</v>
      </c>
      <c r="N4727" s="7">
        <v>153400</v>
      </c>
      <c r="O4727" t="s">
        <v>57</v>
      </c>
      <c r="P4727" s="3">
        <v>41116</v>
      </c>
      <c r="Q4727" t="s">
        <v>28</v>
      </c>
    </row>
    <row r="4728" spans="1:17" x14ac:dyDescent="0.35">
      <c r="A4728" t="s">
        <v>4780</v>
      </c>
      <c r="B4728" t="s">
        <v>23</v>
      </c>
      <c r="C4728">
        <v>46</v>
      </c>
      <c r="D4728" t="s">
        <v>34</v>
      </c>
      <c r="E4728" t="s">
        <v>35</v>
      </c>
      <c r="F4728" t="s">
        <v>19</v>
      </c>
      <c r="G4728">
        <v>8.4</v>
      </c>
      <c r="H4728">
        <v>3.1</v>
      </c>
      <c r="I4728" t="str" cm="1">
        <f t="array" ref="I4728">_xlfn.IFS(G4728&lt;3, "0–2 Years", G4728&lt;6, "3–5 Years", G4728&lt;9, "6–8 Years", G4728&lt;12, "9-11 Years", G4728&gt;=12, "12-14 Years")</f>
        <v>6–8 Years</v>
      </c>
      <c r="J4728">
        <v>2</v>
      </c>
      <c r="K4728" t="s">
        <v>20</v>
      </c>
      <c r="L4728">
        <v>76400</v>
      </c>
      <c r="M4728">
        <v>4200</v>
      </c>
      <c r="N4728">
        <v>80600</v>
      </c>
      <c r="O4728" t="s">
        <v>21</v>
      </c>
      <c r="P4728" s="3">
        <v>42960</v>
      </c>
      <c r="Q4728" t="s">
        <v>19</v>
      </c>
    </row>
    <row r="4729" spans="1:17" x14ac:dyDescent="0.35">
      <c r="A4729" t="s">
        <v>4781</v>
      </c>
      <c r="B4729" t="s">
        <v>23</v>
      </c>
      <c r="C4729">
        <v>35</v>
      </c>
      <c r="D4729" t="s">
        <v>34</v>
      </c>
      <c r="E4729" t="s">
        <v>59</v>
      </c>
      <c r="F4729" t="s">
        <v>36</v>
      </c>
      <c r="G4729">
        <v>10.5</v>
      </c>
      <c r="H4729">
        <v>8.5</v>
      </c>
      <c r="I4729" t="str" cm="1">
        <f t="array" ref="I4729">_xlfn.IFS(G4729&lt;3, "0–2 Years", G4729&lt;6, "3–5 Years", G4729&lt;9, "6–8 Years", G4729&lt;12, "9-11 Years", G4729&gt;=12, "12-14 Years")</f>
        <v>9-11 Years</v>
      </c>
      <c r="J4729">
        <v>1</v>
      </c>
      <c r="K4729" t="s">
        <v>20</v>
      </c>
      <c r="L4729">
        <v>107500</v>
      </c>
      <c r="M4729">
        <v>5000</v>
      </c>
      <c r="N4729">
        <v>112500</v>
      </c>
      <c r="O4729" t="s">
        <v>57</v>
      </c>
      <c r="P4729" s="3">
        <v>42190</v>
      </c>
      <c r="Q4729" t="s">
        <v>36</v>
      </c>
    </row>
    <row r="4730" spans="1:17" x14ac:dyDescent="0.35">
      <c r="A4730" t="s">
        <v>4782</v>
      </c>
      <c r="B4730" t="s">
        <v>16</v>
      </c>
      <c r="C4730" s="7">
        <v>35</v>
      </c>
      <c r="D4730" t="s">
        <v>44</v>
      </c>
      <c r="E4730" t="s">
        <v>81</v>
      </c>
      <c r="F4730" t="s">
        <v>28</v>
      </c>
      <c r="G4730" s="9">
        <v>12.4</v>
      </c>
      <c r="H4730" s="7">
        <v>6.9</v>
      </c>
      <c r="I4730" t="str" cm="1">
        <f t="array" ref="I4730">_xlfn.IFS(G4730&lt;3, "0–2 Years", G4730&lt;6, "3–5 Years", G4730&lt;9, "6–8 Years", G4730&lt;12, "9-11 Years", G4730&gt;=12, "12-14 Years")</f>
        <v>12-14 Years</v>
      </c>
      <c r="J4730" s="7">
        <v>4</v>
      </c>
      <c r="K4730" t="s">
        <v>20</v>
      </c>
      <c r="L4730" s="7">
        <v>91900</v>
      </c>
      <c r="M4730" s="7">
        <v>10300</v>
      </c>
      <c r="N4730" s="7">
        <v>102200</v>
      </c>
      <c r="O4730" t="s">
        <v>30</v>
      </c>
      <c r="P4730" s="3">
        <v>41507</v>
      </c>
      <c r="Q4730" t="s">
        <v>28</v>
      </c>
    </row>
    <row r="4731" spans="1:17" x14ac:dyDescent="0.35">
      <c r="A4731" t="s">
        <v>4783</v>
      </c>
      <c r="B4731" t="s">
        <v>16</v>
      </c>
      <c r="C4731">
        <v>28</v>
      </c>
      <c r="D4731" t="s">
        <v>41</v>
      </c>
      <c r="E4731" t="s">
        <v>73</v>
      </c>
      <c r="F4731" t="s">
        <v>28</v>
      </c>
      <c r="G4731">
        <v>7</v>
      </c>
      <c r="H4731">
        <v>2.1</v>
      </c>
      <c r="I4731" t="str" cm="1">
        <f t="array" ref="I4731">_xlfn.IFS(G4731&lt;3, "0–2 Years", G4731&lt;6, "3–5 Years", G4731&lt;9, "6–8 Years", G4731&lt;12, "9-11 Years", G4731&gt;=12, "12-14 Years")</f>
        <v>6–8 Years</v>
      </c>
      <c r="J4731">
        <v>3</v>
      </c>
      <c r="K4731" t="s">
        <v>20</v>
      </c>
      <c r="L4731">
        <v>108600</v>
      </c>
      <c r="M4731">
        <v>8100</v>
      </c>
      <c r="N4731">
        <v>116700</v>
      </c>
      <c r="O4731" t="s">
        <v>57</v>
      </c>
      <c r="P4731" s="3">
        <v>43480</v>
      </c>
      <c r="Q4731" t="s">
        <v>28</v>
      </c>
    </row>
    <row r="4732" spans="1:17" x14ac:dyDescent="0.35">
      <c r="A4732" t="s">
        <v>4784</v>
      </c>
      <c r="B4732" t="s">
        <v>23</v>
      </c>
      <c r="C4732">
        <v>45</v>
      </c>
      <c r="D4732" t="s">
        <v>38</v>
      </c>
      <c r="E4732" t="s">
        <v>39</v>
      </c>
      <c r="F4732" t="s">
        <v>36</v>
      </c>
      <c r="G4732">
        <v>10.9</v>
      </c>
      <c r="H4732">
        <v>6.7</v>
      </c>
      <c r="I4732" t="str" cm="1">
        <f t="array" ref="I4732">_xlfn.IFS(G4732&lt;3, "0–2 Years", G4732&lt;6, "3–5 Years", G4732&lt;9, "6–8 Years", G4732&lt;12, "9-11 Years", G4732&gt;=12, "12-14 Years")</f>
        <v>9-11 Years</v>
      </c>
      <c r="J4732">
        <v>2</v>
      </c>
      <c r="K4732" t="s">
        <v>69</v>
      </c>
      <c r="L4732">
        <v>70700</v>
      </c>
      <c r="M4732">
        <v>5800</v>
      </c>
      <c r="N4732">
        <v>76500</v>
      </c>
      <c r="O4732" t="s">
        <v>21</v>
      </c>
      <c r="P4732" s="3">
        <v>42037</v>
      </c>
      <c r="Q4732" t="s">
        <v>36</v>
      </c>
    </row>
    <row r="4733" spans="1:17" x14ac:dyDescent="0.35">
      <c r="A4733" t="s">
        <v>4785</v>
      </c>
      <c r="B4733" t="s">
        <v>23</v>
      </c>
      <c r="C4733">
        <v>24</v>
      </c>
      <c r="D4733" t="s">
        <v>55</v>
      </c>
      <c r="E4733" t="s">
        <v>79</v>
      </c>
      <c r="F4733" t="s">
        <v>36</v>
      </c>
      <c r="G4733">
        <v>5.4</v>
      </c>
      <c r="H4733">
        <v>3.8</v>
      </c>
      <c r="I4733" t="str" cm="1">
        <f t="array" ref="I4733">_xlfn.IFS(G4733&lt;3, "0–2 Years", G4733&lt;6, "3–5 Years", G4733&lt;9, "6–8 Years", G4733&lt;12, "9-11 Years", G4733&gt;=12, "12-14 Years")</f>
        <v>3–5 Years</v>
      </c>
      <c r="J4733">
        <v>4</v>
      </c>
      <c r="K4733" t="s">
        <v>20</v>
      </c>
      <c r="L4733">
        <v>72000</v>
      </c>
      <c r="M4733">
        <v>6100</v>
      </c>
      <c r="N4733">
        <v>78100</v>
      </c>
      <c r="O4733" t="s">
        <v>21</v>
      </c>
      <c r="P4733" s="3">
        <v>44050</v>
      </c>
      <c r="Q4733" t="s">
        <v>36</v>
      </c>
    </row>
    <row r="4734" spans="1:17" x14ac:dyDescent="0.35">
      <c r="A4734" t="s">
        <v>4786</v>
      </c>
      <c r="B4734" t="s">
        <v>16</v>
      </c>
      <c r="C4734" s="7">
        <v>44</v>
      </c>
      <c r="D4734" t="s">
        <v>38</v>
      </c>
      <c r="E4734" t="s">
        <v>61</v>
      </c>
      <c r="F4734" t="s">
        <v>62</v>
      </c>
      <c r="G4734" s="9">
        <v>13.9</v>
      </c>
      <c r="H4734" s="7">
        <v>10.5</v>
      </c>
      <c r="I4734" t="str" cm="1">
        <f t="array" ref="I4734">_xlfn.IFS(G4734&lt;3, "0–2 Years", G4734&lt;6, "3–5 Years", G4734&lt;9, "6–8 Years", G4734&lt;12, "9-11 Years", G4734&gt;=12, "12-14 Years")</f>
        <v>12-14 Years</v>
      </c>
      <c r="J4734" s="7">
        <v>3</v>
      </c>
      <c r="K4734" t="s">
        <v>20</v>
      </c>
      <c r="L4734" s="7">
        <v>108100</v>
      </c>
      <c r="M4734" s="7">
        <v>4800</v>
      </c>
      <c r="N4734" s="7">
        <v>112900</v>
      </c>
      <c r="O4734" t="s">
        <v>57</v>
      </c>
      <c r="P4734" s="3">
        <v>40962</v>
      </c>
      <c r="Q4734" t="s">
        <v>62</v>
      </c>
    </row>
    <row r="4735" spans="1:17" x14ac:dyDescent="0.35">
      <c r="A4735" t="s">
        <v>4787</v>
      </c>
      <c r="B4735" t="s">
        <v>23</v>
      </c>
      <c r="C4735">
        <v>33</v>
      </c>
      <c r="D4735" t="s">
        <v>34</v>
      </c>
      <c r="E4735" t="s">
        <v>47</v>
      </c>
      <c r="F4735" t="s">
        <v>28</v>
      </c>
      <c r="G4735">
        <v>2.7</v>
      </c>
      <c r="H4735">
        <v>1.4</v>
      </c>
      <c r="I4735" t="str" cm="1">
        <f t="array" ref="I4735">_xlfn.IFS(G4735&lt;3, "0–2 Years", G4735&lt;6, "3–5 Years", G4735&lt;9, "6–8 Years", G4735&lt;12, "9-11 Years", G4735&gt;=12, "12-14 Years")</f>
        <v>0–2 Years</v>
      </c>
      <c r="J4735">
        <v>1</v>
      </c>
      <c r="K4735" t="s">
        <v>20</v>
      </c>
      <c r="L4735">
        <v>70900</v>
      </c>
      <c r="M4735">
        <v>7400</v>
      </c>
      <c r="N4735">
        <v>78300</v>
      </c>
      <c r="O4735" t="s">
        <v>21</v>
      </c>
      <c r="P4735" s="3">
        <v>45019</v>
      </c>
      <c r="Q4735" t="s">
        <v>28</v>
      </c>
    </row>
    <row r="4736" spans="1:17" x14ac:dyDescent="0.35">
      <c r="A4736" t="s">
        <v>4788</v>
      </c>
      <c r="B4736" t="s">
        <v>16</v>
      </c>
      <c r="C4736" s="7">
        <v>27</v>
      </c>
      <c r="D4736" t="s">
        <v>41</v>
      </c>
      <c r="E4736" t="s">
        <v>42</v>
      </c>
      <c r="F4736" t="s">
        <v>36</v>
      </c>
      <c r="G4736" s="9">
        <v>13.5</v>
      </c>
      <c r="H4736" s="7">
        <v>9.6</v>
      </c>
      <c r="I4736" t="str" cm="1">
        <f t="array" ref="I4736">_xlfn.IFS(G4736&lt;3, "0–2 Years", G4736&lt;6, "3–5 Years", G4736&lt;9, "6–8 Years", G4736&lt;12, "9-11 Years", G4736&gt;=12, "12-14 Years")</f>
        <v>12-14 Years</v>
      </c>
      <c r="J4736" s="7">
        <v>2</v>
      </c>
      <c r="K4736" t="s">
        <v>20</v>
      </c>
      <c r="L4736" s="7">
        <v>98100</v>
      </c>
      <c r="M4736" s="7">
        <v>8800</v>
      </c>
      <c r="N4736" s="7">
        <v>106900</v>
      </c>
      <c r="O4736" t="s">
        <v>30</v>
      </c>
      <c r="P4736" s="3">
        <v>41096</v>
      </c>
      <c r="Q4736" t="s">
        <v>36</v>
      </c>
    </row>
    <row r="4737" spans="1:17" x14ac:dyDescent="0.35">
      <c r="A4737" t="s">
        <v>4789</v>
      </c>
      <c r="B4737" t="s">
        <v>16</v>
      </c>
      <c r="C4737">
        <v>38</v>
      </c>
      <c r="D4737" t="s">
        <v>55</v>
      </c>
      <c r="E4737" t="s">
        <v>79</v>
      </c>
      <c r="F4737" t="s">
        <v>28</v>
      </c>
      <c r="G4737">
        <v>11.7</v>
      </c>
      <c r="H4737">
        <v>6.9</v>
      </c>
      <c r="I4737" t="str" cm="1">
        <f t="array" ref="I4737">_xlfn.IFS(G4737&lt;3, "0–2 Years", G4737&lt;6, "3–5 Years", G4737&lt;9, "6–8 Years", G4737&lt;12, "9-11 Years", G4737&gt;=12, "12-14 Years")</f>
        <v>9-11 Years</v>
      </c>
      <c r="J4737">
        <v>4</v>
      </c>
      <c r="K4737" t="s">
        <v>20</v>
      </c>
      <c r="L4737">
        <v>80200</v>
      </c>
      <c r="M4737">
        <v>13300</v>
      </c>
      <c r="N4737">
        <v>93500</v>
      </c>
      <c r="O4737" t="s">
        <v>30</v>
      </c>
      <c r="P4737" s="3">
        <v>41739</v>
      </c>
      <c r="Q4737" t="s">
        <v>28</v>
      </c>
    </row>
    <row r="4738" spans="1:17" x14ac:dyDescent="0.35">
      <c r="A4738" t="s">
        <v>4790</v>
      </c>
      <c r="B4738" t="s">
        <v>16</v>
      </c>
      <c r="C4738">
        <v>38</v>
      </c>
      <c r="D4738" t="s">
        <v>17</v>
      </c>
      <c r="E4738" t="s">
        <v>18</v>
      </c>
      <c r="F4738" t="s">
        <v>19</v>
      </c>
      <c r="G4738">
        <v>4.2</v>
      </c>
      <c r="H4738">
        <v>3.5</v>
      </c>
      <c r="I4738" t="str" cm="1">
        <f t="array" ref="I4738">_xlfn.IFS(G4738&lt;3, "0–2 Years", G4738&lt;6, "3–5 Years", G4738&lt;9, "6–8 Years", G4738&lt;12, "9-11 Years", G4738&gt;=12, "12-14 Years")</f>
        <v>3–5 Years</v>
      </c>
      <c r="J4738">
        <v>3</v>
      </c>
      <c r="K4738" t="s">
        <v>20</v>
      </c>
      <c r="L4738">
        <v>97800</v>
      </c>
      <c r="M4738">
        <v>8800</v>
      </c>
      <c r="N4738">
        <v>106600</v>
      </c>
      <c r="O4738" t="s">
        <v>30</v>
      </c>
      <c r="P4738" s="3">
        <v>44487</v>
      </c>
      <c r="Q4738" t="s">
        <v>19</v>
      </c>
    </row>
    <row r="4739" spans="1:17" x14ac:dyDescent="0.35">
      <c r="A4739" t="s">
        <v>4791</v>
      </c>
      <c r="B4739" t="s">
        <v>16</v>
      </c>
      <c r="C4739">
        <v>28</v>
      </c>
      <c r="D4739" t="s">
        <v>17</v>
      </c>
      <c r="E4739" t="s">
        <v>27</v>
      </c>
      <c r="F4739" t="s">
        <v>19</v>
      </c>
      <c r="G4739">
        <v>9.9</v>
      </c>
      <c r="H4739">
        <v>5</v>
      </c>
      <c r="I4739" t="str" cm="1">
        <f t="array" ref="I4739">_xlfn.IFS(G4739&lt;3, "0–2 Years", G4739&lt;6, "3–5 Years", G4739&lt;9, "6–8 Years", G4739&lt;12, "9-11 Years", G4739&gt;=12, "12-14 Years")</f>
        <v>9-11 Years</v>
      </c>
      <c r="J4739">
        <v>1</v>
      </c>
      <c r="K4739" t="s">
        <v>24</v>
      </c>
      <c r="L4739">
        <v>38500</v>
      </c>
      <c r="M4739">
        <v>4300</v>
      </c>
      <c r="N4739">
        <v>42800</v>
      </c>
      <c r="O4739" t="s">
        <v>65</v>
      </c>
      <c r="P4739" s="3">
        <v>42415</v>
      </c>
      <c r="Q4739" t="s">
        <v>19</v>
      </c>
    </row>
    <row r="4740" spans="1:17" x14ac:dyDescent="0.35">
      <c r="A4740" t="s">
        <v>4792</v>
      </c>
      <c r="B4740" t="s">
        <v>16</v>
      </c>
      <c r="C4740" s="7">
        <v>29</v>
      </c>
      <c r="D4740" t="s">
        <v>41</v>
      </c>
      <c r="E4740" t="s">
        <v>67</v>
      </c>
      <c r="F4740" t="s">
        <v>36</v>
      </c>
      <c r="G4740" s="9">
        <v>12.5</v>
      </c>
      <c r="H4740" s="7">
        <v>5.0999999999999996</v>
      </c>
      <c r="I4740" t="str" cm="1">
        <f t="array" ref="I4740">_xlfn.IFS(G4740&lt;3, "0–2 Years", G4740&lt;6, "3–5 Years", G4740&lt;9, "6–8 Years", G4740&lt;12, "9-11 Years", G4740&gt;=12, "12-14 Years")</f>
        <v>12-14 Years</v>
      </c>
      <c r="J4740" s="7">
        <v>3</v>
      </c>
      <c r="K4740" t="s">
        <v>20</v>
      </c>
      <c r="L4740" s="7">
        <v>73900</v>
      </c>
      <c r="M4740" s="7">
        <v>3400</v>
      </c>
      <c r="N4740" s="7">
        <v>77300</v>
      </c>
      <c r="O4740" t="s">
        <v>21</v>
      </c>
      <c r="P4740" s="3">
        <v>41454</v>
      </c>
      <c r="Q4740" t="s">
        <v>36</v>
      </c>
    </row>
    <row r="4741" spans="1:17" x14ac:dyDescent="0.35">
      <c r="A4741" t="s">
        <v>4793</v>
      </c>
      <c r="B4741" t="s">
        <v>23</v>
      </c>
      <c r="C4741" s="7">
        <v>33</v>
      </c>
      <c r="D4741" t="s">
        <v>44</v>
      </c>
      <c r="E4741" t="s">
        <v>76</v>
      </c>
      <c r="F4741" t="s">
        <v>28</v>
      </c>
      <c r="G4741" s="9">
        <v>13.7</v>
      </c>
      <c r="H4741" s="7">
        <v>8.6999999999999993</v>
      </c>
      <c r="I4741" t="str" cm="1">
        <f t="array" ref="I4741">_xlfn.IFS(G4741&lt;3, "0–2 Years", G4741&lt;6, "3–5 Years", G4741&lt;9, "6–8 Years", G4741&lt;12, "9-11 Years", G4741&gt;=12, "12-14 Years")</f>
        <v>12-14 Years</v>
      </c>
      <c r="J4741" s="7">
        <v>5</v>
      </c>
      <c r="K4741" t="s">
        <v>69</v>
      </c>
      <c r="L4741" s="7">
        <v>107000</v>
      </c>
      <c r="M4741" s="7">
        <v>9000</v>
      </c>
      <c r="N4741" s="7">
        <v>116000</v>
      </c>
      <c r="O4741" t="s">
        <v>57</v>
      </c>
      <c r="P4741" s="3">
        <v>41008</v>
      </c>
      <c r="Q4741" t="s">
        <v>28</v>
      </c>
    </row>
    <row r="4742" spans="1:17" x14ac:dyDescent="0.35">
      <c r="A4742" t="s">
        <v>4794</v>
      </c>
      <c r="B4742" t="s">
        <v>16</v>
      </c>
      <c r="C4742">
        <v>37</v>
      </c>
      <c r="D4742" t="s">
        <v>55</v>
      </c>
      <c r="E4742" t="s">
        <v>92</v>
      </c>
      <c r="F4742" t="s">
        <v>36</v>
      </c>
      <c r="G4742">
        <v>9.1</v>
      </c>
      <c r="H4742">
        <v>6.5</v>
      </c>
      <c r="I4742" t="str" cm="1">
        <f t="array" ref="I4742">_xlfn.IFS(G4742&lt;3, "0–2 Years", G4742&lt;6, "3–5 Years", G4742&lt;9, "6–8 Years", G4742&lt;12, "9-11 Years", G4742&gt;=12, "12-14 Years")</f>
        <v>9-11 Years</v>
      </c>
      <c r="J4742">
        <v>2</v>
      </c>
      <c r="K4742" t="s">
        <v>20</v>
      </c>
      <c r="L4742">
        <v>102500</v>
      </c>
      <c r="M4742">
        <v>19200</v>
      </c>
      <c r="N4742">
        <v>121700</v>
      </c>
      <c r="O4742" t="s">
        <v>57</v>
      </c>
      <c r="P4742" s="3">
        <v>42695</v>
      </c>
      <c r="Q4742" t="s">
        <v>36</v>
      </c>
    </row>
    <row r="4743" spans="1:17" x14ac:dyDescent="0.35">
      <c r="A4743" t="s">
        <v>4795</v>
      </c>
      <c r="B4743" t="s">
        <v>23</v>
      </c>
      <c r="C4743">
        <v>26</v>
      </c>
      <c r="D4743" t="s">
        <v>17</v>
      </c>
      <c r="E4743" t="s">
        <v>18</v>
      </c>
      <c r="F4743" t="s">
        <v>28</v>
      </c>
      <c r="G4743">
        <v>6.9</v>
      </c>
      <c r="H4743">
        <v>3.8</v>
      </c>
      <c r="I4743" t="str" cm="1">
        <f t="array" ref="I4743">_xlfn.IFS(G4743&lt;3, "0–2 Years", G4743&lt;6, "3–5 Years", G4743&lt;9, "6–8 Years", G4743&lt;12, "9-11 Years", G4743&gt;=12, "12-14 Years")</f>
        <v>6–8 Years</v>
      </c>
      <c r="J4743">
        <v>5</v>
      </c>
      <c r="K4743" t="s">
        <v>20</v>
      </c>
      <c r="L4743">
        <v>99800</v>
      </c>
      <c r="M4743">
        <v>4700</v>
      </c>
      <c r="N4743">
        <v>104500</v>
      </c>
      <c r="O4743" t="s">
        <v>30</v>
      </c>
      <c r="P4743" s="3">
        <v>43508</v>
      </c>
      <c r="Q4743" t="s">
        <v>28</v>
      </c>
    </row>
    <row r="4744" spans="1:17" x14ac:dyDescent="0.35">
      <c r="A4744" t="s">
        <v>4796</v>
      </c>
      <c r="B4744" t="s">
        <v>23</v>
      </c>
      <c r="C4744">
        <v>36</v>
      </c>
      <c r="D4744" t="s">
        <v>38</v>
      </c>
      <c r="E4744" t="s">
        <v>39</v>
      </c>
      <c r="F4744" t="s">
        <v>28</v>
      </c>
      <c r="G4744">
        <v>2</v>
      </c>
      <c r="H4744">
        <v>1</v>
      </c>
      <c r="I4744" t="str" cm="1">
        <f t="array" ref="I4744">_xlfn.IFS(G4744&lt;3, "0–2 Years", G4744&lt;6, "3–5 Years", G4744&lt;9, "6–8 Years", G4744&lt;12, "9-11 Years", G4744&gt;=12, "12-14 Years")</f>
        <v>0–2 Years</v>
      </c>
      <c r="J4744">
        <v>4</v>
      </c>
      <c r="K4744" t="s">
        <v>20</v>
      </c>
      <c r="L4744">
        <v>68800</v>
      </c>
      <c r="M4744">
        <v>3700</v>
      </c>
      <c r="N4744">
        <v>72500</v>
      </c>
      <c r="O4744" t="s">
        <v>21</v>
      </c>
      <c r="P4744" s="3">
        <v>45275</v>
      </c>
      <c r="Q4744" t="s">
        <v>28</v>
      </c>
    </row>
    <row r="4745" spans="1:17" x14ac:dyDescent="0.35">
      <c r="A4745" t="s">
        <v>4797</v>
      </c>
      <c r="B4745" t="s">
        <v>23</v>
      </c>
      <c r="C4745">
        <v>27</v>
      </c>
      <c r="D4745" t="s">
        <v>38</v>
      </c>
      <c r="E4745" t="s">
        <v>39</v>
      </c>
      <c r="F4745" t="s">
        <v>28</v>
      </c>
      <c r="G4745">
        <v>2.2000000000000002</v>
      </c>
      <c r="H4745">
        <v>1.3</v>
      </c>
      <c r="I4745" t="str" cm="1">
        <f t="array" ref="I4745">_xlfn.IFS(G4745&lt;3, "0–2 Years", G4745&lt;6, "3–5 Years", G4745&lt;9, "6–8 Years", G4745&lt;12, "9-11 Years", G4745&gt;=12, "12-14 Years")</f>
        <v>0–2 Years</v>
      </c>
      <c r="J4745">
        <v>4</v>
      </c>
      <c r="K4745" t="s">
        <v>24</v>
      </c>
      <c r="L4745">
        <v>49200</v>
      </c>
      <c r="M4745">
        <v>3000</v>
      </c>
      <c r="N4745">
        <v>52200</v>
      </c>
      <c r="O4745" t="s">
        <v>65</v>
      </c>
      <c r="P4745" s="3">
        <v>45203</v>
      </c>
      <c r="Q4745" t="s">
        <v>28</v>
      </c>
    </row>
    <row r="4746" spans="1:17" x14ac:dyDescent="0.35">
      <c r="A4746" t="s">
        <v>4798</v>
      </c>
      <c r="B4746" t="s">
        <v>16</v>
      </c>
      <c r="C4746">
        <v>43</v>
      </c>
      <c r="D4746" t="s">
        <v>17</v>
      </c>
      <c r="E4746" t="s">
        <v>27</v>
      </c>
      <c r="F4746" t="s">
        <v>28</v>
      </c>
      <c r="G4746">
        <v>2.2000000000000002</v>
      </c>
      <c r="H4746">
        <v>1</v>
      </c>
      <c r="I4746" t="str" cm="1">
        <f t="array" ref="I4746">_xlfn.IFS(G4746&lt;3, "0–2 Years", G4746&lt;6, "3–5 Years", G4746&lt;9, "6–8 Years", G4746&lt;12, "9-11 Years", G4746&gt;=12, "12-14 Years")</f>
        <v>0–2 Years</v>
      </c>
      <c r="J4746">
        <v>3</v>
      </c>
      <c r="K4746" t="s">
        <v>20</v>
      </c>
      <c r="L4746">
        <v>64900</v>
      </c>
      <c r="M4746">
        <v>6600</v>
      </c>
      <c r="N4746">
        <v>71500</v>
      </c>
      <c r="O4746" t="s">
        <v>25</v>
      </c>
      <c r="P4746" s="3">
        <v>45208</v>
      </c>
      <c r="Q4746" t="s">
        <v>28</v>
      </c>
    </row>
    <row r="4747" spans="1:17" x14ac:dyDescent="0.35">
      <c r="A4747" t="s">
        <v>4799</v>
      </c>
      <c r="B4747" t="s">
        <v>23</v>
      </c>
      <c r="C4747" s="7">
        <v>33</v>
      </c>
      <c r="D4747" t="s">
        <v>55</v>
      </c>
      <c r="E4747" t="s">
        <v>79</v>
      </c>
      <c r="F4747" t="s">
        <v>28</v>
      </c>
      <c r="G4747" s="9">
        <v>12.4</v>
      </c>
      <c r="H4747" s="7">
        <v>7.9</v>
      </c>
      <c r="I4747" t="str" cm="1">
        <f t="array" ref="I4747">_xlfn.IFS(G4747&lt;3, "0–2 Years", G4747&lt;6, "3–5 Years", G4747&lt;9, "6–8 Years", G4747&lt;12, "9-11 Years", G4747&gt;=12, "12-14 Years")</f>
        <v>12-14 Years</v>
      </c>
      <c r="J4747" s="7">
        <v>3</v>
      </c>
      <c r="K4747" t="s">
        <v>20</v>
      </c>
      <c r="L4747" s="7">
        <v>73200</v>
      </c>
      <c r="M4747" s="7">
        <v>9900</v>
      </c>
      <c r="N4747" s="7">
        <v>83100</v>
      </c>
      <c r="O4747" t="s">
        <v>21</v>
      </c>
      <c r="P4747" s="3">
        <v>41505</v>
      </c>
      <c r="Q4747" t="s">
        <v>28</v>
      </c>
    </row>
    <row r="4748" spans="1:17" x14ac:dyDescent="0.35">
      <c r="A4748" t="s">
        <v>4800</v>
      </c>
      <c r="B4748" t="s">
        <v>23</v>
      </c>
      <c r="C4748">
        <v>34</v>
      </c>
      <c r="D4748" t="s">
        <v>44</v>
      </c>
      <c r="E4748" t="s">
        <v>81</v>
      </c>
      <c r="F4748" t="s">
        <v>62</v>
      </c>
      <c r="G4748">
        <v>4.4000000000000004</v>
      </c>
      <c r="H4748">
        <v>3.3</v>
      </c>
      <c r="I4748" t="str" cm="1">
        <f t="array" ref="I4748">_xlfn.IFS(G4748&lt;3, "0–2 Years", G4748&lt;6, "3–5 Years", G4748&lt;9, "6–8 Years", G4748&lt;12, "9-11 Years", G4748&gt;=12, "12-14 Years")</f>
        <v>3–5 Years</v>
      </c>
      <c r="J4748">
        <v>3</v>
      </c>
      <c r="K4748" t="s">
        <v>20</v>
      </c>
      <c r="L4748">
        <v>105900</v>
      </c>
      <c r="M4748">
        <v>9500</v>
      </c>
      <c r="N4748">
        <v>115400</v>
      </c>
      <c r="O4748" t="s">
        <v>57</v>
      </c>
      <c r="P4748" s="3">
        <v>44416</v>
      </c>
      <c r="Q4748" t="s">
        <v>62</v>
      </c>
    </row>
    <row r="4749" spans="1:17" x14ac:dyDescent="0.35">
      <c r="A4749" t="s">
        <v>4801</v>
      </c>
      <c r="B4749" t="s">
        <v>23</v>
      </c>
      <c r="C4749">
        <v>29</v>
      </c>
      <c r="D4749" t="s">
        <v>34</v>
      </c>
      <c r="E4749" t="s">
        <v>35</v>
      </c>
      <c r="F4749" t="s">
        <v>62</v>
      </c>
      <c r="G4749">
        <v>2.2000000000000002</v>
      </c>
      <c r="H4749">
        <v>1</v>
      </c>
      <c r="I4749" t="str" cm="1">
        <f t="array" ref="I4749">_xlfn.IFS(G4749&lt;3, "0–2 Years", G4749&lt;6, "3–5 Years", G4749&lt;9, "6–8 Years", G4749&lt;12, "9-11 Years", G4749&gt;=12, "12-14 Years")</f>
        <v>0–2 Years</v>
      </c>
      <c r="J4749">
        <v>3</v>
      </c>
      <c r="K4749" t="s">
        <v>20</v>
      </c>
      <c r="L4749">
        <v>81600</v>
      </c>
      <c r="M4749">
        <v>4200</v>
      </c>
      <c r="N4749">
        <v>85800</v>
      </c>
      <c r="O4749" t="s">
        <v>30</v>
      </c>
      <c r="P4749" s="3">
        <v>45223</v>
      </c>
      <c r="Q4749" t="s">
        <v>62</v>
      </c>
    </row>
    <row r="4750" spans="1:17" x14ac:dyDescent="0.35">
      <c r="A4750" t="s">
        <v>4802</v>
      </c>
      <c r="B4750" t="s">
        <v>16</v>
      </c>
      <c r="C4750">
        <v>34</v>
      </c>
      <c r="D4750" t="s">
        <v>44</v>
      </c>
      <c r="E4750" t="s">
        <v>45</v>
      </c>
      <c r="F4750" t="s">
        <v>28</v>
      </c>
      <c r="G4750">
        <v>5.4</v>
      </c>
      <c r="H4750">
        <v>2.2000000000000002</v>
      </c>
      <c r="I4750" t="str" cm="1">
        <f t="array" ref="I4750">_xlfn.IFS(G4750&lt;3, "0–2 Years", G4750&lt;6, "3–5 Years", G4750&lt;9, "6–8 Years", G4750&lt;12, "9-11 Years", G4750&gt;=12, "12-14 Years")</f>
        <v>3–5 Years</v>
      </c>
      <c r="J4750">
        <v>4</v>
      </c>
      <c r="K4750" t="s">
        <v>20</v>
      </c>
      <c r="L4750">
        <v>63600</v>
      </c>
      <c r="M4750">
        <v>8200</v>
      </c>
      <c r="N4750">
        <v>71800</v>
      </c>
      <c r="O4750" t="s">
        <v>25</v>
      </c>
      <c r="P4750" s="3">
        <v>44043</v>
      </c>
      <c r="Q4750" t="s">
        <v>28</v>
      </c>
    </row>
    <row r="4751" spans="1:17" x14ac:dyDescent="0.35">
      <c r="A4751" t="s">
        <v>4803</v>
      </c>
      <c r="B4751" t="s">
        <v>16</v>
      </c>
      <c r="C4751">
        <v>32</v>
      </c>
      <c r="D4751" t="s">
        <v>44</v>
      </c>
      <c r="E4751" t="s">
        <v>51</v>
      </c>
      <c r="F4751" t="s">
        <v>28</v>
      </c>
      <c r="G4751">
        <v>1.2</v>
      </c>
      <c r="H4751">
        <v>0</v>
      </c>
      <c r="I4751" t="str" cm="1">
        <f t="array" ref="I4751">_xlfn.IFS(G4751&lt;3, "0–2 Years", G4751&lt;6, "3–5 Years", G4751&lt;9, "6–8 Years", G4751&lt;12, "9-11 Years", G4751&gt;=12, "12-14 Years")</f>
        <v>0–2 Years</v>
      </c>
      <c r="J4751">
        <v>4</v>
      </c>
      <c r="K4751" t="s">
        <v>20</v>
      </c>
      <c r="L4751">
        <v>75000</v>
      </c>
      <c r="M4751">
        <v>4500</v>
      </c>
      <c r="N4751">
        <v>79500</v>
      </c>
      <c r="O4751" t="s">
        <v>21</v>
      </c>
      <c r="P4751" s="3">
        <v>45581</v>
      </c>
      <c r="Q4751" t="s">
        <v>28</v>
      </c>
    </row>
    <row r="4752" spans="1:17" x14ac:dyDescent="0.35">
      <c r="A4752" t="s">
        <v>4804</v>
      </c>
      <c r="B4752" t="s">
        <v>16</v>
      </c>
      <c r="C4752">
        <v>30</v>
      </c>
      <c r="D4752" t="s">
        <v>44</v>
      </c>
      <c r="E4752" t="s">
        <v>45</v>
      </c>
      <c r="F4752" t="s">
        <v>28</v>
      </c>
      <c r="G4752">
        <v>9.9</v>
      </c>
      <c r="H4752">
        <v>7.4</v>
      </c>
      <c r="I4752" t="str" cm="1">
        <f t="array" ref="I4752">_xlfn.IFS(G4752&lt;3, "0–2 Years", G4752&lt;6, "3–5 Years", G4752&lt;9, "6–8 Years", G4752&lt;12, "9-11 Years", G4752&gt;=12, "12-14 Years")</f>
        <v>9-11 Years</v>
      </c>
      <c r="J4752">
        <v>3</v>
      </c>
      <c r="K4752" t="s">
        <v>24</v>
      </c>
      <c r="L4752">
        <v>46500</v>
      </c>
      <c r="M4752">
        <v>6800</v>
      </c>
      <c r="N4752">
        <v>53300</v>
      </c>
      <c r="O4752" t="s">
        <v>65</v>
      </c>
      <c r="P4752" s="3">
        <v>42424</v>
      </c>
      <c r="Q4752" t="s">
        <v>28</v>
      </c>
    </row>
    <row r="4753" spans="1:17" x14ac:dyDescent="0.35">
      <c r="A4753" t="s">
        <v>4805</v>
      </c>
      <c r="B4753" t="s">
        <v>23</v>
      </c>
      <c r="C4753">
        <v>36</v>
      </c>
      <c r="D4753" t="s">
        <v>55</v>
      </c>
      <c r="E4753" t="s">
        <v>56</v>
      </c>
      <c r="F4753" t="s">
        <v>36</v>
      </c>
      <c r="G4753">
        <v>3.3</v>
      </c>
      <c r="H4753">
        <v>3.3</v>
      </c>
      <c r="I4753" t="str" cm="1">
        <f t="array" ref="I4753">_xlfn.IFS(G4753&lt;3, "0–2 Years", G4753&lt;6, "3–5 Years", G4753&lt;9, "6–8 Years", G4753&lt;12, "9-11 Years", G4753&gt;=12, "12-14 Years")</f>
        <v>3–5 Years</v>
      </c>
      <c r="J4753">
        <v>1</v>
      </c>
      <c r="K4753" t="s">
        <v>20</v>
      </c>
      <c r="L4753">
        <v>103300</v>
      </c>
      <c r="M4753">
        <v>8000</v>
      </c>
      <c r="N4753">
        <v>111300</v>
      </c>
      <c r="O4753" t="s">
        <v>57</v>
      </c>
      <c r="P4753" s="3">
        <v>44807</v>
      </c>
      <c r="Q4753" t="s">
        <v>36</v>
      </c>
    </row>
    <row r="4754" spans="1:17" x14ac:dyDescent="0.35">
      <c r="A4754" t="s">
        <v>4806</v>
      </c>
      <c r="B4754" t="s">
        <v>23</v>
      </c>
      <c r="C4754">
        <v>37</v>
      </c>
      <c r="D4754" t="s">
        <v>38</v>
      </c>
      <c r="E4754" t="s">
        <v>39</v>
      </c>
      <c r="F4754" t="s">
        <v>28</v>
      </c>
      <c r="G4754">
        <v>8.3000000000000007</v>
      </c>
      <c r="H4754">
        <v>5.5</v>
      </c>
      <c r="I4754" t="str" cm="1">
        <f t="array" ref="I4754">_xlfn.IFS(G4754&lt;3, "0–2 Years", G4754&lt;6, "3–5 Years", G4754&lt;9, "6–8 Years", G4754&lt;12, "9-11 Years", G4754&gt;=12, "12-14 Years")</f>
        <v>6–8 Years</v>
      </c>
      <c r="J4754">
        <v>4</v>
      </c>
      <c r="K4754" t="s">
        <v>20</v>
      </c>
      <c r="L4754">
        <v>92500</v>
      </c>
      <c r="M4754">
        <v>9700</v>
      </c>
      <c r="N4754">
        <v>102200</v>
      </c>
      <c r="O4754" t="s">
        <v>30</v>
      </c>
      <c r="P4754" s="3">
        <v>42983</v>
      </c>
      <c r="Q4754" t="s">
        <v>28</v>
      </c>
    </row>
    <row r="4755" spans="1:17" x14ac:dyDescent="0.35">
      <c r="A4755" t="s">
        <v>4807</v>
      </c>
      <c r="B4755" t="s">
        <v>16</v>
      </c>
      <c r="C4755">
        <v>32</v>
      </c>
      <c r="D4755" t="s">
        <v>34</v>
      </c>
      <c r="E4755" t="s">
        <v>47</v>
      </c>
      <c r="F4755" t="s">
        <v>62</v>
      </c>
      <c r="G4755">
        <v>5.8</v>
      </c>
      <c r="H4755">
        <v>2.6</v>
      </c>
      <c r="I4755" t="str" cm="1">
        <f t="array" ref="I4755">_xlfn.IFS(G4755&lt;3, "0–2 Years", G4755&lt;6, "3–5 Years", G4755&lt;9, "6–8 Years", G4755&lt;12, "9-11 Years", G4755&gt;=12, "12-14 Years")</f>
        <v>3–5 Years</v>
      </c>
      <c r="J4755">
        <v>3</v>
      </c>
      <c r="K4755" t="s">
        <v>20</v>
      </c>
      <c r="L4755">
        <v>87100</v>
      </c>
      <c r="M4755">
        <v>10100</v>
      </c>
      <c r="N4755">
        <v>97200</v>
      </c>
      <c r="O4755" t="s">
        <v>30</v>
      </c>
      <c r="P4755" s="3">
        <v>43892</v>
      </c>
      <c r="Q4755" t="s">
        <v>62</v>
      </c>
    </row>
    <row r="4756" spans="1:17" x14ac:dyDescent="0.35">
      <c r="A4756" t="s">
        <v>4808</v>
      </c>
      <c r="B4756" t="s">
        <v>16</v>
      </c>
      <c r="C4756">
        <v>39</v>
      </c>
      <c r="D4756" t="s">
        <v>55</v>
      </c>
      <c r="E4756" t="s">
        <v>79</v>
      </c>
      <c r="F4756" t="s">
        <v>36</v>
      </c>
      <c r="G4756">
        <v>5.4</v>
      </c>
      <c r="H4756">
        <v>3.7</v>
      </c>
      <c r="I4756" t="str" cm="1">
        <f t="array" ref="I4756">_xlfn.IFS(G4756&lt;3, "0–2 Years", G4756&lt;6, "3–5 Years", G4756&lt;9, "6–8 Years", G4756&lt;12, "9-11 Years", G4756&gt;=12, "12-14 Years")</f>
        <v>3–5 Years</v>
      </c>
      <c r="J4756">
        <v>4</v>
      </c>
      <c r="K4756" t="s">
        <v>20</v>
      </c>
      <c r="L4756">
        <v>77700</v>
      </c>
      <c r="M4756">
        <v>11100</v>
      </c>
      <c r="N4756">
        <v>88800</v>
      </c>
      <c r="O4756" t="s">
        <v>21</v>
      </c>
      <c r="P4756" s="3">
        <v>44065</v>
      </c>
      <c r="Q4756" t="s">
        <v>36</v>
      </c>
    </row>
    <row r="4757" spans="1:17" x14ac:dyDescent="0.35">
      <c r="A4757" t="s">
        <v>4809</v>
      </c>
      <c r="B4757" t="s">
        <v>23</v>
      </c>
      <c r="C4757">
        <v>23</v>
      </c>
      <c r="D4757" t="s">
        <v>38</v>
      </c>
      <c r="E4757" t="s">
        <v>39</v>
      </c>
      <c r="F4757" t="s">
        <v>62</v>
      </c>
      <c r="G4757">
        <v>8.8000000000000007</v>
      </c>
      <c r="H4757">
        <v>5.7</v>
      </c>
      <c r="I4757" t="str" cm="1">
        <f t="array" ref="I4757">_xlfn.IFS(G4757&lt;3, "0–2 Years", G4757&lt;6, "3–5 Years", G4757&lt;9, "6–8 Years", G4757&lt;12, "9-11 Years", G4757&gt;=12, "12-14 Years")</f>
        <v>6–8 Years</v>
      </c>
      <c r="J4757">
        <v>3</v>
      </c>
      <c r="K4757" t="s">
        <v>20</v>
      </c>
      <c r="L4757">
        <v>78500</v>
      </c>
      <c r="M4757">
        <v>3800</v>
      </c>
      <c r="N4757">
        <v>82300</v>
      </c>
      <c r="O4757" t="s">
        <v>21</v>
      </c>
      <c r="P4757" s="3">
        <v>42826</v>
      </c>
      <c r="Q4757" t="s">
        <v>62</v>
      </c>
    </row>
    <row r="4758" spans="1:17" x14ac:dyDescent="0.35">
      <c r="A4758" t="s">
        <v>4810</v>
      </c>
      <c r="B4758" t="s">
        <v>23</v>
      </c>
      <c r="C4758" s="7">
        <v>43</v>
      </c>
      <c r="D4758" t="s">
        <v>44</v>
      </c>
      <c r="E4758" t="s">
        <v>51</v>
      </c>
      <c r="F4758" t="s">
        <v>19</v>
      </c>
      <c r="G4758" s="9">
        <v>13.6</v>
      </c>
      <c r="H4758" s="7">
        <v>7.9</v>
      </c>
      <c r="I4758" t="str" cm="1">
        <f t="array" ref="I4758">_xlfn.IFS(G4758&lt;3, "0–2 Years", G4758&lt;6, "3–5 Years", G4758&lt;9, "6–8 Years", G4758&lt;12, "9-11 Years", G4758&gt;=12, "12-14 Years")</f>
        <v>12-14 Years</v>
      </c>
      <c r="J4758" s="7">
        <v>2</v>
      </c>
      <c r="K4758" t="s">
        <v>24</v>
      </c>
      <c r="L4758" s="7">
        <v>56700</v>
      </c>
      <c r="M4758" s="7">
        <v>3300</v>
      </c>
      <c r="N4758" s="7">
        <v>60000</v>
      </c>
      <c r="O4758" t="s">
        <v>25</v>
      </c>
      <c r="P4758" s="3">
        <v>41039</v>
      </c>
      <c r="Q4758" t="s">
        <v>19</v>
      </c>
    </row>
    <row r="4759" spans="1:17" x14ac:dyDescent="0.35">
      <c r="A4759" t="s">
        <v>4811</v>
      </c>
      <c r="B4759" t="s">
        <v>23</v>
      </c>
      <c r="C4759">
        <v>45</v>
      </c>
      <c r="D4759" t="s">
        <v>44</v>
      </c>
      <c r="E4759" t="s">
        <v>45</v>
      </c>
      <c r="F4759" t="s">
        <v>28</v>
      </c>
      <c r="G4759">
        <v>5.2</v>
      </c>
      <c r="H4759">
        <v>2.9</v>
      </c>
      <c r="I4759" t="str" cm="1">
        <f t="array" ref="I4759">_xlfn.IFS(G4759&lt;3, "0–2 Years", G4759&lt;6, "3–5 Years", G4759&lt;9, "6–8 Years", G4759&lt;12, "9-11 Years", G4759&gt;=12, "12-14 Years")</f>
        <v>3–5 Years</v>
      </c>
      <c r="J4759">
        <v>3</v>
      </c>
      <c r="K4759" t="s">
        <v>24</v>
      </c>
      <c r="L4759">
        <v>44100</v>
      </c>
      <c r="M4759">
        <v>2300</v>
      </c>
      <c r="N4759">
        <v>46400</v>
      </c>
      <c r="O4759" t="s">
        <v>65</v>
      </c>
      <c r="P4759" s="3">
        <v>44114</v>
      </c>
      <c r="Q4759" t="s">
        <v>28</v>
      </c>
    </row>
    <row r="4760" spans="1:17" x14ac:dyDescent="0.35">
      <c r="A4760" t="s">
        <v>4812</v>
      </c>
      <c r="B4760" t="s">
        <v>16</v>
      </c>
      <c r="C4760" s="7">
        <v>46</v>
      </c>
      <c r="D4760" t="s">
        <v>41</v>
      </c>
      <c r="E4760" t="s">
        <v>67</v>
      </c>
      <c r="F4760" t="s">
        <v>28</v>
      </c>
      <c r="G4760" s="9">
        <v>12.9</v>
      </c>
      <c r="H4760" s="7">
        <v>9.3000000000000007</v>
      </c>
      <c r="I4760" t="str" cm="1">
        <f t="array" ref="I4760">_xlfn.IFS(G4760&lt;3, "0–2 Years", G4760&lt;6, "3–5 Years", G4760&lt;9, "6–8 Years", G4760&lt;12, "9-11 Years", G4760&gt;=12, "12-14 Years")</f>
        <v>12-14 Years</v>
      </c>
      <c r="J4760" s="7">
        <v>1</v>
      </c>
      <c r="K4760" t="s">
        <v>20</v>
      </c>
      <c r="L4760" s="7">
        <v>77900</v>
      </c>
      <c r="M4760" s="7">
        <v>4200</v>
      </c>
      <c r="N4760" s="7">
        <v>82100</v>
      </c>
      <c r="O4760" t="s">
        <v>21</v>
      </c>
      <c r="P4760" s="3">
        <v>41326</v>
      </c>
      <c r="Q4760" t="s">
        <v>28</v>
      </c>
    </row>
    <row r="4761" spans="1:17" x14ac:dyDescent="0.35">
      <c r="A4761" t="s">
        <v>4813</v>
      </c>
      <c r="B4761" t="s">
        <v>16</v>
      </c>
      <c r="C4761">
        <v>38</v>
      </c>
      <c r="D4761" t="s">
        <v>38</v>
      </c>
      <c r="E4761" t="s">
        <v>112</v>
      </c>
      <c r="F4761" t="s">
        <v>36</v>
      </c>
      <c r="G4761">
        <v>11.8</v>
      </c>
      <c r="H4761">
        <v>7.9</v>
      </c>
      <c r="I4761" t="str" cm="1">
        <f t="array" ref="I4761">_xlfn.IFS(G4761&lt;3, "0–2 Years", G4761&lt;6, "3–5 Years", G4761&lt;9, "6–8 Years", G4761&lt;12, "9-11 Years", G4761&gt;=12, "12-14 Years")</f>
        <v>9-11 Years</v>
      </c>
      <c r="J4761">
        <v>4</v>
      </c>
      <c r="K4761" t="s">
        <v>20</v>
      </c>
      <c r="L4761">
        <v>80800</v>
      </c>
      <c r="M4761">
        <v>5400</v>
      </c>
      <c r="N4761">
        <v>86200</v>
      </c>
      <c r="O4761" t="s">
        <v>30</v>
      </c>
      <c r="P4761" s="3">
        <v>41706</v>
      </c>
      <c r="Q4761" t="s">
        <v>36</v>
      </c>
    </row>
    <row r="4762" spans="1:17" x14ac:dyDescent="0.35">
      <c r="A4762" t="s">
        <v>4814</v>
      </c>
      <c r="B4762" t="s">
        <v>23</v>
      </c>
      <c r="C4762">
        <v>23</v>
      </c>
      <c r="D4762" t="s">
        <v>44</v>
      </c>
      <c r="E4762" t="s">
        <v>45</v>
      </c>
      <c r="F4762" t="s">
        <v>28</v>
      </c>
      <c r="G4762">
        <v>7.1</v>
      </c>
      <c r="H4762">
        <v>6.6</v>
      </c>
      <c r="I4762" t="str" cm="1">
        <f t="array" ref="I4762">_xlfn.IFS(G4762&lt;3, "0–2 Years", G4762&lt;6, "3–5 Years", G4762&lt;9, "6–8 Years", G4762&lt;12, "9-11 Years", G4762&gt;=12, "12-14 Years")</f>
        <v>6–8 Years</v>
      </c>
      <c r="J4762">
        <v>5</v>
      </c>
      <c r="K4762" t="s">
        <v>20</v>
      </c>
      <c r="L4762">
        <v>72000</v>
      </c>
      <c r="M4762">
        <v>4200</v>
      </c>
      <c r="N4762">
        <v>76200</v>
      </c>
      <c r="O4762" t="s">
        <v>21</v>
      </c>
      <c r="P4762" s="3">
        <v>43417</v>
      </c>
      <c r="Q4762" t="s">
        <v>28</v>
      </c>
    </row>
    <row r="4763" spans="1:17" x14ac:dyDescent="0.35">
      <c r="A4763" t="s">
        <v>4815</v>
      </c>
      <c r="B4763" t="s">
        <v>23</v>
      </c>
      <c r="C4763">
        <v>33</v>
      </c>
      <c r="D4763" t="s">
        <v>38</v>
      </c>
      <c r="E4763" t="s">
        <v>39</v>
      </c>
      <c r="F4763" t="s">
        <v>62</v>
      </c>
      <c r="G4763">
        <v>7.8</v>
      </c>
      <c r="H4763">
        <v>3.2</v>
      </c>
      <c r="I4763" t="str" cm="1">
        <f t="array" ref="I4763">_xlfn.IFS(G4763&lt;3, "0–2 Years", G4763&lt;6, "3–5 Years", G4763&lt;9, "6–8 Years", G4763&lt;12, "9-11 Years", G4763&gt;=12, "12-14 Years")</f>
        <v>6–8 Years</v>
      </c>
      <c r="J4763">
        <v>3</v>
      </c>
      <c r="K4763" t="s">
        <v>20</v>
      </c>
      <c r="L4763">
        <v>85200</v>
      </c>
      <c r="M4763">
        <v>6400</v>
      </c>
      <c r="N4763">
        <v>91600</v>
      </c>
      <c r="O4763" t="s">
        <v>30</v>
      </c>
      <c r="P4763" s="3">
        <v>43167</v>
      </c>
      <c r="Q4763" t="s">
        <v>62</v>
      </c>
    </row>
    <row r="4764" spans="1:17" x14ac:dyDescent="0.35">
      <c r="A4764" t="s">
        <v>4816</v>
      </c>
      <c r="B4764" t="s">
        <v>23</v>
      </c>
      <c r="C4764">
        <v>24</v>
      </c>
      <c r="D4764" t="s">
        <v>44</v>
      </c>
      <c r="E4764" t="s">
        <v>81</v>
      </c>
      <c r="F4764" t="s">
        <v>19</v>
      </c>
      <c r="G4764">
        <v>6.8</v>
      </c>
      <c r="H4764">
        <v>6.2</v>
      </c>
      <c r="I4764" t="str" cm="1">
        <f t="array" ref="I4764">_xlfn.IFS(G4764&lt;3, "0–2 Years", G4764&lt;6, "3–5 Years", G4764&lt;9, "6–8 Years", G4764&lt;12, "9-11 Years", G4764&gt;=12, "12-14 Years")</f>
        <v>6–8 Years</v>
      </c>
      <c r="J4764">
        <v>3</v>
      </c>
      <c r="K4764" t="s">
        <v>24</v>
      </c>
      <c r="L4764">
        <v>56200</v>
      </c>
      <c r="M4764">
        <v>4100</v>
      </c>
      <c r="N4764">
        <v>60300</v>
      </c>
      <c r="O4764" t="s">
        <v>25</v>
      </c>
      <c r="P4764" s="3">
        <v>43539</v>
      </c>
      <c r="Q4764" t="s">
        <v>19</v>
      </c>
    </row>
    <row r="4765" spans="1:17" x14ac:dyDescent="0.35">
      <c r="A4765" t="s">
        <v>4817</v>
      </c>
      <c r="B4765" t="s">
        <v>16</v>
      </c>
      <c r="C4765">
        <v>30</v>
      </c>
      <c r="D4765" t="s">
        <v>17</v>
      </c>
      <c r="E4765" t="s">
        <v>32</v>
      </c>
      <c r="F4765" t="s">
        <v>28</v>
      </c>
      <c r="G4765">
        <v>1.5</v>
      </c>
      <c r="H4765">
        <v>1.5</v>
      </c>
      <c r="I4765" t="str" cm="1">
        <f t="array" ref="I4765">_xlfn.IFS(G4765&lt;3, "0–2 Years", G4765&lt;6, "3–5 Years", G4765&lt;9, "6–8 Years", G4765&lt;12, "9-11 Years", G4765&gt;=12, "12-14 Years")</f>
        <v>0–2 Years</v>
      </c>
      <c r="J4765">
        <v>2</v>
      </c>
      <c r="K4765" t="s">
        <v>20</v>
      </c>
      <c r="L4765">
        <v>61700</v>
      </c>
      <c r="M4765">
        <v>5500</v>
      </c>
      <c r="N4765">
        <v>67200</v>
      </c>
      <c r="O4765" t="s">
        <v>25</v>
      </c>
      <c r="P4765" s="3">
        <v>45481</v>
      </c>
      <c r="Q4765" t="s">
        <v>28</v>
      </c>
    </row>
    <row r="4766" spans="1:17" x14ac:dyDescent="0.35">
      <c r="A4766" t="s">
        <v>4818</v>
      </c>
      <c r="B4766" t="s">
        <v>16</v>
      </c>
      <c r="C4766" s="7">
        <v>32</v>
      </c>
      <c r="D4766" t="s">
        <v>38</v>
      </c>
      <c r="E4766" t="s">
        <v>112</v>
      </c>
      <c r="F4766" t="s">
        <v>36</v>
      </c>
      <c r="G4766" s="9">
        <v>12</v>
      </c>
      <c r="H4766" s="7">
        <v>6.5</v>
      </c>
      <c r="I4766" t="str" cm="1">
        <f t="array" ref="I4766">_xlfn.IFS(G4766&lt;3, "0–2 Years", G4766&lt;6, "3–5 Years", G4766&lt;9, "6–8 Years", G4766&lt;12, "9-11 Years", G4766&gt;=12, "12-14 Years")</f>
        <v>12-14 Years</v>
      </c>
      <c r="J4766" s="7">
        <v>4</v>
      </c>
      <c r="K4766" t="s">
        <v>69</v>
      </c>
      <c r="L4766" s="7">
        <v>63300</v>
      </c>
      <c r="M4766" s="7">
        <v>5600</v>
      </c>
      <c r="N4766" s="7">
        <v>68900</v>
      </c>
      <c r="O4766" t="s">
        <v>25</v>
      </c>
      <c r="P4766" s="3">
        <v>41639</v>
      </c>
      <c r="Q4766" t="s">
        <v>36</v>
      </c>
    </row>
    <row r="4767" spans="1:17" x14ac:dyDescent="0.35">
      <c r="A4767" t="s">
        <v>4819</v>
      </c>
      <c r="B4767" t="s">
        <v>16</v>
      </c>
      <c r="C4767">
        <v>42</v>
      </c>
      <c r="D4767" t="s">
        <v>44</v>
      </c>
      <c r="E4767" t="s">
        <v>81</v>
      </c>
      <c r="F4767" t="s">
        <v>36</v>
      </c>
      <c r="G4767">
        <v>8.6</v>
      </c>
      <c r="H4767">
        <v>7.7</v>
      </c>
      <c r="I4767" t="str" cm="1">
        <f t="array" ref="I4767">_xlfn.IFS(G4767&lt;3, "0–2 Years", G4767&lt;6, "3–5 Years", G4767&lt;9, "6–8 Years", G4767&lt;12, "9-11 Years", G4767&gt;=12, "12-14 Years")</f>
        <v>6–8 Years</v>
      </c>
      <c r="J4767">
        <v>3</v>
      </c>
      <c r="K4767" t="s">
        <v>20</v>
      </c>
      <c r="L4767">
        <v>91100</v>
      </c>
      <c r="M4767">
        <v>12000</v>
      </c>
      <c r="N4767">
        <v>103100</v>
      </c>
      <c r="O4767" t="s">
        <v>30</v>
      </c>
      <c r="P4767" s="3">
        <v>42879</v>
      </c>
      <c r="Q4767" t="s">
        <v>36</v>
      </c>
    </row>
    <row r="4768" spans="1:17" x14ac:dyDescent="0.35">
      <c r="A4768" t="s">
        <v>4820</v>
      </c>
      <c r="B4768" t="s">
        <v>16</v>
      </c>
      <c r="C4768">
        <v>25</v>
      </c>
      <c r="D4768" t="s">
        <v>38</v>
      </c>
      <c r="E4768" t="s">
        <v>112</v>
      </c>
      <c r="F4768" t="s">
        <v>36</v>
      </c>
      <c r="G4768">
        <v>5.3</v>
      </c>
      <c r="H4768">
        <v>2.5</v>
      </c>
      <c r="I4768" t="str" cm="1">
        <f t="array" ref="I4768">_xlfn.IFS(G4768&lt;3, "0–2 Years", G4768&lt;6, "3–5 Years", G4768&lt;9, "6–8 Years", G4768&lt;12, "9-11 Years", G4768&gt;=12, "12-14 Years")</f>
        <v>3–5 Years</v>
      </c>
      <c r="J4768">
        <v>4</v>
      </c>
      <c r="K4768" t="s">
        <v>20</v>
      </c>
      <c r="L4768">
        <v>60100</v>
      </c>
      <c r="M4768">
        <v>5700</v>
      </c>
      <c r="N4768">
        <v>65800</v>
      </c>
      <c r="O4768" t="s">
        <v>25</v>
      </c>
      <c r="P4768" s="3">
        <v>44086</v>
      </c>
      <c r="Q4768" t="s">
        <v>36</v>
      </c>
    </row>
    <row r="4769" spans="1:17" x14ac:dyDescent="0.35">
      <c r="A4769" t="s">
        <v>4821</v>
      </c>
      <c r="B4769" t="s">
        <v>23</v>
      </c>
      <c r="C4769">
        <v>32</v>
      </c>
      <c r="D4769" t="s">
        <v>44</v>
      </c>
      <c r="E4769" t="s">
        <v>81</v>
      </c>
      <c r="F4769" t="s">
        <v>28</v>
      </c>
      <c r="G4769">
        <v>11.5</v>
      </c>
      <c r="H4769">
        <v>8.1</v>
      </c>
      <c r="I4769" t="str" cm="1">
        <f t="array" ref="I4769">_xlfn.IFS(G4769&lt;3, "0–2 Years", G4769&lt;6, "3–5 Years", G4769&lt;9, "6–8 Years", G4769&lt;12, "9-11 Years", G4769&gt;=12, "12-14 Years")</f>
        <v>9-11 Years</v>
      </c>
      <c r="J4769">
        <v>3</v>
      </c>
      <c r="K4769" t="s">
        <v>20</v>
      </c>
      <c r="L4769">
        <v>100300</v>
      </c>
      <c r="M4769">
        <v>14800</v>
      </c>
      <c r="N4769">
        <v>115100</v>
      </c>
      <c r="O4769" t="s">
        <v>57</v>
      </c>
      <c r="P4769" s="3">
        <v>41823</v>
      </c>
      <c r="Q4769" t="s">
        <v>28</v>
      </c>
    </row>
    <row r="4770" spans="1:17" x14ac:dyDescent="0.35">
      <c r="A4770" t="s">
        <v>4822</v>
      </c>
      <c r="B4770" t="s">
        <v>16</v>
      </c>
      <c r="C4770" s="7">
        <v>46</v>
      </c>
      <c r="D4770" t="s">
        <v>38</v>
      </c>
      <c r="E4770" t="s">
        <v>39</v>
      </c>
      <c r="F4770" t="s">
        <v>19</v>
      </c>
      <c r="G4770" s="9">
        <v>12.7</v>
      </c>
      <c r="H4770" s="7">
        <v>6.5</v>
      </c>
      <c r="I4770" t="str" cm="1">
        <f t="array" ref="I4770">_xlfn.IFS(G4770&lt;3, "0–2 Years", G4770&lt;6, "3–5 Years", G4770&lt;9, "6–8 Years", G4770&lt;12, "9-11 Years", G4770&gt;=12, "12-14 Years")</f>
        <v>12-14 Years</v>
      </c>
      <c r="J4770" s="7">
        <v>4</v>
      </c>
      <c r="K4770" t="s">
        <v>20</v>
      </c>
      <c r="L4770" s="7">
        <v>81800</v>
      </c>
      <c r="M4770" s="7">
        <v>8000</v>
      </c>
      <c r="N4770" s="7">
        <v>89800</v>
      </c>
      <c r="O4770" t="s">
        <v>30</v>
      </c>
      <c r="P4770" s="3">
        <v>41388</v>
      </c>
      <c r="Q4770" t="s">
        <v>19</v>
      </c>
    </row>
    <row r="4771" spans="1:17" x14ac:dyDescent="0.35">
      <c r="A4771" t="s">
        <v>4823</v>
      </c>
      <c r="B4771" t="s">
        <v>16</v>
      </c>
      <c r="C4771">
        <v>30</v>
      </c>
      <c r="D4771" t="s">
        <v>17</v>
      </c>
      <c r="E4771" t="s">
        <v>27</v>
      </c>
      <c r="F4771" t="s">
        <v>28</v>
      </c>
      <c r="G4771">
        <v>2.7</v>
      </c>
      <c r="H4771">
        <v>2.2999999999999998</v>
      </c>
      <c r="I4771" t="str" cm="1">
        <f t="array" ref="I4771">_xlfn.IFS(G4771&lt;3, "0–2 Years", G4771&lt;6, "3–5 Years", G4771&lt;9, "6–8 Years", G4771&lt;12, "9-11 Years", G4771&gt;=12, "12-14 Years")</f>
        <v>0–2 Years</v>
      </c>
      <c r="J4771">
        <v>3</v>
      </c>
      <c r="K4771" t="s">
        <v>20</v>
      </c>
      <c r="L4771">
        <v>75800</v>
      </c>
      <c r="M4771">
        <v>9100</v>
      </c>
      <c r="N4771">
        <v>84900</v>
      </c>
      <c r="O4771" t="s">
        <v>21</v>
      </c>
      <c r="P4771" s="3">
        <v>45021</v>
      </c>
      <c r="Q4771" t="s">
        <v>28</v>
      </c>
    </row>
    <row r="4772" spans="1:17" x14ac:dyDescent="0.35">
      <c r="A4772" t="s">
        <v>4824</v>
      </c>
      <c r="B4772" t="s">
        <v>16</v>
      </c>
      <c r="C4772">
        <v>21</v>
      </c>
      <c r="D4772" t="s">
        <v>44</v>
      </c>
      <c r="E4772" t="s">
        <v>76</v>
      </c>
      <c r="F4772" t="s">
        <v>36</v>
      </c>
      <c r="G4772">
        <v>7.5</v>
      </c>
      <c r="H4772">
        <v>5.4</v>
      </c>
      <c r="I4772" t="str" cm="1">
        <f t="array" ref="I4772">_xlfn.IFS(G4772&lt;3, "0–2 Years", G4772&lt;6, "3–5 Years", G4772&lt;9, "6–8 Years", G4772&lt;12, "9-11 Years", G4772&gt;=12, "12-14 Years")</f>
        <v>6–8 Years</v>
      </c>
      <c r="J4772">
        <v>3</v>
      </c>
      <c r="K4772" t="s">
        <v>20</v>
      </c>
      <c r="L4772">
        <v>126400</v>
      </c>
      <c r="M4772">
        <v>7700</v>
      </c>
      <c r="N4772">
        <v>134100</v>
      </c>
      <c r="O4772" t="s">
        <v>57</v>
      </c>
      <c r="P4772" s="3">
        <v>43271</v>
      </c>
      <c r="Q4772" t="s">
        <v>36</v>
      </c>
    </row>
    <row r="4773" spans="1:17" x14ac:dyDescent="0.35">
      <c r="A4773" t="s">
        <v>4825</v>
      </c>
      <c r="B4773" t="s">
        <v>16</v>
      </c>
      <c r="C4773">
        <v>32</v>
      </c>
      <c r="D4773" t="s">
        <v>38</v>
      </c>
      <c r="E4773" t="s">
        <v>39</v>
      </c>
      <c r="F4773" t="s">
        <v>19</v>
      </c>
      <c r="G4773">
        <v>5.4</v>
      </c>
      <c r="H4773">
        <v>3.7</v>
      </c>
      <c r="I4773" t="str" cm="1">
        <f t="array" ref="I4773">_xlfn.IFS(G4773&lt;3, "0–2 Years", G4773&lt;6, "3–5 Years", G4773&lt;9, "6–8 Years", G4773&lt;12, "9-11 Years", G4773&gt;=12, "12-14 Years")</f>
        <v>3–5 Years</v>
      </c>
      <c r="J4773">
        <v>4</v>
      </c>
      <c r="K4773" t="s">
        <v>20</v>
      </c>
      <c r="L4773">
        <v>76600</v>
      </c>
      <c r="M4773">
        <v>3000</v>
      </c>
      <c r="N4773">
        <v>79600</v>
      </c>
      <c r="O4773" t="s">
        <v>21</v>
      </c>
      <c r="P4773" s="3">
        <v>44056</v>
      </c>
      <c r="Q4773" t="s">
        <v>19</v>
      </c>
    </row>
    <row r="4774" spans="1:17" x14ac:dyDescent="0.35">
      <c r="A4774" t="s">
        <v>4826</v>
      </c>
      <c r="B4774" t="s">
        <v>23</v>
      </c>
      <c r="C4774" s="7">
        <v>35</v>
      </c>
      <c r="D4774" t="s">
        <v>44</v>
      </c>
      <c r="E4774" t="s">
        <v>45</v>
      </c>
      <c r="F4774" t="s">
        <v>36</v>
      </c>
      <c r="G4774" s="9">
        <v>13.6</v>
      </c>
      <c r="H4774" s="7">
        <v>7.5</v>
      </c>
      <c r="I4774" t="str" cm="1">
        <f t="array" ref="I4774">_xlfn.IFS(G4774&lt;3, "0–2 Years", G4774&lt;6, "3–5 Years", G4774&lt;9, "6–8 Years", G4774&lt;12, "9-11 Years", G4774&gt;=12, "12-14 Years")</f>
        <v>12-14 Years</v>
      </c>
      <c r="J4774" s="7">
        <v>3</v>
      </c>
      <c r="K4774" t="s">
        <v>20</v>
      </c>
      <c r="L4774" s="7">
        <v>68900</v>
      </c>
      <c r="M4774" s="7">
        <v>4400</v>
      </c>
      <c r="N4774" s="7">
        <v>73300</v>
      </c>
      <c r="O4774" t="s">
        <v>21</v>
      </c>
      <c r="P4774" s="3">
        <v>41049</v>
      </c>
      <c r="Q4774" t="s">
        <v>36</v>
      </c>
    </row>
    <row r="4775" spans="1:17" x14ac:dyDescent="0.35">
      <c r="A4775" t="s">
        <v>4827</v>
      </c>
      <c r="B4775" t="s">
        <v>16</v>
      </c>
      <c r="C4775" s="7">
        <v>38</v>
      </c>
      <c r="D4775" t="s">
        <v>41</v>
      </c>
      <c r="E4775" t="s">
        <v>42</v>
      </c>
      <c r="F4775" t="s">
        <v>28</v>
      </c>
      <c r="G4775" s="9">
        <v>12.5</v>
      </c>
      <c r="H4775" s="7">
        <v>7.9</v>
      </c>
      <c r="I4775" t="str" cm="1">
        <f t="array" ref="I4775">_xlfn.IFS(G4775&lt;3, "0–2 Years", G4775&lt;6, "3–5 Years", G4775&lt;9, "6–8 Years", G4775&lt;12, "9-11 Years", G4775&gt;=12, "12-14 Years")</f>
        <v>12-14 Years</v>
      </c>
      <c r="J4775" s="7">
        <v>4</v>
      </c>
      <c r="K4775" t="s">
        <v>20</v>
      </c>
      <c r="L4775" s="7">
        <v>88200</v>
      </c>
      <c r="M4775" s="7">
        <v>6500</v>
      </c>
      <c r="N4775" s="7">
        <v>94700</v>
      </c>
      <c r="O4775" t="s">
        <v>30</v>
      </c>
      <c r="P4775" s="3">
        <v>41465</v>
      </c>
      <c r="Q4775" t="s">
        <v>28</v>
      </c>
    </row>
    <row r="4776" spans="1:17" x14ac:dyDescent="0.35">
      <c r="A4776" t="s">
        <v>4828</v>
      </c>
      <c r="B4776" t="s">
        <v>16</v>
      </c>
      <c r="C4776">
        <v>28</v>
      </c>
      <c r="D4776" t="s">
        <v>17</v>
      </c>
      <c r="E4776" t="s">
        <v>18</v>
      </c>
      <c r="F4776" t="s">
        <v>36</v>
      </c>
      <c r="G4776">
        <v>5.9</v>
      </c>
      <c r="H4776">
        <v>5</v>
      </c>
      <c r="I4776" t="str" cm="1">
        <f t="array" ref="I4776">_xlfn.IFS(G4776&lt;3, "0–2 Years", G4776&lt;6, "3–5 Years", G4776&lt;9, "6–8 Years", G4776&lt;12, "9-11 Years", G4776&gt;=12, "12-14 Years")</f>
        <v>3–5 Years</v>
      </c>
      <c r="J4776">
        <v>4</v>
      </c>
      <c r="K4776" t="s">
        <v>20</v>
      </c>
      <c r="L4776">
        <v>118400</v>
      </c>
      <c r="M4776">
        <v>12800</v>
      </c>
      <c r="N4776">
        <v>131200</v>
      </c>
      <c r="O4776" t="s">
        <v>57</v>
      </c>
      <c r="P4776" s="3">
        <v>43857</v>
      </c>
      <c r="Q4776" t="s">
        <v>36</v>
      </c>
    </row>
    <row r="4777" spans="1:17" x14ac:dyDescent="0.35">
      <c r="A4777" t="s">
        <v>4829</v>
      </c>
      <c r="B4777" t="s">
        <v>16</v>
      </c>
      <c r="C4777">
        <v>41</v>
      </c>
      <c r="D4777" t="s">
        <v>55</v>
      </c>
      <c r="E4777" t="s">
        <v>56</v>
      </c>
      <c r="F4777" t="s">
        <v>19</v>
      </c>
      <c r="G4777">
        <v>5.8</v>
      </c>
      <c r="H4777">
        <v>2.1</v>
      </c>
      <c r="I4777" t="str" cm="1">
        <f t="array" ref="I4777">_xlfn.IFS(G4777&lt;3, "0–2 Years", G4777&lt;6, "3–5 Years", G4777&lt;9, "6–8 Years", G4777&lt;12, "9-11 Years", G4777&gt;=12, "12-14 Years")</f>
        <v>3–5 Years</v>
      </c>
      <c r="J4777">
        <v>3</v>
      </c>
      <c r="K4777" t="s">
        <v>20</v>
      </c>
      <c r="L4777">
        <v>99400</v>
      </c>
      <c r="M4777">
        <v>8500</v>
      </c>
      <c r="N4777">
        <v>107900</v>
      </c>
      <c r="O4777" t="s">
        <v>30</v>
      </c>
      <c r="P4777" s="3">
        <v>43889</v>
      </c>
      <c r="Q4777" t="s">
        <v>19</v>
      </c>
    </row>
    <row r="4778" spans="1:17" x14ac:dyDescent="0.35">
      <c r="A4778" t="s">
        <v>4830</v>
      </c>
      <c r="B4778" t="s">
        <v>16</v>
      </c>
      <c r="C4778">
        <v>44</v>
      </c>
      <c r="D4778" t="s">
        <v>38</v>
      </c>
      <c r="E4778" t="s">
        <v>39</v>
      </c>
      <c r="F4778" t="s">
        <v>19</v>
      </c>
      <c r="G4778">
        <v>8.6999999999999993</v>
      </c>
      <c r="H4778">
        <v>6.9</v>
      </c>
      <c r="I4778" t="str" cm="1">
        <f t="array" ref="I4778">_xlfn.IFS(G4778&lt;3, "0–2 Years", G4778&lt;6, "3–5 Years", G4778&lt;9, "6–8 Years", G4778&lt;12, "9-11 Years", G4778&gt;=12, "12-14 Years")</f>
        <v>6–8 Years</v>
      </c>
      <c r="J4778">
        <v>2</v>
      </c>
      <c r="K4778" t="s">
        <v>20</v>
      </c>
      <c r="L4778">
        <v>69900</v>
      </c>
      <c r="M4778">
        <v>4000</v>
      </c>
      <c r="N4778">
        <v>73900</v>
      </c>
      <c r="O4778" t="s">
        <v>21</v>
      </c>
      <c r="P4778" s="3">
        <v>42858</v>
      </c>
      <c r="Q4778" t="s">
        <v>19</v>
      </c>
    </row>
    <row r="4779" spans="1:17" x14ac:dyDescent="0.35">
      <c r="A4779" t="s">
        <v>4831</v>
      </c>
      <c r="B4779" t="s">
        <v>23</v>
      </c>
      <c r="C4779">
        <v>34</v>
      </c>
      <c r="D4779" t="s">
        <v>17</v>
      </c>
      <c r="E4779" t="s">
        <v>32</v>
      </c>
      <c r="F4779" t="s">
        <v>28</v>
      </c>
      <c r="G4779">
        <v>10.4</v>
      </c>
      <c r="H4779">
        <v>4.9000000000000004</v>
      </c>
      <c r="I4779" t="str" cm="1">
        <f t="array" ref="I4779">_xlfn.IFS(G4779&lt;3, "0–2 Years", G4779&lt;6, "3–5 Years", G4779&lt;9, "6–8 Years", G4779&lt;12, "9-11 Years", G4779&gt;=12, "12-14 Years")</f>
        <v>9-11 Years</v>
      </c>
      <c r="J4779">
        <v>3</v>
      </c>
      <c r="K4779" t="s">
        <v>20</v>
      </c>
      <c r="L4779">
        <v>59100</v>
      </c>
      <c r="M4779">
        <v>7300</v>
      </c>
      <c r="N4779">
        <v>66400</v>
      </c>
      <c r="O4779" t="s">
        <v>25</v>
      </c>
      <c r="P4779" s="3">
        <v>42219</v>
      </c>
      <c r="Q4779" t="s">
        <v>28</v>
      </c>
    </row>
    <row r="4780" spans="1:17" x14ac:dyDescent="0.35">
      <c r="A4780" t="s">
        <v>4832</v>
      </c>
      <c r="B4780" t="s">
        <v>23</v>
      </c>
      <c r="C4780">
        <v>34</v>
      </c>
      <c r="D4780" t="s">
        <v>44</v>
      </c>
      <c r="E4780" t="s">
        <v>45</v>
      </c>
      <c r="F4780" t="s">
        <v>36</v>
      </c>
      <c r="G4780">
        <v>5.7</v>
      </c>
      <c r="H4780">
        <v>2.5</v>
      </c>
      <c r="I4780" t="str" cm="1">
        <f t="array" ref="I4780">_xlfn.IFS(G4780&lt;3, "0–2 Years", G4780&lt;6, "3–5 Years", G4780&lt;9, "6–8 Years", G4780&lt;12, "9-11 Years", G4780&gt;=12, "12-14 Years")</f>
        <v>3–5 Years</v>
      </c>
      <c r="J4780">
        <v>4</v>
      </c>
      <c r="K4780" t="s">
        <v>20</v>
      </c>
      <c r="L4780">
        <v>74700</v>
      </c>
      <c r="M4780">
        <v>5500</v>
      </c>
      <c r="N4780">
        <v>80200</v>
      </c>
      <c r="O4780" t="s">
        <v>21</v>
      </c>
      <c r="P4780" s="3">
        <v>43926</v>
      </c>
      <c r="Q4780" t="s">
        <v>36</v>
      </c>
    </row>
    <row r="4781" spans="1:17" x14ac:dyDescent="0.35">
      <c r="A4781" t="s">
        <v>4833</v>
      </c>
      <c r="B4781" t="s">
        <v>16</v>
      </c>
      <c r="C4781">
        <v>49</v>
      </c>
      <c r="D4781" t="s">
        <v>44</v>
      </c>
      <c r="E4781" t="s">
        <v>81</v>
      </c>
      <c r="F4781" t="s">
        <v>36</v>
      </c>
      <c r="G4781">
        <v>9.3000000000000007</v>
      </c>
      <c r="H4781">
        <v>4.3</v>
      </c>
      <c r="I4781" t="str" cm="1">
        <f t="array" ref="I4781">_xlfn.IFS(G4781&lt;3, "0–2 Years", G4781&lt;6, "3–5 Years", G4781&lt;9, "6–8 Years", G4781&lt;12, "9-11 Years", G4781&gt;=12, "12-14 Years")</f>
        <v>9-11 Years</v>
      </c>
      <c r="J4781">
        <v>4</v>
      </c>
      <c r="K4781" t="s">
        <v>20</v>
      </c>
      <c r="L4781">
        <v>110000</v>
      </c>
      <c r="M4781">
        <v>13800</v>
      </c>
      <c r="N4781">
        <v>123800</v>
      </c>
      <c r="O4781" t="s">
        <v>57</v>
      </c>
      <c r="P4781" s="3">
        <v>42613</v>
      </c>
      <c r="Q4781" t="s">
        <v>36</v>
      </c>
    </row>
    <row r="4782" spans="1:17" x14ac:dyDescent="0.35">
      <c r="A4782" t="s">
        <v>4834</v>
      </c>
      <c r="B4782" t="s">
        <v>16</v>
      </c>
      <c r="C4782">
        <v>51</v>
      </c>
      <c r="D4782" t="s">
        <v>34</v>
      </c>
      <c r="E4782" t="s">
        <v>35</v>
      </c>
      <c r="F4782" t="s">
        <v>28</v>
      </c>
      <c r="G4782">
        <v>6.2</v>
      </c>
      <c r="H4782">
        <v>3.2</v>
      </c>
      <c r="I4782" t="str" cm="1">
        <f t="array" ref="I4782">_xlfn.IFS(G4782&lt;3, "0–2 Years", G4782&lt;6, "3–5 Years", G4782&lt;9, "6–8 Years", G4782&lt;12, "9-11 Years", G4782&gt;=12, "12-14 Years")</f>
        <v>6–8 Years</v>
      </c>
      <c r="J4782">
        <v>4</v>
      </c>
      <c r="K4782" t="s">
        <v>20</v>
      </c>
      <c r="L4782">
        <v>83000</v>
      </c>
      <c r="M4782">
        <v>4900</v>
      </c>
      <c r="N4782">
        <v>87900</v>
      </c>
      <c r="O4782" t="s">
        <v>30</v>
      </c>
      <c r="P4782" s="3">
        <v>43755</v>
      </c>
      <c r="Q4782" t="s">
        <v>28</v>
      </c>
    </row>
    <row r="4783" spans="1:17" x14ac:dyDescent="0.35">
      <c r="A4783" t="s">
        <v>4835</v>
      </c>
      <c r="B4783" t="s">
        <v>16</v>
      </c>
      <c r="C4783">
        <v>53</v>
      </c>
      <c r="D4783" t="s">
        <v>55</v>
      </c>
      <c r="E4783" t="s">
        <v>92</v>
      </c>
      <c r="F4783" t="s">
        <v>28</v>
      </c>
      <c r="G4783">
        <v>5.6</v>
      </c>
      <c r="H4783">
        <v>3.2</v>
      </c>
      <c r="I4783" t="str" cm="1">
        <f t="array" ref="I4783">_xlfn.IFS(G4783&lt;3, "0–2 Years", G4783&lt;6, "3–5 Years", G4783&lt;9, "6–8 Years", G4783&lt;12, "9-11 Years", G4783&gt;=12, "12-14 Years")</f>
        <v>3–5 Years</v>
      </c>
      <c r="J4783">
        <v>3</v>
      </c>
      <c r="K4783" t="s">
        <v>24</v>
      </c>
      <c r="L4783">
        <v>59900</v>
      </c>
      <c r="M4783">
        <v>10000</v>
      </c>
      <c r="N4783">
        <v>69900</v>
      </c>
      <c r="O4783" t="s">
        <v>25</v>
      </c>
      <c r="P4783" s="3">
        <v>43977</v>
      </c>
      <c r="Q4783" t="s">
        <v>28</v>
      </c>
    </row>
    <row r="4784" spans="1:17" x14ac:dyDescent="0.35">
      <c r="A4784" t="s">
        <v>4836</v>
      </c>
      <c r="B4784" t="s">
        <v>23</v>
      </c>
      <c r="C4784">
        <v>33</v>
      </c>
      <c r="D4784" t="s">
        <v>17</v>
      </c>
      <c r="E4784" t="s">
        <v>32</v>
      </c>
      <c r="F4784" t="s">
        <v>19</v>
      </c>
      <c r="G4784">
        <v>2.9</v>
      </c>
      <c r="H4784">
        <v>2.9</v>
      </c>
      <c r="I4784" t="str" cm="1">
        <f t="array" ref="I4784">_xlfn.IFS(G4784&lt;3, "0–2 Years", G4784&lt;6, "3–5 Years", G4784&lt;9, "6–8 Years", G4784&lt;12, "9-11 Years", G4784&gt;=12, "12-14 Years")</f>
        <v>0–2 Years</v>
      </c>
      <c r="J4784">
        <v>3</v>
      </c>
      <c r="K4784" t="s">
        <v>20</v>
      </c>
      <c r="L4784">
        <v>56600</v>
      </c>
      <c r="M4784">
        <v>7200</v>
      </c>
      <c r="N4784">
        <v>63800</v>
      </c>
      <c r="O4784" t="s">
        <v>25</v>
      </c>
      <c r="P4784" s="3">
        <v>44954</v>
      </c>
      <c r="Q4784" t="s">
        <v>19</v>
      </c>
    </row>
    <row r="4785" spans="1:17" x14ac:dyDescent="0.35">
      <c r="A4785" t="s">
        <v>4837</v>
      </c>
      <c r="B4785" t="s">
        <v>16</v>
      </c>
      <c r="C4785">
        <v>40</v>
      </c>
      <c r="D4785" t="s">
        <v>41</v>
      </c>
      <c r="E4785" t="s">
        <v>73</v>
      </c>
      <c r="F4785" t="s">
        <v>28</v>
      </c>
      <c r="G4785">
        <v>7.4</v>
      </c>
      <c r="H4785">
        <v>6.4</v>
      </c>
      <c r="I4785" t="str" cm="1">
        <f t="array" ref="I4785">_xlfn.IFS(G4785&lt;3, "0–2 Years", G4785&lt;6, "3–5 Years", G4785&lt;9, "6–8 Years", G4785&lt;12, "9-11 Years", G4785&gt;=12, "12-14 Years")</f>
        <v>6–8 Years</v>
      </c>
      <c r="J4785">
        <v>5</v>
      </c>
      <c r="K4785" t="s">
        <v>20</v>
      </c>
      <c r="L4785">
        <v>105800</v>
      </c>
      <c r="M4785">
        <v>7900</v>
      </c>
      <c r="N4785">
        <v>113700</v>
      </c>
      <c r="O4785" t="s">
        <v>57</v>
      </c>
      <c r="P4785" s="3">
        <v>43310</v>
      </c>
      <c r="Q4785" t="s">
        <v>28</v>
      </c>
    </row>
    <row r="4786" spans="1:17" x14ac:dyDescent="0.35">
      <c r="A4786" t="s">
        <v>4838</v>
      </c>
      <c r="B4786" t="s">
        <v>23</v>
      </c>
      <c r="C4786">
        <v>45</v>
      </c>
      <c r="D4786" t="s">
        <v>55</v>
      </c>
      <c r="E4786" t="s">
        <v>79</v>
      </c>
      <c r="F4786" t="s">
        <v>28</v>
      </c>
      <c r="G4786">
        <v>5.2</v>
      </c>
      <c r="H4786">
        <v>2</v>
      </c>
      <c r="I4786" t="str" cm="1">
        <f t="array" ref="I4786">_xlfn.IFS(G4786&lt;3, "0–2 Years", G4786&lt;6, "3–5 Years", G4786&lt;9, "6–8 Years", G4786&lt;12, "9-11 Years", G4786&gt;=12, "12-14 Years")</f>
        <v>3–5 Years</v>
      </c>
      <c r="J4786">
        <v>3</v>
      </c>
      <c r="K4786" t="s">
        <v>20</v>
      </c>
      <c r="L4786">
        <v>54900</v>
      </c>
      <c r="M4786">
        <v>4500</v>
      </c>
      <c r="N4786">
        <v>59400</v>
      </c>
      <c r="O4786" t="s">
        <v>25</v>
      </c>
      <c r="P4786" s="3">
        <v>44113</v>
      </c>
      <c r="Q4786" t="s">
        <v>28</v>
      </c>
    </row>
    <row r="4787" spans="1:17" x14ac:dyDescent="0.35">
      <c r="A4787" t="s">
        <v>4839</v>
      </c>
      <c r="B4787" t="s">
        <v>16</v>
      </c>
      <c r="C4787">
        <v>30</v>
      </c>
      <c r="D4787" t="s">
        <v>38</v>
      </c>
      <c r="E4787" t="s">
        <v>39</v>
      </c>
      <c r="F4787" t="s">
        <v>28</v>
      </c>
      <c r="G4787">
        <v>5.8</v>
      </c>
      <c r="H4787">
        <v>2.2000000000000002</v>
      </c>
      <c r="I4787" t="str" cm="1">
        <f t="array" ref="I4787">_xlfn.IFS(G4787&lt;3, "0–2 Years", G4787&lt;6, "3–5 Years", G4787&lt;9, "6–8 Years", G4787&lt;12, "9-11 Years", G4787&gt;=12, "12-14 Years")</f>
        <v>3–5 Years</v>
      </c>
      <c r="J4787">
        <v>4</v>
      </c>
      <c r="K4787" t="s">
        <v>20</v>
      </c>
      <c r="L4787">
        <v>64500</v>
      </c>
      <c r="M4787">
        <v>4300</v>
      </c>
      <c r="N4787">
        <v>68800</v>
      </c>
      <c r="O4787" t="s">
        <v>25</v>
      </c>
      <c r="P4787" s="3">
        <v>43905</v>
      </c>
      <c r="Q4787" t="s">
        <v>28</v>
      </c>
    </row>
    <row r="4788" spans="1:17" x14ac:dyDescent="0.35">
      <c r="A4788" t="s">
        <v>4840</v>
      </c>
      <c r="B4788" t="s">
        <v>23</v>
      </c>
      <c r="C4788">
        <v>28</v>
      </c>
      <c r="D4788" t="s">
        <v>17</v>
      </c>
      <c r="E4788" t="s">
        <v>27</v>
      </c>
      <c r="F4788" t="s">
        <v>19</v>
      </c>
      <c r="G4788">
        <v>11.7</v>
      </c>
      <c r="H4788">
        <v>6.2</v>
      </c>
      <c r="I4788" t="str" cm="1">
        <f t="array" ref="I4788">_xlfn.IFS(G4788&lt;3, "0–2 Years", G4788&lt;6, "3–5 Years", G4788&lt;9, "6–8 Years", G4788&lt;12, "9-11 Years", G4788&gt;=12, "12-14 Years")</f>
        <v>9-11 Years</v>
      </c>
      <c r="J4788">
        <v>3</v>
      </c>
      <c r="K4788" t="s">
        <v>20</v>
      </c>
      <c r="L4788">
        <v>80100</v>
      </c>
      <c r="M4788">
        <v>5300</v>
      </c>
      <c r="N4788">
        <v>85400</v>
      </c>
      <c r="O4788" t="s">
        <v>30</v>
      </c>
      <c r="P4788" s="3">
        <v>41744</v>
      </c>
      <c r="Q4788" t="s">
        <v>19</v>
      </c>
    </row>
    <row r="4789" spans="1:17" x14ac:dyDescent="0.35">
      <c r="A4789" t="s">
        <v>4841</v>
      </c>
      <c r="B4789" t="s">
        <v>16</v>
      </c>
      <c r="C4789">
        <v>35</v>
      </c>
      <c r="D4789" t="s">
        <v>55</v>
      </c>
      <c r="E4789" t="s">
        <v>56</v>
      </c>
      <c r="F4789" t="s">
        <v>28</v>
      </c>
      <c r="G4789">
        <v>11</v>
      </c>
      <c r="H4789">
        <v>7.1</v>
      </c>
      <c r="I4789" t="str" cm="1">
        <f t="array" ref="I4789">_xlfn.IFS(G4789&lt;3, "0–2 Years", G4789&lt;6, "3–5 Years", G4789&lt;9, "6–8 Years", G4789&lt;12, "9-11 Years", G4789&gt;=12, "12-14 Years")</f>
        <v>9-11 Years</v>
      </c>
      <c r="J4789">
        <v>3</v>
      </c>
      <c r="K4789" t="s">
        <v>20</v>
      </c>
      <c r="L4789">
        <v>105400</v>
      </c>
      <c r="M4789">
        <v>21000</v>
      </c>
      <c r="N4789">
        <v>126400</v>
      </c>
      <c r="O4789" t="s">
        <v>57</v>
      </c>
      <c r="P4789" s="3">
        <v>42020</v>
      </c>
      <c r="Q4789" t="s">
        <v>28</v>
      </c>
    </row>
    <row r="4790" spans="1:17" x14ac:dyDescent="0.35">
      <c r="A4790" t="s">
        <v>4842</v>
      </c>
      <c r="B4790" t="s">
        <v>23</v>
      </c>
      <c r="C4790">
        <v>44</v>
      </c>
      <c r="D4790" t="s">
        <v>44</v>
      </c>
      <c r="E4790" t="s">
        <v>81</v>
      </c>
      <c r="F4790" t="s">
        <v>36</v>
      </c>
      <c r="G4790">
        <v>6.7</v>
      </c>
      <c r="H4790">
        <v>4.9000000000000004</v>
      </c>
      <c r="I4790" t="str" cm="1">
        <f t="array" ref="I4790">_xlfn.IFS(G4790&lt;3, "0–2 Years", G4790&lt;6, "3–5 Years", G4790&lt;9, "6–8 Years", G4790&lt;12, "9-11 Years", G4790&gt;=12, "12-14 Years")</f>
        <v>6–8 Years</v>
      </c>
      <c r="J4790">
        <v>4</v>
      </c>
      <c r="K4790" t="s">
        <v>20</v>
      </c>
      <c r="L4790">
        <v>117600</v>
      </c>
      <c r="M4790">
        <v>11000</v>
      </c>
      <c r="N4790">
        <v>128600</v>
      </c>
      <c r="O4790" t="s">
        <v>57</v>
      </c>
      <c r="P4790" s="3">
        <v>43582</v>
      </c>
      <c r="Q4790" t="s">
        <v>36</v>
      </c>
    </row>
    <row r="4791" spans="1:17" x14ac:dyDescent="0.35">
      <c r="A4791" t="s">
        <v>4843</v>
      </c>
      <c r="B4791" t="s">
        <v>23</v>
      </c>
      <c r="C4791">
        <v>33</v>
      </c>
      <c r="D4791" t="s">
        <v>55</v>
      </c>
      <c r="E4791" t="s">
        <v>92</v>
      </c>
      <c r="F4791" t="s">
        <v>36</v>
      </c>
      <c r="G4791">
        <v>4.4000000000000004</v>
      </c>
      <c r="H4791">
        <v>3.2</v>
      </c>
      <c r="I4791" t="str" cm="1">
        <f t="array" ref="I4791">_xlfn.IFS(G4791&lt;3, "0–2 Years", G4791&lt;6, "3–5 Years", G4791&lt;9, "6–8 Years", G4791&lt;12, "9-11 Years", G4791&gt;=12, "12-14 Years")</f>
        <v>3–5 Years</v>
      </c>
      <c r="J4791">
        <v>3</v>
      </c>
      <c r="K4791" t="s">
        <v>20</v>
      </c>
      <c r="L4791">
        <v>111400</v>
      </c>
      <c r="M4791">
        <v>14500</v>
      </c>
      <c r="N4791">
        <v>125900</v>
      </c>
      <c r="O4791" t="s">
        <v>57</v>
      </c>
      <c r="P4791" s="3">
        <v>44433</v>
      </c>
      <c r="Q4791" t="s">
        <v>36</v>
      </c>
    </row>
    <row r="4792" spans="1:17" x14ac:dyDescent="0.35">
      <c r="A4792" t="s">
        <v>4844</v>
      </c>
      <c r="B4792" t="s">
        <v>16</v>
      </c>
      <c r="C4792">
        <v>39</v>
      </c>
      <c r="D4792" t="s">
        <v>38</v>
      </c>
      <c r="E4792" t="s">
        <v>39</v>
      </c>
      <c r="F4792" t="s">
        <v>28</v>
      </c>
      <c r="G4792">
        <v>2.8</v>
      </c>
      <c r="H4792">
        <v>1.3</v>
      </c>
      <c r="I4792" t="str" cm="1">
        <f t="array" ref="I4792">_xlfn.IFS(G4792&lt;3, "0–2 Years", G4792&lt;6, "3–5 Years", G4792&lt;9, "6–8 Years", G4792&lt;12, "9-11 Years", G4792&gt;=12, "12-14 Years")</f>
        <v>0–2 Years</v>
      </c>
      <c r="J4792">
        <v>3</v>
      </c>
      <c r="K4792" t="s">
        <v>20</v>
      </c>
      <c r="L4792">
        <v>69400</v>
      </c>
      <c r="M4792">
        <v>5500</v>
      </c>
      <c r="N4792">
        <v>74900</v>
      </c>
      <c r="O4792" t="s">
        <v>21</v>
      </c>
      <c r="P4792" s="3">
        <v>44989</v>
      </c>
      <c r="Q4792" t="s">
        <v>28</v>
      </c>
    </row>
    <row r="4793" spans="1:17" x14ac:dyDescent="0.35">
      <c r="A4793" t="s">
        <v>4845</v>
      </c>
      <c r="B4793" t="s">
        <v>16</v>
      </c>
      <c r="C4793">
        <v>42</v>
      </c>
      <c r="D4793" t="s">
        <v>44</v>
      </c>
      <c r="E4793" t="s">
        <v>51</v>
      </c>
      <c r="F4793" t="s">
        <v>62</v>
      </c>
      <c r="G4793">
        <v>1.9</v>
      </c>
      <c r="H4793">
        <v>1.9</v>
      </c>
      <c r="I4793" t="str" cm="1">
        <f t="array" ref="I4793">_xlfn.IFS(G4793&lt;3, "0–2 Years", G4793&lt;6, "3–5 Years", G4793&lt;9, "6–8 Years", G4793&lt;12, "9-11 Years", G4793&gt;=12, "12-14 Years")</f>
        <v>0–2 Years</v>
      </c>
      <c r="J4793">
        <v>2</v>
      </c>
      <c r="K4793" t="s">
        <v>24</v>
      </c>
      <c r="L4793">
        <v>46900</v>
      </c>
      <c r="M4793">
        <v>2900</v>
      </c>
      <c r="N4793">
        <v>49800</v>
      </c>
      <c r="O4793" t="s">
        <v>65</v>
      </c>
      <c r="P4793" s="3">
        <v>45337</v>
      </c>
      <c r="Q4793" t="s">
        <v>62</v>
      </c>
    </row>
    <row r="4794" spans="1:17" x14ac:dyDescent="0.35">
      <c r="A4794" t="s">
        <v>4846</v>
      </c>
      <c r="B4794" t="s">
        <v>16</v>
      </c>
      <c r="C4794" s="7">
        <v>46</v>
      </c>
      <c r="D4794" t="s">
        <v>44</v>
      </c>
      <c r="E4794" t="s">
        <v>76</v>
      </c>
      <c r="F4794" t="s">
        <v>36</v>
      </c>
      <c r="G4794" s="9">
        <v>13.6</v>
      </c>
      <c r="H4794" s="7">
        <v>7.3</v>
      </c>
      <c r="I4794" t="str" cm="1">
        <f t="array" ref="I4794">_xlfn.IFS(G4794&lt;3, "0–2 Years", G4794&lt;6, "3–5 Years", G4794&lt;9, "6–8 Years", G4794&lt;12, "9-11 Years", G4794&gt;=12, "12-14 Years")</f>
        <v>12-14 Years</v>
      </c>
      <c r="J4794" s="7">
        <v>4</v>
      </c>
      <c r="K4794" t="s">
        <v>24</v>
      </c>
      <c r="L4794" s="7">
        <v>76700</v>
      </c>
      <c r="M4794" s="7">
        <v>10600</v>
      </c>
      <c r="N4794" s="7">
        <v>87300</v>
      </c>
      <c r="O4794" t="s">
        <v>21</v>
      </c>
      <c r="P4794" s="3">
        <v>41052</v>
      </c>
      <c r="Q4794" t="s">
        <v>36</v>
      </c>
    </row>
    <row r="4795" spans="1:17" x14ac:dyDescent="0.35">
      <c r="A4795" t="s">
        <v>4847</v>
      </c>
      <c r="B4795" t="s">
        <v>23</v>
      </c>
      <c r="C4795">
        <v>21</v>
      </c>
      <c r="D4795" t="s">
        <v>38</v>
      </c>
      <c r="E4795" t="s">
        <v>112</v>
      </c>
      <c r="F4795" t="s">
        <v>28</v>
      </c>
      <c r="G4795">
        <v>2.6</v>
      </c>
      <c r="H4795">
        <v>1.4</v>
      </c>
      <c r="I4795" t="str" cm="1">
        <f t="array" ref="I4795">_xlfn.IFS(G4795&lt;3, "0–2 Years", G4795&lt;6, "3–5 Years", G4795&lt;9, "6–8 Years", G4795&lt;12, "9-11 Years", G4795&gt;=12, "12-14 Years")</f>
        <v>0–2 Years</v>
      </c>
      <c r="J4795">
        <v>3</v>
      </c>
      <c r="K4795" t="s">
        <v>20</v>
      </c>
      <c r="L4795">
        <v>63200</v>
      </c>
      <c r="M4795">
        <v>5600</v>
      </c>
      <c r="N4795">
        <v>68800</v>
      </c>
      <c r="O4795" t="s">
        <v>25</v>
      </c>
      <c r="P4795" s="3">
        <v>45074</v>
      </c>
      <c r="Q4795" t="s">
        <v>28</v>
      </c>
    </row>
    <row r="4796" spans="1:17" x14ac:dyDescent="0.35">
      <c r="A4796" t="s">
        <v>4848</v>
      </c>
      <c r="B4796" t="s">
        <v>23</v>
      </c>
      <c r="C4796" s="7">
        <v>42</v>
      </c>
      <c r="D4796" t="s">
        <v>41</v>
      </c>
      <c r="E4796" t="s">
        <v>42</v>
      </c>
      <c r="F4796" t="s">
        <v>28</v>
      </c>
      <c r="G4796" s="9">
        <v>12.4</v>
      </c>
      <c r="H4796" s="7">
        <v>8.1</v>
      </c>
      <c r="I4796" t="str" cm="1">
        <f t="array" ref="I4796">_xlfn.IFS(G4796&lt;3, "0–2 Years", G4796&lt;6, "3–5 Years", G4796&lt;9, "6–8 Years", G4796&lt;12, "9-11 Years", G4796&gt;=12, "12-14 Years")</f>
        <v>12-14 Years</v>
      </c>
      <c r="J4796" s="7">
        <v>4</v>
      </c>
      <c r="K4796" t="s">
        <v>24</v>
      </c>
      <c r="L4796" s="7">
        <v>53400</v>
      </c>
      <c r="M4796" s="7">
        <v>2800</v>
      </c>
      <c r="N4796" s="7">
        <v>56200</v>
      </c>
      <c r="O4796" t="s">
        <v>25</v>
      </c>
      <c r="P4796" s="3">
        <v>41505</v>
      </c>
      <c r="Q4796" t="s">
        <v>28</v>
      </c>
    </row>
    <row r="4797" spans="1:17" x14ac:dyDescent="0.35">
      <c r="A4797" t="s">
        <v>4849</v>
      </c>
      <c r="B4797" t="s">
        <v>23</v>
      </c>
      <c r="C4797">
        <v>42</v>
      </c>
      <c r="D4797" t="s">
        <v>17</v>
      </c>
      <c r="E4797" t="s">
        <v>18</v>
      </c>
      <c r="F4797" t="s">
        <v>36</v>
      </c>
      <c r="G4797">
        <v>6.9</v>
      </c>
      <c r="H4797">
        <v>3.6</v>
      </c>
      <c r="I4797" t="str" cm="1">
        <f t="array" ref="I4797">_xlfn.IFS(G4797&lt;3, "0–2 Years", G4797&lt;6, "3–5 Years", G4797&lt;9, "6–8 Years", G4797&lt;12, "9-11 Years", G4797&gt;=12, "12-14 Years")</f>
        <v>6–8 Years</v>
      </c>
      <c r="J4797">
        <v>4</v>
      </c>
      <c r="K4797" t="s">
        <v>20</v>
      </c>
      <c r="L4797">
        <v>94500</v>
      </c>
      <c r="M4797">
        <v>10300</v>
      </c>
      <c r="N4797">
        <v>104800</v>
      </c>
      <c r="O4797" t="s">
        <v>30</v>
      </c>
      <c r="P4797" s="3">
        <v>43489</v>
      </c>
      <c r="Q4797" t="s">
        <v>36</v>
      </c>
    </row>
    <row r="4798" spans="1:17" x14ac:dyDescent="0.35">
      <c r="A4798" t="s">
        <v>4850</v>
      </c>
      <c r="B4798" t="s">
        <v>23</v>
      </c>
      <c r="C4798">
        <v>43</v>
      </c>
      <c r="D4798" t="s">
        <v>55</v>
      </c>
      <c r="E4798" t="s">
        <v>92</v>
      </c>
      <c r="F4798" t="s">
        <v>62</v>
      </c>
      <c r="G4798">
        <v>1.4</v>
      </c>
      <c r="H4798">
        <v>0</v>
      </c>
      <c r="I4798" t="str" cm="1">
        <f t="array" ref="I4798">_xlfn.IFS(G4798&lt;3, "0–2 Years", G4798&lt;6, "3–5 Years", G4798&lt;9, "6–8 Years", G4798&lt;12, "9-11 Years", G4798&gt;=12, "12-14 Years")</f>
        <v>0–2 Years</v>
      </c>
      <c r="J4798">
        <v>4</v>
      </c>
      <c r="K4798" t="s">
        <v>20</v>
      </c>
      <c r="L4798">
        <v>116900</v>
      </c>
      <c r="M4798">
        <v>20400</v>
      </c>
      <c r="N4798">
        <v>137300</v>
      </c>
      <c r="O4798" t="s">
        <v>57</v>
      </c>
      <c r="P4798" s="3">
        <v>45525</v>
      </c>
      <c r="Q4798" t="s">
        <v>62</v>
      </c>
    </row>
    <row r="4799" spans="1:17" x14ac:dyDescent="0.35">
      <c r="A4799" t="s">
        <v>4851</v>
      </c>
      <c r="B4799" t="s">
        <v>16</v>
      </c>
      <c r="C4799">
        <v>40</v>
      </c>
      <c r="D4799" t="s">
        <v>44</v>
      </c>
      <c r="E4799" t="s">
        <v>51</v>
      </c>
      <c r="F4799" t="s">
        <v>36</v>
      </c>
      <c r="G4799">
        <v>10.199999999999999</v>
      </c>
      <c r="H4799">
        <v>6.9</v>
      </c>
      <c r="I4799" t="str" cm="1">
        <f t="array" ref="I4799">_xlfn.IFS(G4799&lt;3, "0–2 Years", G4799&lt;6, "3–5 Years", G4799&lt;9, "6–8 Years", G4799&lt;12, "9-11 Years", G4799&gt;=12, "12-14 Years")</f>
        <v>9-11 Years</v>
      </c>
      <c r="J4799">
        <v>5</v>
      </c>
      <c r="K4799" t="s">
        <v>20</v>
      </c>
      <c r="L4799">
        <v>92600</v>
      </c>
      <c r="M4799">
        <v>6800</v>
      </c>
      <c r="N4799">
        <v>99400</v>
      </c>
      <c r="O4799" t="s">
        <v>30</v>
      </c>
      <c r="P4799" s="3">
        <v>42314</v>
      </c>
      <c r="Q4799" t="s">
        <v>36</v>
      </c>
    </row>
    <row r="4800" spans="1:17" x14ac:dyDescent="0.35">
      <c r="A4800" t="s">
        <v>4852</v>
      </c>
      <c r="B4800" t="s">
        <v>16</v>
      </c>
      <c r="C4800">
        <v>29</v>
      </c>
      <c r="D4800" t="s">
        <v>17</v>
      </c>
      <c r="E4800" t="s">
        <v>32</v>
      </c>
      <c r="F4800" t="s">
        <v>36</v>
      </c>
      <c r="G4800">
        <v>10</v>
      </c>
      <c r="H4800">
        <v>5.5</v>
      </c>
      <c r="I4800" t="str" cm="1">
        <f t="array" ref="I4800">_xlfn.IFS(G4800&lt;3, "0–2 Years", G4800&lt;6, "3–5 Years", G4800&lt;9, "6–8 Years", G4800&lt;12, "9-11 Years", G4800&gt;=12, "12-14 Years")</f>
        <v>9-11 Years</v>
      </c>
      <c r="J4800">
        <v>5</v>
      </c>
      <c r="K4800" t="s">
        <v>24</v>
      </c>
      <c r="L4800">
        <v>48400</v>
      </c>
      <c r="M4800">
        <v>3500</v>
      </c>
      <c r="N4800">
        <v>51900</v>
      </c>
      <c r="O4800" t="s">
        <v>65</v>
      </c>
      <c r="P4800" s="3">
        <v>42368</v>
      </c>
      <c r="Q4800" t="s">
        <v>36</v>
      </c>
    </row>
    <row r="4801" spans="1:17" x14ac:dyDescent="0.35">
      <c r="A4801" t="s">
        <v>4853</v>
      </c>
      <c r="B4801" t="s">
        <v>23</v>
      </c>
      <c r="C4801">
        <v>21</v>
      </c>
      <c r="D4801" t="s">
        <v>38</v>
      </c>
      <c r="E4801" t="s">
        <v>112</v>
      </c>
      <c r="F4801" t="s">
        <v>28</v>
      </c>
      <c r="G4801">
        <v>4.7</v>
      </c>
      <c r="H4801">
        <v>3.1</v>
      </c>
      <c r="I4801" t="str" cm="1">
        <f t="array" ref="I4801">_xlfn.IFS(G4801&lt;3, "0–2 Years", G4801&lt;6, "3–5 Years", G4801&lt;9, "6–8 Years", G4801&lt;12, "9-11 Years", G4801&gt;=12, "12-14 Years")</f>
        <v>3–5 Years</v>
      </c>
      <c r="J4801">
        <v>4</v>
      </c>
      <c r="K4801" t="s">
        <v>69</v>
      </c>
      <c r="L4801">
        <v>61300</v>
      </c>
      <c r="M4801">
        <v>5900</v>
      </c>
      <c r="N4801">
        <v>67200</v>
      </c>
      <c r="O4801" t="s">
        <v>25</v>
      </c>
      <c r="P4801" s="3">
        <v>44314</v>
      </c>
      <c r="Q4801" t="s">
        <v>28</v>
      </c>
    </row>
    <row r="4802" spans="1:17" x14ac:dyDescent="0.35">
      <c r="A4802" t="s">
        <v>4854</v>
      </c>
      <c r="B4802" t="s">
        <v>16</v>
      </c>
      <c r="C4802">
        <v>34</v>
      </c>
      <c r="D4802" t="s">
        <v>41</v>
      </c>
      <c r="E4802" t="s">
        <v>42</v>
      </c>
      <c r="F4802" t="s">
        <v>28</v>
      </c>
      <c r="G4802">
        <v>8.5</v>
      </c>
      <c r="H4802">
        <v>6.2</v>
      </c>
      <c r="I4802" t="str" cm="1">
        <f t="array" ref="I4802">_xlfn.IFS(G4802&lt;3, "0–2 Years", G4802&lt;6, "3–5 Years", G4802&lt;9, "6–8 Years", G4802&lt;12, "9-11 Years", G4802&gt;=12, "12-14 Years")</f>
        <v>6–8 Years</v>
      </c>
      <c r="J4802">
        <v>4</v>
      </c>
      <c r="K4802" t="s">
        <v>24</v>
      </c>
      <c r="L4802">
        <v>53800</v>
      </c>
      <c r="M4802">
        <v>4400</v>
      </c>
      <c r="N4802">
        <v>58200</v>
      </c>
      <c r="O4802" t="s">
        <v>25</v>
      </c>
      <c r="P4802" s="3">
        <v>42910</v>
      </c>
      <c r="Q4802" t="s">
        <v>28</v>
      </c>
    </row>
    <row r="4803" spans="1:17" x14ac:dyDescent="0.35">
      <c r="A4803" t="s">
        <v>4855</v>
      </c>
      <c r="B4803" t="s">
        <v>16</v>
      </c>
      <c r="C4803">
        <v>33</v>
      </c>
      <c r="D4803" t="s">
        <v>41</v>
      </c>
      <c r="E4803" t="s">
        <v>67</v>
      </c>
      <c r="F4803" t="s">
        <v>36</v>
      </c>
      <c r="G4803">
        <v>10.3</v>
      </c>
      <c r="H4803">
        <v>5.2</v>
      </c>
      <c r="I4803" t="str" cm="1">
        <f t="array" ref="I4803">_xlfn.IFS(G4803&lt;3, "0–2 Years", G4803&lt;6, "3–5 Years", G4803&lt;9, "6–8 Years", G4803&lt;12, "9-11 Years", G4803&gt;=12, "12-14 Years")</f>
        <v>9-11 Years</v>
      </c>
      <c r="J4803">
        <v>3</v>
      </c>
      <c r="K4803" t="s">
        <v>20</v>
      </c>
      <c r="L4803">
        <v>86100</v>
      </c>
      <c r="M4803">
        <v>5900</v>
      </c>
      <c r="N4803">
        <v>92000</v>
      </c>
      <c r="O4803" t="s">
        <v>30</v>
      </c>
      <c r="P4803" s="3">
        <v>42279</v>
      </c>
      <c r="Q4803" t="s">
        <v>36</v>
      </c>
    </row>
    <row r="4804" spans="1:17" x14ac:dyDescent="0.35">
      <c r="A4804" t="s">
        <v>4856</v>
      </c>
      <c r="B4804" t="s">
        <v>16</v>
      </c>
      <c r="C4804" s="7">
        <v>43</v>
      </c>
      <c r="D4804" t="s">
        <v>17</v>
      </c>
      <c r="E4804" t="s">
        <v>18</v>
      </c>
      <c r="F4804" t="s">
        <v>28</v>
      </c>
      <c r="G4804" s="9">
        <v>12.6</v>
      </c>
      <c r="H4804" s="7">
        <v>8.4</v>
      </c>
      <c r="I4804" t="str" cm="1">
        <f t="array" ref="I4804">_xlfn.IFS(G4804&lt;3, "0–2 Years", G4804&lt;6, "3–5 Years", G4804&lt;9, "6–8 Years", G4804&lt;12, "9-11 Years", G4804&gt;=12, "12-14 Years")</f>
        <v>12-14 Years</v>
      </c>
      <c r="J4804" s="7">
        <v>3</v>
      </c>
      <c r="K4804" t="s">
        <v>20</v>
      </c>
      <c r="L4804" s="7">
        <v>107900</v>
      </c>
      <c r="M4804" s="7">
        <v>7200</v>
      </c>
      <c r="N4804" s="7">
        <v>115100</v>
      </c>
      <c r="O4804" t="s">
        <v>57</v>
      </c>
      <c r="P4804" s="3">
        <v>41438</v>
      </c>
      <c r="Q4804" t="s">
        <v>28</v>
      </c>
    </row>
    <row r="4805" spans="1:17" x14ac:dyDescent="0.35">
      <c r="A4805" t="s">
        <v>4857</v>
      </c>
      <c r="B4805" t="s">
        <v>16</v>
      </c>
      <c r="C4805" s="7">
        <v>45</v>
      </c>
      <c r="D4805" t="s">
        <v>55</v>
      </c>
      <c r="E4805" t="s">
        <v>56</v>
      </c>
      <c r="F4805" t="s">
        <v>28</v>
      </c>
      <c r="G4805" s="9">
        <v>12.3</v>
      </c>
      <c r="H4805" s="7">
        <v>7.7</v>
      </c>
      <c r="I4805" t="str" cm="1">
        <f t="array" ref="I4805">_xlfn.IFS(G4805&lt;3, "0–2 Years", G4805&lt;6, "3–5 Years", G4805&lt;9, "6–8 Years", G4805&lt;12, "9-11 Years", G4805&gt;=12, "12-14 Years")</f>
        <v>12-14 Years</v>
      </c>
      <c r="J4805" s="7">
        <v>3</v>
      </c>
      <c r="K4805" t="s">
        <v>20</v>
      </c>
      <c r="L4805" s="7">
        <v>95200</v>
      </c>
      <c r="M4805" s="7">
        <v>20000</v>
      </c>
      <c r="N4805" s="7">
        <v>115200</v>
      </c>
      <c r="O4805" t="s">
        <v>30</v>
      </c>
      <c r="P4805" s="3">
        <v>41545</v>
      </c>
      <c r="Q4805" t="s">
        <v>28</v>
      </c>
    </row>
    <row r="4806" spans="1:17" x14ac:dyDescent="0.35">
      <c r="A4806" t="s">
        <v>4858</v>
      </c>
      <c r="B4806" t="s">
        <v>23</v>
      </c>
      <c r="C4806">
        <v>28</v>
      </c>
      <c r="D4806" t="s">
        <v>17</v>
      </c>
      <c r="E4806" t="s">
        <v>18</v>
      </c>
      <c r="F4806" t="s">
        <v>36</v>
      </c>
      <c r="G4806">
        <v>11</v>
      </c>
      <c r="H4806">
        <v>9.4</v>
      </c>
      <c r="I4806" t="str" cm="1">
        <f t="array" ref="I4806">_xlfn.IFS(G4806&lt;3, "0–2 Years", G4806&lt;6, "3–5 Years", G4806&lt;9, "6–8 Years", G4806&lt;12, "9-11 Years", G4806&gt;=12, "12-14 Years")</f>
        <v>9-11 Years</v>
      </c>
      <c r="J4806">
        <v>3</v>
      </c>
      <c r="K4806" t="s">
        <v>20</v>
      </c>
      <c r="L4806">
        <v>100100</v>
      </c>
      <c r="M4806">
        <v>4800</v>
      </c>
      <c r="N4806">
        <v>104900</v>
      </c>
      <c r="O4806" t="s">
        <v>57</v>
      </c>
      <c r="P4806" s="3">
        <v>41992</v>
      </c>
      <c r="Q4806" t="s">
        <v>36</v>
      </c>
    </row>
    <row r="4807" spans="1:17" x14ac:dyDescent="0.35">
      <c r="A4807" t="s">
        <v>4859</v>
      </c>
      <c r="B4807" t="s">
        <v>16</v>
      </c>
      <c r="C4807">
        <v>33</v>
      </c>
      <c r="D4807" t="s">
        <v>38</v>
      </c>
      <c r="E4807" t="s">
        <v>39</v>
      </c>
      <c r="F4807" t="s">
        <v>28</v>
      </c>
      <c r="G4807">
        <v>6.4</v>
      </c>
      <c r="H4807">
        <v>6</v>
      </c>
      <c r="I4807" t="str" cm="1">
        <f t="array" ref="I4807">_xlfn.IFS(G4807&lt;3, "0–2 Years", G4807&lt;6, "3–5 Years", G4807&lt;9, "6–8 Years", G4807&lt;12, "9-11 Years", G4807&gt;=12, "12-14 Years")</f>
        <v>6–8 Years</v>
      </c>
      <c r="J4807">
        <v>3</v>
      </c>
      <c r="K4807" t="s">
        <v>20</v>
      </c>
      <c r="L4807">
        <v>70600</v>
      </c>
      <c r="M4807">
        <v>2600</v>
      </c>
      <c r="N4807">
        <v>73200</v>
      </c>
      <c r="O4807" t="s">
        <v>21</v>
      </c>
      <c r="P4807" s="3">
        <v>43684</v>
      </c>
      <c r="Q4807" t="s">
        <v>28</v>
      </c>
    </row>
    <row r="4808" spans="1:17" x14ac:dyDescent="0.35">
      <c r="A4808" t="s">
        <v>4860</v>
      </c>
      <c r="B4808" t="s">
        <v>23</v>
      </c>
      <c r="C4808">
        <v>50</v>
      </c>
      <c r="D4808" t="s">
        <v>44</v>
      </c>
      <c r="E4808" t="s">
        <v>51</v>
      </c>
      <c r="F4808" t="s">
        <v>19</v>
      </c>
      <c r="G4808">
        <v>5.0999999999999996</v>
      </c>
      <c r="H4808">
        <v>3</v>
      </c>
      <c r="I4808" t="str" cm="1">
        <f t="array" ref="I4808">_xlfn.IFS(G4808&lt;3, "0–2 Years", G4808&lt;6, "3–5 Years", G4808&lt;9, "6–8 Years", G4808&lt;12, "9-11 Years", G4808&gt;=12, "12-14 Years")</f>
        <v>3–5 Years</v>
      </c>
      <c r="J4808">
        <v>4</v>
      </c>
      <c r="K4808" t="s">
        <v>20</v>
      </c>
      <c r="L4808">
        <v>77300</v>
      </c>
      <c r="M4808">
        <v>10100</v>
      </c>
      <c r="N4808">
        <v>87400</v>
      </c>
      <c r="O4808" t="s">
        <v>21</v>
      </c>
      <c r="P4808" s="3">
        <v>44147</v>
      </c>
      <c r="Q4808" t="s">
        <v>19</v>
      </c>
    </row>
    <row r="4809" spans="1:17" x14ac:dyDescent="0.35">
      <c r="A4809" t="s">
        <v>4861</v>
      </c>
      <c r="B4809" t="s">
        <v>16</v>
      </c>
      <c r="C4809">
        <v>28</v>
      </c>
      <c r="D4809" t="s">
        <v>38</v>
      </c>
      <c r="E4809" t="s">
        <v>39</v>
      </c>
      <c r="F4809" t="s">
        <v>28</v>
      </c>
      <c r="G4809">
        <v>10.9</v>
      </c>
      <c r="H4809">
        <v>8.9</v>
      </c>
      <c r="I4809" t="str" cm="1">
        <f t="array" ref="I4809">_xlfn.IFS(G4809&lt;3, "0–2 Years", G4809&lt;6, "3–5 Years", G4809&lt;9, "6–8 Years", G4809&lt;12, "9-11 Years", G4809&gt;=12, "12-14 Years")</f>
        <v>9-11 Years</v>
      </c>
      <c r="J4809">
        <v>2</v>
      </c>
      <c r="K4809" t="s">
        <v>20</v>
      </c>
      <c r="L4809">
        <v>78000</v>
      </c>
      <c r="M4809">
        <v>4400</v>
      </c>
      <c r="N4809">
        <v>82400</v>
      </c>
      <c r="O4809" t="s">
        <v>21</v>
      </c>
      <c r="P4809" s="3">
        <v>42032</v>
      </c>
      <c r="Q4809" t="s">
        <v>28</v>
      </c>
    </row>
    <row r="4810" spans="1:17" x14ac:dyDescent="0.35">
      <c r="A4810" t="s">
        <v>4862</v>
      </c>
      <c r="B4810" t="s">
        <v>16</v>
      </c>
      <c r="C4810" s="7">
        <v>42</v>
      </c>
      <c r="D4810" t="s">
        <v>41</v>
      </c>
      <c r="E4810" t="s">
        <v>73</v>
      </c>
      <c r="F4810" t="s">
        <v>28</v>
      </c>
      <c r="G4810" s="9">
        <v>13.1</v>
      </c>
      <c r="H4810" s="7">
        <v>6.7</v>
      </c>
      <c r="I4810" t="str" cm="1">
        <f t="array" ref="I4810">_xlfn.IFS(G4810&lt;3, "0–2 Years", G4810&lt;6, "3–5 Years", G4810&lt;9, "6–8 Years", G4810&lt;12, "9-11 Years", G4810&gt;=12, "12-14 Years")</f>
        <v>12-14 Years</v>
      </c>
      <c r="J4810" s="7">
        <v>2</v>
      </c>
      <c r="K4810" t="s">
        <v>24</v>
      </c>
      <c r="L4810" s="7">
        <v>67300</v>
      </c>
      <c r="M4810" s="7">
        <v>4100</v>
      </c>
      <c r="N4810" s="7">
        <v>71400</v>
      </c>
      <c r="O4810" t="s">
        <v>21</v>
      </c>
      <c r="P4810" s="3">
        <v>41251</v>
      </c>
      <c r="Q4810" t="s">
        <v>28</v>
      </c>
    </row>
    <row r="4811" spans="1:17" x14ac:dyDescent="0.35">
      <c r="A4811" t="s">
        <v>4863</v>
      </c>
      <c r="B4811" t="s">
        <v>23</v>
      </c>
      <c r="C4811">
        <v>37</v>
      </c>
      <c r="D4811" t="s">
        <v>41</v>
      </c>
      <c r="E4811" t="s">
        <v>42</v>
      </c>
      <c r="F4811" t="s">
        <v>36</v>
      </c>
      <c r="G4811">
        <v>11.1</v>
      </c>
      <c r="H4811">
        <v>6.4</v>
      </c>
      <c r="I4811" t="str" cm="1">
        <f t="array" ref="I4811">_xlfn.IFS(G4811&lt;3, "0–2 Years", G4811&lt;6, "3–5 Years", G4811&lt;9, "6–8 Years", G4811&lt;12, "9-11 Years", G4811&gt;=12, "12-14 Years")</f>
        <v>9-11 Years</v>
      </c>
      <c r="J4811">
        <v>3</v>
      </c>
      <c r="K4811" t="s">
        <v>69</v>
      </c>
      <c r="L4811">
        <v>73500</v>
      </c>
      <c r="M4811">
        <v>6100</v>
      </c>
      <c r="N4811">
        <v>79600</v>
      </c>
      <c r="O4811" t="s">
        <v>21</v>
      </c>
      <c r="P4811" s="3">
        <v>41966</v>
      </c>
      <c r="Q4811" t="s">
        <v>36</v>
      </c>
    </row>
    <row r="4812" spans="1:17" x14ac:dyDescent="0.35">
      <c r="A4812" t="s">
        <v>4864</v>
      </c>
      <c r="B4812" t="s">
        <v>16</v>
      </c>
      <c r="C4812">
        <v>30</v>
      </c>
      <c r="D4812" t="s">
        <v>38</v>
      </c>
      <c r="E4812" t="s">
        <v>39</v>
      </c>
      <c r="F4812" t="s">
        <v>19</v>
      </c>
      <c r="G4812">
        <v>8</v>
      </c>
      <c r="H4812">
        <v>5.4</v>
      </c>
      <c r="I4812" t="str" cm="1">
        <f t="array" ref="I4812">_xlfn.IFS(G4812&lt;3, "0–2 Years", G4812&lt;6, "3–5 Years", G4812&lt;9, "6–8 Years", G4812&lt;12, "9-11 Years", G4812&gt;=12, "12-14 Years")</f>
        <v>6–8 Years</v>
      </c>
      <c r="J4812">
        <v>4</v>
      </c>
      <c r="K4812" t="s">
        <v>20</v>
      </c>
      <c r="L4812">
        <v>74700</v>
      </c>
      <c r="M4812">
        <v>4100</v>
      </c>
      <c r="N4812">
        <v>78800</v>
      </c>
      <c r="O4812" t="s">
        <v>21</v>
      </c>
      <c r="P4812" s="3">
        <v>43096</v>
      </c>
      <c r="Q4812" t="s">
        <v>19</v>
      </c>
    </row>
    <row r="4813" spans="1:17" x14ac:dyDescent="0.35">
      <c r="A4813" t="s">
        <v>4865</v>
      </c>
      <c r="B4813" t="s">
        <v>16</v>
      </c>
      <c r="C4813">
        <v>29</v>
      </c>
      <c r="D4813" t="s">
        <v>34</v>
      </c>
      <c r="E4813" t="s">
        <v>47</v>
      </c>
      <c r="F4813" t="s">
        <v>28</v>
      </c>
      <c r="G4813">
        <v>1.6</v>
      </c>
      <c r="H4813">
        <v>0</v>
      </c>
      <c r="I4813" t="str" cm="1">
        <f t="array" ref="I4813">_xlfn.IFS(G4813&lt;3, "0–2 Years", G4813&lt;6, "3–5 Years", G4813&lt;9, "6–8 Years", G4813&lt;12, "9-11 Years", G4813&gt;=12, "12-14 Years")</f>
        <v>0–2 Years</v>
      </c>
      <c r="J4813">
        <v>3</v>
      </c>
      <c r="K4813" t="s">
        <v>20</v>
      </c>
      <c r="L4813">
        <v>66000</v>
      </c>
      <c r="M4813">
        <v>2700</v>
      </c>
      <c r="N4813">
        <v>68700</v>
      </c>
      <c r="O4813" t="s">
        <v>21</v>
      </c>
      <c r="P4813" s="3">
        <v>45442</v>
      </c>
      <c r="Q4813" t="s">
        <v>28</v>
      </c>
    </row>
    <row r="4814" spans="1:17" x14ac:dyDescent="0.35">
      <c r="A4814" t="s">
        <v>4866</v>
      </c>
      <c r="B4814" t="s">
        <v>16</v>
      </c>
      <c r="C4814">
        <v>45</v>
      </c>
      <c r="D4814" t="s">
        <v>34</v>
      </c>
      <c r="E4814" t="s">
        <v>59</v>
      </c>
      <c r="F4814" t="s">
        <v>19</v>
      </c>
      <c r="G4814">
        <v>10.6</v>
      </c>
      <c r="H4814">
        <v>6.5</v>
      </c>
      <c r="I4814" t="str" cm="1">
        <f t="array" ref="I4814">_xlfn.IFS(G4814&lt;3, "0–2 Years", G4814&lt;6, "3–5 Years", G4814&lt;9, "6–8 Years", G4814&lt;12, "9-11 Years", G4814&gt;=12, "12-14 Years")</f>
        <v>9-11 Years</v>
      </c>
      <c r="J4814">
        <v>4</v>
      </c>
      <c r="K4814" t="s">
        <v>20</v>
      </c>
      <c r="L4814">
        <v>115800</v>
      </c>
      <c r="M4814">
        <v>7200</v>
      </c>
      <c r="N4814">
        <v>123000</v>
      </c>
      <c r="O4814" t="s">
        <v>57</v>
      </c>
      <c r="P4814" s="3">
        <v>42166</v>
      </c>
      <c r="Q4814" t="s">
        <v>19</v>
      </c>
    </row>
    <row r="4815" spans="1:17" x14ac:dyDescent="0.35">
      <c r="A4815" t="s">
        <v>4867</v>
      </c>
      <c r="B4815" t="s">
        <v>16</v>
      </c>
      <c r="C4815">
        <v>22</v>
      </c>
      <c r="D4815" t="s">
        <v>55</v>
      </c>
      <c r="E4815" t="s">
        <v>79</v>
      </c>
      <c r="F4815" t="s">
        <v>19</v>
      </c>
      <c r="G4815">
        <v>9.4</v>
      </c>
      <c r="H4815">
        <v>6</v>
      </c>
      <c r="I4815" t="str" cm="1">
        <f t="array" ref="I4815">_xlfn.IFS(G4815&lt;3, "0–2 Years", G4815&lt;6, "3–5 Years", G4815&lt;9, "6–8 Years", G4815&lt;12, "9-11 Years", G4815&gt;=12, "12-14 Years")</f>
        <v>9-11 Years</v>
      </c>
      <c r="J4815">
        <v>3</v>
      </c>
      <c r="K4815" t="s">
        <v>20</v>
      </c>
      <c r="L4815">
        <v>61100</v>
      </c>
      <c r="M4815">
        <v>10000</v>
      </c>
      <c r="N4815">
        <v>71100</v>
      </c>
      <c r="O4815" t="s">
        <v>25</v>
      </c>
      <c r="P4815" s="3">
        <v>42599</v>
      </c>
      <c r="Q4815" t="s">
        <v>19</v>
      </c>
    </row>
    <row r="4816" spans="1:17" x14ac:dyDescent="0.35">
      <c r="A4816" t="s">
        <v>4868</v>
      </c>
      <c r="B4816" t="s">
        <v>23</v>
      </c>
      <c r="C4816">
        <v>47</v>
      </c>
      <c r="D4816" t="s">
        <v>17</v>
      </c>
      <c r="E4816" t="s">
        <v>27</v>
      </c>
      <c r="F4816" t="s">
        <v>36</v>
      </c>
      <c r="G4816">
        <v>7</v>
      </c>
      <c r="H4816">
        <v>3.6</v>
      </c>
      <c r="I4816" t="str" cm="1">
        <f t="array" ref="I4816">_xlfn.IFS(G4816&lt;3, "0–2 Years", G4816&lt;6, "3–5 Years", G4816&lt;9, "6–8 Years", G4816&lt;12, "9-11 Years", G4816&gt;=12, "12-14 Years")</f>
        <v>6–8 Years</v>
      </c>
      <c r="J4816">
        <v>4</v>
      </c>
      <c r="K4816" t="s">
        <v>20</v>
      </c>
      <c r="L4816">
        <v>83800</v>
      </c>
      <c r="M4816">
        <v>11100</v>
      </c>
      <c r="N4816">
        <v>94900</v>
      </c>
      <c r="O4816" t="s">
        <v>30</v>
      </c>
      <c r="P4816" s="3">
        <v>43480</v>
      </c>
      <c r="Q4816" t="s">
        <v>36</v>
      </c>
    </row>
    <row r="4817" spans="1:17" x14ac:dyDescent="0.35">
      <c r="A4817" t="s">
        <v>4869</v>
      </c>
      <c r="B4817" t="s">
        <v>23</v>
      </c>
      <c r="C4817">
        <v>34</v>
      </c>
      <c r="D4817" t="s">
        <v>44</v>
      </c>
      <c r="E4817" t="s">
        <v>51</v>
      </c>
      <c r="F4817" t="s">
        <v>28</v>
      </c>
      <c r="G4817">
        <v>10.9</v>
      </c>
      <c r="H4817">
        <v>5.9</v>
      </c>
      <c r="I4817" t="str" cm="1">
        <f t="array" ref="I4817">_xlfn.IFS(G4817&lt;3, "0–2 Years", G4817&lt;6, "3–5 Years", G4817&lt;9, "6–8 Years", G4817&lt;12, "9-11 Years", G4817&gt;=12, "12-14 Years")</f>
        <v>9-11 Years</v>
      </c>
      <c r="J4817">
        <v>2</v>
      </c>
      <c r="K4817" t="s">
        <v>20</v>
      </c>
      <c r="L4817">
        <v>85700</v>
      </c>
      <c r="M4817">
        <v>8300</v>
      </c>
      <c r="N4817">
        <v>94000</v>
      </c>
      <c r="O4817" t="s">
        <v>30</v>
      </c>
      <c r="P4817" s="3">
        <v>42030</v>
      </c>
      <c r="Q4817" t="s">
        <v>28</v>
      </c>
    </row>
    <row r="4818" spans="1:17" x14ac:dyDescent="0.35">
      <c r="A4818" t="s">
        <v>4870</v>
      </c>
      <c r="B4818" t="s">
        <v>23</v>
      </c>
      <c r="C4818">
        <v>29</v>
      </c>
      <c r="D4818" t="s">
        <v>44</v>
      </c>
      <c r="E4818" t="s">
        <v>51</v>
      </c>
      <c r="F4818" t="s">
        <v>36</v>
      </c>
      <c r="G4818">
        <v>6.7</v>
      </c>
      <c r="H4818">
        <v>4.3</v>
      </c>
      <c r="I4818" t="str" cm="1">
        <f t="array" ref="I4818">_xlfn.IFS(G4818&lt;3, "0–2 Years", G4818&lt;6, "3–5 Years", G4818&lt;9, "6–8 Years", G4818&lt;12, "9-11 Years", G4818&gt;=12, "12-14 Years")</f>
        <v>6–8 Years</v>
      </c>
      <c r="J4818">
        <v>5</v>
      </c>
      <c r="K4818" t="s">
        <v>20</v>
      </c>
      <c r="L4818">
        <v>88900</v>
      </c>
      <c r="M4818">
        <v>9700</v>
      </c>
      <c r="N4818">
        <v>98600</v>
      </c>
      <c r="O4818" t="s">
        <v>30</v>
      </c>
      <c r="P4818" s="3">
        <v>43586</v>
      </c>
      <c r="Q4818" t="s">
        <v>36</v>
      </c>
    </row>
    <row r="4819" spans="1:17" x14ac:dyDescent="0.35">
      <c r="A4819" t="s">
        <v>4871</v>
      </c>
      <c r="B4819" t="s">
        <v>23</v>
      </c>
      <c r="C4819">
        <v>34</v>
      </c>
      <c r="D4819" t="s">
        <v>41</v>
      </c>
      <c r="E4819" t="s">
        <v>73</v>
      </c>
      <c r="F4819" t="s">
        <v>36</v>
      </c>
      <c r="G4819">
        <v>3.8</v>
      </c>
      <c r="H4819">
        <v>3.8</v>
      </c>
      <c r="I4819" t="str" cm="1">
        <f t="array" ref="I4819">_xlfn.IFS(G4819&lt;3, "0–2 Years", G4819&lt;6, "3–5 Years", G4819&lt;9, "6–8 Years", G4819&lt;12, "9-11 Years", G4819&gt;=12, "12-14 Years")</f>
        <v>3–5 Years</v>
      </c>
      <c r="J4819">
        <v>3</v>
      </c>
      <c r="K4819" t="s">
        <v>20</v>
      </c>
      <c r="L4819">
        <v>105500</v>
      </c>
      <c r="M4819">
        <v>4600</v>
      </c>
      <c r="N4819">
        <v>110100</v>
      </c>
      <c r="O4819" t="s">
        <v>57</v>
      </c>
      <c r="P4819" s="3">
        <v>44642</v>
      </c>
      <c r="Q4819" t="s">
        <v>36</v>
      </c>
    </row>
    <row r="4820" spans="1:17" x14ac:dyDescent="0.35">
      <c r="A4820" t="s">
        <v>4872</v>
      </c>
      <c r="B4820" t="s">
        <v>16</v>
      </c>
      <c r="C4820">
        <v>33</v>
      </c>
      <c r="D4820" t="s">
        <v>41</v>
      </c>
      <c r="E4820" t="s">
        <v>42</v>
      </c>
      <c r="F4820" t="s">
        <v>36</v>
      </c>
      <c r="G4820">
        <v>1.1000000000000001</v>
      </c>
      <c r="H4820">
        <v>0.3</v>
      </c>
      <c r="I4820" t="str" cm="1">
        <f t="array" ref="I4820">_xlfn.IFS(G4820&lt;3, "0–2 Years", G4820&lt;6, "3–5 Years", G4820&lt;9, "6–8 Years", G4820&lt;12, "9-11 Years", G4820&gt;=12, "12-14 Years")</f>
        <v>0–2 Years</v>
      </c>
      <c r="J4820">
        <v>4</v>
      </c>
      <c r="K4820" t="s">
        <v>20</v>
      </c>
      <c r="L4820">
        <v>86100</v>
      </c>
      <c r="M4820">
        <v>6700</v>
      </c>
      <c r="N4820">
        <v>92800</v>
      </c>
      <c r="O4820" t="s">
        <v>30</v>
      </c>
      <c r="P4820" s="3">
        <v>45631</v>
      </c>
      <c r="Q4820" t="s">
        <v>36</v>
      </c>
    </row>
    <row r="4821" spans="1:17" x14ac:dyDescent="0.35">
      <c r="A4821" t="s">
        <v>4873</v>
      </c>
      <c r="B4821" t="s">
        <v>23</v>
      </c>
      <c r="C4821">
        <v>34</v>
      </c>
      <c r="D4821" t="s">
        <v>34</v>
      </c>
      <c r="E4821" t="s">
        <v>47</v>
      </c>
      <c r="F4821" t="s">
        <v>28</v>
      </c>
      <c r="G4821">
        <v>5</v>
      </c>
      <c r="H4821">
        <v>2.9</v>
      </c>
      <c r="I4821" t="str" cm="1">
        <f t="array" ref="I4821">_xlfn.IFS(G4821&lt;3, "0–2 Years", G4821&lt;6, "3–5 Years", G4821&lt;9, "6–8 Years", G4821&lt;12, "9-11 Years", G4821&gt;=12, "12-14 Years")</f>
        <v>3–5 Years</v>
      </c>
      <c r="J4821">
        <v>3</v>
      </c>
      <c r="K4821" t="s">
        <v>20</v>
      </c>
      <c r="L4821">
        <v>78200</v>
      </c>
      <c r="M4821">
        <v>8900</v>
      </c>
      <c r="N4821">
        <v>87100</v>
      </c>
      <c r="O4821" t="s">
        <v>21</v>
      </c>
      <c r="P4821" s="3">
        <v>44188</v>
      </c>
      <c r="Q4821" t="s">
        <v>28</v>
      </c>
    </row>
    <row r="4822" spans="1:17" x14ac:dyDescent="0.35">
      <c r="A4822" t="s">
        <v>4874</v>
      </c>
      <c r="B4822" t="s">
        <v>23</v>
      </c>
      <c r="C4822" s="7">
        <v>39</v>
      </c>
      <c r="D4822" t="s">
        <v>55</v>
      </c>
      <c r="E4822" t="s">
        <v>92</v>
      </c>
      <c r="F4822" t="s">
        <v>28</v>
      </c>
      <c r="G4822" s="9">
        <v>13.8</v>
      </c>
      <c r="H4822" s="7">
        <v>8.8000000000000007</v>
      </c>
      <c r="I4822" t="str" cm="1">
        <f t="array" ref="I4822">_xlfn.IFS(G4822&lt;3, "0–2 Years", G4822&lt;6, "3–5 Years", G4822&lt;9, "6–8 Years", G4822&lt;12, "9-11 Years", G4822&gt;=12, "12-14 Years")</f>
        <v>12-14 Years</v>
      </c>
      <c r="J4822" s="7">
        <v>3</v>
      </c>
      <c r="K4822" t="s">
        <v>20</v>
      </c>
      <c r="L4822" s="7">
        <v>113700</v>
      </c>
      <c r="M4822" s="7">
        <v>11100</v>
      </c>
      <c r="N4822" s="7">
        <v>124800</v>
      </c>
      <c r="O4822" t="s">
        <v>57</v>
      </c>
      <c r="P4822" s="3">
        <v>40985</v>
      </c>
      <c r="Q4822" t="s">
        <v>28</v>
      </c>
    </row>
    <row r="4823" spans="1:17" x14ac:dyDescent="0.35">
      <c r="A4823" t="s">
        <v>4875</v>
      </c>
      <c r="B4823" t="s">
        <v>23</v>
      </c>
      <c r="C4823">
        <v>34</v>
      </c>
      <c r="D4823" t="s">
        <v>17</v>
      </c>
      <c r="E4823" t="s">
        <v>32</v>
      </c>
      <c r="F4823" t="s">
        <v>36</v>
      </c>
      <c r="G4823">
        <v>9.4</v>
      </c>
      <c r="H4823">
        <v>4.5</v>
      </c>
      <c r="I4823" t="str" cm="1">
        <f t="array" ref="I4823">_xlfn.IFS(G4823&lt;3, "0–2 Years", G4823&lt;6, "3–5 Years", G4823&lt;9, "6–8 Years", G4823&lt;12, "9-11 Years", G4823&gt;=12, "12-14 Years")</f>
        <v>9-11 Years</v>
      </c>
      <c r="J4823">
        <v>3</v>
      </c>
      <c r="K4823" t="s">
        <v>69</v>
      </c>
      <c r="L4823">
        <v>60200</v>
      </c>
      <c r="M4823">
        <v>3700</v>
      </c>
      <c r="N4823">
        <v>63900</v>
      </c>
      <c r="O4823" t="s">
        <v>25</v>
      </c>
      <c r="P4823" s="3">
        <v>42604</v>
      </c>
      <c r="Q4823" t="s">
        <v>36</v>
      </c>
    </row>
    <row r="4824" spans="1:17" x14ac:dyDescent="0.35">
      <c r="A4824" t="s">
        <v>4876</v>
      </c>
      <c r="B4824" t="s">
        <v>16</v>
      </c>
      <c r="C4824">
        <v>27</v>
      </c>
      <c r="D4824" t="s">
        <v>44</v>
      </c>
      <c r="E4824" t="s">
        <v>76</v>
      </c>
      <c r="F4824" t="s">
        <v>28</v>
      </c>
      <c r="G4824">
        <v>2.2000000000000002</v>
      </c>
      <c r="H4824">
        <v>1.4</v>
      </c>
      <c r="I4824" t="str" cm="1">
        <f t="array" ref="I4824">_xlfn.IFS(G4824&lt;3, "0–2 Years", G4824&lt;6, "3–5 Years", G4824&lt;9, "6–8 Years", G4824&lt;12, "9-11 Years", G4824&gt;=12, "12-14 Years")</f>
        <v>0–2 Years</v>
      </c>
      <c r="J4824">
        <v>3</v>
      </c>
      <c r="K4824" t="s">
        <v>20</v>
      </c>
      <c r="L4824">
        <v>106200</v>
      </c>
      <c r="M4824">
        <v>12400</v>
      </c>
      <c r="N4824">
        <v>118600</v>
      </c>
      <c r="O4824" t="s">
        <v>57</v>
      </c>
      <c r="P4824" s="3">
        <v>45219</v>
      </c>
      <c r="Q4824" t="s">
        <v>28</v>
      </c>
    </row>
    <row r="4825" spans="1:17" x14ac:dyDescent="0.35">
      <c r="A4825" t="s">
        <v>4877</v>
      </c>
      <c r="B4825" t="s">
        <v>23</v>
      </c>
      <c r="C4825">
        <v>31</v>
      </c>
      <c r="D4825" t="s">
        <v>17</v>
      </c>
      <c r="E4825" t="s">
        <v>32</v>
      </c>
      <c r="F4825" t="s">
        <v>28</v>
      </c>
      <c r="G4825">
        <v>10.1</v>
      </c>
      <c r="H4825">
        <v>6.7</v>
      </c>
      <c r="I4825" t="str" cm="1">
        <f t="array" ref="I4825">_xlfn.IFS(G4825&lt;3, "0–2 Years", G4825&lt;6, "3–5 Years", G4825&lt;9, "6–8 Years", G4825&lt;12, "9-11 Years", G4825&gt;=12, "12-14 Years")</f>
        <v>9-11 Years</v>
      </c>
      <c r="J4825">
        <v>4</v>
      </c>
      <c r="K4825" t="s">
        <v>20</v>
      </c>
      <c r="L4825">
        <v>65100</v>
      </c>
      <c r="M4825">
        <v>6800</v>
      </c>
      <c r="N4825">
        <v>71900</v>
      </c>
      <c r="O4825" t="s">
        <v>21</v>
      </c>
      <c r="P4825" s="3">
        <v>42352</v>
      </c>
      <c r="Q4825" t="s">
        <v>28</v>
      </c>
    </row>
    <row r="4826" spans="1:17" x14ac:dyDescent="0.35">
      <c r="A4826" t="s">
        <v>4878</v>
      </c>
      <c r="B4826" t="s">
        <v>23</v>
      </c>
      <c r="C4826">
        <v>26</v>
      </c>
      <c r="D4826" t="s">
        <v>44</v>
      </c>
      <c r="E4826" t="s">
        <v>81</v>
      </c>
      <c r="F4826" t="s">
        <v>36</v>
      </c>
      <c r="G4826">
        <v>7.1</v>
      </c>
      <c r="H4826">
        <v>5.8</v>
      </c>
      <c r="I4826" t="str" cm="1">
        <f t="array" ref="I4826">_xlfn.IFS(G4826&lt;3, "0–2 Years", G4826&lt;6, "3–5 Years", G4826&lt;9, "6–8 Years", G4826&lt;12, "9-11 Years", G4826&gt;=12, "12-14 Years")</f>
        <v>6–8 Years</v>
      </c>
      <c r="J4826">
        <v>4</v>
      </c>
      <c r="K4826" t="s">
        <v>20</v>
      </c>
      <c r="L4826">
        <v>100100</v>
      </c>
      <c r="M4826">
        <v>10900</v>
      </c>
      <c r="N4826">
        <v>111000</v>
      </c>
      <c r="O4826" t="s">
        <v>57</v>
      </c>
      <c r="P4826" s="3">
        <v>43442</v>
      </c>
      <c r="Q4826" t="s">
        <v>36</v>
      </c>
    </row>
    <row r="4827" spans="1:17" x14ac:dyDescent="0.35">
      <c r="A4827" t="s">
        <v>4879</v>
      </c>
      <c r="B4827" t="s">
        <v>23</v>
      </c>
      <c r="C4827">
        <v>30</v>
      </c>
      <c r="D4827" t="s">
        <v>44</v>
      </c>
      <c r="E4827" t="s">
        <v>81</v>
      </c>
      <c r="F4827" t="s">
        <v>19</v>
      </c>
      <c r="G4827">
        <v>4.2</v>
      </c>
      <c r="H4827">
        <v>4</v>
      </c>
      <c r="I4827" t="str" cm="1">
        <f t="array" ref="I4827">_xlfn.IFS(G4827&lt;3, "0–2 Years", G4827&lt;6, "3–5 Years", G4827&lt;9, "6–8 Years", G4827&lt;12, "9-11 Years", G4827&gt;=12, "12-14 Years")</f>
        <v>3–5 Years</v>
      </c>
      <c r="J4827">
        <v>3</v>
      </c>
      <c r="K4827" t="s">
        <v>20</v>
      </c>
      <c r="L4827">
        <v>86300</v>
      </c>
      <c r="M4827">
        <v>4500</v>
      </c>
      <c r="N4827">
        <v>90800</v>
      </c>
      <c r="O4827" t="s">
        <v>30</v>
      </c>
      <c r="P4827" s="3">
        <v>44501</v>
      </c>
      <c r="Q4827" t="s">
        <v>19</v>
      </c>
    </row>
    <row r="4828" spans="1:17" x14ac:dyDescent="0.35">
      <c r="A4828" t="s">
        <v>4880</v>
      </c>
      <c r="B4828" t="s">
        <v>23</v>
      </c>
      <c r="C4828" s="7">
        <v>35</v>
      </c>
      <c r="D4828" t="s">
        <v>38</v>
      </c>
      <c r="E4828" t="s">
        <v>112</v>
      </c>
      <c r="F4828" t="s">
        <v>36</v>
      </c>
      <c r="G4828" s="9">
        <v>13.7</v>
      </c>
      <c r="H4828" s="7">
        <v>8.9</v>
      </c>
      <c r="I4828" t="str" cm="1">
        <f t="array" ref="I4828">_xlfn.IFS(G4828&lt;3, "0–2 Years", G4828&lt;6, "3–5 Years", G4828&lt;9, "6–8 Years", G4828&lt;12, "9-11 Years", G4828&gt;=12, "12-14 Years")</f>
        <v>12-14 Years</v>
      </c>
      <c r="J4828" s="7">
        <v>4</v>
      </c>
      <c r="K4828" t="s">
        <v>69</v>
      </c>
      <c r="L4828" s="7">
        <v>64400</v>
      </c>
      <c r="M4828" s="7">
        <v>5900</v>
      </c>
      <c r="N4828" s="7">
        <v>70300</v>
      </c>
      <c r="O4828" t="s">
        <v>25</v>
      </c>
      <c r="P4828" s="3">
        <v>41007</v>
      </c>
      <c r="Q4828" t="s">
        <v>36</v>
      </c>
    </row>
    <row r="4829" spans="1:17" x14ac:dyDescent="0.35">
      <c r="A4829" t="s">
        <v>4881</v>
      </c>
      <c r="B4829" t="s">
        <v>23</v>
      </c>
      <c r="C4829">
        <v>33</v>
      </c>
      <c r="D4829" t="s">
        <v>55</v>
      </c>
      <c r="E4829" t="s">
        <v>79</v>
      </c>
      <c r="F4829" t="s">
        <v>36</v>
      </c>
      <c r="G4829">
        <v>6.3</v>
      </c>
      <c r="H4829">
        <v>2.5</v>
      </c>
      <c r="I4829" t="str" cm="1">
        <f t="array" ref="I4829">_xlfn.IFS(G4829&lt;3, "0–2 Years", G4829&lt;6, "3–5 Years", G4829&lt;9, "6–8 Years", G4829&lt;12, "9-11 Years", G4829&gt;=12, "12-14 Years")</f>
        <v>6–8 Years</v>
      </c>
      <c r="J4829">
        <v>3</v>
      </c>
      <c r="K4829" t="s">
        <v>69</v>
      </c>
      <c r="L4829">
        <v>55700</v>
      </c>
      <c r="M4829">
        <v>11600</v>
      </c>
      <c r="N4829">
        <v>67300</v>
      </c>
      <c r="O4829" t="s">
        <v>25</v>
      </c>
      <c r="P4829" s="3">
        <v>43733</v>
      </c>
      <c r="Q4829" t="s">
        <v>36</v>
      </c>
    </row>
    <row r="4830" spans="1:17" x14ac:dyDescent="0.35">
      <c r="A4830" t="s">
        <v>4882</v>
      </c>
      <c r="B4830" t="s">
        <v>23</v>
      </c>
      <c r="C4830">
        <v>40</v>
      </c>
      <c r="D4830" t="s">
        <v>44</v>
      </c>
      <c r="E4830" t="s">
        <v>76</v>
      </c>
      <c r="F4830" t="s">
        <v>28</v>
      </c>
      <c r="G4830">
        <v>10.8</v>
      </c>
      <c r="H4830">
        <v>9</v>
      </c>
      <c r="I4830" t="str" cm="1">
        <f t="array" ref="I4830">_xlfn.IFS(G4830&lt;3, "0–2 Years", G4830&lt;6, "3–5 Years", G4830&lt;9, "6–8 Years", G4830&lt;12, "9-11 Years", G4830&gt;=12, "12-14 Years")</f>
        <v>9-11 Years</v>
      </c>
      <c r="J4830">
        <v>3</v>
      </c>
      <c r="K4830" t="s">
        <v>69</v>
      </c>
      <c r="L4830">
        <v>97600</v>
      </c>
      <c r="M4830">
        <v>6200</v>
      </c>
      <c r="N4830">
        <v>103800</v>
      </c>
      <c r="O4830" t="s">
        <v>30</v>
      </c>
      <c r="P4830" s="3">
        <v>42064</v>
      </c>
      <c r="Q4830" t="s">
        <v>28</v>
      </c>
    </row>
    <row r="4831" spans="1:17" x14ac:dyDescent="0.35">
      <c r="A4831" t="s">
        <v>4883</v>
      </c>
      <c r="B4831" t="s">
        <v>23</v>
      </c>
      <c r="C4831">
        <v>31</v>
      </c>
      <c r="D4831" t="s">
        <v>17</v>
      </c>
      <c r="E4831" t="s">
        <v>32</v>
      </c>
      <c r="F4831" t="s">
        <v>19</v>
      </c>
      <c r="G4831">
        <v>4.7</v>
      </c>
      <c r="H4831">
        <v>1.3</v>
      </c>
      <c r="I4831" t="str" cm="1">
        <f t="array" ref="I4831">_xlfn.IFS(G4831&lt;3, "0–2 Years", G4831&lt;6, "3–5 Years", G4831&lt;9, "6–8 Years", G4831&lt;12, "9-11 Years", G4831&gt;=12, "12-14 Years")</f>
        <v>3–5 Years</v>
      </c>
      <c r="J4831">
        <v>3</v>
      </c>
      <c r="K4831" t="s">
        <v>20</v>
      </c>
      <c r="L4831">
        <v>68900</v>
      </c>
      <c r="M4831">
        <v>7600</v>
      </c>
      <c r="N4831">
        <v>76500</v>
      </c>
      <c r="O4831" t="s">
        <v>21</v>
      </c>
      <c r="P4831" s="3">
        <v>44316</v>
      </c>
      <c r="Q4831" t="s">
        <v>19</v>
      </c>
    </row>
    <row r="4832" spans="1:17" x14ac:dyDescent="0.35">
      <c r="A4832" t="s">
        <v>4884</v>
      </c>
      <c r="B4832" t="s">
        <v>16</v>
      </c>
      <c r="C4832">
        <v>33</v>
      </c>
      <c r="D4832" t="s">
        <v>44</v>
      </c>
      <c r="E4832" t="s">
        <v>51</v>
      </c>
      <c r="F4832" t="s">
        <v>19</v>
      </c>
      <c r="G4832">
        <v>1.2</v>
      </c>
      <c r="H4832">
        <v>0.9</v>
      </c>
      <c r="I4832" t="str" cm="1">
        <f t="array" ref="I4832">_xlfn.IFS(G4832&lt;3, "0–2 Years", G4832&lt;6, "3–5 Years", G4832&lt;9, "6–8 Years", G4832&lt;12, "9-11 Years", G4832&gt;=12, "12-14 Years")</f>
        <v>0–2 Years</v>
      </c>
      <c r="J4832">
        <v>3</v>
      </c>
      <c r="K4832" t="s">
        <v>20</v>
      </c>
      <c r="L4832">
        <v>65300</v>
      </c>
      <c r="M4832">
        <v>9100</v>
      </c>
      <c r="N4832">
        <v>74400</v>
      </c>
      <c r="O4832" t="s">
        <v>21</v>
      </c>
      <c r="P4832" s="3">
        <v>45596</v>
      </c>
      <c r="Q4832" t="s">
        <v>19</v>
      </c>
    </row>
    <row r="4833" spans="1:17" x14ac:dyDescent="0.35">
      <c r="A4833" t="s">
        <v>4885</v>
      </c>
      <c r="B4833" t="s">
        <v>23</v>
      </c>
      <c r="C4833">
        <v>34</v>
      </c>
      <c r="D4833" t="s">
        <v>34</v>
      </c>
      <c r="E4833" t="s">
        <v>35</v>
      </c>
      <c r="F4833" t="s">
        <v>28</v>
      </c>
      <c r="G4833">
        <v>1.9</v>
      </c>
      <c r="H4833">
        <v>0</v>
      </c>
      <c r="I4833" t="str" cm="1">
        <f t="array" ref="I4833">_xlfn.IFS(G4833&lt;3, "0–2 Years", G4833&lt;6, "3–5 Years", G4833&lt;9, "6–8 Years", G4833&lt;12, "9-11 Years", G4833&gt;=12, "12-14 Years")</f>
        <v>0–2 Years</v>
      </c>
      <c r="J4833">
        <v>5</v>
      </c>
      <c r="K4833" t="s">
        <v>20</v>
      </c>
      <c r="L4833">
        <v>80000</v>
      </c>
      <c r="M4833">
        <v>4300</v>
      </c>
      <c r="N4833">
        <v>84300</v>
      </c>
      <c r="O4833" t="s">
        <v>30</v>
      </c>
      <c r="P4833" s="3">
        <v>45337</v>
      </c>
      <c r="Q4833" t="s">
        <v>28</v>
      </c>
    </row>
    <row r="4834" spans="1:17" x14ac:dyDescent="0.35">
      <c r="A4834" t="s">
        <v>4886</v>
      </c>
      <c r="B4834" t="s">
        <v>16</v>
      </c>
      <c r="C4834">
        <v>44</v>
      </c>
      <c r="D4834" t="s">
        <v>17</v>
      </c>
      <c r="E4834" t="s">
        <v>32</v>
      </c>
      <c r="F4834" t="s">
        <v>28</v>
      </c>
      <c r="G4834">
        <v>7.1</v>
      </c>
      <c r="H4834">
        <v>4.0999999999999996</v>
      </c>
      <c r="I4834" t="str" cm="1">
        <f t="array" ref="I4834">_xlfn.IFS(G4834&lt;3, "0–2 Years", G4834&lt;6, "3–5 Years", G4834&lt;9, "6–8 Years", G4834&lt;12, "9-11 Years", G4834&gt;=12, "12-14 Years")</f>
        <v>6–8 Years</v>
      </c>
      <c r="J4834">
        <v>3</v>
      </c>
      <c r="K4834" t="s">
        <v>69</v>
      </c>
      <c r="L4834">
        <v>55700</v>
      </c>
      <c r="M4834">
        <v>5600</v>
      </c>
      <c r="N4834">
        <v>61300</v>
      </c>
      <c r="O4834" t="s">
        <v>25</v>
      </c>
      <c r="P4834" s="3">
        <v>43437</v>
      </c>
      <c r="Q4834" t="s">
        <v>28</v>
      </c>
    </row>
    <row r="4835" spans="1:17" x14ac:dyDescent="0.35">
      <c r="A4835" t="s">
        <v>4887</v>
      </c>
      <c r="B4835" t="s">
        <v>16</v>
      </c>
      <c r="C4835">
        <v>43</v>
      </c>
      <c r="D4835" t="s">
        <v>41</v>
      </c>
      <c r="E4835" t="s">
        <v>42</v>
      </c>
      <c r="F4835" t="s">
        <v>28</v>
      </c>
      <c r="G4835">
        <v>7.5</v>
      </c>
      <c r="H4835">
        <v>3.5</v>
      </c>
      <c r="I4835" t="str" cm="1">
        <f t="array" ref="I4835">_xlfn.IFS(G4835&lt;3, "0–2 Years", G4835&lt;6, "3–5 Years", G4835&lt;9, "6–8 Years", G4835&lt;12, "9-11 Years", G4835&gt;=12, "12-14 Years")</f>
        <v>6–8 Years</v>
      </c>
      <c r="J4835">
        <v>3</v>
      </c>
      <c r="K4835" t="s">
        <v>20</v>
      </c>
      <c r="L4835">
        <v>82500</v>
      </c>
      <c r="M4835">
        <v>3900</v>
      </c>
      <c r="N4835">
        <v>86400</v>
      </c>
      <c r="O4835" t="s">
        <v>30</v>
      </c>
      <c r="P4835" s="3">
        <v>43285</v>
      </c>
      <c r="Q4835" t="s">
        <v>28</v>
      </c>
    </row>
    <row r="4836" spans="1:17" x14ac:dyDescent="0.35">
      <c r="A4836" t="s">
        <v>4888</v>
      </c>
      <c r="B4836" t="s">
        <v>16</v>
      </c>
      <c r="C4836" s="7">
        <v>45</v>
      </c>
      <c r="D4836" t="s">
        <v>41</v>
      </c>
      <c r="E4836" t="s">
        <v>67</v>
      </c>
      <c r="F4836" t="s">
        <v>28</v>
      </c>
      <c r="G4836" s="9">
        <v>12</v>
      </c>
      <c r="H4836" s="7">
        <v>6.8</v>
      </c>
      <c r="I4836" t="str" cm="1">
        <f t="array" ref="I4836">_xlfn.IFS(G4836&lt;3, "0–2 Years", G4836&lt;6, "3–5 Years", G4836&lt;9, "6–8 Years", G4836&lt;12, "9-11 Years", G4836&gt;=12, "12-14 Years")</f>
        <v>12-14 Years</v>
      </c>
      <c r="J4836" s="7">
        <v>1</v>
      </c>
      <c r="K4836" t="s">
        <v>20</v>
      </c>
      <c r="L4836" s="7">
        <v>75800</v>
      </c>
      <c r="M4836" s="7">
        <v>6200</v>
      </c>
      <c r="N4836" s="7">
        <v>82000</v>
      </c>
      <c r="O4836" t="s">
        <v>21</v>
      </c>
      <c r="P4836" s="3">
        <v>41653</v>
      </c>
      <c r="Q4836" t="s">
        <v>28</v>
      </c>
    </row>
    <row r="4837" spans="1:17" x14ac:dyDescent="0.35">
      <c r="A4837" t="s">
        <v>4889</v>
      </c>
      <c r="B4837" t="s">
        <v>16</v>
      </c>
      <c r="C4837">
        <v>22</v>
      </c>
      <c r="D4837" t="s">
        <v>44</v>
      </c>
      <c r="E4837" t="s">
        <v>76</v>
      </c>
      <c r="F4837" t="s">
        <v>36</v>
      </c>
      <c r="G4837">
        <v>8.5</v>
      </c>
      <c r="H4837">
        <v>3.5</v>
      </c>
      <c r="I4837" t="str" cm="1">
        <f t="array" ref="I4837">_xlfn.IFS(G4837&lt;3, "0–2 Years", G4837&lt;6, "3–5 Years", G4837&lt;9, "6–8 Years", G4837&lt;12, "9-11 Years", G4837&gt;=12, "12-14 Years")</f>
        <v>6–8 Years</v>
      </c>
      <c r="J4837">
        <v>2</v>
      </c>
      <c r="K4837" t="s">
        <v>20</v>
      </c>
      <c r="L4837">
        <v>134600</v>
      </c>
      <c r="M4837">
        <v>16600</v>
      </c>
      <c r="N4837">
        <v>151200</v>
      </c>
      <c r="O4837" t="s">
        <v>57</v>
      </c>
      <c r="P4837" s="3">
        <v>42901</v>
      </c>
      <c r="Q4837" t="s">
        <v>36</v>
      </c>
    </row>
    <row r="4838" spans="1:17" x14ac:dyDescent="0.35">
      <c r="A4838" t="s">
        <v>4890</v>
      </c>
      <c r="B4838" t="s">
        <v>23</v>
      </c>
      <c r="C4838">
        <v>26</v>
      </c>
      <c r="D4838" t="s">
        <v>55</v>
      </c>
      <c r="E4838" t="s">
        <v>92</v>
      </c>
      <c r="F4838" t="s">
        <v>36</v>
      </c>
      <c r="G4838">
        <v>4.4000000000000004</v>
      </c>
      <c r="H4838">
        <v>4.4000000000000004</v>
      </c>
      <c r="I4838" t="str" cm="1">
        <f t="array" ref="I4838">_xlfn.IFS(G4838&lt;3, "0–2 Years", G4838&lt;6, "3–5 Years", G4838&lt;9, "6–8 Years", G4838&lt;12, "9-11 Years", G4838&gt;=12, "12-14 Years")</f>
        <v>3–5 Years</v>
      </c>
      <c r="J4838">
        <v>4</v>
      </c>
      <c r="K4838" t="s">
        <v>20</v>
      </c>
      <c r="L4838">
        <v>114500</v>
      </c>
      <c r="M4838">
        <v>19100</v>
      </c>
      <c r="N4838">
        <v>133600</v>
      </c>
      <c r="O4838" t="s">
        <v>57</v>
      </c>
      <c r="P4838" s="3">
        <v>44401</v>
      </c>
      <c r="Q4838" t="s">
        <v>36</v>
      </c>
    </row>
    <row r="4839" spans="1:17" x14ac:dyDescent="0.35">
      <c r="A4839" t="s">
        <v>4891</v>
      </c>
      <c r="B4839" t="s">
        <v>23</v>
      </c>
      <c r="C4839">
        <v>30</v>
      </c>
      <c r="D4839" t="s">
        <v>38</v>
      </c>
      <c r="E4839" t="s">
        <v>112</v>
      </c>
      <c r="F4839" t="s">
        <v>36</v>
      </c>
      <c r="G4839">
        <v>11.5</v>
      </c>
      <c r="H4839">
        <v>7.4</v>
      </c>
      <c r="I4839" t="str" cm="1">
        <f t="array" ref="I4839">_xlfn.IFS(G4839&lt;3, "0–2 Years", G4839&lt;6, "3–5 Years", G4839&lt;9, "6–8 Years", G4839&lt;12, "9-11 Years", G4839&gt;=12, "12-14 Years")</f>
        <v>9-11 Years</v>
      </c>
      <c r="J4839">
        <v>4</v>
      </c>
      <c r="K4839" t="s">
        <v>20</v>
      </c>
      <c r="L4839">
        <v>85300</v>
      </c>
      <c r="M4839">
        <v>3600</v>
      </c>
      <c r="N4839">
        <v>88900</v>
      </c>
      <c r="O4839" t="s">
        <v>30</v>
      </c>
      <c r="P4839" s="3">
        <v>41832</v>
      </c>
      <c r="Q4839" t="s">
        <v>36</v>
      </c>
    </row>
    <row r="4840" spans="1:17" x14ac:dyDescent="0.35">
      <c r="A4840" t="s">
        <v>4892</v>
      </c>
      <c r="B4840" t="s">
        <v>23</v>
      </c>
      <c r="C4840">
        <v>28</v>
      </c>
      <c r="D4840" t="s">
        <v>41</v>
      </c>
      <c r="E4840" t="s">
        <v>67</v>
      </c>
      <c r="F4840" t="s">
        <v>36</v>
      </c>
      <c r="G4840">
        <v>8.6999999999999993</v>
      </c>
      <c r="H4840">
        <v>7.5</v>
      </c>
      <c r="I4840" t="str" cm="1">
        <f t="array" ref="I4840">_xlfn.IFS(G4840&lt;3, "0–2 Years", G4840&lt;6, "3–5 Years", G4840&lt;9, "6–8 Years", G4840&lt;12, "9-11 Years", G4840&gt;=12, "12-14 Years")</f>
        <v>6–8 Years</v>
      </c>
      <c r="J4840">
        <v>3</v>
      </c>
      <c r="K4840" t="s">
        <v>20</v>
      </c>
      <c r="L4840">
        <v>76400</v>
      </c>
      <c r="M4840">
        <v>4900</v>
      </c>
      <c r="N4840">
        <v>81300</v>
      </c>
      <c r="O4840" t="s">
        <v>21</v>
      </c>
      <c r="P4840" s="3">
        <v>42828</v>
      </c>
      <c r="Q4840" t="s">
        <v>36</v>
      </c>
    </row>
    <row r="4841" spans="1:17" x14ac:dyDescent="0.35">
      <c r="A4841" t="s">
        <v>4893</v>
      </c>
      <c r="B4841" t="s">
        <v>23</v>
      </c>
      <c r="C4841">
        <v>40</v>
      </c>
      <c r="D4841" t="s">
        <v>34</v>
      </c>
      <c r="E4841" t="s">
        <v>59</v>
      </c>
      <c r="F4841" t="s">
        <v>28</v>
      </c>
      <c r="G4841">
        <v>6.9</v>
      </c>
      <c r="H4841">
        <v>2.7</v>
      </c>
      <c r="I4841" t="str" cm="1">
        <f t="array" ref="I4841">_xlfn.IFS(G4841&lt;3, "0–2 Years", G4841&lt;6, "3–5 Years", G4841&lt;9, "6–8 Years", G4841&lt;12, "9-11 Years", G4841&gt;=12, "12-14 Years")</f>
        <v>6–8 Years</v>
      </c>
      <c r="J4841">
        <v>4</v>
      </c>
      <c r="K4841" t="s">
        <v>69</v>
      </c>
      <c r="L4841">
        <v>90300</v>
      </c>
      <c r="M4841">
        <v>3800</v>
      </c>
      <c r="N4841">
        <v>94100</v>
      </c>
      <c r="O4841" t="s">
        <v>30</v>
      </c>
      <c r="P4841" s="3">
        <v>43493</v>
      </c>
      <c r="Q4841" t="s">
        <v>28</v>
      </c>
    </row>
    <row r="4842" spans="1:17" x14ac:dyDescent="0.35">
      <c r="A4842" t="s">
        <v>4894</v>
      </c>
      <c r="B4842" t="s">
        <v>23</v>
      </c>
      <c r="C4842">
        <v>40</v>
      </c>
      <c r="D4842" t="s">
        <v>38</v>
      </c>
      <c r="E4842" t="s">
        <v>61</v>
      </c>
      <c r="F4842" t="s">
        <v>36</v>
      </c>
      <c r="G4842">
        <v>1.5</v>
      </c>
      <c r="H4842">
        <v>0.8</v>
      </c>
      <c r="I4842" t="str" cm="1">
        <f t="array" ref="I4842">_xlfn.IFS(G4842&lt;3, "0–2 Years", G4842&lt;6, "3–5 Years", G4842&lt;9, "6–8 Years", G4842&lt;12, "9-11 Years", G4842&gt;=12, "12-14 Years")</f>
        <v>0–2 Years</v>
      </c>
      <c r="J4842">
        <v>3</v>
      </c>
      <c r="K4842" t="s">
        <v>20</v>
      </c>
      <c r="L4842">
        <v>116000</v>
      </c>
      <c r="M4842">
        <v>9400</v>
      </c>
      <c r="N4842">
        <v>125400</v>
      </c>
      <c r="O4842" t="s">
        <v>57</v>
      </c>
      <c r="P4842" s="3">
        <v>45476</v>
      </c>
      <c r="Q4842" t="s">
        <v>36</v>
      </c>
    </row>
    <row r="4843" spans="1:17" x14ac:dyDescent="0.35">
      <c r="A4843" t="s">
        <v>4895</v>
      </c>
      <c r="B4843" t="s">
        <v>16</v>
      </c>
      <c r="C4843">
        <v>25</v>
      </c>
      <c r="D4843" t="s">
        <v>44</v>
      </c>
      <c r="E4843" t="s">
        <v>81</v>
      </c>
      <c r="F4843" t="s">
        <v>36</v>
      </c>
      <c r="G4843">
        <v>2</v>
      </c>
      <c r="H4843">
        <v>0</v>
      </c>
      <c r="I4843" t="str" cm="1">
        <f t="array" ref="I4843">_xlfn.IFS(G4843&lt;3, "0–2 Years", G4843&lt;6, "3–5 Years", G4843&lt;9, "6–8 Years", G4843&lt;12, "9-11 Years", G4843&gt;=12, "12-14 Years")</f>
        <v>0–2 Years</v>
      </c>
      <c r="J4843">
        <v>3</v>
      </c>
      <c r="K4843" t="s">
        <v>20</v>
      </c>
      <c r="L4843">
        <v>107700</v>
      </c>
      <c r="M4843">
        <v>5700</v>
      </c>
      <c r="N4843">
        <v>113400</v>
      </c>
      <c r="O4843" t="s">
        <v>57</v>
      </c>
      <c r="P4843" s="3">
        <v>45298</v>
      </c>
      <c r="Q4843" t="s">
        <v>36</v>
      </c>
    </row>
    <row r="4844" spans="1:17" x14ac:dyDescent="0.35">
      <c r="A4844" t="s">
        <v>4896</v>
      </c>
      <c r="B4844" t="s">
        <v>23</v>
      </c>
      <c r="C4844" s="7">
        <v>30</v>
      </c>
      <c r="D4844" t="s">
        <v>41</v>
      </c>
      <c r="E4844" t="s">
        <v>42</v>
      </c>
      <c r="F4844" t="s">
        <v>28</v>
      </c>
      <c r="G4844" s="9">
        <v>13.9</v>
      </c>
      <c r="H4844" s="7">
        <v>8.3000000000000007</v>
      </c>
      <c r="I4844" t="str" cm="1">
        <f t="array" ref="I4844">_xlfn.IFS(G4844&lt;3, "0–2 Years", G4844&lt;6, "3–5 Years", G4844&lt;9, "6–8 Years", G4844&lt;12, "9-11 Years", G4844&gt;=12, "12-14 Years")</f>
        <v>12-14 Years</v>
      </c>
      <c r="J4844" s="7">
        <v>3</v>
      </c>
      <c r="K4844" t="s">
        <v>69</v>
      </c>
      <c r="L4844" s="7">
        <v>56600</v>
      </c>
      <c r="M4844" s="7">
        <v>4500</v>
      </c>
      <c r="N4844" s="7">
        <v>61100</v>
      </c>
      <c r="O4844" t="s">
        <v>25</v>
      </c>
      <c r="P4844" s="3">
        <v>40940</v>
      </c>
      <c r="Q4844" t="s">
        <v>28</v>
      </c>
    </row>
    <row r="4845" spans="1:17" x14ac:dyDescent="0.35">
      <c r="A4845" t="s">
        <v>4897</v>
      </c>
      <c r="B4845" t="s">
        <v>16</v>
      </c>
      <c r="C4845">
        <v>28</v>
      </c>
      <c r="D4845" t="s">
        <v>41</v>
      </c>
      <c r="E4845" t="s">
        <v>73</v>
      </c>
      <c r="F4845" t="s">
        <v>19</v>
      </c>
      <c r="G4845">
        <v>7.7</v>
      </c>
      <c r="H4845">
        <v>4.5999999999999996</v>
      </c>
      <c r="I4845" t="str" cm="1">
        <f t="array" ref="I4845">_xlfn.IFS(G4845&lt;3, "0–2 Years", G4845&lt;6, "3–5 Years", G4845&lt;9, "6–8 Years", G4845&lt;12, "9-11 Years", G4845&gt;=12, "12-14 Years")</f>
        <v>6–8 Years</v>
      </c>
      <c r="J4845">
        <v>2</v>
      </c>
      <c r="K4845" t="s">
        <v>20</v>
      </c>
      <c r="L4845">
        <v>86600</v>
      </c>
      <c r="M4845">
        <v>5300</v>
      </c>
      <c r="N4845">
        <v>91900</v>
      </c>
      <c r="O4845" t="s">
        <v>30</v>
      </c>
      <c r="P4845" s="3">
        <v>43212</v>
      </c>
      <c r="Q4845" t="s">
        <v>19</v>
      </c>
    </row>
    <row r="4846" spans="1:17" x14ac:dyDescent="0.35">
      <c r="A4846" t="s">
        <v>4898</v>
      </c>
      <c r="B4846" t="s">
        <v>23</v>
      </c>
      <c r="C4846">
        <v>34</v>
      </c>
      <c r="D4846" t="s">
        <v>34</v>
      </c>
      <c r="E4846" t="s">
        <v>59</v>
      </c>
      <c r="F4846" t="s">
        <v>28</v>
      </c>
      <c r="G4846">
        <v>9.1999999999999993</v>
      </c>
      <c r="H4846">
        <v>6.8</v>
      </c>
      <c r="I4846" t="str" cm="1">
        <f t="array" ref="I4846">_xlfn.IFS(G4846&lt;3, "0–2 Years", G4846&lt;6, "3–5 Years", G4846&lt;9, "6–8 Years", G4846&lt;12, "9-11 Years", G4846&gt;=12, "12-14 Years")</f>
        <v>9-11 Years</v>
      </c>
      <c r="J4846">
        <v>4</v>
      </c>
      <c r="K4846" t="s">
        <v>20</v>
      </c>
      <c r="L4846">
        <v>102700</v>
      </c>
      <c r="M4846">
        <v>6500</v>
      </c>
      <c r="N4846">
        <v>109200</v>
      </c>
      <c r="O4846" t="s">
        <v>57</v>
      </c>
      <c r="P4846" s="3">
        <v>42678</v>
      </c>
      <c r="Q4846" t="s">
        <v>28</v>
      </c>
    </row>
    <row r="4847" spans="1:17" x14ac:dyDescent="0.35">
      <c r="A4847" t="s">
        <v>4899</v>
      </c>
      <c r="B4847" t="s">
        <v>16</v>
      </c>
      <c r="C4847" s="7">
        <v>30</v>
      </c>
      <c r="D4847" t="s">
        <v>34</v>
      </c>
      <c r="E4847" t="s">
        <v>35</v>
      </c>
      <c r="F4847" t="s">
        <v>28</v>
      </c>
      <c r="G4847" s="9">
        <v>12.4</v>
      </c>
      <c r="H4847" s="7">
        <v>8.1999999999999993</v>
      </c>
      <c r="I4847" t="str" cm="1">
        <f t="array" ref="I4847">_xlfn.IFS(G4847&lt;3, "0–2 Years", G4847&lt;6, "3–5 Years", G4847&lt;9, "6–8 Years", G4847&lt;12, "9-11 Years", G4847&gt;=12, "12-14 Years")</f>
        <v>12-14 Years</v>
      </c>
      <c r="J4847" s="7">
        <v>3</v>
      </c>
      <c r="K4847" t="s">
        <v>20</v>
      </c>
      <c r="L4847" s="7">
        <v>80100</v>
      </c>
      <c r="M4847" s="7">
        <v>9000</v>
      </c>
      <c r="N4847" s="7">
        <v>89100</v>
      </c>
      <c r="O4847" t="s">
        <v>30</v>
      </c>
      <c r="P4847" s="3">
        <v>41490</v>
      </c>
      <c r="Q4847" t="s">
        <v>28</v>
      </c>
    </row>
    <row r="4848" spans="1:17" x14ac:dyDescent="0.35">
      <c r="A4848" t="s">
        <v>4900</v>
      </c>
      <c r="B4848" t="s">
        <v>16</v>
      </c>
      <c r="C4848">
        <v>28</v>
      </c>
      <c r="D4848" t="s">
        <v>41</v>
      </c>
      <c r="E4848" t="s">
        <v>73</v>
      </c>
      <c r="F4848" t="s">
        <v>28</v>
      </c>
      <c r="G4848">
        <v>10.199999999999999</v>
      </c>
      <c r="H4848">
        <v>6.8</v>
      </c>
      <c r="I4848" t="str" cm="1">
        <f t="array" ref="I4848">_xlfn.IFS(G4848&lt;3, "0–2 Years", G4848&lt;6, "3–5 Years", G4848&lt;9, "6–8 Years", G4848&lt;12, "9-11 Years", G4848&gt;=12, "12-14 Years")</f>
        <v>9-11 Years</v>
      </c>
      <c r="J4848">
        <v>3</v>
      </c>
      <c r="K4848" t="s">
        <v>24</v>
      </c>
      <c r="L4848">
        <v>69400</v>
      </c>
      <c r="M4848">
        <v>5100</v>
      </c>
      <c r="N4848">
        <v>74500</v>
      </c>
      <c r="O4848" t="s">
        <v>21</v>
      </c>
      <c r="P4848" s="3">
        <v>42284</v>
      </c>
      <c r="Q4848" t="s">
        <v>28</v>
      </c>
    </row>
    <row r="4849" spans="1:17" x14ac:dyDescent="0.35">
      <c r="A4849" t="s">
        <v>4901</v>
      </c>
      <c r="B4849" t="s">
        <v>16</v>
      </c>
      <c r="C4849">
        <v>44</v>
      </c>
      <c r="D4849" t="s">
        <v>38</v>
      </c>
      <c r="E4849" t="s">
        <v>61</v>
      </c>
      <c r="F4849" t="s">
        <v>28</v>
      </c>
      <c r="G4849">
        <v>3.3</v>
      </c>
      <c r="H4849">
        <v>3.3</v>
      </c>
      <c r="I4849" t="str" cm="1">
        <f t="array" ref="I4849">_xlfn.IFS(G4849&lt;3, "0–2 Years", G4849&lt;6, "3–5 Years", G4849&lt;9, "6–8 Years", G4849&lt;12, "9-11 Years", G4849&gt;=12, "12-14 Years")</f>
        <v>3–5 Years</v>
      </c>
      <c r="J4849">
        <v>5</v>
      </c>
      <c r="K4849" t="s">
        <v>20</v>
      </c>
      <c r="L4849">
        <v>90200</v>
      </c>
      <c r="M4849">
        <v>4900</v>
      </c>
      <c r="N4849">
        <v>95100</v>
      </c>
      <c r="O4849" t="s">
        <v>30</v>
      </c>
      <c r="P4849" s="3">
        <v>44829</v>
      </c>
      <c r="Q4849" t="s">
        <v>28</v>
      </c>
    </row>
    <row r="4850" spans="1:17" x14ac:dyDescent="0.35">
      <c r="A4850" t="s">
        <v>4902</v>
      </c>
      <c r="B4850" t="s">
        <v>23</v>
      </c>
      <c r="C4850" s="7">
        <v>53</v>
      </c>
      <c r="D4850" t="s">
        <v>44</v>
      </c>
      <c r="E4850" t="s">
        <v>76</v>
      </c>
      <c r="F4850" t="s">
        <v>28</v>
      </c>
      <c r="G4850" s="9">
        <v>13.8</v>
      </c>
      <c r="H4850" s="7">
        <v>6.7</v>
      </c>
      <c r="I4850" t="str" cm="1">
        <f t="array" ref="I4850">_xlfn.IFS(G4850&lt;3, "0–2 Years", G4850&lt;6, "3–5 Years", G4850&lt;9, "6–8 Years", G4850&lt;12, "9-11 Years", G4850&gt;=12, "12-14 Years")</f>
        <v>12-14 Years</v>
      </c>
      <c r="J4850" s="7">
        <v>3</v>
      </c>
      <c r="K4850" t="s">
        <v>20</v>
      </c>
      <c r="L4850" s="7">
        <v>130000</v>
      </c>
      <c r="M4850" s="7">
        <v>18000</v>
      </c>
      <c r="N4850" s="7">
        <v>148000</v>
      </c>
      <c r="O4850" t="s">
        <v>57</v>
      </c>
      <c r="P4850" s="3">
        <v>40972</v>
      </c>
      <c r="Q4850" t="s">
        <v>28</v>
      </c>
    </row>
    <row r="4851" spans="1:17" x14ac:dyDescent="0.35">
      <c r="A4851" t="s">
        <v>4903</v>
      </c>
      <c r="B4851" t="s">
        <v>16</v>
      </c>
      <c r="C4851">
        <v>53</v>
      </c>
      <c r="D4851" t="s">
        <v>17</v>
      </c>
      <c r="E4851" t="s">
        <v>18</v>
      </c>
      <c r="F4851" t="s">
        <v>28</v>
      </c>
      <c r="G4851">
        <v>9.6999999999999993</v>
      </c>
      <c r="H4851">
        <v>6.4</v>
      </c>
      <c r="I4851" t="str" cm="1">
        <f t="array" ref="I4851">_xlfn.IFS(G4851&lt;3, "0–2 Years", G4851&lt;6, "3–5 Years", G4851&lt;9, "6–8 Years", G4851&lt;12, "9-11 Years", G4851&gt;=12, "12-14 Years")</f>
        <v>9-11 Years</v>
      </c>
      <c r="J4851">
        <v>4</v>
      </c>
      <c r="K4851" t="s">
        <v>24</v>
      </c>
      <c r="L4851">
        <v>67500</v>
      </c>
      <c r="M4851">
        <v>7200</v>
      </c>
      <c r="N4851">
        <v>74700</v>
      </c>
      <c r="O4851" t="s">
        <v>21</v>
      </c>
      <c r="P4851" s="3">
        <v>42462</v>
      </c>
      <c r="Q4851" t="s">
        <v>28</v>
      </c>
    </row>
    <row r="4852" spans="1:17" x14ac:dyDescent="0.35">
      <c r="A4852" t="s">
        <v>4904</v>
      </c>
      <c r="B4852" t="s">
        <v>23</v>
      </c>
      <c r="C4852">
        <v>43</v>
      </c>
      <c r="D4852" t="s">
        <v>44</v>
      </c>
      <c r="E4852" t="s">
        <v>45</v>
      </c>
      <c r="F4852" t="s">
        <v>28</v>
      </c>
      <c r="G4852">
        <v>2.5</v>
      </c>
      <c r="H4852">
        <v>1.5</v>
      </c>
      <c r="I4852" t="str" cm="1">
        <f t="array" ref="I4852">_xlfn.IFS(G4852&lt;3, "0–2 Years", G4852&lt;6, "3–5 Years", G4852&lt;9, "6–8 Years", G4852&lt;12, "9-11 Years", G4852&gt;=12, "12-14 Years")</f>
        <v>0–2 Years</v>
      </c>
      <c r="J4852">
        <v>3</v>
      </c>
      <c r="K4852" t="s">
        <v>20</v>
      </c>
      <c r="L4852">
        <v>60000</v>
      </c>
      <c r="M4852">
        <v>5800</v>
      </c>
      <c r="N4852">
        <v>65800</v>
      </c>
      <c r="O4852" t="s">
        <v>25</v>
      </c>
      <c r="P4852" s="3">
        <v>45126</v>
      </c>
      <c r="Q4852" t="s">
        <v>28</v>
      </c>
    </row>
    <row r="4853" spans="1:17" x14ac:dyDescent="0.35">
      <c r="A4853" t="s">
        <v>4905</v>
      </c>
      <c r="B4853" t="s">
        <v>16</v>
      </c>
      <c r="C4853">
        <v>42</v>
      </c>
      <c r="D4853" t="s">
        <v>17</v>
      </c>
      <c r="E4853" t="s">
        <v>18</v>
      </c>
      <c r="F4853" t="s">
        <v>28</v>
      </c>
      <c r="G4853">
        <v>2.7</v>
      </c>
      <c r="H4853">
        <v>2.7</v>
      </c>
      <c r="I4853" t="str" cm="1">
        <f t="array" ref="I4853">_xlfn.IFS(G4853&lt;3, "0–2 Years", G4853&lt;6, "3–5 Years", G4853&lt;9, "6–8 Years", G4853&lt;12, "9-11 Years", G4853&gt;=12, "12-14 Years")</f>
        <v>0–2 Years</v>
      </c>
      <c r="J4853">
        <v>2</v>
      </c>
      <c r="K4853" t="s">
        <v>20</v>
      </c>
      <c r="L4853">
        <v>95500</v>
      </c>
      <c r="M4853">
        <v>7500</v>
      </c>
      <c r="N4853">
        <v>103000</v>
      </c>
      <c r="O4853" t="s">
        <v>30</v>
      </c>
      <c r="P4853" s="3">
        <v>45040</v>
      </c>
      <c r="Q4853" t="s">
        <v>28</v>
      </c>
    </row>
    <row r="4854" spans="1:17" x14ac:dyDescent="0.35">
      <c r="A4854" t="s">
        <v>4906</v>
      </c>
      <c r="B4854" t="s">
        <v>16</v>
      </c>
      <c r="C4854">
        <v>31</v>
      </c>
      <c r="D4854" t="s">
        <v>38</v>
      </c>
      <c r="E4854" t="s">
        <v>112</v>
      </c>
      <c r="F4854" t="s">
        <v>62</v>
      </c>
      <c r="G4854">
        <v>3.8</v>
      </c>
      <c r="H4854">
        <v>0.7</v>
      </c>
      <c r="I4854" t="str" cm="1">
        <f t="array" ref="I4854">_xlfn.IFS(G4854&lt;3, "0–2 Years", G4854&lt;6, "3–5 Years", G4854&lt;9, "6–8 Years", G4854&lt;12, "9-11 Years", G4854&gt;=12, "12-14 Years")</f>
        <v>3–5 Years</v>
      </c>
      <c r="J4854">
        <v>3</v>
      </c>
      <c r="K4854" t="s">
        <v>24</v>
      </c>
      <c r="L4854">
        <v>43500</v>
      </c>
      <c r="M4854">
        <v>3700</v>
      </c>
      <c r="N4854">
        <v>47200</v>
      </c>
      <c r="O4854" t="s">
        <v>65</v>
      </c>
      <c r="P4854" s="3">
        <v>44622</v>
      </c>
      <c r="Q4854" t="s">
        <v>62</v>
      </c>
    </row>
    <row r="4855" spans="1:17" x14ac:dyDescent="0.35">
      <c r="A4855" t="s">
        <v>4907</v>
      </c>
      <c r="B4855" t="s">
        <v>23</v>
      </c>
      <c r="C4855">
        <v>31</v>
      </c>
      <c r="D4855" t="s">
        <v>38</v>
      </c>
      <c r="E4855" t="s">
        <v>61</v>
      </c>
      <c r="F4855" t="s">
        <v>62</v>
      </c>
      <c r="G4855">
        <v>11.5</v>
      </c>
      <c r="H4855">
        <v>6.1</v>
      </c>
      <c r="I4855" t="str" cm="1">
        <f t="array" ref="I4855">_xlfn.IFS(G4855&lt;3, "0–2 Years", G4855&lt;6, "3–5 Years", G4855&lt;9, "6–8 Years", G4855&lt;12, "9-11 Years", G4855&gt;=12, "12-14 Years")</f>
        <v>9-11 Years</v>
      </c>
      <c r="J4855">
        <v>3</v>
      </c>
      <c r="K4855" t="s">
        <v>20</v>
      </c>
      <c r="L4855">
        <v>104600</v>
      </c>
      <c r="M4855">
        <v>4300</v>
      </c>
      <c r="N4855">
        <v>108900</v>
      </c>
      <c r="O4855" t="s">
        <v>57</v>
      </c>
      <c r="P4855" s="3">
        <v>41820</v>
      </c>
      <c r="Q4855" t="s">
        <v>62</v>
      </c>
    </row>
    <row r="4856" spans="1:17" x14ac:dyDescent="0.35">
      <c r="A4856" t="s">
        <v>4908</v>
      </c>
      <c r="B4856" t="s">
        <v>23</v>
      </c>
      <c r="C4856">
        <v>32</v>
      </c>
      <c r="D4856" t="s">
        <v>55</v>
      </c>
      <c r="E4856" t="s">
        <v>56</v>
      </c>
      <c r="F4856" t="s">
        <v>36</v>
      </c>
      <c r="G4856">
        <v>7.7</v>
      </c>
      <c r="H4856">
        <v>6.2</v>
      </c>
      <c r="I4856" t="str" cm="1">
        <f t="array" ref="I4856">_xlfn.IFS(G4856&lt;3, "0–2 Years", G4856&lt;6, "3–5 Years", G4856&lt;9, "6–8 Years", G4856&lt;12, "9-11 Years", G4856&gt;=12, "12-14 Years")</f>
        <v>6–8 Years</v>
      </c>
      <c r="J4856">
        <v>3</v>
      </c>
      <c r="K4856" t="s">
        <v>20</v>
      </c>
      <c r="L4856">
        <v>117200</v>
      </c>
      <c r="M4856">
        <v>13400</v>
      </c>
      <c r="N4856">
        <v>130600</v>
      </c>
      <c r="O4856" t="s">
        <v>57</v>
      </c>
      <c r="P4856" s="3">
        <v>43194</v>
      </c>
      <c r="Q4856" t="s">
        <v>36</v>
      </c>
    </row>
    <row r="4857" spans="1:17" x14ac:dyDescent="0.35">
      <c r="A4857" t="s">
        <v>4909</v>
      </c>
      <c r="B4857" t="s">
        <v>23</v>
      </c>
      <c r="C4857">
        <v>50</v>
      </c>
      <c r="D4857" t="s">
        <v>38</v>
      </c>
      <c r="E4857" t="s">
        <v>61</v>
      </c>
      <c r="F4857" t="s">
        <v>19</v>
      </c>
      <c r="G4857">
        <v>9.1</v>
      </c>
      <c r="H4857">
        <v>4.3</v>
      </c>
      <c r="I4857" t="str" cm="1">
        <f t="array" ref="I4857">_xlfn.IFS(G4857&lt;3, "0–2 Years", G4857&lt;6, "3–5 Years", G4857&lt;9, "6–8 Years", G4857&lt;12, "9-11 Years", G4857&gt;=12, "12-14 Years")</f>
        <v>9-11 Years</v>
      </c>
      <c r="J4857">
        <v>3</v>
      </c>
      <c r="K4857" t="s">
        <v>20</v>
      </c>
      <c r="L4857">
        <v>99400</v>
      </c>
      <c r="M4857">
        <v>7300</v>
      </c>
      <c r="N4857">
        <v>106700</v>
      </c>
      <c r="O4857" t="s">
        <v>30</v>
      </c>
      <c r="P4857" s="3">
        <v>42681</v>
      </c>
      <c r="Q4857" t="s">
        <v>19</v>
      </c>
    </row>
    <row r="4858" spans="1:17" x14ac:dyDescent="0.35">
      <c r="A4858" t="s">
        <v>4910</v>
      </c>
      <c r="B4858" t="s">
        <v>23</v>
      </c>
      <c r="C4858">
        <v>36</v>
      </c>
      <c r="D4858" t="s">
        <v>34</v>
      </c>
      <c r="E4858" t="s">
        <v>35</v>
      </c>
      <c r="F4858" t="s">
        <v>28</v>
      </c>
      <c r="G4858">
        <v>4.9000000000000004</v>
      </c>
      <c r="H4858">
        <v>4.7</v>
      </c>
      <c r="I4858" t="str" cm="1">
        <f t="array" ref="I4858">_xlfn.IFS(G4858&lt;3, "0–2 Years", G4858&lt;6, "3–5 Years", G4858&lt;9, "6–8 Years", G4858&lt;12, "9-11 Years", G4858&gt;=12, "12-14 Years")</f>
        <v>3–5 Years</v>
      </c>
      <c r="J4858">
        <v>4</v>
      </c>
      <c r="K4858" t="s">
        <v>20</v>
      </c>
      <c r="L4858">
        <v>74100</v>
      </c>
      <c r="M4858">
        <v>5400</v>
      </c>
      <c r="N4858">
        <v>79500</v>
      </c>
      <c r="O4858" t="s">
        <v>21</v>
      </c>
      <c r="P4858" s="3">
        <v>44233</v>
      </c>
      <c r="Q4858" t="s">
        <v>28</v>
      </c>
    </row>
    <row r="4859" spans="1:17" x14ac:dyDescent="0.35">
      <c r="A4859" t="s">
        <v>4911</v>
      </c>
      <c r="B4859" t="s">
        <v>23</v>
      </c>
      <c r="C4859">
        <v>38</v>
      </c>
      <c r="D4859" t="s">
        <v>38</v>
      </c>
      <c r="E4859" t="s">
        <v>61</v>
      </c>
      <c r="F4859" t="s">
        <v>28</v>
      </c>
      <c r="G4859">
        <v>6</v>
      </c>
      <c r="H4859">
        <v>3.7</v>
      </c>
      <c r="I4859" t="str" cm="1">
        <f t="array" ref="I4859">_xlfn.IFS(G4859&lt;3, "0–2 Years", G4859&lt;6, "3–5 Years", G4859&lt;9, "6–8 Years", G4859&lt;12, "9-11 Years", G4859&gt;=12, "12-14 Years")</f>
        <v>6–8 Years</v>
      </c>
      <c r="J4859">
        <v>2</v>
      </c>
      <c r="K4859" t="s">
        <v>20</v>
      </c>
      <c r="L4859">
        <v>98300</v>
      </c>
      <c r="M4859">
        <v>6700</v>
      </c>
      <c r="N4859">
        <v>105000</v>
      </c>
      <c r="O4859" t="s">
        <v>30</v>
      </c>
      <c r="P4859" s="3">
        <v>43828</v>
      </c>
      <c r="Q4859" t="s">
        <v>28</v>
      </c>
    </row>
    <row r="4860" spans="1:17" x14ac:dyDescent="0.35">
      <c r="A4860" t="s">
        <v>4912</v>
      </c>
      <c r="B4860" t="s">
        <v>23</v>
      </c>
      <c r="C4860">
        <v>31</v>
      </c>
      <c r="D4860" t="s">
        <v>17</v>
      </c>
      <c r="E4860" t="s">
        <v>18</v>
      </c>
      <c r="F4860" t="s">
        <v>36</v>
      </c>
      <c r="G4860">
        <v>7.1</v>
      </c>
      <c r="H4860">
        <v>5.2</v>
      </c>
      <c r="I4860" t="str" cm="1">
        <f t="array" ref="I4860">_xlfn.IFS(G4860&lt;3, "0–2 Years", G4860&lt;6, "3–5 Years", G4860&lt;9, "6–8 Years", G4860&lt;12, "9-11 Years", G4860&gt;=12, "12-14 Years")</f>
        <v>6–8 Years</v>
      </c>
      <c r="J4860">
        <v>3</v>
      </c>
      <c r="K4860" t="s">
        <v>20</v>
      </c>
      <c r="L4860">
        <v>114200</v>
      </c>
      <c r="M4860">
        <v>13100</v>
      </c>
      <c r="N4860">
        <v>127300</v>
      </c>
      <c r="O4860" t="s">
        <v>57</v>
      </c>
      <c r="P4860" s="3">
        <v>43440</v>
      </c>
      <c r="Q4860" t="s">
        <v>36</v>
      </c>
    </row>
    <row r="4861" spans="1:17" x14ac:dyDescent="0.35">
      <c r="A4861" t="s">
        <v>4913</v>
      </c>
      <c r="B4861" t="s">
        <v>23</v>
      </c>
      <c r="C4861" s="7">
        <v>37</v>
      </c>
      <c r="D4861" t="s">
        <v>38</v>
      </c>
      <c r="E4861" t="s">
        <v>112</v>
      </c>
      <c r="F4861" t="s">
        <v>36</v>
      </c>
      <c r="G4861" s="9">
        <v>13.5</v>
      </c>
      <c r="H4861" s="7">
        <v>7.8</v>
      </c>
      <c r="I4861" t="str" cm="1">
        <f t="array" ref="I4861">_xlfn.IFS(G4861&lt;3, "0–2 Years", G4861&lt;6, "3–5 Years", G4861&lt;9, "6–8 Years", G4861&lt;12, "9-11 Years", G4861&gt;=12, "12-14 Years")</f>
        <v>12-14 Years</v>
      </c>
      <c r="J4861" s="7">
        <v>4</v>
      </c>
      <c r="K4861" t="s">
        <v>20</v>
      </c>
      <c r="L4861" s="7">
        <v>88900</v>
      </c>
      <c r="M4861" s="7">
        <v>6400</v>
      </c>
      <c r="N4861" s="7">
        <v>95300</v>
      </c>
      <c r="O4861" t="s">
        <v>30</v>
      </c>
      <c r="P4861" s="3">
        <v>41101</v>
      </c>
      <c r="Q4861" t="s">
        <v>36</v>
      </c>
    </row>
    <row r="4862" spans="1:17" x14ac:dyDescent="0.35">
      <c r="A4862" t="s">
        <v>4914</v>
      </c>
      <c r="B4862" t="s">
        <v>23</v>
      </c>
      <c r="C4862">
        <v>37</v>
      </c>
      <c r="D4862" t="s">
        <v>38</v>
      </c>
      <c r="E4862" t="s">
        <v>61</v>
      </c>
      <c r="F4862" t="s">
        <v>28</v>
      </c>
      <c r="G4862">
        <v>1.2</v>
      </c>
      <c r="H4862">
        <v>0</v>
      </c>
      <c r="I4862" t="str" cm="1">
        <f t="array" ref="I4862">_xlfn.IFS(G4862&lt;3, "0–2 Years", G4862&lt;6, "3–5 Years", G4862&lt;9, "6–8 Years", G4862&lt;12, "9-11 Years", G4862&gt;=12, "12-14 Years")</f>
        <v>0–2 Years</v>
      </c>
      <c r="J4862">
        <v>3</v>
      </c>
      <c r="K4862" t="s">
        <v>24</v>
      </c>
      <c r="L4862">
        <v>67200</v>
      </c>
      <c r="M4862">
        <v>5700</v>
      </c>
      <c r="N4862">
        <v>72900</v>
      </c>
      <c r="O4862" t="s">
        <v>21</v>
      </c>
      <c r="P4862" s="3">
        <v>45594</v>
      </c>
      <c r="Q4862" t="s">
        <v>28</v>
      </c>
    </row>
    <row r="4863" spans="1:17" x14ac:dyDescent="0.35">
      <c r="A4863" t="s">
        <v>4915</v>
      </c>
      <c r="B4863" t="s">
        <v>16</v>
      </c>
      <c r="C4863" s="7">
        <v>38</v>
      </c>
      <c r="D4863" t="s">
        <v>41</v>
      </c>
      <c r="E4863" t="s">
        <v>67</v>
      </c>
      <c r="F4863" t="s">
        <v>28</v>
      </c>
      <c r="G4863" s="9">
        <v>13.8</v>
      </c>
      <c r="H4863" s="7">
        <v>8.9</v>
      </c>
      <c r="I4863" t="str" cm="1">
        <f t="array" ref="I4863">_xlfn.IFS(G4863&lt;3, "0–2 Years", G4863&lt;6, "3–5 Years", G4863&lt;9, "6–8 Years", G4863&lt;12, "9-11 Years", G4863&gt;=12, "12-14 Years")</f>
        <v>12-14 Years</v>
      </c>
      <c r="J4863" s="7">
        <v>4</v>
      </c>
      <c r="K4863" t="s">
        <v>24</v>
      </c>
      <c r="L4863" s="7">
        <v>48300</v>
      </c>
      <c r="M4863" s="7">
        <v>3200</v>
      </c>
      <c r="N4863" s="7">
        <v>51500</v>
      </c>
      <c r="O4863" t="s">
        <v>65</v>
      </c>
      <c r="P4863" s="3">
        <v>40984</v>
      </c>
      <c r="Q4863" t="s">
        <v>28</v>
      </c>
    </row>
    <row r="4864" spans="1:17" x14ac:dyDescent="0.35">
      <c r="A4864" t="s">
        <v>4916</v>
      </c>
      <c r="B4864" t="s">
        <v>23</v>
      </c>
      <c r="C4864">
        <v>38</v>
      </c>
      <c r="D4864" t="s">
        <v>41</v>
      </c>
      <c r="E4864" t="s">
        <v>67</v>
      </c>
      <c r="F4864" t="s">
        <v>28</v>
      </c>
      <c r="G4864">
        <v>11.1</v>
      </c>
      <c r="H4864">
        <v>7.2</v>
      </c>
      <c r="I4864" t="str" cm="1">
        <f t="array" ref="I4864">_xlfn.IFS(G4864&lt;3, "0–2 Years", G4864&lt;6, "3–5 Years", G4864&lt;9, "6–8 Years", G4864&lt;12, "9-11 Years", G4864&gt;=12, "12-14 Years")</f>
        <v>9-11 Years</v>
      </c>
      <c r="J4864">
        <v>4</v>
      </c>
      <c r="K4864" t="s">
        <v>69</v>
      </c>
      <c r="L4864">
        <v>61100</v>
      </c>
      <c r="M4864">
        <v>4000</v>
      </c>
      <c r="N4864">
        <v>65100</v>
      </c>
      <c r="O4864" t="s">
        <v>25</v>
      </c>
      <c r="P4864" s="3">
        <v>41970</v>
      </c>
      <c r="Q4864" t="s">
        <v>28</v>
      </c>
    </row>
    <row r="4865" spans="1:17" x14ac:dyDescent="0.35">
      <c r="A4865" t="s">
        <v>4917</v>
      </c>
      <c r="B4865" t="s">
        <v>23</v>
      </c>
      <c r="C4865">
        <v>44</v>
      </c>
      <c r="D4865" t="s">
        <v>55</v>
      </c>
      <c r="E4865" t="s">
        <v>79</v>
      </c>
      <c r="F4865" t="s">
        <v>19</v>
      </c>
      <c r="G4865">
        <v>3.9</v>
      </c>
      <c r="H4865">
        <v>1.2</v>
      </c>
      <c r="I4865" t="str" cm="1">
        <f t="array" ref="I4865">_xlfn.IFS(G4865&lt;3, "0–2 Years", G4865&lt;6, "3–5 Years", G4865&lt;9, "6–8 Years", G4865&lt;12, "9-11 Years", G4865&gt;=12, "12-14 Years")</f>
        <v>3–5 Years</v>
      </c>
      <c r="J4865">
        <v>3</v>
      </c>
      <c r="K4865" t="s">
        <v>20</v>
      </c>
      <c r="L4865">
        <v>54600</v>
      </c>
      <c r="M4865">
        <v>4500</v>
      </c>
      <c r="N4865">
        <v>59100</v>
      </c>
      <c r="O4865" t="s">
        <v>25</v>
      </c>
      <c r="P4865" s="3">
        <v>44614</v>
      </c>
      <c r="Q4865" t="s">
        <v>19</v>
      </c>
    </row>
    <row r="4866" spans="1:17" x14ac:dyDescent="0.35">
      <c r="A4866" t="s">
        <v>4918</v>
      </c>
      <c r="B4866" t="s">
        <v>16</v>
      </c>
      <c r="C4866">
        <v>32</v>
      </c>
      <c r="D4866" t="s">
        <v>17</v>
      </c>
      <c r="E4866" t="s">
        <v>32</v>
      </c>
      <c r="F4866" t="s">
        <v>62</v>
      </c>
      <c r="G4866">
        <v>7.7</v>
      </c>
      <c r="H4866">
        <v>4.7</v>
      </c>
      <c r="I4866" t="str" cm="1">
        <f t="array" ref="I4866">_xlfn.IFS(G4866&lt;3, "0–2 Years", G4866&lt;6, "3–5 Years", G4866&lt;9, "6–8 Years", G4866&lt;12, "9-11 Years", G4866&gt;=12, "12-14 Years")</f>
        <v>6–8 Years</v>
      </c>
      <c r="J4866">
        <v>3</v>
      </c>
      <c r="K4866" t="s">
        <v>20</v>
      </c>
      <c r="L4866">
        <v>81800</v>
      </c>
      <c r="M4866">
        <v>4100</v>
      </c>
      <c r="N4866">
        <v>85900</v>
      </c>
      <c r="O4866" t="s">
        <v>30</v>
      </c>
      <c r="P4866" s="3">
        <v>43195</v>
      </c>
      <c r="Q4866" t="s">
        <v>62</v>
      </c>
    </row>
    <row r="4867" spans="1:17" x14ac:dyDescent="0.35">
      <c r="A4867" t="s">
        <v>4919</v>
      </c>
      <c r="B4867" t="s">
        <v>16</v>
      </c>
      <c r="C4867">
        <v>34</v>
      </c>
      <c r="D4867" t="s">
        <v>44</v>
      </c>
      <c r="E4867" t="s">
        <v>51</v>
      </c>
      <c r="F4867" t="s">
        <v>36</v>
      </c>
      <c r="G4867">
        <v>8.1</v>
      </c>
      <c r="H4867">
        <v>7.7</v>
      </c>
      <c r="I4867" t="str" cm="1">
        <f t="array" ref="I4867">_xlfn.IFS(G4867&lt;3, "0–2 Years", G4867&lt;6, "3–5 Years", G4867&lt;9, "6–8 Years", G4867&lt;12, "9-11 Years", G4867&gt;=12, "12-14 Years")</f>
        <v>6–8 Years</v>
      </c>
      <c r="J4867">
        <v>3</v>
      </c>
      <c r="K4867" t="s">
        <v>20</v>
      </c>
      <c r="L4867">
        <v>83800</v>
      </c>
      <c r="M4867">
        <v>5400</v>
      </c>
      <c r="N4867">
        <v>89200</v>
      </c>
      <c r="O4867" t="s">
        <v>30</v>
      </c>
      <c r="P4867" s="3">
        <v>43056</v>
      </c>
      <c r="Q4867" t="s">
        <v>36</v>
      </c>
    </row>
    <row r="4868" spans="1:17" x14ac:dyDescent="0.35">
      <c r="A4868" t="s">
        <v>4920</v>
      </c>
      <c r="B4868" t="s">
        <v>16</v>
      </c>
      <c r="C4868" s="7">
        <v>43</v>
      </c>
      <c r="D4868" t="s">
        <v>41</v>
      </c>
      <c r="E4868" t="s">
        <v>73</v>
      </c>
      <c r="F4868" t="s">
        <v>28</v>
      </c>
      <c r="G4868" s="9">
        <v>13.5</v>
      </c>
      <c r="H4868" s="7">
        <v>7.8</v>
      </c>
      <c r="I4868" t="str" cm="1">
        <f t="array" ref="I4868">_xlfn.IFS(G4868&lt;3, "0–2 Years", G4868&lt;6, "3–5 Years", G4868&lt;9, "6–8 Years", G4868&lt;12, "9-11 Years", G4868&gt;=12, "12-14 Years")</f>
        <v>12-14 Years</v>
      </c>
      <c r="J4868" s="7">
        <v>3</v>
      </c>
      <c r="K4868" t="s">
        <v>20</v>
      </c>
      <c r="L4868" s="7">
        <v>114400</v>
      </c>
      <c r="M4868" s="7">
        <v>6500</v>
      </c>
      <c r="N4868" s="7">
        <v>120900</v>
      </c>
      <c r="O4868" t="s">
        <v>57</v>
      </c>
      <c r="P4868" s="3">
        <v>41102</v>
      </c>
      <c r="Q4868" t="s">
        <v>28</v>
      </c>
    </row>
    <row r="4869" spans="1:17" x14ac:dyDescent="0.35">
      <c r="A4869" t="s">
        <v>4921</v>
      </c>
      <c r="B4869" t="s">
        <v>23</v>
      </c>
      <c r="C4869">
        <v>43</v>
      </c>
      <c r="D4869" t="s">
        <v>41</v>
      </c>
      <c r="E4869" t="s">
        <v>73</v>
      </c>
      <c r="F4869" t="s">
        <v>19</v>
      </c>
      <c r="G4869">
        <v>11.9</v>
      </c>
      <c r="H4869">
        <v>8.6</v>
      </c>
      <c r="I4869" t="str" cm="1">
        <f t="array" ref="I4869">_xlfn.IFS(G4869&lt;3, "0–2 Years", G4869&lt;6, "3–5 Years", G4869&lt;9, "6–8 Years", G4869&lt;12, "9-11 Years", G4869&gt;=12, "12-14 Years")</f>
        <v>9-11 Years</v>
      </c>
      <c r="J4869">
        <v>3</v>
      </c>
      <c r="K4869" t="s">
        <v>69</v>
      </c>
      <c r="L4869">
        <v>96800</v>
      </c>
      <c r="M4869">
        <v>6800</v>
      </c>
      <c r="N4869">
        <v>103600</v>
      </c>
      <c r="O4869" t="s">
        <v>30</v>
      </c>
      <c r="P4869" s="3">
        <v>41691</v>
      </c>
      <c r="Q4869" t="s">
        <v>19</v>
      </c>
    </row>
    <row r="4870" spans="1:17" x14ac:dyDescent="0.35">
      <c r="A4870" t="s">
        <v>4922</v>
      </c>
      <c r="B4870" t="s">
        <v>16</v>
      </c>
      <c r="C4870" s="7">
        <v>43</v>
      </c>
      <c r="D4870" t="s">
        <v>34</v>
      </c>
      <c r="E4870" t="s">
        <v>47</v>
      </c>
      <c r="F4870" t="s">
        <v>36</v>
      </c>
      <c r="G4870" s="9">
        <v>12.2</v>
      </c>
      <c r="H4870" s="7">
        <v>9.1</v>
      </c>
      <c r="I4870" t="str" cm="1">
        <f t="array" ref="I4870">_xlfn.IFS(G4870&lt;3, "0–2 Years", G4870&lt;6, "3–5 Years", G4870&lt;9, "6–8 Years", G4870&lt;12, "9-11 Years", G4870&gt;=12, "12-14 Years")</f>
        <v>12-14 Years</v>
      </c>
      <c r="J4870" s="7">
        <v>4</v>
      </c>
      <c r="K4870" t="s">
        <v>24</v>
      </c>
      <c r="L4870" s="7">
        <v>58800</v>
      </c>
      <c r="M4870" s="7">
        <v>4700</v>
      </c>
      <c r="N4870" s="7">
        <v>63500</v>
      </c>
      <c r="O4870" t="s">
        <v>25</v>
      </c>
      <c r="P4870" s="3">
        <v>41564</v>
      </c>
      <c r="Q4870" t="s">
        <v>36</v>
      </c>
    </row>
    <row r="4871" spans="1:17" x14ac:dyDescent="0.35">
      <c r="A4871" t="s">
        <v>4923</v>
      </c>
      <c r="B4871" t="s">
        <v>23</v>
      </c>
      <c r="C4871">
        <v>29</v>
      </c>
      <c r="D4871" t="s">
        <v>55</v>
      </c>
      <c r="E4871" t="s">
        <v>79</v>
      </c>
      <c r="F4871" t="s">
        <v>19</v>
      </c>
      <c r="G4871">
        <v>5.2</v>
      </c>
      <c r="H4871">
        <v>3.2</v>
      </c>
      <c r="I4871" t="str" cm="1">
        <f t="array" ref="I4871">_xlfn.IFS(G4871&lt;3, "0–2 Years", G4871&lt;6, "3–5 Years", G4871&lt;9, "6–8 Years", G4871&lt;12, "9-11 Years", G4871&gt;=12, "12-14 Years")</f>
        <v>3–5 Years</v>
      </c>
      <c r="J4871">
        <v>3</v>
      </c>
      <c r="K4871" t="s">
        <v>20</v>
      </c>
      <c r="L4871">
        <v>65900</v>
      </c>
      <c r="M4871">
        <v>13800</v>
      </c>
      <c r="N4871">
        <v>79700</v>
      </c>
      <c r="O4871" t="s">
        <v>21</v>
      </c>
      <c r="P4871" s="3">
        <v>44109</v>
      </c>
      <c r="Q4871" t="s">
        <v>19</v>
      </c>
    </row>
    <row r="4872" spans="1:17" x14ac:dyDescent="0.35">
      <c r="A4872" t="s">
        <v>4924</v>
      </c>
      <c r="B4872" t="s">
        <v>23</v>
      </c>
      <c r="C4872">
        <v>27</v>
      </c>
      <c r="D4872" t="s">
        <v>38</v>
      </c>
      <c r="E4872" t="s">
        <v>61</v>
      </c>
      <c r="F4872" t="s">
        <v>19</v>
      </c>
      <c r="G4872">
        <v>6.4</v>
      </c>
      <c r="H4872">
        <v>5.7</v>
      </c>
      <c r="I4872" t="str" cm="1">
        <f t="array" ref="I4872">_xlfn.IFS(G4872&lt;3, "0–2 Years", G4872&lt;6, "3–5 Years", G4872&lt;9, "6–8 Years", G4872&lt;12, "9-11 Years", G4872&gt;=12, "12-14 Years")</f>
        <v>6–8 Years</v>
      </c>
      <c r="J4872">
        <v>2</v>
      </c>
      <c r="K4872" t="s">
        <v>20</v>
      </c>
      <c r="L4872">
        <v>98600</v>
      </c>
      <c r="M4872">
        <v>8200</v>
      </c>
      <c r="N4872">
        <v>106800</v>
      </c>
      <c r="O4872" t="s">
        <v>30</v>
      </c>
      <c r="P4872" s="3">
        <v>43671</v>
      </c>
      <c r="Q4872" t="s">
        <v>19</v>
      </c>
    </row>
    <row r="4873" spans="1:17" x14ac:dyDescent="0.35">
      <c r="A4873" t="s">
        <v>4925</v>
      </c>
      <c r="B4873" t="s">
        <v>23</v>
      </c>
      <c r="C4873">
        <v>43</v>
      </c>
      <c r="D4873" t="s">
        <v>38</v>
      </c>
      <c r="E4873" t="s">
        <v>39</v>
      </c>
      <c r="F4873" t="s">
        <v>28</v>
      </c>
      <c r="G4873">
        <v>2.2000000000000002</v>
      </c>
      <c r="H4873">
        <v>1.9</v>
      </c>
      <c r="I4873" t="str" cm="1">
        <f t="array" ref="I4873">_xlfn.IFS(G4873&lt;3, "0–2 Years", G4873&lt;6, "3–5 Years", G4873&lt;9, "6–8 Years", G4873&lt;12, "9-11 Years", G4873&gt;=12, "12-14 Years")</f>
        <v>0–2 Years</v>
      </c>
      <c r="J4873">
        <v>2</v>
      </c>
      <c r="K4873" t="s">
        <v>69</v>
      </c>
      <c r="L4873">
        <v>51600</v>
      </c>
      <c r="M4873">
        <v>5200</v>
      </c>
      <c r="N4873">
        <v>56800</v>
      </c>
      <c r="O4873" t="s">
        <v>25</v>
      </c>
      <c r="P4873" s="3">
        <v>45213</v>
      </c>
      <c r="Q4873" t="s">
        <v>28</v>
      </c>
    </row>
    <row r="4874" spans="1:17" x14ac:dyDescent="0.35">
      <c r="A4874" t="s">
        <v>4926</v>
      </c>
      <c r="B4874" t="s">
        <v>16</v>
      </c>
      <c r="C4874">
        <v>33</v>
      </c>
      <c r="D4874" t="s">
        <v>41</v>
      </c>
      <c r="E4874" t="s">
        <v>73</v>
      </c>
      <c r="F4874" t="s">
        <v>36</v>
      </c>
      <c r="G4874">
        <v>7.3</v>
      </c>
      <c r="H4874">
        <v>5.6</v>
      </c>
      <c r="I4874" t="str" cm="1">
        <f t="array" ref="I4874">_xlfn.IFS(G4874&lt;3, "0–2 Years", G4874&lt;6, "3–5 Years", G4874&lt;9, "6–8 Years", G4874&lt;12, "9-11 Years", G4874&gt;=12, "12-14 Years")</f>
        <v>6–8 Years</v>
      </c>
      <c r="J4874">
        <v>3</v>
      </c>
      <c r="K4874" t="s">
        <v>20</v>
      </c>
      <c r="L4874">
        <v>100500</v>
      </c>
      <c r="M4874">
        <v>7600</v>
      </c>
      <c r="N4874">
        <v>108100</v>
      </c>
      <c r="O4874" t="s">
        <v>57</v>
      </c>
      <c r="P4874" s="3">
        <v>43356</v>
      </c>
      <c r="Q4874" t="s">
        <v>36</v>
      </c>
    </row>
    <row r="4875" spans="1:17" x14ac:dyDescent="0.35">
      <c r="A4875" t="s">
        <v>4927</v>
      </c>
      <c r="B4875" t="s">
        <v>16</v>
      </c>
      <c r="C4875">
        <v>55</v>
      </c>
      <c r="D4875" t="s">
        <v>44</v>
      </c>
      <c r="E4875" t="s">
        <v>81</v>
      </c>
      <c r="F4875" t="s">
        <v>28</v>
      </c>
      <c r="G4875">
        <v>11.1</v>
      </c>
      <c r="H4875">
        <v>6.8</v>
      </c>
      <c r="I4875" t="str" cm="1">
        <f t="array" ref="I4875">_xlfn.IFS(G4875&lt;3, "0–2 Years", G4875&lt;6, "3–5 Years", G4875&lt;9, "6–8 Years", G4875&lt;12, "9-11 Years", G4875&gt;=12, "12-14 Years")</f>
        <v>9-11 Years</v>
      </c>
      <c r="J4875">
        <v>3</v>
      </c>
      <c r="K4875" t="s">
        <v>20</v>
      </c>
      <c r="L4875">
        <v>84300</v>
      </c>
      <c r="M4875">
        <v>9900</v>
      </c>
      <c r="N4875">
        <v>94200</v>
      </c>
      <c r="O4875" t="s">
        <v>30</v>
      </c>
      <c r="P4875" s="3">
        <v>41982</v>
      </c>
      <c r="Q4875" t="s">
        <v>28</v>
      </c>
    </row>
    <row r="4876" spans="1:17" x14ac:dyDescent="0.35">
      <c r="A4876" t="s">
        <v>4928</v>
      </c>
      <c r="B4876" t="s">
        <v>16</v>
      </c>
      <c r="C4876">
        <v>32</v>
      </c>
      <c r="D4876" t="s">
        <v>17</v>
      </c>
      <c r="E4876" t="s">
        <v>27</v>
      </c>
      <c r="F4876" t="s">
        <v>36</v>
      </c>
      <c r="G4876">
        <v>1.1000000000000001</v>
      </c>
      <c r="H4876">
        <v>0.4</v>
      </c>
      <c r="I4876" t="str" cm="1">
        <f t="array" ref="I4876">_xlfn.IFS(G4876&lt;3, "0–2 Years", G4876&lt;6, "3–5 Years", G4876&lt;9, "6–8 Years", G4876&lt;12, "9-11 Years", G4876&gt;=12, "12-14 Years")</f>
        <v>0–2 Years</v>
      </c>
      <c r="J4876">
        <v>2</v>
      </c>
      <c r="K4876" t="s">
        <v>20</v>
      </c>
      <c r="L4876">
        <v>79400</v>
      </c>
      <c r="M4876">
        <v>4200</v>
      </c>
      <c r="N4876">
        <v>83600</v>
      </c>
      <c r="O4876" t="s">
        <v>21</v>
      </c>
      <c r="P4876" s="3">
        <v>45613</v>
      </c>
      <c r="Q4876" t="s">
        <v>36</v>
      </c>
    </row>
    <row r="4877" spans="1:17" x14ac:dyDescent="0.35">
      <c r="A4877" t="s">
        <v>4929</v>
      </c>
      <c r="B4877" t="s">
        <v>23</v>
      </c>
      <c r="C4877" s="7">
        <v>34</v>
      </c>
      <c r="D4877" t="s">
        <v>44</v>
      </c>
      <c r="E4877" t="s">
        <v>45</v>
      </c>
      <c r="F4877" t="s">
        <v>28</v>
      </c>
      <c r="G4877" s="9">
        <v>13.3</v>
      </c>
      <c r="H4877" s="7">
        <v>8.8000000000000007</v>
      </c>
      <c r="I4877" t="str" cm="1">
        <f t="array" ref="I4877">_xlfn.IFS(G4877&lt;3, "0–2 Years", G4877&lt;6, "3–5 Years", G4877&lt;9, "6–8 Years", G4877&lt;12, "9-11 Years", G4877&gt;=12, "12-14 Years")</f>
        <v>12-14 Years</v>
      </c>
      <c r="J4877" s="7">
        <v>2</v>
      </c>
      <c r="K4877" t="s">
        <v>24</v>
      </c>
      <c r="L4877" s="7">
        <v>52000</v>
      </c>
      <c r="M4877" s="7">
        <v>5800</v>
      </c>
      <c r="N4877" s="7">
        <v>57800</v>
      </c>
      <c r="O4877" t="s">
        <v>25</v>
      </c>
      <c r="P4877" s="3">
        <v>41148</v>
      </c>
      <c r="Q4877" t="s">
        <v>28</v>
      </c>
    </row>
    <row r="4878" spans="1:17" x14ac:dyDescent="0.35">
      <c r="A4878" t="s">
        <v>4930</v>
      </c>
      <c r="B4878" t="s">
        <v>16</v>
      </c>
      <c r="C4878">
        <v>33</v>
      </c>
      <c r="D4878" t="s">
        <v>17</v>
      </c>
      <c r="E4878" t="s">
        <v>27</v>
      </c>
      <c r="F4878" t="s">
        <v>62</v>
      </c>
      <c r="G4878">
        <v>4.7</v>
      </c>
      <c r="H4878">
        <v>3.4</v>
      </c>
      <c r="I4878" t="str" cm="1">
        <f t="array" ref="I4878">_xlfn.IFS(G4878&lt;3, "0–2 Years", G4878&lt;6, "3–5 Years", G4878&lt;9, "6–8 Years", G4878&lt;12, "9-11 Years", G4878&gt;=12, "12-14 Years")</f>
        <v>3–5 Years</v>
      </c>
      <c r="J4878">
        <v>4</v>
      </c>
      <c r="K4878" t="s">
        <v>20</v>
      </c>
      <c r="L4878">
        <v>79200</v>
      </c>
      <c r="M4878">
        <v>9200</v>
      </c>
      <c r="N4878">
        <v>88400</v>
      </c>
      <c r="O4878" t="s">
        <v>21</v>
      </c>
      <c r="P4878" s="3">
        <v>44315</v>
      </c>
      <c r="Q4878" t="s">
        <v>62</v>
      </c>
    </row>
    <row r="4879" spans="1:17" x14ac:dyDescent="0.35">
      <c r="A4879" t="s">
        <v>4931</v>
      </c>
      <c r="B4879" t="s">
        <v>16</v>
      </c>
      <c r="C4879">
        <v>28</v>
      </c>
      <c r="D4879" t="s">
        <v>34</v>
      </c>
      <c r="E4879" t="s">
        <v>59</v>
      </c>
      <c r="F4879" t="s">
        <v>28</v>
      </c>
      <c r="G4879">
        <v>5.7</v>
      </c>
      <c r="H4879">
        <v>3.8</v>
      </c>
      <c r="I4879" t="str" cm="1">
        <f t="array" ref="I4879">_xlfn.IFS(G4879&lt;3, "0–2 Years", G4879&lt;6, "3–5 Years", G4879&lt;9, "6–8 Years", G4879&lt;12, "9-11 Years", G4879&gt;=12, "12-14 Years")</f>
        <v>3–5 Years</v>
      </c>
      <c r="J4879">
        <v>3</v>
      </c>
      <c r="K4879" t="s">
        <v>20</v>
      </c>
      <c r="L4879">
        <v>105300</v>
      </c>
      <c r="M4879">
        <v>5800</v>
      </c>
      <c r="N4879">
        <v>111100</v>
      </c>
      <c r="O4879" t="s">
        <v>57</v>
      </c>
      <c r="P4879" s="3">
        <v>43945</v>
      </c>
      <c r="Q4879" t="s">
        <v>28</v>
      </c>
    </row>
    <row r="4880" spans="1:17" x14ac:dyDescent="0.35">
      <c r="A4880" t="s">
        <v>4932</v>
      </c>
      <c r="B4880" t="s">
        <v>16</v>
      </c>
      <c r="C4880" s="7">
        <v>24</v>
      </c>
      <c r="D4880" t="s">
        <v>34</v>
      </c>
      <c r="E4880" t="s">
        <v>35</v>
      </c>
      <c r="F4880" t="s">
        <v>36</v>
      </c>
      <c r="G4880" s="9">
        <v>13.5</v>
      </c>
      <c r="H4880" s="7">
        <v>9</v>
      </c>
      <c r="I4880" t="str" cm="1">
        <f t="array" ref="I4880">_xlfn.IFS(G4880&lt;3, "0–2 Years", G4880&lt;6, "3–5 Years", G4880&lt;9, "6–8 Years", G4880&lt;12, "9-11 Years", G4880&gt;=12, "12-14 Years")</f>
        <v>12-14 Years</v>
      </c>
      <c r="J4880" s="7">
        <v>3</v>
      </c>
      <c r="K4880" t="s">
        <v>20</v>
      </c>
      <c r="L4880" s="7">
        <v>87800</v>
      </c>
      <c r="M4880" s="7">
        <v>4600</v>
      </c>
      <c r="N4880" s="7">
        <v>92400</v>
      </c>
      <c r="O4880" t="s">
        <v>30</v>
      </c>
      <c r="P4880" s="3">
        <v>41075</v>
      </c>
      <c r="Q4880" t="s">
        <v>36</v>
      </c>
    </row>
    <row r="4881" spans="1:17" x14ac:dyDescent="0.35">
      <c r="A4881" t="s">
        <v>4933</v>
      </c>
      <c r="B4881" t="s">
        <v>23</v>
      </c>
      <c r="C4881">
        <v>37</v>
      </c>
      <c r="D4881" t="s">
        <v>44</v>
      </c>
      <c r="E4881" t="s">
        <v>45</v>
      </c>
      <c r="F4881" t="s">
        <v>28</v>
      </c>
      <c r="G4881">
        <v>6.4</v>
      </c>
      <c r="H4881">
        <v>3</v>
      </c>
      <c r="I4881" t="str" cm="1">
        <f t="array" ref="I4881">_xlfn.IFS(G4881&lt;3, "0–2 Years", G4881&lt;6, "3–5 Years", G4881&lt;9, "6–8 Years", G4881&lt;12, "9-11 Years", G4881&gt;=12, "12-14 Years")</f>
        <v>6–8 Years</v>
      </c>
      <c r="J4881">
        <v>2</v>
      </c>
      <c r="K4881" t="s">
        <v>20</v>
      </c>
      <c r="L4881">
        <v>72800</v>
      </c>
      <c r="M4881">
        <v>5600</v>
      </c>
      <c r="N4881">
        <v>78400</v>
      </c>
      <c r="O4881" t="s">
        <v>21</v>
      </c>
      <c r="P4881" s="3">
        <v>43672</v>
      </c>
      <c r="Q4881" t="s">
        <v>28</v>
      </c>
    </row>
    <row r="4882" spans="1:17" x14ac:dyDescent="0.35">
      <c r="A4882" t="s">
        <v>4934</v>
      </c>
      <c r="B4882" t="s">
        <v>16</v>
      </c>
      <c r="C4882">
        <v>54</v>
      </c>
      <c r="D4882" t="s">
        <v>55</v>
      </c>
      <c r="E4882" t="s">
        <v>92</v>
      </c>
      <c r="F4882" t="s">
        <v>36</v>
      </c>
      <c r="G4882">
        <v>4.7</v>
      </c>
      <c r="H4882">
        <v>1</v>
      </c>
      <c r="I4882" t="str" cm="1">
        <f t="array" ref="I4882">_xlfn.IFS(G4882&lt;3, "0–2 Years", G4882&lt;6, "3–5 Years", G4882&lt;9, "6–8 Years", G4882&lt;12, "9-11 Years", G4882&gt;=12, "12-14 Years")</f>
        <v>3–5 Years</v>
      </c>
      <c r="J4882">
        <v>4</v>
      </c>
      <c r="K4882" t="s">
        <v>20</v>
      </c>
      <c r="L4882">
        <v>104800</v>
      </c>
      <c r="M4882">
        <v>22000</v>
      </c>
      <c r="N4882">
        <v>126800</v>
      </c>
      <c r="O4882" t="s">
        <v>57</v>
      </c>
      <c r="P4882" s="3">
        <v>44303</v>
      </c>
      <c r="Q4882" t="s">
        <v>36</v>
      </c>
    </row>
    <row r="4883" spans="1:17" x14ac:dyDescent="0.35">
      <c r="A4883" t="s">
        <v>4935</v>
      </c>
      <c r="B4883" t="s">
        <v>23</v>
      </c>
      <c r="C4883">
        <v>30</v>
      </c>
      <c r="D4883" t="s">
        <v>34</v>
      </c>
      <c r="E4883" t="s">
        <v>59</v>
      </c>
      <c r="F4883" t="s">
        <v>36</v>
      </c>
      <c r="G4883">
        <v>7.6</v>
      </c>
      <c r="H4883">
        <v>5</v>
      </c>
      <c r="I4883" t="str" cm="1">
        <f t="array" ref="I4883">_xlfn.IFS(G4883&lt;3, "0–2 Years", G4883&lt;6, "3–5 Years", G4883&lt;9, "6–8 Years", G4883&lt;12, "9-11 Years", G4883&gt;=12, "12-14 Years")</f>
        <v>6–8 Years</v>
      </c>
      <c r="J4883">
        <v>2</v>
      </c>
      <c r="K4883" t="s">
        <v>20</v>
      </c>
      <c r="L4883">
        <v>129900</v>
      </c>
      <c r="M4883">
        <v>5600</v>
      </c>
      <c r="N4883">
        <v>135500</v>
      </c>
      <c r="O4883" t="s">
        <v>57</v>
      </c>
      <c r="P4883" s="3">
        <v>43235</v>
      </c>
      <c r="Q4883" t="s">
        <v>36</v>
      </c>
    </row>
    <row r="4884" spans="1:17" x14ac:dyDescent="0.35">
      <c r="A4884" t="s">
        <v>4936</v>
      </c>
      <c r="B4884" t="s">
        <v>23</v>
      </c>
      <c r="C4884">
        <v>35</v>
      </c>
      <c r="D4884" t="s">
        <v>55</v>
      </c>
      <c r="E4884" t="s">
        <v>92</v>
      </c>
      <c r="F4884" t="s">
        <v>28</v>
      </c>
      <c r="G4884">
        <v>5.7</v>
      </c>
      <c r="H4884">
        <v>4.7</v>
      </c>
      <c r="I4884" t="str" cm="1">
        <f t="array" ref="I4884">_xlfn.IFS(G4884&lt;3, "0–2 Years", G4884&lt;6, "3–5 Years", G4884&lt;9, "6–8 Years", G4884&lt;12, "9-11 Years", G4884&gt;=12, "12-14 Years")</f>
        <v>3–5 Years</v>
      </c>
      <c r="J4884">
        <v>3</v>
      </c>
      <c r="K4884" t="s">
        <v>20</v>
      </c>
      <c r="L4884">
        <v>108600</v>
      </c>
      <c r="M4884">
        <v>12700</v>
      </c>
      <c r="N4884">
        <v>121300</v>
      </c>
      <c r="O4884" t="s">
        <v>57</v>
      </c>
      <c r="P4884" s="3">
        <v>43939</v>
      </c>
      <c r="Q4884" t="s">
        <v>28</v>
      </c>
    </row>
    <row r="4885" spans="1:17" x14ac:dyDescent="0.35">
      <c r="A4885" t="s">
        <v>4937</v>
      </c>
      <c r="B4885" t="s">
        <v>16</v>
      </c>
      <c r="C4885">
        <v>40</v>
      </c>
      <c r="D4885" t="s">
        <v>17</v>
      </c>
      <c r="E4885" t="s">
        <v>18</v>
      </c>
      <c r="F4885" t="s">
        <v>62</v>
      </c>
      <c r="G4885">
        <v>2.8</v>
      </c>
      <c r="H4885">
        <v>2.5</v>
      </c>
      <c r="I4885" t="str" cm="1">
        <f t="array" ref="I4885">_xlfn.IFS(G4885&lt;3, "0–2 Years", G4885&lt;6, "3–5 Years", G4885&lt;9, "6–8 Years", G4885&lt;12, "9-11 Years", G4885&gt;=12, "12-14 Years")</f>
        <v>0–2 Years</v>
      </c>
      <c r="J4885">
        <v>3</v>
      </c>
      <c r="K4885" t="s">
        <v>20</v>
      </c>
      <c r="L4885">
        <v>89700</v>
      </c>
      <c r="M4885">
        <v>4200</v>
      </c>
      <c r="N4885">
        <v>93900</v>
      </c>
      <c r="O4885" t="s">
        <v>30</v>
      </c>
      <c r="P4885" s="3">
        <v>45013</v>
      </c>
      <c r="Q4885" t="s">
        <v>62</v>
      </c>
    </row>
    <row r="4886" spans="1:17" x14ac:dyDescent="0.35">
      <c r="A4886" t="s">
        <v>4938</v>
      </c>
      <c r="B4886" t="s">
        <v>23</v>
      </c>
      <c r="C4886">
        <v>47</v>
      </c>
      <c r="D4886" t="s">
        <v>17</v>
      </c>
      <c r="E4886" t="s">
        <v>32</v>
      </c>
      <c r="F4886" t="s">
        <v>28</v>
      </c>
      <c r="G4886">
        <v>3</v>
      </c>
      <c r="H4886">
        <v>3</v>
      </c>
      <c r="I4886" t="str" cm="1">
        <f t="array" ref="I4886">_xlfn.IFS(G4886&lt;3, "0–2 Years", G4886&lt;6, "3–5 Years", G4886&lt;9, "6–8 Years", G4886&lt;12, "9-11 Years", G4886&gt;=12, "12-14 Years")</f>
        <v>3–5 Years</v>
      </c>
      <c r="J4886">
        <v>5</v>
      </c>
      <c r="K4886" t="s">
        <v>24</v>
      </c>
      <c r="L4886">
        <v>46800</v>
      </c>
      <c r="M4886">
        <v>3400</v>
      </c>
      <c r="N4886">
        <v>50200</v>
      </c>
      <c r="O4886" t="s">
        <v>65</v>
      </c>
      <c r="P4886" s="3">
        <v>44918</v>
      </c>
      <c r="Q4886" t="s">
        <v>28</v>
      </c>
    </row>
    <row r="4887" spans="1:17" x14ac:dyDescent="0.35">
      <c r="A4887" t="s">
        <v>4939</v>
      </c>
      <c r="B4887" t="s">
        <v>23</v>
      </c>
      <c r="C4887">
        <v>33</v>
      </c>
      <c r="D4887" t="s">
        <v>34</v>
      </c>
      <c r="E4887" t="s">
        <v>47</v>
      </c>
      <c r="F4887" t="s">
        <v>36</v>
      </c>
      <c r="G4887">
        <v>11.5</v>
      </c>
      <c r="H4887">
        <v>7.7</v>
      </c>
      <c r="I4887" t="str" cm="1">
        <f t="array" ref="I4887">_xlfn.IFS(G4887&lt;3, "0–2 Years", G4887&lt;6, "3–5 Years", G4887&lt;9, "6–8 Years", G4887&lt;12, "9-11 Years", G4887&gt;=12, "12-14 Years")</f>
        <v>9-11 Years</v>
      </c>
      <c r="J4887">
        <v>3</v>
      </c>
      <c r="K4887" t="s">
        <v>24</v>
      </c>
      <c r="L4887">
        <v>57900</v>
      </c>
      <c r="M4887">
        <v>6600</v>
      </c>
      <c r="N4887">
        <v>64500</v>
      </c>
      <c r="O4887" t="s">
        <v>25</v>
      </c>
      <c r="P4887" s="3">
        <v>41832</v>
      </c>
      <c r="Q4887" t="s">
        <v>36</v>
      </c>
    </row>
    <row r="4888" spans="1:17" x14ac:dyDescent="0.35">
      <c r="A4888" t="s">
        <v>4940</v>
      </c>
      <c r="B4888" t="s">
        <v>16</v>
      </c>
      <c r="C4888" s="7">
        <v>46</v>
      </c>
      <c r="D4888" t="s">
        <v>41</v>
      </c>
      <c r="E4888" t="s">
        <v>73</v>
      </c>
      <c r="F4888" t="s">
        <v>19</v>
      </c>
      <c r="G4888" s="9">
        <v>12.6</v>
      </c>
      <c r="H4888" s="7">
        <v>9.4</v>
      </c>
      <c r="I4888" t="str" cm="1">
        <f t="array" ref="I4888">_xlfn.IFS(G4888&lt;3, "0–2 Years", G4888&lt;6, "3–5 Years", G4888&lt;9, "6–8 Years", G4888&lt;12, "9-11 Years", G4888&gt;=12, "12-14 Years")</f>
        <v>12-14 Years</v>
      </c>
      <c r="J4888" s="7">
        <v>3</v>
      </c>
      <c r="K4888" t="s">
        <v>20</v>
      </c>
      <c r="L4888" s="7">
        <v>99700</v>
      </c>
      <c r="M4888" s="7">
        <v>8700</v>
      </c>
      <c r="N4888" s="7">
        <v>108400</v>
      </c>
      <c r="O4888" t="s">
        <v>30</v>
      </c>
      <c r="P4888" s="3">
        <v>41415</v>
      </c>
      <c r="Q4888" t="s">
        <v>19</v>
      </c>
    </row>
    <row r="4889" spans="1:17" x14ac:dyDescent="0.35">
      <c r="A4889" t="s">
        <v>4941</v>
      </c>
      <c r="B4889" t="s">
        <v>16</v>
      </c>
      <c r="C4889">
        <v>49</v>
      </c>
      <c r="D4889" t="s">
        <v>17</v>
      </c>
      <c r="E4889" t="s">
        <v>32</v>
      </c>
      <c r="F4889" t="s">
        <v>28</v>
      </c>
      <c r="G4889">
        <v>7.4</v>
      </c>
      <c r="H4889">
        <v>5</v>
      </c>
      <c r="I4889" t="str" cm="1">
        <f t="array" ref="I4889">_xlfn.IFS(G4889&lt;3, "0–2 Years", G4889&lt;6, "3–5 Years", G4889&lt;9, "6–8 Years", G4889&lt;12, "9-11 Years", G4889&gt;=12, "12-14 Years")</f>
        <v>6–8 Years</v>
      </c>
      <c r="J4889">
        <v>2</v>
      </c>
      <c r="K4889" t="s">
        <v>20</v>
      </c>
      <c r="L4889">
        <v>68800</v>
      </c>
      <c r="M4889">
        <v>7600</v>
      </c>
      <c r="N4889">
        <v>76400</v>
      </c>
      <c r="O4889" t="s">
        <v>21</v>
      </c>
      <c r="P4889" s="3">
        <v>43328</v>
      </c>
      <c r="Q4889" t="s">
        <v>28</v>
      </c>
    </row>
    <row r="4890" spans="1:17" x14ac:dyDescent="0.35">
      <c r="A4890" t="s">
        <v>4942</v>
      </c>
      <c r="B4890" t="s">
        <v>16</v>
      </c>
      <c r="C4890">
        <v>32</v>
      </c>
      <c r="D4890" t="s">
        <v>38</v>
      </c>
      <c r="E4890" t="s">
        <v>112</v>
      </c>
      <c r="F4890" t="s">
        <v>19</v>
      </c>
      <c r="G4890">
        <v>11.9</v>
      </c>
      <c r="H4890">
        <v>7.7</v>
      </c>
      <c r="I4890" t="str" cm="1">
        <f t="array" ref="I4890">_xlfn.IFS(G4890&lt;3, "0–2 Years", G4890&lt;6, "3–5 Years", G4890&lt;9, "6–8 Years", G4890&lt;12, "9-11 Years", G4890&gt;=12, "12-14 Years")</f>
        <v>9-11 Years</v>
      </c>
      <c r="J4890">
        <v>2</v>
      </c>
      <c r="K4890" t="s">
        <v>20</v>
      </c>
      <c r="L4890">
        <v>70100</v>
      </c>
      <c r="M4890">
        <v>7300</v>
      </c>
      <c r="N4890">
        <v>77400</v>
      </c>
      <c r="O4890" t="s">
        <v>21</v>
      </c>
      <c r="P4890" s="3">
        <v>41675</v>
      </c>
      <c r="Q4890" t="s">
        <v>19</v>
      </c>
    </row>
    <row r="4891" spans="1:17" x14ac:dyDescent="0.35">
      <c r="A4891" t="s">
        <v>4943</v>
      </c>
      <c r="B4891" t="s">
        <v>23</v>
      </c>
      <c r="C4891">
        <v>44</v>
      </c>
      <c r="D4891" t="s">
        <v>17</v>
      </c>
      <c r="E4891" t="s">
        <v>32</v>
      </c>
      <c r="F4891" t="s">
        <v>19</v>
      </c>
      <c r="G4891">
        <v>11</v>
      </c>
      <c r="H4891">
        <v>6.1</v>
      </c>
      <c r="I4891" t="str" cm="1">
        <f t="array" ref="I4891">_xlfn.IFS(G4891&lt;3, "0–2 Years", G4891&lt;6, "3–5 Years", G4891&lt;9, "6–8 Years", G4891&lt;12, "9-11 Years", G4891&gt;=12, "12-14 Years")</f>
        <v>9-11 Years</v>
      </c>
      <c r="J4891">
        <v>2</v>
      </c>
      <c r="K4891" t="s">
        <v>20</v>
      </c>
      <c r="L4891">
        <v>64400</v>
      </c>
      <c r="M4891">
        <v>5700</v>
      </c>
      <c r="N4891">
        <v>70100</v>
      </c>
      <c r="O4891" t="s">
        <v>25</v>
      </c>
      <c r="P4891" s="3">
        <v>42006</v>
      </c>
      <c r="Q4891" t="s">
        <v>19</v>
      </c>
    </row>
    <row r="4892" spans="1:17" x14ac:dyDescent="0.35">
      <c r="A4892" t="s">
        <v>4944</v>
      </c>
      <c r="B4892" t="s">
        <v>16</v>
      </c>
      <c r="C4892">
        <v>23</v>
      </c>
      <c r="D4892" t="s">
        <v>41</v>
      </c>
      <c r="E4892" t="s">
        <v>73</v>
      </c>
      <c r="F4892" t="s">
        <v>36</v>
      </c>
      <c r="G4892">
        <v>9</v>
      </c>
      <c r="H4892">
        <v>5.6</v>
      </c>
      <c r="I4892" t="str" cm="1">
        <f t="array" ref="I4892">_xlfn.IFS(G4892&lt;3, "0–2 Years", G4892&lt;6, "3–5 Years", G4892&lt;9, "6–8 Years", G4892&lt;12, "9-11 Years", G4892&gt;=12, "12-14 Years")</f>
        <v>9-11 Years</v>
      </c>
      <c r="J4892">
        <v>3</v>
      </c>
      <c r="K4892" t="s">
        <v>20</v>
      </c>
      <c r="L4892">
        <v>113800</v>
      </c>
      <c r="M4892">
        <v>8300</v>
      </c>
      <c r="N4892">
        <v>122100</v>
      </c>
      <c r="O4892" t="s">
        <v>57</v>
      </c>
      <c r="P4892" s="3">
        <v>42727</v>
      </c>
      <c r="Q4892" t="s">
        <v>36</v>
      </c>
    </row>
    <row r="4893" spans="1:17" x14ac:dyDescent="0.35">
      <c r="A4893" t="s">
        <v>4945</v>
      </c>
      <c r="B4893" t="s">
        <v>16</v>
      </c>
      <c r="C4893">
        <v>38</v>
      </c>
      <c r="D4893" t="s">
        <v>41</v>
      </c>
      <c r="E4893" t="s">
        <v>67</v>
      </c>
      <c r="F4893" t="s">
        <v>62</v>
      </c>
      <c r="G4893">
        <v>7.2</v>
      </c>
      <c r="H4893">
        <v>4.4000000000000004</v>
      </c>
      <c r="I4893" t="str" cm="1">
        <f t="array" ref="I4893">_xlfn.IFS(G4893&lt;3, "0–2 Years", G4893&lt;6, "3–5 Years", G4893&lt;9, "6–8 Years", G4893&lt;12, "9-11 Years", G4893&gt;=12, "12-14 Years")</f>
        <v>6–8 Years</v>
      </c>
      <c r="J4893">
        <v>3</v>
      </c>
      <c r="K4893" t="s">
        <v>24</v>
      </c>
      <c r="L4893">
        <v>46100</v>
      </c>
      <c r="M4893">
        <v>3100</v>
      </c>
      <c r="N4893">
        <v>49200</v>
      </c>
      <c r="O4893" t="s">
        <v>65</v>
      </c>
      <c r="P4893" s="3">
        <v>43397</v>
      </c>
      <c r="Q4893" t="s">
        <v>62</v>
      </c>
    </row>
    <row r="4894" spans="1:17" x14ac:dyDescent="0.35">
      <c r="A4894" t="s">
        <v>4946</v>
      </c>
      <c r="B4894" t="s">
        <v>23</v>
      </c>
      <c r="C4894">
        <v>29</v>
      </c>
      <c r="D4894" t="s">
        <v>44</v>
      </c>
      <c r="E4894" t="s">
        <v>76</v>
      </c>
      <c r="F4894" t="s">
        <v>36</v>
      </c>
      <c r="G4894">
        <v>7.8</v>
      </c>
      <c r="H4894">
        <v>3.9</v>
      </c>
      <c r="I4894" t="str" cm="1">
        <f t="array" ref="I4894">_xlfn.IFS(G4894&lt;3, "0–2 Years", G4894&lt;6, "3–5 Years", G4894&lt;9, "6–8 Years", G4894&lt;12, "9-11 Years", G4894&gt;=12, "12-14 Years")</f>
        <v>6–8 Years</v>
      </c>
      <c r="J4894">
        <v>3</v>
      </c>
      <c r="K4894" t="s">
        <v>20</v>
      </c>
      <c r="L4894">
        <v>114000</v>
      </c>
      <c r="M4894">
        <v>15600</v>
      </c>
      <c r="N4894">
        <v>129600</v>
      </c>
      <c r="O4894" t="s">
        <v>57</v>
      </c>
      <c r="P4894" s="3">
        <v>43189</v>
      </c>
      <c r="Q4894" t="s">
        <v>36</v>
      </c>
    </row>
    <row r="4895" spans="1:17" x14ac:dyDescent="0.35">
      <c r="A4895" t="s">
        <v>4947</v>
      </c>
      <c r="B4895" t="s">
        <v>23</v>
      </c>
      <c r="C4895" s="7">
        <v>24</v>
      </c>
      <c r="D4895" t="s">
        <v>44</v>
      </c>
      <c r="E4895" t="s">
        <v>81</v>
      </c>
      <c r="F4895" t="s">
        <v>36</v>
      </c>
      <c r="G4895" s="9">
        <v>14</v>
      </c>
      <c r="H4895" s="7">
        <v>11.5</v>
      </c>
      <c r="I4895" t="str" cm="1">
        <f t="array" ref="I4895">_xlfn.IFS(G4895&lt;3, "0–2 Years", G4895&lt;6, "3–5 Years", G4895&lt;9, "6–8 Years", G4895&lt;12, "9-11 Years", G4895&gt;=12, "12-14 Years")</f>
        <v>12-14 Years</v>
      </c>
      <c r="J4895" s="7">
        <v>5</v>
      </c>
      <c r="K4895" t="s">
        <v>20</v>
      </c>
      <c r="L4895" s="7">
        <v>110900</v>
      </c>
      <c r="M4895" s="7">
        <v>15700</v>
      </c>
      <c r="N4895" s="7">
        <v>126600</v>
      </c>
      <c r="O4895" t="s">
        <v>57</v>
      </c>
      <c r="P4895" s="3">
        <v>40914</v>
      </c>
      <c r="Q4895" t="s">
        <v>36</v>
      </c>
    </row>
    <row r="4896" spans="1:17" x14ac:dyDescent="0.35">
      <c r="A4896" t="s">
        <v>4948</v>
      </c>
      <c r="B4896" t="s">
        <v>16</v>
      </c>
      <c r="C4896">
        <v>34</v>
      </c>
      <c r="D4896" t="s">
        <v>34</v>
      </c>
      <c r="E4896" t="s">
        <v>59</v>
      </c>
      <c r="F4896" t="s">
        <v>19</v>
      </c>
      <c r="G4896">
        <v>7.1</v>
      </c>
      <c r="H4896">
        <v>3.6</v>
      </c>
      <c r="I4896" t="str" cm="1">
        <f t="array" ref="I4896">_xlfn.IFS(G4896&lt;3, "0–2 Years", G4896&lt;6, "3–5 Years", G4896&lt;9, "6–8 Years", G4896&lt;12, "9-11 Years", G4896&gt;=12, "12-14 Years")</f>
        <v>6–8 Years</v>
      </c>
      <c r="J4896">
        <v>4</v>
      </c>
      <c r="K4896" t="s">
        <v>20</v>
      </c>
      <c r="L4896">
        <v>94700</v>
      </c>
      <c r="M4896">
        <v>6300</v>
      </c>
      <c r="N4896">
        <v>101000</v>
      </c>
      <c r="O4896" t="s">
        <v>30</v>
      </c>
      <c r="P4896" s="3">
        <v>43427</v>
      </c>
      <c r="Q4896" t="s">
        <v>19</v>
      </c>
    </row>
    <row r="4897" spans="1:17" x14ac:dyDescent="0.35">
      <c r="A4897" t="s">
        <v>4949</v>
      </c>
      <c r="B4897" t="s">
        <v>23</v>
      </c>
      <c r="C4897">
        <v>31</v>
      </c>
      <c r="D4897" t="s">
        <v>55</v>
      </c>
      <c r="E4897" t="s">
        <v>92</v>
      </c>
      <c r="F4897" t="s">
        <v>28</v>
      </c>
      <c r="G4897">
        <v>3.9</v>
      </c>
      <c r="H4897">
        <v>3.8</v>
      </c>
      <c r="I4897" t="str" cm="1">
        <f t="array" ref="I4897">_xlfn.IFS(G4897&lt;3, "0–2 Years", G4897&lt;6, "3–5 Years", G4897&lt;9, "6–8 Years", G4897&lt;12, "9-11 Years", G4897&gt;=12, "12-14 Years")</f>
        <v>3–5 Years</v>
      </c>
      <c r="J4897">
        <v>3</v>
      </c>
      <c r="K4897" t="s">
        <v>24</v>
      </c>
      <c r="L4897">
        <v>59300</v>
      </c>
      <c r="M4897">
        <v>7600</v>
      </c>
      <c r="N4897">
        <v>66900</v>
      </c>
      <c r="O4897" t="s">
        <v>25</v>
      </c>
      <c r="P4897" s="3">
        <v>44581</v>
      </c>
      <c r="Q4897" t="s">
        <v>28</v>
      </c>
    </row>
    <row r="4898" spans="1:17" x14ac:dyDescent="0.35">
      <c r="A4898" t="s">
        <v>4950</v>
      </c>
      <c r="B4898" t="s">
        <v>23</v>
      </c>
      <c r="C4898">
        <v>43</v>
      </c>
      <c r="D4898" t="s">
        <v>55</v>
      </c>
      <c r="E4898" t="s">
        <v>56</v>
      </c>
      <c r="F4898" t="s">
        <v>28</v>
      </c>
      <c r="G4898">
        <v>9.3000000000000007</v>
      </c>
      <c r="H4898">
        <v>7.1</v>
      </c>
      <c r="I4898" t="str" cm="1">
        <f t="array" ref="I4898">_xlfn.IFS(G4898&lt;3, "0–2 Years", G4898&lt;6, "3–5 Years", G4898&lt;9, "6–8 Years", G4898&lt;12, "9-11 Years", G4898&gt;=12, "12-14 Years")</f>
        <v>9-11 Years</v>
      </c>
      <c r="J4898">
        <v>5</v>
      </c>
      <c r="K4898" t="s">
        <v>20</v>
      </c>
      <c r="L4898">
        <v>102900</v>
      </c>
      <c r="M4898">
        <v>9800</v>
      </c>
      <c r="N4898">
        <v>112700</v>
      </c>
      <c r="O4898" t="s">
        <v>57</v>
      </c>
      <c r="P4898" s="3">
        <v>42623</v>
      </c>
      <c r="Q4898" t="s">
        <v>28</v>
      </c>
    </row>
    <row r="4899" spans="1:17" x14ac:dyDescent="0.35">
      <c r="A4899" t="s">
        <v>4951</v>
      </c>
      <c r="B4899" t="s">
        <v>16</v>
      </c>
      <c r="C4899">
        <v>34</v>
      </c>
      <c r="D4899" t="s">
        <v>38</v>
      </c>
      <c r="E4899" t="s">
        <v>39</v>
      </c>
      <c r="F4899" t="s">
        <v>62</v>
      </c>
      <c r="G4899">
        <v>10.7</v>
      </c>
      <c r="H4899">
        <v>7.8</v>
      </c>
      <c r="I4899" t="str" cm="1">
        <f t="array" ref="I4899">_xlfn.IFS(G4899&lt;3, "0–2 Years", G4899&lt;6, "3–5 Years", G4899&lt;9, "6–8 Years", G4899&lt;12, "9-11 Years", G4899&gt;=12, "12-14 Years")</f>
        <v>9-11 Years</v>
      </c>
      <c r="J4899">
        <v>4</v>
      </c>
      <c r="K4899" t="s">
        <v>20</v>
      </c>
      <c r="L4899">
        <v>84700</v>
      </c>
      <c r="M4899">
        <v>8300</v>
      </c>
      <c r="N4899">
        <v>93000</v>
      </c>
      <c r="O4899" t="s">
        <v>30</v>
      </c>
      <c r="P4899" s="3">
        <v>42113</v>
      </c>
      <c r="Q4899" t="s">
        <v>62</v>
      </c>
    </row>
    <row r="4900" spans="1:17" x14ac:dyDescent="0.35">
      <c r="A4900" t="s">
        <v>4952</v>
      </c>
      <c r="B4900" t="s">
        <v>23</v>
      </c>
      <c r="C4900" s="7">
        <v>38</v>
      </c>
      <c r="D4900" t="s">
        <v>34</v>
      </c>
      <c r="E4900" t="s">
        <v>47</v>
      </c>
      <c r="F4900" t="s">
        <v>28</v>
      </c>
      <c r="G4900" s="9">
        <v>14</v>
      </c>
      <c r="H4900" s="7">
        <v>8.8000000000000007</v>
      </c>
      <c r="I4900" t="str" cm="1">
        <f t="array" ref="I4900">_xlfn.IFS(G4900&lt;3, "0–2 Years", G4900&lt;6, "3–5 Years", G4900&lt;9, "6–8 Years", G4900&lt;12, "9-11 Years", G4900&gt;=12, "12-14 Years")</f>
        <v>12-14 Years</v>
      </c>
      <c r="J4900" s="7">
        <v>3</v>
      </c>
      <c r="K4900" t="s">
        <v>24</v>
      </c>
      <c r="L4900" s="7">
        <v>55300</v>
      </c>
      <c r="M4900" s="7">
        <v>3100</v>
      </c>
      <c r="N4900" s="7">
        <v>58400</v>
      </c>
      <c r="O4900" t="s">
        <v>25</v>
      </c>
      <c r="P4900" s="3">
        <v>40909</v>
      </c>
      <c r="Q4900" t="s">
        <v>28</v>
      </c>
    </row>
    <row r="4901" spans="1:17" x14ac:dyDescent="0.35">
      <c r="A4901" t="s">
        <v>4953</v>
      </c>
      <c r="B4901" t="s">
        <v>23</v>
      </c>
      <c r="C4901">
        <v>40</v>
      </c>
      <c r="D4901" t="s">
        <v>41</v>
      </c>
      <c r="E4901" t="s">
        <v>73</v>
      </c>
      <c r="F4901" t="s">
        <v>36</v>
      </c>
      <c r="G4901">
        <v>1.1000000000000001</v>
      </c>
      <c r="H4901">
        <v>0.9</v>
      </c>
      <c r="I4901" t="str" cm="1">
        <f t="array" ref="I4901">_xlfn.IFS(G4901&lt;3, "0–2 Years", G4901&lt;6, "3–5 Years", G4901&lt;9, "6–8 Years", G4901&lt;12, "9-11 Years", G4901&gt;=12, "12-14 Years")</f>
        <v>0–2 Years</v>
      </c>
      <c r="J4901">
        <v>4</v>
      </c>
      <c r="K4901" t="s">
        <v>24</v>
      </c>
      <c r="L4901">
        <v>66000</v>
      </c>
      <c r="M4901">
        <v>3800</v>
      </c>
      <c r="N4901">
        <v>69800</v>
      </c>
      <c r="O4901" t="s">
        <v>21</v>
      </c>
      <c r="P4901" s="3">
        <v>45620</v>
      </c>
      <c r="Q4901" t="s">
        <v>36</v>
      </c>
    </row>
    <row r="4902" spans="1:17" x14ac:dyDescent="0.35">
      <c r="A4902" t="s">
        <v>4954</v>
      </c>
      <c r="B4902" t="s">
        <v>23</v>
      </c>
      <c r="C4902" s="7">
        <v>34</v>
      </c>
      <c r="D4902" t="s">
        <v>38</v>
      </c>
      <c r="E4902" t="s">
        <v>112</v>
      </c>
      <c r="F4902" t="s">
        <v>36</v>
      </c>
      <c r="G4902" s="9">
        <v>13.7</v>
      </c>
      <c r="H4902" s="7">
        <v>10.8</v>
      </c>
      <c r="I4902" t="str" cm="1">
        <f t="array" ref="I4902">_xlfn.IFS(G4902&lt;3, "0–2 Years", G4902&lt;6, "3–5 Years", G4902&lt;9, "6–8 Years", G4902&lt;12, "9-11 Years", G4902&gt;=12, "12-14 Years")</f>
        <v>12-14 Years</v>
      </c>
      <c r="J4902" s="7">
        <v>5</v>
      </c>
      <c r="K4902" t="s">
        <v>69</v>
      </c>
      <c r="L4902" s="7">
        <v>60500</v>
      </c>
      <c r="M4902" s="7">
        <v>3100</v>
      </c>
      <c r="N4902" s="7">
        <v>63600</v>
      </c>
      <c r="O4902" t="s">
        <v>25</v>
      </c>
      <c r="P4902" s="3">
        <v>41020</v>
      </c>
      <c r="Q4902" t="s">
        <v>36</v>
      </c>
    </row>
    <row r="4903" spans="1:17" x14ac:dyDescent="0.35">
      <c r="A4903" t="s">
        <v>4955</v>
      </c>
      <c r="B4903" t="s">
        <v>16</v>
      </c>
      <c r="C4903">
        <v>52</v>
      </c>
      <c r="D4903" t="s">
        <v>44</v>
      </c>
      <c r="E4903" t="s">
        <v>81</v>
      </c>
      <c r="F4903" t="s">
        <v>28</v>
      </c>
      <c r="G4903">
        <v>5.4</v>
      </c>
      <c r="H4903">
        <v>3.8</v>
      </c>
      <c r="I4903" t="str" cm="1">
        <f t="array" ref="I4903">_xlfn.IFS(G4903&lt;3, "0–2 Years", G4903&lt;6, "3–5 Years", G4903&lt;9, "6–8 Years", G4903&lt;12, "9-11 Years", G4903&gt;=12, "12-14 Years")</f>
        <v>3–5 Years</v>
      </c>
      <c r="J4903">
        <v>4</v>
      </c>
      <c r="K4903" t="s">
        <v>20</v>
      </c>
      <c r="L4903">
        <v>99800</v>
      </c>
      <c r="M4903">
        <v>14500</v>
      </c>
      <c r="N4903">
        <v>114300</v>
      </c>
      <c r="O4903" t="s">
        <v>30</v>
      </c>
      <c r="P4903" s="3">
        <v>44048</v>
      </c>
      <c r="Q4903" t="s">
        <v>28</v>
      </c>
    </row>
    <row r="4904" spans="1:17" x14ac:dyDescent="0.35">
      <c r="A4904" t="s">
        <v>4956</v>
      </c>
      <c r="B4904" t="s">
        <v>16</v>
      </c>
      <c r="C4904" s="7">
        <v>35</v>
      </c>
      <c r="D4904" t="s">
        <v>17</v>
      </c>
      <c r="E4904" t="s">
        <v>32</v>
      </c>
      <c r="F4904" t="s">
        <v>36</v>
      </c>
      <c r="G4904" s="9">
        <v>12.3</v>
      </c>
      <c r="H4904" s="7">
        <v>6.5</v>
      </c>
      <c r="I4904" t="str" cm="1">
        <f t="array" ref="I4904">_xlfn.IFS(G4904&lt;3, "0–2 Years", G4904&lt;6, "3–5 Years", G4904&lt;9, "6–8 Years", G4904&lt;12, "9-11 Years", G4904&gt;=12, "12-14 Years")</f>
        <v>12-14 Years</v>
      </c>
      <c r="J4904" s="7">
        <v>3</v>
      </c>
      <c r="K4904" t="s">
        <v>20</v>
      </c>
      <c r="L4904" s="7">
        <v>77000</v>
      </c>
      <c r="M4904" s="7">
        <v>6500</v>
      </c>
      <c r="N4904" s="7">
        <v>83500</v>
      </c>
      <c r="O4904" t="s">
        <v>21</v>
      </c>
      <c r="P4904" s="3">
        <v>41531</v>
      </c>
      <c r="Q4904" t="s">
        <v>36</v>
      </c>
    </row>
    <row r="4905" spans="1:17" x14ac:dyDescent="0.35">
      <c r="A4905" t="s">
        <v>4957</v>
      </c>
      <c r="B4905" t="s">
        <v>23</v>
      </c>
      <c r="C4905">
        <v>26</v>
      </c>
      <c r="D4905" t="s">
        <v>17</v>
      </c>
      <c r="E4905" t="s">
        <v>32</v>
      </c>
      <c r="F4905" t="s">
        <v>19</v>
      </c>
      <c r="G4905">
        <v>3</v>
      </c>
      <c r="H4905">
        <v>3</v>
      </c>
      <c r="I4905" t="str" cm="1">
        <f t="array" ref="I4905">_xlfn.IFS(G4905&lt;3, "0–2 Years", G4905&lt;6, "3–5 Years", G4905&lt;9, "6–8 Years", G4905&lt;12, "9-11 Years", G4905&gt;=12, "12-14 Years")</f>
        <v>3–5 Years</v>
      </c>
      <c r="J4905">
        <v>3</v>
      </c>
      <c r="K4905" t="s">
        <v>20</v>
      </c>
      <c r="L4905">
        <v>57500</v>
      </c>
      <c r="M4905">
        <v>4200</v>
      </c>
      <c r="N4905">
        <v>61700</v>
      </c>
      <c r="O4905" t="s">
        <v>25</v>
      </c>
      <c r="P4905" s="3">
        <v>44918</v>
      </c>
      <c r="Q4905" t="s">
        <v>19</v>
      </c>
    </row>
    <row r="4906" spans="1:17" x14ac:dyDescent="0.35">
      <c r="A4906" t="s">
        <v>4958</v>
      </c>
      <c r="B4906" t="s">
        <v>16</v>
      </c>
      <c r="C4906">
        <v>40</v>
      </c>
      <c r="D4906" t="s">
        <v>34</v>
      </c>
      <c r="E4906" t="s">
        <v>35</v>
      </c>
      <c r="F4906" t="s">
        <v>28</v>
      </c>
      <c r="G4906">
        <v>7.2</v>
      </c>
      <c r="H4906">
        <v>5.3</v>
      </c>
      <c r="I4906" t="str" cm="1">
        <f t="array" ref="I4906">_xlfn.IFS(G4906&lt;3, "0–2 Years", G4906&lt;6, "3–5 Years", G4906&lt;9, "6–8 Years", G4906&lt;12, "9-11 Years", G4906&gt;=12, "12-14 Years")</f>
        <v>6–8 Years</v>
      </c>
      <c r="J4906">
        <v>4</v>
      </c>
      <c r="K4906" t="s">
        <v>20</v>
      </c>
      <c r="L4906">
        <v>85100</v>
      </c>
      <c r="M4906">
        <v>5700</v>
      </c>
      <c r="N4906">
        <v>90800</v>
      </c>
      <c r="O4906" t="s">
        <v>30</v>
      </c>
      <c r="P4906" s="3">
        <v>43402</v>
      </c>
      <c r="Q4906" t="s">
        <v>28</v>
      </c>
    </row>
    <row r="4907" spans="1:17" x14ac:dyDescent="0.35">
      <c r="A4907" t="s">
        <v>4959</v>
      </c>
      <c r="B4907" t="s">
        <v>16</v>
      </c>
      <c r="C4907">
        <v>30</v>
      </c>
      <c r="D4907" t="s">
        <v>17</v>
      </c>
      <c r="E4907" t="s">
        <v>18</v>
      </c>
      <c r="F4907" t="s">
        <v>36</v>
      </c>
      <c r="G4907">
        <v>3.3</v>
      </c>
      <c r="H4907">
        <v>2.1</v>
      </c>
      <c r="I4907" t="str" cm="1">
        <f t="array" ref="I4907">_xlfn.IFS(G4907&lt;3, "0–2 Years", G4907&lt;6, "3–5 Years", G4907&lt;9, "6–8 Years", G4907&lt;12, "9-11 Years", G4907&gt;=12, "12-14 Years")</f>
        <v>3–5 Years</v>
      </c>
      <c r="J4907">
        <v>3</v>
      </c>
      <c r="K4907" t="s">
        <v>20</v>
      </c>
      <c r="L4907">
        <v>102100</v>
      </c>
      <c r="M4907">
        <v>8300</v>
      </c>
      <c r="N4907">
        <v>110400</v>
      </c>
      <c r="O4907" t="s">
        <v>57</v>
      </c>
      <c r="P4907" s="3">
        <v>44824</v>
      </c>
      <c r="Q4907" t="s">
        <v>36</v>
      </c>
    </row>
    <row r="4908" spans="1:17" x14ac:dyDescent="0.35">
      <c r="A4908" t="s">
        <v>4960</v>
      </c>
      <c r="B4908" t="s">
        <v>16</v>
      </c>
      <c r="C4908">
        <v>41</v>
      </c>
      <c r="D4908" t="s">
        <v>44</v>
      </c>
      <c r="E4908" t="s">
        <v>81</v>
      </c>
      <c r="F4908" t="s">
        <v>36</v>
      </c>
      <c r="G4908">
        <v>4.4000000000000004</v>
      </c>
      <c r="H4908">
        <v>2.4</v>
      </c>
      <c r="I4908" t="str" cm="1">
        <f t="array" ref="I4908">_xlfn.IFS(G4908&lt;3, "0–2 Years", G4908&lt;6, "3–5 Years", G4908&lt;9, "6–8 Years", G4908&lt;12, "9-11 Years", G4908&gt;=12, "12-14 Years")</f>
        <v>3–5 Years</v>
      </c>
      <c r="J4908">
        <v>2</v>
      </c>
      <c r="K4908" t="s">
        <v>20</v>
      </c>
      <c r="L4908">
        <v>91000</v>
      </c>
      <c r="M4908">
        <v>11400</v>
      </c>
      <c r="N4908">
        <v>102400</v>
      </c>
      <c r="O4908" t="s">
        <v>30</v>
      </c>
      <c r="P4908" s="3">
        <v>44432</v>
      </c>
      <c r="Q4908" t="s">
        <v>36</v>
      </c>
    </row>
    <row r="4909" spans="1:17" x14ac:dyDescent="0.35">
      <c r="A4909" t="s">
        <v>4961</v>
      </c>
      <c r="B4909" t="s">
        <v>16</v>
      </c>
      <c r="C4909">
        <v>34</v>
      </c>
      <c r="D4909" t="s">
        <v>44</v>
      </c>
      <c r="E4909" t="s">
        <v>51</v>
      </c>
      <c r="F4909" t="s">
        <v>28</v>
      </c>
      <c r="G4909">
        <v>1.7</v>
      </c>
      <c r="H4909">
        <v>0.1</v>
      </c>
      <c r="I4909" t="str" cm="1">
        <f t="array" ref="I4909">_xlfn.IFS(G4909&lt;3, "0–2 Years", G4909&lt;6, "3–5 Years", G4909&lt;9, "6–8 Years", G4909&lt;12, "9-11 Years", G4909&gt;=12, "12-14 Years")</f>
        <v>0–2 Years</v>
      </c>
      <c r="J4909">
        <v>2</v>
      </c>
      <c r="K4909" t="s">
        <v>20</v>
      </c>
      <c r="L4909">
        <v>69400</v>
      </c>
      <c r="M4909">
        <v>3700</v>
      </c>
      <c r="N4909">
        <v>73100</v>
      </c>
      <c r="O4909" t="s">
        <v>21</v>
      </c>
      <c r="P4909" s="3">
        <v>45393</v>
      </c>
      <c r="Q4909" t="s">
        <v>28</v>
      </c>
    </row>
    <row r="4910" spans="1:17" x14ac:dyDescent="0.35">
      <c r="A4910" t="s">
        <v>4962</v>
      </c>
      <c r="B4910" t="s">
        <v>16</v>
      </c>
      <c r="C4910" s="7">
        <v>30</v>
      </c>
      <c r="D4910" t="s">
        <v>41</v>
      </c>
      <c r="E4910" t="s">
        <v>67</v>
      </c>
      <c r="F4910" t="s">
        <v>28</v>
      </c>
      <c r="G4910" s="9">
        <v>13.6</v>
      </c>
      <c r="H4910" s="7">
        <v>7.3</v>
      </c>
      <c r="I4910" t="str" cm="1">
        <f t="array" ref="I4910">_xlfn.IFS(G4910&lt;3, "0–2 Years", G4910&lt;6, "3–5 Years", G4910&lt;9, "6–8 Years", G4910&lt;12, "9-11 Years", G4910&gt;=12, "12-14 Years")</f>
        <v>12-14 Years</v>
      </c>
      <c r="J4910" s="7">
        <v>3</v>
      </c>
      <c r="K4910" t="s">
        <v>24</v>
      </c>
      <c r="L4910" s="7">
        <v>45600</v>
      </c>
      <c r="M4910" s="7">
        <v>3300</v>
      </c>
      <c r="N4910" s="7">
        <v>48900</v>
      </c>
      <c r="O4910" t="s">
        <v>65</v>
      </c>
      <c r="P4910" s="3">
        <v>41064</v>
      </c>
      <c r="Q4910" t="s">
        <v>28</v>
      </c>
    </row>
    <row r="4911" spans="1:17" x14ac:dyDescent="0.35">
      <c r="A4911" t="s">
        <v>4963</v>
      </c>
      <c r="B4911" t="s">
        <v>16</v>
      </c>
      <c r="C4911">
        <v>36</v>
      </c>
      <c r="D4911" t="s">
        <v>38</v>
      </c>
      <c r="E4911" t="s">
        <v>61</v>
      </c>
      <c r="F4911" t="s">
        <v>28</v>
      </c>
      <c r="G4911">
        <v>11.4</v>
      </c>
      <c r="H4911">
        <v>8.4</v>
      </c>
      <c r="I4911" t="str" cm="1">
        <f t="array" ref="I4911">_xlfn.IFS(G4911&lt;3, "0–2 Years", G4911&lt;6, "3–5 Years", G4911&lt;9, "6–8 Years", G4911&lt;12, "9-11 Years", G4911&gt;=12, "12-14 Years")</f>
        <v>9-11 Years</v>
      </c>
      <c r="J4911">
        <v>1</v>
      </c>
      <c r="K4911" t="s">
        <v>20</v>
      </c>
      <c r="L4911">
        <v>90200</v>
      </c>
      <c r="M4911">
        <v>7600</v>
      </c>
      <c r="N4911">
        <v>97800</v>
      </c>
      <c r="O4911" t="s">
        <v>30</v>
      </c>
      <c r="P4911" s="3">
        <v>41867</v>
      </c>
      <c r="Q4911" t="s">
        <v>28</v>
      </c>
    </row>
    <row r="4912" spans="1:17" x14ac:dyDescent="0.35">
      <c r="A4912" t="s">
        <v>4964</v>
      </c>
      <c r="B4912" t="s">
        <v>23</v>
      </c>
      <c r="C4912">
        <v>31</v>
      </c>
      <c r="D4912" t="s">
        <v>41</v>
      </c>
      <c r="E4912" t="s">
        <v>73</v>
      </c>
      <c r="F4912" t="s">
        <v>28</v>
      </c>
      <c r="G4912">
        <v>5.6</v>
      </c>
      <c r="H4912">
        <v>4.5999999999999996</v>
      </c>
      <c r="I4912" t="str" cm="1">
        <f t="array" ref="I4912">_xlfn.IFS(G4912&lt;3, "0–2 Years", G4912&lt;6, "3–5 Years", G4912&lt;9, "6–8 Years", G4912&lt;12, "9-11 Years", G4912&gt;=12, "12-14 Years")</f>
        <v>3–5 Years</v>
      </c>
      <c r="J4912">
        <v>5</v>
      </c>
      <c r="K4912" t="s">
        <v>20</v>
      </c>
      <c r="L4912">
        <v>109200</v>
      </c>
      <c r="M4912">
        <v>3900</v>
      </c>
      <c r="N4912">
        <v>113100</v>
      </c>
      <c r="O4912" t="s">
        <v>57</v>
      </c>
      <c r="P4912" s="3">
        <v>43988</v>
      </c>
      <c r="Q4912" t="s">
        <v>28</v>
      </c>
    </row>
    <row r="4913" spans="1:17" x14ac:dyDescent="0.35">
      <c r="A4913" t="s">
        <v>4965</v>
      </c>
      <c r="B4913" t="s">
        <v>23</v>
      </c>
      <c r="C4913" s="7">
        <v>32</v>
      </c>
      <c r="D4913" t="s">
        <v>44</v>
      </c>
      <c r="E4913" t="s">
        <v>81</v>
      </c>
      <c r="F4913" t="s">
        <v>36</v>
      </c>
      <c r="G4913" s="9">
        <v>13.7</v>
      </c>
      <c r="H4913" s="7">
        <v>7.6</v>
      </c>
      <c r="I4913" t="str" cm="1">
        <f t="array" ref="I4913">_xlfn.IFS(G4913&lt;3, "0–2 Years", G4913&lt;6, "3–5 Years", G4913&lt;9, "6–8 Years", G4913&lt;12, "9-11 Years", G4913&gt;=12, "12-14 Years")</f>
        <v>12-14 Years</v>
      </c>
      <c r="J4913" s="7">
        <v>5</v>
      </c>
      <c r="K4913" t="s">
        <v>24</v>
      </c>
      <c r="L4913" s="7">
        <v>71400</v>
      </c>
      <c r="M4913" s="7">
        <v>7800</v>
      </c>
      <c r="N4913" s="7">
        <v>79200</v>
      </c>
      <c r="O4913" t="s">
        <v>21</v>
      </c>
      <c r="P4913" s="3">
        <v>41009</v>
      </c>
      <c r="Q4913" t="s">
        <v>36</v>
      </c>
    </row>
    <row r="4914" spans="1:17" x14ac:dyDescent="0.35">
      <c r="A4914" t="s">
        <v>4966</v>
      </c>
      <c r="B4914" t="s">
        <v>23</v>
      </c>
      <c r="C4914">
        <v>39</v>
      </c>
      <c r="D4914" t="s">
        <v>34</v>
      </c>
      <c r="E4914" t="s">
        <v>47</v>
      </c>
      <c r="F4914" t="s">
        <v>28</v>
      </c>
      <c r="G4914">
        <v>5.7</v>
      </c>
      <c r="H4914">
        <v>5.4</v>
      </c>
      <c r="I4914" t="str" cm="1">
        <f t="array" ref="I4914">_xlfn.IFS(G4914&lt;3, "0–2 Years", G4914&lt;6, "3–5 Years", G4914&lt;9, "6–8 Years", G4914&lt;12, "9-11 Years", G4914&gt;=12, "12-14 Years")</f>
        <v>3–5 Years</v>
      </c>
      <c r="J4914">
        <v>2</v>
      </c>
      <c r="K4914" t="s">
        <v>20</v>
      </c>
      <c r="L4914">
        <v>64900</v>
      </c>
      <c r="M4914">
        <v>3900</v>
      </c>
      <c r="N4914">
        <v>68800</v>
      </c>
      <c r="O4914" t="s">
        <v>25</v>
      </c>
      <c r="P4914" s="3">
        <v>43931</v>
      </c>
      <c r="Q4914" t="s">
        <v>28</v>
      </c>
    </row>
    <row r="4915" spans="1:17" x14ac:dyDescent="0.35">
      <c r="A4915" t="s">
        <v>4967</v>
      </c>
      <c r="B4915" t="s">
        <v>23</v>
      </c>
      <c r="C4915">
        <v>28</v>
      </c>
      <c r="D4915" t="s">
        <v>55</v>
      </c>
      <c r="E4915" t="s">
        <v>56</v>
      </c>
      <c r="F4915" t="s">
        <v>36</v>
      </c>
      <c r="G4915">
        <v>10.6</v>
      </c>
      <c r="H4915">
        <v>7.7</v>
      </c>
      <c r="I4915" t="str" cm="1">
        <f t="array" ref="I4915">_xlfn.IFS(G4915&lt;3, "0–2 Years", G4915&lt;6, "3–5 Years", G4915&lt;9, "6–8 Years", G4915&lt;12, "9-11 Years", G4915&gt;=12, "12-14 Years")</f>
        <v>9-11 Years</v>
      </c>
      <c r="J4915">
        <v>3</v>
      </c>
      <c r="K4915" t="s">
        <v>20</v>
      </c>
      <c r="L4915">
        <v>100600</v>
      </c>
      <c r="M4915">
        <v>12600</v>
      </c>
      <c r="N4915">
        <v>113200</v>
      </c>
      <c r="O4915" t="s">
        <v>57</v>
      </c>
      <c r="P4915" s="3">
        <v>42161</v>
      </c>
      <c r="Q4915" t="s">
        <v>36</v>
      </c>
    </row>
    <row r="4916" spans="1:17" x14ac:dyDescent="0.35">
      <c r="A4916" t="s">
        <v>4968</v>
      </c>
      <c r="B4916" t="s">
        <v>16</v>
      </c>
      <c r="C4916">
        <v>27</v>
      </c>
      <c r="D4916" t="s">
        <v>17</v>
      </c>
      <c r="E4916" t="s">
        <v>32</v>
      </c>
      <c r="F4916" t="s">
        <v>28</v>
      </c>
      <c r="G4916">
        <v>2</v>
      </c>
      <c r="H4916">
        <v>0</v>
      </c>
      <c r="I4916" t="str" cm="1">
        <f t="array" ref="I4916">_xlfn.IFS(G4916&lt;3, "0–2 Years", G4916&lt;6, "3–5 Years", G4916&lt;9, "6–8 Years", G4916&lt;12, "9-11 Years", G4916&gt;=12, "12-14 Years")</f>
        <v>0–2 Years</v>
      </c>
      <c r="J4916">
        <v>2</v>
      </c>
      <c r="K4916" t="s">
        <v>20</v>
      </c>
      <c r="L4916">
        <v>65200</v>
      </c>
      <c r="M4916">
        <v>8000</v>
      </c>
      <c r="N4916">
        <v>73200</v>
      </c>
      <c r="O4916" t="s">
        <v>21</v>
      </c>
      <c r="P4916" s="3">
        <v>45290</v>
      </c>
      <c r="Q4916" t="s">
        <v>28</v>
      </c>
    </row>
    <row r="4917" spans="1:17" x14ac:dyDescent="0.35">
      <c r="A4917" t="s">
        <v>4969</v>
      </c>
      <c r="B4917" t="s">
        <v>16</v>
      </c>
      <c r="C4917">
        <v>47</v>
      </c>
      <c r="D4917" t="s">
        <v>44</v>
      </c>
      <c r="E4917" t="s">
        <v>45</v>
      </c>
      <c r="F4917" t="s">
        <v>36</v>
      </c>
      <c r="G4917">
        <v>4.2</v>
      </c>
      <c r="H4917">
        <v>4.2</v>
      </c>
      <c r="I4917" t="str" cm="1">
        <f t="array" ref="I4917">_xlfn.IFS(G4917&lt;3, "0–2 Years", G4917&lt;6, "3–5 Years", G4917&lt;9, "6–8 Years", G4917&lt;12, "9-11 Years", G4917&gt;=12, "12-14 Years")</f>
        <v>3–5 Years</v>
      </c>
      <c r="J4917">
        <v>4</v>
      </c>
      <c r="K4917" t="s">
        <v>20</v>
      </c>
      <c r="L4917">
        <v>70400</v>
      </c>
      <c r="M4917">
        <v>4900</v>
      </c>
      <c r="N4917">
        <v>75300</v>
      </c>
      <c r="O4917" t="s">
        <v>21</v>
      </c>
      <c r="P4917" s="3">
        <v>44490</v>
      </c>
      <c r="Q4917" t="s">
        <v>36</v>
      </c>
    </row>
    <row r="4918" spans="1:17" x14ac:dyDescent="0.35">
      <c r="A4918" t="s">
        <v>4970</v>
      </c>
      <c r="B4918" t="s">
        <v>23</v>
      </c>
      <c r="C4918">
        <v>25</v>
      </c>
      <c r="D4918" t="s">
        <v>55</v>
      </c>
      <c r="E4918" t="s">
        <v>79</v>
      </c>
      <c r="F4918" t="s">
        <v>36</v>
      </c>
      <c r="G4918">
        <v>11</v>
      </c>
      <c r="H4918">
        <v>7.2</v>
      </c>
      <c r="I4918" t="str" cm="1">
        <f t="array" ref="I4918">_xlfn.IFS(G4918&lt;3, "0–2 Years", G4918&lt;6, "3–5 Years", G4918&lt;9, "6–8 Years", G4918&lt;12, "9-11 Years", G4918&gt;=12, "12-14 Years")</f>
        <v>9-11 Years</v>
      </c>
      <c r="J4918">
        <v>5</v>
      </c>
      <c r="K4918" t="s">
        <v>20</v>
      </c>
      <c r="L4918">
        <v>79800</v>
      </c>
      <c r="M4918">
        <v>7000</v>
      </c>
      <c r="N4918">
        <v>86800</v>
      </c>
      <c r="O4918" t="s">
        <v>21</v>
      </c>
      <c r="P4918" s="3">
        <v>41997</v>
      </c>
      <c r="Q4918" t="s">
        <v>36</v>
      </c>
    </row>
    <row r="4919" spans="1:17" x14ac:dyDescent="0.35">
      <c r="A4919" t="s">
        <v>4971</v>
      </c>
      <c r="B4919" t="s">
        <v>16</v>
      </c>
      <c r="C4919">
        <v>33</v>
      </c>
      <c r="D4919" t="s">
        <v>55</v>
      </c>
      <c r="E4919" t="s">
        <v>92</v>
      </c>
      <c r="F4919" t="s">
        <v>28</v>
      </c>
      <c r="G4919">
        <v>11.2</v>
      </c>
      <c r="H4919">
        <v>7.4</v>
      </c>
      <c r="I4919" t="str" cm="1">
        <f t="array" ref="I4919">_xlfn.IFS(G4919&lt;3, "0–2 Years", G4919&lt;6, "3–5 Years", G4919&lt;9, "6–8 Years", G4919&lt;12, "9-11 Years", G4919&gt;=12, "12-14 Years")</f>
        <v>9-11 Years</v>
      </c>
      <c r="J4919">
        <v>3</v>
      </c>
      <c r="K4919" t="s">
        <v>20</v>
      </c>
      <c r="L4919">
        <v>107800</v>
      </c>
      <c r="M4919">
        <v>18600</v>
      </c>
      <c r="N4919">
        <v>126400</v>
      </c>
      <c r="O4919" t="s">
        <v>57</v>
      </c>
      <c r="P4919" s="3">
        <v>41937</v>
      </c>
      <c r="Q4919" t="s">
        <v>28</v>
      </c>
    </row>
    <row r="4920" spans="1:17" x14ac:dyDescent="0.35">
      <c r="A4920" t="s">
        <v>4972</v>
      </c>
      <c r="B4920" t="s">
        <v>16</v>
      </c>
      <c r="C4920">
        <v>30</v>
      </c>
      <c r="D4920" t="s">
        <v>17</v>
      </c>
      <c r="E4920" t="s">
        <v>18</v>
      </c>
      <c r="F4920" t="s">
        <v>36</v>
      </c>
      <c r="G4920">
        <v>10.9</v>
      </c>
      <c r="H4920">
        <v>8.3000000000000007</v>
      </c>
      <c r="I4920" t="str" cm="1">
        <f t="array" ref="I4920">_xlfn.IFS(G4920&lt;3, "0–2 Years", G4920&lt;6, "3–5 Years", G4920&lt;9, "6–8 Years", G4920&lt;12, "9-11 Years", G4920&gt;=12, "12-14 Years")</f>
        <v>9-11 Years</v>
      </c>
      <c r="J4920">
        <v>3</v>
      </c>
      <c r="K4920" t="s">
        <v>20</v>
      </c>
      <c r="L4920">
        <v>109100</v>
      </c>
      <c r="M4920">
        <v>10700</v>
      </c>
      <c r="N4920">
        <v>119800</v>
      </c>
      <c r="O4920" t="s">
        <v>57</v>
      </c>
      <c r="P4920" s="3">
        <v>42045</v>
      </c>
      <c r="Q4920" t="s">
        <v>36</v>
      </c>
    </row>
    <row r="4921" spans="1:17" x14ac:dyDescent="0.35">
      <c r="A4921" t="s">
        <v>4973</v>
      </c>
      <c r="B4921" t="s">
        <v>23</v>
      </c>
      <c r="C4921" s="7">
        <v>28</v>
      </c>
      <c r="D4921" t="s">
        <v>44</v>
      </c>
      <c r="E4921" t="s">
        <v>76</v>
      </c>
      <c r="F4921" t="s">
        <v>28</v>
      </c>
      <c r="G4921" s="9">
        <v>13.7</v>
      </c>
      <c r="H4921" s="7">
        <v>7.9</v>
      </c>
      <c r="I4921" t="str" cm="1">
        <f t="array" ref="I4921">_xlfn.IFS(G4921&lt;3, "0–2 Years", G4921&lt;6, "3–5 Years", G4921&lt;9, "6–8 Years", G4921&lt;12, "9-11 Years", G4921&gt;=12, "12-14 Years")</f>
        <v>12-14 Years</v>
      </c>
      <c r="J4921" s="7">
        <v>3</v>
      </c>
      <c r="K4921" t="s">
        <v>20</v>
      </c>
      <c r="L4921" s="7">
        <v>109300</v>
      </c>
      <c r="M4921" s="7">
        <v>5700</v>
      </c>
      <c r="N4921" s="7">
        <v>115000</v>
      </c>
      <c r="O4921" t="s">
        <v>57</v>
      </c>
      <c r="P4921" s="3">
        <v>41013</v>
      </c>
      <c r="Q4921" t="s">
        <v>28</v>
      </c>
    </row>
    <row r="4922" spans="1:17" x14ac:dyDescent="0.35">
      <c r="A4922" t="s">
        <v>4974</v>
      </c>
      <c r="B4922" t="s">
        <v>16</v>
      </c>
      <c r="C4922" s="7">
        <v>28</v>
      </c>
      <c r="D4922" t="s">
        <v>17</v>
      </c>
      <c r="E4922" t="s">
        <v>32</v>
      </c>
      <c r="F4922" t="s">
        <v>19</v>
      </c>
      <c r="G4922" s="9">
        <v>13.1</v>
      </c>
      <c r="H4922" s="7">
        <v>7.6</v>
      </c>
      <c r="I4922" t="str" cm="1">
        <f t="array" ref="I4922">_xlfn.IFS(G4922&lt;3, "0–2 Years", G4922&lt;6, "3–5 Years", G4922&lt;9, "6–8 Years", G4922&lt;12, "9-11 Years", G4922&gt;=12, "12-14 Years")</f>
        <v>12-14 Years</v>
      </c>
      <c r="J4922" s="7">
        <v>4</v>
      </c>
      <c r="K4922" t="s">
        <v>20</v>
      </c>
      <c r="L4922" s="7">
        <v>79000</v>
      </c>
      <c r="M4922" s="7">
        <v>8000</v>
      </c>
      <c r="N4922" s="7">
        <v>87000</v>
      </c>
      <c r="O4922" t="s">
        <v>21</v>
      </c>
      <c r="P4922" s="3">
        <v>41234</v>
      </c>
      <c r="Q4922" t="s">
        <v>19</v>
      </c>
    </row>
    <row r="4923" spans="1:17" x14ac:dyDescent="0.35">
      <c r="A4923" t="s">
        <v>4975</v>
      </c>
      <c r="B4923" t="s">
        <v>23</v>
      </c>
      <c r="C4923">
        <v>31</v>
      </c>
      <c r="D4923" t="s">
        <v>55</v>
      </c>
      <c r="E4923" t="s">
        <v>56</v>
      </c>
      <c r="F4923" t="s">
        <v>62</v>
      </c>
      <c r="G4923">
        <v>9.4</v>
      </c>
      <c r="H4923">
        <v>6.8</v>
      </c>
      <c r="I4923" t="str" cm="1">
        <f t="array" ref="I4923">_xlfn.IFS(G4923&lt;3, "0–2 Years", G4923&lt;6, "3–5 Years", G4923&lt;9, "6–8 Years", G4923&lt;12, "9-11 Years", G4923&gt;=12, "12-14 Years")</f>
        <v>9-11 Years</v>
      </c>
      <c r="J4923">
        <v>3</v>
      </c>
      <c r="K4923" t="s">
        <v>20</v>
      </c>
      <c r="L4923">
        <v>104800</v>
      </c>
      <c r="M4923">
        <v>18600</v>
      </c>
      <c r="N4923">
        <v>123400</v>
      </c>
      <c r="O4923" t="s">
        <v>57</v>
      </c>
      <c r="P4923" s="3">
        <v>42586</v>
      </c>
      <c r="Q4923" t="s">
        <v>62</v>
      </c>
    </row>
    <row r="4924" spans="1:17" x14ac:dyDescent="0.35">
      <c r="A4924" t="s">
        <v>4976</v>
      </c>
      <c r="B4924" t="s">
        <v>23</v>
      </c>
      <c r="C4924">
        <v>24</v>
      </c>
      <c r="D4924" t="s">
        <v>17</v>
      </c>
      <c r="E4924" t="s">
        <v>18</v>
      </c>
      <c r="F4924" t="s">
        <v>28</v>
      </c>
      <c r="G4924">
        <v>1.3</v>
      </c>
      <c r="H4924">
        <v>1.3</v>
      </c>
      <c r="I4924" t="str" cm="1">
        <f t="array" ref="I4924">_xlfn.IFS(G4924&lt;3, "0–2 Years", G4924&lt;6, "3–5 Years", G4924&lt;9, "6–8 Years", G4924&lt;12, "9-11 Years", G4924&gt;=12, "12-14 Years")</f>
        <v>0–2 Years</v>
      </c>
      <c r="J4924">
        <v>4</v>
      </c>
      <c r="K4924" t="s">
        <v>20</v>
      </c>
      <c r="L4924">
        <v>93100</v>
      </c>
      <c r="M4924">
        <v>6900</v>
      </c>
      <c r="N4924">
        <v>100000</v>
      </c>
      <c r="O4924" t="s">
        <v>30</v>
      </c>
      <c r="P4924" s="3">
        <v>45556</v>
      </c>
      <c r="Q4924" t="s">
        <v>28</v>
      </c>
    </row>
    <row r="4925" spans="1:17" x14ac:dyDescent="0.35">
      <c r="A4925" t="s">
        <v>4977</v>
      </c>
      <c r="B4925" t="s">
        <v>23</v>
      </c>
      <c r="C4925">
        <v>21</v>
      </c>
      <c r="D4925" t="s">
        <v>38</v>
      </c>
      <c r="E4925" t="s">
        <v>112</v>
      </c>
      <c r="F4925" t="s">
        <v>36</v>
      </c>
      <c r="G4925">
        <v>4.8</v>
      </c>
      <c r="H4925">
        <v>4.4000000000000004</v>
      </c>
      <c r="I4925" t="str" cm="1">
        <f t="array" ref="I4925">_xlfn.IFS(G4925&lt;3, "0–2 Years", G4925&lt;6, "3–5 Years", G4925&lt;9, "6–8 Years", G4925&lt;12, "9-11 Years", G4925&gt;=12, "12-14 Years")</f>
        <v>3–5 Years</v>
      </c>
      <c r="J4925">
        <v>5</v>
      </c>
      <c r="K4925" t="s">
        <v>20</v>
      </c>
      <c r="L4925">
        <v>68100</v>
      </c>
      <c r="M4925">
        <v>6000</v>
      </c>
      <c r="N4925">
        <v>74100</v>
      </c>
      <c r="O4925" t="s">
        <v>21</v>
      </c>
      <c r="P4925" s="3">
        <v>44269</v>
      </c>
      <c r="Q4925" t="s">
        <v>36</v>
      </c>
    </row>
    <row r="4926" spans="1:17" x14ac:dyDescent="0.35">
      <c r="A4926" t="s">
        <v>4978</v>
      </c>
      <c r="B4926" t="s">
        <v>23</v>
      </c>
      <c r="C4926">
        <v>40</v>
      </c>
      <c r="D4926" t="s">
        <v>55</v>
      </c>
      <c r="E4926" t="s">
        <v>56</v>
      </c>
      <c r="F4926" t="s">
        <v>36</v>
      </c>
      <c r="G4926">
        <v>5.8</v>
      </c>
      <c r="H4926">
        <v>3.3</v>
      </c>
      <c r="I4926" t="str" cm="1">
        <f t="array" ref="I4926">_xlfn.IFS(G4926&lt;3, "0–2 Years", G4926&lt;6, "3–5 Years", G4926&lt;9, "6–8 Years", G4926&lt;12, "9-11 Years", G4926&gt;=12, "12-14 Years")</f>
        <v>3–5 Years</v>
      </c>
      <c r="J4926">
        <v>4</v>
      </c>
      <c r="K4926" t="s">
        <v>20</v>
      </c>
      <c r="L4926">
        <v>101000</v>
      </c>
      <c r="M4926">
        <v>19900</v>
      </c>
      <c r="N4926">
        <v>120900</v>
      </c>
      <c r="O4926" t="s">
        <v>57</v>
      </c>
      <c r="P4926" s="3">
        <v>43920</v>
      </c>
      <c r="Q4926" t="s">
        <v>36</v>
      </c>
    </row>
    <row r="4927" spans="1:17" x14ac:dyDescent="0.35">
      <c r="A4927" t="s">
        <v>4979</v>
      </c>
      <c r="B4927" t="s">
        <v>16</v>
      </c>
      <c r="C4927">
        <v>27</v>
      </c>
      <c r="D4927" t="s">
        <v>41</v>
      </c>
      <c r="E4927" t="s">
        <v>67</v>
      </c>
      <c r="F4927" t="s">
        <v>28</v>
      </c>
      <c r="G4927">
        <v>6.8</v>
      </c>
      <c r="H4927">
        <v>4.3</v>
      </c>
      <c r="I4927" t="str" cm="1">
        <f t="array" ref="I4927">_xlfn.IFS(G4927&lt;3, "0–2 Years", G4927&lt;6, "3–5 Years", G4927&lt;9, "6–8 Years", G4927&lt;12, "9-11 Years", G4927&gt;=12, "12-14 Years")</f>
        <v>6–8 Years</v>
      </c>
      <c r="J4927">
        <v>4</v>
      </c>
      <c r="K4927" t="s">
        <v>20</v>
      </c>
      <c r="L4927">
        <v>75300</v>
      </c>
      <c r="M4927">
        <v>6400</v>
      </c>
      <c r="N4927">
        <v>81700</v>
      </c>
      <c r="O4927" t="s">
        <v>21</v>
      </c>
      <c r="P4927" s="3">
        <v>43550</v>
      </c>
      <c r="Q4927" t="s">
        <v>28</v>
      </c>
    </row>
    <row r="4928" spans="1:17" x14ac:dyDescent="0.35">
      <c r="A4928" t="s">
        <v>4980</v>
      </c>
      <c r="B4928" t="s">
        <v>16</v>
      </c>
      <c r="C4928">
        <v>59</v>
      </c>
      <c r="D4928" t="s">
        <v>17</v>
      </c>
      <c r="E4928" t="s">
        <v>32</v>
      </c>
      <c r="F4928" t="s">
        <v>28</v>
      </c>
      <c r="G4928">
        <v>1</v>
      </c>
      <c r="H4928">
        <v>0</v>
      </c>
      <c r="I4928" t="str" cm="1">
        <f t="array" ref="I4928">_xlfn.IFS(G4928&lt;3, "0–2 Years", G4928&lt;6, "3–5 Years", G4928&lt;9, "6–8 Years", G4928&lt;12, "9-11 Years", G4928&gt;=12, "12-14 Years")</f>
        <v>0–2 Years</v>
      </c>
      <c r="J4928">
        <v>2</v>
      </c>
      <c r="K4928" t="s">
        <v>20</v>
      </c>
      <c r="L4928">
        <v>53400</v>
      </c>
      <c r="M4928">
        <v>6000</v>
      </c>
      <c r="N4928">
        <v>59400</v>
      </c>
      <c r="O4928" t="s">
        <v>25</v>
      </c>
      <c r="P4928" s="3">
        <v>45651</v>
      </c>
      <c r="Q4928" t="s">
        <v>28</v>
      </c>
    </row>
    <row r="4929" spans="1:17" x14ac:dyDescent="0.35">
      <c r="A4929" t="s">
        <v>4981</v>
      </c>
      <c r="B4929" t="s">
        <v>23</v>
      </c>
      <c r="C4929">
        <v>32</v>
      </c>
      <c r="D4929" t="s">
        <v>44</v>
      </c>
      <c r="E4929" t="s">
        <v>51</v>
      </c>
      <c r="F4929" t="s">
        <v>28</v>
      </c>
      <c r="G4929">
        <v>11.4</v>
      </c>
      <c r="H4929">
        <v>8.3000000000000007</v>
      </c>
      <c r="I4929" t="str" cm="1">
        <f t="array" ref="I4929">_xlfn.IFS(G4929&lt;3, "0–2 Years", G4929&lt;6, "3–5 Years", G4929&lt;9, "6–8 Years", G4929&lt;12, "9-11 Years", G4929&gt;=12, "12-14 Years")</f>
        <v>9-11 Years</v>
      </c>
      <c r="J4929">
        <v>3</v>
      </c>
      <c r="K4929" t="s">
        <v>20</v>
      </c>
      <c r="L4929">
        <v>66100</v>
      </c>
      <c r="M4929">
        <v>9800</v>
      </c>
      <c r="N4929">
        <v>75900</v>
      </c>
      <c r="O4929" t="s">
        <v>21</v>
      </c>
      <c r="P4929" s="3">
        <v>41847</v>
      </c>
      <c r="Q4929" t="s">
        <v>28</v>
      </c>
    </row>
    <row r="4930" spans="1:17" x14ac:dyDescent="0.35">
      <c r="A4930" t="s">
        <v>4982</v>
      </c>
      <c r="B4930" t="s">
        <v>16</v>
      </c>
      <c r="C4930">
        <v>44</v>
      </c>
      <c r="D4930" t="s">
        <v>41</v>
      </c>
      <c r="E4930" t="s">
        <v>67</v>
      </c>
      <c r="F4930" t="s">
        <v>36</v>
      </c>
      <c r="G4930">
        <v>2.2999999999999998</v>
      </c>
      <c r="H4930">
        <v>0</v>
      </c>
      <c r="I4930" t="str" cm="1">
        <f t="array" ref="I4930">_xlfn.IFS(G4930&lt;3, "0–2 Years", G4930&lt;6, "3–5 Years", G4930&lt;9, "6–8 Years", G4930&lt;12, "9-11 Years", G4930&gt;=12, "12-14 Years")</f>
        <v>0–2 Years</v>
      </c>
      <c r="J4930">
        <v>2</v>
      </c>
      <c r="K4930" t="s">
        <v>69</v>
      </c>
      <c r="L4930">
        <v>53200</v>
      </c>
      <c r="M4930">
        <v>2100</v>
      </c>
      <c r="N4930">
        <v>55300</v>
      </c>
      <c r="O4930" t="s">
        <v>25</v>
      </c>
      <c r="P4930" s="3">
        <v>45198</v>
      </c>
      <c r="Q4930" t="s">
        <v>36</v>
      </c>
    </row>
    <row r="4931" spans="1:17" x14ac:dyDescent="0.35">
      <c r="A4931" t="s">
        <v>4983</v>
      </c>
      <c r="B4931" t="s">
        <v>23</v>
      </c>
      <c r="C4931">
        <v>43</v>
      </c>
      <c r="D4931" t="s">
        <v>44</v>
      </c>
      <c r="E4931" t="s">
        <v>76</v>
      </c>
      <c r="F4931" t="s">
        <v>28</v>
      </c>
      <c r="G4931">
        <v>2.5</v>
      </c>
      <c r="H4931">
        <v>2.2000000000000002</v>
      </c>
      <c r="I4931" t="str" cm="1">
        <f t="array" ref="I4931">_xlfn.IFS(G4931&lt;3, "0–2 Years", G4931&lt;6, "3–5 Years", G4931&lt;9, "6–8 Years", G4931&lt;12, "9-11 Years", G4931&gt;=12, "12-14 Years")</f>
        <v>0–2 Years</v>
      </c>
      <c r="J4931">
        <v>3</v>
      </c>
      <c r="K4931" t="s">
        <v>20</v>
      </c>
      <c r="L4931">
        <v>94500</v>
      </c>
      <c r="M4931">
        <v>10800</v>
      </c>
      <c r="N4931">
        <v>105300</v>
      </c>
      <c r="O4931" t="s">
        <v>30</v>
      </c>
      <c r="P4931" s="3">
        <v>45100</v>
      </c>
      <c r="Q4931" t="s">
        <v>28</v>
      </c>
    </row>
    <row r="4932" spans="1:17" x14ac:dyDescent="0.35">
      <c r="A4932" t="s">
        <v>4984</v>
      </c>
      <c r="B4932" t="s">
        <v>16</v>
      </c>
      <c r="C4932">
        <v>34</v>
      </c>
      <c r="D4932" t="s">
        <v>55</v>
      </c>
      <c r="E4932" t="s">
        <v>79</v>
      </c>
      <c r="F4932" t="s">
        <v>19</v>
      </c>
      <c r="G4932">
        <v>9</v>
      </c>
      <c r="H4932">
        <v>4.8</v>
      </c>
      <c r="I4932" t="str" cm="1">
        <f t="array" ref="I4932">_xlfn.IFS(G4932&lt;3, "0–2 Years", G4932&lt;6, "3–5 Years", G4932&lt;9, "6–8 Years", G4932&lt;12, "9-11 Years", G4932&gt;=12, "12-14 Years")</f>
        <v>9-11 Years</v>
      </c>
      <c r="J4932">
        <v>3</v>
      </c>
      <c r="K4932" t="s">
        <v>20</v>
      </c>
      <c r="L4932">
        <v>68600</v>
      </c>
      <c r="M4932">
        <v>13600</v>
      </c>
      <c r="N4932">
        <v>82200</v>
      </c>
      <c r="O4932" t="s">
        <v>21</v>
      </c>
      <c r="P4932" s="3">
        <v>42718</v>
      </c>
      <c r="Q4932" t="s">
        <v>19</v>
      </c>
    </row>
    <row r="4933" spans="1:17" x14ac:dyDescent="0.35">
      <c r="A4933" t="s">
        <v>4985</v>
      </c>
      <c r="B4933" t="s">
        <v>23</v>
      </c>
      <c r="C4933">
        <v>43</v>
      </c>
      <c r="D4933" t="s">
        <v>17</v>
      </c>
      <c r="E4933" t="s">
        <v>32</v>
      </c>
      <c r="F4933" t="s">
        <v>28</v>
      </c>
      <c r="G4933">
        <v>7.5</v>
      </c>
      <c r="H4933">
        <v>3.7</v>
      </c>
      <c r="I4933" t="str" cm="1">
        <f t="array" ref="I4933">_xlfn.IFS(G4933&lt;3, "0–2 Years", G4933&lt;6, "3–5 Years", G4933&lt;9, "6–8 Years", G4933&lt;12, "9-11 Years", G4933&gt;=12, "12-14 Years")</f>
        <v>6–8 Years</v>
      </c>
      <c r="J4933">
        <v>3</v>
      </c>
      <c r="K4933" t="s">
        <v>69</v>
      </c>
      <c r="L4933">
        <v>49700</v>
      </c>
      <c r="M4933">
        <v>4000</v>
      </c>
      <c r="N4933">
        <v>53700</v>
      </c>
      <c r="O4933" t="s">
        <v>65</v>
      </c>
      <c r="P4933" s="3">
        <v>43270</v>
      </c>
      <c r="Q4933" t="s">
        <v>28</v>
      </c>
    </row>
    <row r="4934" spans="1:17" x14ac:dyDescent="0.35">
      <c r="A4934" t="s">
        <v>4986</v>
      </c>
      <c r="B4934" t="s">
        <v>16</v>
      </c>
      <c r="C4934">
        <v>37</v>
      </c>
      <c r="D4934" t="s">
        <v>34</v>
      </c>
      <c r="E4934" t="s">
        <v>47</v>
      </c>
      <c r="F4934" t="s">
        <v>28</v>
      </c>
      <c r="G4934">
        <v>6.1</v>
      </c>
      <c r="H4934">
        <v>5.8</v>
      </c>
      <c r="I4934" t="str" cm="1">
        <f t="array" ref="I4934">_xlfn.IFS(G4934&lt;3, "0–2 Years", G4934&lt;6, "3–5 Years", G4934&lt;9, "6–8 Years", G4934&lt;12, "9-11 Years", G4934&gt;=12, "12-14 Years")</f>
        <v>6–8 Years</v>
      </c>
      <c r="J4934">
        <v>3</v>
      </c>
      <c r="K4934" t="s">
        <v>20</v>
      </c>
      <c r="L4934">
        <v>77500</v>
      </c>
      <c r="M4934">
        <v>7400</v>
      </c>
      <c r="N4934">
        <v>84900</v>
      </c>
      <c r="O4934" t="s">
        <v>21</v>
      </c>
      <c r="P4934" s="3">
        <v>43810</v>
      </c>
      <c r="Q4934" t="s">
        <v>28</v>
      </c>
    </row>
    <row r="4935" spans="1:17" x14ac:dyDescent="0.35">
      <c r="A4935" t="s">
        <v>4987</v>
      </c>
      <c r="B4935" t="s">
        <v>23</v>
      </c>
      <c r="C4935">
        <v>37</v>
      </c>
      <c r="D4935" t="s">
        <v>44</v>
      </c>
      <c r="E4935" t="s">
        <v>76</v>
      </c>
      <c r="F4935" t="s">
        <v>28</v>
      </c>
      <c r="G4935">
        <v>11.4</v>
      </c>
      <c r="H4935">
        <v>8.1</v>
      </c>
      <c r="I4935" t="str" cm="1">
        <f t="array" ref="I4935">_xlfn.IFS(G4935&lt;3, "0–2 Years", G4935&lt;6, "3–5 Years", G4935&lt;9, "6–8 Years", G4935&lt;12, "9-11 Years", G4935&gt;=12, "12-14 Years")</f>
        <v>9-11 Years</v>
      </c>
      <c r="J4935">
        <v>3</v>
      </c>
      <c r="K4935" t="s">
        <v>20</v>
      </c>
      <c r="L4935">
        <v>113300</v>
      </c>
      <c r="M4935">
        <v>9700</v>
      </c>
      <c r="N4935">
        <v>123000</v>
      </c>
      <c r="O4935" t="s">
        <v>57</v>
      </c>
      <c r="P4935" s="3">
        <v>41868</v>
      </c>
      <c r="Q4935" t="s">
        <v>28</v>
      </c>
    </row>
    <row r="4936" spans="1:17" x14ac:dyDescent="0.35">
      <c r="A4936" t="s">
        <v>4988</v>
      </c>
      <c r="B4936" t="s">
        <v>16</v>
      </c>
      <c r="C4936">
        <v>27</v>
      </c>
      <c r="D4936" t="s">
        <v>38</v>
      </c>
      <c r="E4936" t="s">
        <v>61</v>
      </c>
      <c r="F4936" t="s">
        <v>36</v>
      </c>
      <c r="G4936">
        <v>4.4000000000000004</v>
      </c>
      <c r="H4936">
        <v>3.7</v>
      </c>
      <c r="I4936" t="str" cm="1">
        <f t="array" ref="I4936">_xlfn.IFS(G4936&lt;3, "0–2 Years", G4936&lt;6, "3–5 Years", G4936&lt;9, "6–8 Years", G4936&lt;12, "9-11 Years", G4936&gt;=12, "12-14 Years")</f>
        <v>3–5 Years</v>
      </c>
      <c r="J4936">
        <v>3</v>
      </c>
      <c r="K4936" t="s">
        <v>20</v>
      </c>
      <c r="L4936">
        <v>99200</v>
      </c>
      <c r="M4936">
        <v>4400</v>
      </c>
      <c r="N4936">
        <v>103600</v>
      </c>
      <c r="O4936" t="s">
        <v>30</v>
      </c>
      <c r="P4936" s="3">
        <v>44406</v>
      </c>
      <c r="Q4936" t="s">
        <v>36</v>
      </c>
    </row>
    <row r="4937" spans="1:17" x14ac:dyDescent="0.35">
      <c r="A4937" t="s">
        <v>4989</v>
      </c>
      <c r="B4937" t="s">
        <v>23</v>
      </c>
      <c r="C4937">
        <v>46</v>
      </c>
      <c r="D4937" t="s">
        <v>41</v>
      </c>
      <c r="E4937" t="s">
        <v>42</v>
      </c>
      <c r="F4937" t="s">
        <v>36</v>
      </c>
      <c r="G4937">
        <v>11.9</v>
      </c>
      <c r="H4937">
        <v>7.5</v>
      </c>
      <c r="I4937" t="str" cm="1">
        <f t="array" ref="I4937">_xlfn.IFS(G4937&lt;3, "0–2 Years", G4937&lt;6, "3–5 Years", G4937&lt;9, "6–8 Years", G4937&lt;12, "9-11 Years", G4937&gt;=12, "12-14 Years")</f>
        <v>9-11 Years</v>
      </c>
      <c r="J4937">
        <v>2</v>
      </c>
      <c r="K4937" t="s">
        <v>20</v>
      </c>
      <c r="L4937">
        <v>90300</v>
      </c>
      <c r="M4937">
        <v>7800</v>
      </c>
      <c r="N4937">
        <v>98100</v>
      </c>
      <c r="O4937" t="s">
        <v>30</v>
      </c>
      <c r="P4937" s="3">
        <v>41689</v>
      </c>
      <c r="Q4937" t="s">
        <v>36</v>
      </c>
    </row>
    <row r="4938" spans="1:17" x14ac:dyDescent="0.35">
      <c r="A4938" t="s">
        <v>4990</v>
      </c>
      <c r="B4938" t="s">
        <v>23</v>
      </c>
      <c r="C4938" s="7">
        <v>47</v>
      </c>
      <c r="D4938" t="s">
        <v>38</v>
      </c>
      <c r="E4938" t="s">
        <v>61</v>
      </c>
      <c r="F4938" t="s">
        <v>36</v>
      </c>
      <c r="G4938" s="9">
        <v>12.8</v>
      </c>
      <c r="H4938" s="7">
        <v>9.5</v>
      </c>
      <c r="I4938" t="str" cm="1">
        <f t="array" ref="I4938">_xlfn.IFS(G4938&lt;3, "0–2 Years", G4938&lt;6, "3–5 Years", G4938&lt;9, "6–8 Years", G4938&lt;12, "9-11 Years", G4938&gt;=12, "12-14 Years")</f>
        <v>12-14 Years</v>
      </c>
      <c r="J4938" s="7">
        <v>4</v>
      </c>
      <c r="K4938" t="s">
        <v>69</v>
      </c>
      <c r="L4938" s="7">
        <v>96300</v>
      </c>
      <c r="M4938" s="7">
        <v>4800</v>
      </c>
      <c r="N4938" s="7">
        <v>101100</v>
      </c>
      <c r="O4938" t="s">
        <v>30</v>
      </c>
      <c r="P4938" s="3">
        <v>41364</v>
      </c>
      <c r="Q4938" t="s">
        <v>36</v>
      </c>
    </row>
    <row r="4939" spans="1:17" x14ac:dyDescent="0.35">
      <c r="A4939" t="s">
        <v>4991</v>
      </c>
      <c r="B4939" t="s">
        <v>23</v>
      </c>
      <c r="C4939">
        <v>40</v>
      </c>
      <c r="D4939" t="s">
        <v>34</v>
      </c>
      <c r="E4939" t="s">
        <v>59</v>
      </c>
      <c r="F4939" t="s">
        <v>28</v>
      </c>
      <c r="G4939">
        <v>6.9</v>
      </c>
      <c r="H4939">
        <v>5.0999999999999996</v>
      </c>
      <c r="I4939" t="str" cm="1">
        <f t="array" ref="I4939">_xlfn.IFS(G4939&lt;3, "0–2 Years", G4939&lt;6, "3–5 Years", G4939&lt;9, "6–8 Years", G4939&lt;12, "9-11 Years", G4939&gt;=12, "12-14 Years")</f>
        <v>6–8 Years</v>
      </c>
      <c r="J4939">
        <v>3</v>
      </c>
      <c r="K4939" t="s">
        <v>20</v>
      </c>
      <c r="L4939">
        <v>118700</v>
      </c>
      <c r="M4939">
        <v>5600</v>
      </c>
      <c r="N4939">
        <v>124300</v>
      </c>
      <c r="O4939" t="s">
        <v>57</v>
      </c>
      <c r="P4939" s="3">
        <v>43485</v>
      </c>
      <c r="Q4939" t="s">
        <v>28</v>
      </c>
    </row>
    <row r="4940" spans="1:17" x14ac:dyDescent="0.35">
      <c r="A4940" t="s">
        <v>4992</v>
      </c>
      <c r="B4940" t="s">
        <v>23</v>
      </c>
      <c r="C4940">
        <v>37</v>
      </c>
      <c r="D4940" t="s">
        <v>34</v>
      </c>
      <c r="E4940" t="s">
        <v>47</v>
      </c>
      <c r="F4940" t="s">
        <v>28</v>
      </c>
      <c r="G4940">
        <v>2.9</v>
      </c>
      <c r="H4940">
        <v>1.7</v>
      </c>
      <c r="I4940" t="str" cm="1">
        <f t="array" ref="I4940">_xlfn.IFS(G4940&lt;3, "0–2 Years", G4940&lt;6, "3–5 Years", G4940&lt;9, "6–8 Years", G4940&lt;12, "9-11 Years", G4940&gt;=12, "12-14 Years")</f>
        <v>0–2 Years</v>
      </c>
      <c r="J4940">
        <v>3</v>
      </c>
      <c r="K4940" t="s">
        <v>20</v>
      </c>
      <c r="L4940">
        <v>72700</v>
      </c>
      <c r="M4940">
        <v>5400</v>
      </c>
      <c r="N4940">
        <v>78100</v>
      </c>
      <c r="O4940" t="s">
        <v>21</v>
      </c>
      <c r="P4940" s="3">
        <v>44955</v>
      </c>
      <c r="Q4940" t="s">
        <v>28</v>
      </c>
    </row>
    <row r="4941" spans="1:17" x14ac:dyDescent="0.35">
      <c r="A4941" t="s">
        <v>4993</v>
      </c>
      <c r="B4941" t="s">
        <v>16</v>
      </c>
      <c r="C4941">
        <v>42</v>
      </c>
      <c r="D4941" t="s">
        <v>55</v>
      </c>
      <c r="E4941" t="s">
        <v>79</v>
      </c>
      <c r="F4941" t="s">
        <v>62</v>
      </c>
      <c r="G4941">
        <v>9.9</v>
      </c>
      <c r="H4941">
        <v>8.6999999999999993</v>
      </c>
      <c r="I4941" t="str" cm="1">
        <f t="array" ref="I4941">_xlfn.IFS(G4941&lt;3, "0–2 Years", G4941&lt;6, "3–5 Years", G4941&lt;9, "6–8 Years", G4941&lt;12, "9-11 Years", G4941&gt;=12, "12-14 Years")</f>
        <v>9-11 Years</v>
      </c>
      <c r="J4941">
        <v>1</v>
      </c>
      <c r="K4941" t="s">
        <v>20</v>
      </c>
      <c r="L4941">
        <v>74200</v>
      </c>
      <c r="M4941">
        <v>14900</v>
      </c>
      <c r="N4941">
        <v>89100</v>
      </c>
      <c r="O4941" t="s">
        <v>21</v>
      </c>
      <c r="P4941" s="3">
        <v>42409</v>
      </c>
      <c r="Q4941" t="s">
        <v>62</v>
      </c>
    </row>
    <row r="4942" spans="1:17" x14ac:dyDescent="0.35">
      <c r="A4942" t="s">
        <v>4994</v>
      </c>
      <c r="B4942" t="s">
        <v>23</v>
      </c>
      <c r="C4942">
        <v>35</v>
      </c>
      <c r="D4942" t="s">
        <v>17</v>
      </c>
      <c r="E4942" t="s">
        <v>27</v>
      </c>
      <c r="F4942" t="s">
        <v>28</v>
      </c>
      <c r="G4942">
        <v>4.5</v>
      </c>
      <c r="H4942">
        <v>3.5</v>
      </c>
      <c r="I4942" t="str" cm="1">
        <f t="array" ref="I4942">_xlfn.IFS(G4942&lt;3, "0–2 Years", G4942&lt;6, "3–5 Years", G4942&lt;9, "6–8 Years", G4942&lt;12, "9-11 Years", G4942&gt;=12, "12-14 Years")</f>
        <v>3–5 Years</v>
      </c>
      <c r="J4942">
        <v>5</v>
      </c>
      <c r="K4942" t="s">
        <v>20</v>
      </c>
      <c r="L4942">
        <v>77500</v>
      </c>
      <c r="M4942">
        <v>6800</v>
      </c>
      <c r="N4942">
        <v>84300</v>
      </c>
      <c r="O4942" t="s">
        <v>21</v>
      </c>
      <c r="P4942" s="3">
        <v>44391</v>
      </c>
      <c r="Q4942" t="s">
        <v>28</v>
      </c>
    </row>
    <row r="4943" spans="1:17" x14ac:dyDescent="0.35">
      <c r="A4943" t="s">
        <v>4995</v>
      </c>
      <c r="B4943" t="s">
        <v>23</v>
      </c>
      <c r="C4943">
        <v>42</v>
      </c>
      <c r="D4943" t="s">
        <v>44</v>
      </c>
      <c r="E4943" t="s">
        <v>51</v>
      </c>
      <c r="F4943" t="s">
        <v>36</v>
      </c>
      <c r="G4943">
        <v>6.3</v>
      </c>
      <c r="H4943">
        <v>3.9</v>
      </c>
      <c r="I4943" t="str" cm="1">
        <f t="array" ref="I4943">_xlfn.IFS(G4943&lt;3, "0–2 Years", G4943&lt;6, "3–5 Years", G4943&lt;9, "6–8 Years", G4943&lt;12, "9-11 Years", G4943&gt;=12, "12-14 Years")</f>
        <v>6–8 Years</v>
      </c>
      <c r="J4943">
        <v>3</v>
      </c>
      <c r="K4943" t="s">
        <v>24</v>
      </c>
      <c r="L4943">
        <v>49600</v>
      </c>
      <c r="M4943">
        <v>6800</v>
      </c>
      <c r="N4943">
        <v>56400</v>
      </c>
      <c r="O4943" t="s">
        <v>65</v>
      </c>
      <c r="P4943" s="3">
        <v>43739</v>
      </c>
      <c r="Q4943" t="s">
        <v>36</v>
      </c>
    </row>
    <row r="4944" spans="1:17" x14ac:dyDescent="0.35">
      <c r="A4944" t="s">
        <v>4996</v>
      </c>
      <c r="B4944" t="s">
        <v>23</v>
      </c>
      <c r="C4944">
        <v>42</v>
      </c>
      <c r="D4944" t="s">
        <v>38</v>
      </c>
      <c r="E4944" t="s">
        <v>39</v>
      </c>
      <c r="F4944" t="s">
        <v>36</v>
      </c>
      <c r="G4944">
        <v>10.7</v>
      </c>
      <c r="H4944">
        <v>8.3000000000000007</v>
      </c>
      <c r="I4944" t="str" cm="1">
        <f t="array" ref="I4944">_xlfn.IFS(G4944&lt;3, "0–2 Years", G4944&lt;6, "3–5 Years", G4944&lt;9, "6–8 Years", G4944&lt;12, "9-11 Years", G4944&gt;=12, "12-14 Years")</f>
        <v>9-11 Years</v>
      </c>
      <c r="J4944">
        <v>3</v>
      </c>
      <c r="K4944" t="s">
        <v>20</v>
      </c>
      <c r="L4944">
        <v>82800</v>
      </c>
      <c r="M4944">
        <v>7000</v>
      </c>
      <c r="N4944">
        <v>89800</v>
      </c>
      <c r="O4944" t="s">
        <v>30</v>
      </c>
      <c r="P4944" s="3">
        <v>42126</v>
      </c>
      <c r="Q4944" t="s">
        <v>36</v>
      </c>
    </row>
    <row r="4945" spans="1:17" x14ac:dyDescent="0.35">
      <c r="A4945" t="s">
        <v>4997</v>
      </c>
      <c r="B4945" t="s">
        <v>16</v>
      </c>
      <c r="C4945">
        <v>46</v>
      </c>
      <c r="D4945" t="s">
        <v>34</v>
      </c>
      <c r="E4945" t="s">
        <v>59</v>
      </c>
      <c r="F4945" t="s">
        <v>28</v>
      </c>
      <c r="G4945">
        <v>7.5</v>
      </c>
      <c r="H4945">
        <v>6.1</v>
      </c>
      <c r="I4945" t="str" cm="1">
        <f t="array" ref="I4945">_xlfn.IFS(G4945&lt;3, "0–2 Years", G4945&lt;6, "3–5 Years", G4945&lt;9, "6–8 Years", G4945&lt;12, "9-11 Years", G4945&gt;=12, "12-14 Years")</f>
        <v>6–8 Years</v>
      </c>
      <c r="J4945">
        <v>3</v>
      </c>
      <c r="K4945" t="s">
        <v>20</v>
      </c>
      <c r="L4945">
        <v>89000</v>
      </c>
      <c r="M4945">
        <v>6000</v>
      </c>
      <c r="N4945">
        <v>95000</v>
      </c>
      <c r="O4945" t="s">
        <v>30</v>
      </c>
      <c r="P4945" s="3">
        <v>43269</v>
      </c>
      <c r="Q4945" t="s">
        <v>28</v>
      </c>
    </row>
    <row r="4946" spans="1:17" x14ac:dyDescent="0.35">
      <c r="A4946" t="s">
        <v>4998</v>
      </c>
      <c r="B4946" t="s">
        <v>16</v>
      </c>
      <c r="C4946">
        <v>38</v>
      </c>
      <c r="D4946" t="s">
        <v>55</v>
      </c>
      <c r="E4946" t="s">
        <v>92</v>
      </c>
      <c r="F4946" t="s">
        <v>36</v>
      </c>
      <c r="G4946">
        <v>9.4</v>
      </c>
      <c r="H4946">
        <v>6.1</v>
      </c>
      <c r="I4946" t="str" cm="1">
        <f t="array" ref="I4946">_xlfn.IFS(G4946&lt;3, "0–2 Years", G4946&lt;6, "3–5 Years", G4946&lt;9, "6–8 Years", G4946&lt;12, "9-11 Years", G4946&gt;=12, "12-14 Years")</f>
        <v>9-11 Years</v>
      </c>
      <c r="J4946">
        <v>3</v>
      </c>
      <c r="K4946" t="s">
        <v>20</v>
      </c>
      <c r="L4946">
        <v>112100</v>
      </c>
      <c r="M4946">
        <v>17900</v>
      </c>
      <c r="N4946">
        <v>130000</v>
      </c>
      <c r="O4946" t="s">
        <v>57</v>
      </c>
      <c r="P4946" s="3">
        <v>42586</v>
      </c>
      <c r="Q4946" t="s">
        <v>36</v>
      </c>
    </row>
    <row r="4947" spans="1:17" x14ac:dyDescent="0.35">
      <c r="A4947" t="s">
        <v>4999</v>
      </c>
      <c r="B4947" t="s">
        <v>16</v>
      </c>
      <c r="C4947">
        <v>38</v>
      </c>
      <c r="D4947" t="s">
        <v>41</v>
      </c>
      <c r="E4947" t="s">
        <v>42</v>
      </c>
      <c r="F4947" t="s">
        <v>28</v>
      </c>
      <c r="G4947">
        <v>6.4</v>
      </c>
      <c r="H4947">
        <v>4.4000000000000004</v>
      </c>
      <c r="I4947" t="str" cm="1">
        <f t="array" ref="I4947">_xlfn.IFS(G4947&lt;3, "0–2 Years", G4947&lt;6, "3–5 Years", G4947&lt;9, "6–8 Years", G4947&lt;12, "9-11 Years", G4947&gt;=12, "12-14 Years")</f>
        <v>6–8 Years</v>
      </c>
      <c r="J4947">
        <v>3</v>
      </c>
      <c r="K4947" t="s">
        <v>69</v>
      </c>
      <c r="L4947">
        <v>61400</v>
      </c>
      <c r="M4947">
        <v>5100</v>
      </c>
      <c r="N4947">
        <v>66500</v>
      </c>
      <c r="O4947" t="s">
        <v>25</v>
      </c>
      <c r="P4947" s="3">
        <v>43703</v>
      </c>
      <c r="Q4947" t="s">
        <v>28</v>
      </c>
    </row>
    <row r="4948" spans="1:17" x14ac:dyDescent="0.35">
      <c r="A4948" t="s">
        <v>5000</v>
      </c>
      <c r="B4948" t="s">
        <v>23</v>
      </c>
      <c r="C4948">
        <v>38</v>
      </c>
      <c r="D4948" t="s">
        <v>55</v>
      </c>
      <c r="E4948" t="s">
        <v>56</v>
      </c>
      <c r="F4948" t="s">
        <v>28</v>
      </c>
      <c r="G4948">
        <v>7.5</v>
      </c>
      <c r="H4948">
        <v>4.5</v>
      </c>
      <c r="I4948" t="str" cm="1">
        <f t="array" ref="I4948">_xlfn.IFS(G4948&lt;3, "0–2 Years", G4948&lt;6, "3–5 Years", G4948&lt;9, "6–8 Years", G4948&lt;12, "9-11 Years", G4948&gt;=12, "12-14 Years")</f>
        <v>6–8 Years</v>
      </c>
      <c r="J4948">
        <v>4</v>
      </c>
      <c r="K4948" t="s">
        <v>20</v>
      </c>
      <c r="L4948">
        <v>107200</v>
      </c>
      <c r="M4948">
        <v>22300</v>
      </c>
      <c r="N4948">
        <v>129500</v>
      </c>
      <c r="O4948" t="s">
        <v>57</v>
      </c>
      <c r="P4948" s="3">
        <v>43281</v>
      </c>
      <c r="Q4948" t="s">
        <v>28</v>
      </c>
    </row>
    <row r="4949" spans="1:17" x14ac:dyDescent="0.35">
      <c r="A4949" t="s">
        <v>5001</v>
      </c>
      <c r="B4949" t="s">
        <v>23</v>
      </c>
      <c r="C4949">
        <v>32</v>
      </c>
      <c r="D4949" t="s">
        <v>55</v>
      </c>
      <c r="E4949" t="s">
        <v>56</v>
      </c>
      <c r="F4949" t="s">
        <v>28</v>
      </c>
      <c r="G4949">
        <v>4.9000000000000004</v>
      </c>
      <c r="H4949">
        <v>4</v>
      </c>
      <c r="I4949" t="str" cm="1">
        <f t="array" ref="I4949">_xlfn.IFS(G4949&lt;3, "0–2 Years", G4949&lt;6, "3–5 Years", G4949&lt;9, "6–8 Years", G4949&lt;12, "9-11 Years", G4949&gt;=12, "12-14 Years")</f>
        <v>3–5 Years</v>
      </c>
      <c r="J4949">
        <v>3</v>
      </c>
      <c r="K4949" t="s">
        <v>20</v>
      </c>
      <c r="L4949">
        <v>95700</v>
      </c>
      <c r="M4949">
        <v>15200</v>
      </c>
      <c r="N4949">
        <v>110900</v>
      </c>
      <c r="O4949" t="s">
        <v>30</v>
      </c>
      <c r="P4949" s="3">
        <v>44235</v>
      </c>
      <c r="Q4949" t="s">
        <v>28</v>
      </c>
    </row>
    <row r="4950" spans="1:17" x14ac:dyDescent="0.35">
      <c r="A4950" t="s">
        <v>5002</v>
      </c>
      <c r="B4950" t="s">
        <v>16</v>
      </c>
      <c r="C4950">
        <v>30</v>
      </c>
      <c r="D4950" t="s">
        <v>44</v>
      </c>
      <c r="E4950" t="s">
        <v>81</v>
      </c>
      <c r="F4950" t="s">
        <v>19</v>
      </c>
      <c r="G4950">
        <v>6.4</v>
      </c>
      <c r="H4950">
        <v>5.8</v>
      </c>
      <c r="I4950" t="str" cm="1">
        <f t="array" ref="I4950">_xlfn.IFS(G4950&lt;3, "0–2 Years", G4950&lt;6, "3–5 Years", G4950&lt;9, "6–8 Years", G4950&lt;12, "9-11 Years", G4950&gt;=12, "12-14 Years")</f>
        <v>6–8 Years</v>
      </c>
      <c r="J4950">
        <v>3</v>
      </c>
      <c r="K4950" t="s">
        <v>20</v>
      </c>
      <c r="L4950">
        <v>83400</v>
      </c>
      <c r="M4950">
        <v>9900</v>
      </c>
      <c r="N4950">
        <v>93300</v>
      </c>
      <c r="O4950" t="s">
        <v>30</v>
      </c>
      <c r="P4950" s="3">
        <v>43700</v>
      </c>
      <c r="Q4950" t="s">
        <v>19</v>
      </c>
    </row>
    <row r="4951" spans="1:17" x14ac:dyDescent="0.35">
      <c r="A4951" t="s">
        <v>5003</v>
      </c>
      <c r="B4951" t="s">
        <v>23</v>
      </c>
      <c r="C4951">
        <v>33</v>
      </c>
      <c r="D4951" t="s">
        <v>38</v>
      </c>
      <c r="E4951" t="s">
        <v>61</v>
      </c>
      <c r="F4951" t="s">
        <v>36</v>
      </c>
      <c r="G4951">
        <v>2.2000000000000002</v>
      </c>
      <c r="H4951">
        <v>0.4</v>
      </c>
      <c r="I4951" t="str" cm="1">
        <f t="array" ref="I4951">_xlfn.IFS(G4951&lt;3, "0–2 Years", G4951&lt;6, "3–5 Years", G4951&lt;9, "6–8 Years", G4951&lt;12, "9-11 Years", G4951&gt;=12, "12-14 Years")</f>
        <v>0–2 Years</v>
      </c>
      <c r="J4951">
        <v>3</v>
      </c>
      <c r="K4951" t="s">
        <v>20</v>
      </c>
      <c r="L4951">
        <v>101700</v>
      </c>
      <c r="M4951">
        <v>4400</v>
      </c>
      <c r="N4951">
        <v>106100</v>
      </c>
      <c r="O4951" t="s">
        <v>57</v>
      </c>
      <c r="P4951" s="3">
        <v>45207</v>
      </c>
      <c r="Q4951" t="s">
        <v>36</v>
      </c>
    </row>
    <row r="4952" spans="1:17" x14ac:dyDescent="0.35">
      <c r="A4952" t="s">
        <v>5004</v>
      </c>
      <c r="B4952" t="s">
        <v>23</v>
      </c>
      <c r="C4952">
        <v>39</v>
      </c>
      <c r="D4952" t="s">
        <v>38</v>
      </c>
      <c r="E4952" t="s">
        <v>112</v>
      </c>
      <c r="F4952" t="s">
        <v>28</v>
      </c>
      <c r="G4952">
        <v>2.5</v>
      </c>
      <c r="H4952">
        <v>0.7</v>
      </c>
      <c r="I4952" t="str" cm="1">
        <f t="array" ref="I4952">_xlfn.IFS(G4952&lt;3, "0–2 Years", G4952&lt;6, "3–5 Years", G4952&lt;9, "6–8 Years", G4952&lt;12, "9-11 Years", G4952&gt;=12, "12-14 Years")</f>
        <v>0–2 Years</v>
      </c>
      <c r="J4952">
        <v>3</v>
      </c>
      <c r="K4952" t="s">
        <v>20</v>
      </c>
      <c r="L4952">
        <v>61200</v>
      </c>
      <c r="M4952">
        <v>5500</v>
      </c>
      <c r="N4952">
        <v>66700</v>
      </c>
      <c r="O4952" t="s">
        <v>25</v>
      </c>
      <c r="P4952" s="3">
        <v>45124</v>
      </c>
      <c r="Q4952" t="s">
        <v>28</v>
      </c>
    </row>
    <row r="4953" spans="1:17" x14ac:dyDescent="0.35">
      <c r="A4953" t="s">
        <v>5005</v>
      </c>
      <c r="B4953" t="s">
        <v>23</v>
      </c>
      <c r="C4953" s="7">
        <v>39</v>
      </c>
      <c r="D4953" t="s">
        <v>44</v>
      </c>
      <c r="E4953" t="s">
        <v>76</v>
      </c>
      <c r="F4953" t="s">
        <v>36</v>
      </c>
      <c r="G4953" s="9">
        <v>12.5</v>
      </c>
      <c r="H4953" s="7">
        <v>8.9</v>
      </c>
      <c r="I4953" t="str" cm="1">
        <f t="array" ref="I4953">_xlfn.IFS(G4953&lt;3, "0–2 Years", G4953&lt;6, "3–5 Years", G4953&lt;9, "6–8 Years", G4953&lt;12, "9-11 Years", G4953&gt;=12, "12-14 Years")</f>
        <v>12-14 Years</v>
      </c>
      <c r="J4953" s="7">
        <v>1</v>
      </c>
      <c r="K4953" t="s">
        <v>20</v>
      </c>
      <c r="L4953" s="7">
        <v>113800</v>
      </c>
      <c r="M4953" s="7">
        <v>15000</v>
      </c>
      <c r="N4953" s="7">
        <v>128800</v>
      </c>
      <c r="O4953" t="s">
        <v>57</v>
      </c>
      <c r="P4953" s="3">
        <v>41464</v>
      </c>
      <c r="Q4953" t="s">
        <v>36</v>
      </c>
    </row>
    <row r="4954" spans="1:17" x14ac:dyDescent="0.35">
      <c r="A4954" t="s">
        <v>5006</v>
      </c>
      <c r="B4954" t="s">
        <v>23</v>
      </c>
      <c r="C4954">
        <v>47</v>
      </c>
      <c r="D4954" t="s">
        <v>38</v>
      </c>
      <c r="E4954" t="s">
        <v>39</v>
      </c>
      <c r="F4954" t="s">
        <v>28</v>
      </c>
      <c r="G4954">
        <v>2.7</v>
      </c>
      <c r="H4954">
        <v>1.3</v>
      </c>
      <c r="I4954" t="str" cm="1">
        <f t="array" ref="I4954">_xlfn.IFS(G4954&lt;3, "0–2 Years", G4954&lt;6, "3–5 Years", G4954&lt;9, "6–8 Years", G4954&lt;12, "9-11 Years", G4954&gt;=12, "12-14 Years")</f>
        <v>0–2 Years</v>
      </c>
      <c r="J4954">
        <v>4</v>
      </c>
      <c r="K4954" t="s">
        <v>20</v>
      </c>
      <c r="L4954">
        <v>67100</v>
      </c>
      <c r="M4954">
        <v>4900</v>
      </c>
      <c r="N4954">
        <v>72000</v>
      </c>
      <c r="O4954" t="s">
        <v>21</v>
      </c>
      <c r="P4954" s="3">
        <v>45034</v>
      </c>
      <c r="Q4954" t="s">
        <v>28</v>
      </c>
    </row>
    <row r="4955" spans="1:17" x14ac:dyDescent="0.35">
      <c r="A4955" t="s">
        <v>5007</v>
      </c>
      <c r="B4955" t="s">
        <v>23</v>
      </c>
      <c r="C4955" s="7">
        <v>34</v>
      </c>
      <c r="D4955" t="s">
        <v>17</v>
      </c>
      <c r="E4955" t="s">
        <v>18</v>
      </c>
      <c r="F4955" t="s">
        <v>28</v>
      </c>
      <c r="G4955" s="9">
        <v>12.5</v>
      </c>
      <c r="H4955" s="7">
        <v>6.9</v>
      </c>
      <c r="I4955" t="str" cm="1">
        <f t="array" ref="I4955">_xlfn.IFS(G4955&lt;3, "0–2 Years", G4955&lt;6, "3–5 Years", G4955&lt;9, "6–8 Years", G4955&lt;12, "9-11 Years", G4955&gt;=12, "12-14 Years")</f>
        <v>12-14 Years</v>
      </c>
      <c r="J4955" s="7">
        <v>3</v>
      </c>
      <c r="K4955" t="s">
        <v>24</v>
      </c>
      <c r="L4955" s="7">
        <v>70400</v>
      </c>
      <c r="M4955" s="7">
        <v>3600</v>
      </c>
      <c r="N4955" s="7">
        <v>74000</v>
      </c>
      <c r="O4955" t="s">
        <v>21</v>
      </c>
      <c r="P4955" s="3">
        <v>41447</v>
      </c>
      <c r="Q4955" t="s">
        <v>28</v>
      </c>
    </row>
    <row r="4956" spans="1:17" x14ac:dyDescent="0.35">
      <c r="A4956" t="s">
        <v>5008</v>
      </c>
      <c r="B4956" t="s">
        <v>23</v>
      </c>
      <c r="C4956">
        <v>28</v>
      </c>
      <c r="D4956" t="s">
        <v>34</v>
      </c>
      <c r="E4956" t="s">
        <v>35</v>
      </c>
      <c r="G4956">
        <v>8.6</v>
      </c>
      <c r="H4956">
        <v>7.7</v>
      </c>
      <c r="I4956" t="str" cm="1">
        <f t="array" ref="I4956">_xlfn.IFS(G4956&lt;3, "0–2 Years", G4956&lt;6, "3–5 Years", G4956&lt;9, "6–8 Years", G4956&lt;12, "9-11 Years", G4956&gt;=12, "12-14 Years")</f>
        <v>6–8 Years</v>
      </c>
      <c r="J4956">
        <v>4</v>
      </c>
      <c r="K4956" t="s">
        <v>20</v>
      </c>
      <c r="L4956">
        <v>80700</v>
      </c>
      <c r="M4956">
        <v>8300</v>
      </c>
      <c r="N4956">
        <v>89000</v>
      </c>
      <c r="O4956" t="s">
        <v>30</v>
      </c>
      <c r="P4956" s="3">
        <v>42874</v>
      </c>
      <c r="Q4956" t="s">
        <v>5104</v>
      </c>
    </row>
    <row r="4957" spans="1:17" x14ac:dyDescent="0.35">
      <c r="A4957" t="s">
        <v>5009</v>
      </c>
      <c r="B4957" t="s">
        <v>16</v>
      </c>
      <c r="C4957">
        <v>42</v>
      </c>
      <c r="D4957" t="s">
        <v>34</v>
      </c>
      <c r="E4957" t="s">
        <v>47</v>
      </c>
      <c r="F4957" t="s">
        <v>19</v>
      </c>
      <c r="G4957">
        <v>3.8</v>
      </c>
      <c r="H4957">
        <v>3.4</v>
      </c>
      <c r="I4957" t="str" cm="1">
        <f t="array" ref="I4957">_xlfn.IFS(G4957&lt;3, "0–2 Years", G4957&lt;6, "3–5 Years", G4957&lt;9, "6–8 Years", G4957&lt;12, "9-11 Years", G4957&gt;=12, "12-14 Years")</f>
        <v>3–5 Years</v>
      </c>
      <c r="J4957">
        <v>4</v>
      </c>
      <c r="K4957" t="s">
        <v>24</v>
      </c>
      <c r="L4957">
        <v>46100</v>
      </c>
      <c r="M4957">
        <v>2400</v>
      </c>
      <c r="N4957">
        <v>48500</v>
      </c>
      <c r="O4957" t="s">
        <v>65</v>
      </c>
      <c r="P4957" s="3">
        <v>44645</v>
      </c>
      <c r="Q4957" t="s">
        <v>19</v>
      </c>
    </row>
    <row r="4958" spans="1:17" x14ac:dyDescent="0.35">
      <c r="A4958" t="s">
        <v>5010</v>
      </c>
      <c r="B4958" t="s">
        <v>16</v>
      </c>
      <c r="C4958">
        <v>31</v>
      </c>
      <c r="D4958" t="s">
        <v>17</v>
      </c>
      <c r="E4958" t="s">
        <v>32</v>
      </c>
      <c r="F4958" t="s">
        <v>28</v>
      </c>
      <c r="G4958">
        <v>3.3</v>
      </c>
      <c r="H4958">
        <v>0.9</v>
      </c>
      <c r="I4958" t="str" cm="1">
        <f t="array" ref="I4958">_xlfn.IFS(G4958&lt;3, "0–2 Years", G4958&lt;6, "3–5 Years", G4958&lt;9, "6–8 Years", G4958&lt;12, "9-11 Years", G4958&gt;=12, "12-14 Years")</f>
        <v>3–5 Years</v>
      </c>
      <c r="J4958">
        <v>4</v>
      </c>
      <c r="K4958" t="s">
        <v>20</v>
      </c>
      <c r="L4958">
        <v>56700</v>
      </c>
      <c r="M4958">
        <v>6200</v>
      </c>
      <c r="N4958">
        <v>62900</v>
      </c>
      <c r="O4958" t="s">
        <v>25</v>
      </c>
      <c r="P4958" s="3">
        <v>44823</v>
      </c>
      <c r="Q4958" t="s">
        <v>28</v>
      </c>
    </row>
    <row r="4959" spans="1:17" x14ac:dyDescent="0.35">
      <c r="A4959" t="s">
        <v>5011</v>
      </c>
      <c r="B4959" t="s">
        <v>23</v>
      </c>
      <c r="C4959">
        <v>31</v>
      </c>
      <c r="D4959" t="s">
        <v>44</v>
      </c>
      <c r="E4959" t="s">
        <v>81</v>
      </c>
      <c r="F4959" t="s">
        <v>36</v>
      </c>
      <c r="G4959">
        <v>11.5</v>
      </c>
      <c r="H4959">
        <v>7.6</v>
      </c>
      <c r="I4959" t="str" cm="1">
        <f t="array" ref="I4959">_xlfn.IFS(G4959&lt;3, "0–2 Years", G4959&lt;6, "3–5 Years", G4959&lt;9, "6–8 Years", G4959&lt;12, "9-11 Years", G4959&gt;=12, "12-14 Years")</f>
        <v>9-11 Years</v>
      </c>
      <c r="J4959">
        <v>5</v>
      </c>
      <c r="K4959" t="s">
        <v>24</v>
      </c>
      <c r="L4959">
        <v>59400</v>
      </c>
      <c r="M4959">
        <v>6600</v>
      </c>
      <c r="N4959">
        <v>66000</v>
      </c>
      <c r="O4959" t="s">
        <v>25</v>
      </c>
      <c r="P4959" s="3">
        <v>41806</v>
      </c>
      <c r="Q4959" t="s">
        <v>36</v>
      </c>
    </row>
    <row r="4960" spans="1:17" x14ac:dyDescent="0.35">
      <c r="A4960" t="s">
        <v>5012</v>
      </c>
      <c r="B4960" t="s">
        <v>16</v>
      </c>
      <c r="C4960">
        <v>39</v>
      </c>
      <c r="D4960" t="s">
        <v>34</v>
      </c>
      <c r="E4960" t="s">
        <v>47</v>
      </c>
      <c r="F4960" t="s">
        <v>28</v>
      </c>
      <c r="G4960">
        <v>4</v>
      </c>
      <c r="H4960">
        <v>2.2999999999999998</v>
      </c>
      <c r="I4960" t="str" cm="1">
        <f t="array" ref="I4960">_xlfn.IFS(G4960&lt;3, "0–2 Years", G4960&lt;6, "3–5 Years", G4960&lt;9, "6–8 Years", G4960&lt;12, "9-11 Years", G4960&gt;=12, "12-14 Years")</f>
        <v>3–5 Years</v>
      </c>
      <c r="J4960">
        <v>3</v>
      </c>
      <c r="K4960" t="s">
        <v>20</v>
      </c>
      <c r="L4960">
        <v>73500</v>
      </c>
      <c r="M4960">
        <v>4900</v>
      </c>
      <c r="N4960">
        <v>78400</v>
      </c>
      <c r="O4960" t="s">
        <v>21</v>
      </c>
      <c r="P4960" s="3">
        <v>44563</v>
      </c>
      <c r="Q4960" t="s">
        <v>28</v>
      </c>
    </row>
    <row r="4961" spans="1:17" x14ac:dyDescent="0.35">
      <c r="A4961" t="s">
        <v>5013</v>
      </c>
      <c r="B4961" t="s">
        <v>23</v>
      </c>
      <c r="C4961" s="7">
        <v>35</v>
      </c>
      <c r="D4961" t="s">
        <v>17</v>
      </c>
      <c r="E4961" t="s">
        <v>27</v>
      </c>
      <c r="F4961" t="s">
        <v>28</v>
      </c>
      <c r="G4961" s="9">
        <v>13.8</v>
      </c>
      <c r="H4961" s="7">
        <v>9.8000000000000007</v>
      </c>
      <c r="I4961" t="str" cm="1">
        <f t="array" ref="I4961">_xlfn.IFS(G4961&lt;3, "0–2 Years", G4961&lt;6, "3–5 Years", G4961&lt;9, "6–8 Years", G4961&lt;12, "9-11 Years", G4961&gt;=12, "12-14 Years")</f>
        <v>12-14 Years</v>
      </c>
      <c r="J4961" s="7">
        <v>3</v>
      </c>
      <c r="K4961" t="s">
        <v>20</v>
      </c>
      <c r="L4961" s="7">
        <v>86100</v>
      </c>
      <c r="M4961" s="7">
        <v>4800</v>
      </c>
      <c r="N4961" s="7">
        <v>90900</v>
      </c>
      <c r="O4961" t="s">
        <v>30</v>
      </c>
      <c r="P4961" s="3">
        <v>40984</v>
      </c>
      <c r="Q4961" t="s">
        <v>28</v>
      </c>
    </row>
    <row r="4962" spans="1:17" x14ac:dyDescent="0.35">
      <c r="A4962" t="s">
        <v>5014</v>
      </c>
      <c r="B4962" t="s">
        <v>16</v>
      </c>
      <c r="C4962">
        <v>36</v>
      </c>
      <c r="D4962" t="s">
        <v>34</v>
      </c>
      <c r="E4962" t="s">
        <v>35</v>
      </c>
      <c r="F4962" t="s">
        <v>28</v>
      </c>
      <c r="G4962">
        <v>2.5</v>
      </c>
      <c r="H4962">
        <v>2.5</v>
      </c>
      <c r="I4962" t="str" cm="1">
        <f t="array" ref="I4962">_xlfn.IFS(G4962&lt;3, "0–2 Years", G4962&lt;6, "3–5 Years", G4962&lt;9, "6–8 Years", G4962&lt;12, "9-11 Years", G4962&gt;=12, "12-14 Years")</f>
        <v>0–2 Years</v>
      </c>
      <c r="J4962">
        <v>2</v>
      </c>
      <c r="K4962" t="s">
        <v>24</v>
      </c>
      <c r="L4962">
        <v>42700</v>
      </c>
      <c r="M4962">
        <v>2200</v>
      </c>
      <c r="N4962">
        <v>44900</v>
      </c>
      <c r="O4962" t="s">
        <v>65</v>
      </c>
      <c r="P4962" s="3">
        <v>45111</v>
      </c>
      <c r="Q4962" t="s">
        <v>28</v>
      </c>
    </row>
    <row r="4963" spans="1:17" x14ac:dyDescent="0.35">
      <c r="A4963" t="s">
        <v>5015</v>
      </c>
      <c r="B4963" t="s">
        <v>16</v>
      </c>
      <c r="C4963" s="7">
        <v>23</v>
      </c>
      <c r="D4963" t="s">
        <v>44</v>
      </c>
      <c r="E4963" t="s">
        <v>45</v>
      </c>
      <c r="F4963" t="s">
        <v>36</v>
      </c>
      <c r="G4963" s="9">
        <v>13</v>
      </c>
      <c r="H4963" s="7">
        <v>9.6999999999999993</v>
      </c>
      <c r="I4963" t="str" cm="1">
        <f t="array" ref="I4963">_xlfn.IFS(G4963&lt;3, "0–2 Years", G4963&lt;6, "3–5 Years", G4963&lt;9, "6–8 Years", G4963&lt;12, "9-11 Years", G4963&gt;=12, "12-14 Years")</f>
        <v>12-14 Years</v>
      </c>
      <c r="J4963" s="7">
        <v>3</v>
      </c>
      <c r="K4963" t="s">
        <v>20</v>
      </c>
      <c r="L4963" s="7">
        <v>86400</v>
      </c>
      <c r="M4963" s="7">
        <v>5000</v>
      </c>
      <c r="N4963" s="7">
        <v>91400</v>
      </c>
      <c r="O4963" t="s">
        <v>30</v>
      </c>
      <c r="P4963" s="3">
        <v>41258</v>
      </c>
      <c r="Q4963" t="s">
        <v>36</v>
      </c>
    </row>
    <row r="4964" spans="1:17" x14ac:dyDescent="0.35">
      <c r="A4964" t="s">
        <v>5016</v>
      </c>
      <c r="B4964" t="s">
        <v>16</v>
      </c>
      <c r="C4964">
        <v>41</v>
      </c>
      <c r="D4964" t="s">
        <v>41</v>
      </c>
      <c r="E4964" t="s">
        <v>73</v>
      </c>
      <c r="F4964" t="s">
        <v>62</v>
      </c>
      <c r="G4964">
        <v>2.2999999999999998</v>
      </c>
      <c r="H4964">
        <v>0.9</v>
      </c>
      <c r="I4964" t="str" cm="1">
        <f t="array" ref="I4964">_xlfn.IFS(G4964&lt;3, "0–2 Years", G4964&lt;6, "3–5 Years", G4964&lt;9, "6–8 Years", G4964&lt;12, "9-11 Years", G4964&gt;=12, "12-14 Years")</f>
        <v>0–2 Years</v>
      </c>
      <c r="J4964">
        <v>3</v>
      </c>
      <c r="K4964" t="s">
        <v>69</v>
      </c>
      <c r="L4964">
        <v>85300</v>
      </c>
      <c r="M4964">
        <v>4200</v>
      </c>
      <c r="N4964">
        <v>89500</v>
      </c>
      <c r="O4964" t="s">
        <v>30</v>
      </c>
      <c r="P4964" s="3">
        <v>45192</v>
      </c>
      <c r="Q4964" t="s">
        <v>62</v>
      </c>
    </row>
    <row r="4965" spans="1:17" x14ac:dyDescent="0.35">
      <c r="A4965" t="s">
        <v>5017</v>
      </c>
      <c r="B4965" t="s">
        <v>16</v>
      </c>
      <c r="C4965" s="7">
        <v>29</v>
      </c>
      <c r="D4965" t="s">
        <v>44</v>
      </c>
      <c r="E4965" t="s">
        <v>51</v>
      </c>
      <c r="F4965" t="s">
        <v>19</v>
      </c>
      <c r="G4965" s="9">
        <v>12</v>
      </c>
      <c r="H4965" s="7">
        <v>8</v>
      </c>
      <c r="I4965" t="str" cm="1">
        <f t="array" ref="I4965">_xlfn.IFS(G4965&lt;3, "0–2 Years", G4965&lt;6, "3–5 Years", G4965&lt;9, "6–8 Years", G4965&lt;12, "9-11 Years", G4965&gt;=12, "12-14 Years")</f>
        <v>12-14 Years</v>
      </c>
      <c r="J4965" s="7">
        <v>4</v>
      </c>
      <c r="K4965" t="s">
        <v>20</v>
      </c>
      <c r="L4965" s="7">
        <v>80000</v>
      </c>
      <c r="M4965" s="7">
        <v>4100</v>
      </c>
      <c r="N4965" s="7">
        <v>84100</v>
      </c>
      <c r="O4965" t="s">
        <v>30</v>
      </c>
      <c r="P4965" s="3">
        <v>41652</v>
      </c>
      <c r="Q4965" t="s">
        <v>19</v>
      </c>
    </row>
    <row r="4966" spans="1:17" x14ac:dyDescent="0.35">
      <c r="A4966" t="s">
        <v>5018</v>
      </c>
      <c r="B4966" t="s">
        <v>16</v>
      </c>
      <c r="C4966">
        <v>44</v>
      </c>
      <c r="D4966" t="s">
        <v>17</v>
      </c>
      <c r="E4966" t="s">
        <v>27</v>
      </c>
      <c r="F4966" t="s">
        <v>36</v>
      </c>
      <c r="G4966">
        <v>4.4000000000000004</v>
      </c>
      <c r="H4966">
        <v>4.4000000000000004</v>
      </c>
      <c r="I4966" t="str" cm="1">
        <f t="array" ref="I4966">_xlfn.IFS(G4966&lt;3, "0–2 Years", G4966&lt;6, "3–5 Years", G4966&lt;9, "6–8 Years", G4966&lt;12, "9-11 Years", G4966&gt;=12, "12-14 Years")</f>
        <v>3–5 Years</v>
      </c>
      <c r="J4966">
        <v>3</v>
      </c>
      <c r="K4966" t="s">
        <v>69</v>
      </c>
      <c r="L4966">
        <v>64400</v>
      </c>
      <c r="M4966">
        <v>5300</v>
      </c>
      <c r="N4966">
        <v>69700</v>
      </c>
      <c r="O4966" t="s">
        <v>25</v>
      </c>
      <c r="P4966" s="3">
        <v>44431</v>
      </c>
      <c r="Q4966" t="s">
        <v>36</v>
      </c>
    </row>
    <row r="4967" spans="1:17" x14ac:dyDescent="0.35">
      <c r="A4967" t="s">
        <v>5019</v>
      </c>
      <c r="B4967" t="s">
        <v>16</v>
      </c>
      <c r="C4967">
        <v>25</v>
      </c>
      <c r="D4967" t="s">
        <v>55</v>
      </c>
      <c r="E4967" t="s">
        <v>56</v>
      </c>
      <c r="F4967" t="s">
        <v>28</v>
      </c>
      <c r="G4967">
        <v>6.1</v>
      </c>
      <c r="H4967">
        <v>3.7</v>
      </c>
      <c r="I4967" t="str" cm="1">
        <f t="array" ref="I4967">_xlfn.IFS(G4967&lt;3, "0–2 Years", G4967&lt;6, "3–5 Years", G4967&lt;9, "6–8 Years", G4967&lt;12, "9-11 Years", G4967&gt;=12, "12-14 Years")</f>
        <v>6–8 Years</v>
      </c>
      <c r="J4967">
        <v>3</v>
      </c>
      <c r="K4967" t="s">
        <v>24</v>
      </c>
      <c r="L4967">
        <v>66200</v>
      </c>
      <c r="M4967">
        <v>7000</v>
      </c>
      <c r="N4967">
        <v>73200</v>
      </c>
      <c r="O4967" t="s">
        <v>21</v>
      </c>
      <c r="P4967" s="3">
        <v>43783</v>
      </c>
      <c r="Q4967" t="s">
        <v>28</v>
      </c>
    </row>
    <row r="4968" spans="1:17" x14ac:dyDescent="0.35">
      <c r="A4968" t="s">
        <v>5020</v>
      </c>
      <c r="B4968" t="s">
        <v>23</v>
      </c>
      <c r="C4968">
        <v>39</v>
      </c>
      <c r="D4968" t="s">
        <v>17</v>
      </c>
      <c r="E4968" t="s">
        <v>27</v>
      </c>
      <c r="F4968" t="s">
        <v>28</v>
      </c>
      <c r="G4968">
        <v>4.4000000000000004</v>
      </c>
      <c r="H4968">
        <v>1.3</v>
      </c>
      <c r="I4968" t="str" cm="1">
        <f t="array" ref="I4968">_xlfn.IFS(G4968&lt;3, "0–2 Years", G4968&lt;6, "3–5 Years", G4968&lt;9, "6–8 Years", G4968&lt;12, "9-11 Years", G4968&gt;=12, "12-14 Years")</f>
        <v>3–5 Years</v>
      </c>
      <c r="J4968">
        <v>4</v>
      </c>
      <c r="K4968" t="s">
        <v>20</v>
      </c>
      <c r="L4968">
        <v>83000</v>
      </c>
      <c r="M4968">
        <v>5800</v>
      </c>
      <c r="N4968">
        <v>88800</v>
      </c>
      <c r="O4968" t="s">
        <v>30</v>
      </c>
      <c r="P4968" s="3">
        <v>44424</v>
      </c>
      <c r="Q4968" t="s">
        <v>28</v>
      </c>
    </row>
    <row r="4969" spans="1:17" x14ac:dyDescent="0.35">
      <c r="A4969" t="s">
        <v>5021</v>
      </c>
      <c r="B4969" t="s">
        <v>23</v>
      </c>
      <c r="C4969" s="7">
        <v>36</v>
      </c>
      <c r="D4969" t="s">
        <v>34</v>
      </c>
      <c r="E4969" t="s">
        <v>59</v>
      </c>
      <c r="F4969" t="s">
        <v>28</v>
      </c>
      <c r="G4969" s="9">
        <v>12.9</v>
      </c>
      <c r="H4969" s="7">
        <v>7.7</v>
      </c>
      <c r="I4969" t="str" cm="1">
        <f t="array" ref="I4969">_xlfn.IFS(G4969&lt;3, "0–2 Years", G4969&lt;6, "3–5 Years", G4969&lt;9, "6–8 Years", G4969&lt;12, "9-11 Years", G4969&gt;=12, "12-14 Years")</f>
        <v>12-14 Years</v>
      </c>
      <c r="J4969" s="7">
        <v>3</v>
      </c>
      <c r="K4969" t="s">
        <v>20</v>
      </c>
      <c r="L4969" s="7">
        <v>116900</v>
      </c>
      <c r="M4969" s="7">
        <v>7300</v>
      </c>
      <c r="N4969" s="7">
        <v>124200</v>
      </c>
      <c r="O4969" t="s">
        <v>57</v>
      </c>
      <c r="P4969" s="3">
        <v>41329</v>
      </c>
      <c r="Q4969" t="s">
        <v>28</v>
      </c>
    </row>
    <row r="4970" spans="1:17" x14ac:dyDescent="0.35">
      <c r="A4970" t="s">
        <v>5022</v>
      </c>
      <c r="B4970" t="s">
        <v>16</v>
      </c>
      <c r="C4970">
        <v>34</v>
      </c>
      <c r="D4970" t="s">
        <v>41</v>
      </c>
      <c r="E4970" t="s">
        <v>42</v>
      </c>
      <c r="F4970" t="s">
        <v>28</v>
      </c>
      <c r="G4970">
        <v>9.8000000000000007</v>
      </c>
      <c r="H4970">
        <v>5.3</v>
      </c>
      <c r="I4970" t="str" cm="1">
        <f t="array" ref="I4970">_xlfn.IFS(G4970&lt;3, "0–2 Years", G4970&lt;6, "3–5 Years", G4970&lt;9, "6–8 Years", G4970&lt;12, "9-11 Years", G4970&gt;=12, "12-14 Years")</f>
        <v>9-11 Years</v>
      </c>
      <c r="J4970">
        <v>2</v>
      </c>
      <c r="K4970" t="s">
        <v>20</v>
      </c>
      <c r="L4970">
        <v>81400</v>
      </c>
      <c r="M4970">
        <v>3400</v>
      </c>
      <c r="N4970">
        <v>84800</v>
      </c>
      <c r="O4970" t="s">
        <v>30</v>
      </c>
      <c r="P4970" s="3">
        <v>42458</v>
      </c>
      <c r="Q4970" t="s">
        <v>28</v>
      </c>
    </row>
    <row r="4971" spans="1:17" x14ac:dyDescent="0.35">
      <c r="A4971" t="s">
        <v>5023</v>
      </c>
      <c r="B4971" t="s">
        <v>16</v>
      </c>
      <c r="C4971">
        <v>31</v>
      </c>
      <c r="D4971" t="s">
        <v>55</v>
      </c>
      <c r="E4971" t="s">
        <v>56</v>
      </c>
      <c r="F4971" t="s">
        <v>28</v>
      </c>
      <c r="G4971">
        <v>6.1</v>
      </c>
      <c r="H4971">
        <v>2.6</v>
      </c>
      <c r="I4971" t="str" cm="1">
        <f t="array" ref="I4971">_xlfn.IFS(G4971&lt;3, "0–2 Years", G4971&lt;6, "3–5 Years", G4971&lt;9, "6–8 Years", G4971&lt;12, "9-11 Years", G4971&gt;=12, "12-14 Years")</f>
        <v>6–8 Years</v>
      </c>
      <c r="J4971">
        <v>3</v>
      </c>
      <c r="K4971" t="s">
        <v>20</v>
      </c>
      <c r="L4971">
        <v>104400</v>
      </c>
      <c r="M4971">
        <v>15200</v>
      </c>
      <c r="N4971">
        <v>119600</v>
      </c>
      <c r="O4971" t="s">
        <v>57</v>
      </c>
      <c r="P4971" s="3">
        <v>43793</v>
      </c>
      <c r="Q4971" t="s">
        <v>28</v>
      </c>
    </row>
    <row r="4972" spans="1:17" x14ac:dyDescent="0.35">
      <c r="A4972" t="s">
        <v>5024</v>
      </c>
      <c r="B4972" t="s">
        <v>23</v>
      </c>
      <c r="C4972" s="7">
        <v>44</v>
      </c>
      <c r="D4972" t="s">
        <v>17</v>
      </c>
      <c r="E4972" t="s">
        <v>18</v>
      </c>
      <c r="F4972" t="s">
        <v>28</v>
      </c>
      <c r="G4972" s="9">
        <v>12</v>
      </c>
      <c r="H4972" s="7">
        <v>8.5</v>
      </c>
      <c r="I4972" t="str" cm="1">
        <f t="array" ref="I4972">_xlfn.IFS(G4972&lt;3, "0–2 Years", G4972&lt;6, "3–5 Years", G4972&lt;9, "6–8 Years", G4972&lt;12, "9-11 Years", G4972&gt;=12, "12-14 Years")</f>
        <v>12-14 Years</v>
      </c>
      <c r="J4972" s="7">
        <v>2</v>
      </c>
      <c r="K4972" t="s">
        <v>20</v>
      </c>
      <c r="L4972" s="7">
        <v>92600</v>
      </c>
      <c r="M4972" s="7">
        <v>5900</v>
      </c>
      <c r="N4972" s="7">
        <v>98500</v>
      </c>
      <c r="O4972" t="s">
        <v>30</v>
      </c>
      <c r="P4972" s="3">
        <v>41642</v>
      </c>
      <c r="Q4972" t="s">
        <v>28</v>
      </c>
    </row>
    <row r="4973" spans="1:17" x14ac:dyDescent="0.35">
      <c r="A4973" t="s">
        <v>5025</v>
      </c>
      <c r="B4973" t="s">
        <v>23</v>
      </c>
      <c r="C4973">
        <v>47</v>
      </c>
      <c r="D4973" t="s">
        <v>44</v>
      </c>
      <c r="E4973" t="s">
        <v>45</v>
      </c>
      <c r="F4973" t="s">
        <v>28</v>
      </c>
      <c r="G4973">
        <v>1.3</v>
      </c>
      <c r="H4973">
        <v>0.3</v>
      </c>
      <c r="I4973" t="str" cm="1">
        <f t="array" ref="I4973">_xlfn.IFS(G4973&lt;3, "0–2 Years", G4973&lt;6, "3–5 Years", G4973&lt;9, "6–8 Years", G4973&lt;12, "9-11 Years", G4973&gt;=12, "12-14 Years")</f>
        <v>0–2 Years</v>
      </c>
      <c r="J4973">
        <v>3</v>
      </c>
      <c r="K4973" t="s">
        <v>20</v>
      </c>
      <c r="L4973">
        <v>64400</v>
      </c>
      <c r="M4973">
        <v>7200</v>
      </c>
      <c r="N4973">
        <v>71600</v>
      </c>
      <c r="O4973" t="s">
        <v>25</v>
      </c>
      <c r="P4973" s="3">
        <v>45558</v>
      </c>
      <c r="Q4973" t="s">
        <v>28</v>
      </c>
    </row>
    <row r="4974" spans="1:17" x14ac:dyDescent="0.35">
      <c r="A4974" t="s">
        <v>5026</v>
      </c>
      <c r="B4974" t="s">
        <v>23</v>
      </c>
      <c r="C4974">
        <v>37</v>
      </c>
      <c r="D4974" t="s">
        <v>55</v>
      </c>
      <c r="E4974" t="s">
        <v>56</v>
      </c>
      <c r="F4974" t="s">
        <v>28</v>
      </c>
      <c r="G4974">
        <v>4.3</v>
      </c>
      <c r="H4974">
        <v>4.3</v>
      </c>
      <c r="I4974" t="str" cm="1">
        <f t="array" ref="I4974">_xlfn.IFS(G4974&lt;3, "0–2 Years", G4974&lt;6, "3–5 Years", G4974&lt;9, "6–8 Years", G4974&lt;12, "9-11 Years", G4974&gt;=12, "12-14 Years")</f>
        <v>3–5 Years</v>
      </c>
      <c r="J4974">
        <v>3</v>
      </c>
      <c r="K4974" t="s">
        <v>20</v>
      </c>
      <c r="L4974">
        <v>92600</v>
      </c>
      <c r="M4974">
        <v>17500</v>
      </c>
      <c r="N4974">
        <v>110100</v>
      </c>
      <c r="O4974" t="s">
        <v>30</v>
      </c>
      <c r="P4974" s="3">
        <v>44436</v>
      </c>
      <c r="Q4974" t="s">
        <v>28</v>
      </c>
    </row>
    <row r="4975" spans="1:17" x14ac:dyDescent="0.35">
      <c r="A4975" t="s">
        <v>5027</v>
      </c>
      <c r="B4975" t="s">
        <v>23</v>
      </c>
      <c r="C4975" s="7">
        <v>25</v>
      </c>
      <c r="D4975" t="s">
        <v>34</v>
      </c>
      <c r="E4975" t="s">
        <v>47</v>
      </c>
      <c r="F4975" t="s">
        <v>28</v>
      </c>
      <c r="G4975" s="9">
        <v>12</v>
      </c>
      <c r="H4975" s="7">
        <v>9.1999999999999993</v>
      </c>
      <c r="I4975" t="str" cm="1">
        <f t="array" ref="I4975">_xlfn.IFS(G4975&lt;3, "0–2 Years", G4975&lt;6, "3–5 Years", G4975&lt;9, "6–8 Years", G4975&lt;12, "9-11 Years", G4975&gt;=12, "12-14 Years")</f>
        <v>12-14 Years</v>
      </c>
      <c r="J4975" s="7">
        <v>3</v>
      </c>
      <c r="K4975" t="s">
        <v>69</v>
      </c>
      <c r="L4975" s="7">
        <v>74600</v>
      </c>
      <c r="M4975" s="7">
        <v>7100</v>
      </c>
      <c r="N4975" s="7">
        <v>81700</v>
      </c>
      <c r="O4975" t="s">
        <v>21</v>
      </c>
      <c r="P4975" s="3">
        <v>41647</v>
      </c>
      <c r="Q4975" t="s">
        <v>28</v>
      </c>
    </row>
    <row r="4976" spans="1:17" x14ac:dyDescent="0.35">
      <c r="A4976" t="s">
        <v>5028</v>
      </c>
      <c r="B4976" t="s">
        <v>23</v>
      </c>
      <c r="C4976">
        <v>35</v>
      </c>
      <c r="D4976" t="s">
        <v>38</v>
      </c>
      <c r="E4976" t="s">
        <v>112</v>
      </c>
      <c r="F4976" t="s">
        <v>36</v>
      </c>
      <c r="G4976">
        <v>9.4</v>
      </c>
      <c r="H4976">
        <v>4.7</v>
      </c>
      <c r="I4976" t="str" cm="1">
        <f t="array" ref="I4976">_xlfn.IFS(G4976&lt;3, "0–2 Years", G4976&lt;6, "3–5 Years", G4976&lt;9, "6–8 Years", G4976&lt;12, "9-11 Years", G4976&gt;=12, "12-14 Years")</f>
        <v>9-11 Years</v>
      </c>
      <c r="J4976">
        <v>1</v>
      </c>
      <c r="K4976" t="s">
        <v>69</v>
      </c>
      <c r="L4976">
        <v>58900</v>
      </c>
      <c r="M4976">
        <v>4100</v>
      </c>
      <c r="N4976">
        <v>63000</v>
      </c>
      <c r="O4976" t="s">
        <v>25</v>
      </c>
      <c r="P4976" s="3">
        <v>42601</v>
      </c>
      <c r="Q4976" t="s">
        <v>36</v>
      </c>
    </row>
    <row r="4977" spans="1:17" x14ac:dyDescent="0.35">
      <c r="A4977" t="s">
        <v>5029</v>
      </c>
      <c r="B4977" t="s">
        <v>16</v>
      </c>
      <c r="C4977">
        <v>44</v>
      </c>
      <c r="D4977" t="s">
        <v>41</v>
      </c>
      <c r="E4977" t="s">
        <v>67</v>
      </c>
      <c r="F4977" t="s">
        <v>36</v>
      </c>
      <c r="G4977">
        <v>2.7</v>
      </c>
      <c r="H4977">
        <v>1.9</v>
      </c>
      <c r="I4977" t="str" cm="1">
        <f t="array" ref="I4977">_xlfn.IFS(G4977&lt;3, "0–2 Years", G4977&lt;6, "3–5 Years", G4977&lt;9, "6–8 Years", G4977&lt;12, "9-11 Years", G4977&gt;=12, "12-14 Years")</f>
        <v>0–2 Years</v>
      </c>
      <c r="J4977">
        <v>3</v>
      </c>
      <c r="K4977" t="s">
        <v>20</v>
      </c>
      <c r="L4977">
        <v>79300</v>
      </c>
      <c r="M4977">
        <v>4800</v>
      </c>
      <c r="N4977">
        <v>84100</v>
      </c>
      <c r="O4977" t="s">
        <v>21</v>
      </c>
      <c r="P4977" s="3">
        <v>45026</v>
      </c>
      <c r="Q4977" t="s">
        <v>36</v>
      </c>
    </row>
    <row r="4978" spans="1:17" x14ac:dyDescent="0.35">
      <c r="A4978" t="s">
        <v>5030</v>
      </c>
      <c r="B4978" t="s">
        <v>23</v>
      </c>
      <c r="C4978">
        <v>30</v>
      </c>
      <c r="D4978" t="s">
        <v>17</v>
      </c>
      <c r="E4978" t="s">
        <v>18</v>
      </c>
      <c r="F4978" t="s">
        <v>36</v>
      </c>
      <c r="G4978">
        <v>8.4</v>
      </c>
      <c r="H4978">
        <v>7.2</v>
      </c>
      <c r="I4978" t="str" cm="1">
        <f t="array" ref="I4978">_xlfn.IFS(G4978&lt;3, "0–2 Years", G4978&lt;6, "3–5 Years", G4978&lt;9, "6–8 Years", G4978&lt;12, "9-11 Years", G4978&gt;=12, "12-14 Years")</f>
        <v>6–8 Years</v>
      </c>
      <c r="J4978">
        <v>5</v>
      </c>
      <c r="K4978" t="s">
        <v>69</v>
      </c>
      <c r="L4978">
        <v>74800</v>
      </c>
      <c r="M4978">
        <v>9000</v>
      </c>
      <c r="N4978">
        <v>83800</v>
      </c>
      <c r="O4978" t="s">
        <v>21</v>
      </c>
      <c r="P4978" s="3">
        <v>42954</v>
      </c>
      <c r="Q4978" t="s">
        <v>36</v>
      </c>
    </row>
    <row r="4979" spans="1:17" x14ac:dyDescent="0.35">
      <c r="A4979" t="s">
        <v>5031</v>
      </c>
      <c r="B4979" t="s">
        <v>23</v>
      </c>
      <c r="C4979">
        <v>28</v>
      </c>
      <c r="D4979" t="s">
        <v>55</v>
      </c>
      <c r="E4979" t="s">
        <v>56</v>
      </c>
      <c r="F4979" t="s">
        <v>36</v>
      </c>
      <c r="G4979">
        <v>5.6</v>
      </c>
      <c r="H4979">
        <v>5.6</v>
      </c>
      <c r="I4979" t="str" cm="1">
        <f t="array" ref="I4979">_xlfn.IFS(G4979&lt;3, "0–2 Years", G4979&lt;6, "3–5 Years", G4979&lt;9, "6–8 Years", G4979&lt;12, "9-11 Years", G4979&gt;=12, "12-14 Years")</f>
        <v>3–5 Years</v>
      </c>
      <c r="J4979">
        <v>4</v>
      </c>
      <c r="K4979" t="s">
        <v>20</v>
      </c>
      <c r="L4979">
        <v>93300</v>
      </c>
      <c r="M4979">
        <v>13600</v>
      </c>
      <c r="N4979">
        <v>106900</v>
      </c>
      <c r="O4979" t="s">
        <v>30</v>
      </c>
      <c r="P4979" s="3">
        <v>43995</v>
      </c>
      <c r="Q4979" t="s">
        <v>36</v>
      </c>
    </row>
    <row r="4980" spans="1:17" x14ac:dyDescent="0.35">
      <c r="A4980" t="s">
        <v>5032</v>
      </c>
      <c r="B4980" t="s">
        <v>16</v>
      </c>
      <c r="C4980">
        <v>36</v>
      </c>
      <c r="D4980" t="s">
        <v>55</v>
      </c>
      <c r="E4980" t="s">
        <v>92</v>
      </c>
      <c r="F4980" t="s">
        <v>19</v>
      </c>
      <c r="G4980">
        <v>1.3</v>
      </c>
      <c r="H4980">
        <v>1.1000000000000001</v>
      </c>
      <c r="I4980" t="str" cm="1">
        <f t="array" ref="I4980">_xlfn.IFS(G4980&lt;3, "0–2 Years", G4980&lt;6, "3–5 Years", G4980&lt;9, "6–8 Years", G4980&lt;12, "9-11 Years", G4980&gt;=12, "12-14 Years")</f>
        <v>0–2 Years</v>
      </c>
      <c r="J4980">
        <v>3</v>
      </c>
      <c r="K4980" t="s">
        <v>20</v>
      </c>
      <c r="L4980">
        <v>88800</v>
      </c>
      <c r="M4980">
        <v>12900</v>
      </c>
      <c r="N4980">
        <v>101700</v>
      </c>
      <c r="O4980" t="s">
        <v>30</v>
      </c>
      <c r="P4980" s="3">
        <v>45554</v>
      </c>
      <c r="Q4980" t="s">
        <v>19</v>
      </c>
    </row>
    <row r="4981" spans="1:17" x14ac:dyDescent="0.35">
      <c r="A4981" t="s">
        <v>5033</v>
      </c>
      <c r="B4981" t="s">
        <v>16</v>
      </c>
      <c r="C4981">
        <v>40</v>
      </c>
      <c r="D4981" t="s">
        <v>34</v>
      </c>
      <c r="E4981" t="s">
        <v>47</v>
      </c>
      <c r="F4981" t="s">
        <v>19</v>
      </c>
      <c r="G4981">
        <v>7.4</v>
      </c>
      <c r="H4981">
        <v>4.4000000000000004</v>
      </c>
      <c r="I4981" t="str" cm="1">
        <f t="array" ref="I4981">_xlfn.IFS(G4981&lt;3, "0–2 Years", G4981&lt;6, "3–5 Years", G4981&lt;9, "6–8 Years", G4981&lt;12, "9-11 Years", G4981&gt;=12, "12-14 Years")</f>
        <v>6–8 Years</v>
      </c>
      <c r="J4981">
        <v>3</v>
      </c>
      <c r="K4981" t="s">
        <v>20</v>
      </c>
      <c r="L4981">
        <v>61400</v>
      </c>
      <c r="M4981">
        <v>2800</v>
      </c>
      <c r="N4981">
        <v>64200</v>
      </c>
      <c r="O4981" t="s">
        <v>25</v>
      </c>
      <c r="P4981" s="3">
        <v>43305</v>
      </c>
      <c r="Q4981" t="s">
        <v>19</v>
      </c>
    </row>
    <row r="4982" spans="1:17" x14ac:dyDescent="0.35">
      <c r="A4982" t="s">
        <v>5034</v>
      </c>
      <c r="B4982" t="s">
        <v>16</v>
      </c>
      <c r="C4982">
        <v>29</v>
      </c>
      <c r="D4982" t="s">
        <v>34</v>
      </c>
      <c r="E4982" t="s">
        <v>59</v>
      </c>
      <c r="F4982" t="s">
        <v>28</v>
      </c>
      <c r="G4982">
        <v>6.4</v>
      </c>
      <c r="H4982">
        <v>3.6</v>
      </c>
      <c r="I4982" t="str" cm="1">
        <f t="array" ref="I4982">_xlfn.IFS(G4982&lt;3, "0–2 Years", G4982&lt;6, "3–5 Years", G4982&lt;9, "6–8 Years", G4982&lt;12, "9-11 Years", G4982&gt;=12, "12-14 Years")</f>
        <v>6–8 Years</v>
      </c>
      <c r="J4982">
        <v>2</v>
      </c>
      <c r="K4982" t="s">
        <v>20</v>
      </c>
      <c r="L4982">
        <v>97600</v>
      </c>
      <c r="M4982">
        <v>8000</v>
      </c>
      <c r="N4982">
        <v>105600</v>
      </c>
      <c r="O4982" t="s">
        <v>30</v>
      </c>
      <c r="P4982" s="3">
        <v>43692</v>
      </c>
      <c r="Q4982" t="s">
        <v>28</v>
      </c>
    </row>
    <row r="4983" spans="1:17" x14ac:dyDescent="0.35">
      <c r="A4983" t="s">
        <v>5035</v>
      </c>
      <c r="B4983" t="s">
        <v>16</v>
      </c>
      <c r="C4983">
        <v>45</v>
      </c>
      <c r="D4983" t="s">
        <v>17</v>
      </c>
      <c r="E4983" t="s">
        <v>18</v>
      </c>
      <c r="F4983" t="s">
        <v>36</v>
      </c>
      <c r="G4983">
        <v>8.5</v>
      </c>
      <c r="H4983">
        <v>7.5</v>
      </c>
      <c r="I4983" t="str" cm="1">
        <f t="array" ref="I4983">_xlfn.IFS(G4983&lt;3, "0–2 Years", G4983&lt;6, "3–5 Years", G4983&lt;9, "6–8 Years", G4983&lt;12, "9-11 Years", G4983&gt;=12, "12-14 Years")</f>
        <v>6–8 Years</v>
      </c>
      <c r="J4983">
        <v>3</v>
      </c>
      <c r="K4983" t="s">
        <v>20</v>
      </c>
      <c r="L4983">
        <v>106100</v>
      </c>
      <c r="M4983">
        <v>7500</v>
      </c>
      <c r="N4983">
        <v>113600</v>
      </c>
      <c r="O4983" t="s">
        <v>57</v>
      </c>
      <c r="P4983" s="3">
        <v>42912</v>
      </c>
      <c r="Q4983" t="s">
        <v>36</v>
      </c>
    </row>
    <row r="4984" spans="1:17" x14ac:dyDescent="0.35">
      <c r="A4984" t="s">
        <v>5036</v>
      </c>
      <c r="B4984" t="s">
        <v>16</v>
      </c>
      <c r="C4984">
        <v>40</v>
      </c>
      <c r="D4984" t="s">
        <v>17</v>
      </c>
      <c r="E4984" t="s">
        <v>32</v>
      </c>
      <c r="F4984" t="s">
        <v>36</v>
      </c>
      <c r="G4984">
        <v>6.7</v>
      </c>
      <c r="H4984">
        <v>4.5999999999999996</v>
      </c>
      <c r="I4984" t="str" cm="1">
        <f t="array" ref="I4984">_xlfn.IFS(G4984&lt;3, "0–2 Years", G4984&lt;6, "3–5 Years", G4984&lt;9, "6–8 Years", G4984&lt;12, "9-11 Years", G4984&gt;=12, "12-14 Years")</f>
        <v>6–8 Years</v>
      </c>
      <c r="J4984">
        <v>3</v>
      </c>
      <c r="K4984" t="s">
        <v>24</v>
      </c>
      <c r="L4984">
        <v>46100</v>
      </c>
      <c r="M4984">
        <v>4500</v>
      </c>
      <c r="N4984">
        <v>50600</v>
      </c>
      <c r="O4984" t="s">
        <v>65</v>
      </c>
      <c r="P4984" s="3">
        <v>43561</v>
      </c>
      <c r="Q4984" t="s">
        <v>36</v>
      </c>
    </row>
    <row r="4985" spans="1:17" x14ac:dyDescent="0.35">
      <c r="A4985" t="s">
        <v>5037</v>
      </c>
      <c r="B4985" t="s">
        <v>23</v>
      </c>
      <c r="C4985">
        <v>34</v>
      </c>
      <c r="D4985" t="s">
        <v>38</v>
      </c>
      <c r="E4985" t="s">
        <v>61</v>
      </c>
      <c r="F4985" t="s">
        <v>19</v>
      </c>
      <c r="G4985">
        <v>10.7</v>
      </c>
      <c r="H4985">
        <v>7.3</v>
      </c>
      <c r="I4985" t="str" cm="1">
        <f t="array" ref="I4985">_xlfn.IFS(G4985&lt;3, "0–2 Years", G4985&lt;6, "3–5 Years", G4985&lt;9, "6–8 Years", G4985&lt;12, "9-11 Years", G4985&gt;=12, "12-14 Years")</f>
        <v>9-11 Years</v>
      </c>
      <c r="J4985">
        <v>3</v>
      </c>
      <c r="K4985" t="s">
        <v>20</v>
      </c>
      <c r="L4985">
        <v>116700</v>
      </c>
      <c r="M4985">
        <v>10900</v>
      </c>
      <c r="N4985">
        <v>127600</v>
      </c>
      <c r="O4985" t="s">
        <v>57</v>
      </c>
      <c r="P4985" s="3">
        <v>42108</v>
      </c>
      <c r="Q4985" t="s">
        <v>19</v>
      </c>
    </row>
    <row r="4986" spans="1:17" x14ac:dyDescent="0.35">
      <c r="A4986" t="s">
        <v>5038</v>
      </c>
      <c r="B4986" t="s">
        <v>23</v>
      </c>
      <c r="C4986" s="7">
        <v>34</v>
      </c>
      <c r="D4986" t="s">
        <v>17</v>
      </c>
      <c r="E4986" t="s">
        <v>18</v>
      </c>
      <c r="F4986" t="s">
        <v>28</v>
      </c>
      <c r="G4986" s="9">
        <v>12.1</v>
      </c>
      <c r="H4986" s="7">
        <v>7.8</v>
      </c>
      <c r="I4986" t="str" cm="1">
        <f t="array" ref="I4986">_xlfn.IFS(G4986&lt;3, "0–2 Years", G4986&lt;6, "3–5 Years", G4986&lt;9, "6–8 Years", G4986&lt;12, "9-11 Years", G4986&gt;=12, "12-14 Years")</f>
        <v>12-14 Years</v>
      </c>
      <c r="J4986" s="7">
        <v>4</v>
      </c>
      <c r="K4986" t="s">
        <v>20</v>
      </c>
      <c r="L4986" s="7">
        <v>99300</v>
      </c>
      <c r="M4986" s="7">
        <v>13000</v>
      </c>
      <c r="N4986" s="7">
        <v>112300</v>
      </c>
      <c r="O4986" t="s">
        <v>30</v>
      </c>
      <c r="P4986" s="3">
        <v>41615</v>
      </c>
      <c r="Q4986" t="s">
        <v>28</v>
      </c>
    </row>
    <row r="4987" spans="1:17" x14ac:dyDescent="0.35">
      <c r="A4987" t="s">
        <v>5039</v>
      </c>
      <c r="B4987" t="s">
        <v>23</v>
      </c>
      <c r="C4987">
        <v>34</v>
      </c>
      <c r="D4987" t="s">
        <v>17</v>
      </c>
      <c r="E4987" t="s">
        <v>32</v>
      </c>
      <c r="F4987" t="s">
        <v>28</v>
      </c>
      <c r="G4987">
        <v>7.3</v>
      </c>
      <c r="H4987">
        <v>2</v>
      </c>
      <c r="I4987" t="str" cm="1">
        <f t="array" ref="I4987">_xlfn.IFS(G4987&lt;3, "0–2 Years", G4987&lt;6, "3–5 Years", G4987&lt;9, "6–8 Years", G4987&lt;12, "9-11 Years", G4987&gt;=12, "12-14 Years")</f>
        <v>6–8 Years</v>
      </c>
      <c r="J4987">
        <v>4</v>
      </c>
      <c r="K4987" t="s">
        <v>20</v>
      </c>
      <c r="L4987">
        <v>54200</v>
      </c>
      <c r="M4987">
        <v>5700</v>
      </c>
      <c r="N4987">
        <v>59900</v>
      </c>
      <c r="O4987" t="s">
        <v>25</v>
      </c>
      <c r="P4987" s="3">
        <v>43355</v>
      </c>
      <c r="Q4987" t="s">
        <v>28</v>
      </c>
    </row>
    <row r="4988" spans="1:17" x14ac:dyDescent="0.35">
      <c r="A4988" t="s">
        <v>5040</v>
      </c>
      <c r="B4988" t="s">
        <v>16</v>
      </c>
      <c r="C4988">
        <v>21</v>
      </c>
      <c r="D4988" t="s">
        <v>41</v>
      </c>
      <c r="E4988" t="s">
        <v>42</v>
      </c>
      <c r="F4988" t="s">
        <v>62</v>
      </c>
      <c r="G4988">
        <v>5.2</v>
      </c>
      <c r="H4988">
        <v>1.5</v>
      </c>
      <c r="I4988" t="str" cm="1">
        <f t="array" ref="I4988">_xlfn.IFS(G4988&lt;3, "0–2 Years", G4988&lt;6, "3–5 Years", G4988&lt;9, "6–8 Years", G4988&lt;12, "9-11 Years", G4988&gt;=12, "12-14 Years")</f>
        <v>3–5 Years</v>
      </c>
      <c r="J4988">
        <v>3</v>
      </c>
      <c r="K4988" t="s">
        <v>20</v>
      </c>
      <c r="L4988">
        <v>83600</v>
      </c>
      <c r="M4988">
        <v>6300</v>
      </c>
      <c r="N4988">
        <v>89900</v>
      </c>
      <c r="O4988" t="s">
        <v>30</v>
      </c>
      <c r="P4988" s="3">
        <v>44126</v>
      </c>
      <c r="Q4988" t="s">
        <v>62</v>
      </c>
    </row>
    <row r="4989" spans="1:17" x14ac:dyDescent="0.35">
      <c r="A4989" t="s">
        <v>5041</v>
      </c>
      <c r="B4989" t="s">
        <v>16</v>
      </c>
      <c r="C4989">
        <v>34</v>
      </c>
      <c r="D4989" t="s">
        <v>44</v>
      </c>
      <c r="E4989" t="s">
        <v>81</v>
      </c>
      <c r="F4989" t="s">
        <v>28</v>
      </c>
      <c r="G4989">
        <v>5.8</v>
      </c>
      <c r="H4989">
        <v>3.3</v>
      </c>
      <c r="I4989" t="str" cm="1">
        <f t="array" ref="I4989">_xlfn.IFS(G4989&lt;3, "0–2 Years", G4989&lt;6, "3–5 Years", G4989&lt;9, "6–8 Years", G4989&lt;12, "9-11 Years", G4989&gt;=12, "12-14 Years")</f>
        <v>3–5 Years</v>
      </c>
      <c r="J4989">
        <v>2</v>
      </c>
      <c r="K4989" t="s">
        <v>69</v>
      </c>
      <c r="L4989">
        <v>76100</v>
      </c>
      <c r="M4989">
        <v>5500</v>
      </c>
      <c r="N4989">
        <v>81600</v>
      </c>
      <c r="O4989" t="s">
        <v>21</v>
      </c>
      <c r="P4989" s="3">
        <v>43914</v>
      </c>
      <c r="Q4989" t="s">
        <v>28</v>
      </c>
    </row>
    <row r="4990" spans="1:17" x14ac:dyDescent="0.35">
      <c r="A4990" t="s">
        <v>5042</v>
      </c>
      <c r="B4990" t="s">
        <v>16</v>
      </c>
      <c r="C4990" s="7">
        <v>37</v>
      </c>
      <c r="D4990" t="s">
        <v>17</v>
      </c>
      <c r="E4990" t="s">
        <v>32</v>
      </c>
      <c r="F4990" t="s">
        <v>36</v>
      </c>
      <c r="G4990" s="9">
        <v>13.3</v>
      </c>
      <c r="H4990" s="7">
        <v>8.3000000000000007</v>
      </c>
      <c r="I4990" t="str" cm="1">
        <f t="array" ref="I4990">_xlfn.IFS(G4990&lt;3, "0–2 Years", G4990&lt;6, "3–5 Years", G4990&lt;9, "6–8 Years", G4990&lt;12, "9-11 Years", G4990&gt;=12, "12-14 Years")</f>
        <v>12-14 Years</v>
      </c>
      <c r="J4990" s="7">
        <v>4</v>
      </c>
      <c r="K4990" t="s">
        <v>20</v>
      </c>
      <c r="L4990" s="7">
        <v>76600</v>
      </c>
      <c r="M4990" s="7">
        <v>3900</v>
      </c>
      <c r="N4990" s="7">
        <v>80500</v>
      </c>
      <c r="O4990" t="s">
        <v>21</v>
      </c>
      <c r="P4990" s="3">
        <v>41173</v>
      </c>
      <c r="Q4990" t="s">
        <v>36</v>
      </c>
    </row>
    <row r="4991" spans="1:17" x14ac:dyDescent="0.35">
      <c r="A4991" t="s">
        <v>5043</v>
      </c>
      <c r="B4991" t="s">
        <v>16</v>
      </c>
      <c r="C4991">
        <v>27</v>
      </c>
      <c r="D4991" t="s">
        <v>44</v>
      </c>
      <c r="E4991" t="s">
        <v>45</v>
      </c>
      <c r="F4991" t="s">
        <v>62</v>
      </c>
      <c r="G4991">
        <v>6</v>
      </c>
      <c r="H4991">
        <v>2.6</v>
      </c>
      <c r="I4991" t="str" cm="1">
        <f t="array" ref="I4991">_xlfn.IFS(G4991&lt;3, "0–2 Years", G4991&lt;6, "3–5 Years", G4991&lt;9, "6–8 Years", G4991&lt;12, "9-11 Years", G4991&gt;=12, "12-14 Years")</f>
        <v>6–8 Years</v>
      </c>
      <c r="J4991">
        <v>1</v>
      </c>
      <c r="K4991" t="s">
        <v>20</v>
      </c>
      <c r="L4991">
        <v>76000</v>
      </c>
      <c r="M4991">
        <v>4000</v>
      </c>
      <c r="N4991">
        <v>80000</v>
      </c>
      <c r="O4991" t="s">
        <v>21</v>
      </c>
      <c r="P4991" s="3">
        <v>43822</v>
      </c>
      <c r="Q4991" t="s">
        <v>62</v>
      </c>
    </row>
    <row r="5001" spans="12:12" x14ac:dyDescent="0.35">
      <c r="L5001" s="7" t="s">
        <v>5102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82EBD-7EC4-42B0-8755-ABADB27F9A55}">
  <dimension ref="A1:C13"/>
  <sheetViews>
    <sheetView topLeftCell="A7" workbookViewId="0">
      <selection activeCell="F12" sqref="F12"/>
    </sheetView>
  </sheetViews>
  <sheetFormatPr defaultRowHeight="14.5" x14ac:dyDescent="0.35"/>
  <cols>
    <col min="1" max="1" width="45.453125" customWidth="1"/>
    <col min="2" max="2" width="29.1796875" customWidth="1"/>
    <col min="3" max="3" width="37.81640625" customWidth="1"/>
  </cols>
  <sheetData>
    <row r="1" spans="1:3" ht="26" x14ac:dyDescent="0.6">
      <c r="A1" s="10" t="s">
        <v>5059</v>
      </c>
    </row>
    <row r="2" spans="1:3" ht="47.5" customHeight="1" x14ac:dyDescent="0.35">
      <c r="A2" s="11" t="s">
        <v>5060</v>
      </c>
      <c r="B2" s="11" t="s">
        <v>5061</v>
      </c>
      <c r="C2" s="11" t="s">
        <v>5062</v>
      </c>
    </row>
    <row r="3" spans="1:3" ht="45.5" customHeight="1" x14ac:dyDescent="0.35">
      <c r="A3" s="12" t="s">
        <v>5063</v>
      </c>
      <c r="B3" s="12" t="s">
        <v>5064</v>
      </c>
      <c r="C3" s="12" t="s">
        <v>0</v>
      </c>
    </row>
    <row r="4" spans="1:3" ht="45" customHeight="1" x14ac:dyDescent="0.35">
      <c r="A4" s="12" t="s">
        <v>5065</v>
      </c>
      <c r="B4" s="12" t="s">
        <v>5064</v>
      </c>
      <c r="C4" s="12" t="s">
        <v>10</v>
      </c>
    </row>
    <row r="5" spans="1:3" ht="45" customHeight="1" x14ac:dyDescent="0.35">
      <c r="A5" s="12" t="s">
        <v>5066</v>
      </c>
      <c r="B5" s="12" t="s">
        <v>5064</v>
      </c>
      <c r="C5" s="12" t="s">
        <v>10</v>
      </c>
    </row>
    <row r="6" spans="1:3" ht="45" customHeight="1" x14ac:dyDescent="0.35">
      <c r="A6" s="12" t="s">
        <v>5067</v>
      </c>
      <c r="B6" s="12" t="s">
        <v>5064</v>
      </c>
      <c r="C6" s="12" t="s">
        <v>12</v>
      </c>
    </row>
    <row r="7" spans="1:3" ht="45" customHeight="1" x14ac:dyDescent="0.35">
      <c r="A7" s="12" t="s">
        <v>5068</v>
      </c>
      <c r="B7" s="12" t="s">
        <v>5077</v>
      </c>
      <c r="C7" s="12" t="s">
        <v>5075</v>
      </c>
    </row>
    <row r="8" spans="1:3" ht="45" customHeight="1" x14ac:dyDescent="0.35">
      <c r="A8" s="12" t="s">
        <v>5069</v>
      </c>
      <c r="B8" s="12" t="s">
        <v>5076</v>
      </c>
      <c r="C8" s="12" t="s">
        <v>5078</v>
      </c>
    </row>
    <row r="9" spans="1:3" ht="45" customHeight="1" x14ac:dyDescent="0.35">
      <c r="A9" s="12" t="s">
        <v>5070</v>
      </c>
      <c r="B9" s="12" t="s">
        <v>5079</v>
      </c>
      <c r="C9" s="12" t="s">
        <v>5080</v>
      </c>
    </row>
    <row r="10" spans="1:3" ht="45" customHeight="1" x14ac:dyDescent="0.35">
      <c r="A10" s="12" t="s">
        <v>5071</v>
      </c>
      <c r="B10" s="12" t="s">
        <v>5081</v>
      </c>
      <c r="C10" s="12" t="s">
        <v>5082</v>
      </c>
    </row>
    <row r="11" spans="1:3" ht="45" customHeight="1" x14ac:dyDescent="0.35">
      <c r="A11" s="12" t="s">
        <v>5072</v>
      </c>
      <c r="B11" s="12" t="s">
        <v>5077</v>
      </c>
      <c r="C11" s="12" t="s">
        <v>5083</v>
      </c>
    </row>
    <row r="12" spans="1:3" ht="45" customHeight="1" x14ac:dyDescent="0.35">
      <c r="A12" s="12" t="s">
        <v>5073</v>
      </c>
      <c r="B12" s="12" t="s">
        <v>5084</v>
      </c>
      <c r="C12" s="12" t="s">
        <v>5085</v>
      </c>
    </row>
    <row r="13" spans="1:3" ht="45" customHeight="1" x14ac:dyDescent="0.35">
      <c r="A13" s="12" t="s">
        <v>5074</v>
      </c>
      <c r="B13" s="12" t="s">
        <v>5047</v>
      </c>
      <c r="C13" s="12" t="s">
        <v>5086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3EEE6-DDB2-44B2-97DE-BCB4D1CE554A}">
  <dimension ref="A2:N5028"/>
  <sheetViews>
    <sheetView topLeftCell="A3" workbookViewId="0">
      <selection activeCell="K40" sqref="K40"/>
    </sheetView>
  </sheetViews>
  <sheetFormatPr defaultRowHeight="14.5" x14ac:dyDescent="0.35"/>
  <cols>
    <col min="1" max="1" width="12.36328125" bestFit="1" customWidth="1"/>
    <col min="2" max="2" width="20.26953125" bestFit="1" customWidth="1"/>
    <col min="4" max="4" width="12.36328125" bestFit="1" customWidth="1"/>
    <col min="5" max="5" width="19.7265625" bestFit="1" customWidth="1"/>
    <col min="7" max="7" width="14.08984375" bestFit="1" customWidth="1"/>
    <col min="8" max="8" width="17.1796875" bestFit="1" customWidth="1"/>
    <col min="9" max="9" width="8.7265625" bestFit="1" customWidth="1"/>
    <col min="10" max="10" width="10.7265625" bestFit="1" customWidth="1"/>
    <col min="11" max="11" width="28" bestFit="1" customWidth="1"/>
    <col min="12" max="12" width="15.26953125" bestFit="1" customWidth="1"/>
    <col min="13" max="13" width="8.7265625" bestFit="1" customWidth="1"/>
    <col min="14" max="14" width="10.7265625" bestFit="1" customWidth="1"/>
  </cols>
  <sheetData>
    <row r="2" spans="1:14" ht="21" x14ac:dyDescent="0.5">
      <c r="A2" s="20" t="s">
        <v>5087</v>
      </c>
      <c r="B2" s="20"/>
      <c r="C2" s="20"/>
    </row>
    <row r="3" spans="1:14" ht="16.5" x14ac:dyDescent="0.45">
      <c r="A3" s="13" t="s">
        <v>5088</v>
      </c>
      <c r="E3" s="13" t="s">
        <v>5089</v>
      </c>
      <c r="H3" s="13" t="s">
        <v>5090</v>
      </c>
      <c r="K3" s="13" t="s">
        <v>5091</v>
      </c>
    </row>
    <row r="4" spans="1:14" x14ac:dyDescent="0.35">
      <c r="A4" t="s">
        <v>5050</v>
      </c>
      <c r="E4" t="s">
        <v>5051</v>
      </c>
      <c r="H4" s="1" t="s">
        <v>5045</v>
      </c>
      <c r="K4" t="s">
        <v>5092</v>
      </c>
      <c r="N4" s="14"/>
    </row>
    <row r="5" spans="1:14" x14ac:dyDescent="0.35">
      <c r="A5" s="8">
        <v>4990</v>
      </c>
      <c r="E5" s="15">
        <v>83201.081162324655</v>
      </c>
      <c r="H5" s="15">
        <f>_xlfn.AGGREGATE(12,5,H38:H5027)</f>
        <v>81900</v>
      </c>
      <c r="K5" s="15">
        <v>90833.045090180356</v>
      </c>
    </row>
    <row r="6" spans="1:14" ht="16.5" x14ac:dyDescent="0.45">
      <c r="L6" s="13" t="s">
        <v>5094</v>
      </c>
    </row>
    <row r="7" spans="1:14" ht="16.5" x14ac:dyDescent="0.45">
      <c r="A7" s="13" t="s">
        <v>5093</v>
      </c>
      <c r="L7" s="6" t="s">
        <v>5048</v>
      </c>
      <c r="M7" t="s">
        <v>5051</v>
      </c>
    </row>
    <row r="8" spans="1:14" x14ac:dyDescent="0.35">
      <c r="A8" s="6" t="s">
        <v>5048</v>
      </c>
      <c r="B8" t="s">
        <v>5051</v>
      </c>
      <c r="L8" s="2" t="s">
        <v>44</v>
      </c>
      <c r="M8" s="15">
        <v>87796.007838745805</v>
      </c>
    </row>
    <row r="9" spans="1:14" ht="16.5" x14ac:dyDescent="0.45">
      <c r="A9" s="2" t="s">
        <v>23</v>
      </c>
      <c r="B9" s="14">
        <v>83111.54538184726</v>
      </c>
      <c r="E9" s="4"/>
      <c r="G9" s="13" t="s">
        <v>5098</v>
      </c>
      <c r="L9" s="2" t="s">
        <v>55</v>
      </c>
      <c r="M9" s="15">
        <v>85945.443645083928</v>
      </c>
    </row>
    <row r="10" spans="1:14" x14ac:dyDescent="0.35">
      <c r="A10" s="2" t="s">
        <v>16</v>
      </c>
      <c r="B10" s="14">
        <v>83291.048613901163</v>
      </c>
      <c r="D10" t="s">
        <v>5046</v>
      </c>
      <c r="E10" t="s">
        <v>5044</v>
      </c>
      <c r="G10" s="6" t="s">
        <v>5051</v>
      </c>
      <c r="H10" s="6" t="s">
        <v>5099</v>
      </c>
      <c r="L10" s="2" t="s">
        <v>34</v>
      </c>
      <c r="M10" s="15">
        <v>83367.650676506761</v>
      </c>
    </row>
    <row r="11" spans="1:14" x14ac:dyDescent="0.35">
      <c r="A11" s="2" t="s">
        <v>5049</v>
      </c>
      <c r="B11" s="14">
        <v>83201.081162324655</v>
      </c>
      <c r="D11" t="s">
        <v>19</v>
      </c>
      <c r="E11" s="14">
        <f>GETPIVOTDATA("Base_Salary",$A$47,"Education_Level","High School")</f>
        <v>78374.957983193279</v>
      </c>
      <c r="G11" s="6" t="s">
        <v>5048</v>
      </c>
      <c r="H11" t="s">
        <v>23</v>
      </c>
      <c r="I11" t="s">
        <v>16</v>
      </c>
      <c r="J11" t="s">
        <v>5049</v>
      </c>
      <c r="L11" s="2" t="s">
        <v>38</v>
      </c>
      <c r="M11" s="15">
        <v>81443.287327478043</v>
      </c>
    </row>
    <row r="12" spans="1:14" x14ac:dyDescent="0.35">
      <c r="D12" t="s">
        <v>28</v>
      </c>
      <c r="E12" s="14">
        <f>GETPIVOTDATA("Base_Salary",$A$47,"Education_Level","Bachelor's")</f>
        <v>81647.679245283012</v>
      </c>
      <c r="G12" s="2" t="s">
        <v>92</v>
      </c>
      <c r="H12" s="15">
        <v>95180</v>
      </c>
      <c r="I12" s="15">
        <v>96090.972222222219</v>
      </c>
      <c r="J12" s="15">
        <v>95633.910034602071</v>
      </c>
      <c r="L12" s="2" t="s">
        <v>41</v>
      </c>
      <c r="M12" s="15">
        <v>80989.866342648849</v>
      </c>
    </row>
    <row r="13" spans="1:14" x14ac:dyDescent="0.35">
      <c r="D13" t="s">
        <v>36</v>
      </c>
      <c r="E13" s="14">
        <f>GETPIVOTDATA("Base_Salary",$A$47,"Education_Level","Master's")</f>
        <v>86222.031063321381</v>
      </c>
      <c r="G13" s="2" t="s">
        <v>35</v>
      </c>
      <c r="H13" s="15">
        <v>74485.71428571429</v>
      </c>
      <c r="I13" s="15">
        <v>76983.225806451606</v>
      </c>
      <c r="J13" s="15">
        <v>75797.96610169491</v>
      </c>
      <c r="L13" s="2" t="s">
        <v>17</v>
      </c>
      <c r="M13" s="15">
        <v>79217.108433734946</v>
      </c>
    </row>
    <row r="14" spans="1:14" x14ac:dyDescent="0.35">
      <c r="D14" t="s">
        <v>62</v>
      </c>
      <c r="E14" s="14">
        <f>GETPIVOTDATA("Base_Salary",$A$47,"Education_Level","PhD")</f>
        <v>88653.773584905663</v>
      </c>
      <c r="G14" s="2" t="s">
        <v>51</v>
      </c>
      <c r="H14" s="15">
        <v>79373.415841584152</v>
      </c>
      <c r="I14" s="15">
        <v>80782.64462809918</v>
      </c>
      <c r="J14" s="15">
        <v>80141.509009009009</v>
      </c>
      <c r="L14" s="2" t="s">
        <v>5049</v>
      </c>
      <c r="M14" s="15">
        <v>83201.081162324655</v>
      </c>
    </row>
    <row r="15" spans="1:14" x14ac:dyDescent="0.35">
      <c r="G15" s="2" t="s">
        <v>59</v>
      </c>
      <c r="H15" s="15">
        <v>101058.77192982456</v>
      </c>
      <c r="I15" s="15">
        <v>100118.32061068702</v>
      </c>
      <c r="J15" s="15">
        <v>100555.91836734694</v>
      </c>
    </row>
    <row r="16" spans="1:14" x14ac:dyDescent="0.35">
      <c r="G16" s="2" t="s">
        <v>47</v>
      </c>
      <c r="H16" s="15">
        <v>76902.173913043473</v>
      </c>
      <c r="I16" s="15">
        <v>75324.444444444438</v>
      </c>
      <c r="J16" s="15">
        <v>76121.978021978022</v>
      </c>
    </row>
    <row r="17" spans="1:10" ht="16.5" x14ac:dyDescent="0.45">
      <c r="D17" s="13" t="s">
        <v>5096</v>
      </c>
      <c r="G17" s="2" t="s">
        <v>42</v>
      </c>
      <c r="H17" s="15">
        <v>75392.810457516345</v>
      </c>
      <c r="I17" s="15">
        <v>73129.365079365074</v>
      </c>
      <c r="J17" s="15">
        <v>74370.609318996416</v>
      </c>
    </row>
    <row r="18" spans="1:10" ht="16.5" x14ac:dyDescent="0.45">
      <c r="A18" s="13" t="s">
        <v>5095</v>
      </c>
      <c r="D18" s="6" t="s">
        <v>5048</v>
      </c>
      <c r="E18" t="s">
        <v>5051</v>
      </c>
      <c r="G18" s="2" t="s">
        <v>73</v>
      </c>
      <c r="H18" s="15">
        <v>98437.12230215827</v>
      </c>
      <c r="I18" s="15">
        <v>98324.137931034478</v>
      </c>
      <c r="J18" s="15">
        <v>98379.436619718312</v>
      </c>
    </row>
    <row r="19" spans="1:10" x14ac:dyDescent="0.35">
      <c r="A19" s="6" t="s">
        <v>5048</v>
      </c>
      <c r="B19" t="s">
        <v>5051</v>
      </c>
      <c r="D19" s="2" t="s">
        <v>5054</v>
      </c>
      <c r="E19" s="15">
        <v>76758.23410013532</v>
      </c>
      <c r="G19" s="2" t="s">
        <v>67</v>
      </c>
      <c r="H19" s="15">
        <v>69602.521008403361</v>
      </c>
      <c r="I19" s="15">
        <v>68672.340425531918</v>
      </c>
      <c r="J19" s="15">
        <v>69098.076923076922</v>
      </c>
    </row>
    <row r="20" spans="1:10" x14ac:dyDescent="0.35">
      <c r="A20" s="2" t="s">
        <v>79</v>
      </c>
      <c r="B20" s="5">
        <v>63694.833948339481</v>
      </c>
      <c r="D20" s="2" t="s">
        <v>5056</v>
      </c>
      <c r="E20" s="15">
        <v>79274.746543778805</v>
      </c>
      <c r="G20" s="2" t="s">
        <v>76</v>
      </c>
      <c r="H20" s="15">
        <v>103231.19266055046</v>
      </c>
      <c r="I20" s="15">
        <v>103431.30434782608</v>
      </c>
      <c r="J20" s="15">
        <v>103333.92857142857</v>
      </c>
    </row>
    <row r="21" spans="1:10" x14ac:dyDescent="0.35">
      <c r="A21" s="2" t="s">
        <v>32</v>
      </c>
      <c r="B21" s="5">
        <v>65350.877192982458</v>
      </c>
      <c r="D21" s="2" t="s">
        <v>5057</v>
      </c>
      <c r="E21" s="15">
        <v>82926.079734219267</v>
      </c>
      <c r="G21" s="2" t="s">
        <v>45</v>
      </c>
      <c r="H21" s="15">
        <v>73824.107142857145</v>
      </c>
      <c r="I21" s="15">
        <v>73069.072164948448</v>
      </c>
      <c r="J21" s="15">
        <v>73473.68421052632</v>
      </c>
    </row>
    <row r="22" spans="1:10" x14ac:dyDescent="0.35">
      <c r="A22" s="2" t="s">
        <v>67</v>
      </c>
      <c r="B22" s="5">
        <v>69098.076923076922</v>
      </c>
      <c r="D22" s="2" t="s">
        <v>5058</v>
      </c>
      <c r="E22" s="15">
        <v>87350.761421319796</v>
      </c>
      <c r="G22" s="2" t="s">
        <v>27</v>
      </c>
      <c r="H22" s="15">
        <v>75824.503311258275</v>
      </c>
      <c r="I22" s="15">
        <v>76470.866141732287</v>
      </c>
      <c r="J22" s="15">
        <v>76119.784172661864</v>
      </c>
    </row>
    <row r="23" spans="1:10" x14ac:dyDescent="0.35">
      <c r="A23" s="2" t="s">
        <v>112</v>
      </c>
      <c r="B23" s="5">
        <v>69356.976744186046</v>
      </c>
      <c r="D23" s="2" t="s">
        <v>5055</v>
      </c>
      <c r="E23" s="15">
        <v>88903.025641025641</v>
      </c>
      <c r="G23" s="2" t="s">
        <v>18</v>
      </c>
      <c r="H23" s="15">
        <v>98027.272727272721</v>
      </c>
      <c r="I23" s="15">
        <v>96476.296296296292</v>
      </c>
      <c r="J23" s="15">
        <v>97243.071161048691</v>
      </c>
    </row>
    <row r="24" spans="1:10" x14ac:dyDescent="0.35">
      <c r="A24" s="2" t="s">
        <v>45</v>
      </c>
      <c r="B24" s="5">
        <v>73473.68421052632</v>
      </c>
      <c r="D24" s="2" t="s">
        <v>5049</v>
      </c>
      <c r="E24" s="15">
        <v>83201.081162324655</v>
      </c>
      <c r="G24" s="2" t="s">
        <v>32</v>
      </c>
      <c r="H24" s="15">
        <v>65052.666666666664</v>
      </c>
      <c r="I24" s="15">
        <v>65682.222222222219</v>
      </c>
      <c r="J24" s="15">
        <v>65350.877192982458</v>
      </c>
    </row>
    <row r="25" spans="1:10" x14ac:dyDescent="0.35">
      <c r="A25" s="2" t="s">
        <v>42</v>
      </c>
      <c r="B25" s="5">
        <v>74370.609318996416</v>
      </c>
      <c r="G25" s="2" t="s">
        <v>39</v>
      </c>
      <c r="H25" s="15">
        <v>75764.661654135343</v>
      </c>
      <c r="I25" s="15">
        <v>75655.70469798657</v>
      </c>
      <c r="J25" s="15">
        <v>75707.092198581566</v>
      </c>
    </row>
    <row r="26" spans="1:10" x14ac:dyDescent="0.35">
      <c r="A26" s="2" t="s">
        <v>39</v>
      </c>
      <c r="B26" s="5">
        <v>75707.092198581566</v>
      </c>
      <c r="G26" s="2" t="s">
        <v>61</v>
      </c>
      <c r="H26" s="15">
        <v>98716.52892561983</v>
      </c>
      <c r="I26" s="15">
        <v>100897.79411764706</v>
      </c>
      <c r="J26" s="15">
        <v>99870.817120622567</v>
      </c>
    </row>
    <row r="27" spans="1:10" x14ac:dyDescent="0.35">
      <c r="A27" s="2" t="s">
        <v>35</v>
      </c>
      <c r="B27" s="5">
        <v>75797.96610169491</v>
      </c>
      <c r="G27" s="2" t="s">
        <v>112</v>
      </c>
      <c r="H27" s="15">
        <v>69403.125</v>
      </c>
      <c r="I27" s="15">
        <v>69311.538461538468</v>
      </c>
      <c r="J27" s="15">
        <v>69356.976744186046</v>
      </c>
    </row>
    <row r="28" spans="1:10" x14ac:dyDescent="0.35">
      <c r="A28" s="2" t="s">
        <v>27</v>
      </c>
      <c r="B28" s="5">
        <v>76119.784172661864</v>
      </c>
      <c r="G28" s="2" t="s">
        <v>56</v>
      </c>
      <c r="H28" s="15">
        <v>99005.161290322576</v>
      </c>
      <c r="I28" s="15">
        <v>96077.310924369755</v>
      </c>
      <c r="J28" s="15">
        <v>97733.576642335771</v>
      </c>
    </row>
    <row r="29" spans="1:10" x14ac:dyDescent="0.35">
      <c r="A29" s="2" t="s">
        <v>47</v>
      </c>
      <c r="B29" s="5">
        <v>76121.978021978022</v>
      </c>
      <c r="G29" s="2" t="s">
        <v>79</v>
      </c>
      <c r="H29" s="15">
        <v>63650.666666666664</v>
      </c>
      <c r="I29" s="15">
        <v>63749.586776859505</v>
      </c>
      <c r="J29" s="15">
        <v>63694.833948339481</v>
      </c>
    </row>
    <row r="30" spans="1:10" x14ac:dyDescent="0.35">
      <c r="A30" s="2" t="s">
        <v>51</v>
      </c>
      <c r="B30" s="5">
        <v>80141.509009009009</v>
      </c>
      <c r="G30" s="2" t="s">
        <v>81</v>
      </c>
      <c r="H30" s="15">
        <v>94743.24324324324</v>
      </c>
      <c r="I30" s="15">
        <v>91268.66141732283</v>
      </c>
      <c r="J30" s="15">
        <v>92889.159663865546</v>
      </c>
    </row>
    <row r="31" spans="1:10" x14ac:dyDescent="0.35">
      <c r="A31" s="2" t="s">
        <v>81</v>
      </c>
      <c r="B31" s="5">
        <v>92889.159663865546</v>
      </c>
      <c r="G31" s="2" t="s">
        <v>5049</v>
      </c>
      <c r="H31" s="15">
        <v>83111.54538184726</v>
      </c>
      <c r="I31" s="15">
        <v>83291.048613901163</v>
      </c>
      <c r="J31" s="15">
        <v>83201.081162324655</v>
      </c>
    </row>
    <row r="32" spans="1:10" x14ac:dyDescent="0.35">
      <c r="A32" s="2" t="s">
        <v>92</v>
      </c>
      <c r="B32" s="5">
        <v>95633.910034602071</v>
      </c>
    </row>
    <row r="33" spans="1:11" x14ac:dyDescent="0.35">
      <c r="A33" s="2" t="s">
        <v>18</v>
      </c>
      <c r="B33" s="5">
        <v>97243.071161048691</v>
      </c>
    </row>
    <row r="34" spans="1:11" x14ac:dyDescent="0.35">
      <c r="A34" s="2" t="s">
        <v>56</v>
      </c>
      <c r="B34" s="5">
        <v>97733.576642335771</v>
      </c>
    </row>
    <row r="35" spans="1:11" x14ac:dyDescent="0.35">
      <c r="A35" s="2" t="s">
        <v>73</v>
      </c>
      <c r="B35" s="5">
        <v>98379.436619718312</v>
      </c>
    </row>
    <row r="36" spans="1:11" ht="16.5" x14ac:dyDescent="0.45">
      <c r="A36" s="2" t="s">
        <v>61</v>
      </c>
      <c r="B36" s="5">
        <v>99870.817120622567</v>
      </c>
      <c r="K36" s="13"/>
    </row>
    <row r="37" spans="1:11" ht="15.5" x14ac:dyDescent="0.35">
      <c r="A37" s="2" t="s">
        <v>59</v>
      </c>
      <c r="B37" s="5">
        <v>100555.91836734694</v>
      </c>
      <c r="G37" s="6" t="s">
        <v>0</v>
      </c>
      <c r="H37" t="s">
        <v>5105</v>
      </c>
      <c r="K37" s="18"/>
    </row>
    <row r="38" spans="1:11" x14ac:dyDescent="0.35">
      <c r="A38" s="2" t="s">
        <v>76</v>
      </c>
      <c r="B38" s="5">
        <v>103333.92857142857</v>
      </c>
      <c r="G38" t="s">
        <v>15</v>
      </c>
      <c r="H38" s="23">
        <v>75900</v>
      </c>
    </row>
    <row r="39" spans="1:11" x14ac:dyDescent="0.35">
      <c r="A39" s="2" t="s">
        <v>5049</v>
      </c>
      <c r="B39" s="5">
        <v>83201.081162324655</v>
      </c>
      <c r="G39" t="s">
        <v>22</v>
      </c>
      <c r="H39" s="23">
        <v>53100</v>
      </c>
    </row>
    <row r="40" spans="1:11" x14ac:dyDescent="0.35">
      <c r="G40" t="s">
        <v>26</v>
      </c>
      <c r="H40" s="23">
        <v>72800</v>
      </c>
    </row>
    <row r="41" spans="1:11" x14ac:dyDescent="0.35">
      <c r="G41" t="s">
        <v>29</v>
      </c>
      <c r="H41" s="23">
        <v>83700</v>
      </c>
    </row>
    <row r="42" spans="1:11" x14ac:dyDescent="0.35">
      <c r="G42" t="s">
        <v>31</v>
      </c>
      <c r="H42" s="23">
        <v>58900</v>
      </c>
    </row>
    <row r="43" spans="1:11" x14ac:dyDescent="0.35">
      <c r="G43" t="s">
        <v>33</v>
      </c>
      <c r="H43" s="23">
        <v>92700</v>
      </c>
    </row>
    <row r="44" spans="1:11" x14ac:dyDescent="0.35">
      <c r="G44" t="s">
        <v>37</v>
      </c>
      <c r="H44" s="23">
        <v>85000</v>
      </c>
    </row>
    <row r="45" spans="1:11" x14ac:dyDescent="0.35">
      <c r="G45" t="s">
        <v>40</v>
      </c>
      <c r="H45" s="23">
        <v>82300</v>
      </c>
    </row>
    <row r="46" spans="1:11" ht="16.5" x14ac:dyDescent="0.45">
      <c r="A46" s="13" t="s">
        <v>5097</v>
      </c>
      <c r="G46" t="s">
        <v>43</v>
      </c>
      <c r="H46" s="23">
        <v>78400</v>
      </c>
    </row>
    <row r="47" spans="1:11" x14ac:dyDescent="0.35">
      <c r="A47" s="6" t="s">
        <v>5048</v>
      </c>
      <c r="B47" t="s">
        <v>5051</v>
      </c>
      <c r="D47" s="6" t="s">
        <v>5048</v>
      </c>
      <c r="E47" t="s">
        <v>5050</v>
      </c>
      <c r="G47" t="s">
        <v>46</v>
      </c>
      <c r="H47" s="23">
        <v>85100</v>
      </c>
    </row>
    <row r="48" spans="1:11" x14ac:dyDescent="0.35">
      <c r="A48" s="2" t="s">
        <v>5052</v>
      </c>
      <c r="B48" s="15">
        <v>71277.777777777781</v>
      </c>
      <c r="D48" s="2" t="s">
        <v>28</v>
      </c>
      <c r="E48" s="23">
        <v>2385</v>
      </c>
      <c r="G48" t="s">
        <v>48</v>
      </c>
      <c r="H48" s="23">
        <v>78200</v>
      </c>
    </row>
    <row r="49" spans="1:8" x14ac:dyDescent="0.35">
      <c r="A49" s="2" t="s">
        <v>19</v>
      </c>
      <c r="B49" s="15">
        <v>78374.957983193279</v>
      </c>
      <c r="D49" s="2" t="s">
        <v>19</v>
      </c>
      <c r="E49" s="23">
        <v>595</v>
      </c>
      <c r="G49" t="s">
        <v>49</v>
      </c>
      <c r="H49" s="23">
        <v>71100</v>
      </c>
    </row>
    <row r="50" spans="1:8" x14ac:dyDescent="0.35">
      <c r="A50" s="2" t="s">
        <v>28</v>
      </c>
      <c r="B50" s="15">
        <v>81647.679245283012</v>
      </c>
      <c r="D50" s="2" t="s">
        <v>36</v>
      </c>
      <c r="E50" s="23">
        <v>1674</v>
      </c>
      <c r="G50" t="s">
        <v>50</v>
      </c>
      <c r="H50" s="23">
        <v>83100</v>
      </c>
    </row>
    <row r="51" spans="1:8" x14ac:dyDescent="0.35">
      <c r="A51" s="2" t="s">
        <v>36</v>
      </c>
      <c r="B51" s="15">
        <v>86222.031063321381</v>
      </c>
      <c r="D51" s="2" t="s">
        <v>62</v>
      </c>
      <c r="E51" s="23">
        <v>318</v>
      </c>
      <c r="G51" t="s">
        <v>52</v>
      </c>
      <c r="H51" s="23">
        <v>81000</v>
      </c>
    </row>
    <row r="52" spans="1:8" x14ac:dyDescent="0.35">
      <c r="A52" s="2" t="s">
        <v>62</v>
      </c>
      <c r="B52" s="15">
        <v>88653.773584905663</v>
      </c>
      <c r="D52" s="2" t="s">
        <v>5104</v>
      </c>
      <c r="E52" s="23">
        <v>18</v>
      </c>
      <c r="G52" t="s">
        <v>53</v>
      </c>
      <c r="H52" s="23">
        <v>81100</v>
      </c>
    </row>
    <row r="53" spans="1:8" x14ac:dyDescent="0.35">
      <c r="A53" s="2" t="s">
        <v>5049</v>
      </c>
      <c r="B53" s="15">
        <v>83201.081162324655</v>
      </c>
      <c r="D53" s="2" t="s">
        <v>5049</v>
      </c>
      <c r="E53" s="23">
        <v>4990</v>
      </c>
      <c r="G53" t="s">
        <v>54</v>
      </c>
      <c r="H53" s="23">
        <v>118600</v>
      </c>
    </row>
    <row r="54" spans="1:8" x14ac:dyDescent="0.35">
      <c r="G54" t="s">
        <v>58</v>
      </c>
      <c r="H54" s="23">
        <v>89500</v>
      </c>
    </row>
    <row r="55" spans="1:8" x14ac:dyDescent="0.35">
      <c r="G55" t="s">
        <v>60</v>
      </c>
      <c r="H55" s="23">
        <v>99400</v>
      </c>
    </row>
    <row r="56" spans="1:8" x14ac:dyDescent="0.35">
      <c r="G56" t="s">
        <v>63</v>
      </c>
      <c r="H56" s="23">
        <v>51100</v>
      </c>
    </row>
    <row r="57" spans="1:8" x14ac:dyDescent="0.35">
      <c r="G57" t="s">
        <v>64</v>
      </c>
      <c r="H57" s="23">
        <v>48900</v>
      </c>
    </row>
    <row r="58" spans="1:8" x14ac:dyDescent="0.35">
      <c r="G58" t="s">
        <v>66</v>
      </c>
      <c r="H58" s="23">
        <v>76400</v>
      </c>
    </row>
    <row r="59" spans="1:8" x14ac:dyDescent="0.35">
      <c r="G59" t="s">
        <v>68</v>
      </c>
      <c r="H59" s="23">
        <v>64000</v>
      </c>
    </row>
    <row r="60" spans="1:8" x14ac:dyDescent="0.35">
      <c r="G60" t="s">
        <v>70</v>
      </c>
      <c r="H60" s="23">
        <v>68900</v>
      </c>
    </row>
    <row r="61" spans="1:8" x14ac:dyDescent="0.35">
      <c r="G61" t="s">
        <v>71</v>
      </c>
      <c r="H61" s="23">
        <v>61800</v>
      </c>
    </row>
    <row r="62" spans="1:8" x14ac:dyDescent="0.35">
      <c r="G62" t="s">
        <v>72</v>
      </c>
      <c r="H62" s="23">
        <v>101400</v>
      </c>
    </row>
    <row r="63" spans="1:8" x14ac:dyDescent="0.35">
      <c r="G63" t="s">
        <v>74</v>
      </c>
      <c r="H63" s="23">
        <v>64200</v>
      </c>
    </row>
    <row r="64" spans="1:8" x14ac:dyDescent="0.35">
      <c r="G64" t="s">
        <v>75</v>
      </c>
      <c r="H64" s="23">
        <v>109800</v>
      </c>
    </row>
    <row r="65" spans="7:8" x14ac:dyDescent="0.35">
      <c r="G65" t="s">
        <v>77</v>
      </c>
      <c r="H65" s="23">
        <v>101900</v>
      </c>
    </row>
    <row r="66" spans="7:8" x14ac:dyDescent="0.35">
      <c r="G66" t="s">
        <v>78</v>
      </c>
      <c r="H66" s="23">
        <v>58400</v>
      </c>
    </row>
    <row r="67" spans="7:8" x14ac:dyDescent="0.35">
      <c r="G67" t="s">
        <v>80</v>
      </c>
      <c r="H67" s="23">
        <v>83800</v>
      </c>
    </row>
    <row r="68" spans="7:8" x14ac:dyDescent="0.35">
      <c r="G68" t="s">
        <v>82</v>
      </c>
      <c r="H68" s="23">
        <v>84600</v>
      </c>
    </row>
    <row r="69" spans="7:8" x14ac:dyDescent="0.35">
      <c r="G69" t="s">
        <v>83</v>
      </c>
      <c r="H69" s="23">
        <v>119300</v>
      </c>
    </row>
    <row r="70" spans="7:8" x14ac:dyDescent="0.35">
      <c r="G70" t="s">
        <v>84</v>
      </c>
      <c r="H70" s="23">
        <v>110800</v>
      </c>
    </row>
    <row r="71" spans="7:8" x14ac:dyDescent="0.35">
      <c r="G71" t="s">
        <v>85</v>
      </c>
      <c r="H71" s="23">
        <v>69500</v>
      </c>
    </row>
    <row r="72" spans="7:8" x14ac:dyDescent="0.35">
      <c r="G72" t="s">
        <v>86</v>
      </c>
      <c r="H72" s="23">
        <v>71000</v>
      </c>
    </row>
    <row r="73" spans="7:8" x14ac:dyDescent="0.35">
      <c r="G73" t="s">
        <v>87</v>
      </c>
      <c r="H73" s="23">
        <v>71400</v>
      </c>
    </row>
    <row r="74" spans="7:8" x14ac:dyDescent="0.35">
      <c r="G74" t="s">
        <v>88</v>
      </c>
      <c r="H74" s="23">
        <v>135700</v>
      </c>
    </row>
    <row r="75" spans="7:8" x14ac:dyDescent="0.35">
      <c r="G75" t="s">
        <v>89</v>
      </c>
      <c r="H75" s="23">
        <v>91300</v>
      </c>
    </row>
    <row r="76" spans="7:8" x14ac:dyDescent="0.35">
      <c r="G76" t="s">
        <v>90</v>
      </c>
      <c r="H76" s="23">
        <v>104300</v>
      </c>
    </row>
    <row r="77" spans="7:8" x14ac:dyDescent="0.35">
      <c r="G77" t="s">
        <v>91</v>
      </c>
      <c r="H77" s="23">
        <v>60700</v>
      </c>
    </row>
    <row r="78" spans="7:8" x14ac:dyDescent="0.35">
      <c r="G78" t="s">
        <v>93</v>
      </c>
      <c r="H78" s="23">
        <v>98100</v>
      </c>
    </row>
    <row r="79" spans="7:8" x14ac:dyDescent="0.35">
      <c r="G79" t="s">
        <v>94</v>
      </c>
      <c r="H79" s="23">
        <v>81400</v>
      </c>
    </row>
    <row r="80" spans="7:8" x14ac:dyDescent="0.35">
      <c r="G80" t="s">
        <v>95</v>
      </c>
      <c r="H80" s="23">
        <v>72800</v>
      </c>
    </row>
    <row r="81" spans="7:8" x14ac:dyDescent="0.35">
      <c r="G81" t="s">
        <v>96</v>
      </c>
      <c r="H81" s="23">
        <v>99300</v>
      </c>
    </row>
    <row r="82" spans="7:8" x14ac:dyDescent="0.35">
      <c r="G82" t="s">
        <v>97</v>
      </c>
      <c r="H82" s="23">
        <v>111400</v>
      </c>
    </row>
    <row r="83" spans="7:8" x14ac:dyDescent="0.35">
      <c r="G83" t="s">
        <v>98</v>
      </c>
      <c r="H83" s="23">
        <v>72600</v>
      </c>
    </row>
    <row r="84" spans="7:8" x14ac:dyDescent="0.35">
      <c r="G84" t="s">
        <v>99</v>
      </c>
      <c r="H84" s="23">
        <v>109100</v>
      </c>
    </row>
    <row r="85" spans="7:8" x14ac:dyDescent="0.35">
      <c r="G85" t="s">
        <v>100</v>
      </c>
      <c r="H85" s="23">
        <v>56400</v>
      </c>
    </row>
    <row r="86" spans="7:8" x14ac:dyDescent="0.35">
      <c r="G86" t="s">
        <v>101</v>
      </c>
      <c r="H86" s="23">
        <v>68700</v>
      </c>
    </row>
    <row r="87" spans="7:8" x14ac:dyDescent="0.35">
      <c r="G87" t="s">
        <v>102</v>
      </c>
      <c r="H87" s="23">
        <v>87500</v>
      </c>
    </row>
    <row r="88" spans="7:8" x14ac:dyDescent="0.35">
      <c r="G88" t="s">
        <v>103</v>
      </c>
      <c r="H88" s="23">
        <v>112800</v>
      </c>
    </row>
    <row r="89" spans="7:8" x14ac:dyDescent="0.35">
      <c r="G89" t="s">
        <v>104</v>
      </c>
      <c r="H89" s="23">
        <v>76500</v>
      </c>
    </row>
    <row r="90" spans="7:8" x14ac:dyDescent="0.35">
      <c r="G90" t="s">
        <v>105</v>
      </c>
      <c r="H90" s="23">
        <v>78700</v>
      </c>
    </row>
    <row r="91" spans="7:8" x14ac:dyDescent="0.35">
      <c r="G91" t="s">
        <v>106</v>
      </c>
      <c r="H91" s="23">
        <v>44500</v>
      </c>
    </row>
    <row r="92" spans="7:8" x14ac:dyDescent="0.35">
      <c r="G92" t="s">
        <v>107</v>
      </c>
      <c r="H92" s="23">
        <v>99700</v>
      </c>
    </row>
    <row r="93" spans="7:8" x14ac:dyDescent="0.35">
      <c r="G93" t="s">
        <v>108</v>
      </c>
      <c r="H93" s="23">
        <v>123000</v>
      </c>
    </row>
    <row r="94" spans="7:8" x14ac:dyDescent="0.35">
      <c r="G94" t="s">
        <v>109</v>
      </c>
      <c r="H94" s="23">
        <v>86400</v>
      </c>
    </row>
    <row r="95" spans="7:8" x14ac:dyDescent="0.35">
      <c r="G95" t="s">
        <v>110</v>
      </c>
      <c r="H95" s="23">
        <v>63800</v>
      </c>
    </row>
    <row r="96" spans="7:8" x14ac:dyDescent="0.35">
      <c r="G96" t="s">
        <v>111</v>
      </c>
      <c r="H96" s="23">
        <v>56700</v>
      </c>
    </row>
    <row r="97" spans="7:8" x14ac:dyDescent="0.35">
      <c r="G97" t="s">
        <v>113</v>
      </c>
      <c r="H97" s="23">
        <v>76800</v>
      </c>
    </row>
    <row r="98" spans="7:8" x14ac:dyDescent="0.35">
      <c r="G98" t="s">
        <v>114</v>
      </c>
      <c r="H98" s="23">
        <v>67500</v>
      </c>
    </row>
    <row r="99" spans="7:8" x14ac:dyDescent="0.35">
      <c r="G99" t="s">
        <v>115</v>
      </c>
      <c r="H99" s="23">
        <v>57400</v>
      </c>
    </row>
    <row r="100" spans="7:8" x14ac:dyDescent="0.35">
      <c r="G100" t="s">
        <v>116</v>
      </c>
      <c r="H100" s="23">
        <v>99300</v>
      </c>
    </row>
    <row r="101" spans="7:8" x14ac:dyDescent="0.35">
      <c r="G101" t="s">
        <v>117</v>
      </c>
      <c r="H101" s="23">
        <v>109200</v>
      </c>
    </row>
    <row r="102" spans="7:8" x14ac:dyDescent="0.35">
      <c r="G102" t="s">
        <v>118</v>
      </c>
      <c r="H102" s="23">
        <v>65700</v>
      </c>
    </row>
    <row r="103" spans="7:8" x14ac:dyDescent="0.35">
      <c r="G103" t="s">
        <v>119</v>
      </c>
      <c r="H103" s="23">
        <v>79500</v>
      </c>
    </row>
    <row r="104" spans="7:8" x14ac:dyDescent="0.35">
      <c r="G104" t="s">
        <v>120</v>
      </c>
      <c r="H104" s="23">
        <v>72100</v>
      </c>
    </row>
    <row r="105" spans="7:8" x14ac:dyDescent="0.35">
      <c r="G105" t="s">
        <v>121</v>
      </c>
      <c r="H105" s="23">
        <v>50400</v>
      </c>
    </row>
    <row r="106" spans="7:8" x14ac:dyDescent="0.35">
      <c r="G106" t="s">
        <v>122</v>
      </c>
      <c r="H106" s="23">
        <v>91100</v>
      </c>
    </row>
    <row r="107" spans="7:8" x14ac:dyDescent="0.35">
      <c r="G107" t="s">
        <v>123</v>
      </c>
      <c r="H107" s="23">
        <v>30900</v>
      </c>
    </row>
    <row r="108" spans="7:8" x14ac:dyDescent="0.35">
      <c r="G108" t="s">
        <v>124</v>
      </c>
      <c r="H108" s="23">
        <v>60300</v>
      </c>
    </row>
    <row r="109" spans="7:8" x14ac:dyDescent="0.35">
      <c r="G109" t="s">
        <v>125</v>
      </c>
      <c r="H109" s="23">
        <v>111300</v>
      </c>
    </row>
    <row r="110" spans="7:8" x14ac:dyDescent="0.35">
      <c r="G110" t="s">
        <v>126</v>
      </c>
      <c r="H110" s="23">
        <v>91300</v>
      </c>
    </row>
    <row r="111" spans="7:8" x14ac:dyDescent="0.35">
      <c r="G111" t="s">
        <v>127</v>
      </c>
      <c r="H111" s="23">
        <v>75900</v>
      </c>
    </row>
    <row r="112" spans="7:8" x14ac:dyDescent="0.35">
      <c r="G112" t="s">
        <v>128</v>
      </c>
      <c r="H112" s="23">
        <v>106700</v>
      </c>
    </row>
    <row r="113" spans="7:8" x14ac:dyDescent="0.35">
      <c r="G113" t="s">
        <v>129</v>
      </c>
      <c r="H113" s="23">
        <v>68600</v>
      </c>
    </row>
    <row r="114" spans="7:8" x14ac:dyDescent="0.35">
      <c r="G114" t="s">
        <v>130</v>
      </c>
      <c r="H114" s="23">
        <v>113500</v>
      </c>
    </row>
    <row r="115" spans="7:8" x14ac:dyDescent="0.35">
      <c r="G115" t="s">
        <v>131</v>
      </c>
      <c r="H115" s="23">
        <v>100800</v>
      </c>
    </row>
    <row r="116" spans="7:8" x14ac:dyDescent="0.35">
      <c r="G116" t="s">
        <v>132</v>
      </c>
      <c r="H116" s="23">
        <v>85300</v>
      </c>
    </row>
    <row r="117" spans="7:8" x14ac:dyDescent="0.35">
      <c r="G117" t="s">
        <v>133</v>
      </c>
      <c r="H117" s="23">
        <v>107600</v>
      </c>
    </row>
    <row r="118" spans="7:8" x14ac:dyDescent="0.35">
      <c r="G118" t="s">
        <v>134</v>
      </c>
      <c r="H118" s="23">
        <v>76700</v>
      </c>
    </row>
    <row r="119" spans="7:8" x14ac:dyDescent="0.35">
      <c r="G119" t="s">
        <v>135</v>
      </c>
      <c r="H119" s="23">
        <v>94500</v>
      </c>
    </row>
    <row r="120" spans="7:8" x14ac:dyDescent="0.35">
      <c r="G120" t="s">
        <v>136</v>
      </c>
      <c r="H120" s="23">
        <v>74400</v>
      </c>
    </row>
    <row r="121" spans="7:8" x14ac:dyDescent="0.35">
      <c r="G121" t="s">
        <v>137</v>
      </c>
      <c r="H121" s="23">
        <v>98300</v>
      </c>
    </row>
    <row r="122" spans="7:8" x14ac:dyDescent="0.35">
      <c r="G122" t="s">
        <v>138</v>
      </c>
      <c r="H122" s="23">
        <v>97600</v>
      </c>
    </row>
    <row r="123" spans="7:8" x14ac:dyDescent="0.35">
      <c r="G123" t="s">
        <v>139</v>
      </c>
      <c r="H123" s="23">
        <v>89800</v>
      </c>
    </row>
    <row r="124" spans="7:8" x14ac:dyDescent="0.35">
      <c r="G124" t="s">
        <v>140</v>
      </c>
      <c r="H124" s="23">
        <v>75300</v>
      </c>
    </row>
    <row r="125" spans="7:8" x14ac:dyDescent="0.35">
      <c r="G125" t="s">
        <v>141</v>
      </c>
      <c r="H125" s="23">
        <v>138500</v>
      </c>
    </row>
    <row r="126" spans="7:8" x14ac:dyDescent="0.35">
      <c r="G126" t="s">
        <v>142</v>
      </c>
      <c r="H126" s="23">
        <v>114500</v>
      </c>
    </row>
    <row r="127" spans="7:8" x14ac:dyDescent="0.35">
      <c r="G127" t="s">
        <v>143</v>
      </c>
      <c r="H127" s="23">
        <v>60500</v>
      </c>
    </row>
    <row r="128" spans="7:8" x14ac:dyDescent="0.35">
      <c r="G128" t="s">
        <v>144</v>
      </c>
      <c r="H128" s="23">
        <v>109900</v>
      </c>
    </row>
    <row r="129" spans="7:8" x14ac:dyDescent="0.35">
      <c r="G129" t="s">
        <v>145</v>
      </c>
      <c r="H129" s="23">
        <v>78900</v>
      </c>
    </row>
    <row r="130" spans="7:8" x14ac:dyDescent="0.35">
      <c r="G130" t="s">
        <v>146</v>
      </c>
      <c r="H130" s="23">
        <v>115200</v>
      </c>
    </row>
    <row r="131" spans="7:8" x14ac:dyDescent="0.35">
      <c r="G131" t="s">
        <v>147</v>
      </c>
      <c r="H131" s="23">
        <v>45200</v>
      </c>
    </row>
    <row r="132" spans="7:8" x14ac:dyDescent="0.35">
      <c r="G132" t="s">
        <v>148</v>
      </c>
      <c r="H132" s="23">
        <v>64000</v>
      </c>
    </row>
    <row r="133" spans="7:8" x14ac:dyDescent="0.35">
      <c r="G133" t="s">
        <v>149</v>
      </c>
      <c r="H133" s="23">
        <v>101400</v>
      </c>
    </row>
    <row r="134" spans="7:8" x14ac:dyDescent="0.35">
      <c r="G134" t="s">
        <v>150</v>
      </c>
      <c r="H134" s="23">
        <v>99200</v>
      </c>
    </row>
    <row r="135" spans="7:8" x14ac:dyDescent="0.35">
      <c r="G135" t="s">
        <v>151</v>
      </c>
      <c r="H135" s="23">
        <v>112100</v>
      </c>
    </row>
    <row r="136" spans="7:8" x14ac:dyDescent="0.35">
      <c r="G136" t="s">
        <v>152</v>
      </c>
      <c r="H136" s="23">
        <v>65800</v>
      </c>
    </row>
    <row r="137" spans="7:8" x14ac:dyDescent="0.35">
      <c r="G137" t="s">
        <v>153</v>
      </c>
      <c r="H137" s="23">
        <v>78400</v>
      </c>
    </row>
    <row r="138" spans="7:8" x14ac:dyDescent="0.35">
      <c r="G138" t="s">
        <v>154</v>
      </c>
      <c r="H138" s="23">
        <v>97600</v>
      </c>
    </row>
    <row r="139" spans="7:8" x14ac:dyDescent="0.35">
      <c r="G139" t="s">
        <v>155</v>
      </c>
      <c r="H139" s="23">
        <v>90600</v>
      </c>
    </row>
    <row r="140" spans="7:8" x14ac:dyDescent="0.35">
      <c r="G140" t="s">
        <v>156</v>
      </c>
      <c r="H140" s="23">
        <v>80000</v>
      </c>
    </row>
    <row r="141" spans="7:8" x14ac:dyDescent="0.35">
      <c r="G141" t="s">
        <v>157</v>
      </c>
      <c r="H141" s="23">
        <v>50900</v>
      </c>
    </row>
    <row r="142" spans="7:8" x14ac:dyDescent="0.35">
      <c r="G142" t="s">
        <v>158</v>
      </c>
      <c r="H142" s="23">
        <v>70800</v>
      </c>
    </row>
    <row r="143" spans="7:8" x14ac:dyDescent="0.35">
      <c r="G143" t="s">
        <v>159</v>
      </c>
      <c r="H143" s="23">
        <v>83100</v>
      </c>
    </row>
    <row r="144" spans="7:8" x14ac:dyDescent="0.35">
      <c r="G144" t="s">
        <v>160</v>
      </c>
      <c r="H144" s="23">
        <v>99100</v>
      </c>
    </row>
    <row r="145" spans="7:8" x14ac:dyDescent="0.35">
      <c r="G145" t="s">
        <v>161</v>
      </c>
      <c r="H145" s="23">
        <v>80700</v>
      </c>
    </row>
    <row r="146" spans="7:8" x14ac:dyDescent="0.35">
      <c r="G146" t="s">
        <v>162</v>
      </c>
      <c r="H146" s="23">
        <v>75200</v>
      </c>
    </row>
    <row r="147" spans="7:8" x14ac:dyDescent="0.35">
      <c r="G147" t="s">
        <v>163</v>
      </c>
      <c r="H147" s="23">
        <v>82300</v>
      </c>
    </row>
    <row r="148" spans="7:8" x14ac:dyDescent="0.35">
      <c r="G148" t="s">
        <v>164</v>
      </c>
      <c r="H148" s="23">
        <v>116100</v>
      </c>
    </row>
    <row r="149" spans="7:8" x14ac:dyDescent="0.35">
      <c r="G149" t="s">
        <v>165</v>
      </c>
      <c r="H149" s="23">
        <v>58900</v>
      </c>
    </row>
    <row r="150" spans="7:8" x14ac:dyDescent="0.35">
      <c r="G150" t="s">
        <v>166</v>
      </c>
      <c r="H150" s="23">
        <v>120500</v>
      </c>
    </row>
    <row r="151" spans="7:8" x14ac:dyDescent="0.35">
      <c r="G151" t="s">
        <v>167</v>
      </c>
      <c r="H151" s="23">
        <v>65200</v>
      </c>
    </row>
    <row r="152" spans="7:8" x14ac:dyDescent="0.35">
      <c r="G152" t="s">
        <v>168</v>
      </c>
      <c r="H152" s="23">
        <v>69900</v>
      </c>
    </row>
    <row r="153" spans="7:8" x14ac:dyDescent="0.35">
      <c r="G153" t="s">
        <v>169</v>
      </c>
      <c r="H153" s="23">
        <v>104100</v>
      </c>
    </row>
    <row r="154" spans="7:8" x14ac:dyDescent="0.35">
      <c r="G154" t="s">
        <v>170</v>
      </c>
      <c r="H154" s="23">
        <v>67300</v>
      </c>
    </row>
    <row r="155" spans="7:8" x14ac:dyDescent="0.35">
      <c r="G155" t="s">
        <v>171</v>
      </c>
      <c r="H155" s="23">
        <v>100000</v>
      </c>
    </row>
    <row r="156" spans="7:8" x14ac:dyDescent="0.35">
      <c r="G156" t="s">
        <v>172</v>
      </c>
      <c r="H156" s="23">
        <v>71400</v>
      </c>
    </row>
    <row r="157" spans="7:8" x14ac:dyDescent="0.35">
      <c r="G157" t="s">
        <v>173</v>
      </c>
      <c r="H157" s="23">
        <v>44200</v>
      </c>
    </row>
    <row r="158" spans="7:8" x14ac:dyDescent="0.35">
      <c r="G158" t="s">
        <v>174</v>
      </c>
      <c r="H158" s="23">
        <v>61800</v>
      </c>
    </row>
    <row r="159" spans="7:8" x14ac:dyDescent="0.35">
      <c r="G159" t="s">
        <v>175</v>
      </c>
      <c r="H159" s="23">
        <v>95700</v>
      </c>
    </row>
    <row r="160" spans="7:8" x14ac:dyDescent="0.35">
      <c r="G160" t="s">
        <v>176</v>
      </c>
      <c r="H160" s="23">
        <v>78600</v>
      </c>
    </row>
    <row r="161" spans="7:8" x14ac:dyDescent="0.35">
      <c r="G161" t="s">
        <v>177</v>
      </c>
      <c r="H161" s="23">
        <v>72400</v>
      </c>
    </row>
    <row r="162" spans="7:8" x14ac:dyDescent="0.35">
      <c r="G162" t="s">
        <v>178</v>
      </c>
      <c r="H162" s="23">
        <v>89800</v>
      </c>
    </row>
    <row r="163" spans="7:8" x14ac:dyDescent="0.35">
      <c r="G163" t="s">
        <v>179</v>
      </c>
      <c r="H163" s="23">
        <v>113500</v>
      </c>
    </row>
    <row r="164" spans="7:8" x14ac:dyDescent="0.35">
      <c r="G164" t="s">
        <v>180</v>
      </c>
      <c r="H164" s="23">
        <v>82900</v>
      </c>
    </row>
    <row r="165" spans="7:8" x14ac:dyDescent="0.35">
      <c r="G165" t="s">
        <v>181</v>
      </c>
      <c r="H165" s="23">
        <v>115200</v>
      </c>
    </row>
    <row r="166" spans="7:8" x14ac:dyDescent="0.35">
      <c r="G166" t="s">
        <v>182</v>
      </c>
      <c r="H166" s="23">
        <v>66200</v>
      </c>
    </row>
    <row r="167" spans="7:8" x14ac:dyDescent="0.35">
      <c r="G167" t="s">
        <v>183</v>
      </c>
      <c r="H167" s="23">
        <v>70600</v>
      </c>
    </row>
    <row r="168" spans="7:8" x14ac:dyDescent="0.35">
      <c r="G168" t="s">
        <v>184</v>
      </c>
      <c r="H168" s="23">
        <v>64700</v>
      </c>
    </row>
    <row r="169" spans="7:8" x14ac:dyDescent="0.35">
      <c r="G169" t="s">
        <v>185</v>
      </c>
      <c r="H169" s="23">
        <v>124000</v>
      </c>
    </row>
    <row r="170" spans="7:8" x14ac:dyDescent="0.35">
      <c r="G170" t="s">
        <v>186</v>
      </c>
      <c r="H170" s="23">
        <v>73300</v>
      </c>
    </row>
    <row r="171" spans="7:8" x14ac:dyDescent="0.35">
      <c r="G171" t="s">
        <v>187</v>
      </c>
      <c r="H171" s="23">
        <v>54100</v>
      </c>
    </row>
    <row r="172" spans="7:8" x14ac:dyDescent="0.35">
      <c r="G172" t="s">
        <v>188</v>
      </c>
      <c r="H172" s="23">
        <v>72600</v>
      </c>
    </row>
    <row r="173" spans="7:8" x14ac:dyDescent="0.35">
      <c r="G173" t="s">
        <v>189</v>
      </c>
      <c r="H173" s="23">
        <v>83000</v>
      </c>
    </row>
    <row r="174" spans="7:8" x14ac:dyDescent="0.35">
      <c r="G174" t="s">
        <v>190</v>
      </c>
      <c r="H174" s="23">
        <v>67200</v>
      </c>
    </row>
    <row r="175" spans="7:8" x14ac:dyDescent="0.35">
      <c r="G175" t="s">
        <v>191</v>
      </c>
      <c r="H175" s="23">
        <v>83300</v>
      </c>
    </row>
    <row r="176" spans="7:8" x14ac:dyDescent="0.35">
      <c r="G176" t="s">
        <v>192</v>
      </c>
      <c r="H176" s="23">
        <v>69400</v>
      </c>
    </row>
    <row r="177" spans="7:8" x14ac:dyDescent="0.35">
      <c r="G177" t="s">
        <v>193</v>
      </c>
      <c r="H177" s="23">
        <v>70300</v>
      </c>
    </row>
    <row r="178" spans="7:8" x14ac:dyDescent="0.35">
      <c r="G178" t="s">
        <v>194</v>
      </c>
      <c r="H178" s="23">
        <v>90800</v>
      </c>
    </row>
    <row r="179" spans="7:8" x14ac:dyDescent="0.35">
      <c r="G179" t="s">
        <v>195</v>
      </c>
      <c r="H179" s="23">
        <v>99800</v>
      </c>
    </row>
    <row r="180" spans="7:8" x14ac:dyDescent="0.35">
      <c r="G180" t="s">
        <v>196</v>
      </c>
      <c r="H180" s="23">
        <v>97200</v>
      </c>
    </row>
    <row r="181" spans="7:8" x14ac:dyDescent="0.35">
      <c r="G181" t="s">
        <v>197</v>
      </c>
      <c r="H181" s="23">
        <v>106700</v>
      </c>
    </row>
    <row r="182" spans="7:8" x14ac:dyDescent="0.35">
      <c r="G182" t="s">
        <v>198</v>
      </c>
      <c r="H182" s="23">
        <v>82200</v>
      </c>
    </row>
    <row r="183" spans="7:8" x14ac:dyDescent="0.35">
      <c r="G183" t="s">
        <v>199</v>
      </c>
      <c r="H183" s="23">
        <v>64300</v>
      </c>
    </row>
    <row r="184" spans="7:8" x14ac:dyDescent="0.35">
      <c r="G184" t="s">
        <v>200</v>
      </c>
      <c r="H184" s="23">
        <v>87700</v>
      </c>
    </row>
    <row r="185" spans="7:8" x14ac:dyDescent="0.35">
      <c r="G185" t="s">
        <v>201</v>
      </c>
      <c r="H185" s="23">
        <v>96800</v>
      </c>
    </row>
    <row r="186" spans="7:8" x14ac:dyDescent="0.35">
      <c r="G186" t="s">
        <v>202</v>
      </c>
      <c r="H186" s="23">
        <v>91900</v>
      </c>
    </row>
    <row r="187" spans="7:8" x14ac:dyDescent="0.35">
      <c r="G187" t="s">
        <v>203</v>
      </c>
      <c r="H187" s="23">
        <v>88800</v>
      </c>
    </row>
    <row r="188" spans="7:8" x14ac:dyDescent="0.35">
      <c r="G188" t="s">
        <v>204</v>
      </c>
      <c r="H188" s="23">
        <v>100600</v>
      </c>
    </row>
    <row r="189" spans="7:8" x14ac:dyDescent="0.35">
      <c r="G189" t="s">
        <v>205</v>
      </c>
      <c r="H189" s="23">
        <v>43400</v>
      </c>
    </row>
    <row r="190" spans="7:8" x14ac:dyDescent="0.35">
      <c r="G190" t="s">
        <v>206</v>
      </c>
      <c r="H190" s="23">
        <v>63800</v>
      </c>
    </row>
    <row r="191" spans="7:8" x14ac:dyDescent="0.35">
      <c r="G191" t="s">
        <v>207</v>
      </c>
      <c r="H191" s="23">
        <v>73300</v>
      </c>
    </row>
    <row r="192" spans="7:8" x14ac:dyDescent="0.35">
      <c r="G192" t="s">
        <v>208</v>
      </c>
      <c r="H192" s="23">
        <v>102400</v>
      </c>
    </row>
    <row r="193" spans="7:8" x14ac:dyDescent="0.35">
      <c r="G193" t="s">
        <v>209</v>
      </c>
      <c r="H193" s="23">
        <v>80700</v>
      </c>
    </row>
    <row r="194" spans="7:8" x14ac:dyDescent="0.35">
      <c r="G194" t="s">
        <v>210</v>
      </c>
      <c r="H194" s="23">
        <v>73400</v>
      </c>
    </row>
    <row r="195" spans="7:8" x14ac:dyDescent="0.35">
      <c r="G195" t="s">
        <v>211</v>
      </c>
      <c r="H195" s="23">
        <v>104200</v>
      </c>
    </row>
    <row r="196" spans="7:8" x14ac:dyDescent="0.35">
      <c r="G196" t="s">
        <v>212</v>
      </c>
      <c r="H196" s="23">
        <v>71000</v>
      </c>
    </row>
    <row r="197" spans="7:8" x14ac:dyDescent="0.35">
      <c r="G197" t="s">
        <v>213</v>
      </c>
      <c r="H197" s="23">
        <v>99700</v>
      </c>
    </row>
    <row r="198" spans="7:8" x14ac:dyDescent="0.35">
      <c r="G198" t="s">
        <v>214</v>
      </c>
      <c r="H198" s="23">
        <v>68200</v>
      </c>
    </row>
    <row r="199" spans="7:8" x14ac:dyDescent="0.35">
      <c r="G199" t="s">
        <v>215</v>
      </c>
      <c r="H199" s="23">
        <v>111900</v>
      </c>
    </row>
    <row r="200" spans="7:8" x14ac:dyDescent="0.35">
      <c r="G200" t="s">
        <v>216</v>
      </c>
      <c r="H200" s="23">
        <v>61000</v>
      </c>
    </row>
    <row r="201" spans="7:8" x14ac:dyDescent="0.35">
      <c r="G201" t="s">
        <v>217</v>
      </c>
      <c r="H201" s="23">
        <v>69900</v>
      </c>
    </row>
    <row r="202" spans="7:8" x14ac:dyDescent="0.35">
      <c r="G202" t="s">
        <v>218</v>
      </c>
      <c r="H202" s="23">
        <v>58400</v>
      </c>
    </row>
    <row r="203" spans="7:8" x14ac:dyDescent="0.35">
      <c r="G203" t="s">
        <v>219</v>
      </c>
      <c r="H203" s="23">
        <v>48700</v>
      </c>
    </row>
    <row r="204" spans="7:8" x14ac:dyDescent="0.35">
      <c r="G204" t="s">
        <v>220</v>
      </c>
      <c r="H204" s="23">
        <v>61800</v>
      </c>
    </row>
    <row r="205" spans="7:8" x14ac:dyDescent="0.35">
      <c r="G205" t="s">
        <v>221</v>
      </c>
      <c r="H205" s="23">
        <v>62300</v>
      </c>
    </row>
    <row r="206" spans="7:8" x14ac:dyDescent="0.35">
      <c r="G206" t="s">
        <v>222</v>
      </c>
      <c r="H206" s="23">
        <v>104400</v>
      </c>
    </row>
    <row r="207" spans="7:8" x14ac:dyDescent="0.35">
      <c r="G207" t="s">
        <v>223</v>
      </c>
      <c r="H207" s="23">
        <v>104300</v>
      </c>
    </row>
    <row r="208" spans="7:8" x14ac:dyDescent="0.35">
      <c r="G208" t="s">
        <v>224</v>
      </c>
      <c r="H208" s="23">
        <v>73500</v>
      </c>
    </row>
    <row r="209" spans="7:8" x14ac:dyDescent="0.35">
      <c r="G209" t="s">
        <v>225</v>
      </c>
      <c r="H209" s="23">
        <v>105000</v>
      </c>
    </row>
    <row r="210" spans="7:8" x14ac:dyDescent="0.35">
      <c r="G210" t="s">
        <v>226</v>
      </c>
      <c r="H210" s="23">
        <v>75900</v>
      </c>
    </row>
    <row r="211" spans="7:8" x14ac:dyDescent="0.35">
      <c r="G211" t="s">
        <v>227</v>
      </c>
      <c r="H211" s="23">
        <v>105500</v>
      </c>
    </row>
    <row r="212" spans="7:8" x14ac:dyDescent="0.35">
      <c r="G212" t="s">
        <v>228</v>
      </c>
      <c r="H212" s="23">
        <v>107800</v>
      </c>
    </row>
    <row r="213" spans="7:8" x14ac:dyDescent="0.35">
      <c r="G213" t="s">
        <v>229</v>
      </c>
      <c r="H213" s="23">
        <v>80400</v>
      </c>
    </row>
    <row r="214" spans="7:8" x14ac:dyDescent="0.35">
      <c r="G214" t="s">
        <v>230</v>
      </c>
      <c r="H214" s="23">
        <v>66000</v>
      </c>
    </row>
    <row r="215" spans="7:8" x14ac:dyDescent="0.35">
      <c r="G215" t="s">
        <v>231</v>
      </c>
      <c r="H215" s="23">
        <v>100000</v>
      </c>
    </row>
    <row r="216" spans="7:8" x14ac:dyDescent="0.35">
      <c r="G216" t="s">
        <v>232</v>
      </c>
      <c r="H216" s="23">
        <v>43400</v>
      </c>
    </row>
    <row r="217" spans="7:8" x14ac:dyDescent="0.35">
      <c r="G217" t="s">
        <v>233</v>
      </c>
      <c r="H217" s="23">
        <v>98100</v>
      </c>
    </row>
    <row r="218" spans="7:8" x14ac:dyDescent="0.35">
      <c r="G218" t="s">
        <v>234</v>
      </c>
      <c r="H218" s="23">
        <v>75100</v>
      </c>
    </row>
    <row r="219" spans="7:8" x14ac:dyDescent="0.35">
      <c r="G219" t="s">
        <v>235</v>
      </c>
      <c r="H219" s="23">
        <v>86500</v>
      </c>
    </row>
    <row r="220" spans="7:8" x14ac:dyDescent="0.35">
      <c r="G220" t="s">
        <v>236</v>
      </c>
      <c r="H220" s="23">
        <v>68300</v>
      </c>
    </row>
    <row r="221" spans="7:8" x14ac:dyDescent="0.35">
      <c r="G221" t="s">
        <v>237</v>
      </c>
      <c r="H221" s="23">
        <v>96700</v>
      </c>
    </row>
    <row r="222" spans="7:8" x14ac:dyDescent="0.35">
      <c r="G222" t="s">
        <v>238</v>
      </c>
      <c r="H222" s="23">
        <v>77600</v>
      </c>
    </row>
    <row r="223" spans="7:8" x14ac:dyDescent="0.35">
      <c r="G223" t="s">
        <v>239</v>
      </c>
      <c r="H223" s="23">
        <v>91700</v>
      </c>
    </row>
    <row r="224" spans="7:8" x14ac:dyDescent="0.35">
      <c r="G224" t="s">
        <v>240</v>
      </c>
      <c r="H224" s="23">
        <v>91400</v>
      </c>
    </row>
    <row r="225" spans="7:8" x14ac:dyDescent="0.35">
      <c r="G225" t="s">
        <v>241</v>
      </c>
      <c r="H225" s="23">
        <v>80100</v>
      </c>
    </row>
    <row r="226" spans="7:8" x14ac:dyDescent="0.35">
      <c r="G226" t="s">
        <v>242</v>
      </c>
      <c r="H226" s="23">
        <v>86800</v>
      </c>
    </row>
    <row r="227" spans="7:8" x14ac:dyDescent="0.35">
      <c r="G227" t="s">
        <v>243</v>
      </c>
      <c r="H227" s="23">
        <v>78300</v>
      </c>
    </row>
    <row r="228" spans="7:8" x14ac:dyDescent="0.35">
      <c r="G228" t="s">
        <v>244</v>
      </c>
      <c r="H228" s="23">
        <v>93500</v>
      </c>
    </row>
    <row r="229" spans="7:8" x14ac:dyDescent="0.35">
      <c r="G229" t="s">
        <v>245</v>
      </c>
      <c r="H229" s="23">
        <v>82400</v>
      </c>
    </row>
    <row r="230" spans="7:8" x14ac:dyDescent="0.35">
      <c r="G230" t="s">
        <v>246</v>
      </c>
      <c r="H230" s="23">
        <v>61800</v>
      </c>
    </row>
    <row r="231" spans="7:8" x14ac:dyDescent="0.35">
      <c r="G231" t="s">
        <v>247</v>
      </c>
      <c r="H231" s="23">
        <v>77100</v>
      </c>
    </row>
    <row r="232" spans="7:8" x14ac:dyDescent="0.35">
      <c r="G232" t="s">
        <v>248</v>
      </c>
      <c r="H232" s="23">
        <v>79100</v>
      </c>
    </row>
    <row r="233" spans="7:8" x14ac:dyDescent="0.35">
      <c r="G233" t="s">
        <v>249</v>
      </c>
      <c r="H233" s="23">
        <v>109100</v>
      </c>
    </row>
    <row r="234" spans="7:8" x14ac:dyDescent="0.35">
      <c r="G234" t="s">
        <v>250</v>
      </c>
      <c r="H234" s="23">
        <v>109900</v>
      </c>
    </row>
    <row r="235" spans="7:8" x14ac:dyDescent="0.35">
      <c r="G235" t="s">
        <v>251</v>
      </c>
      <c r="H235" s="23">
        <v>76600</v>
      </c>
    </row>
    <row r="236" spans="7:8" x14ac:dyDescent="0.35">
      <c r="G236" t="s">
        <v>252</v>
      </c>
      <c r="H236" s="23">
        <v>100500</v>
      </c>
    </row>
    <row r="237" spans="7:8" x14ac:dyDescent="0.35">
      <c r="G237" t="s">
        <v>253</v>
      </c>
      <c r="H237" s="23">
        <v>97400</v>
      </c>
    </row>
    <row r="238" spans="7:8" x14ac:dyDescent="0.35">
      <c r="G238" t="s">
        <v>254</v>
      </c>
      <c r="H238" s="23">
        <v>107900</v>
      </c>
    </row>
    <row r="239" spans="7:8" x14ac:dyDescent="0.35">
      <c r="G239" t="s">
        <v>255</v>
      </c>
      <c r="H239" s="23">
        <v>92200</v>
      </c>
    </row>
    <row r="240" spans="7:8" x14ac:dyDescent="0.35">
      <c r="G240" t="s">
        <v>256</v>
      </c>
      <c r="H240" s="23">
        <v>89400</v>
      </c>
    </row>
    <row r="241" spans="7:8" x14ac:dyDescent="0.35">
      <c r="G241" t="s">
        <v>257</v>
      </c>
      <c r="H241" s="23">
        <v>70600</v>
      </c>
    </row>
    <row r="242" spans="7:8" x14ac:dyDescent="0.35">
      <c r="G242" t="s">
        <v>258</v>
      </c>
      <c r="H242" s="23">
        <v>67400</v>
      </c>
    </row>
    <row r="243" spans="7:8" x14ac:dyDescent="0.35">
      <c r="G243" t="s">
        <v>259</v>
      </c>
      <c r="H243" s="23">
        <v>119300</v>
      </c>
    </row>
    <row r="244" spans="7:8" x14ac:dyDescent="0.35">
      <c r="G244" t="s">
        <v>260</v>
      </c>
      <c r="H244" s="23">
        <v>116200</v>
      </c>
    </row>
    <row r="245" spans="7:8" x14ac:dyDescent="0.35">
      <c r="G245" t="s">
        <v>261</v>
      </c>
      <c r="H245" s="23">
        <v>114600</v>
      </c>
    </row>
    <row r="246" spans="7:8" x14ac:dyDescent="0.35">
      <c r="G246" t="s">
        <v>262</v>
      </c>
      <c r="H246" s="23">
        <v>90100</v>
      </c>
    </row>
    <row r="247" spans="7:8" x14ac:dyDescent="0.35">
      <c r="G247" t="s">
        <v>263</v>
      </c>
      <c r="H247" s="23">
        <v>83200</v>
      </c>
    </row>
    <row r="248" spans="7:8" x14ac:dyDescent="0.35">
      <c r="G248" t="s">
        <v>264</v>
      </c>
      <c r="H248" s="23">
        <v>89500</v>
      </c>
    </row>
    <row r="249" spans="7:8" x14ac:dyDescent="0.35">
      <c r="G249" t="s">
        <v>265</v>
      </c>
      <c r="H249" s="23">
        <v>98600</v>
      </c>
    </row>
    <row r="250" spans="7:8" x14ac:dyDescent="0.35">
      <c r="G250" t="s">
        <v>266</v>
      </c>
      <c r="H250" s="23">
        <v>99500</v>
      </c>
    </row>
    <row r="251" spans="7:8" x14ac:dyDescent="0.35">
      <c r="G251" t="s">
        <v>267</v>
      </c>
      <c r="H251" s="23">
        <v>66400</v>
      </c>
    </row>
    <row r="252" spans="7:8" x14ac:dyDescent="0.35">
      <c r="G252" t="s">
        <v>268</v>
      </c>
      <c r="H252" s="23">
        <v>68700</v>
      </c>
    </row>
    <row r="253" spans="7:8" x14ac:dyDescent="0.35">
      <c r="G253" t="s">
        <v>269</v>
      </c>
      <c r="H253" s="23">
        <v>89200</v>
      </c>
    </row>
    <row r="254" spans="7:8" x14ac:dyDescent="0.35">
      <c r="G254" t="s">
        <v>270</v>
      </c>
      <c r="H254" s="23">
        <v>92500</v>
      </c>
    </row>
    <row r="255" spans="7:8" x14ac:dyDescent="0.35">
      <c r="G255" t="s">
        <v>271</v>
      </c>
      <c r="H255" s="23">
        <v>97100</v>
      </c>
    </row>
    <row r="256" spans="7:8" x14ac:dyDescent="0.35">
      <c r="G256" t="s">
        <v>272</v>
      </c>
      <c r="H256" s="23">
        <v>103700</v>
      </c>
    </row>
    <row r="257" spans="7:8" x14ac:dyDescent="0.35">
      <c r="G257" t="s">
        <v>273</v>
      </c>
      <c r="H257" s="23">
        <v>85300</v>
      </c>
    </row>
    <row r="258" spans="7:8" x14ac:dyDescent="0.35">
      <c r="G258" t="s">
        <v>274</v>
      </c>
      <c r="H258" s="23">
        <v>83700</v>
      </c>
    </row>
    <row r="259" spans="7:8" x14ac:dyDescent="0.35">
      <c r="G259" t="s">
        <v>275</v>
      </c>
      <c r="H259" s="23">
        <v>65200</v>
      </c>
    </row>
    <row r="260" spans="7:8" x14ac:dyDescent="0.35">
      <c r="G260" t="s">
        <v>276</v>
      </c>
      <c r="H260" s="23">
        <v>65300</v>
      </c>
    </row>
    <row r="261" spans="7:8" x14ac:dyDescent="0.35">
      <c r="G261" t="s">
        <v>277</v>
      </c>
      <c r="H261" s="23">
        <v>65900</v>
      </c>
    </row>
    <row r="262" spans="7:8" x14ac:dyDescent="0.35">
      <c r="G262" t="s">
        <v>278</v>
      </c>
      <c r="H262" s="23">
        <v>109400</v>
      </c>
    </row>
    <row r="263" spans="7:8" x14ac:dyDescent="0.35">
      <c r="G263" t="s">
        <v>279</v>
      </c>
      <c r="H263" s="23">
        <v>73600</v>
      </c>
    </row>
    <row r="264" spans="7:8" x14ac:dyDescent="0.35">
      <c r="G264" t="s">
        <v>280</v>
      </c>
      <c r="H264" s="23">
        <v>90200</v>
      </c>
    </row>
    <row r="265" spans="7:8" x14ac:dyDescent="0.35">
      <c r="G265" t="s">
        <v>281</v>
      </c>
      <c r="H265" s="23">
        <v>127400</v>
      </c>
    </row>
    <row r="266" spans="7:8" x14ac:dyDescent="0.35">
      <c r="G266" t="s">
        <v>282</v>
      </c>
      <c r="H266" s="23">
        <v>90100</v>
      </c>
    </row>
    <row r="267" spans="7:8" x14ac:dyDescent="0.35">
      <c r="G267" t="s">
        <v>283</v>
      </c>
      <c r="H267" s="23">
        <v>89200</v>
      </c>
    </row>
    <row r="268" spans="7:8" x14ac:dyDescent="0.35">
      <c r="G268" t="s">
        <v>284</v>
      </c>
      <c r="H268" s="23">
        <v>94200</v>
      </c>
    </row>
    <row r="269" spans="7:8" x14ac:dyDescent="0.35">
      <c r="G269" t="s">
        <v>285</v>
      </c>
      <c r="H269" s="23">
        <v>110500</v>
      </c>
    </row>
    <row r="270" spans="7:8" x14ac:dyDescent="0.35">
      <c r="G270" t="s">
        <v>286</v>
      </c>
      <c r="H270" s="23">
        <v>72400</v>
      </c>
    </row>
    <row r="271" spans="7:8" x14ac:dyDescent="0.35">
      <c r="G271" t="s">
        <v>287</v>
      </c>
      <c r="H271" s="23">
        <v>62100</v>
      </c>
    </row>
    <row r="272" spans="7:8" x14ac:dyDescent="0.35">
      <c r="G272" t="s">
        <v>288</v>
      </c>
      <c r="H272" s="23">
        <v>69100</v>
      </c>
    </row>
    <row r="273" spans="7:8" x14ac:dyDescent="0.35">
      <c r="G273" t="s">
        <v>289</v>
      </c>
      <c r="H273" s="23">
        <v>83300</v>
      </c>
    </row>
    <row r="274" spans="7:8" x14ac:dyDescent="0.35">
      <c r="G274" t="s">
        <v>290</v>
      </c>
      <c r="H274" s="23">
        <v>96200</v>
      </c>
    </row>
    <row r="275" spans="7:8" x14ac:dyDescent="0.35">
      <c r="G275" t="s">
        <v>291</v>
      </c>
      <c r="H275" s="23">
        <v>52400</v>
      </c>
    </row>
    <row r="276" spans="7:8" x14ac:dyDescent="0.35">
      <c r="G276" t="s">
        <v>292</v>
      </c>
      <c r="H276" s="23">
        <v>92000</v>
      </c>
    </row>
    <row r="277" spans="7:8" x14ac:dyDescent="0.35">
      <c r="G277" t="s">
        <v>293</v>
      </c>
      <c r="H277" s="23">
        <v>67900</v>
      </c>
    </row>
    <row r="278" spans="7:8" x14ac:dyDescent="0.35">
      <c r="G278" t="s">
        <v>294</v>
      </c>
      <c r="H278" s="23">
        <v>98200</v>
      </c>
    </row>
    <row r="279" spans="7:8" x14ac:dyDescent="0.35">
      <c r="G279" t="s">
        <v>295</v>
      </c>
      <c r="H279" s="23">
        <v>61000</v>
      </c>
    </row>
    <row r="280" spans="7:8" x14ac:dyDescent="0.35">
      <c r="G280" t="s">
        <v>296</v>
      </c>
      <c r="H280" s="23">
        <v>101100</v>
      </c>
    </row>
    <row r="281" spans="7:8" x14ac:dyDescent="0.35">
      <c r="G281" t="s">
        <v>297</v>
      </c>
      <c r="H281" s="23">
        <v>93300</v>
      </c>
    </row>
    <row r="282" spans="7:8" x14ac:dyDescent="0.35">
      <c r="G282" t="s">
        <v>298</v>
      </c>
      <c r="H282" s="23">
        <v>106800</v>
      </c>
    </row>
    <row r="283" spans="7:8" x14ac:dyDescent="0.35">
      <c r="G283" t="s">
        <v>299</v>
      </c>
      <c r="H283" s="23">
        <v>90300</v>
      </c>
    </row>
    <row r="284" spans="7:8" x14ac:dyDescent="0.35">
      <c r="G284" t="s">
        <v>300</v>
      </c>
      <c r="H284" s="23">
        <v>98300</v>
      </c>
    </row>
    <row r="285" spans="7:8" x14ac:dyDescent="0.35">
      <c r="G285" t="s">
        <v>301</v>
      </c>
      <c r="H285" s="23">
        <v>79600</v>
      </c>
    </row>
    <row r="286" spans="7:8" x14ac:dyDescent="0.35">
      <c r="G286" t="s">
        <v>302</v>
      </c>
      <c r="H286" s="23">
        <v>88800</v>
      </c>
    </row>
    <row r="287" spans="7:8" x14ac:dyDescent="0.35">
      <c r="G287" t="s">
        <v>303</v>
      </c>
      <c r="H287" s="23">
        <v>97600</v>
      </c>
    </row>
    <row r="288" spans="7:8" x14ac:dyDescent="0.35">
      <c r="G288" t="s">
        <v>304</v>
      </c>
      <c r="H288" s="23">
        <v>64600</v>
      </c>
    </row>
    <row r="289" spans="7:8" x14ac:dyDescent="0.35">
      <c r="G289" t="s">
        <v>305</v>
      </c>
      <c r="H289" s="23">
        <v>99200</v>
      </c>
    </row>
    <row r="290" spans="7:8" x14ac:dyDescent="0.35">
      <c r="G290" t="s">
        <v>306</v>
      </c>
      <c r="H290" s="23">
        <v>75100</v>
      </c>
    </row>
    <row r="291" spans="7:8" x14ac:dyDescent="0.35">
      <c r="G291" t="s">
        <v>307</v>
      </c>
      <c r="H291" s="23">
        <v>50700</v>
      </c>
    </row>
    <row r="292" spans="7:8" x14ac:dyDescent="0.35">
      <c r="G292" t="s">
        <v>308</v>
      </c>
      <c r="H292" s="23">
        <v>71000</v>
      </c>
    </row>
    <row r="293" spans="7:8" x14ac:dyDescent="0.35">
      <c r="G293" t="s">
        <v>309</v>
      </c>
      <c r="H293" s="23">
        <v>72300</v>
      </c>
    </row>
    <row r="294" spans="7:8" x14ac:dyDescent="0.35">
      <c r="G294" t="s">
        <v>310</v>
      </c>
      <c r="H294" s="23">
        <v>105700</v>
      </c>
    </row>
    <row r="295" spans="7:8" x14ac:dyDescent="0.35">
      <c r="G295" t="s">
        <v>311</v>
      </c>
      <c r="H295" s="23">
        <v>72500</v>
      </c>
    </row>
    <row r="296" spans="7:8" x14ac:dyDescent="0.35">
      <c r="G296" t="s">
        <v>312</v>
      </c>
      <c r="H296" s="23">
        <v>107000</v>
      </c>
    </row>
    <row r="297" spans="7:8" x14ac:dyDescent="0.35">
      <c r="G297" t="s">
        <v>313</v>
      </c>
      <c r="H297" s="23">
        <v>90400</v>
      </c>
    </row>
    <row r="298" spans="7:8" x14ac:dyDescent="0.35">
      <c r="G298" t="s">
        <v>314</v>
      </c>
      <c r="H298" s="23">
        <v>53500</v>
      </c>
    </row>
    <row r="299" spans="7:8" x14ac:dyDescent="0.35">
      <c r="G299" t="s">
        <v>315</v>
      </c>
      <c r="H299" s="23">
        <v>116400</v>
      </c>
    </row>
    <row r="300" spans="7:8" x14ac:dyDescent="0.35">
      <c r="G300" t="s">
        <v>316</v>
      </c>
      <c r="H300" s="23">
        <v>70800</v>
      </c>
    </row>
    <row r="301" spans="7:8" x14ac:dyDescent="0.35">
      <c r="G301" t="s">
        <v>317</v>
      </c>
      <c r="H301" s="23">
        <v>77100</v>
      </c>
    </row>
    <row r="302" spans="7:8" x14ac:dyDescent="0.35">
      <c r="G302" t="s">
        <v>318</v>
      </c>
      <c r="H302" s="23">
        <v>86900</v>
      </c>
    </row>
    <row r="303" spans="7:8" x14ac:dyDescent="0.35">
      <c r="G303" t="s">
        <v>319</v>
      </c>
      <c r="H303" s="23">
        <v>100200</v>
      </c>
    </row>
    <row r="304" spans="7:8" x14ac:dyDescent="0.35">
      <c r="G304" t="s">
        <v>320</v>
      </c>
      <c r="H304" s="23">
        <v>93400</v>
      </c>
    </row>
    <row r="305" spans="7:8" x14ac:dyDescent="0.35">
      <c r="G305" t="s">
        <v>321</v>
      </c>
      <c r="H305" s="23">
        <v>79900</v>
      </c>
    </row>
    <row r="306" spans="7:8" x14ac:dyDescent="0.35">
      <c r="G306" t="s">
        <v>322</v>
      </c>
      <c r="H306" s="23">
        <v>64100</v>
      </c>
    </row>
    <row r="307" spans="7:8" x14ac:dyDescent="0.35">
      <c r="G307" t="s">
        <v>323</v>
      </c>
      <c r="H307" s="23">
        <v>99300</v>
      </c>
    </row>
    <row r="308" spans="7:8" x14ac:dyDescent="0.35">
      <c r="G308" t="s">
        <v>324</v>
      </c>
      <c r="H308" s="23">
        <v>79200</v>
      </c>
    </row>
    <row r="309" spans="7:8" x14ac:dyDescent="0.35">
      <c r="G309" t="s">
        <v>325</v>
      </c>
      <c r="H309" s="23">
        <v>70000</v>
      </c>
    </row>
    <row r="310" spans="7:8" x14ac:dyDescent="0.35">
      <c r="G310" t="s">
        <v>326</v>
      </c>
      <c r="H310" s="23">
        <v>110900</v>
      </c>
    </row>
    <row r="311" spans="7:8" x14ac:dyDescent="0.35">
      <c r="G311" t="s">
        <v>327</v>
      </c>
      <c r="H311" s="23">
        <v>109900</v>
      </c>
    </row>
    <row r="312" spans="7:8" x14ac:dyDescent="0.35">
      <c r="G312" t="s">
        <v>328</v>
      </c>
      <c r="H312" s="23">
        <v>90900</v>
      </c>
    </row>
    <row r="313" spans="7:8" x14ac:dyDescent="0.35">
      <c r="G313" t="s">
        <v>329</v>
      </c>
      <c r="H313" s="23">
        <v>84100</v>
      </c>
    </row>
    <row r="314" spans="7:8" x14ac:dyDescent="0.35">
      <c r="G314" t="s">
        <v>330</v>
      </c>
      <c r="H314" s="23">
        <v>70600</v>
      </c>
    </row>
    <row r="315" spans="7:8" x14ac:dyDescent="0.35">
      <c r="G315" t="s">
        <v>331</v>
      </c>
      <c r="H315" s="23">
        <v>62200</v>
      </c>
    </row>
    <row r="316" spans="7:8" x14ac:dyDescent="0.35">
      <c r="G316" t="s">
        <v>332</v>
      </c>
      <c r="H316" s="23">
        <v>68200</v>
      </c>
    </row>
    <row r="317" spans="7:8" x14ac:dyDescent="0.35">
      <c r="G317" t="s">
        <v>333</v>
      </c>
      <c r="H317" s="23">
        <v>85100</v>
      </c>
    </row>
    <row r="318" spans="7:8" x14ac:dyDescent="0.35">
      <c r="G318" t="s">
        <v>334</v>
      </c>
      <c r="H318" s="23">
        <v>72000</v>
      </c>
    </row>
    <row r="319" spans="7:8" x14ac:dyDescent="0.35">
      <c r="G319" t="s">
        <v>335</v>
      </c>
      <c r="H319" s="23">
        <v>78200</v>
      </c>
    </row>
    <row r="320" spans="7:8" x14ac:dyDescent="0.35">
      <c r="G320" t="s">
        <v>336</v>
      </c>
      <c r="H320" s="23">
        <v>52600</v>
      </c>
    </row>
    <row r="321" spans="7:8" x14ac:dyDescent="0.35">
      <c r="G321" t="s">
        <v>337</v>
      </c>
      <c r="H321" s="23">
        <v>72400</v>
      </c>
    </row>
    <row r="322" spans="7:8" x14ac:dyDescent="0.35">
      <c r="G322" t="s">
        <v>338</v>
      </c>
      <c r="H322" s="23">
        <v>71500</v>
      </c>
    </row>
    <row r="323" spans="7:8" x14ac:dyDescent="0.35">
      <c r="G323" t="s">
        <v>339</v>
      </c>
      <c r="H323" s="23">
        <v>75600</v>
      </c>
    </row>
    <row r="324" spans="7:8" x14ac:dyDescent="0.35">
      <c r="G324" t="s">
        <v>340</v>
      </c>
      <c r="H324" s="23">
        <v>109100</v>
      </c>
    </row>
    <row r="325" spans="7:8" x14ac:dyDescent="0.35">
      <c r="G325" t="s">
        <v>341</v>
      </c>
      <c r="H325" s="23">
        <v>117700</v>
      </c>
    </row>
    <row r="326" spans="7:8" x14ac:dyDescent="0.35">
      <c r="G326" t="s">
        <v>342</v>
      </c>
      <c r="H326" s="23">
        <v>98400</v>
      </c>
    </row>
    <row r="327" spans="7:8" x14ac:dyDescent="0.35">
      <c r="G327" t="s">
        <v>343</v>
      </c>
      <c r="H327" s="23">
        <v>77800</v>
      </c>
    </row>
    <row r="328" spans="7:8" x14ac:dyDescent="0.35">
      <c r="G328" t="s">
        <v>344</v>
      </c>
      <c r="H328" s="23">
        <v>78300</v>
      </c>
    </row>
    <row r="329" spans="7:8" x14ac:dyDescent="0.35">
      <c r="G329" t="s">
        <v>345</v>
      </c>
      <c r="H329" s="23">
        <v>69600</v>
      </c>
    </row>
    <row r="330" spans="7:8" x14ac:dyDescent="0.35">
      <c r="G330" t="s">
        <v>346</v>
      </c>
      <c r="H330" s="23">
        <v>110300</v>
      </c>
    </row>
    <row r="331" spans="7:8" x14ac:dyDescent="0.35">
      <c r="G331" t="s">
        <v>347</v>
      </c>
      <c r="H331" s="23">
        <v>105000</v>
      </c>
    </row>
    <row r="332" spans="7:8" x14ac:dyDescent="0.35">
      <c r="G332" t="s">
        <v>348</v>
      </c>
      <c r="H332" s="23">
        <v>43300</v>
      </c>
    </row>
    <row r="333" spans="7:8" x14ac:dyDescent="0.35">
      <c r="G333" t="s">
        <v>349</v>
      </c>
      <c r="H333" s="23">
        <v>103000</v>
      </c>
    </row>
    <row r="334" spans="7:8" x14ac:dyDescent="0.35">
      <c r="G334" t="s">
        <v>350</v>
      </c>
      <c r="H334" s="23">
        <v>113300</v>
      </c>
    </row>
    <row r="335" spans="7:8" x14ac:dyDescent="0.35">
      <c r="G335" t="s">
        <v>351</v>
      </c>
      <c r="H335" s="23">
        <v>64800</v>
      </c>
    </row>
    <row r="336" spans="7:8" x14ac:dyDescent="0.35">
      <c r="G336" t="s">
        <v>352</v>
      </c>
      <c r="H336" s="23">
        <v>65400</v>
      </c>
    </row>
    <row r="337" spans="7:8" x14ac:dyDescent="0.35">
      <c r="G337" t="s">
        <v>353</v>
      </c>
      <c r="H337" s="23">
        <v>84700</v>
      </c>
    </row>
    <row r="338" spans="7:8" x14ac:dyDescent="0.35">
      <c r="G338" t="s">
        <v>354</v>
      </c>
      <c r="H338" s="23">
        <v>60700</v>
      </c>
    </row>
    <row r="339" spans="7:8" x14ac:dyDescent="0.35">
      <c r="G339" t="s">
        <v>355</v>
      </c>
      <c r="H339" s="23">
        <v>114300</v>
      </c>
    </row>
    <row r="340" spans="7:8" x14ac:dyDescent="0.35">
      <c r="G340" t="s">
        <v>356</v>
      </c>
      <c r="H340" s="23">
        <v>105400</v>
      </c>
    </row>
    <row r="341" spans="7:8" x14ac:dyDescent="0.35">
      <c r="G341" t="s">
        <v>357</v>
      </c>
      <c r="H341" s="23">
        <v>128200</v>
      </c>
    </row>
    <row r="342" spans="7:8" x14ac:dyDescent="0.35">
      <c r="G342" t="s">
        <v>358</v>
      </c>
      <c r="H342" s="23">
        <v>110100</v>
      </c>
    </row>
    <row r="343" spans="7:8" x14ac:dyDescent="0.35">
      <c r="G343" t="s">
        <v>359</v>
      </c>
      <c r="H343" s="23">
        <v>94800</v>
      </c>
    </row>
    <row r="344" spans="7:8" x14ac:dyDescent="0.35">
      <c r="G344" t="s">
        <v>360</v>
      </c>
      <c r="H344" s="23">
        <v>101900</v>
      </c>
    </row>
    <row r="345" spans="7:8" x14ac:dyDescent="0.35">
      <c r="G345" t="s">
        <v>361</v>
      </c>
      <c r="H345" s="23">
        <v>66500</v>
      </c>
    </row>
    <row r="346" spans="7:8" x14ac:dyDescent="0.35">
      <c r="G346" t="s">
        <v>362</v>
      </c>
      <c r="H346" s="23">
        <v>100800</v>
      </c>
    </row>
    <row r="347" spans="7:8" x14ac:dyDescent="0.35">
      <c r="G347" t="s">
        <v>363</v>
      </c>
      <c r="H347" s="23">
        <v>76000</v>
      </c>
    </row>
    <row r="348" spans="7:8" x14ac:dyDescent="0.35">
      <c r="G348" t="s">
        <v>364</v>
      </c>
      <c r="H348" s="23">
        <v>108000</v>
      </c>
    </row>
    <row r="349" spans="7:8" x14ac:dyDescent="0.35">
      <c r="G349" t="s">
        <v>365</v>
      </c>
      <c r="H349" s="23">
        <v>108900</v>
      </c>
    </row>
    <row r="350" spans="7:8" x14ac:dyDescent="0.35">
      <c r="G350" t="s">
        <v>366</v>
      </c>
      <c r="H350" s="23">
        <v>92000</v>
      </c>
    </row>
    <row r="351" spans="7:8" x14ac:dyDescent="0.35">
      <c r="G351" t="s">
        <v>367</v>
      </c>
      <c r="H351" s="23">
        <v>65400</v>
      </c>
    </row>
    <row r="352" spans="7:8" x14ac:dyDescent="0.35">
      <c r="G352" t="s">
        <v>368</v>
      </c>
      <c r="H352" s="23">
        <v>89600</v>
      </c>
    </row>
    <row r="353" spans="7:8" x14ac:dyDescent="0.35">
      <c r="G353" t="s">
        <v>369</v>
      </c>
      <c r="H353" s="23">
        <v>72700</v>
      </c>
    </row>
    <row r="354" spans="7:8" x14ac:dyDescent="0.35">
      <c r="G354" t="s">
        <v>370</v>
      </c>
      <c r="H354" s="23">
        <v>64700</v>
      </c>
    </row>
    <row r="355" spans="7:8" x14ac:dyDescent="0.35">
      <c r="G355" t="s">
        <v>371</v>
      </c>
      <c r="H355" s="23">
        <v>131800</v>
      </c>
    </row>
    <row r="356" spans="7:8" x14ac:dyDescent="0.35">
      <c r="G356" t="s">
        <v>372</v>
      </c>
      <c r="H356" s="23">
        <v>63700</v>
      </c>
    </row>
    <row r="357" spans="7:8" x14ac:dyDescent="0.35">
      <c r="G357" t="s">
        <v>373</v>
      </c>
      <c r="H357" s="23">
        <v>61900</v>
      </c>
    </row>
    <row r="358" spans="7:8" x14ac:dyDescent="0.35">
      <c r="G358" t="s">
        <v>374</v>
      </c>
      <c r="H358" s="23">
        <v>90000</v>
      </c>
    </row>
    <row r="359" spans="7:8" x14ac:dyDescent="0.35">
      <c r="G359" t="s">
        <v>375</v>
      </c>
      <c r="H359" s="23">
        <v>110800</v>
      </c>
    </row>
    <row r="360" spans="7:8" x14ac:dyDescent="0.35">
      <c r="G360" t="s">
        <v>376</v>
      </c>
      <c r="H360" s="23">
        <v>74100</v>
      </c>
    </row>
    <row r="361" spans="7:8" x14ac:dyDescent="0.35">
      <c r="G361" t="s">
        <v>377</v>
      </c>
      <c r="H361" s="23">
        <v>74700</v>
      </c>
    </row>
    <row r="362" spans="7:8" x14ac:dyDescent="0.35">
      <c r="G362" t="s">
        <v>378</v>
      </c>
      <c r="H362" s="23">
        <v>60000</v>
      </c>
    </row>
    <row r="363" spans="7:8" x14ac:dyDescent="0.35">
      <c r="G363" t="s">
        <v>379</v>
      </c>
      <c r="H363" s="23">
        <v>95300</v>
      </c>
    </row>
    <row r="364" spans="7:8" x14ac:dyDescent="0.35">
      <c r="G364" t="s">
        <v>380</v>
      </c>
      <c r="H364" s="23">
        <v>95300</v>
      </c>
    </row>
    <row r="365" spans="7:8" x14ac:dyDescent="0.35">
      <c r="G365" t="s">
        <v>381</v>
      </c>
      <c r="H365" s="23">
        <v>118300</v>
      </c>
    </row>
    <row r="366" spans="7:8" x14ac:dyDescent="0.35">
      <c r="G366" t="s">
        <v>382</v>
      </c>
      <c r="H366" s="23">
        <v>70700</v>
      </c>
    </row>
    <row r="367" spans="7:8" x14ac:dyDescent="0.35">
      <c r="G367" t="s">
        <v>383</v>
      </c>
      <c r="H367" s="23">
        <v>78500</v>
      </c>
    </row>
    <row r="368" spans="7:8" x14ac:dyDescent="0.35">
      <c r="G368" t="s">
        <v>384</v>
      </c>
      <c r="H368" s="23">
        <v>67400</v>
      </c>
    </row>
    <row r="369" spans="7:8" x14ac:dyDescent="0.35">
      <c r="G369" t="s">
        <v>385</v>
      </c>
      <c r="H369" s="23">
        <v>109800</v>
      </c>
    </row>
    <row r="370" spans="7:8" x14ac:dyDescent="0.35">
      <c r="G370" t="s">
        <v>386</v>
      </c>
      <c r="H370" s="23">
        <v>98600</v>
      </c>
    </row>
    <row r="371" spans="7:8" x14ac:dyDescent="0.35">
      <c r="G371" t="s">
        <v>387</v>
      </c>
      <c r="H371" s="23">
        <v>52900</v>
      </c>
    </row>
    <row r="372" spans="7:8" x14ac:dyDescent="0.35">
      <c r="G372" t="s">
        <v>388</v>
      </c>
      <c r="H372" s="23">
        <v>80600</v>
      </c>
    </row>
    <row r="373" spans="7:8" x14ac:dyDescent="0.35">
      <c r="G373" t="s">
        <v>389</v>
      </c>
      <c r="H373" s="23">
        <v>68600</v>
      </c>
    </row>
    <row r="374" spans="7:8" x14ac:dyDescent="0.35">
      <c r="G374" t="s">
        <v>390</v>
      </c>
      <c r="H374" s="23">
        <v>120900</v>
      </c>
    </row>
    <row r="375" spans="7:8" x14ac:dyDescent="0.35">
      <c r="G375" t="s">
        <v>391</v>
      </c>
      <c r="H375" s="23">
        <v>81100</v>
      </c>
    </row>
    <row r="376" spans="7:8" x14ac:dyDescent="0.35">
      <c r="G376" t="s">
        <v>392</v>
      </c>
      <c r="H376" s="23">
        <v>79400</v>
      </c>
    </row>
    <row r="377" spans="7:8" x14ac:dyDescent="0.35">
      <c r="G377" t="s">
        <v>393</v>
      </c>
      <c r="H377" s="23">
        <v>75500</v>
      </c>
    </row>
    <row r="378" spans="7:8" x14ac:dyDescent="0.35">
      <c r="G378" t="s">
        <v>394</v>
      </c>
      <c r="H378" s="23">
        <v>74000</v>
      </c>
    </row>
    <row r="379" spans="7:8" x14ac:dyDescent="0.35">
      <c r="G379" t="s">
        <v>395</v>
      </c>
      <c r="H379" s="23">
        <v>98900</v>
      </c>
    </row>
    <row r="380" spans="7:8" x14ac:dyDescent="0.35">
      <c r="G380" t="s">
        <v>396</v>
      </c>
      <c r="H380" s="23">
        <v>101100</v>
      </c>
    </row>
    <row r="381" spans="7:8" x14ac:dyDescent="0.35">
      <c r="G381" t="s">
        <v>397</v>
      </c>
      <c r="H381" s="23">
        <v>86000</v>
      </c>
    </row>
    <row r="382" spans="7:8" x14ac:dyDescent="0.35">
      <c r="G382" t="s">
        <v>398</v>
      </c>
      <c r="H382" s="23">
        <v>80000</v>
      </c>
    </row>
    <row r="383" spans="7:8" x14ac:dyDescent="0.35">
      <c r="G383" t="s">
        <v>399</v>
      </c>
      <c r="H383" s="23">
        <v>91500</v>
      </c>
    </row>
    <row r="384" spans="7:8" x14ac:dyDescent="0.35">
      <c r="G384" t="s">
        <v>400</v>
      </c>
      <c r="H384" s="23">
        <v>111700</v>
      </c>
    </row>
    <row r="385" spans="7:8" x14ac:dyDescent="0.35">
      <c r="G385" t="s">
        <v>401</v>
      </c>
      <c r="H385" s="23">
        <v>91700</v>
      </c>
    </row>
    <row r="386" spans="7:8" x14ac:dyDescent="0.35">
      <c r="G386" t="s">
        <v>402</v>
      </c>
      <c r="H386" s="23">
        <v>75100</v>
      </c>
    </row>
    <row r="387" spans="7:8" x14ac:dyDescent="0.35">
      <c r="G387" t="s">
        <v>403</v>
      </c>
      <c r="H387" s="23">
        <v>59200</v>
      </c>
    </row>
    <row r="388" spans="7:8" x14ac:dyDescent="0.35">
      <c r="G388" t="s">
        <v>404</v>
      </c>
      <c r="H388" s="23">
        <v>84600</v>
      </c>
    </row>
    <row r="389" spans="7:8" x14ac:dyDescent="0.35">
      <c r="G389" t="s">
        <v>405</v>
      </c>
      <c r="H389" s="23">
        <v>65200</v>
      </c>
    </row>
    <row r="390" spans="7:8" x14ac:dyDescent="0.35">
      <c r="G390" t="s">
        <v>406</v>
      </c>
      <c r="H390" s="23">
        <v>65800</v>
      </c>
    </row>
    <row r="391" spans="7:8" x14ac:dyDescent="0.35">
      <c r="G391" t="s">
        <v>407</v>
      </c>
      <c r="H391" s="23">
        <v>35600</v>
      </c>
    </row>
    <row r="392" spans="7:8" x14ac:dyDescent="0.35">
      <c r="G392" t="s">
        <v>408</v>
      </c>
      <c r="H392" s="23">
        <v>86200</v>
      </c>
    </row>
    <row r="393" spans="7:8" x14ac:dyDescent="0.35">
      <c r="G393" t="s">
        <v>409</v>
      </c>
      <c r="H393" s="23">
        <v>110000</v>
      </c>
    </row>
    <row r="394" spans="7:8" x14ac:dyDescent="0.35">
      <c r="G394" t="s">
        <v>410</v>
      </c>
      <c r="H394" s="23">
        <v>43700</v>
      </c>
    </row>
    <row r="395" spans="7:8" x14ac:dyDescent="0.35">
      <c r="G395" t="s">
        <v>411</v>
      </c>
      <c r="H395" s="23">
        <v>77400</v>
      </c>
    </row>
    <row r="396" spans="7:8" x14ac:dyDescent="0.35">
      <c r="G396" t="s">
        <v>412</v>
      </c>
      <c r="H396" s="23">
        <v>70900</v>
      </c>
    </row>
    <row r="397" spans="7:8" x14ac:dyDescent="0.35">
      <c r="G397" t="s">
        <v>413</v>
      </c>
      <c r="H397" s="23">
        <v>78400</v>
      </c>
    </row>
    <row r="398" spans="7:8" x14ac:dyDescent="0.35">
      <c r="G398" t="s">
        <v>414</v>
      </c>
      <c r="H398" s="23">
        <v>81000</v>
      </c>
    </row>
    <row r="399" spans="7:8" x14ac:dyDescent="0.35">
      <c r="G399" t="s">
        <v>415</v>
      </c>
      <c r="H399" s="23">
        <v>83000</v>
      </c>
    </row>
    <row r="400" spans="7:8" x14ac:dyDescent="0.35">
      <c r="G400" t="s">
        <v>416</v>
      </c>
      <c r="H400" s="23">
        <v>85400</v>
      </c>
    </row>
    <row r="401" spans="7:8" x14ac:dyDescent="0.35">
      <c r="G401" t="s">
        <v>417</v>
      </c>
      <c r="H401" s="23">
        <v>93800</v>
      </c>
    </row>
    <row r="402" spans="7:8" x14ac:dyDescent="0.35">
      <c r="G402" t="s">
        <v>418</v>
      </c>
      <c r="H402" s="23">
        <v>94200</v>
      </c>
    </row>
    <row r="403" spans="7:8" x14ac:dyDescent="0.35">
      <c r="G403" t="s">
        <v>419</v>
      </c>
      <c r="H403" s="23">
        <v>80200</v>
      </c>
    </row>
    <row r="404" spans="7:8" x14ac:dyDescent="0.35">
      <c r="G404" t="s">
        <v>420</v>
      </c>
      <c r="H404" s="23">
        <v>71800</v>
      </c>
    </row>
    <row r="405" spans="7:8" x14ac:dyDescent="0.35">
      <c r="G405" t="s">
        <v>421</v>
      </c>
      <c r="H405" s="23">
        <v>57700</v>
      </c>
    </row>
    <row r="406" spans="7:8" x14ac:dyDescent="0.35">
      <c r="G406" t="s">
        <v>422</v>
      </c>
      <c r="H406" s="23">
        <v>64400</v>
      </c>
    </row>
    <row r="407" spans="7:8" x14ac:dyDescent="0.35">
      <c r="G407" t="s">
        <v>423</v>
      </c>
      <c r="H407" s="23">
        <v>73000</v>
      </c>
    </row>
    <row r="408" spans="7:8" x14ac:dyDescent="0.35">
      <c r="G408" t="s">
        <v>424</v>
      </c>
      <c r="H408" s="23">
        <v>51800</v>
      </c>
    </row>
    <row r="409" spans="7:8" x14ac:dyDescent="0.35">
      <c r="G409" t="s">
        <v>425</v>
      </c>
      <c r="H409" s="23">
        <v>114500</v>
      </c>
    </row>
    <row r="410" spans="7:8" x14ac:dyDescent="0.35">
      <c r="G410" t="s">
        <v>426</v>
      </c>
      <c r="H410" s="23">
        <v>88600</v>
      </c>
    </row>
    <row r="411" spans="7:8" x14ac:dyDescent="0.35">
      <c r="G411" t="s">
        <v>427</v>
      </c>
      <c r="H411" s="23">
        <v>89800</v>
      </c>
    </row>
    <row r="412" spans="7:8" x14ac:dyDescent="0.35">
      <c r="G412" t="s">
        <v>428</v>
      </c>
      <c r="H412" s="23">
        <v>104700</v>
      </c>
    </row>
    <row r="413" spans="7:8" x14ac:dyDescent="0.35">
      <c r="G413" t="s">
        <v>429</v>
      </c>
      <c r="H413" s="23">
        <v>86700</v>
      </c>
    </row>
    <row r="414" spans="7:8" x14ac:dyDescent="0.35">
      <c r="G414" t="s">
        <v>430</v>
      </c>
      <c r="H414" s="23">
        <v>74100</v>
      </c>
    </row>
    <row r="415" spans="7:8" x14ac:dyDescent="0.35">
      <c r="G415" t="s">
        <v>431</v>
      </c>
      <c r="H415" s="23">
        <v>75800</v>
      </c>
    </row>
    <row r="416" spans="7:8" x14ac:dyDescent="0.35">
      <c r="G416" t="s">
        <v>432</v>
      </c>
      <c r="H416" s="23">
        <v>82700</v>
      </c>
    </row>
    <row r="417" spans="7:8" x14ac:dyDescent="0.35">
      <c r="G417" t="s">
        <v>433</v>
      </c>
      <c r="H417" s="23">
        <v>65500</v>
      </c>
    </row>
    <row r="418" spans="7:8" x14ac:dyDescent="0.35">
      <c r="G418" t="s">
        <v>434</v>
      </c>
      <c r="H418" s="23">
        <v>75100</v>
      </c>
    </row>
    <row r="419" spans="7:8" x14ac:dyDescent="0.35">
      <c r="G419" t="s">
        <v>435</v>
      </c>
      <c r="H419" s="23">
        <v>78500</v>
      </c>
    </row>
    <row r="420" spans="7:8" x14ac:dyDescent="0.35">
      <c r="G420" t="s">
        <v>436</v>
      </c>
      <c r="H420" s="23">
        <v>79800</v>
      </c>
    </row>
    <row r="421" spans="7:8" x14ac:dyDescent="0.35">
      <c r="G421" t="s">
        <v>437</v>
      </c>
      <c r="H421" s="23">
        <v>49800</v>
      </c>
    </row>
    <row r="422" spans="7:8" x14ac:dyDescent="0.35">
      <c r="G422" t="s">
        <v>438</v>
      </c>
      <c r="H422" s="23">
        <v>93500</v>
      </c>
    </row>
    <row r="423" spans="7:8" x14ac:dyDescent="0.35">
      <c r="G423" t="s">
        <v>439</v>
      </c>
      <c r="H423" s="23">
        <v>102000</v>
      </c>
    </row>
    <row r="424" spans="7:8" x14ac:dyDescent="0.35">
      <c r="G424" t="s">
        <v>440</v>
      </c>
      <c r="H424" s="23">
        <v>65700</v>
      </c>
    </row>
    <row r="425" spans="7:8" x14ac:dyDescent="0.35">
      <c r="G425" t="s">
        <v>441</v>
      </c>
      <c r="H425" s="23">
        <v>82700</v>
      </c>
    </row>
    <row r="426" spans="7:8" x14ac:dyDescent="0.35">
      <c r="G426" t="s">
        <v>442</v>
      </c>
      <c r="H426" s="23">
        <v>55000</v>
      </c>
    </row>
    <row r="427" spans="7:8" x14ac:dyDescent="0.35">
      <c r="G427" t="s">
        <v>443</v>
      </c>
      <c r="H427" s="23">
        <v>69400</v>
      </c>
    </row>
    <row r="428" spans="7:8" x14ac:dyDescent="0.35">
      <c r="G428" t="s">
        <v>444</v>
      </c>
      <c r="H428" s="23">
        <v>67100</v>
      </c>
    </row>
    <row r="429" spans="7:8" x14ac:dyDescent="0.35">
      <c r="G429" t="s">
        <v>445</v>
      </c>
      <c r="H429" s="23">
        <v>87400</v>
      </c>
    </row>
    <row r="430" spans="7:8" x14ac:dyDescent="0.35">
      <c r="G430" t="s">
        <v>446</v>
      </c>
      <c r="H430" s="23">
        <v>83600</v>
      </c>
    </row>
    <row r="431" spans="7:8" x14ac:dyDescent="0.35">
      <c r="G431" t="s">
        <v>447</v>
      </c>
      <c r="H431" s="23">
        <v>46800</v>
      </c>
    </row>
    <row r="432" spans="7:8" x14ac:dyDescent="0.35">
      <c r="G432" t="s">
        <v>448</v>
      </c>
      <c r="H432" s="23">
        <v>75000</v>
      </c>
    </row>
    <row r="433" spans="7:8" x14ac:dyDescent="0.35">
      <c r="G433" t="s">
        <v>449</v>
      </c>
      <c r="H433" s="23">
        <v>106800</v>
      </c>
    </row>
    <row r="434" spans="7:8" x14ac:dyDescent="0.35">
      <c r="G434" t="s">
        <v>450</v>
      </c>
      <c r="H434" s="23">
        <v>56500</v>
      </c>
    </row>
    <row r="435" spans="7:8" x14ac:dyDescent="0.35">
      <c r="G435" t="s">
        <v>451</v>
      </c>
      <c r="H435" s="23">
        <v>104300</v>
      </c>
    </row>
    <row r="436" spans="7:8" x14ac:dyDescent="0.35">
      <c r="G436" t="s">
        <v>452</v>
      </c>
      <c r="H436" s="23">
        <v>56600</v>
      </c>
    </row>
    <row r="437" spans="7:8" x14ac:dyDescent="0.35">
      <c r="G437" t="s">
        <v>453</v>
      </c>
      <c r="H437" s="23">
        <v>80100</v>
      </c>
    </row>
    <row r="438" spans="7:8" x14ac:dyDescent="0.35">
      <c r="G438" t="s">
        <v>454</v>
      </c>
      <c r="H438" s="23">
        <v>72800</v>
      </c>
    </row>
    <row r="439" spans="7:8" x14ac:dyDescent="0.35">
      <c r="G439" t="s">
        <v>455</v>
      </c>
      <c r="H439" s="23">
        <v>74200</v>
      </c>
    </row>
    <row r="440" spans="7:8" x14ac:dyDescent="0.35">
      <c r="G440" t="s">
        <v>456</v>
      </c>
      <c r="H440" s="23">
        <v>64400</v>
      </c>
    </row>
    <row r="441" spans="7:8" x14ac:dyDescent="0.35">
      <c r="G441" t="s">
        <v>457</v>
      </c>
      <c r="H441" s="23">
        <v>90700</v>
      </c>
    </row>
    <row r="442" spans="7:8" x14ac:dyDescent="0.35">
      <c r="G442" t="s">
        <v>458</v>
      </c>
      <c r="H442" s="23">
        <v>92300</v>
      </c>
    </row>
    <row r="443" spans="7:8" x14ac:dyDescent="0.35">
      <c r="G443" t="s">
        <v>459</v>
      </c>
      <c r="H443" s="23">
        <v>86800</v>
      </c>
    </row>
    <row r="444" spans="7:8" x14ac:dyDescent="0.35">
      <c r="G444" t="s">
        <v>460</v>
      </c>
      <c r="H444" s="23">
        <v>94600</v>
      </c>
    </row>
    <row r="445" spans="7:8" x14ac:dyDescent="0.35">
      <c r="G445" t="s">
        <v>461</v>
      </c>
      <c r="H445" s="23">
        <v>73100</v>
      </c>
    </row>
    <row r="446" spans="7:8" x14ac:dyDescent="0.35">
      <c r="G446" t="s">
        <v>462</v>
      </c>
      <c r="H446" s="23">
        <v>69700</v>
      </c>
    </row>
    <row r="447" spans="7:8" x14ac:dyDescent="0.35">
      <c r="G447" t="s">
        <v>463</v>
      </c>
      <c r="H447" s="23">
        <v>90400</v>
      </c>
    </row>
    <row r="448" spans="7:8" x14ac:dyDescent="0.35">
      <c r="G448" t="s">
        <v>464</v>
      </c>
      <c r="H448" s="23">
        <v>111200</v>
      </c>
    </row>
    <row r="449" spans="7:8" x14ac:dyDescent="0.35">
      <c r="G449" t="s">
        <v>465</v>
      </c>
      <c r="H449" s="23">
        <v>86100</v>
      </c>
    </row>
    <row r="450" spans="7:8" x14ac:dyDescent="0.35">
      <c r="G450" t="s">
        <v>466</v>
      </c>
      <c r="H450" s="23">
        <v>77600</v>
      </c>
    </row>
    <row r="451" spans="7:8" x14ac:dyDescent="0.35">
      <c r="G451" t="s">
        <v>467</v>
      </c>
      <c r="H451" s="23">
        <v>88000</v>
      </c>
    </row>
    <row r="452" spans="7:8" x14ac:dyDescent="0.35">
      <c r="G452" t="s">
        <v>468</v>
      </c>
      <c r="H452" s="23">
        <v>72000</v>
      </c>
    </row>
    <row r="453" spans="7:8" x14ac:dyDescent="0.35">
      <c r="G453" t="s">
        <v>469</v>
      </c>
      <c r="H453" s="23">
        <v>99600</v>
      </c>
    </row>
    <row r="454" spans="7:8" x14ac:dyDescent="0.35">
      <c r="G454" t="s">
        <v>470</v>
      </c>
      <c r="H454" s="23">
        <v>103000</v>
      </c>
    </row>
    <row r="455" spans="7:8" x14ac:dyDescent="0.35">
      <c r="G455" t="s">
        <v>471</v>
      </c>
      <c r="H455" s="23">
        <v>108800</v>
      </c>
    </row>
    <row r="456" spans="7:8" x14ac:dyDescent="0.35">
      <c r="G456" t="s">
        <v>472</v>
      </c>
      <c r="H456" s="23">
        <v>108200</v>
      </c>
    </row>
    <row r="457" spans="7:8" x14ac:dyDescent="0.35">
      <c r="G457" t="s">
        <v>473</v>
      </c>
      <c r="H457" s="23">
        <v>89900</v>
      </c>
    </row>
    <row r="458" spans="7:8" x14ac:dyDescent="0.35">
      <c r="G458" t="s">
        <v>474</v>
      </c>
      <c r="H458" s="23">
        <v>79400</v>
      </c>
    </row>
    <row r="459" spans="7:8" x14ac:dyDescent="0.35">
      <c r="G459" t="s">
        <v>475</v>
      </c>
      <c r="H459" s="23">
        <v>68200</v>
      </c>
    </row>
    <row r="460" spans="7:8" x14ac:dyDescent="0.35">
      <c r="G460" t="s">
        <v>476</v>
      </c>
      <c r="H460" s="23">
        <v>97800</v>
      </c>
    </row>
    <row r="461" spans="7:8" x14ac:dyDescent="0.35">
      <c r="G461" t="s">
        <v>477</v>
      </c>
      <c r="H461" s="23">
        <v>109600</v>
      </c>
    </row>
    <row r="462" spans="7:8" x14ac:dyDescent="0.35">
      <c r="G462" t="s">
        <v>478</v>
      </c>
      <c r="H462" s="23">
        <v>79200</v>
      </c>
    </row>
    <row r="463" spans="7:8" x14ac:dyDescent="0.35">
      <c r="G463" t="s">
        <v>479</v>
      </c>
      <c r="H463" s="23">
        <v>72100</v>
      </c>
    </row>
    <row r="464" spans="7:8" x14ac:dyDescent="0.35">
      <c r="G464" t="s">
        <v>480</v>
      </c>
      <c r="H464" s="23">
        <v>79800</v>
      </c>
    </row>
    <row r="465" spans="7:8" x14ac:dyDescent="0.35">
      <c r="G465" t="s">
        <v>481</v>
      </c>
      <c r="H465" s="23">
        <v>110300</v>
      </c>
    </row>
    <row r="466" spans="7:8" x14ac:dyDescent="0.35">
      <c r="G466" t="s">
        <v>482</v>
      </c>
      <c r="H466" s="23">
        <v>67600</v>
      </c>
    </row>
    <row r="467" spans="7:8" x14ac:dyDescent="0.35">
      <c r="G467" t="s">
        <v>483</v>
      </c>
      <c r="H467" s="23">
        <v>72100</v>
      </c>
    </row>
    <row r="468" spans="7:8" x14ac:dyDescent="0.35">
      <c r="G468" t="s">
        <v>484</v>
      </c>
      <c r="H468" s="23">
        <v>104600</v>
      </c>
    </row>
    <row r="469" spans="7:8" x14ac:dyDescent="0.35">
      <c r="G469" t="s">
        <v>485</v>
      </c>
      <c r="H469" s="23">
        <v>71100</v>
      </c>
    </row>
    <row r="470" spans="7:8" x14ac:dyDescent="0.35">
      <c r="G470" t="s">
        <v>486</v>
      </c>
      <c r="H470" s="23">
        <v>66300</v>
      </c>
    </row>
    <row r="471" spans="7:8" x14ac:dyDescent="0.35">
      <c r="G471" t="s">
        <v>487</v>
      </c>
      <c r="H471" s="23">
        <v>77600</v>
      </c>
    </row>
    <row r="472" spans="7:8" x14ac:dyDescent="0.35">
      <c r="G472" t="s">
        <v>488</v>
      </c>
      <c r="H472" s="23">
        <v>76400</v>
      </c>
    </row>
    <row r="473" spans="7:8" x14ac:dyDescent="0.35">
      <c r="G473" t="s">
        <v>489</v>
      </c>
      <c r="H473" s="23">
        <v>91800</v>
      </c>
    </row>
    <row r="474" spans="7:8" x14ac:dyDescent="0.35">
      <c r="G474" t="s">
        <v>490</v>
      </c>
      <c r="H474" s="23">
        <v>82800</v>
      </c>
    </row>
    <row r="475" spans="7:8" x14ac:dyDescent="0.35">
      <c r="G475" t="s">
        <v>491</v>
      </c>
      <c r="H475" s="23">
        <v>81000</v>
      </c>
    </row>
    <row r="476" spans="7:8" x14ac:dyDescent="0.35">
      <c r="G476" t="s">
        <v>492</v>
      </c>
      <c r="H476" s="23">
        <v>95400</v>
      </c>
    </row>
    <row r="477" spans="7:8" x14ac:dyDescent="0.35">
      <c r="G477" t="s">
        <v>493</v>
      </c>
      <c r="H477" s="23">
        <v>80000</v>
      </c>
    </row>
    <row r="478" spans="7:8" x14ac:dyDescent="0.35">
      <c r="G478" t="s">
        <v>494</v>
      </c>
      <c r="H478" s="23">
        <v>49200</v>
      </c>
    </row>
    <row r="479" spans="7:8" x14ac:dyDescent="0.35">
      <c r="G479" t="s">
        <v>495</v>
      </c>
      <c r="H479" s="23">
        <v>100700</v>
      </c>
    </row>
    <row r="480" spans="7:8" x14ac:dyDescent="0.35">
      <c r="G480" t="s">
        <v>496</v>
      </c>
      <c r="H480" s="23">
        <v>104600</v>
      </c>
    </row>
    <row r="481" spans="7:8" x14ac:dyDescent="0.35">
      <c r="G481" t="s">
        <v>497</v>
      </c>
      <c r="H481" s="23">
        <v>112200</v>
      </c>
    </row>
    <row r="482" spans="7:8" x14ac:dyDescent="0.35">
      <c r="G482" t="s">
        <v>498</v>
      </c>
      <c r="H482" s="23">
        <v>110000</v>
      </c>
    </row>
    <row r="483" spans="7:8" x14ac:dyDescent="0.35">
      <c r="G483" t="s">
        <v>499</v>
      </c>
      <c r="H483" s="23">
        <v>103200</v>
      </c>
    </row>
    <row r="484" spans="7:8" x14ac:dyDescent="0.35">
      <c r="G484" t="s">
        <v>500</v>
      </c>
      <c r="H484" s="23">
        <v>98300</v>
      </c>
    </row>
    <row r="485" spans="7:8" x14ac:dyDescent="0.35">
      <c r="G485" t="s">
        <v>501</v>
      </c>
      <c r="H485" s="23">
        <v>106300</v>
      </c>
    </row>
    <row r="486" spans="7:8" x14ac:dyDescent="0.35">
      <c r="G486" t="s">
        <v>502</v>
      </c>
      <c r="H486" s="23">
        <v>75200</v>
      </c>
    </row>
    <row r="487" spans="7:8" x14ac:dyDescent="0.35">
      <c r="G487" t="s">
        <v>503</v>
      </c>
      <c r="H487" s="23">
        <v>71500</v>
      </c>
    </row>
    <row r="488" spans="7:8" x14ac:dyDescent="0.35">
      <c r="G488" t="s">
        <v>504</v>
      </c>
      <c r="H488" s="23">
        <v>71400</v>
      </c>
    </row>
    <row r="489" spans="7:8" x14ac:dyDescent="0.35">
      <c r="G489" t="s">
        <v>505</v>
      </c>
      <c r="H489" s="23">
        <v>85500</v>
      </c>
    </row>
    <row r="490" spans="7:8" x14ac:dyDescent="0.35">
      <c r="G490" t="s">
        <v>506</v>
      </c>
      <c r="H490" s="23">
        <v>105800</v>
      </c>
    </row>
    <row r="491" spans="7:8" x14ac:dyDescent="0.35">
      <c r="G491" t="s">
        <v>507</v>
      </c>
      <c r="H491" s="23">
        <v>67400</v>
      </c>
    </row>
    <row r="492" spans="7:8" x14ac:dyDescent="0.35">
      <c r="G492" t="s">
        <v>508</v>
      </c>
      <c r="H492" s="23">
        <v>95200</v>
      </c>
    </row>
    <row r="493" spans="7:8" x14ac:dyDescent="0.35">
      <c r="G493" t="s">
        <v>509</v>
      </c>
      <c r="H493" s="23">
        <v>79900</v>
      </c>
    </row>
    <row r="494" spans="7:8" x14ac:dyDescent="0.35">
      <c r="G494" t="s">
        <v>510</v>
      </c>
      <c r="H494" s="23">
        <v>99600</v>
      </c>
    </row>
    <row r="495" spans="7:8" x14ac:dyDescent="0.35">
      <c r="G495" t="s">
        <v>511</v>
      </c>
      <c r="H495" s="23">
        <v>84900</v>
      </c>
    </row>
    <row r="496" spans="7:8" x14ac:dyDescent="0.35">
      <c r="G496" t="s">
        <v>512</v>
      </c>
      <c r="H496" s="23">
        <v>101000</v>
      </c>
    </row>
    <row r="497" spans="7:8" x14ac:dyDescent="0.35">
      <c r="G497" t="s">
        <v>513</v>
      </c>
      <c r="H497" s="23">
        <v>97500</v>
      </c>
    </row>
    <row r="498" spans="7:8" x14ac:dyDescent="0.35">
      <c r="G498" t="s">
        <v>514</v>
      </c>
      <c r="H498" s="23">
        <v>83100</v>
      </c>
    </row>
    <row r="499" spans="7:8" x14ac:dyDescent="0.35">
      <c r="G499" t="s">
        <v>515</v>
      </c>
      <c r="H499" s="23">
        <v>72600</v>
      </c>
    </row>
    <row r="500" spans="7:8" x14ac:dyDescent="0.35">
      <c r="G500" t="s">
        <v>516</v>
      </c>
      <c r="H500" s="23">
        <v>93800</v>
      </c>
    </row>
    <row r="501" spans="7:8" x14ac:dyDescent="0.35">
      <c r="G501" t="s">
        <v>517</v>
      </c>
      <c r="H501" s="23">
        <v>84400</v>
      </c>
    </row>
    <row r="502" spans="7:8" x14ac:dyDescent="0.35">
      <c r="G502" t="s">
        <v>518</v>
      </c>
      <c r="H502" s="23">
        <v>117000</v>
      </c>
    </row>
    <row r="503" spans="7:8" x14ac:dyDescent="0.35">
      <c r="G503" t="s">
        <v>519</v>
      </c>
      <c r="H503" s="23">
        <v>88900</v>
      </c>
    </row>
    <row r="504" spans="7:8" x14ac:dyDescent="0.35">
      <c r="G504" t="s">
        <v>520</v>
      </c>
      <c r="H504" s="23">
        <v>93200</v>
      </c>
    </row>
    <row r="505" spans="7:8" x14ac:dyDescent="0.35">
      <c r="G505" t="s">
        <v>521</v>
      </c>
      <c r="H505" s="23">
        <v>67500</v>
      </c>
    </row>
    <row r="506" spans="7:8" x14ac:dyDescent="0.35">
      <c r="G506" t="s">
        <v>522</v>
      </c>
      <c r="H506" s="23">
        <v>83600</v>
      </c>
    </row>
    <row r="507" spans="7:8" x14ac:dyDescent="0.35">
      <c r="G507" t="s">
        <v>523</v>
      </c>
      <c r="H507" s="23">
        <v>105700</v>
      </c>
    </row>
    <row r="508" spans="7:8" x14ac:dyDescent="0.35">
      <c r="G508" t="s">
        <v>524</v>
      </c>
      <c r="H508" s="23">
        <v>58700</v>
      </c>
    </row>
    <row r="509" spans="7:8" x14ac:dyDescent="0.35">
      <c r="G509" t="s">
        <v>525</v>
      </c>
      <c r="H509" s="23">
        <v>92200</v>
      </c>
    </row>
    <row r="510" spans="7:8" x14ac:dyDescent="0.35">
      <c r="G510" t="s">
        <v>526</v>
      </c>
      <c r="H510" s="23">
        <v>90700</v>
      </c>
    </row>
    <row r="511" spans="7:8" x14ac:dyDescent="0.35">
      <c r="G511" t="s">
        <v>527</v>
      </c>
      <c r="H511" s="23">
        <v>82400</v>
      </c>
    </row>
    <row r="512" spans="7:8" x14ac:dyDescent="0.35">
      <c r="G512" t="s">
        <v>528</v>
      </c>
      <c r="H512" s="23">
        <v>43200</v>
      </c>
    </row>
    <row r="513" spans="7:8" x14ac:dyDescent="0.35">
      <c r="G513" t="s">
        <v>529</v>
      </c>
      <c r="H513" s="23">
        <v>97800</v>
      </c>
    </row>
    <row r="514" spans="7:8" x14ac:dyDescent="0.35">
      <c r="G514" t="s">
        <v>530</v>
      </c>
      <c r="H514" s="23">
        <v>81900</v>
      </c>
    </row>
    <row r="515" spans="7:8" x14ac:dyDescent="0.35">
      <c r="G515" t="s">
        <v>531</v>
      </c>
      <c r="H515" s="23">
        <v>89500</v>
      </c>
    </row>
    <row r="516" spans="7:8" x14ac:dyDescent="0.35">
      <c r="G516" t="s">
        <v>532</v>
      </c>
      <c r="H516" s="23">
        <v>106000</v>
      </c>
    </row>
    <row r="517" spans="7:8" x14ac:dyDescent="0.35">
      <c r="G517" t="s">
        <v>533</v>
      </c>
      <c r="H517" s="23">
        <v>62700</v>
      </c>
    </row>
    <row r="518" spans="7:8" x14ac:dyDescent="0.35">
      <c r="G518" t="s">
        <v>534</v>
      </c>
      <c r="H518" s="23">
        <v>78500</v>
      </c>
    </row>
    <row r="519" spans="7:8" x14ac:dyDescent="0.35">
      <c r="G519" t="s">
        <v>535</v>
      </c>
      <c r="H519" s="23">
        <v>77900</v>
      </c>
    </row>
    <row r="520" spans="7:8" x14ac:dyDescent="0.35">
      <c r="G520" t="s">
        <v>536</v>
      </c>
      <c r="H520" s="23">
        <v>62400</v>
      </c>
    </row>
    <row r="521" spans="7:8" x14ac:dyDescent="0.35">
      <c r="G521" t="s">
        <v>537</v>
      </c>
      <c r="H521" s="23">
        <v>80100</v>
      </c>
    </row>
    <row r="522" spans="7:8" x14ac:dyDescent="0.35">
      <c r="G522" t="s">
        <v>538</v>
      </c>
      <c r="H522" s="23">
        <v>52700</v>
      </c>
    </row>
    <row r="523" spans="7:8" x14ac:dyDescent="0.35">
      <c r="G523" t="s">
        <v>539</v>
      </c>
      <c r="H523" s="23">
        <v>72300</v>
      </c>
    </row>
    <row r="524" spans="7:8" x14ac:dyDescent="0.35">
      <c r="G524" t="s">
        <v>540</v>
      </c>
      <c r="H524" s="23">
        <v>67900</v>
      </c>
    </row>
    <row r="525" spans="7:8" x14ac:dyDescent="0.35">
      <c r="G525" t="s">
        <v>541</v>
      </c>
      <c r="H525" s="23">
        <v>59400</v>
      </c>
    </row>
    <row r="526" spans="7:8" x14ac:dyDescent="0.35">
      <c r="G526" t="s">
        <v>542</v>
      </c>
      <c r="H526" s="23">
        <v>103100</v>
      </c>
    </row>
    <row r="527" spans="7:8" x14ac:dyDescent="0.35">
      <c r="G527" t="s">
        <v>543</v>
      </c>
      <c r="H527" s="23">
        <v>63600</v>
      </c>
    </row>
    <row r="528" spans="7:8" x14ac:dyDescent="0.35">
      <c r="G528" t="s">
        <v>544</v>
      </c>
      <c r="H528" s="23">
        <v>81800</v>
      </c>
    </row>
    <row r="529" spans="7:8" x14ac:dyDescent="0.35">
      <c r="G529" t="s">
        <v>545</v>
      </c>
      <c r="H529" s="23">
        <v>69000</v>
      </c>
    </row>
    <row r="530" spans="7:8" x14ac:dyDescent="0.35">
      <c r="G530" t="s">
        <v>546</v>
      </c>
      <c r="H530" s="23">
        <v>78800</v>
      </c>
    </row>
    <row r="531" spans="7:8" x14ac:dyDescent="0.35">
      <c r="G531" t="s">
        <v>547</v>
      </c>
      <c r="H531" s="23">
        <v>81400</v>
      </c>
    </row>
    <row r="532" spans="7:8" x14ac:dyDescent="0.35">
      <c r="G532" t="s">
        <v>548</v>
      </c>
      <c r="H532" s="23">
        <v>70800</v>
      </c>
    </row>
    <row r="533" spans="7:8" x14ac:dyDescent="0.35">
      <c r="G533" t="s">
        <v>549</v>
      </c>
      <c r="H533" s="23">
        <v>81100</v>
      </c>
    </row>
    <row r="534" spans="7:8" x14ac:dyDescent="0.35">
      <c r="G534" t="s">
        <v>550</v>
      </c>
      <c r="H534" s="23">
        <v>107000</v>
      </c>
    </row>
    <row r="535" spans="7:8" x14ac:dyDescent="0.35">
      <c r="G535" t="s">
        <v>551</v>
      </c>
      <c r="H535" s="23">
        <v>73000</v>
      </c>
    </row>
    <row r="536" spans="7:8" x14ac:dyDescent="0.35">
      <c r="G536" t="s">
        <v>552</v>
      </c>
      <c r="H536" s="23">
        <v>86100</v>
      </c>
    </row>
    <row r="537" spans="7:8" x14ac:dyDescent="0.35">
      <c r="G537" t="s">
        <v>553</v>
      </c>
      <c r="H537" s="23">
        <v>79000</v>
      </c>
    </row>
    <row r="538" spans="7:8" x14ac:dyDescent="0.35">
      <c r="G538" t="s">
        <v>554</v>
      </c>
      <c r="H538" s="23">
        <v>65300</v>
      </c>
    </row>
    <row r="539" spans="7:8" x14ac:dyDescent="0.35">
      <c r="G539" t="s">
        <v>555</v>
      </c>
      <c r="H539" s="23">
        <v>64800</v>
      </c>
    </row>
    <row r="540" spans="7:8" x14ac:dyDescent="0.35">
      <c r="G540" t="s">
        <v>556</v>
      </c>
      <c r="H540" s="23">
        <v>108300</v>
      </c>
    </row>
    <row r="541" spans="7:8" x14ac:dyDescent="0.35">
      <c r="G541" t="s">
        <v>557</v>
      </c>
      <c r="H541" s="23">
        <v>80100</v>
      </c>
    </row>
    <row r="542" spans="7:8" x14ac:dyDescent="0.35">
      <c r="G542" t="s">
        <v>558</v>
      </c>
      <c r="H542" s="23">
        <v>90500</v>
      </c>
    </row>
    <row r="543" spans="7:8" x14ac:dyDescent="0.35">
      <c r="G543" t="s">
        <v>559</v>
      </c>
      <c r="H543" s="23">
        <v>84800</v>
      </c>
    </row>
    <row r="544" spans="7:8" x14ac:dyDescent="0.35">
      <c r="G544" t="s">
        <v>560</v>
      </c>
      <c r="H544" s="23">
        <v>101300</v>
      </c>
    </row>
    <row r="545" spans="7:8" x14ac:dyDescent="0.35">
      <c r="G545" t="s">
        <v>561</v>
      </c>
      <c r="H545" s="23">
        <v>71000</v>
      </c>
    </row>
    <row r="546" spans="7:8" x14ac:dyDescent="0.35">
      <c r="G546" t="s">
        <v>562</v>
      </c>
      <c r="H546" s="23">
        <v>62800</v>
      </c>
    </row>
    <row r="547" spans="7:8" x14ac:dyDescent="0.35">
      <c r="G547" t="s">
        <v>563</v>
      </c>
      <c r="H547" s="23">
        <v>61800</v>
      </c>
    </row>
    <row r="548" spans="7:8" x14ac:dyDescent="0.35">
      <c r="G548" t="s">
        <v>564</v>
      </c>
      <c r="H548" s="23">
        <v>60500</v>
      </c>
    </row>
    <row r="549" spans="7:8" x14ac:dyDescent="0.35">
      <c r="G549" t="s">
        <v>565</v>
      </c>
      <c r="H549" s="23">
        <v>74100</v>
      </c>
    </row>
    <row r="550" spans="7:8" x14ac:dyDescent="0.35">
      <c r="G550" t="s">
        <v>566</v>
      </c>
      <c r="H550" s="23">
        <v>104900</v>
      </c>
    </row>
    <row r="551" spans="7:8" x14ac:dyDescent="0.35">
      <c r="G551" t="s">
        <v>567</v>
      </c>
      <c r="H551" s="23">
        <v>83200</v>
      </c>
    </row>
    <row r="552" spans="7:8" x14ac:dyDescent="0.35">
      <c r="G552" t="s">
        <v>568</v>
      </c>
      <c r="H552" s="23">
        <v>96400</v>
      </c>
    </row>
    <row r="553" spans="7:8" x14ac:dyDescent="0.35">
      <c r="G553" t="s">
        <v>569</v>
      </c>
      <c r="H553" s="23">
        <v>81700</v>
      </c>
    </row>
    <row r="554" spans="7:8" x14ac:dyDescent="0.35">
      <c r="G554" t="s">
        <v>570</v>
      </c>
      <c r="H554" s="23">
        <v>94200</v>
      </c>
    </row>
    <row r="555" spans="7:8" x14ac:dyDescent="0.35">
      <c r="G555" t="s">
        <v>571</v>
      </c>
      <c r="H555" s="23">
        <v>63900</v>
      </c>
    </row>
    <row r="556" spans="7:8" x14ac:dyDescent="0.35">
      <c r="G556" t="s">
        <v>572</v>
      </c>
      <c r="H556" s="23">
        <v>70700</v>
      </c>
    </row>
    <row r="557" spans="7:8" x14ac:dyDescent="0.35">
      <c r="G557" t="s">
        <v>573</v>
      </c>
      <c r="H557" s="23">
        <v>122700</v>
      </c>
    </row>
    <row r="558" spans="7:8" x14ac:dyDescent="0.35">
      <c r="G558" t="s">
        <v>574</v>
      </c>
      <c r="H558" s="23">
        <v>82100</v>
      </c>
    </row>
    <row r="559" spans="7:8" x14ac:dyDescent="0.35">
      <c r="G559" t="s">
        <v>575</v>
      </c>
      <c r="H559" s="23">
        <v>102200</v>
      </c>
    </row>
    <row r="560" spans="7:8" x14ac:dyDescent="0.35">
      <c r="G560" t="s">
        <v>576</v>
      </c>
      <c r="H560" s="23">
        <v>59900</v>
      </c>
    </row>
    <row r="561" spans="7:8" x14ac:dyDescent="0.35">
      <c r="G561" t="s">
        <v>577</v>
      </c>
      <c r="H561" s="23">
        <v>71800</v>
      </c>
    </row>
    <row r="562" spans="7:8" x14ac:dyDescent="0.35">
      <c r="G562" t="s">
        <v>578</v>
      </c>
      <c r="H562" s="23">
        <v>55900</v>
      </c>
    </row>
    <row r="563" spans="7:8" x14ac:dyDescent="0.35">
      <c r="G563" t="s">
        <v>579</v>
      </c>
      <c r="H563" s="23">
        <v>106400</v>
      </c>
    </row>
    <row r="564" spans="7:8" x14ac:dyDescent="0.35">
      <c r="G564" t="s">
        <v>580</v>
      </c>
      <c r="H564" s="23">
        <v>62600</v>
      </c>
    </row>
    <row r="565" spans="7:8" x14ac:dyDescent="0.35">
      <c r="G565" t="s">
        <v>581</v>
      </c>
      <c r="H565" s="23">
        <v>121700</v>
      </c>
    </row>
    <row r="566" spans="7:8" x14ac:dyDescent="0.35">
      <c r="G566" t="s">
        <v>582</v>
      </c>
      <c r="H566" s="23">
        <v>86200</v>
      </c>
    </row>
    <row r="567" spans="7:8" x14ac:dyDescent="0.35">
      <c r="G567" t="s">
        <v>583</v>
      </c>
      <c r="H567" s="23">
        <v>113200</v>
      </c>
    </row>
    <row r="568" spans="7:8" x14ac:dyDescent="0.35">
      <c r="G568" t="s">
        <v>584</v>
      </c>
      <c r="H568" s="23">
        <v>83900</v>
      </c>
    </row>
    <row r="569" spans="7:8" x14ac:dyDescent="0.35">
      <c r="G569" t="s">
        <v>585</v>
      </c>
      <c r="H569" s="23">
        <v>69900</v>
      </c>
    </row>
    <row r="570" spans="7:8" x14ac:dyDescent="0.35">
      <c r="G570" t="s">
        <v>586</v>
      </c>
      <c r="H570" s="23">
        <v>90900</v>
      </c>
    </row>
    <row r="571" spans="7:8" x14ac:dyDescent="0.35">
      <c r="G571" t="s">
        <v>587</v>
      </c>
      <c r="H571" s="23">
        <v>57200</v>
      </c>
    </row>
    <row r="572" spans="7:8" x14ac:dyDescent="0.35">
      <c r="G572" t="s">
        <v>588</v>
      </c>
      <c r="H572" s="23">
        <v>109500</v>
      </c>
    </row>
    <row r="573" spans="7:8" x14ac:dyDescent="0.35">
      <c r="G573" t="s">
        <v>589</v>
      </c>
      <c r="H573" s="23">
        <v>86100</v>
      </c>
    </row>
    <row r="574" spans="7:8" x14ac:dyDescent="0.35">
      <c r="G574" t="s">
        <v>590</v>
      </c>
      <c r="H574" s="23">
        <v>90100</v>
      </c>
    </row>
    <row r="575" spans="7:8" x14ac:dyDescent="0.35">
      <c r="G575" t="s">
        <v>591</v>
      </c>
      <c r="H575" s="23">
        <v>100900</v>
      </c>
    </row>
    <row r="576" spans="7:8" x14ac:dyDescent="0.35">
      <c r="G576" t="s">
        <v>592</v>
      </c>
      <c r="H576" s="23">
        <v>54100</v>
      </c>
    </row>
    <row r="577" spans="7:8" x14ac:dyDescent="0.35">
      <c r="G577" t="s">
        <v>593</v>
      </c>
      <c r="H577" s="23">
        <v>43200</v>
      </c>
    </row>
    <row r="578" spans="7:8" x14ac:dyDescent="0.35">
      <c r="G578" t="s">
        <v>594</v>
      </c>
      <c r="H578" s="23">
        <v>104300</v>
      </c>
    </row>
    <row r="579" spans="7:8" x14ac:dyDescent="0.35">
      <c r="G579" t="s">
        <v>595</v>
      </c>
      <c r="H579" s="23">
        <v>68900</v>
      </c>
    </row>
    <row r="580" spans="7:8" x14ac:dyDescent="0.35">
      <c r="G580" t="s">
        <v>596</v>
      </c>
      <c r="H580" s="23">
        <v>80400</v>
      </c>
    </row>
    <row r="581" spans="7:8" x14ac:dyDescent="0.35">
      <c r="G581" t="s">
        <v>597</v>
      </c>
      <c r="H581" s="23">
        <v>80100</v>
      </c>
    </row>
    <row r="582" spans="7:8" x14ac:dyDescent="0.35">
      <c r="G582" t="s">
        <v>598</v>
      </c>
      <c r="H582" s="23">
        <v>89300</v>
      </c>
    </row>
    <row r="583" spans="7:8" x14ac:dyDescent="0.35">
      <c r="G583" t="s">
        <v>599</v>
      </c>
      <c r="H583" s="23">
        <v>109600</v>
      </c>
    </row>
    <row r="584" spans="7:8" x14ac:dyDescent="0.35">
      <c r="G584" t="s">
        <v>600</v>
      </c>
      <c r="H584" s="23">
        <v>82900</v>
      </c>
    </row>
    <row r="585" spans="7:8" x14ac:dyDescent="0.35">
      <c r="G585" t="s">
        <v>601</v>
      </c>
      <c r="H585" s="23">
        <v>108600</v>
      </c>
    </row>
    <row r="586" spans="7:8" x14ac:dyDescent="0.35">
      <c r="G586" t="s">
        <v>602</v>
      </c>
      <c r="H586" s="23">
        <v>81900</v>
      </c>
    </row>
    <row r="587" spans="7:8" x14ac:dyDescent="0.35">
      <c r="G587" t="s">
        <v>603</v>
      </c>
      <c r="H587" s="23">
        <v>69800</v>
      </c>
    </row>
    <row r="588" spans="7:8" x14ac:dyDescent="0.35">
      <c r="G588" t="s">
        <v>604</v>
      </c>
      <c r="H588" s="23">
        <v>74900</v>
      </c>
    </row>
    <row r="589" spans="7:8" x14ac:dyDescent="0.35">
      <c r="G589" t="s">
        <v>605</v>
      </c>
      <c r="H589" s="23">
        <v>71700</v>
      </c>
    </row>
    <row r="590" spans="7:8" x14ac:dyDescent="0.35">
      <c r="G590" t="s">
        <v>606</v>
      </c>
      <c r="H590" s="23">
        <v>72000</v>
      </c>
    </row>
    <row r="591" spans="7:8" x14ac:dyDescent="0.35">
      <c r="G591" t="s">
        <v>607</v>
      </c>
      <c r="H591" s="23">
        <v>78700</v>
      </c>
    </row>
    <row r="592" spans="7:8" x14ac:dyDescent="0.35">
      <c r="G592" t="s">
        <v>608</v>
      </c>
      <c r="H592" s="23">
        <v>86600</v>
      </c>
    </row>
    <row r="593" spans="7:8" x14ac:dyDescent="0.35">
      <c r="G593" t="s">
        <v>609</v>
      </c>
      <c r="H593" s="23">
        <v>57200</v>
      </c>
    </row>
    <row r="594" spans="7:8" x14ac:dyDescent="0.35">
      <c r="G594" t="s">
        <v>610</v>
      </c>
      <c r="H594" s="23">
        <v>71800</v>
      </c>
    </row>
    <row r="595" spans="7:8" x14ac:dyDescent="0.35">
      <c r="G595" t="s">
        <v>611</v>
      </c>
      <c r="H595" s="23">
        <v>60000</v>
      </c>
    </row>
    <row r="596" spans="7:8" x14ac:dyDescent="0.35">
      <c r="G596" t="s">
        <v>612</v>
      </c>
      <c r="H596" s="23">
        <v>71700</v>
      </c>
    </row>
    <row r="597" spans="7:8" x14ac:dyDescent="0.35">
      <c r="G597" t="s">
        <v>613</v>
      </c>
      <c r="H597" s="23">
        <v>77900</v>
      </c>
    </row>
    <row r="598" spans="7:8" x14ac:dyDescent="0.35">
      <c r="G598" t="s">
        <v>614</v>
      </c>
      <c r="H598" s="23">
        <v>61800</v>
      </c>
    </row>
    <row r="599" spans="7:8" x14ac:dyDescent="0.35">
      <c r="G599" t="s">
        <v>615</v>
      </c>
      <c r="H599" s="23">
        <v>88100</v>
      </c>
    </row>
    <row r="600" spans="7:8" x14ac:dyDescent="0.35">
      <c r="G600" t="s">
        <v>616</v>
      </c>
      <c r="H600" s="23">
        <v>71100</v>
      </c>
    </row>
    <row r="601" spans="7:8" x14ac:dyDescent="0.35">
      <c r="G601" t="s">
        <v>617</v>
      </c>
      <c r="H601" s="23">
        <v>109500</v>
      </c>
    </row>
    <row r="602" spans="7:8" x14ac:dyDescent="0.35">
      <c r="G602" t="s">
        <v>618</v>
      </c>
      <c r="H602" s="23">
        <v>65500</v>
      </c>
    </row>
    <row r="603" spans="7:8" x14ac:dyDescent="0.35">
      <c r="G603" t="s">
        <v>619</v>
      </c>
      <c r="H603" s="23">
        <v>49700</v>
      </c>
    </row>
    <row r="604" spans="7:8" x14ac:dyDescent="0.35">
      <c r="G604" t="s">
        <v>620</v>
      </c>
      <c r="H604" s="23">
        <v>78100</v>
      </c>
    </row>
    <row r="605" spans="7:8" x14ac:dyDescent="0.35">
      <c r="G605" t="s">
        <v>621</v>
      </c>
      <c r="H605" s="23">
        <v>96800</v>
      </c>
    </row>
    <row r="606" spans="7:8" x14ac:dyDescent="0.35">
      <c r="G606" t="s">
        <v>622</v>
      </c>
      <c r="H606" s="23">
        <v>40200</v>
      </c>
    </row>
    <row r="607" spans="7:8" x14ac:dyDescent="0.35">
      <c r="G607" t="s">
        <v>623</v>
      </c>
      <c r="H607" s="23">
        <v>76900</v>
      </c>
    </row>
    <row r="608" spans="7:8" x14ac:dyDescent="0.35">
      <c r="G608" t="s">
        <v>624</v>
      </c>
      <c r="H608" s="23">
        <v>102800</v>
      </c>
    </row>
    <row r="609" spans="7:8" x14ac:dyDescent="0.35">
      <c r="G609" t="s">
        <v>625</v>
      </c>
      <c r="H609" s="23">
        <v>105000</v>
      </c>
    </row>
    <row r="610" spans="7:8" x14ac:dyDescent="0.35">
      <c r="G610" t="s">
        <v>626</v>
      </c>
      <c r="H610" s="23">
        <v>106700</v>
      </c>
    </row>
    <row r="611" spans="7:8" x14ac:dyDescent="0.35">
      <c r="G611" t="s">
        <v>627</v>
      </c>
      <c r="H611" s="23">
        <v>73900</v>
      </c>
    </row>
    <row r="612" spans="7:8" x14ac:dyDescent="0.35">
      <c r="G612" t="s">
        <v>628</v>
      </c>
      <c r="H612" s="23">
        <v>68600</v>
      </c>
    </row>
    <row r="613" spans="7:8" x14ac:dyDescent="0.35">
      <c r="G613" t="s">
        <v>629</v>
      </c>
      <c r="H613" s="23">
        <v>72800</v>
      </c>
    </row>
    <row r="614" spans="7:8" x14ac:dyDescent="0.35">
      <c r="G614" t="s">
        <v>630</v>
      </c>
      <c r="H614" s="23">
        <v>95100</v>
      </c>
    </row>
    <row r="615" spans="7:8" x14ac:dyDescent="0.35">
      <c r="G615" t="s">
        <v>631</v>
      </c>
      <c r="H615" s="23">
        <v>66900</v>
      </c>
    </row>
    <row r="616" spans="7:8" x14ac:dyDescent="0.35">
      <c r="G616" t="s">
        <v>632</v>
      </c>
      <c r="H616" s="23">
        <v>65500</v>
      </c>
    </row>
    <row r="617" spans="7:8" x14ac:dyDescent="0.35">
      <c r="G617" t="s">
        <v>633</v>
      </c>
      <c r="H617" s="23">
        <v>106000</v>
      </c>
    </row>
    <row r="618" spans="7:8" x14ac:dyDescent="0.35">
      <c r="G618" t="s">
        <v>634</v>
      </c>
      <c r="H618" s="23">
        <v>86000</v>
      </c>
    </row>
    <row r="619" spans="7:8" x14ac:dyDescent="0.35">
      <c r="G619" t="s">
        <v>635</v>
      </c>
      <c r="H619" s="23">
        <v>75200</v>
      </c>
    </row>
    <row r="620" spans="7:8" x14ac:dyDescent="0.35">
      <c r="G620" t="s">
        <v>636</v>
      </c>
      <c r="H620" s="23">
        <v>72400</v>
      </c>
    </row>
    <row r="621" spans="7:8" x14ac:dyDescent="0.35">
      <c r="G621" t="s">
        <v>637</v>
      </c>
      <c r="H621" s="23">
        <v>96100</v>
      </c>
    </row>
    <row r="622" spans="7:8" x14ac:dyDescent="0.35">
      <c r="G622" t="s">
        <v>638</v>
      </c>
      <c r="H622" s="23">
        <v>63600</v>
      </c>
    </row>
    <row r="623" spans="7:8" x14ac:dyDescent="0.35">
      <c r="G623" t="s">
        <v>639</v>
      </c>
      <c r="H623" s="23">
        <v>74200</v>
      </c>
    </row>
    <row r="624" spans="7:8" x14ac:dyDescent="0.35">
      <c r="G624" t="s">
        <v>640</v>
      </c>
      <c r="H624" s="23">
        <v>100200</v>
      </c>
    </row>
    <row r="625" spans="7:8" x14ac:dyDescent="0.35">
      <c r="G625" t="s">
        <v>641</v>
      </c>
      <c r="H625" s="23">
        <v>79600</v>
      </c>
    </row>
    <row r="626" spans="7:8" x14ac:dyDescent="0.35">
      <c r="G626" t="s">
        <v>642</v>
      </c>
      <c r="H626" s="23">
        <v>69200</v>
      </c>
    </row>
    <row r="627" spans="7:8" x14ac:dyDescent="0.35">
      <c r="G627" t="s">
        <v>643</v>
      </c>
      <c r="H627" s="23">
        <v>112300</v>
      </c>
    </row>
    <row r="628" spans="7:8" x14ac:dyDescent="0.35">
      <c r="G628" t="s">
        <v>644</v>
      </c>
      <c r="H628" s="23">
        <v>73400</v>
      </c>
    </row>
    <row r="629" spans="7:8" x14ac:dyDescent="0.35">
      <c r="G629" t="s">
        <v>645</v>
      </c>
      <c r="H629" s="23">
        <v>48400</v>
      </c>
    </row>
    <row r="630" spans="7:8" x14ac:dyDescent="0.35">
      <c r="G630" t="s">
        <v>646</v>
      </c>
      <c r="H630" s="23">
        <v>89200</v>
      </c>
    </row>
    <row r="631" spans="7:8" x14ac:dyDescent="0.35">
      <c r="G631" t="s">
        <v>647</v>
      </c>
      <c r="H631" s="23">
        <v>124100</v>
      </c>
    </row>
    <row r="632" spans="7:8" x14ac:dyDescent="0.35">
      <c r="G632" t="s">
        <v>648</v>
      </c>
      <c r="H632" s="23">
        <v>87600</v>
      </c>
    </row>
    <row r="633" spans="7:8" x14ac:dyDescent="0.35">
      <c r="G633" t="s">
        <v>649</v>
      </c>
      <c r="H633" s="23">
        <v>106700</v>
      </c>
    </row>
    <row r="634" spans="7:8" x14ac:dyDescent="0.35">
      <c r="G634" t="s">
        <v>650</v>
      </c>
      <c r="H634" s="23">
        <v>81100</v>
      </c>
    </row>
    <row r="635" spans="7:8" x14ac:dyDescent="0.35">
      <c r="G635" t="s">
        <v>651</v>
      </c>
      <c r="H635" s="23">
        <v>67900</v>
      </c>
    </row>
    <row r="636" spans="7:8" x14ac:dyDescent="0.35">
      <c r="G636" t="s">
        <v>652</v>
      </c>
      <c r="H636" s="23">
        <v>44900</v>
      </c>
    </row>
    <row r="637" spans="7:8" x14ac:dyDescent="0.35">
      <c r="G637" t="s">
        <v>653</v>
      </c>
      <c r="H637" s="23">
        <v>59700</v>
      </c>
    </row>
    <row r="638" spans="7:8" x14ac:dyDescent="0.35">
      <c r="G638" t="s">
        <v>654</v>
      </c>
      <c r="H638" s="23">
        <v>91200</v>
      </c>
    </row>
    <row r="639" spans="7:8" x14ac:dyDescent="0.35">
      <c r="G639" t="s">
        <v>655</v>
      </c>
      <c r="H639" s="23">
        <v>66100</v>
      </c>
    </row>
    <row r="640" spans="7:8" x14ac:dyDescent="0.35">
      <c r="G640" t="s">
        <v>656</v>
      </c>
      <c r="H640" s="23">
        <v>125000</v>
      </c>
    </row>
    <row r="641" spans="7:8" x14ac:dyDescent="0.35">
      <c r="G641" t="s">
        <v>657</v>
      </c>
      <c r="H641" s="23">
        <v>91300</v>
      </c>
    </row>
    <row r="642" spans="7:8" x14ac:dyDescent="0.35">
      <c r="G642" t="s">
        <v>658</v>
      </c>
      <c r="H642" s="23">
        <v>62900</v>
      </c>
    </row>
    <row r="643" spans="7:8" x14ac:dyDescent="0.35">
      <c r="G643" t="s">
        <v>659</v>
      </c>
      <c r="H643" s="23">
        <v>96800</v>
      </c>
    </row>
    <row r="644" spans="7:8" x14ac:dyDescent="0.35">
      <c r="G644" t="s">
        <v>660</v>
      </c>
      <c r="H644" s="23">
        <v>86700</v>
      </c>
    </row>
    <row r="645" spans="7:8" x14ac:dyDescent="0.35">
      <c r="G645" t="s">
        <v>661</v>
      </c>
      <c r="H645" s="23">
        <v>93000</v>
      </c>
    </row>
    <row r="646" spans="7:8" x14ac:dyDescent="0.35">
      <c r="G646" t="s">
        <v>662</v>
      </c>
      <c r="H646" s="23">
        <v>77500</v>
      </c>
    </row>
    <row r="647" spans="7:8" x14ac:dyDescent="0.35">
      <c r="G647" t="s">
        <v>663</v>
      </c>
      <c r="H647" s="23">
        <v>72100</v>
      </c>
    </row>
    <row r="648" spans="7:8" x14ac:dyDescent="0.35">
      <c r="G648" t="s">
        <v>664</v>
      </c>
      <c r="H648" s="23">
        <v>69200</v>
      </c>
    </row>
    <row r="649" spans="7:8" x14ac:dyDescent="0.35">
      <c r="G649" t="s">
        <v>665</v>
      </c>
      <c r="H649" s="23">
        <v>94200</v>
      </c>
    </row>
    <row r="650" spans="7:8" x14ac:dyDescent="0.35">
      <c r="G650" t="s">
        <v>666</v>
      </c>
      <c r="H650" s="23">
        <v>72800</v>
      </c>
    </row>
    <row r="651" spans="7:8" x14ac:dyDescent="0.35">
      <c r="G651" t="s">
        <v>667</v>
      </c>
      <c r="H651" s="23">
        <v>63700</v>
      </c>
    </row>
    <row r="652" spans="7:8" x14ac:dyDescent="0.35">
      <c r="G652" t="s">
        <v>668</v>
      </c>
      <c r="H652" s="23">
        <v>112100</v>
      </c>
    </row>
    <row r="653" spans="7:8" x14ac:dyDescent="0.35">
      <c r="G653" t="s">
        <v>669</v>
      </c>
      <c r="H653" s="23">
        <v>89400</v>
      </c>
    </row>
    <row r="654" spans="7:8" x14ac:dyDescent="0.35">
      <c r="G654" t="s">
        <v>670</v>
      </c>
      <c r="H654" s="23">
        <v>80000</v>
      </c>
    </row>
    <row r="655" spans="7:8" x14ac:dyDescent="0.35">
      <c r="G655" t="s">
        <v>671</v>
      </c>
      <c r="H655" s="23">
        <v>59300</v>
      </c>
    </row>
    <row r="656" spans="7:8" x14ac:dyDescent="0.35">
      <c r="G656" t="s">
        <v>672</v>
      </c>
      <c r="H656" s="23">
        <v>108500</v>
      </c>
    </row>
    <row r="657" spans="7:8" x14ac:dyDescent="0.35">
      <c r="G657" t="s">
        <v>673</v>
      </c>
      <c r="H657" s="23">
        <v>97200</v>
      </c>
    </row>
    <row r="658" spans="7:8" x14ac:dyDescent="0.35">
      <c r="G658" t="s">
        <v>674</v>
      </c>
      <c r="H658" s="23">
        <v>119300</v>
      </c>
    </row>
    <row r="659" spans="7:8" x14ac:dyDescent="0.35">
      <c r="G659" t="s">
        <v>675</v>
      </c>
      <c r="H659" s="23">
        <v>74900</v>
      </c>
    </row>
    <row r="660" spans="7:8" x14ac:dyDescent="0.35">
      <c r="G660" t="s">
        <v>676</v>
      </c>
      <c r="H660" s="23">
        <v>62400</v>
      </c>
    </row>
    <row r="661" spans="7:8" x14ac:dyDescent="0.35">
      <c r="G661" t="s">
        <v>677</v>
      </c>
      <c r="H661" s="23">
        <v>87700</v>
      </c>
    </row>
    <row r="662" spans="7:8" x14ac:dyDescent="0.35">
      <c r="G662" t="s">
        <v>678</v>
      </c>
      <c r="H662" s="23">
        <v>68200</v>
      </c>
    </row>
    <row r="663" spans="7:8" x14ac:dyDescent="0.35">
      <c r="G663" t="s">
        <v>679</v>
      </c>
      <c r="H663" s="23">
        <v>78200</v>
      </c>
    </row>
    <row r="664" spans="7:8" x14ac:dyDescent="0.35">
      <c r="G664" t="s">
        <v>680</v>
      </c>
      <c r="H664" s="23">
        <v>63500</v>
      </c>
    </row>
    <row r="665" spans="7:8" x14ac:dyDescent="0.35">
      <c r="G665" t="s">
        <v>681</v>
      </c>
      <c r="H665" s="23">
        <v>111100</v>
      </c>
    </row>
    <row r="666" spans="7:8" x14ac:dyDescent="0.35">
      <c r="G666" t="s">
        <v>682</v>
      </c>
      <c r="H666" s="23">
        <v>52100</v>
      </c>
    </row>
    <row r="667" spans="7:8" x14ac:dyDescent="0.35">
      <c r="G667" t="s">
        <v>683</v>
      </c>
      <c r="H667" s="23">
        <v>76200</v>
      </c>
    </row>
    <row r="668" spans="7:8" x14ac:dyDescent="0.35">
      <c r="G668" t="s">
        <v>684</v>
      </c>
      <c r="H668" s="23">
        <v>64500</v>
      </c>
    </row>
    <row r="669" spans="7:8" x14ac:dyDescent="0.35">
      <c r="G669" t="s">
        <v>685</v>
      </c>
      <c r="H669" s="23">
        <v>78100</v>
      </c>
    </row>
    <row r="670" spans="7:8" x14ac:dyDescent="0.35">
      <c r="G670" t="s">
        <v>686</v>
      </c>
      <c r="H670" s="23">
        <v>56900</v>
      </c>
    </row>
    <row r="671" spans="7:8" x14ac:dyDescent="0.35">
      <c r="G671" t="s">
        <v>687</v>
      </c>
      <c r="H671" s="23">
        <v>48800</v>
      </c>
    </row>
    <row r="672" spans="7:8" x14ac:dyDescent="0.35">
      <c r="G672" t="s">
        <v>688</v>
      </c>
      <c r="H672" s="23">
        <v>98800</v>
      </c>
    </row>
    <row r="673" spans="7:8" x14ac:dyDescent="0.35">
      <c r="G673" t="s">
        <v>689</v>
      </c>
      <c r="H673" s="23">
        <v>71700</v>
      </c>
    </row>
    <row r="674" spans="7:8" x14ac:dyDescent="0.35">
      <c r="G674" t="s">
        <v>690</v>
      </c>
      <c r="H674" s="23">
        <v>72900</v>
      </c>
    </row>
    <row r="675" spans="7:8" x14ac:dyDescent="0.35">
      <c r="G675" t="s">
        <v>691</v>
      </c>
      <c r="H675" s="23">
        <v>58700</v>
      </c>
    </row>
    <row r="676" spans="7:8" x14ac:dyDescent="0.35">
      <c r="G676" t="s">
        <v>692</v>
      </c>
      <c r="H676" s="23">
        <v>84800</v>
      </c>
    </row>
    <row r="677" spans="7:8" x14ac:dyDescent="0.35">
      <c r="G677" t="s">
        <v>693</v>
      </c>
      <c r="H677" s="23">
        <v>111600</v>
      </c>
    </row>
    <row r="678" spans="7:8" x14ac:dyDescent="0.35">
      <c r="G678" t="s">
        <v>694</v>
      </c>
      <c r="H678" s="23">
        <v>90000</v>
      </c>
    </row>
    <row r="679" spans="7:8" x14ac:dyDescent="0.35">
      <c r="G679" t="s">
        <v>695</v>
      </c>
      <c r="H679" s="23">
        <v>91900</v>
      </c>
    </row>
    <row r="680" spans="7:8" x14ac:dyDescent="0.35">
      <c r="G680" t="s">
        <v>696</v>
      </c>
      <c r="H680" s="23">
        <v>54100</v>
      </c>
    </row>
    <row r="681" spans="7:8" x14ac:dyDescent="0.35">
      <c r="G681" t="s">
        <v>697</v>
      </c>
      <c r="H681" s="23">
        <v>58600</v>
      </c>
    </row>
    <row r="682" spans="7:8" x14ac:dyDescent="0.35">
      <c r="G682" t="s">
        <v>698</v>
      </c>
      <c r="H682" s="23">
        <v>83400</v>
      </c>
    </row>
    <row r="683" spans="7:8" x14ac:dyDescent="0.35">
      <c r="G683" t="s">
        <v>699</v>
      </c>
      <c r="H683" s="23">
        <v>81700</v>
      </c>
    </row>
    <row r="684" spans="7:8" x14ac:dyDescent="0.35">
      <c r="G684" t="s">
        <v>700</v>
      </c>
      <c r="H684" s="23">
        <v>66300</v>
      </c>
    </row>
    <row r="685" spans="7:8" x14ac:dyDescent="0.35">
      <c r="G685" t="s">
        <v>701</v>
      </c>
      <c r="H685" s="23">
        <v>84600</v>
      </c>
    </row>
    <row r="686" spans="7:8" x14ac:dyDescent="0.35">
      <c r="G686" t="s">
        <v>702</v>
      </c>
      <c r="H686" s="23">
        <v>77000</v>
      </c>
    </row>
    <row r="687" spans="7:8" x14ac:dyDescent="0.35">
      <c r="G687" t="s">
        <v>703</v>
      </c>
      <c r="H687" s="23">
        <v>68600</v>
      </c>
    </row>
    <row r="688" spans="7:8" x14ac:dyDescent="0.35">
      <c r="G688" t="s">
        <v>704</v>
      </c>
      <c r="H688" s="23">
        <v>64100</v>
      </c>
    </row>
    <row r="689" spans="7:8" x14ac:dyDescent="0.35">
      <c r="G689" t="s">
        <v>705</v>
      </c>
      <c r="H689" s="23">
        <v>54000</v>
      </c>
    </row>
    <row r="690" spans="7:8" x14ac:dyDescent="0.35">
      <c r="G690" t="s">
        <v>706</v>
      </c>
      <c r="H690" s="23">
        <v>109200</v>
      </c>
    </row>
    <row r="691" spans="7:8" x14ac:dyDescent="0.35">
      <c r="G691" t="s">
        <v>707</v>
      </c>
      <c r="H691" s="23">
        <v>79200</v>
      </c>
    </row>
    <row r="692" spans="7:8" x14ac:dyDescent="0.35">
      <c r="G692" t="s">
        <v>708</v>
      </c>
      <c r="H692" s="23">
        <v>77900</v>
      </c>
    </row>
    <row r="693" spans="7:8" x14ac:dyDescent="0.35">
      <c r="G693" t="s">
        <v>709</v>
      </c>
      <c r="H693" s="23">
        <v>103100</v>
      </c>
    </row>
    <row r="694" spans="7:8" x14ac:dyDescent="0.35">
      <c r="G694" t="s">
        <v>710</v>
      </c>
      <c r="H694" s="23">
        <v>98900</v>
      </c>
    </row>
    <row r="695" spans="7:8" x14ac:dyDescent="0.35">
      <c r="G695" t="s">
        <v>711</v>
      </c>
      <c r="H695" s="23">
        <v>68500</v>
      </c>
    </row>
    <row r="696" spans="7:8" x14ac:dyDescent="0.35">
      <c r="G696" t="s">
        <v>712</v>
      </c>
      <c r="H696" s="23">
        <v>97000</v>
      </c>
    </row>
    <row r="697" spans="7:8" x14ac:dyDescent="0.35">
      <c r="G697" t="s">
        <v>713</v>
      </c>
      <c r="H697" s="23">
        <v>42600</v>
      </c>
    </row>
    <row r="698" spans="7:8" x14ac:dyDescent="0.35">
      <c r="G698" t="s">
        <v>714</v>
      </c>
      <c r="H698" s="23">
        <v>70500</v>
      </c>
    </row>
    <row r="699" spans="7:8" x14ac:dyDescent="0.35">
      <c r="G699" t="s">
        <v>715</v>
      </c>
      <c r="H699" s="23">
        <v>95300</v>
      </c>
    </row>
    <row r="700" spans="7:8" x14ac:dyDescent="0.35">
      <c r="G700" t="s">
        <v>716</v>
      </c>
      <c r="H700" s="23">
        <v>75700</v>
      </c>
    </row>
    <row r="701" spans="7:8" x14ac:dyDescent="0.35">
      <c r="G701" t="s">
        <v>717</v>
      </c>
      <c r="H701" s="23">
        <v>53500</v>
      </c>
    </row>
    <row r="702" spans="7:8" x14ac:dyDescent="0.35">
      <c r="G702" t="s">
        <v>718</v>
      </c>
      <c r="H702" s="23">
        <v>89600</v>
      </c>
    </row>
    <row r="703" spans="7:8" x14ac:dyDescent="0.35">
      <c r="G703" t="s">
        <v>719</v>
      </c>
      <c r="H703" s="23">
        <v>66600</v>
      </c>
    </row>
    <row r="704" spans="7:8" x14ac:dyDescent="0.35">
      <c r="G704" t="s">
        <v>720</v>
      </c>
      <c r="H704" s="23">
        <v>104500</v>
      </c>
    </row>
    <row r="705" spans="7:8" x14ac:dyDescent="0.35">
      <c r="G705" t="s">
        <v>721</v>
      </c>
      <c r="H705" s="23">
        <v>64800</v>
      </c>
    </row>
    <row r="706" spans="7:8" x14ac:dyDescent="0.35">
      <c r="G706" t="s">
        <v>722</v>
      </c>
      <c r="H706" s="23">
        <v>100200</v>
      </c>
    </row>
    <row r="707" spans="7:8" x14ac:dyDescent="0.35">
      <c r="G707" t="s">
        <v>723</v>
      </c>
      <c r="H707" s="23">
        <v>80300</v>
      </c>
    </row>
    <row r="708" spans="7:8" x14ac:dyDescent="0.35">
      <c r="G708" t="s">
        <v>724</v>
      </c>
      <c r="H708" s="23">
        <v>81900</v>
      </c>
    </row>
    <row r="709" spans="7:8" x14ac:dyDescent="0.35">
      <c r="G709" t="s">
        <v>725</v>
      </c>
      <c r="H709" s="23">
        <v>112200</v>
      </c>
    </row>
    <row r="710" spans="7:8" x14ac:dyDescent="0.35">
      <c r="G710" t="s">
        <v>726</v>
      </c>
      <c r="H710" s="23">
        <v>96200</v>
      </c>
    </row>
    <row r="711" spans="7:8" x14ac:dyDescent="0.35">
      <c r="G711" t="s">
        <v>727</v>
      </c>
      <c r="H711" s="23">
        <v>89700</v>
      </c>
    </row>
    <row r="712" spans="7:8" x14ac:dyDescent="0.35">
      <c r="G712" t="s">
        <v>728</v>
      </c>
      <c r="H712" s="23">
        <v>100600</v>
      </c>
    </row>
    <row r="713" spans="7:8" x14ac:dyDescent="0.35">
      <c r="G713" t="s">
        <v>729</v>
      </c>
      <c r="H713" s="23">
        <v>105300</v>
      </c>
    </row>
    <row r="714" spans="7:8" x14ac:dyDescent="0.35">
      <c r="G714" t="s">
        <v>730</v>
      </c>
      <c r="H714" s="23">
        <v>97700</v>
      </c>
    </row>
    <row r="715" spans="7:8" x14ac:dyDescent="0.35">
      <c r="G715" t="s">
        <v>731</v>
      </c>
      <c r="H715" s="23">
        <v>36000</v>
      </c>
    </row>
    <row r="716" spans="7:8" x14ac:dyDescent="0.35">
      <c r="G716" t="s">
        <v>732</v>
      </c>
      <c r="H716" s="23">
        <v>76800</v>
      </c>
    </row>
    <row r="717" spans="7:8" x14ac:dyDescent="0.35">
      <c r="G717" t="s">
        <v>733</v>
      </c>
      <c r="H717" s="23">
        <v>118100</v>
      </c>
    </row>
    <row r="718" spans="7:8" x14ac:dyDescent="0.35">
      <c r="G718" t="s">
        <v>734</v>
      </c>
      <c r="H718" s="23">
        <v>62800</v>
      </c>
    </row>
    <row r="719" spans="7:8" x14ac:dyDescent="0.35">
      <c r="G719" t="s">
        <v>735</v>
      </c>
      <c r="H719" s="23">
        <v>78100</v>
      </c>
    </row>
    <row r="720" spans="7:8" x14ac:dyDescent="0.35">
      <c r="G720" t="s">
        <v>736</v>
      </c>
      <c r="H720" s="23">
        <v>103700</v>
      </c>
    </row>
    <row r="721" spans="7:8" x14ac:dyDescent="0.35">
      <c r="G721" t="s">
        <v>737</v>
      </c>
      <c r="H721" s="23">
        <v>110100</v>
      </c>
    </row>
    <row r="722" spans="7:8" x14ac:dyDescent="0.35">
      <c r="G722" t="s">
        <v>738</v>
      </c>
      <c r="H722" s="23">
        <v>72900</v>
      </c>
    </row>
    <row r="723" spans="7:8" x14ac:dyDescent="0.35">
      <c r="G723" t="s">
        <v>739</v>
      </c>
      <c r="H723" s="23">
        <v>77500</v>
      </c>
    </row>
    <row r="724" spans="7:8" x14ac:dyDescent="0.35">
      <c r="G724" t="s">
        <v>740</v>
      </c>
      <c r="H724" s="23">
        <v>56300</v>
      </c>
    </row>
    <row r="725" spans="7:8" x14ac:dyDescent="0.35">
      <c r="G725" t="s">
        <v>741</v>
      </c>
      <c r="H725" s="23">
        <v>52300</v>
      </c>
    </row>
    <row r="726" spans="7:8" x14ac:dyDescent="0.35">
      <c r="G726" t="s">
        <v>742</v>
      </c>
      <c r="H726" s="23">
        <v>51700</v>
      </c>
    </row>
    <row r="727" spans="7:8" x14ac:dyDescent="0.35">
      <c r="G727" t="s">
        <v>743</v>
      </c>
      <c r="H727" s="23">
        <v>80400</v>
      </c>
    </row>
    <row r="728" spans="7:8" x14ac:dyDescent="0.35">
      <c r="G728" t="s">
        <v>744</v>
      </c>
      <c r="H728" s="23">
        <v>100800</v>
      </c>
    </row>
    <row r="729" spans="7:8" x14ac:dyDescent="0.35">
      <c r="G729" t="s">
        <v>745</v>
      </c>
      <c r="H729" s="23">
        <v>79400</v>
      </c>
    </row>
    <row r="730" spans="7:8" x14ac:dyDescent="0.35">
      <c r="G730" t="s">
        <v>746</v>
      </c>
      <c r="H730" s="23">
        <v>36400</v>
      </c>
    </row>
    <row r="731" spans="7:8" x14ac:dyDescent="0.35">
      <c r="G731" t="s">
        <v>747</v>
      </c>
      <c r="H731" s="23">
        <v>68300</v>
      </c>
    </row>
    <row r="732" spans="7:8" x14ac:dyDescent="0.35">
      <c r="G732" t="s">
        <v>748</v>
      </c>
      <c r="H732" s="23">
        <v>92400</v>
      </c>
    </row>
    <row r="733" spans="7:8" x14ac:dyDescent="0.35">
      <c r="G733" t="s">
        <v>749</v>
      </c>
      <c r="H733" s="23">
        <v>53500</v>
      </c>
    </row>
    <row r="734" spans="7:8" x14ac:dyDescent="0.35">
      <c r="G734" t="s">
        <v>750</v>
      </c>
      <c r="H734" s="23">
        <v>65000</v>
      </c>
    </row>
    <row r="735" spans="7:8" x14ac:dyDescent="0.35">
      <c r="G735" t="s">
        <v>751</v>
      </c>
      <c r="H735" s="23">
        <v>82900</v>
      </c>
    </row>
    <row r="736" spans="7:8" x14ac:dyDescent="0.35">
      <c r="G736" t="s">
        <v>752</v>
      </c>
      <c r="H736" s="23">
        <v>83600</v>
      </c>
    </row>
    <row r="737" spans="7:8" x14ac:dyDescent="0.35">
      <c r="G737" t="s">
        <v>753</v>
      </c>
      <c r="H737" s="23">
        <v>83100</v>
      </c>
    </row>
    <row r="738" spans="7:8" x14ac:dyDescent="0.35">
      <c r="G738" t="s">
        <v>754</v>
      </c>
      <c r="H738" s="23">
        <v>105900</v>
      </c>
    </row>
    <row r="739" spans="7:8" x14ac:dyDescent="0.35">
      <c r="G739" t="s">
        <v>755</v>
      </c>
      <c r="H739" s="23">
        <v>53700</v>
      </c>
    </row>
    <row r="740" spans="7:8" x14ac:dyDescent="0.35">
      <c r="G740" t="s">
        <v>756</v>
      </c>
      <c r="H740" s="23">
        <v>102100</v>
      </c>
    </row>
    <row r="741" spans="7:8" x14ac:dyDescent="0.35">
      <c r="G741" t="s">
        <v>757</v>
      </c>
      <c r="H741" s="23">
        <v>94400</v>
      </c>
    </row>
    <row r="742" spans="7:8" x14ac:dyDescent="0.35">
      <c r="G742" t="s">
        <v>758</v>
      </c>
      <c r="H742" s="23">
        <v>92800</v>
      </c>
    </row>
    <row r="743" spans="7:8" x14ac:dyDescent="0.35">
      <c r="G743" t="s">
        <v>759</v>
      </c>
      <c r="H743" s="23">
        <v>99100</v>
      </c>
    </row>
    <row r="744" spans="7:8" x14ac:dyDescent="0.35">
      <c r="G744" t="s">
        <v>760</v>
      </c>
      <c r="H744" s="23">
        <v>95600</v>
      </c>
    </row>
    <row r="745" spans="7:8" x14ac:dyDescent="0.35">
      <c r="G745" t="s">
        <v>761</v>
      </c>
      <c r="H745" s="23">
        <v>72900</v>
      </c>
    </row>
    <row r="746" spans="7:8" x14ac:dyDescent="0.35">
      <c r="G746" t="s">
        <v>762</v>
      </c>
      <c r="H746" s="23">
        <v>58500</v>
      </c>
    </row>
    <row r="747" spans="7:8" x14ac:dyDescent="0.35">
      <c r="G747" t="s">
        <v>763</v>
      </c>
      <c r="H747" s="23">
        <v>82300</v>
      </c>
    </row>
    <row r="748" spans="7:8" x14ac:dyDescent="0.35">
      <c r="G748" t="s">
        <v>764</v>
      </c>
      <c r="H748" s="23">
        <v>59900</v>
      </c>
    </row>
    <row r="749" spans="7:8" x14ac:dyDescent="0.35">
      <c r="G749" t="s">
        <v>765</v>
      </c>
      <c r="H749" s="23">
        <v>89200</v>
      </c>
    </row>
    <row r="750" spans="7:8" x14ac:dyDescent="0.35">
      <c r="G750" t="s">
        <v>766</v>
      </c>
      <c r="H750" s="23">
        <v>100400</v>
      </c>
    </row>
    <row r="751" spans="7:8" x14ac:dyDescent="0.35">
      <c r="G751" t="s">
        <v>767</v>
      </c>
      <c r="H751" s="23">
        <v>84900</v>
      </c>
    </row>
    <row r="752" spans="7:8" x14ac:dyDescent="0.35">
      <c r="G752" t="s">
        <v>768</v>
      </c>
      <c r="H752" s="23">
        <v>60300</v>
      </c>
    </row>
    <row r="753" spans="7:8" x14ac:dyDescent="0.35">
      <c r="G753" t="s">
        <v>769</v>
      </c>
      <c r="H753" s="23">
        <v>50100</v>
      </c>
    </row>
    <row r="754" spans="7:8" x14ac:dyDescent="0.35">
      <c r="G754" t="s">
        <v>770</v>
      </c>
      <c r="H754" s="23">
        <v>62500</v>
      </c>
    </row>
    <row r="755" spans="7:8" x14ac:dyDescent="0.35">
      <c r="G755" t="s">
        <v>771</v>
      </c>
      <c r="H755" s="23">
        <v>77800</v>
      </c>
    </row>
    <row r="756" spans="7:8" x14ac:dyDescent="0.35">
      <c r="G756" t="s">
        <v>772</v>
      </c>
      <c r="H756" s="23">
        <v>72200</v>
      </c>
    </row>
    <row r="757" spans="7:8" x14ac:dyDescent="0.35">
      <c r="G757" t="s">
        <v>773</v>
      </c>
      <c r="H757" s="23">
        <v>58100</v>
      </c>
    </row>
    <row r="758" spans="7:8" x14ac:dyDescent="0.35">
      <c r="G758" t="s">
        <v>774</v>
      </c>
      <c r="H758" s="23">
        <v>109600</v>
      </c>
    </row>
    <row r="759" spans="7:8" x14ac:dyDescent="0.35">
      <c r="G759" t="s">
        <v>775</v>
      </c>
      <c r="H759" s="23">
        <v>79800</v>
      </c>
    </row>
    <row r="760" spans="7:8" x14ac:dyDescent="0.35">
      <c r="G760" t="s">
        <v>776</v>
      </c>
      <c r="H760" s="23">
        <v>104600</v>
      </c>
    </row>
    <row r="761" spans="7:8" x14ac:dyDescent="0.35">
      <c r="G761" t="s">
        <v>777</v>
      </c>
      <c r="H761" s="23">
        <v>65800</v>
      </c>
    </row>
    <row r="762" spans="7:8" x14ac:dyDescent="0.35">
      <c r="G762" t="s">
        <v>778</v>
      </c>
      <c r="H762" s="23">
        <v>84900</v>
      </c>
    </row>
    <row r="763" spans="7:8" x14ac:dyDescent="0.35">
      <c r="G763" t="s">
        <v>779</v>
      </c>
      <c r="H763" s="23">
        <v>84700</v>
      </c>
    </row>
    <row r="764" spans="7:8" x14ac:dyDescent="0.35">
      <c r="G764" t="s">
        <v>780</v>
      </c>
      <c r="H764" s="23">
        <v>108000</v>
      </c>
    </row>
    <row r="765" spans="7:8" x14ac:dyDescent="0.35">
      <c r="G765" t="s">
        <v>781</v>
      </c>
      <c r="H765" s="23">
        <v>82100</v>
      </c>
    </row>
    <row r="766" spans="7:8" x14ac:dyDescent="0.35">
      <c r="G766" t="s">
        <v>782</v>
      </c>
      <c r="H766" s="23">
        <v>78600</v>
      </c>
    </row>
    <row r="767" spans="7:8" x14ac:dyDescent="0.35">
      <c r="G767" t="s">
        <v>783</v>
      </c>
      <c r="H767" s="23">
        <v>107800</v>
      </c>
    </row>
    <row r="768" spans="7:8" x14ac:dyDescent="0.35">
      <c r="G768" t="s">
        <v>784</v>
      </c>
      <c r="H768" s="23">
        <v>87300</v>
      </c>
    </row>
    <row r="769" spans="7:8" x14ac:dyDescent="0.35">
      <c r="G769" t="s">
        <v>785</v>
      </c>
      <c r="H769" s="23">
        <v>90000</v>
      </c>
    </row>
    <row r="770" spans="7:8" x14ac:dyDescent="0.35">
      <c r="G770" t="s">
        <v>786</v>
      </c>
      <c r="H770" s="23">
        <v>100300</v>
      </c>
    </row>
    <row r="771" spans="7:8" x14ac:dyDescent="0.35">
      <c r="G771" t="s">
        <v>787</v>
      </c>
      <c r="H771" s="23">
        <v>83700</v>
      </c>
    </row>
    <row r="772" spans="7:8" x14ac:dyDescent="0.35">
      <c r="G772" t="s">
        <v>788</v>
      </c>
      <c r="H772" s="23">
        <v>91800</v>
      </c>
    </row>
    <row r="773" spans="7:8" x14ac:dyDescent="0.35">
      <c r="G773" t="s">
        <v>789</v>
      </c>
      <c r="H773" s="23">
        <v>80600</v>
      </c>
    </row>
    <row r="774" spans="7:8" x14ac:dyDescent="0.35">
      <c r="G774" t="s">
        <v>790</v>
      </c>
      <c r="H774" s="23">
        <v>74100</v>
      </c>
    </row>
    <row r="775" spans="7:8" x14ac:dyDescent="0.35">
      <c r="G775" t="s">
        <v>791</v>
      </c>
      <c r="H775" s="23">
        <v>43300</v>
      </c>
    </row>
    <row r="776" spans="7:8" x14ac:dyDescent="0.35">
      <c r="G776" t="s">
        <v>792</v>
      </c>
      <c r="H776" s="23">
        <v>61600</v>
      </c>
    </row>
    <row r="777" spans="7:8" x14ac:dyDescent="0.35">
      <c r="G777" t="s">
        <v>793</v>
      </c>
      <c r="H777" s="23">
        <v>69500</v>
      </c>
    </row>
    <row r="778" spans="7:8" x14ac:dyDescent="0.35">
      <c r="G778" t="s">
        <v>794</v>
      </c>
      <c r="H778" s="23">
        <v>93300</v>
      </c>
    </row>
    <row r="779" spans="7:8" x14ac:dyDescent="0.35">
      <c r="G779" t="s">
        <v>795</v>
      </c>
      <c r="H779" s="23">
        <v>87600</v>
      </c>
    </row>
    <row r="780" spans="7:8" x14ac:dyDescent="0.35">
      <c r="G780" t="s">
        <v>796</v>
      </c>
      <c r="H780" s="23">
        <v>88600</v>
      </c>
    </row>
    <row r="781" spans="7:8" x14ac:dyDescent="0.35">
      <c r="G781" t="s">
        <v>797</v>
      </c>
      <c r="H781" s="23">
        <v>61300</v>
      </c>
    </row>
    <row r="782" spans="7:8" x14ac:dyDescent="0.35">
      <c r="G782" t="s">
        <v>798</v>
      </c>
      <c r="H782" s="23">
        <v>80800</v>
      </c>
    </row>
    <row r="783" spans="7:8" x14ac:dyDescent="0.35">
      <c r="G783" t="s">
        <v>799</v>
      </c>
      <c r="H783" s="23">
        <v>102300</v>
      </c>
    </row>
    <row r="784" spans="7:8" x14ac:dyDescent="0.35">
      <c r="G784" t="s">
        <v>800</v>
      </c>
      <c r="H784" s="23">
        <v>52300</v>
      </c>
    </row>
    <row r="785" spans="7:8" x14ac:dyDescent="0.35">
      <c r="G785" t="s">
        <v>801</v>
      </c>
      <c r="H785" s="23">
        <v>91700</v>
      </c>
    </row>
    <row r="786" spans="7:8" x14ac:dyDescent="0.35">
      <c r="G786" t="s">
        <v>802</v>
      </c>
      <c r="H786" s="23">
        <v>80600</v>
      </c>
    </row>
    <row r="787" spans="7:8" x14ac:dyDescent="0.35">
      <c r="G787" t="s">
        <v>803</v>
      </c>
      <c r="H787" s="23">
        <v>105200</v>
      </c>
    </row>
    <row r="788" spans="7:8" x14ac:dyDescent="0.35">
      <c r="G788" t="s">
        <v>804</v>
      </c>
      <c r="H788" s="23">
        <v>81600</v>
      </c>
    </row>
    <row r="789" spans="7:8" x14ac:dyDescent="0.35">
      <c r="G789" t="s">
        <v>805</v>
      </c>
      <c r="H789" s="23">
        <v>77000</v>
      </c>
    </row>
    <row r="790" spans="7:8" x14ac:dyDescent="0.35">
      <c r="G790" t="s">
        <v>806</v>
      </c>
      <c r="H790" s="23">
        <v>64000</v>
      </c>
    </row>
    <row r="791" spans="7:8" x14ac:dyDescent="0.35">
      <c r="G791" t="s">
        <v>807</v>
      </c>
      <c r="H791" s="23">
        <v>111000</v>
      </c>
    </row>
    <row r="792" spans="7:8" x14ac:dyDescent="0.35">
      <c r="G792" t="s">
        <v>808</v>
      </c>
      <c r="H792" s="23">
        <v>73000</v>
      </c>
    </row>
    <row r="793" spans="7:8" x14ac:dyDescent="0.35">
      <c r="G793" t="s">
        <v>809</v>
      </c>
      <c r="H793" s="23">
        <v>71300</v>
      </c>
    </row>
    <row r="794" spans="7:8" x14ac:dyDescent="0.35">
      <c r="G794" t="s">
        <v>810</v>
      </c>
      <c r="H794" s="23">
        <v>48700</v>
      </c>
    </row>
    <row r="795" spans="7:8" x14ac:dyDescent="0.35">
      <c r="G795" t="s">
        <v>811</v>
      </c>
      <c r="H795" s="23">
        <v>60600</v>
      </c>
    </row>
    <row r="796" spans="7:8" x14ac:dyDescent="0.35">
      <c r="G796" t="s">
        <v>812</v>
      </c>
      <c r="H796" s="23">
        <v>72600</v>
      </c>
    </row>
    <row r="797" spans="7:8" x14ac:dyDescent="0.35">
      <c r="G797" t="s">
        <v>813</v>
      </c>
      <c r="H797" s="23">
        <v>98000</v>
      </c>
    </row>
    <row r="798" spans="7:8" x14ac:dyDescent="0.35">
      <c r="G798" t="s">
        <v>814</v>
      </c>
      <c r="H798" s="23">
        <v>89300</v>
      </c>
    </row>
    <row r="799" spans="7:8" x14ac:dyDescent="0.35">
      <c r="G799" t="s">
        <v>815</v>
      </c>
      <c r="H799" s="23">
        <v>83800</v>
      </c>
    </row>
    <row r="800" spans="7:8" x14ac:dyDescent="0.35">
      <c r="G800" t="s">
        <v>816</v>
      </c>
      <c r="H800" s="23">
        <v>69900</v>
      </c>
    </row>
    <row r="801" spans="7:8" x14ac:dyDescent="0.35">
      <c r="G801" t="s">
        <v>817</v>
      </c>
      <c r="H801" s="23">
        <v>73300</v>
      </c>
    </row>
    <row r="802" spans="7:8" x14ac:dyDescent="0.35">
      <c r="G802" t="s">
        <v>818</v>
      </c>
      <c r="H802" s="23">
        <v>64300</v>
      </c>
    </row>
    <row r="803" spans="7:8" x14ac:dyDescent="0.35">
      <c r="G803" t="s">
        <v>819</v>
      </c>
      <c r="H803" s="23">
        <v>83600</v>
      </c>
    </row>
    <row r="804" spans="7:8" x14ac:dyDescent="0.35">
      <c r="G804" t="s">
        <v>820</v>
      </c>
      <c r="H804" s="23">
        <v>89900</v>
      </c>
    </row>
    <row r="805" spans="7:8" x14ac:dyDescent="0.35">
      <c r="G805" t="s">
        <v>821</v>
      </c>
      <c r="H805" s="23">
        <v>80400</v>
      </c>
    </row>
    <row r="806" spans="7:8" x14ac:dyDescent="0.35">
      <c r="G806" t="s">
        <v>822</v>
      </c>
      <c r="H806" s="23">
        <v>64100</v>
      </c>
    </row>
    <row r="807" spans="7:8" x14ac:dyDescent="0.35">
      <c r="G807" t="s">
        <v>823</v>
      </c>
      <c r="H807" s="23">
        <v>73700</v>
      </c>
    </row>
    <row r="808" spans="7:8" x14ac:dyDescent="0.35">
      <c r="G808" t="s">
        <v>824</v>
      </c>
      <c r="H808" s="23">
        <v>76100</v>
      </c>
    </row>
    <row r="809" spans="7:8" x14ac:dyDescent="0.35">
      <c r="G809" t="s">
        <v>825</v>
      </c>
      <c r="H809" s="23">
        <v>78000</v>
      </c>
    </row>
    <row r="810" spans="7:8" x14ac:dyDescent="0.35">
      <c r="G810" t="s">
        <v>826</v>
      </c>
      <c r="H810" s="23">
        <v>61500</v>
      </c>
    </row>
    <row r="811" spans="7:8" x14ac:dyDescent="0.35">
      <c r="G811" t="s">
        <v>827</v>
      </c>
      <c r="H811" s="23">
        <v>87900</v>
      </c>
    </row>
    <row r="812" spans="7:8" x14ac:dyDescent="0.35">
      <c r="G812" t="s">
        <v>828</v>
      </c>
      <c r="H812" s="23">
        <v>105100</v>
      </c>
    </row>
    <row r="813" spans="7:8" x14ac:dyDescent="0.35">
      <c r="G813" t="s">
        <v>829</v>
      </c>
      <c r="H813" s="23">
        <v>69000</v>
      </c>
    </row>
    <row r="814" spans="7:8" x14ac:dyDescent="0.35">
      <c r="G814" t="s">
        <v>830</v>
      </c>
      <c r="H814" s="23">
        <v>90500</v>
      </c>
    </row>
    <row r="815" spans="7:8" x14ac:dyDescent="0.35">
      <c r="G815" t="s">
        <v>831</v>
      </c>
      <c r="H815" s="23">
        <v>96000</v>
      </c>
    </row>
    <row r="816" spans="7:8" x14ac:dyDescent="0.35">
      <c r="G816" t="s">
        <v>832</v>
      </c>
      <c r="H816" s="23">
        <v>67900</v>
      </c>
    </row>
    <row r="817" spans="7:8" x14ac:dyDescent="0.35">
      <c r="G817" t="s">
        <v>833</v>
      </c>
      <c r="H817" s="23">
        <v>90200</v>
      </c>
    </row>
    <row r="818" spans="7:8" x14ac:dyDescent="0.35">
      <c r="G818" t="s">
        <v>834</v>
      </c>
      <c r="H818" s="23">
        <v>109900</v>
      </c>
    </row>
    <row r="819" spans="7:8" x14ac:dyDescent="0.35">
      <c r="G819" t="s">
        <v>835</v>
      </c>
      <c r="H819" s="23">
        <v>116200</v>
      </c>
    </row>
    <row r="820" spans="7:8" x14ac:dyDescent="0.35">
      <c r="G820" t="s">
        <v>836</v>
      </c>
      <c r="H820" s="23">
        <v>91400</v>
      </c>
    </row>
    <row r="821" spans="7:8" x14ac:dyDescent="0.35">
      <c r="G821" t="s">
        <v>837</v>
      </c>
      <c r="H821" s="23">
        <v>87000</v>
      </c>
    </row>
    <row r="822" spans="7:8" x14ac:dyDescent="0.35">
      <c r="G822" t="s">
        <v>838</v>
      </c>
      <c r="H822" s="23">
        <v>66900</v>
      </c>
    </row>
    <row r="823" spans="7:8" x14ac:dyDescent="0.35">
      <c r="G823" t="s">
        <v>839</v>
      </c>
      <c r="H823" s="23">
        <v>75400</v>
      </c>
    </row>
    <row r="824" spans="7:8" x14ac:dyDescent="0.35">
      <c r="G824" t="s">
        <v>840</v>
      </c>
      <c r="H824" s="23">
        <v>63200</v>
      </c>
    </row>
    <row r="825" spans="7:8" x14ac:dyDescent="0.35">
      <c r="G825" t="s">
        <v>841</v>
      </c>
      <c r="H825" s="23">
        <v>84000</v>
      </c>
    </row>
    <row r="826" spans="7:8" x14ac:dyDescent="0.35">
      <c r="G826" t="s">
        <v>842</v>
      </c>
      <c r="H826" s="23">
        <v>30520</v>
      </c>
    </row>
    <row r="827" spans="7:8" x14ac:dyDescent="0.35">
      <c r="G827" t="s">
        <v>843</v>
      </c>
      <c r="H827" s="23">
        <v>104600</v>
      </c>
    </row>
    <row r="828" spans="7:8" x14ac:dyDescent="0.35">
      <c r="G828" t="s">
        <v>844</v>
      </c>
      <c r="H828" s="23">
        <v>70600</v>
      </c>
    </row>
    <row r="829" spans="7:8" x14ac:dyDescent="0.35">
      <c r="G829" t="s">
        <v>845</v>
      </c>
      <c r="H829" s="23">
        <v>98400</v>
      </c>
    </row>
    <row r="830" spans="7:8" x14ac:dyDescent="0.35">
      <c r="G830" t="s">
        <v>846</v>
      </c>
      <c r="H830" s="23">
        <v>98200</v>
      </c>
    </row>
    <row r="831" spans="7:8" x14ac:dyDescent="0.35">
      <c r="G831" t="s">
        <v>847</v>
      </c>
      <c r="H831" s="23">
        <v>82800</v>
      </c>
    </row>
    <row r="832" spans="7:8" x14ac:dyDescent="0.35">
      <c r="G832" t="s">
        <v>848</v>
      </c>
      <c r="H832" s="23">
        <v>98100</v>
      </c>
    </row>
    <row r="833" spans="7:8" x14ac:dyDescent="0.35">
      <c r="G833" t="s">
        <v>849</v>
      </c>
      <c r="H833" s="23">
        <v>83900</v>
      </c>
    </row>
    <row r="834" spans="7:8" x14ac:dyDescent="0.35">
      <c r="G834" t="s">
        <v>850</v>
      </c>
      <c r="H834" s="23">
        <v>49300</v>
      </c>
    </row>
    <row r="835" spans="7:8" x14ac:dyDescent="0.35">
      <c r="G835" t="s">
        <v>851</v>
      </c>
      <c r="H835" s="23">
        <v>68400</v>
      </c>
    </row>
    <row r="836" spans="7:8" x14ac:dyDescent="0.35">
      <c r="G836" t="s">
        <v>852</v>
      </c>
      <c r="H836" s="23">
        <v>60000</v>
      </c>
    </row>
    <row r="837" spans="7:8" x14ac:dyDescent="0.35">
      <c r="G837" t="s">
        <v>853</v>
      </c>
      <c r="H837" s="23">
        <v>68800</v>
      </c>
    </row>
    <row r="838" spans="7:8" x14ac:dyDescent="0.35">
      <c r="G838" t="s">
        <v>854</v>
      </c>
      <c r="H838" s="23">
        <v>74000</v>
      </c>
    </row>
    <row r="839" spans="7:8" x14ac:dyDescent="0.35">
      <c r="G839" t="s">
        <v>855</v>
      </c>
      <c r="H839" s="23">
        <v>61400</v>
      </c>
    </row>
    <row r="840" spans="7:8" x14ac:dyDescent="0.35">
      <c r="G840" t="s">
        <v>856</v>
      </c>
      <c r="H840" s="23">
        <v>64500</v>
      </c>
    </row>
    <row r="841" spans="7:8" x14ac:dyDescent="0.35">
      <c r="G841" t="s">
        <v>857</v>
      </c>
      <c r="H841" s="23">
        <v>81200</v>
      </c>
    </row>
    <row r="842" spans="7:8" x14ac:dyDescent="0.35">
      <c r="G842" t="s">
        <v>858</v>
      </c>
      <c r="H842" s="23">
        <v>105900</v>
      </c>
    </row>
    <row r="843" spans="7:8" x14ac:dyDescent="0.35">
      <c r="G843" t="s">
        <v>859</v>
      </c>
      <c r="H843" s="23">
        <v>105900</v>
      </c>
    </row>
    <row r="844" spans="7:8" x14ac:dyDescent="0.35">
      <c r="G844" t="s">
        <v>860</v>
      </c>
      <c r="H844" s="23">
        <v>101600</v>
      </c>
    </row>
    <row r="845" spans="7:8" x14ac:dyDescent="0.35">
      <c r="G845" t="s">
        <v>861</v>
      </c>
      <c r="H845" s="23">
        <v>89500</v>
      </c>
    </row>
    <row r="846" spans="7:8" x14ac:dyDescent="0.35">
      <c r="G846" t="s">
        <v>862</v>
      </c>
      <c r="H846" s="23">
        <v>56300</v>
      </c>
    </row>
    <row r="847" spans="7:8" x14ac:dyDescent="0.35">
      <c r="G847" t="s">
        <v>863</v>
      </c>
      <c r="H847" s="23">
        <v>65000</v>
      </c>
    </row>
    <row r="848" spans="7:8" x14ac:dyDescent="0.35">
      <c r="G848" t="s">
        <v>864</v>
      </c>
      <c r="H848" s="23">
        <v>66000</v>
      </c>
    </row>
    <row r="849" spans="7:8" x14ac:dyDescent="0.35">
      <c r="G849" t="s">
        <v>865</v>
      </c>
      <c r="H849" s="23">
        <v>94600</v>
      </c>
    </row>
    <row r="850" spans="7:8" x14ac:dyDescent="0.35">
      <c r="G850" t="s">
        <v>866</v>
      </c>
      <c r="H850" s="23">
        <v>113400</v>
      </c>
    </row>
    <row r="851" spans="7:8" x14ac:dyDescent="0.35">
      <c r="G851" t="s">
        <v>867</v>
      </c>
      <c r="H851" s="23">
        <v>66200</v>
      </c>
    </row>
    <row r="852" spans="7:8" x14ac:dyDescent="0.35">
      <c r="G852" t="s">
        <v>868</v>
      </c>
      <c r="H852" s="23">
        <v>77500</v>
      </c>
    </row>
    <row r="853" spans="7:8" x14ac:dyDescent="0.35">
      <c r="G853" t="s">
        <v>869</v>
      </c>
      <c r="H853" s="23">
        <v>84600</v>
      </c>
    </row>
    <row r="854" spans="7:8" x14ac:dyDescent="0.35">
      <c r="G854" t="s">
        <v>870</v>
      </c>
      <c r="H854" s="23">
        <v>80400</v>
      </c>
    </row>
    <row r="855" spans="7:8" x14ac:dyDescent="0.35">
      <c r="G855" t="s">
        <v>871</v>
      </c>
      <c r="H855" s="23">
        <v>65900</v>
      </c>
    </row>
    <row r="856" spans="7:8" x14ac:dyDescent="0.35">
      <c r="G856" t="s">
        <v>872</v>
      </c>
      <c r="H856" s="23">
        <v>95900</v>
      </c>
    </row>
    <row r="857" spans="7:8" x14ac:dyDescent="0.35">
      <c r="G857" t="s">
        <v>873</v>
      </c>
      <c r="H857" s="23">
        <v>66400</v>
      </c>
    </row>
    <row r="858" spans="7:8" x14ac:dyDescent="0.35">
      <c r="G858" t="s">
        <v>874</v>
      </c>
      <c r="H858" s="23">
        <v>88500</v>
      </c>
    </row>
    <row r="859" spans="7:8" x14ac:dyDescent="0.35">
      <c r="G859" t="s">
        <v>875</v>
      </c>
      <c r="H859" s="23">
        <v>102900</v>
      </c>
    </row>
    <row r="860" spans="7:8" x14ac:dyDescent="0.35">
      <c r="G860" t="s">
        <v>876</v>
      </c>
      <c r="H860" s="23">
        <v>99100</v>
      </c>
    </row>
    <row r="861" spans="7:8" x14ac:dyDescent="0.35">
      <c r="G861" t="s">
        <v>877</v>
      </c>
      <c r="H861" s="23">
        <v>87100</v>
      </c>
    </row>
    <row r="862" spans="7:8" x14ac:dyDescent="0.35">
      <c r="G862" t="s">
        <v>878</v>
      </c>
      <c r="H862" s="23">
        <v>87000</v>
      </c>
    </row>
    <row r="863" spans="7:8" x14ac:dyDescent="0.35">
      <c r="G863" t="s">
        <v>879</v>
      </c>
      <c r="H863" s="23">
        <v>104700</v>
      </c>
    </row>
    <row r="864" spans="7:8" x14ac:dyDescent="0.35">
      <c r="G864" t="s">
        <v>880</v>
      </c>
      <c r="H864" s="23">
        <v>79900</v>
      </c>
    </row>
    <row r="865" spans="7:8" x14ac:dyDescent="0.35">
      <c r="G865" t="s">
        <v>881</v>
      </c>
      <c r="H865" s="23">
        <v>74000</v>
      </c>
    </row>
    <row r="866" spans="7:8" x14ac:dyDescent="0.35">
      <c r="G866" t="s">
        <v>882</v>
      </c>
      <c r="H866" s="23">
        <v>88600</v>
      </c>
    </row>
    <row r="867" spans="7:8" x14ac:dyDescent="0.35">
      <c r="G867" t="s">
        <v>883</v>
      </c>
      <c r="H867" s="23">
        <v>43000</v>
      </c>
    </row>
    <row r="868" spans="7:8" x14ac:dyDescent="0.35">
      <c r="G868" t="s">
        <v>884</v>
      </c>
      <c r="H868" s="23">
        <v>79000</v>
      </c>
    </row>
    <row r="869" spans="7:8" x14ac:dyDescent="0.35">
      <c r="G869" t="s">
        <v>885</v>
      </c>
      <c r="H869" s="23">
        <v>103100</v>
      </c>
    </row>
    <row r="870" spans="7:8" x14ac:dyDescent="0.35">
      <c r="G870" t="s">
        <v>886</v>
      </c>
      <c r="H870" s="23">
        <v>116400</v>
      </c>
    </row>
    <row r="871" spans="7:8" x14ac:dyDescent="0.35">
      <c r="G871" t="s">
        <v>887</v>
      </c>
      <c r="H871" s="23">
        <v>62800</v>
      </c>
    </row>
    <row r="872" spans="7:8" x14ac:dyDescent="0.35">
      <c r="G872" t="s">
        <v>888</v>
      </c>
      <c r="H872" s="23">
        <v>65600</v>
      </c>
    </row>
    <row r="873" spans="7:8" x14ac:dyDescent="0.35">
      <c r="G873" t="s">
        <v>889</v>
      </c>
      <c r="H873" s="23">
        <v>59100</v>
      </c>
    </row>
    <row r="874" spans="7:8" x14ac:dyDescent="0.35">
      <c r="G874" t="s">
        <v>890</v>
      </c>
      <c r="H874" s="23">
        <v>90500</v>
      </c>
    </row>
    <row r="875" spans="7:8" x14ac:dyDescent="0.35">
      <c r="G875" t="s">
        <v>891</v>
      </c>
      <c r="H875" s="23">
        <v>88000</v>
      </c>
    </row>
    <row r="876" spans="7:8" x14ac:dyDescent="0.35">
      <c r="G876" t="s">
        <v>892</v>
      </c>
      <c r="H876" s="23">
        <v>108600</v>
      </c>
    </row>
    <row r="877" spans="7:8" x14ac:dyDescent="0.35">
      <c r="G877" t="s">
        <v>893</v>
      </c>
      <c r="H877" s="23">
        <v>80000</v>
      </c>
    </row>
    <row r="878" spans="7:8" x14ac:dyDescent="0.35">
      <c r="G878" t="s">
        <v>894</v>
      </c>
      <c r="H878" s="23">
        <v>86000</v>
      </c>
    </row>
    <row r="879" spans="7:8" x14ac:dyDescent="0.35">
      <c r="G879" t="s">
        <v>895</v>
      </c>
      <c r="H879" s="23">
        <v>112300</v>
      </c>
    </row>
    <row r="880" spans="7:8" x14ac:dyDescent="0.35">
      <c r="G880" t="s">
        <v>896</v>
      </c>
      <c r="H880" s="23">
        <v>46200</v>
      </c>
    </row>
    <row r="881" spans="7:8" x14ac:dyDescent="0.35">
      <c r="G881" t="s">
        <v>897</v>
      </c>
      <c r="H881" s="23">
        <v>83700</v>
      </c>
    </row>
    <row r="882" spans="7:8" x14ac:dyDescent="0.35">
      <c r="G882" t="s">
        <v>898</v>
      </c>
      <c r="H882" s="23">
        <v>100900</v>
      </c>
    </row>
    <row r="883" spans="7:8" x14ac:dyDescent="0.35">
      <c r="G883" t="s">
        <v>899</v>
      </c>
      <c r="H883" s="23">
        <v>134600</v>
      </c>
    </row>
    <row r="884" spans="7:8" x14ac:dyDescent="0.35">
      <c r="G884" t="s">
        <v>900</v>
      </c>
      <c r="H884" s="23">
        <v>71400</v>
      </c>
    </row>
    <row r="885" spans="7:8" x14ac:dyDescent="0.35">
      <c r="G885" t="s">
        <v>901</v>
      </c>
      <c r="H885" s="23">
        <v>76100</v>
      </c>
    </row>
    <row r="886" spans="7:8" x14ac:dyDescent="0.35">
      <c r="G886" t="s">
        <v>902</v>
      </c>
      <c r="H886" s="23">
        <v>80900</v>
      </c>
    </row>
    <row r="887" spans="7:8" x14ac:dyDescent="0.35">
      <c r="G887" t="s">
        <v>903</v>
      </c>
      <c r="H887" s="23">
        <v>107900</v>
      </c>
    </row>
    <row r="888" spans="7:8" x14ac:dyDescent="0.35">
      <c r="G888" t="s">
        <v>904</v>
      </c>
      <c r="H888" s="23">
        <v>81100</v>
      </c>
    </row>
    <row r="889" spans="7:8" x14ac:dyDescent="0.35">
      <c r="G889" t="s">
        <v>905</v>
      </c>
      <c r="H889" s="23">
        <v>120700</v>
      </c>
    </row>
    <row r="890" spans="7:8" x14ac:dyDescent="0.35">
      <c r="G890" t="s">
        <v>906</v>
      </c>
      <c r="H890" s="23">
        <v>118300</v>
      </c>
    </row>
    <row r="891" spans="7:8" x14ac:dyDescent="0.35">
      <c r="G891" t="s">
        <v>907</v>
      </c>
      <c r="H891" s="23">
        <v>73800</v>
      </c>
    </row>
    <row r="892" spans="7:8" x14ac:dyDescent="0.35">
      <c r="G892" t="s">
        <v>908</v>
      </c>
      <c r="H892" s="23">
        <v>77800</v>
      </c>
    </row>
    <row r="893" spans="7:8" x14ac:dyDescent="0.35">
      <c r="G893" t="s">
        <v>909</v>
      </c>
      <c r="H893" s="23">
        <v>103600</v>
      </c>
    </row>
    <row r="894" spans="7:8" x14ac:dyDescent="0.35">
      <c r="G894" t="s">
        <v>910</v>
      </c>
      <c r="H894" s="23">
        <v>76800</v>
      </c>
    </row>
    <row r="895" spans="7:8" x14ac:dyDescent="0.35">
      <c r="G895" t="s">
        <v>911</v>
      </c>
      <c r="H895" s="23">
        <v>113500</v>
      </c>
    </row>
    <row r="896" spans="7:8" x14ac:dyDescent="0.35">
      <c r="G896" t="s">
        <v>912</v>
      </c>
      <c r="H896" s="23">
        <v>114600</v>
      </c>
    </row>
    <row r="897" spans="7:8" x14ac:dyDescent="0.35">
      <c r="G897" t="s">
        <v>913</v>
      </c>
      <c r="H897" s="23">
        <v>99500</v>
      </c>
    </row>
    <row r="898" spans="7:8" x14ac:dyDescent="0.35">
      <c r="G898" t="s">
        <v>914</v>
      </c>
      <c r="H898" s="23">
        <v>91500</v>
      </c>
    </row>
    <row r="899" spans="7:8" x14ac:dyDescent="0.35">
      <c r="G899" t="s">
        <v>915</v>
      </c>
      <c r="H899" s="23">
        <v>71500</v>
      </c>
    </row>
    <row r="900" spans="7:8" x14ac:dyDescent="0.35">
      <c r="G900" t="s">
        <v>916</v>
      </c>
      <c r="H900" s="23">
        <v>104000</v>
      </c>
    </row>
    <row r="901" spans="7:8" x14ac:dyDescent="0.35">
      <c r="G901" t="s">
        <v>917</v>
      </c>
      <c r="H901" s="23">
        <v>79400</v>
      </c>
    </row>
    <row r="902" spans="7:8" x14ac:dyDescent="0.35">
      <c r="G902" t="s">
        <v>918</v>
      </c>
      <c r="H902" s="23">
        <v>56900</v>
      </c>
    </row>
    <row r="903" spans="7:8" x14ac:dyDescent="0.35">
      <c r="G903" t="s">
        <v>919</v>
      </c>
      <c r="H903" s="23">
        <v>81200</v>
      </c>
    </row>
    <row r="904" spans="7:8" x14ac:dyDescent="0.35">
      <c r="G904" t="s">
        <v>920</v>
      </c>
      <c r="H904" s="23">
        <v>77600</v>
      </c>
    </row>
    <row r="905" spans="7:8" x14ac:dyDescent="0.35">
      <c r="G905" t="s">
        <v>921</v>
      </c>
      <c r="H905" s="23">
        <v>95500</v>
      </c>
    </row>
    <row r="906" spans="7:8" x14ac:dyDescent="0.35">
      <c r="G906" t="s">
        <v>922</v>
      </c>
      <c r="H906" s="23">
        <v>89700</v>
      </c>
    </row>
    <row r="907" spans="7:8" x14ac:dyDescent="0.35">
      <c r="G907" t="s">
        <v>923</v>
      </c>
      <c r="H907" s="23">
        <v>94100</v>
      </c>
    </row>
    <row r="908" spans="7:8" x14ac:dyDescent="0.35">
      <c r="G908" t="s">
        <v>924</v>
      </c>
      <c r="H908" s="23">
        <v>104900</v>
      </c>
    </row>
    <row r="909" spans="7:8" x14ac:dyDescent="0.35">
      <c r="G909" t="s">
        <v>925</v>
      </c>
      <c r="H909" s="23">
        <v>77600</v>
      </c>
    </row>
    <row r="910" spans="7:8" x14ac:dyDescent="0.35">
      <c r="G910" t="s">
        <v>926</v>
      </c>
      <c r="H910" s="23">
        <v>41500</v>
      </c>
    </row>
    <row r="911" spans="7:8" x14ac:dyDescent="0.35">
      <c r="G911" t="s">
        <v>927</v>
      </c>
      <c r="H911" s="23">
        <v>91000</v>
      </c>
    </row>
    <row r="912" spans="7:8" x14ac:dyDescent="0.35">
      <c r="G912" t="s">
        <v>928</v>
      </c>
      <c r="H912" s="23">
        <v>97000</v>
      </c>
    </row>
    <row r="913" spans="7:8" x14ac:dyDescent="0.35">
      <c r="G913" t="s">
        <v>929</v>
      </c>
      <c r="H913" s="23">
        <v>97800</v>
      </c>
    </row>
    <row r="914" spans="7:8" x14ac:dyDescent="0.35">
      <c r="G914" t="s">
        <v>930</v>
      </c>
      <c r="H914" s="23">
        <v>74100</v>
      </c>
    </row>
    <row r="915" spans="7:8" x14ac:dyDescent="0.35">
      <c r="G915" t="s">
        <v>931</v>
      </c>
      <c r="H915" s="23">
        <v>90900</v>
      </c>
    </row>
    <row r="916" spans="7:8" x14ac:dyDescent="0.35">
      <c r="G916" t="s">
        <v>932</v>
      </c>
      <c r="H916" s="23">
        <v>87900</v>
      </c>
    </row>
    <row r="917" spans="7:8" x14ac:dyDescent="0.35">
      <c r="G917" t="s">
        <v>933</v>
      </c>
      <c r="H917" s="23">
        <v>75100</v>
      </c>
    </row>
    <row r="918" spans="7:8" x14ac:dyDescent="0.35">
      <c r="G918" t="s">
        <v>934</v>
      </c>
      <c r="H918" s="23">
        <v>120300</v>
      </c>
    </row>
    <row r="919" spans="7:8" x14ac:dyDescent="0.35">
      <c r="G919" t="s">
        <v>935</v>
      </c>
      <c r="H919" s="23">
        <v>93800</v>
      </c>
    </row>
    <row r="920" spans="7:8" x14ac:dyDescent="0.35">
      <c r="G920" t="s">
        <v>936</v>
      </c>
      <c r="H920" s="23">
        <v>75600</v>
      </c>
    </row>
    <row r="921" spans="7:8" x14ac:dyDescent="0.35">
      <c r="G921" t="s">
        <v>937</v>
      </c>
      <c r="H921" s="23">
        <v>95600</v>
      </c>
    </row>
    <row r="922" spans="7:8" x14ac:dyDescent="0.35">
      <c r="G922" t="s">
        <v>938</v>
      </c>
      <c r="H922" s="23">
        <v>71900</v>
      </c>
    </row>
    <row r="923" spans="7:8" x14ac:dyDescent="0.35">
      <c r="G923" t="s">
        <v>939</v>
      </c>
      <c r="H923" s="23">
        <v>115000</v>
      </c>
    </row>
    <row r="924" spans="7:8" x14ac:dyDescent="0.35">
      <c r="G924" t="s">
        <v>940</v>
      </c>
      <c r="H924" s="23">
        <v>101900</v>
      </c>
    </row>
    <row r="925" spans="7:8" x14ac:dyDescent="0.35">
      <c r="G925" t="s">
        <v>941</v>
      </c>
      <c r="H925" s="23">
        <v>90500</v>
      </c>
    </row>
    <row r="926" spans="7:8" x14ac:dyDescent="0.35">
      <c r="G926" t="s">
        <v>942</v>
      </c>
      <c r="H926" s="23">
        <v>109000</v>
      </c>
    </row>
    <row r="927" spans="7:8" x14ac:dyDescent="0.35">
      <c r="G927" t="s">
        <v>943</v>
      </c>
      <c r="H927" s="23">
        <v>68700</v>
      </c>
    </row>
    <row r="928" spans="7:8" x14ac:dyDescent="0.35">
      <c r="G928" t="s">
        <v>944</v>
      </c>
      <c r="H928" s="23">
        <v>82200</v>
      </c>
    </row>
    <row r="929" spans="7:8" x14ac:dyDescent="0.35">
      <c r="G929" t="s">
        <v>945</v>
      </c>
      <c r="H929" s="23">
        <v>98600</v>
      </c>
    </row>
    <row r="930" spans="7:8" x14ac:dyDescent="0.35">
      <c r="G930" t="s">
        <v>946</v>
      </c>
      <c r="H930" s="23">
        <v>85600</v>
      </c>
    </row>
    <row r="931" spans="7:8" x14ac:dyDescent="0.35">
      <c r="G931" t="s">
        <v>947</v>
      </c>
      <c r="H931" s="23">
        <v>99000</v>
      </c>
    </row>
    <row r="932" spans="7:8" x14ac:dyDescent="0.35">
      <c r="G932" t="s">
        <v>948</v>
      </c>
      <c r="H932" s="23">
        <v>108700</v>
      </c>
    </row>
    <row r="933" spans="7:8" x14ac:dyDescent="0.35">
      <c r="G933" t="s">
        <v>949</v>
      </c>
      <c r="H933" s="23">
        <v>105000</v>
      </c>
    </row>
    <row r="934" spans="7:8" x14ac:dyDescent="0.35">
      <c r="G934" t="s">
        <v>950</v>
      </c>
      <c r="H934" s="23">
        <v>99400</v>
      </c>
    </row>
    <row r="935" spans="7:8" x14ac:dyDescent="0.35">
      <c r="G935" t="s">
        <v>951</v>
      </c>
      <c r="H935" s="23">
        <v>111300</v>
      </c>
    </row>
    <row r="936" spans="7:8" x14ac:dyDescent="0.35">
      <c r="G936" t="s">
        <v>952</v>
      </c>
      <c r="H936" s="23">
        <v>103800</v>
      </c>
    </row>
    <row r="937" spans="7:8" x14ac:dyDescent="0.35">
      <c r="G937" t="s">
        <v>953</v>
      </c>
      <c r="H937" s="23">
        <v>61900</v>
      </c>
    </row>
    <row r="938" spans="7:8" x14ac:dyDescent="0.35">
      <c r="G938" t="s">
        <v>954</v>
      </c>
      <c r="H938" s="23">
        <v>39900</v>
      </c>
    </row>
    <row r="939" spans="7:8" x14ac:dyDescent="0.35">
      <c r="G939" t="s">
        <v>955</v>
      </c>
      <c r="H939" s="23">
        <v>82600</v>
      </c>
    </row>
    <row r="940" spans="7:8" x14ac:dyDescent="0.35">
      <c r="G940" t="s">
        <v>956</v>
      </c>
      <c r="H940" s="23">
        <v>94200</v>
      </c>
    </row>
    <row r="941" spans="7:8" x14ac:dyDescent="0.35">
      <c r="G941" t="s">
        <v>957</v>
      </c>
      <c r="H941" s="23">
        <v>80900</v>
      </c>
    </row>
    <row r="942" spans="7:8" x14ac:dyDescent="0.35">
      <c r="G942" t="s">
        <v>958</v>
      </c>
      <c r="H942" s="23">
        <v>99900</v>
      </c>
    </row>
    <row r="943" spans="7:8" x14ac:dyDescent="0.35">
      <c r="G943" t="s">
        <v>959</v>
      </c>
      <c r="H943" s="23">
        <v>85100</v>
      </c>
    </row>
    <row r="944" spans="7:8" x14ac:dyDescent="0.35">
      <c r="G944" t="s">
        <v>960</v>
      </c>
      <c r="H944" s="23">
        <v>88300</v>
      </c>
    </row>
    <row r="945" spans="7:8" x14ac:dyDescent="0.35">
      <c r="G945" t="s">
        <v>961</v>
      </c>
      <c r="H945" s="23">
        <v>106700</v>
      </c>
    </row>
    <row r="946" spans="7:8" x14ac:dyDescent="0.35">
      <c r="G946" t="s">
        <v>962</v>
      </c>
      <c r="H946" s="23">
        <v>64200</v>
      </c>
    </row>
    <row r="947" spans="7:8" x14ac:dyDescent="0.35">
      <c r="G947" t="s">
        <v>963</v>
      </c>
      <c r="H947" s="23">
        <v>80900</v>
      </c>
    </row>
    <row r="948" spans="7:8" x14ac:dyDescent="0.35">
      <c r="G948" t="s">
        <v>964</v>
      </c>
      <c r="H948" s="23">
        <v>82400</v>
      </c>
    </row>
    <row r="949" spans="7:8" x14ac:dyDescent="0.35">
      <c r="G949" t="s">
        <v>965</v>
      </c>
      <c r="H949" s="23">
        <v>114100</v>
      </c>
    </row>
    <row r="950" spans="7:8" x14ac:dyDescent="0.35">
      <c r="G950" t="s">
        <v>966</v>
      </c>
      <c r="H950" s="23">
        <v>90300</v>
      </c>
    </row>
    <row r="951" spans="7:8" x14ac:dyDescent="0.35">
      <c r="G951" t="s">
        <v>967</v>
      </c>
      <c r="H951" s="23">
        <v>87600</v>
      </c>
    </row>
    <row r="952" spans="7:8" x14ac:dyDescent="0.35">
      <c r="G952" t="s">
        <v>968</v>
      </c>
      <c r="H952" s="23">
        <v>103600</v>
      </c>
    </row>
    <row r="953" spans="7:8" x14ac:dyDescent="0.35">
      <c r="G953" t="s">
        <v>969</v>
      </c>
      <c r="H953" s="23">
        <v>77000</v>
      </c>
    </row>
    <row r="954" spans="7:8" x14ac:dyDescent="0.35">
      <c r="G954" t="s">
        <v>970</v>
      </c>
      <c r="H954" s="23">
        <v>55100</v>
      </c>
    </row>
    <row r="955" spans="7:8" x14ac:dyDescent="0.35">
      <c r="G955" t="s">
        <v>971</v>
      </c>
      <c r="H955" s="23">
        <v>76600</v>
      </c>
    </row>
    <row r="956" spans="7:8" x14ac:dyDescent="0.35">
      <c r="G956" t="s">
        <v>972</v>
      </c>
      <c r="H956" s="23">
        <v>92700</v>
      </c>
    </row>
    <row r="957" spans="7:8" x14ac:dyDescent="0.35">
      <c r="G957" t="s">
        <v>973</v>
      </c>
      <c r="H957" s="23">
        <v>74700</v>
      </c>
    </row>
    <row r="958" spans="7:8" x14ac:dyDescent="0.35">
      <c r="G958" t="s">
        <v>974</v>
      </c>
      <c r="H958" s="23">
        <v>80300</v>
      </c>
    </row>
    <row r="959" spans="7:8" x14ac:dyDescent="0.35">
      <c r="G959" t="s">
        <v>975</v>
      </c>
      <c r="H959" s="23">
        <v>124000</v>
      </c>
    </row>
    <row r="960" spans="7:8" x14ac:dyDescent="0.35">
      <c r="G960" t="s">
        <v>976</v>
      </c>
      <c r="H960" s="23">
        <v>62700</v>
      </c>
    </row>
    <row r="961" spans="7:8" x14ac:dyDescent="0.35">
      <c r="G961" t="s">
        <v>977</v>
      </c>
      <c r="H961" s="23">
        <v>87700</v>
      </c>
    </row>
    <row r="962" spans="7:8" x14ac:dyDescent="0.35">
      <c r="G962" t="s">
        <v>978</v>
      </c>
      <c r="H962" s="23">
        <v>47800</v>
      </c>
    </row>
    <row r="963" spans="7:8" x14ac:dyDescent="0.35">
      <c r="G963" t="s">
        <v>979</v>
      </c>
      <c r="H963" s="23">
        <v>74800</v>
      </c>
    </row>
    <row r="964" spans="7:8" x14ac:dyDescent="0.35">
      <c r="G964" t="s">
        <v>980</v>
      </c>
      <c r="H964" s="23">
        <v>46400</v>
      </c>
    </row>
    <row r="965" spans="7:8" x14ac:dyDescent="0.35">
      <c r="G965" t="s">
        <v>981</v>
      </c>
      <c r="H965" s="23">
        <v>53900</v>
      </c>
    </row>
    <row r="966" spans="7:8" x14ac:dyDescent="0.35">
      <c r="G966" t="s">
        <v>982</v>
      </c>
      <c r="H966" s="23">
        <v>71700</v>
      </c>
    </row>
    <row r="967" spans="7:8" x14ac:dyDescent="0.35">
      <c r="G967" t="s">
        <v>983</v>
      </c>
      <c r="H967" s="23">
        <v>83000</v>
      </c>
    </row>
    <row r="968" spans="7:8" x14ac:dyDescent="0.35">
      <c r="G968" t="s">
        <v>984</v>
      </c>
      <c r="H968" s="23">
        <v>103800</v>
      </c>
    </row>
    <row r="969" spans="7:8" x14ac:dyDescent="0.35">
      <c r="G969" t="s">
        <v>985</v>
      </c>
      <c r="H969" s="23">
        <v>101500</v>
      </c>
    </row>
    <row r="970" spans="7:8" x14ac:dyDescent="0.35">
      <c r="G970" t="s">
        <v>986</v>
      </c>
      <c r="H970" s="23">
        <v>98500</v>
      </c>
    </row>
    <row r="971" spans="7:8" x14ac:dyDescent="0.35">
      <c r="G971" t="s">
        <v>987</v>
      </c>
      <c r="H971" s="23">
        <v>98500</v>
      </c>
    </row>
    <row r="972" spans="7:8" x14ac:dyDescent="0.35">
      <c r="G972" t="s">
        <v>988</v>
      </c>
      <c r="H972" s="23">
        <v>108900</v>
      </c>
    </row>
    <row r="973" spans="7:8" x14ac:dyDescent="0.35">
      <c r="G973" t="s">
        <v>989</v>
      </c>
      <c r="H973" s="23">
        <v>54100</v>
      </c>
    </row>
    <row r="974" spans="7:8" x14ac:dyDescent="0.35">
      <c r="G974" t="s">
        <v>990</v>
      </c>
      <c r="H974" s="23">
        <v>65100</v>
      </c>
    </row>
    <row r="975" spans="7:8" x14ac:dyDescent="0.35">
      <c r="G975" t="s">
        <v>991</v>
      </c>
      <c r="H975" s="23">
        <v>88100</v>
      </c>
    </row>
    <row r="976" spans="7:8" x14ac:dyDescent="0.35">
      <c r="G976" t="s">
        <v>992</v>
      </c>
      <c r="H976" s="23">
        <v>100400</v>
      </c>
    </row>
    <row r="977" spans="7:8" x14ac:dyDescent="0.35">
      <c r="G977" t="s">
        <v>993</v>
      </c>
      <c r="H977" s="23">
        <v>91400</v>
      </c>
    </row>
    <row r="978" spans="7:8" x14ac:dyDescent="0.35">
      <c r="G978" t="s">
        <v>994</v>
      </c>
      <c r="H978" s="23">
        <v>83300</v>
      </c>
    </row>
    <row r="979" spans="7:8" x14ac:dyDescent="0.35">
      <c r="G979" t="s">
        <v>995</v>
      </c>
      <c r="H979" s="23">
        <v>65500</v>
      </c>
    </row>
    <row r="980" spans="7:8" x14ac:dyDescent="0.35">
      <c r="G980" t="s">
        <v>996</v>
      </c>
      <c r="H980" s="23">
        <v>72900</v>
      </c>
    </row>
    <row r="981" spans="7:8" x14ac:dyDescent="0.35">
      <c r="G981" t="s">
        <v>997</v>
      </c>
      <c r="H981" s="23">
        <v>91400</v>
      </c>
    </row>
    <row r="982" spans="7:8" x14ac:dyDescent="0.35">
      <c r="G982" t="s">
        <v>998</v>
      </c>
      <c r="H982" s="23">
        <v>86400</v>
      </c>
    </row>
    <row r="983" spans="7:8" x14ac:dyDescent="0.35">
      <c r="G983" t="s">
        <v>999</v>
      </c>
      <c r="H983" s="23">
        <v>99800</v>
      </c>
    </row>
    <row r="984" spans="7:8" x14ac:dyDescent="0.35">
      <c r="G984" t="s">
        <v>1000</v>
      </c>
      <c r="H984" s="23">
        <v>78500</v>
      </c>
    </row>
    <row r="985" spans="7:8" x14ac:dyDescent="0.35">
      <c r="G985" t="s">
        <v>1001</v>
      </c>
      <c r="H985" s="23">
        <v>72900</v>
      </c>
    </row>
    <row r="986" spans="7:8" x14ac:dyDescent="0.35">
      <c r="G986" t="s">
        <v>1002</v>
      </c>
      <c r="H986" s="23">
        <v>71300</v>
      </c>
    </row>
    <row r="987" spans="7:8" x14ac:dyDescent="0.35">
      <c r="G987" t="s">
        <v>1003</v>
      </c>
      <c r="H987" s="23">
        <v>83100</v>
      </c>
    </row>
    <row r="988" spans="7:8" x14ac:dyDescent="0.35">
      <c r="G988" t="s">
        <v>1004</v>
      </c>
      <c r="H988" s="23">
        <v>97900</v>
      </c>
    </row>
    <row r="989" spans="7:8" x14ac:dyDescent="0.35">
      <c r="G989" t="s">
        <v>1005</v>
      </c>
      <c r="H989" s="23">
        <v>118200</v>
      </c>
    </row>
    <row r="990" spans="7:8" x14ac:dyDescent="0.35">
      <c r="G990" t="s">
        <v>1006</v>
      </c>
      <c r="H990" s="23">
        <v>103000</v>
      </c>
    </row>
    <row r="991" spans="7:8" x14ac:dyDescent="0.35">
      <c r="G991" t="s">
        <v>1007</v>
      </c>
      <c r="H991" s="23">
        <v>106300</v>
      </c>
    </row>
    <row r="992" spans="7:8" x14ac:dyDescent="0.35">
      <c r="G992" t="s">
        <v>1008</v>
      </c>
      <c r="H992" s="23">
        <v>95200</v>
      </c>
    </row>
    <row r="993" spans="7:8" x14ac:dyDescent="0.35">
      <c r="G993" t="s">
        <v>1009</v>
      </c>
      <c r="H993" s="23">
        <v>45400</v>
      </c>
    </row>
    <row r="994" spans="7:8" x14ac:dyDescent="0.35">
      <c r="G994" t="s">
        <v>1010</v>
      </c>
      <c r="H994" s="23">
        <v>97400</v>
      </c>
    </row>
    <row r="995" spans="7:8" x14ac:dyDescent="0.35">
      <c r="G995" t="s">
        <v>1011</v>
      </c>
      <c r="H995" s="23">
        <v>79100</v>
      </c>
    </row>
    <row r="996" spans="7:8" x14ac:dyDescent="0.35">
      <c r="G996" t="s">
        <v>1012</v>
      </c>
      <c r="H996" s="23">
        <v>51600</v>
      </c>
    </row>
    <row r="997" spans="7:8" x14ac:dyDescent="0.35">
      <c r="G997" t="s">
        <v>1013</v>
      </c>
      <c r="H997" s="23">
        <v>95100</v>
      </c>
    </row>
    <row r="998" spans="7:8" x14ac:dyDescent="0.35">
      <c r="G998" t="s">
        <v>1014</v>
      </c>
      <c r="H998" s="23">
        <v>77000</v>
      </c>
    </row>
    <row r="999" spans="7:8" x14ac:dyDescent="0.35">
      <c r="G999" t="s">
        <v>1015</v>
      </c>
      <c r="H999" s="23">
        <v>91300</v>
      </c>
    </row>
    <row r="1000" spans="7:8" x14ac:dyDescent="0.35">
      <c r="G1000" t="s">
        <v>1016</v>
      </c>
      <c r="H1000" s="23">
        <v>86800</v>
      </c>
    </row>
    <row r="1001" spans="7:8" x14ac:dyDescent="0.35">
      <c r="G1001" t="s">
        <v>1017</v>
      </c>
      <c r="H1001" s="23">
        <v>110700</v>
      </c>
    </row>
    <row r="1002" spans="7:8" x14ac:dyDescent="0.35">
      <c r="G1002" t="s">
        <v>1018</v>
      </c>
      <c r="H1002" s="23">
        <v>65100</v>
      </c>
    </row>
    <row r="1003" spans="7:8" x14ac:dyDescent="0.35">
      <c r="G1003" t="s">
        <v>1019</v>
      </c>
      <c r="H1003" s="23">
        <v>104200</v>
      </c>
    </row>
    <row r="1004" spans="7:8" x14ac:dyDescent="0.35">
      <c r="G1004" t="s">
        <v>1020</v>
      </c>
      <c r="H1004" s="23">
        <v>65300</v>
      </c>
    </row>
    <row r="1005" spans="7:8" x14ac:dyDescent="0.35">
      <c r="G1005" t="s">
        <v>1021</v>
      </c>
      <c r="H1005" s="23">
        <v>58900</v>
      </c>
    </row>
    <row r="1006" spans="7:8" x14ac:dyDescent="0.35">
      <c r="G1006" t="s">
        <v>1022</v>
      </c>
      <c r="H1006" s="23">
        <v>107300</v>
      </c>
    </row>
    <row r="1007" spans="7:8" x14ac:dyDescent="0.35">
      <c r="G1007" t="s">
        <v>1023</v>
      </c>
      <c r="H1007" s="23">
        <v>90400</v>
      </c>
    </row>
    <row r="1008" spans="7:8" x14ac:dyDescent="0.35">
      <c r="G1008" t="s">
        <v>1024</v>
      </c>
      <c r="H1008" s="23">
        <v>109600</v>
      </c>
    </row>
    <row r="1009" spans="7:8" x14ac:dyDescent="0.35">
      <c r="G1009" t="s">
        <v>1025</v>
      </c>
      <c r="H1009" s="23">
        <v>67000</v>
      </c>
    </row>
    <row r="1010" spans="7:8" x14ac:dyDescent="0.35">
      <c r="G1010" t="s">
        <v>1026</v>
      </c>
      <c r="H1010" s="23">
        <v>86300</v>
      </c>
    </row>
    <row r="1011" spans="7:8" x14ac:dyDescent="0.35">
      <c r="G1011" t="s">
        <v>1027</v>
      </c>
      <c r="H1011" s="23">
        <v>91100</v>
      </c>
    </row>
    <row r="1012" spans="7:8" x14ac:dyDescent="0.35">
      <c r="G1012" t="s">
        <v>1028</v>
      </c>
      <c r="H1012" s="23">
        <v>79300</v>
      </c>
    </row>
    <row r="1013" spans="7:8" x14ac:dyDescent="0.35">
      <c r="G1013" t="s">
        <v>1029</v>
      </c>
      <c r="H1013" s="23">
        <v>75200</v>
      </c>
    </row>
    <row r="1014" spans="7:8" x14ac:dyDescent="0.35">
      <c r="G1014" t="s">
        <v>1030</v>
      </c>
      <c r="H1014" s="23">
        <v>62900</v>
      </c>
    </row>
    <row r="1015" spans="7:8" x14ac:dyDescent="0.35">
      <c r="G1015" t="s">
        <v>1031</v>
      </c>
      <c r="H1015" s="23">
        <v>70500</v>
      </c>
    </row>
    <row r="1016" spans="7:8" x14ac:dyDescent="0.35">
      <c r="G1016" t="s">
        <v>1032</v>
      </c>
      <c r="H1016" s="23">
        <v>71300</v>
      </c>
    </row>
    <row r="1017" spans="7:8" x14ac:dyDescent="0.35">
      <c r="G1017" t="s">
        <v>1033</v>
      </c>
      <c r="H1017" s="23">
        <v>92800</v>
      </c>
    </row>
    <row r="1018" spans="7:8" x14ac:dyDescent="0.35">
      <c r="G1018" t="s">
        <v>1034</v>
      </c>
      <c r="H1018" s="23">
        <v>43700</v>
      </c>
    </row>
    <row r="1019" spans="7:8" x14ac:dyDescent="0.35">
      <c r="G1019" t="s">
        <v>1035</v>
      </c>
      <c r="H1019" s="23">
        <v>72500</v>
      </c>
    </row>
    <row r="1020" spans="7:8" x14ac:dyDescent="0.35">
      <c r="G1020" t="s">
        <v>1036</v>
      </c>
      <c r="H1020" s="23">
        <v>125700</v>
      </c>
    </row>
    <row r="1021" spans="7:8" x14ac:dyDescent="0.35">
      <c r="G1021" t="s">
        <v>1037</v>
      </c>
      <c r="H1021" s="23">
        <v>92300</v>
      </c>
    </row>
    <row r="1022" spans="7:8" x14ac:dyDescent="0.35">
      <c r="G1022" t="s">
        <v>1038</v>
      </c>
      <c r="H1022" s="23">
        <v>48000</v>
      </c>
    </row>
    <row r="1023" spans="7:8" x14ac:dyDescent="0.35">
      <c r="G1023" t="s">
        <v>1039</v>
      </c>
      <c r="H1023" s="23">
        <v>79000</v>
      </c>
    </row>
    <row r="1024" spans="7:8" x14ac:dyDescent="0.35">
      <c r="G1024" t="s">
        <v>1040</v>
      </c>
      <c r="H1024" s="23">
        <v>72500</v>
      </c>
    </row>
    <row r="1025" spans="7:8" x14ac:dyDescent="0.35">
      <c r="G1025" t="s">
        <v>1041</v>
      </c>
      <c r="H1025" s="23">
        <v>86100</v>
      </c>
    </row>
    <row r="1026" spans="7:8" x14ac:dyDescent="0.35">
      <c r="G1026" t="s">
        <v>1042</v>
      </c>
      <c r="H1026" s="23">
        <v>78500</v>
      </c>
    </row>
    <row r="1027" spans="7:8" x14ac:dyDescent="0.35">
      <c r="G1027" t="s">
        <v>1043</v>
      </c>
      <c r="H1027" s="23">
        <v>92600</v>
      </c>
    </row>
    <row r="1028" spans="7:8" x14ac:dyDescent="0.35">
      <c r="G1028" t="s">
        <v>1044</v>
      </c>
      <c r="H1028" s="23">
        <v>85800</v>
      </c>
    </row>
    <row r="1029" spans="7:8" x14ac:dyDescent="0.35">
      <c r="G1029" t="s">
        <v>1045</v>
      </c>
      <c r="H1029" s="23">
        <v>51600</v>
      </c>
    </row>
    <row r="1030" spans="7:8" x14ac:dyDescent="0.35">
      <c r="G1030" t="s">
        <v>1046</v>
      </c>
      <c r="H1030" s="23">
        <v>82900</v>
      </c>
    </row>
    <row r="1031" spans="7:8" x14ac:dyDescent="0.35">
      <c r="G1031" t="s">
        <v>1047</v>
      </c>
      <c r="H1031" s="23">
        <v>72600</v>
      </c>
    </row>
    <row r="1032" spans="7:8" x14ac:dyDescent="0.35">
      <c r="G1032" t="s">
        <v>1048</v>
      </c>
      <c r="H1032" s="23">
        <v>77000</v>
      </c>
    </row>
    <row r="1033" spans="7:8" x14ac:dyDescent="0.35">
      <c r="G1033" t="s">
        <v>1049</v>
      </c>
      <c r="H1033" s="23">
        <v>65600</v>
      </c>
    </row>
    <row r="1034" spans="7:8" x14ac:dyDescent="0.35">
      <c r="G1034" t="s">
        <v>1050</v>
      </c>
      <c r="H1034" s="23">
        <v>95600</v>
      </c>
    </row>
    <row r="1035" spans="7:8" x14ac:dyDescent="0.35">
      <c r="G1035" t="s">
        <v>1051</v>
      </c>
      <c r="H1035" s="23">
        <v>98200</v>
      </c>
    </row>
    <row r="1036" spans="7:8" x14ac:dyDescent="0.35">
      <c r="G1036" t="s">
        <v>1052</v>
      </c>
      <c r="H1036" s="23">
        <v>111900</v>
      </c>
    </row>
    <row r="1037" spans="7:8" x14ac:dyDescent="0.35">
      <c r="G1037" t="s">
        <v>1053</v>
      </c>
      <c r="H1037" s="23">
        <v>84200</v>
      </c>
    </row>
    <row r="1038" spans="7:8" x14ac:dyDescent="0.35">
      <c r="G1038" t="s">
        <v>1054</v>
      </c>
      <c r="H1038" s="23">
        <v>132300</v>
      </c>
    </row>
    <row r="1039" spans="7:8" x14ac:dyDescent="0.35">
      <c r="G1039" t="s">
        <v>1055</v>
      </c>
      <c r="H1039" s="23">
        <v>50200</v>
      </c>
    </row>
    <row r="1040" spans="7:8" x14ac:dyDescent="0.35">
      <c r="G1040" t="s">
        <v>1056</v>
      </c>
      <c r="H1040" s="23">
        <v>91800</v>
      </c>
    </row>
    <row r="1041" spans="7:8" x14ac:dyDescent="0.35">
      <c r="G1041" t="s">
        <v>1057</v>
      </c>
      <c r="H1041" s="23">
        <v>71400</v>
      </c>
    </row>
    <row r="1042" spans="7:8" x14ac:dyDescent="0.35">
      <c r="G1042" t="s">
        <v>1058</v>
      </c>
      <c r="H1042" s="23">
        <v>97000</v>
      </c>
    </row>
    <row r="1043" spans="7:8" x14ac:dyDescent="0.35">
      <c r="G1043" t="s">
        <v>1059</v>
      </c>
      <c r="H1043" s="23">
        <v>76200</v>
      </c>
    </row>
    <row r="1044" spans="7:8" x14ac:dyDescent="0.35">
      <c r="G1044" t="s">
        <v>1060</v>
      </c>
      <c r="H1044" s="23">
        <v>84400</v>
      </c>
    </row>
    <row r="1045" spans="7:8" x14ac:dyDescent="0.35">
      <c r="G1045" t="s">
        <v>1061</v>
      </c>
      <c r="H1045" s="23">
        <v>68900</v>
      </c>
    </row>
    <row r="1046" spans="7:8" x14ac:dyDescent="0.35">
      <c r="G1046" t="s">
        <v>1062</v>
      </c>
      <c r="H1046" s="23">
        <v>105100</v>
      </c>
    </row>
    <row r="1047" spans="7:8" x14ac:dyDescent="0.35">
      <c r="G1047" t="s">
        <v>1063</v>
      </c>
      <c r="H1047" s="23">
        <v>81300</v>
      </c>
    </row>
    <row r="1048" spans="7:8" x14ac:dyDescent="0.35">
      <c r="G1048" t="s">
        <v>1064</v>
      </c>
      <c r="H1048" s="23">
        <v>113100</v>
      </c>
    </row>
    <row r="1049" spans="7:8" x14ac:dyDescent="0.35">
      <c r="G1049" t="s">
        <v>1065</v>
      </c>
      <c r="H1049" s="23">
        <v>75800</v>
      </c>
    </row>
    <row r="1050" spans="7:8" x14ac:dyDescent="0.35">
      <c r="G1050" t="s">
        <v>1066</v>
      </c>
      <c r="H1050" s="23">
        <v>106700</v>
      </c>
    </row>
    <row r="1051" spans="7:8" x14ac:dyDescent="0.35">
      <c r="G1051" t="s">
        <v>1067</v>
      </c>
      <c r="H1051" s="23">
        <v>116700</v>
      </c>
    </row>
    <row r="1052" spans="7:8" x14ac:dyDescent="0.35">
      <c r="G1052" t="s">
        <v>1068</v>
      </c>
      <c r="H1052" s="23">
        <v>91700</v>
      </c>
    </row>
    <row r="1053" spans="7:8" x14ac:dyDescent="0.35">
      <c r="G1053" t="s">
        <v>1069</v>
      </c>
      <c r="H1053" s="23">
        <v>63200</v>
      </c>
    </row>
    <row r="1054" spans="7:8" x14ac:dyDescent="0.35">
      <c r="G1054" t="s">
        <v>1070</v>
      </c>
      <c r="H1054" s="23">
        <v>68700</v>
      </c>
    </row>
    <row r="1055" spans="7:8" x14ac:dyDescent="0.35">
      <c r="G1055" t="s">
        <v>1071</v>
      </c>
      <c r="H1055" s="23">
        <v>99200</v>
      </c>
    </row>
    <row r="1056" spans="7:8" x14ac:dyDescent="0.35">
      <c r="G1056" t="s">
        <v>1072</v>
      </c>
      <c r="H1056" s="23">
        <v>79500</v>
      </c>
    </row>
    <row r="1057" spans="7:8" x14ac:dyDescent="0.35">
      <c r="G1057" t="s">
        <v>1073</v>
      </c>
      <c r="H1057" s="23">
        <v>87500</v>
      </c>
    </row>
    <row r="1058" spans="7:8" x14ac:dyDescent="0.35">
      <c r="G1058" t="s">
        <v>1074</v>
      </c>
      <c r="H1058" s="23">
        <v>105500</v>
      </c>
    </row>
    <row r="1059" spans="7:8" x14ac:dyDescent="0.35">
      <c r="G1059" t="s">
        <v>1075</v>
      </c>
      <c r="H1059" s="23">
        <v>85500</v>
      </c>
    </row>
    <row r="1060" spans="7:8" x14ac:dyDescent="0.35">
      <c r="G1060" t="s">
        <v>1076</v>
      </c>
      <c r="H1060" s="23">
        <v>120200</v>
      </c>
    </row>
    <row r="1061" spans="7:8" x14ac:dyDescent="0.35">
      <c r="G1061" t="s">
        <v>1077</v>
      </c>
      <c r="H1061" s="23">
        <v>98300</v>
      </c>
    </row>
    <row r="1062" spans="7:8" x14ac:dyDescent="0.35">
      <c r="G1062" t="s">
        <v>1078</v>
      </c>
      <c r="H1062" s="23">
        <v>60100</v>
      </c>
    </row>
    <row r="1063" spans="7:8" x14ac:dyDescent="0.35">
      <c r="G1063" t="s">
        <v>1079</v>
      </c>
      <c r="H1063" s="23">
        <v>77200</v>
      </c>
    </row>
    <row r="1064" spans="7:8" x14ac:dyDescent="0.35">
      <c r="G1064" t="s">
        <v>1080</v>
      </c>
      <c r="H1064" s="23">
        <v>87100</v>
      </c>
    </row>
    <row r="1065" spans="7:8" x14ac:dyDescent="0.35">
      <c r="G1065" t="s">
        <v>1081</v>
      </c>
      <c r="H1065" s="23">
        <v>95600</v>
      </c>
    </row>
    <row r="1066" spans="7:8" x14ac:dyDescent="0.35">
      <c r="G1066" t="s">
        <v>1082</v>
      </c>
      <c r="H1066" s="23">
        <v>81600</v>
      </c>
    </row>
    <row r="1067" spans="7:8" x14ac:dyDescent="0.35">
      <c r="G1067" t="s">
        <v>1083</v>
      </c>
      <c r="H1067" s="23">
        <v>61200</v>
      </c>
    </row>
    <row r="1068" spans="7:8" x14ac:dyDescent="0.35">
      <c r="G1068" t="s">
        <v>1084</v>
      </c>
      <c r="H1068" s="23">
        <v>91500</v>
      </c>
    </row>
    <row r="1069" spans="7:8" x14ac:dyDescent="0.35">
      <c r="G1069" t="s">
        <v>1085</v>
      </c>
      <c r="H1069" s="23">
        <v>87500</v>
      </c>
    </row>
    <row r="1070" spans="7:8" x14ac:dyDescent="0.35">
      <c r="G1070" t="s">
        <v>1086</v>
      </c>
      <c r="H1070" s="23">
        <v>111700</v>
      </c>
    </row>
    <row r="1071" spans="7:8" x14ac:dyDescent="0.35">
      <c r="G1071" t="s">
        <v>1087</v>
      </c>
      <c r="H1071" s="23">
        <v>39400</v>
      </c>
    </row>
    <row r="1072" spans="7:8" x14ac:dyDescent="0.35">
      <c r="G1072" t="s">
        <v>1088</v>
      </c>
      <c r="H1072" s="23">
        <v>74100</v>
      </c>
    </row>
    <row r="1073" spans="7:8" x14ac:dyDescent="0.35">
      <c r="G1073" t="s">
        <v>1089</v>
      </c>
      <c r="H1073" s="23">
        <v>84600</v>
      </c>
    </row>
    <row r="1074" spans="7:8" x14ac:dyDescent="0.35">
      <c r="G1074" t="s">
        <v>1090</v>
      </c>
      <c r="H1074" s="23">
        <v>72800</v>
      </c>
    </row>
    <row r="1075" spans="7:8" x14ac:dyDescent="0.35">
      <c r="G1075" t="s">
        <v>1091</v>
      </c>
      <c r="H1075" s="23">
        <v>99100</v>
      </c>
    </row>
    <row r="1076" spans="7:8" x14ac:dyDescent="0.35">
      <c r="G1076" t="s">
        <v>1092</v>
      </c>
      <c r="H1076" s="23">
        <v>46700</v>
      </c>
    </row>
    <row r="1077" spans="7:8" x14ac:dyDescent="0.35">
      <c r="G1077" t="s">
        <v>1093</v>
      </c>
      <c r="H1077" s="23">
        <v>69300</v>
      </c>
    </row>
    <row r="1078" spans="7:8" x14ac:dyDescent="0.35">
      <c r="G1078" t="s">
        <v>1094</v>
      </c>
      <c r="H1078" s="23">
        <v>97800</v>
      </c>
    </row>
    <row r="1079" spans="7:8" x14ac:dyDescent="0.35">
      <c r="G1079" t="s">
        <v>1095</v>
      </c>
      <c r="H1079" s="23">
        <v>54200</v>
      </c>
    </row>
    <row r="1080" spans="7:8" x14ac:dyDescent="0.35">
      <c r="G1080" t="s">
        <v>1096</v>
      </c>
      <c r="H1080" s="23">
        <v>87800</v>
      </c>
    </row>
    <row r="1081" spans="7:8" x14ac:dyDescent="0.35">
      <c r="G1081" t="s">
        <v>1097</v>
      </c>
      <c r="H1081" s="23">
        <v>85600</v>
      </c>
    </row>
    <row r="1082" spans="7:8" x14ac:dyDescent="0.35">
      <c r="G1082" t="s">
        <v>1098</v>
      </c>
      <c r="H1082" s="23">
        <v>62900</v>
      </c>
    </row>
    <row r="1083" spans="7:8" x14ac:dyDescent="0.35">
      <c r="G1083" t="s">
        <v>1099</v>
      </c>
      <c r="H1083" s="23">
        <v>89500</v>
      </c>
    </row>
    <row r="1084" spans="7:8" x14ac:dyDescent="0.35">
      <c r="G1084" t="s">
        <v>1100</v>
      </c>
      <c r="H1084" s="23">
        <v>78700</v>
      </c>
    </row>
    <row r="1085" spans="7:8" x14ac:dyDescent="0.35">
      <c r="G1085" t="s">
        <v>1101</v>
      </c>
      <c r="H1085" s="23">
        <v>98000</v>
      </c>
    </row>
    <row r="1086" spans="7:8" x14ac:dyDescent="0.35">
      <c r="G1086" t="s">
        <v>1102</v>
      </c>
      <c r="H1086" s="23">
        <v>52500</v>
      </c>
    </row>
    <row r="1087" spans="7:8" x14ac:dyDescent="0.35">
      <c r="G1087" t="s">
        <v>1103</v>
      </c>
      <c r="H1087" s="23">
        <v>68100</v>
      </c>
    </row>
    <row r="1088" spans="7:8" x14ac:dyDescent="0.35">
      <c r="G1088" t="s">
        <v>1104</v>
      </c>
      <c r="H1088" s="23">
        <v>72900</v>
      </c>
    </row>
    <row r="1089" spans="7:8" x14ac:dyDescent="0.35">
      <c r="G1089" t="s">
        <v>1105</v>
      </c>
      <c r="H1089" s="23">
        <v>98100</v>
      </c>
    </row>
    <row r="1090" spans="7:8" x14ac:dyDescent="0.35">
      <c r="G1090" t="s">
        <v>1106</v>
      </c>
      <c r="H1090" s="23">
        <v>55100</v>
      </c>
    </row>
    <row r="1091" spans="7:8" x14ac:dyDescent="0.35">
      <c r="G1091" t="s">
        <v>1107</v>
      </c>
      <c r="H1091" s="23">
        <v>116400</v>
      </c>
    </row>
    <row r="1092" spans="7:8" x14ac:dyDescent="0.35">
      <c r="G1092" t="s">
        <v>1108</v>
      </c>
      <c r="H1092" s="23">
        <v>95500</v>
      </c>
    </row>
    <row r="1093" spans="7:8" x14ac:dyDescent="0.35">
      <c r="G1093" t="s">
        <v>1109</v>
      </c>
      <c r="H1093" s="23">
        <v>55200</v>
      </c>
    </row>
    <row r="1094" spans="7:8" x14ac:dyDescent="0.35">
      <c r="G1094" t="s">
        <v>1110</v>
      </c>
      <c r="H1094" s="23">
        <v>81100</v>
      </c>
    </row>
    <row r="1095" spans="7:8" x14ac:dyDescent="0.35">
      <c r="G1095" t="s">
        <v>1111</v>
      </c>
      <c r="H1095" s="23">
        <v>75000</v>
      </c>
    </row>
    <row r="1096" spans="7:8" x14ac:dyDescent="0.35">
      <c r="G1096" t="s">
        <v>1112</v>
      </c>
      <c r="H1096" s="23">
        <v>92400</v>
      </c>
    </row>
    <row r="1097" spans="7:8" x14ac:dyDescent="0.35">
      <c r="G1097" t="s">
        <v>1113</v>
      </c>
      <c r="H1097" s="23">
        <v>103500</v>
      </c>
    </row>
    <row r="1098" spans="7:8" x14ac:dyDescent="0.35">
      <c r="G1098" t="s">
        <v>1114</v>
      </c>
      <c r="H1098" s="23">
        <v>57400</v>
      </c>
    </row>
    <row r="1099" spans="7:8" x14ac:dyDescent="0.35">
      <c r="G1099" t="s">
        <v>1115</v>
      </c>
      <c r="H1099" s="23">
        <v>117200</v>
      </c>
    </row>
    <row r="1100" spans="7:8" x14ac:dyDescent="0.35">
      <c r="G1100" t="s">
        <v>1116</v>
      </c>
      <c r="H1100" s="23">
        <v>114000</v>
      </c>
    </row>
    <row r="1101" spans="7:8" x14ac:dyDescent="0.35">
      <c r="G1101" t="s">
        <v>1117</v>
      </c>
      <c r="H1101" s="23">
        <v>50200</v>
      </c>
    </row>
    <row r="1102" spans="7:8" x14ac:dyDescent="0.35">
      <c r="G1102" t="s">
        <v>1118</v>
      </c>
      <c r="H1102" s="23">
        <v>101300</v>
      </c>
    </row>
    <row r="1103" spans="7:8" x14ac:dyDescent="0.35">
      <c r="G1103" t="s">
        <v>1119</v>
      </c>
      <c r="H1103" s="23">
        <v>82800</v>
      </c>
    </row>
    <row r="1104" spans="7:8" x14ac:dyDescent="0.35">
      <c r="G1104" t="s">
        <v>1120</v>
      </c>
      <c r="H1104" s="23">
        <v>63900</v>
      </c>
    </row>
    <row r="1105" spans="7:8" x14ac:dyDescent="0.35">
      <c r="G1105" t="s">
        <v>1121</v>
      </c>
      <c r="H1105" s="23">
        <v>85800</v>
      </c>
    </row>
    <row r="1106" spans="7:8" x14ac:dyDescent="0.35">
      <c r="G1106" t="s">
        <v>1122</v>
      </c>
      <c r="H1106" s="23">
        <v>105700</v>
      </c>
    </row>
    <row r="1107" spans="7:8" x14ac:dyDescent="0.35">
      <c r="G1107" t="s">
        <v>1123</v>
      </c>
      <c r="H1107" s="23">
        <v>74400</v>
      </c>
    </row>
    <row r="1108" spans="7:8" x14ac:dyDescent="0.35">
      <c r="G1108" t="s">
        <v>1124</v>
      </c>
      <c r="H1108" s="23">
        <v>120900</v>
      </c>
    </row>
    <row r="1109" spans="7:8" x14ac:dyDescent="0.35">
      <c r="G1109" t="s">
        <v>1125</v>
      </c>
      <c r="H1109" s="23">
        <v>101300</v>
      </c>
    </row>
    <row r="1110" spans="7:8" x14ac:dyDescent="0.35">
      <c r="G1110" t="s">
        <v>1126</v>
      </c>
      <c r="H1110" s="23">
        <v>116600</v>
      </c>
    </row>
    <row r="1111" spans="7:8" x14ac:dyDescent="0.35">
      <c r="G1111" t="s">
        <v>1127</v>
      </c>
      <c r="H1111" s="23">
        <v>91900</v>
      </c>
    </row>
    <row r="1112" spans="7:8" x14ac:dyDescent="0.35">
      <c r="G1112" t="s">
        <v>1128</v>
      </c>
      <c r="H1112" s="23">
        <v>78000</v>
      </c>
    </row>
    <row r="1113" spans="7:8" x14ac:dyDescent="0.35">
      <c r="G1113" t="s">
        <v>1129</v>
      </c>
      <c r="H1113" s="23">
        <v>52000</v>
      </c>
    </row>
    <row r="1114" spans="7:8" x14ac:dyDescent="0.35">
      <c r="G1114" t="s">
        <v>1130</v>
      </c>
      <c r="H1114" s="23">
        <v>115000</v>
      </c>
    </row>
    <row r="1115" spans="7:8" x14ac:dyDescent="0.35">
      <c r="G1115" t="s">
        <v>1131</v>
      </c>
      <c r="H1115" s="23">
        <v>61300</v>
      </c>
    </row>
    <row r="1116" spans="7:8" x14ac:dyDescent="0.35">
      <c r="G1116" t="s">
        <v>1132</v>
      </c>
      <c r="H1116" s="23">
        <v>76000</v>
      </c>
    </row>
    <row r="1117" spans="7:8" x14ac:dyDescent="0.35">
      <c r="G1117" t="s">
        <v>1133</v>
      </c>
      <c r="H1117" s="23">
        <v>120100</v>
      </c>
    </row>
    <row r="1118" spans="7:8" x14ac:dyDescent="0.35">
      <c r="G1118" t="s">
        <v>1134</v>
      </c>
      <c r="H1118" s="23">
        <v>100200</v>
      </c>
    </row>
    <row r="1119" spans="7:8" x14ac:dyDescent="0.35">
      <c r="G1119" t="s">
        <v>1135</v>
      </c>
      <c r="H1119" s="23">
        <v>71400</v>
      </c>
    </row>
    <row r="1120" spans="7:8" x14ac:dyDescent="0.35">
      <c r="G1120" t="s">
        <v>1136</v>
      </c>
      <c r="H1120" s="23">
        <v>63500</v>
      </c>
    </row>
    <row r="1121" spans="7:8" x14ac:dyDescent="0.35">
      <c r="G1121" t="s">
        <v>1137</v>
      </c>
      <c r="H1121" s="23">
        <v>109900</v>
      </c>
    </row>
    <row r="1122" spans="7:8" x14ac:dyDescent="0.35">
      <c r="G1122" t="s">
        <v>1138</v>
      </c>
      <c r="H1122" s="23">
        <v>79400</v>
      </c>
    </row>
    <row r="1123" spans="7:8" x14ac:dyDescent="0.35">
      <c r="G1123" t="s">
        <v>1139</v>
      </c>
      <c r="H1123" s="23">
        <v>78300</v>
      </c>
    </row>
    <row r="1124" spans="7:8" x14ac:dyDescent="0.35">
      <c r="G1124" t="s">
        <v>1140</v>
      </c>
      <c r="H1124" s="23">
        <v>86400</v>
      </c>
    </row>
    <row r="1125" spans="7:8" x14ac:dyDescent="0.35">
      <c r="G1125" t="s">
        <v>1141</v>
      </c>
      <c r="H1125" s="23">
        <v>90800</v>
      </c>
    </row>
    <row r="1126" spans="7:8" x14ac:dyDescent="0.35">
      <c r="G1126" t="s">
        <v>1142</v>
      </c>
      <c r="H1126" s="23">
        <v>94600</v>
      </c>
    </row>
    <row r="1127" spans="7:8" x14ac:dyDescent="0.35">
      <c r="G1127" t="s">
        <v>1143</v>
      </c>
      <c r="H1127" s="23">
        <v>89600</v>
      </c>
    </row>
    <row r="1128" spans="7:8" x14ac:dyDescent="0.35">
      <c r="G1128" t="s">
        <v>1144</v>
      </c>
      <c r="H1128" s="23">
        <v>90600</v>
      </c>
    </row>
    <row r="1129" spans="7:8" x14ac:dyDescent="0.35">
      <c r="G1129" t="s">
        <v>1145</v>
      </c>
      <c r="H1129" s="23">
        <v>111400</v>
      </c>
    </row>
    <row r="1130" spans="7:8" x14ac:dyDescent="0.35">
      <c r="G1130" t="s">
        <v>1146</v>
      </c>
      <c r="H1130" s="23">
        <v>76400</v>
      </c>
    </row>
    <row r="1131" spans="7:8" x14ac:dyDescent="0.35">
      <c r="G1131" t="s">
        <v>1147</v>
      </c>
      <c r="H1131" s="23">
        <v>105900</v>
      </c>
    </row>
    <row r="1132" spans="7:8" x14ac:dyDescent="0.35">
      <c r="G1132" t="s">
        <v>1148</v>
      </c>
      <c r="H1132" s="23">
        <v>64500</v>
      </c>
    </row>
    <row r="1133" spans="7:8" x14ac:dyDescent="0.35">
      <c r="G1133" t="s">
        <v>1149</v>
      </c>
      <c r="H1133" s="23">
        <v>79400</v>
      </c>
    </row>
    <row r="1134" spans="7:8" x14ac:dyDescent="0.35">
      <c r="G1134" t="s">
        <v>1150</v>
      </c>
      <c r="H1134" s="23">
        <v>81800</v>
      </c>
    </row>
    <row r="1135" spans="7:8" x14ac:dyDescent="0.35">
      <c r="G1135" t="s">
        <v>1151</v>
      </c>
      <c r="H1135" s="23">
        <v>85700</v>
      </c>
    </row>
    <row r="1136" spans="7:8" x14ac:dyDescent="0.35">
      <c r="G1136" t="s">
        <v>1152</v>
      </c>
      <c r="H1136" s="23">
        <v>90100</v>
      </c>
    </row>
    <row r="1137" spans="7:8" x14ac:dyDescent="0.35">
      <c r="G1137" t="s">
        <v>1153</v>
      </c>
      <c r="H1137" s="23">
        <v>85300</v>
      </c>
    </row>
    <row r="1138" spans="7:8" x14ac:dyDescent="0.35">
      <c r="G1138" t="s">
        <v>1154</v>
      </c>
      <c r="H1138" s="23">
        <v>107600</v>
      </c>
    </row>
    <row r="1139" spans="7:8" x14ac:dyDescent="0.35">
      <c r="G1139" t="s">
        <v>1155</v>
      </c>
      <c r="H1139" s="23">
        <v>59900</v>
      </c>
    </row>
    <row r="1140" spans="7:8" x14ac:dyDescent="0.35">
      <c r="G1140" t="s">
        <v>1156</v>
      </c>
      <c r="H1140" s="23">
        <v>125300</v>
      </c>
    </row>
    <row r="1141" spans="7:8" x14ac:dyDescent="0.35">
      <c r="G1141" t="s">
        <v>1157</v>
      </c>
      <c r="H1141" s="23">
        <v>82900</v>
      </c>
    </row>
    <row r="1142" spans="7:8" x14ac:dyDescent="0.35">
      <c r="G1142" t="s">
        <v>1158</v>
      </c>
      <c r="H1142" s="23">
        <v>86500</v>
      </c>
    </row>
    <row r="1143" spans="7:8" x14ac:dyDescent="0.35">
      <c r="G1143" t="s">
        <v>1159</v>
      </c>
      <c r="H1143" s="23">
        <v>104100</v>
      </c>
    </row>
    <row r="1144" spans="7:8" x14ac:dyDescent="0.35">
      <c r="G1144" t="s">
        <v>1160</v>
      </c>
      <c r="H1144" s="23">
        <v>95900</v>
      </c>
    </row>
    <row r="1145" spans="7:8" x14ac:dyDescent="0.35">
      <c r="G1145" t="s">
        <v>1161</v>
      </c>
      <c r="H1145" s="23">
        <v>73400</v>
      </c>
    </row>
    <row r="1146" spans="7:8" x14ac:dyDescent="0.35">
      <c r="G1146" t="s">
        <v>1162</v>
      </c>
      <c r="H1146" s="23">
        <v>93500</v>
      </c>
    </row>
    <row r="1147" spans="7:8" x14ac:dyDescent="0.35">
      <c r="G1147" t="s">
        <v>1163</v>
      </c>
      <c r="H1147" s="23">
        <v>92000</v>
      </c>
    </row>
    <row r="1148" spans="7:8" x14ac:dyDescent="0.35">
      <c r="G1148" t="s">
        <v>1164</v>
      </c>
      <c r="H1148" s="23">
        <v>83300</v>
      </c>
    </row>
    <row r="1149" spans="7:8" x14ac:dyDescent="0.35">
      <c r="G1149" t="s">
        <v>1165</v>
      </c>
      <c r="H1149" s="23">
        <v>69500</v>
      </c>
    </row>
    <row r="1150" spans="7:8" x14ac:dyDescent="0.35">
      <c r="G1150" t="s">
        <v>1166</v>
      </c>
      <c r="H1150" s="23">
        <v>80100</v>
      </c>
    </row>
    <row r="1151" spans="7:8" x14ac:dyDescent="0.35">
      <c r="G1151" t="s">
        <v>1167</v>
      </c>
      <c r="H1151" s="23">
        <v>69400</v>
      </c>
    </row>
    <row r="1152" spans="7:8" x14ac:dyDescent="0.35">
      <c r="G1152" t="s">
        <v>1168</v>
      </c>
      <c r="H1152" s="23">
        <v>78700</v>
      </c>
    </row>
    <row r="1153" spans="7:8" x14ac:dyDescent="0.35">
      <c r="G1153" t="s">
        <v>1169</v>
      </c>
      <c r="H1153" s="23">
        <v>94500</v>
      </c>
    </row>
    <row r="1154" spans="7:8" x14ac:dyDescent="0.35">
      <c r="G1154" t="s">
        <v>1170</v>
      </c>
      <c r="H1154" s="23">
        <v>113700</v>
      </c>
    </row>
    <row r="1155" spans="7:8" x14ac:dyDescent="0.35">
      <c r="G1155" t="s">
        <v>1171</v>
      </c>
      <c r="H1155" s="23">
        <v>81300</v>
      </c>
    </row>
    <row r="1156" spans="7:8" x14ac:dyDescent="0.35">
      <c r="G1156" t="s">
        <v>1172</v>
      </c>
      <c r="H1156" s="23">
        <v>43200</v>
      </c>
    </row>
    <row r="1157" spans="7:8" x14ac:dyDescent="0.35">
      <c r="G1157" t="s">
        <v>1173</v>
      </c>
      <c r="H1157" s="23">
        <v>119600</v>
      </c>
    </row>
    <row r="1158" spans="7:8" x14ac:dyDescent="0.35">
      <c r="G1158" t="s">
        <v>1174</v>
      </c>
      <c r="H1158" s="23">
        <v>78900</v>
      </c>
    </row>
    <row r="1159" spans="7:8" x14ac:dyDescent="0.35">
      <c r="G1159" t="s">
        <v>1175</v>
      </c>
      <c r="H1159" s="23">
        <v>83000</v>
      </c>
    </row>
    <row r="1160" spans="7:8" x14ac:dyDescent="0.35">
      <c r="G1160" t="s">
        <v>1176</v>
      </c>
      <c r="H1160" s="23">
        <v>80600</v>
      </c>
    </row>
    <row r="1161" spans="7:8" x14ac:dyDescent="0.35">
      <c r="G1161" t="s">
        <v>1177</v>
      </c>
      <c r="H1161" s="23">
        <v>74700</v>
      </c>
    </row>
    <row r="1162" spans="7:8" x14ac:dyDescent="0.35">
      <c r="G1162" t="s">
        <v>1178</v>
      </c>
      <c r="H1162" s="23">
        <v>62100</v>
      </c>
    </row>
    <row r="1163" spans="7:8" x14ac:dyDescent="0.35">
      <c r="G1163" t="s">
        <v>1179</v>
      </c>
      <c r="H1163" s="23">
        <v>70200</v>
      </c>
    </row>
    <row r="1164" spans="7:8" x14ac:dyDescent="0.35">
      <c r="G1164" t="s">
        <v>1180</v>
      </c>
      <c r="H1164" s="23">
        <v>79100</v>
      </c>
    </row>
    <row r="1165" spans="7:8" x14ac:dyDescent="0.35">
      <c r="G1165" t="s">
        <v>1181</v>
      </c>
      <c r="H1165" s="23">
        <v>105900</v>
      </c>
    </row>
    <row r="1166" spans="7:8" x14ac:dyDescent="0.35">
      <c r="G1166" t="s">
        <v>1182</v>
      </c>
      <c r="H1166" s="23">
        <v>83600</v>
      </c>
    </row>
    <row r="1167" spans="7:8" x14ac:dyDescent="0.35">
      <c r="G1167" t="s">
        <v>1183</v>
      </c>
      <c r="H1167" s="23">
        <v>72800</v>
      </c>
    </row>
    <row r="1168" spans="7:8" x14ac:dyDescent="0.35">
      <c r="G1168" t="s">
        <v>1184</v>
      </c>
      <c r="H1168" s="23">
        <v>76400</v>
      </c>
    </row>
    <row r="1169" spans="7:8" x14ac:dyDescent="0.35">
      <c r="G1169" t="s">
        <v>1185</v>
      </c>
      <c r="H1169" s="23">
        <v>84900</v>
      </c>
    </row>
    <row r="1170" spans="7:8" x14ac:dyDescent="0.35">
      <c r="G1170" t="s">
        <v>1186</v>
      </c>
      <c r="H1170" s="23">
        <v>72300</v>
      </c>
    </row>
    <row r="1171" spans="7:8" x14ac:dyDescent="0.35">
      <c r="G1171" t="s">
        <v>1187</v>
      </c>
      <c r="H1171" s="23">
        <v>64500</v>
      </c>
    </row>
    <row r="1172" spans="7:8" x14ac:dyDescent="0.35">
      <c r="G1172" t="s">
        <v>1188</v>
      </c>
      <c r="H1172" s="23">
        <v>94100</v>
      </c>
    </row>
    <row r="1173" spans="7:8" x14ac:dyDescent="0.35">
      <c r="G1173" t="s">
        <v>1189</v>
      </c>
      <c r="H1173" s="23">
        <v>109500</v>
      </c>
    </row>
    <row r="1174" spans="7:8" x14ac:dyDescent="0.35">
      <c r="G1174" t="s">
        <v>1190</v>
      </c>
      <c r="H1174" s="23">
        <v>80900</v>
      </c>
    </row>
    <row r="1175" spans="7:8" x14ac:dyDescent="0.35">
      <c r="G1175" t="s">
        <v>1191</v>
      </c>
      <c r="H1175" s="23">
        <v>96700</v>
      </c>
    </row>
    <row r="1176" spans="7:8" x14ac:dyDescent="0.35">
      <c r="G1176" t="s">
        <v>1192</v>
      </c>
      <c r="H1176" s="23">
        <v>105500</v>
      </c>
    </row>
    <row r="1177" spans="7:8" x14ac:dyDescent="0.35">
      <c r="G1177" t="s">
        <v>1193</v>
      </c>
      <c r="H1177" s="23">
        <v>47300</v>
      </c>
    </row>
    <row r="1178" spans="7:8" x14ac:dyDescent="0.35">
      <c r="G1178" t="s">
        <v>1194</v>
      </c>
      <c r="H1178" s="23">
        <v>91500</v>
      </c>
    </row>
    <row r="1179" spans="7:8" x14ac:dyDescent="0.35">
      <c r="G1179" t="s">
        <v>1195</v>
      </c>
      <c r="H1179" s="23">
        <v>59400</v>
      </c>
    </row>
    <row r="1180" spans="7:8" x14ac:dyDescent="0.35">
      <c r="G1180" t="s">
        <v>1196</v>
      </c>
      <c r="H1180" s="23">
        <v>38500</v>
      </c>
    </row>
    <row r="1181" spans="7:8" x14ac:dyDescent="0.35">
      <c r="G1181" t="s">
        <v>1197</v>
      </c>
      <c r="H1181" s="23">
        <v>57600</v>
      </c>
    </row>
    <row r="1182" spans="7:8" x14ac:dyDescent="0.35">
      <c r="G1182" t="s">
        <v>1198</v>
      </c>
      <c r="H1182" s="23">
        <v>58100</v>
      </c>
    </row>
    <row r="1183" spans="7:8" x14ac:dyDescent="0.35">
      <c r="G1183" t="s">
        <v>1199</v>
      </c>
      <c r="H1183" s="23">
        <v>81800</v>
      </c>
    </row>
    <row r="1184" spans="7:8" x14ac:dyDescent="0.35">
      <c r="G1184" t="s">
        <v>1200</v>
      </c>
      <c r="H1184" s="23">
        <v>56300</v>
      </c>
    </row>
    <row r="1185" spans="7:8" x14ac:dyDescent="0.35">
      <c r="G1185" t="s">
        <v>1201</v>
      </c>
      <c r="H1185" s="23">
        <v>89200</v>
      </c>
    </row>
    <row r="1186" spans="7:8" x14ac:dyDescent="0.35">
      <c r="G1186" t="s">
        <v>1202</v>
      </c>
      <c r="H1186" s="23">
        <v>91800</v>
      </c>
    </row>
    <row r="1187" spans="7:8" x14ac:dyDescent="0.35">
      <c r="G1187" t="s">
        <v>1203</v>
      </c>
      <c r="H1187" s="23">
        <v>61000</v>
      </c>
    </row>
    <row r="1188" spans="7:8" x14ac:dyDescent="0.35">
      <c r="G1188" t="s">
        <v>1204</v>
      </c>
      <c r="H1188" s="23">
        <v>54300</v>
      </c>
    </row>
    <row r="1189" spans="7:8" x14ac:dyDescent="0.35">
      <c r="G1189" t="s">
        <v>1205</v>
      </c>
      <c r="H1189" s="23">
        <v>108700</v>
      </c>
    </row>
    <row r="1190" spans="7:8" x14ac:dyDescent="0.35">
      <c r="G1190" t="s">
        <v>1206</v>
      </c>
      <c r="H1190" s="23">
        <v>58400</v>
      </c>
    </row>
    <row r="1191" spans="7:8" x14ac:dyDescent="0.35">
      <c r="G1191" t="s">
        <v>1207</v>
      </c>
      <c r="H1191" s="23">
        <v>88200</v>
      </c>
    </row>
    <row r="1192" spans="7:8" x14ac:dyDescent="0.35">
      <c r="G1192" t="s">
        <v>1208</v>
      </c>
      <c r="H1192" s="23">
        <v>112200</v>
      </c>
    </row>
    <row r="1193" spans="7:8" x14ac:dyDescent="0.35">
      <c r="G1193" t="s">
        <v>1209</v>
      </c>
      <c r="H1193" s="23">
        <v>55600</v>
      </c>
    </row>
    <row r="1194" spans="7:8" x14ac:dyDescent="0.35">
      <c r="G1194" t="s">
        <v>1210</v>
      </c>
      <c r="H1194" s="23">
        <v>87400</v>
      </c>
    </row>
    <row r="1195" spans="7:8" x14ac:dyDescent="0.35">
      <c r="G1195" t="s">
        <v>1211</v>
      </c>
      <c r="H1195" s="23">
        <v>112900</v>
      </c>
    </row>
    <row r="1196" spans="7:8" x14ac:dyDescent="0.35">
      <c r="G1196" t="s">
        <v>1212</v>
      </c>
      <c r="H1196" s="23">
        <v>106200</v>
      </c>
    </row>
    <row r="1197" spans="7:8" x14ac:dyDescent="0.35">
      <c r="G1197" t="s">
        <v>1213</v>
      </c>
      <c r="H1197" s="23">
        <v>95100</v>
      </c>
    </row>
    <row r="1198" spans="7:8" x14ac:dyDescent="0.35">
      <c r="G1198" t="s">
        <v>1214</v>
      </c>
      <c r="H1198" s="23">
        <v>63000</v>
      </c>
    </row>
    <row r="1199" spans="7:8" x14ac:dyDescent="0.35">
      <c r="G1199" t="s">
        <v>1215</v>
      </c>
      <c r="H1199" s="23">
        <v>75600</v>
      </c>
    </row>
    <row r="1200" spans="7:8" x14ac:dyDescent="0.35">
      <c r="G1200" t="s">
        <v>1216</v>
      </c>
      <c r="H1200" s="23">
        <v>62400</v>
      </c>
    </row>
    <row r="1201" spans="7:8" x14ac:dyDescent="0.35">
      <c r="G1201" t="s">
        <v>1217</v>
      </c>
      <c r="H1201" s="23">
        <v>71500</v>
      </c>
    </row>
    <row r="1202" spans="7:8" x14ac:dyDescent="0.35">
      <c r="G1202" t="s">
        <v>1218</v>
      </c>
      <c r="H1202" s="23">
        <v>78700</v>
      </c>
    </row>
    <row r="1203" spans="7:8" x14ac:dyDescent="0.35">
      <c r="G1203" t="s">
        <v>1219</v>
      </c>
      <c r="H1203" s="23">
        <v>113500</v>
      </c>
    </row>
    <row r="1204" spans="7:8" x14ac:dyDescent="0.35">
      <c r="G1204" t="s">
        <v>1220</v>
      </c>
      <c r="H1204" s="23">
        <v>82500</v>
      </c>
    </row>
    <row r="1205" spans="7:8" x14ac:dyDescent="0.35">
      <c r="G1205" t="s">
        <v>1221</v>
      </c>
      <c r="H1205" s="23">
        <v>60700</v>
      </c>
    </row>
    <row r="1206" spans="7:8" x14ac:dyDescent="0.35">
      <c r="G1206" t="s">
        <v>1222</v>
      </c>
      <c r="H1206" s="23">
        <v>101000</v>
      </c>
    </row>
    <row r="1207" spans="7:8" x14ac:dyDescent="0.35">
      <c r="G1207" t="s">
        <v>1223</v>
      </c>
      <c r="H1207" s="23">
        <v>52300</v>
      </c>
    </row>
    <row r="1208" spans="7:8" x14ac:dyDescent="0.35">
      <c r="G1208" t="s">
        <v>1224</v>
      </c>
      <c r="H1208" s="23">
        <v>90000</v>
      </c>
    </row>
    <row r="1209" spans="7:8" x14ac:dyDescent="0.35">
      <c r="G1209" t="s">
        <v>1225</v>
      </c>
      <c r="H1209" s="23">
        <v>85000</v>
      </c>
    </row>
    <row r="1210" spans="7:8" x14ac:dyDescent="0.35">
      <c r="G1210" t="s">
        <v>1226</v>
      </c>
      <c r="H1210" s="23">
        <v>66600</v>
      </c>
    </row>
    <row r="1211" spans="7:8" x14ac:dyDescent="0.35">
      <c r="G1211" t="s">
        <v>1227</v>
      </c>
      <c r="H1211" s="23">
        <v>93100</v>
      </c>
    </row>
    <row r="1212" spans="7:8" x14ac:dyDescent="0.35">
      <c r="G1212" t="s">
        <v>1228</v>
      </c>
      <c r="H1212" s="23">
        <v>63800</v>
      </c>
    </row>
    <row r="1213" spans="7:8" x14ac:dyDescent="0.35">
      <c r="G1213" t="s">
        <v>1229</v>
      </c>
      <c r="H1213" s="23">
        <v>84300</v>
      </c>
    </row>
    <row r="1214" spans="7:8" x14ac:dyDescent="0.35">
      <c r="G1214" t="s">
        <v>1230</v>
      </c>
      <c r="H1214" s="23">
        <v>110600</v>
      </c>
    </row>
    <row r="1215" spans="7:8" x14ac:dyDescent="0.35">
      <c r="G1215" t="s">
        <v>1231</v>
      </c>
      <c r="H1215" s="23">
        <v>77100</v>
      </c>
    </row>
    <row r="1216" spans="7:8" x14ac:dyDescent="0.35">
      <c r="G1216" t="s">
        <v>1232</v>
      </c>
      <c r="H1216" s="23">
        <v>62800</v>
      </c>
    </row>
    <row r="1217" spans="7:8" x14ac:dyDescent="0.35">
      <c r="G1217" t="s">
        <v>1233</v>
      </c>
      <c r="H1217" s="23">
        <v>85200</v>
      </c>
    </row>
    <row r="1218" spans="7:8" x14ac:dyDescent="0.35">
      <c r="G1218" t="s">
        <v>1234</v>
      </c>
      <c r="H1218" s="23">
        <v>65700</v>
      </c>
    </row>
    <row r="1219" spans="7:8" x14ac:dyDescent="0.35">
      <c r="G1219" t="s">
        <v>1235</v>
      </c>
      <c r="H1219" s="23">
        <v>109400</v>
      </c>
    </row>
    <row r="1220" spans="7:8" x14ac:dyDescent="0.35">
      <c r="G1220" t="s">
        <v>1236</v>
      </c>
      <c r="H1220" s="23">
        <v>73500</v>
      </c>
    </row>
    <row r="1221" spans="7:8" x14ac:dyDescent="0.35">
      <c r="G1221" t="s">
        <v>1237</v>
      </c>
      <c r="H1221" s="23">
        <v>87700</v>
      </c>
    </row>
    <row r="1222" spans="7:8" x14ac:dyDescent="0.35">
      <c r="G1222" t="s">
        <v>1238</v>
      </c>
      <c r="H1222" s="23">
        <v>94400</v>
      </c>
    </row>
    <row r="1223" spans="7:8" x14ac:dyDescent="0.35">
      <c r="G1223" t="s">
        <v>1239</v>
      </c>
      <c r="H1223" s="23">
        <v>97800</v>
      </c>
    </row>
    <row r="1224" spans="7:8" x14ac:dyDescent="0.35">
      <c r="G1224" t="s">
        <v>1240</v>
      </c>
      <c r="H1224" s="23">
        <v>93600</v>
      </c>
    </row>
    <row r="1225" spans="7:8" x14ac:dyDescent="0.35">
      <c r="G1225" t="s">
        <v>1241</v>
      </c>
      <c r="H1225" s="23">
        <v>84400</v>
      </c>
    </row>
    <row r="1226" spans="7:8" x14ac:dyDescent="0.35">
      <c r="G1226" t="s">
        <v>1242</v>
      </c>
      <c r="H1226" s="23">
        <v>95800</v>
      </c>
    </row>
    <row r="1227" spans="7:8" x14ac:dyDescent="0.35">
      <c r="G1227" t="s">
        <v>1243</v>
      </c>
      <c r="H1227" s="23">
        <v>113800</v>
      </c>
    </row>
    <row r="1228" spans="7:8" x14ac:dyDescent="0.35">
      <c r="G1228" t="s">
        <v>1244</v>
      </c>
      <c r="H1228" s="23">
        <v>66600</v>
      </c>
    </row>
    <row r="1229" spans="7:8" x14ac:dyDescent="0.35">
      <c r="G1229" t="s">
        <v>1245</v>
      </c>
      <c r="H1229" s="23">
        <v>85100</v>
      </c>
    </row>
    <row r="1230" spans="7:8" x14ac:dyDescent="0.35">
      <c r="G1230" t="s">
        <v>1246</v>
      </c>
      <c r="H1230" s="23">
        <v>91200</v>
      </c>
    </row>
    <row r="1231" spans="7:8" x14ac:dyDescent="0.35">
      <c r="G1231" t="s">
        <v>1247</v>
      </c>
      <c r="H1231" s="23">
        <v>114000</v>
      </c>
    </row>
    <row r="1232" spans="7:8" x14ac:dyDescent="0.35">
      <c r="G1232" t="s">
        <v>1248</v>
      </c>
      <c r="H1232" s="23">
        <v>98100</v>
      </c>
    </row>
    <row r="1233" spans="7:8" x14ac:dyDescent="0.35">
      <c r="G1233" t="s">
        <v>1249</v>
      </c>
      <c r="H1233" s="23">
        <v>75000</v>
      </c>
    </row>
    <row r="1234" spans="7:8" x14ac:dyDescent="0.35">
      <c r="G1234" t="s">
        <v>1250</v>
      </c>
      <c r="H1234" s="23">
        <v>58000</v>
      </c>
    </row>
    <row r="1235" spans="7:8" x14ac:dyDescent="0.35">
      <c r="G1235" t="s">
        <v>1251</v>
      </c>
      <c r="H1235" s="23">
        <v>66200</v>
      </c>
    </row>
    <row r="1236" spans="7:8" x14ac:dyDescent="0.35">
      <c r="G1236" t="s">
        <v>1252</v>
      </c>
      <c r="H1236" s="23">
        <v>58400</v>
      </c>
    </row>
    <row r="1237" spans="7:8" x14ac:dyDescent="0.35">
      <c r="G1237" t="s">
        <v>1253</v>
      </c>
      <c r="H1237" s="23">
        <v>94100</v>
      </c>
    </row>
    <row r="1238" spans="7:8" x14ac:dyDescent="0.35">
      <c r="G1238" t="s">
        <v>1254</v>
      </c>
      <c r="H1238" s="23">
        <v>97700</v>
      </c>
    </row>
    <row r="1239" spans="7:8" x14ac:dyDescent="0.35">
      <c r="G1239" t="s">
        <v>1255</v>
      </c>
      <c r="H1239" s="23">
        <v>90700</v>
      </c>
    </row>
    <row r="1240" spans="7:8" x14ac:dyDescent="0.35">
      <c r="G1240" t="s">
        <v>1256</v>
      </c>
      <c r="H1240" s="23">
        <v>100400</v>
      </c>
    </row>
    <row r="1241" spans="7:8" x14ac:dyDescent="0.35">
      <c r="G1241" t="s">
        <v>1257</v>
      </c>
      <c r="H1241" s="23">
        <v>111900</v>
      </c>
    </row>
    <row r="1242" spans="7:8" x14ac:dyDescent="0.35">
      <c r="G1242" t="s">
        <v>1258</v>
      </c>
      <c r="H1242" s="23">
        <v>64600</v>
      </c>
    </row>
    <row r="1243" spans="7:8" x14ac:dyDescent="0.35">
      <c r="G1243" t="s">
        <v>1259</v>
      </c>
      <c r="H1243" s="23">
        <v>108600</v>
      </c>
    </row>
    <row r="1244" spans="7:8" x14ac:dyDescent="0.35">
      <c r="G1244" t="s">
        <v>1260</v>
      </c>
      <c r="H1244" s="23">
        <v>81400</v>
      </c>
    </row>
    <row r="1245" spans="7:8" x14ac:dyDescent="0.35">
      <c r="G1245" t="s">
        <v>1261</v>
      </c>
      <c r="H1245" s="23">
        <v>83400</v>
      </c>
    </row>
    <row r="1246" spans="7:8" x14ac:dyDescent="0.35">
      <c r="G1246" t="s">
        <v>1262</v>
      </c>
      <c r="H1246" s="23">
        <v>107600</v>
      </c>
    </row>
    <row r="1247" spans="7:8" x14ac:dyDescent="0.35">
      <c r="G1247" t="s">
        <v>1263</v>
      </c>
      <c r="H1247" s="23">
        <v>90100</v>
      </c>
    </row>
    <row r="1248" spans="7:8" x14ac:dyDescent="0.35">
      <c r="G1248" t="s">
        <v>1264</v>
      </c>
      <c r="H1248" s="23">
        <v>78800</v>
      </c>
    </row>
    <row r="1249" spans="7:8" x14ac:dyDescent="0.35">
      <c r="G1249" t="s">
        <v>1265</v>
      </c>
      <c r="H1249" s="23">
        <v>97200</v>
      </c>
    </row>
    <row r="1250" spans="7:8" x14ac:dyDescent="0.35">
      <c r="G1250" t="s">
        <v>1266</v>
      </c>
      <c r="H1250" s="23">
        <v>87400</v>
      </c>
    </row>
    <row r="1251" spans="7:8" x14ac:dyDescent="0.35">
      <c r="G1251" t="s">
        <v>1267</v>
      </c>
      <c r="H1251" s="23">
        <v>82700</v>
      </c>
    </row>
    <row r="1252" spans="7:8" x14ac:dyDescent="0.35">
      <c r="G1252" t="s">
        <v>1268</v>
      </c>
      <c r="H1252" s="23">
        <v>98800</v>
      </c>
    </row>
    <row r="1253" spans="7:8" x14ac:dyDescent="0.35">
      <c r="G1253" t="s">
        <v>1269</v>
      </c>
      <c r="H1253" s="23">
        <v>96700</v>
      </c>
    </row>
    <row r="1254" spans="7:8" x14ac:dyDescent="0.35">
      <c r="G1254" t="s">
        <v>1270</v>
      </c>
      <c r="H1254" s="23">
        <v>94000</v>
      </c>
    </row>
    <row r="1255" spans="7:8" x14ac:dyDescent="0.35">
      <c r="G1255" t="s">
        <v>1271</v>
      </c>
      <c r="H1255" s="23">
        <v>102200</v>
      </c>
    </row>
    <row r="1256" spans="7:8" x14ac:dyDescent="0.35">
      <c r="G1256" t="s">
        <v>1272</v>
      </c>
      <c r="H1256" s="23">
        <v>90200</v>
      </c>
    </row>
    <row r="1257" spans="7:8" x14ac:dyDescent="0.35">
      <c r="G1257" t="s">
        <v>1273</v>
      </c>
      <c r="H1257" s="23">
        <v>65300</v>
      </c>
    </row>
    <row r="1258" spans="7:8" x14ac:dyDescent="0.35">
      <c r="G1258" t="s">
        <v>1274</v>
      </c>
      <c r="H1258" s="23">
        <v>102200</v>
      </c>
    </row>
    <row r="1259" spans="7:8" x14ac:dyDescent="0.35">
      <c r="G1259" t="s">
        <v>1275</v>
      </c>
      <c r="H1259" s="23">
        <v>127100</v>
      </c>
    </row>
    <row r="1260" spans="7:8" x14ac:dyDescent="0.35">
      <c r="G1260" t="s">
        <v>1276</v>
      </c>
      <c r="H1260" s="23">
        <v>40800</v>
      </c>
    </row>
    <row r="1261" spans="7:8" x14ac:dyDescent="0.35">
      <c r="G1261" t="s">
        <v>1277</v>
      </c>
      <c r="H1261" s="23">
        <v>123700</v>
      </c>
    </row>
    <row r="1262" spans="7:8" x14ac:dyDescent="0.35">
      <c r="G1262" t="s">
        <v>1278</v>
      </c>
      <c r="H1262" s="23">
        <v>104300</v>
      </c>
    </row>
    <row r="1263" spans="7:8" x14ac:dyDescent="0.35">
      <c r="G1263" t="s">
        <v>1279</v>
      </c>
      <c r="H1263" s="23">
        <v>74800</v>
      </c>
    </row>
    <row r="1264" spans="7:8" x14ac:dyDescent="0.35">
      <c r="G1264" t="s">
        <v>1280</v>
      </c>
      <c r="H1264" s="23">
        <v>68700</v>
      </c>
    </row>
    <row r="1265" spans="7:8" x14ac:dyDescent="0.35">
      <c r="G1265" t="s">
        <v>1281</v>
      </c>
      <c r="H1265" s="23">
        <v>89700</v>
      </c>
    </row>
    <row r="1266" spans="7:8" x14ac:dyDescent="0.35">
      <c r="G1266" t="s">
        <v>1282</v>
      </c>
      <c r="H1266" s="23">
        <v>48000</v>
      </c>
    </row>
    <row r="1267" spans="7:8" x14ac:dyDescent="0.35">
      <c r="G1267" t="s">
        <v>1283</v>
      </c>
      <c r="H1267" s="23">
        <v>117200</v>
      </c>
    </row>
    <row r="1268" spans="7:8" x14ac:dyDescent="0.35">
      <c r="G1268" t="s">
        <v>1284</v>
      </c>
      <c r="H1268" s="23">
        <v>87100</v>
      </c>
    </row>
    <row r="1269" spans="7:8" x14ac:dyDescent="0.35">
      <c r="G1269" t="s">
        <v>1285</v>
      </c>
      <c r="H1269" s="23">
        <v>67200</v>
      </c>
    </row>
    <row r="1270" spans="7:8" x14ac:dyDescent="0.35">
      <c r="G1270" t="s">
        <v>1286</v>
      </c>
      <c r="H1270" s="23">
        <v>76600</v>
      </c>
    </row>
    <row r="1271" spans="7:8" x14ac:dyDescent="0.35">
      <c r="G1271" t="s">
        <v>1287</v>
      </c>
      <c r="H1271" s="23">
        <v>70300</v>
      </c>
    </row>
    <row r="1272" spans="7:8" x14ac:dyDescent="0.35">
      <c r="G1272" t="s">
        <v>1288</v>
      </c>
      <c r="H1272" s="23">
        <v>102300</v>
      </c>
    </row>
    <row r="1273" spans="7:8" x14ac:dyDescent="0.35">
      <c r="G1273" t="s">
        <v>1289</v>
      </c>
      <c r="H1273" s="23">
        <v>104900</v>
      </c>
    </row>
    <row r="1274" spans="7:8" x14ac:dyDescent="0.35">
      <c r="G1274" t="s">
        <v>1290</v>
      </c>
      <c r="H1274" s="23">
        <v>73200</v>
      </c>
    </row>
    <row r="1275" spans="7:8" x14ac:dyDescent="0.35">
      <c r="G1275" t="s">
        <v>1291</v>
      </c>
      <c r="H1275" s="23">
        <v>108000</v>
      </c>
    </row>
    <row r="1276" spans="7:8" x14ac:dyDescent="0.35">
      <c r="G1276" t="s">
        <v>1292</v>
      </c>
      <c r="H1276" s="23">
        <v>70800</v>
      </c>
    </row>
    <row r="1277" spans="7:8" x14ac:dyDescent="0.35">
      <c r="G1277" t="s">
        <v>1293</v>
      </c>
      <c r="H1277" s="23">
        <v>75800</v>
      </c>
    </row>
    <row r="1278" spans="7:8" x14ac:dyDescent="0.35">
      <c r="G1278" t="s">
        <v>1294</v>
      </c>
      <c r="H1278" s="23">
        <v>107900</v>
      </c>
    </row>
    <row r="1279" spans="7:8" x14ac:dyDescent="0.35">
      <c r="G1279" t="s">
        <v>1295</v>
      </c>
      <c r="H1279" s="23">
        <v>73700</v>
      </c>
    </row>
    <row r="1280" spans="7:8" x14ac:dyDescent="0.35">
      <c r="G1280" t="s">
        <v>1296</v>
      </c>
      <c r="H1280" s="23">
        <v>82800</v>
      </c>
    </row>
    <row r="1281" spans="7:8" x14ac:dyDescent="0.35">
      <c r="G1281" t="s">
        <v>1297</v>
      </c>
      <c r="H1281" s="23">
        <v>93600</v>
      </c>
    </row>
    <row r="1282" spans="7:8" x14ac:dyDescent="0.35">
      <c r="G1282" t="s">
        <v>1298</v>
      </c>
      <c r="H1282" s="23">
        <v>112400</v>
      </c>
    </row>
    <row r="1283" spans="7:8" x14ac:dyDescent="0.35">
      <c r="G1283" t="s">
        <v>1299</v>
      </c>
      <c r="H1283" s="23">
        <v>53500</v>
      </c>
    </row>
    <row r="1284" spans="7:8" x14ac:dyDescent="0.35">
      <c r="G1284" t="s">
        <v>1300</v>
      </c>
      <c r="H1284" s="23">
        <v>132000</v>
      </c>
    </row>
    <row r="1285" spans="7:8" x14ac:dyDescent="0.35">
      <c r="G1285" t="s">
        <v>1301</v>
      </c>
      <c r="H1285" s="23">
        <v>101500</v>
      </c>
    </row>
    <row r="1286" spans="7:8" x14ac:dyDescent="0.35">
      <c r="G1286" t="s">
        <v>1302</v>
      </c>
      <c r="H1286" s="23">
        <v>109600</v>
      </c>
    </row>
    <row r="1287" spans="7:8" x14ac:dyDescent="0.35">
      <c r="G1287" t="s">
        <v>1303</v>
      </c>
      <c r="H1287" s="23">
        <v>81700</v>
      </c>
    </row>
    <row r="1288" spans="7:8" x14ac:dyDescent="0.35">
      <c r="G1288" t="s">
        <v>1304</v>
      </c>
      <c r="H1288" s="23">
        <v>80100</v>
      </c>
    </row>
    <row r="1289" spans="7:8" x14ac:dyDescent="0.35">
      <c r="G1289" t="s">
        <v>1305</v>
      </c>
      <c r="H1289" s="23">
        <v>47200</v>
      </c>
    </row>
    <row r="1290" spans="7:8" x14ac:dyDescent="0.35">
      <c r="G1290" t="s">
        <v>1306</v>
      </c>
      <c r="H1290" s="23">
        <v>86500</v>
      </c>
    </row>
    <row r="1291" spans="7:8" x14ac:dyDescent="0.35">
      <c r="G1291" t="s">
        <v>1307</v>
      </c>
      <c r="H1291" s="23">
        <v>107700</v>
      </c>
    </row>
    <row r="1292" spans="7:8" x14ac:dyDescent="0.35">
      <c r="G1292" t="s">
        <v>1308</v>
      </c>
      <c r="H1292" s="23">
        <v>73100</v>
      </c>
    </row>
    <row r="1293" spans="7:8" x14ac:dyDescent="0.35">
      <c r="G1293" t="s">
        <v>1309</v>
      </c>
      <c r="H1293" s="23">
        <v>85700</v>
      </c>
    </row>
    <row r="1294" spans="7:8" x14ac:dyDescent="0.35">
      <c r="G1294" t="s">
        <v>1310</v>
      </c>
      <c r="H1294" s="23">
        <v>78400</v>
      </c>
    </row>
    <row r="1295" spans="7:8" x14ac:dyDescent="0.35">
      <c r="G1295" t="s">
        <v>1311</v>
      </c>
      <c r="H1295" s="23">
        <v>54000</v>
      </c>
    </row>
    <row r="1296" spans="7:8" x14ac:dyDescent="0.35">
      <c r="G1296" t="s">
        <v>1312</v>
      </c>
      <c r="H1296" s="23">
        <v>82400</v>
      </c>
    </row>
    <row r="1297" spans="7:8" x14ac:dyDescent="0.35">
      <c r="G1297" t="s">
        <v>1313</v>
      </c>
      <c r="H1297" s="23">
        <v>71900</v>
      </c>
    </row>
    <row r="1298" spans="7:8" x14ac:dyDescent="0.35">
      <c r="G1298" t="s">
        <v>1314</v>
      </c>
      <c r="H1298" s="23">
        <v>107700</v>
      </c>
    </row>
    <row r="1299" spans="7:8" x14ac:dyDescent="0.35">
      <c r="G1299" t="s">
        <v>1315</v>
      </c>
      <c r="H1299" s="23">
        <v>69200</v>
      </c>
    </row>
    <row r="1300" spans="7:8" x14ac:dyDescent="0.35">
      <c r="G1300" t="s">
        <v>1316</v>
      </c>
      <c r="H1300" s="23">
        <v>83600</v>
      </c>
    </row>
    <row r="1301" spans="7:8" x14ac:dyDescent="0.35">
      <c r="G1301" t="s">
        <v>1317</v>
      </c>
      <c r="H1301" s="23">
        <v>83100</v>
      </c>
    </row>
    <row r="1302" spans="7:8" x14ac:dyDescent="0.35">
      <c r="G1302" t="s">
        <v>1318</v>
      </c>
      <c r="H1302" s="23">
        <v>97800</v>
      </c>
    </row>
    <row r="1303" spans="7:8" x14ac:dyDescent="0.35">
      <c r="G1303" t="s">
        <v>1319</v>
      </c>
      <c r="H1303" s="23">
        <v>107100</v>
      </c>
    </row>
    <row r="1304" spans="7:8" x14ac:dyDescent="0.35">
      <c r="G1304" t="s">
        <v>1320</v>
      </c>
      <c r="H1304" s="23">
        <v>71700</v>
      </c>
    </row>
    <row r="1305" spans="7:8" x14ac:dyDescent="0.35">
      <c r="G1305" t="s">
        <v>1321</v>
      </c>
      <c r="H1305" s="23">
        <v>79600</v>
      </c>
    </row>
    <row r="1306" spans="7:8" x14ac:dyDescent="0.35">
      <c r="G1306" t="s">
        <v>1322</v>
      </c>
      <c r="H1306" s="23">
        <v>49200</v>
      </c>
    </row>
    <row r="1307" spans="7:8" x14ac:dyDescent="0.35">
      <c r="G1307" t="s">
        <v>1323</v>
      </c>
      <c r="H1307" s="23">
        <v>86700</v>
      </c>
    </row>
    <row r="1308" spans="7:8" x14ac:dyDescent="0.35">
      <c r="G1308" t="s">
        <v>1324</v>
      </c>
      <c r="H1308" s="23">
        <v>79500</v>
      </c>
    </row>
    <row r="1309" spans="7:8" x14ac:dyDescent="0.35">
      <c r="G1309" t="s">
        <v>1325</v>
      </c>
      <c r="H1309" s="23">
        <v>77400</v>
      </c>
    </row>
    <row r="1310" spans="7:8" x14ac:dyDescent="0.35">
      <c r="G1310" t="s">
        <v>1326</v>
      </c>
      <c r="H1310" s="23">
        <v>92800</v>
      </c>
    </row>
    <row r="1311" spans="7:8" x14ac:dyDescent="0.35">
      <c r="G1311" t="s">
        <v>1327</v>
      </c>
      <c r="H1311" s="23">
        <v>127300</v>
      </c>
    </row>
    <row r="1312" spans="7:8" x14ac:dyDescent="0.35">
      <c r="G1312" t="s">
        <v>1328</v>
      </c>
      <c r="H1312" s="23">
        <v>74000</v>
      </c>
    </row>
    <row r="1313" spans="7:8" x14ac:dyDescent="0.35">
      <c r="G1313" t="s">
        <v>1329</v>
      </c>
      <c r="H1313" s="23">
        <v>82900</v>
      </c>
    </row>
    <row r="1314" spans="7:8" x14ac:dyDescent="0.35">
      <c r="G1314" t="s">
        <v>1330</v>
      </c>
      <c r="H1314" s="23">
        <v>62700</v>
      </c>
    </row>
    <row r="1315" spans="7:8" x14ac:dyDescent="0.35">
      <c r="G1315" t="s">
        <v>1331</v>
      </c>
      <c r="H1315" s="23">
        <v>103000</v>
      </c>
    </row>
    <row r="1316" spans="7:8" x14ac:dyDescent="0.35">
      <c r="G1316" t="s">
        <v>1332</v>
      </c>
      <c r="H1316" s="23">
        <v>120600</v>
      </c>
    </row>
    <row r="1317" spans="7:8" x14ac:dyDescent="0.35">
      <c r="G1317" t="s">
        <v>1333</v>
      </c>
      <c r="H1317" s="23">
        <v>104100</v>
      </c>
    </row>
    <row r="1318" spans="7:8" x14ac:dyDescent="0.35">
      <c r="G1318" t="s">
        <v>1334</v>
      </c>
      <c r="H1318" s="23">
        <v>80000</v>
      </c>
    </row>
    <row r="1319" spans="7:8" x14ac:dyDescent="0.35">
      <c r="G1319" t="s">
        <v>1335</v>
      </c>
      <c r="H1319" s="23">
        <v>70200</v>
      </c>
    </row>
    <row r="1320" spans="7:8" x14ac:dyDescent="0.35">
      <c r="G1320" t="s">
        <v>1336</v>
      </c>
      <c r="H1320" s="23">
        <v>55100</v>
      </c>
    </row>
    <row r="1321" spans="7:8" x14ac:dyDescent="0.35">
      <c r="G1321" t="s">
        <v>1337</v>
      </c>
      <c r="H1321" s="23">
        <v>84000</v>
      </c>
    </row>
    <row r="1322" spans="7:8" x14ac:dyDescent="0.35">
      <c r="G1322" t="s">
        <v>1338</v>
      </c>
      <c r="H1322" s="23">
        <v>119600</v>
      </c>
    </row>
    <row r="1323" spans="7:8" x14ac:dyDescent="0.35">
      <c r="G1323" t="s">
        <v>1339</v>
      </c>
      <c r="H1323" s="23">
        <v>78800</v>
      </c>
    </row>
    <row r="1324" spans="7:8" x14ac:dyDescent="0.35">
      <c r="G1324" t="s">
        <v>1340</v>
      </c>
      <c r="H1324" s="23">
        <v>71300</v>
      </c>
    </row>
    <row r="1325" spans="7:8" x14ac:dyDescent="0.35">
      <c r="G1325" t="s">
        <v>1341</v>
      </c>
      <c r="H1325" s="23">
        <v>79000</v>
      </c>
    </row>
    <row r="1326" spans="7:8" x14ac:dyDescent="0.35">
      <c r="G1326" t="s">
        <v>1342</v>
      </c>
      <c r="H1326" s="23">
        <v>97900</v>
      </c>
    </row>
    <row r="1327" spans="7:8" x14ac:dyDescent="0.35">
      <c r="G1327" t="s">
        <v>1343</v>
      </c>
      <c r="H1327" s="23">
        <v>84200</v>
      </c>
    </row>
    <row r="1328" spans="7:8" x14ac:dyDescent="0.35">
      <c r="G1328" t="s">
        <v>1344</v>
      </c>
      <c r="H1328" s="23">
        <v>105800</v>
      </c>
    </row>
    <row r="1329" spans="7:8" x14ac:dyDescent="0.35">
      <c r="G1329" t="s">
        <v>1345</v>
      </c>
      <c r="H1329" s="23">
        <v>85200</v>
      </c>
    </row>
    <row r="1330" spans="7:8" x14ac:dyDescent="0.35">
      <c r="G1330" t="s">
        <v>1346</v>
      </c>
      <c r="H1330" s="23">
        <v>83800</v>
      </c>
    </row>
    <row r="1331" spans="7:8" x14ac:dyDescent="0.35">
      <c r="G1331" t="s">
        <v>1347</v>
      </c>
      <c r="H1331" s="23">
        <v>79600</v>
      </c>
    </row>
    <row r="1332" spans="7:8" x14ac:dyDescent="0.35">
      <c r="G1332" t="s">
        <v>1348</v>
      </c>
      <c r="H1332" s="23">
        <v>107200</v>
      </c>
    </row>
    <row r="1333" spans="7:8" x14ac:dyDescent="0.35">
      <c r="G1333" t="s">
        <v>1349</v>
      </c>
      <c r="H1333" s="23">
        <v>85100</v>
      </c>
    </row>
    <row r="1334" spans="7:8" x14ac:dyDescent="0.35">
      <c r="G1334" t="s">
        <v>1350</v>
      </c>
      <c r="H1334" s="23">
        <v>59200</v>
      </c>
    </row>
    <row r="1335" spans="7:8" x14ac:dyDescent="0.35">
      <c r="G1335" t="s">
        <v>1351</v>
      </c>
      <c r="H1335" s="23">
        <v>77200</v>
      </c>
    </row>
    <row r="1336" spans="7:8" x14ac:dyDescent="0.35">
      <c r="G1336" t="s">
        <v>1352</v>
      </c>
      <c r="H1336" s="23">
        <v>98400</v>
      </c>
    </row>
    <row r="1337" spans="7:8" x14ac:dyDescent="0.35">
      <c r="G1337" t="s">
        <v>1353</v>
      </c>
      <c r="H1337" s="23">
        <v>108900</v>
      </c>
    </row>
    <row r="1338" spans="7:8" x14ac:dyDescent="0.35">
      <c r="G1338" t="s">
        <v>1354</v>
      </c>
      <c r="H1338" s="23">
        <v>56900</v>
      </c>
    </row>
    <row r="1339" spans="7:8" x14ac:dyDescent="0.35">
      <c r="G1339" t="s">
        <v>1355</v>
      </c>
      <c r="H1339" s="23">
        <v>81500</v>
      </c>
    </row>
    <row r="1340" spans="7:8" x14ac:dyDescent="0.35">
      <c r="G1340" t="s">
        <v>1356</v>
      </c>
      <c r="H1340" s="23">
        <v>80900</v>
      </c>
    </row>
    <row r="1341" spans="7:8" x14ac:dyDescent="0.35">
      <c r="G1341" t="s">
        <v>1357</v>
      </c>
      <c r="H1341" s="23">
        <v>61800</v>
      </c>
    </row>
    <row r="1342" spans="7:8" x14ac:dyDescent="0.35">
      <c r="G1342" t="s">
        <v>1358</v>
      </c>
      <c r="H1342" s="23">
        <v>63400</v>
      </c>
    </row>
    <row r="1343" spans="7:8" x14ac:dyDescent="0.35">
      <c r="G1343" t="s">
        <v>1359</v>
      </c>
      <c r="H1343" s="23">
        <v>69900</v>
      </c>
    </row>
    <row r="1344" spans="7:8" x14ac:dyDescent="0.35">
      <c r="G1344" t="s">
        <v>1360</v>
      </c>
      <c r="H1344" s="23">
        <v>79100</v>
      </c>
    </row>
    <row r="1345" spans="7:8" x14ac:dyDescent="0.35">
      <c r="G1345" t="s">
        <v>1361</v>
      </c>
      <c r="H1345" s="23">
        <v>123500</v>
      </c>
    </row>
    <row r="1346" spans="7:8" x14ac:dyDescent="0.35">
      <c r="G1346" t="s">
        <v>1362</v>
      </c>
      <c r="H1346" s="23">
        <v>96800</v>
      </c>
    </row>
    <row r="1347" spans="7:8" x14ac:dyDescent="0.35">
      <c r="G1347" t="s">
        <v>1363</v>
      </c>
      <c r="H1347" s="23">
        <v>69200</v>
      </c>
    </row>
    <row r="1348" spans="7:8" x14ac:dyDescent="0.35">
      <c r="G1348" t="s">
        <v>1364</v>
      </c>
      <c r="H1348" s="23">
        <v>94400</v>
      </c>
    </row>
    <row r="1349" spans="7:8" x14ac:dyDescent="0.35">
      <c r="G1349" t="s">
        <v>1365</v>
      </c>
      <c r="H1349" s="23">
        <v>115500</v>
      </c>
    </row>
    <row r="1350" spans="7:8" x14ac:dyDescent="0.35">
      <c r="G1350" t="s">
        <v>1366</v>
      </c>
      <c r="H1350" s="23">
        <v>93900</v>
      </c>
    </row>
    <row r="1351" spans="7:8" x14ac:dyDescent="0.35">
      <c r="G1351" t="s">
        <v>1367</v>
      </c>
      <c r="H1351" s="23">
        <v>104200</v>
      </c>
    </row>
    <row r="1352" spans="7:8" x14ac:dyDescent="0.35">
      <c r="G1352" t="s">
        <v>1368</v>
      </c>
      <c r="H1352" s="23">
        <v>56600</v>
      </c>
    </row>
    <row r="1353" spans="7:8" x14ac:dyDescent="0.35">
      <c r="G1353" t="s">
        <v>1369</v>
      </c>
      <c r="H1353" s="23">
        <v>64600</v>
      </c>
    </row>
    <row r="1354" spans="7:8" x14ac:dyDescent="0.35">
      <c r="G1354" t="s">
        <v>1370</v>
      </c>
      <c r="H1354" s="23">
        <v>102300</v>
      </c>
    </row>
    <row r="1355" spans="7:8" x14ac:dyDescent="0.35">
      <c r="G1355" t="s">
        <v>1371</v>
      </c>
      <c r="H1355" s="23">
        <v>82400</v>
      </c>
    </row>
    <row r="1356" spans="7:8" x14ac:dyDescent="0.35">
      <c r="G1356" t="s">
        <v>1372</v>
      </c>
      <c r="H1356" s="23">
        <v>74700</v>
      </c>
    </row>
    <row r="1357" spans="7:8" x14ac:dyDescent="0.35">
      <c r="G1357" t="s">
        <v>1373</v>
      </c>
      <c r="H1357" s="23">
        <v>70700</v>
      </c>
    </row>
    <row r="1358" spans="7:8" x14ac:dyDescent="0.35">
      <c r="G1358" t="s">
        <v>1374</v>
      </c>
      <c r="H1358" s="23">
        <v>46500</v>
      </c>
    </row>
    <row r="1359" spans="7:8" x14ac:dyDescent="0.35">
      <c r="G1359" t="s">
        <v>1375</v>
      </c>
      <c r="H1359" s="23">
        <v>85600</v>
      </c>
    </row>
    <row r="1360" spans="7:8" x14ac:dyDescent="0.35">
      <c r="G1360" t="s">
        <v>1376</v>
      </c>
      <c r="H1360" s="23">
        <v>89200</v>
      </c>
    </row>
    <row r="1361" spans="7:8" x14ac:dyDescent="0.35">
      <c r="G1361" t="s">
        <v>1377</v>
      </c>
      <c r="H1361" s="23">
        <v>73800</v>
      </c>
    </row>
    <row r="1362" spans="7:8" x14ac:dyDescent="0.35">
      <c r="G1362" t="s">
        <v>1378</v>
      </c>
      <c r="H1362" s="23">
        <v>98100</v>
      </c>
    </row>
    <row r="1363" spans="7:8" x14ac:dyDescent="0.35">
      <c r="G1363" t="s">
        <v>1379</v>
      </c>
      <c r="H1363" s="23">
        <v>101800</v>
      </c>
    </row>
    <row r="1364" spans="7:8" x14ac:dyDescent="0.35">
      <c r="G1364" t="s">
        <v>1380</v>
      </c>
      <c r="H1364" s="23">
        <v>86500</v>
      </c>
    </row>
    <row r="1365" spans="7:8" x14ac:dyDescent="0.35">
      <c r="G1365" t="s">
        <v>1381</v>
      </c>
      <c r="H1365" s="23">
        <v>115500</v>
      </c>
    </row>
    <row r="1366" spans="7:8" x14ac:dyDescent="0.35">
      <c r="G1366" t="s">
        <v>1382</v>
      </c>
      <c r="H1366" s="23">
        <v>107300</v>
      </c>
    </row>
    <row r="1367" spans="7:8" x14ac:dyDescent="0.35">
      <c r="G1367" t="s">
        <v>1383</v>
      </c>
      <c r="H1367" s="23">
        <v>80900</v>
      </c>
    </row>
    <row r="1368" spans="7:8" x14ac:dyDescent="0.35">
      <c r="G1368" t="s">
        <v>1384</v>
      </c>
      <c r="H1368" s="23">
        <v>104500</v>
      </c>
    </row>
    <row r="1369" spans="7:8" x14ac:dyDescent="0.35">
      <c r="G1369" t="s">
        <v>1385</v>
      </c>
      <c r="H1369" s="23">
        <v>82100</v>
      </c>
    </row>
    <row r="1370" spans="7:8" x14ac:dyDescent="0.35">
      <c r="G1370" t="s">
        <v>1386</v>
      </c>
      <c r="H1370" s="23">
        <v>58200</v>
      </c>
    </row>
    <row r="1371" spans="7:8" x14ac:dyDescent="0.35">
      <c r="G1371" t="s">
        <v>1387</v>
      </c>
      <c r="H1371" s="23">
        <v>68300</v>
      </c>
    </row>
    <row r="1372" spans="7:8" x14ac:dyDescent="0.35">
      <c r="G1372" t="s">
        <v>1388</v>
      </c>
      <c r="H1372" s="23">
        <v>68900</v>
      </c>
    </row>
    <row r="1373" spans="7:8" x14ac:dyDescent="0.35">
      <c r="G1373" t="s">
        <v>1389</v>
      </c>
      <c r="H1373" s="23">
        <v>77400</v>
      </c>
    </row>
    <row r="1374" spans="7:8" x14ac:dyDescent="0.35">
      <c r="G1374" t="s">
        <v>1390</v>
      </c>
      <c r="H1374" s="23">
        <v>57200</v>
      </c>
    </row>
    <row r="1375" spans="7:8" x14ac:dyDescent="0.35">
      <c r="G1375" t="s">
        <v>1391</v>
      </c>
      <c r="H1375" s="23">
        <v>89500</v>
      </c>
    </row>
    <row r="1376" spans="7:8" x14ac:dyDescent="0.35">
      <c r="G1376" t="s">
        <v>1392</v>
      </c>
      <c r="H1376" s="23">
        <v>100000</v>
      </c>
    </row>
    <row r="1377" spans="7:8" x14ac:dyDescent="0.35">
      <c r="G1377" t="s">
        <v>1393</v>
      </c>
      <c r="H1377" s="23">
        <v>85100</v>
      </c>
    </row>
    <row r="1378" spans="7:8" x14ac:dyDescent="0.35">
      <c r="G1378" t="s">
        <v>1394</v>
      </c>
      <c r="H1378" s="23">
        <v>101300</v>
      </c>
    </row>
    <row r="1379" spans="7:8" x14ac:dyDescent="0.35">
      <c r="G1379" t="s">
        <v>1395</v>
      </c>
      <c r="H1379" s="23">
        <v>98800</v>
      </c>
    </row>
    <row r="1380" spans="7:8" x14ac:dyDescent="0.35">
      <c r="G1380" t="s">
        <v>1396</v>
      </c>
      <c r="H1380" s="23">
        <v>69700</v>
      </c>
    </row>
    <row r="1381" spans="7:8" x14ac:dyDescent="0.35">
      <c r="G1381" t="s">
        <v>1397</v>
      </c>
      <c r="H1381" s="23">
        <v>70800</v>
      </c>
    </row>
    <row r="1382" spans="7:8" x14ac:dyDescent="0.35">
      <c r="G1382" t="s">
        <v>1398</v>
      </c>
      <c r="H1382" s="23">
        <v>104200</v>
      </c>
    </row>
    <row r="1383" spans="7:8" x14ac:dyDescent="0.35">
      <c r="G1383" t="s">
        <v>1399</v>
      </c>
      <c r="H1383" s="23">
        <v>87000</v>
      </c>
    </row>
    <row r="1384" spans="7:8" x14ac:dyDescent="0.35">
      <c r="G1384" t="s">
        <v>1400</v>
      </c>
      <c r="H1384" s="23">
        <v>93100</v>
      </c>
    </row>
    <row r="1385" spans="7:8" x14ac:dyDescent="0.35">
      <c r="G1385" t="s">
        <v>1401</v>
      </c>
      <c r="H1385" s="23">
        <v>79000</v>
      </c>
    </row>
    <row r="1386" spans="7:8" x14ac:dyDescent="0.35">
      <c r="G1386" t="s">
        <v>1402</v>
      </c>
      <c r="H1386" s="23">
        <v>54800</v>
      </c>
    </row>
    <row r="1387" spans="7:8" x14ac:dyDescent="0.35">
      <c r="G1387" t="s">
        <v>1403</v>
      </c>
      <c r="H1387" s="23">
        <v>73200</v>
      </c>
    </row>
    <row r="1388" spans="7:8" x14ac:dyDescent="0.35">
      <c r="G1388" t="s">
        <v>1404</v>
      </c>
      <c r="H1388" s="23">
        <v>101400</v>
      </c>
    </row>
    <row r="1389" spans="7:8" x14ac:dyDescent="0.35">
      <c r="G1389" t="s">
        <v>1405</v>
      </c>
      <c r="H1389" s="23">
        <v>73000</v>
      </c>
    </row>
    <row r="1390" spans="7:8" x14ac:dyDescent="0.35">
      <c r="G1390" t="s">
        <v>1406</v>
      </c>
      <c r="H1390" s="23">
        <v>76200</v>
      </c>
    </row>
    <row r="1391" spans="7:8" x14ac:dyDescent="0.35">
      <c r="G1391" t="s">
        <v>1407</v>
      </c>
      <c r="H1391" s="23">
        <v>92700</v>
      </c>
    </row>
    <row r="1392" spans="7:8" x14ac:dyDescent="0.35">
      <c r="G1392" t="s">
        <v>1408</v>
      </c>
      <c r="H1392" s="23">
        <v>65100</v>
      </c>
    </row>
    <row r="1393" spans="7:8" x14ac:dyDescent="0.35">
      <c r="G1393" t="s">
        <v>1409</v>
      </c>
      <c r="H1393" s="23">
        <v>103800</v>
      </c>
    </row>
    <row r="1394" spans="7:8" x14ac:dyDescent="0.35">
      <c r="G1394" t="s">
        <v>1410</v>
      </c>
      <c r="H1394" s="23">
        <v>79300</v>
      </c>
    </row>
    <row r="1395" spans="7:8" x14ac:dyDescent="0.35">
      <c r="G1395" t="s">
        <v>1411</v>
      </c>
      <c r="H1395" s="23">
        <v>80600</v>
      </c>
    </row>
    <row r="1396" spans="7:8" x14ac:dyDescent="0.35">
      <c r="G1396" t="s">
        <v>1412</v>
      </c>
      <c r="H1396" s="23">
        <v>72000</v>
      </c>
    </row>
    <row r="1397" spans="7:8" x14ac:dyDescent="0.35">
      <c r="G1397" t="s">
        <v>1413</v>
      </c>
      <c r="H1397" s="23">
        <v>70900</v>
      </c>
    </row>
    <row r="1398" spans="7:8" x14ac:dyDescent="0.35">
      <c r="G1398" t="s">
        <v>1414</v>
      </c>
      <c r="H1398" s="23">
        <v>62900</v>
      </c>
    </row>
    <row r="1399" spans="7:8" x14ac:dyDescent="0.35">
      <c r="G1399" t="s">
        <v>1415</v>
      </c>
      <c r="H1399" s="23">
        <v>80900</v>
      </c>
    </row>
    <row r="1400" spans="7:8" x14ac:dyDescent="0.35">
      <c r="G1400" t="s">
        <v>1416</v>
      </c>
      <c r="H1400" s="23">
        <v>91200</v>
      </c>
    </row>
    <row r="1401" spans="7:8" x14ac:dyDescent="0.35">
      <c r="G1401" t="s">
        <v>1417</v>
      </c>
      <c r="H1401" s="23">
        <v>86400</v>
      </c>
    </row>
    <row r="1402" spans="7:8" x14ac:dyDescent="0.35">
      <c r="G1402" t="s">
        <v>1418</v>
      </c>
      <c r="H1402" s="23">
        <v>80100</v>
      </c>
    </row>
    <row r="1403" spans="7:8" x14ac:dyDescent="0.35">
      <c r="G1403" t="s">
        <v>1419</v>
      </c>
      <c r="H1403" s="23">
        <v>101900</v>
      </c>
    </row>
    <row r="1404" spans="7:8" x14ac:dyDescent="0.35">
      <c r="G1404" t="s">
        <v>1420</v>
      </c>
      <c r="H1404" s="23">
        <v>103600</v>
      </c>
    </row>
    <row r="1405" spans="7:8" x14ac:dyDescent="0.35">
      <c r="G1405" t="s">
        <v>1421</v>
      </c>
      <c r="H1405" s="23">
        <v>75800</v>
      </c>
    </row>
    <row r="1406" spans="7:8" x14ac:dyDescent="0.35">
      <c r="G1406" t="s">
        <v>1422</v>
      </c>
      <c r="H1406" s="23">
        <v>102900</v>
      </c>
    </row>
    <row r="1407" spans="7:8" x14ac:dyDescent="0.35">
      <c r="G1407" t="s">
        <v>1423</v>
      </c>
      <c r="H1407" s="23">
        <v>77500</v>
      </c>
    </row>
    <row r="1408" spans="7:8" x14ac:dyDescent="0.35">
      <c r="G1408" t="s">
        <v>1424</v>
      </c>
      <c r="H1408" s="23">
        <v>80800</v>
      </c>
    </row>
    <row r="1409" spans="7:8" x14ac:dyDescent="0.35">
      <c r="G1409" t="s">
        <v>1425</v>
      </c>
      <c r="H1409" s="23">
        <v>94400</v>
      </c>
    </row>
    <row r="1410" spans="7:8" x14ac:dyDescent="0.35">
      <c r="G1410" t="s">
        <v>1426</v>
      </c>
      <c r="H1410" s="23">
        <v>73800</v>
      </c>
    </row>
    <row r="1411" spans="7:8" x14ac:dyDescent="0.35">
      <c r="G1411" t="s">
        <v>1427</v>
      </c>
      <c r="H1411" s="23">
        <v>83900</v>
      </c>
    </row>
    <row r="1412" spans="7:8" x14ac:dyDescent="0.35">
      <c r="G1412" t="s">
        <v>1428</v>
      </c>
      <c r="H1412" s="23">
        <v>87900</v>
      </c>
    </row>
    <row r="1413" spans="7:8" x14ac:dyDescent="0.35">
      <c r="G1413" t="s">
        <v>1429</v>
      </c>
      <c r="H1413" s="23">
        <v>86000</v>
      </c>
    </row>
    <row r="1414" spans="7:8" x14ac:dyDescent="0.35">
      <c r="G1414" t="s">
        <v>1430</v>
      </c>
      <c r="H1414" s="23">
        <v>61900</v>
      </c>
    </row>
    <row r="1415" spans="7:8" x14ac:dyDescent="0.35">
      <c r="G1415" t="s">
        <v>1431</v>
      </c>
      <c r="H1415" s="23">
        <v>91400</v>
      </c>
    </row>
    <row r="1416" spans="7:8" x14ac:dyDescent="0.35">
      <c r="G1416" t="s">
        <v>1432</v>
      </c>
      <c r="H1416" s="23">
        <v>69900</v>
      </c>
    </row>
    <row r="1417" spans="7:8" x14ac:dyDescent="0.35">
      <c r="G1417" t="s">
        <v>1433</v>
      </c>
      <c r="H1417" s="23">
        <v>90200</v>
      </c>
    </row>
    <row r="1418" spans="7:8" x14ac:dyDescent="0.35">
      <c r="G1418" t="s">
        <v>1434</v>
      </c>
      <c r="H1418" s="23">
        <v>89700</v>
      </c>
    </row>
    <row r="1419" spans="7:8" x14ac:dyDescent="0.35">
      <c r="G1419" t="s">
        <v>1435</v>
      </c>
      <c r="H1419" s="23">
        <v>104500</v>
      </c>
    </row>
    <row r="1420" spans="7:8" x14ac:dyDescent="0.35">
      <c r="G1420" t="s">
        <v>1436</v>
      </c>
      <c r="H1420" s="23">
        <v>115700</v>
      </c>
    </row>
    <row r="1421" spans="7:8" x14ac:dyDescent="0.35">
      <c r="G1421" t="s">
        <v>1437</v>
      </c>
      <c r="H1421" s="23">
        <v>68700</v>
      </c>
    </row>
    <row r="1422" spans="7:8" x14ac:dyDescent="0.35">
      <c r="G1422" t="s">
        <v>1438</v>
      </c>
      <c r="H1422" s="23">
        <v>44500</v>
      </c>
    </row>
    <row r="1423" spans="7:8" x14ac:dyDescent="0.35">
      <c r="G1423" t="s">
        <v>1439</v>
      </c>
      <c r="H1423" s="23">
        <v>118600</v>
      </c>
    </row>
    <row r="1424" spans="7:8" x14ac:dyDescent="0.35">
      <c r="G1424" t="s">
        <v>1440</v>
      </c>
      <c r="H1424" s="23">
        <v>65100</v>
      </c>
    </row>
    <row r="1425" spans="7:8" x14ac:dyDescent="0.35">
      <c r="G1425" t="s">
        <v>1441</v>
      </c>
      <c r="H1425" s="23">
        <v>90700</v>
      </c>
    </row>
    <row r="1426" spans="7:8" x14ac:dyDescent="0.35">
      <c r="G1426" t="s">
        <v>1442</v>
      </c>
      <c r="H1426" s="23">
        <v>68400</v>
      </c>
    </row>
    <row r="1427" spans="7:8" x14ac:dyDescent="0.35">
      <c r="G1427" t="s">
        <v>1443</v>
      </c>
      <c r="H1427" s="23">
        <v>97400</v>
      </c>
    </row>
    <row r="1428" spans="7:8" x14ac:dyDescent="0.35">
      <c r="G1428" t="s">
        <v>1444</v>
      </c>
      <c r="H1428" s="23">
        <v>84800</v>
      </c>
    </row>
    <row r="1429" spans="7:8" x14ac:dyDescent="0.35">
      <c r="G1429" t="s">
        <v>1445</v>
      </c>
      <c r="H1429" s="23">
        <v>95000</v>
      </c>
    </row>
    <row r="1430" spans="7:8" x14ac:dyDescent="0.35">
      <c r="G1430" t="s">
        <v>1446</v>
      </c>
      <c r="H1430" s="23">
        <v>106900</v>
      </c>
    </row>
    <row r="1431" spans="7:8" x14ac:dyDescent="0.35">
      <c r="G1431" t="s">
        <v>1447</v>
      </c>
      <c r="H1431" s="23">
        <v>89400</v>
      </c>
    </row>
    <row r="1432" spans="7:8" x14ac:dyDescent="0.35">
      <c r="G1432" t="s">
        <v>1448</v>
      </c>
      <c r="H1432" s="23">
        <v>97700</v>
      </c>
    </row>
    <row r="1433" spans="7:8" x14ac:dyDescent="0.35">
      <c r="G1433" t="s">
        <v>1449</v>
      </c>
      <c r="H1433" s="23">
        <v>91700</v>
      </c>
    </row>
    <row r="1434" spans="7:8" x14ac:dyDescent="0.35">
      <c r="G1434" t="s">
        <v>1450</v>
      </c>
      <c r="H1434" s="23">
        <v>42200</v>
      </c>
    </row>
    <row r="1435" spans="7:8" x14ac:dyDescent="0.35">
      <c r="G1435" t="s">
        <v>1451</v>
      </c>
      <c r="H1435" s="23">
        <v>105900</v>
      </c>
    </row>
    <row r="1436" spans="7:8" x14ac:dyDescent="0.35">
      <c r="G1436" t="s">
        <v>1452</v>
      </c>
      <c r="H1436" s="23">
        <v>83400</v>
      </c>
    </row>
    <row r="1437" spans="7:8" x14ac:dyDescent="0.35">
      <c r="G1437" t="s">
        <v>1453</v>
      </c>
      <c r="H1437" s="23">
        <v>72200</v>
      </c>
    </row>
    <row r="1438" spans="7:8" x14ac:dyDescent="0.35">
      <c r="G1438" t="s">
        <v>1454</v>
      </c>
      <c r="H1438" s="23">
        <v>103800</v>
      </c>
    </row>
    <row r="1439" spans="7:8" x14ac:dyDescent="0.35">
      <c r="G1439" t="s">
        <v>1455</v>
      </c>
      <c r="H1439" s="23">
        <v>67900</v>
      </c>
    </row>
    <row r="1440" spans="7:8" x14ac:dyDescent="0.35">
      <c r="G1440" t="s">
        <v>1456</v>
      </c>
      <c r="H1440" s="23">
        <v>53800</v>
      </c>
    </row>
    <row r="1441" spans="7:8" x14ac:dyDescent="0.35">
      <c r="G1441" t="s">
        <v>1457</v>
      </c>
      <c r="H1441" s="23">
        <v>50900</v>
      </c>
    </row>
    <row r="1442" spans="7:8" x14ac:dyDescent="0.35">
      <c r="G1442" t="s">
        <v>1458</v>
      </c>
      <c r="H1442" s="23">
        <v>121900</v>
      </c>
    </row>
    <row r="1443" spans="7:8" x14ac:dyDescent="0.35">
      <c r="G1443" t="s">
        <v>1459</v>
      </c>
      <c r="H1443" s="23">
        <v>68200</v>
      </c>
    </row>
    <row r="1444" spans="7:8" x14ac:dyDescent="0.35">
      <c r="G1444" t="s">
        <v>1460</v>
      </c>
      <c r="H1444" s="23">
        <v>64700</v>
      </c>
    </row>
    <row r="1445" spans="7:8" x14ac:dyDescent="0.35">
      <c r="G1445" t="s">
        <v>1461</v>
      </c>
      <c r="H1445" s="23">
        <v>49100</v>
      </c>
    </row>
    <row r="1446" spans="7:8" x14ac:dyDescent="0.35">
      <c r="G1446" t="s">
        <v>1462</v>
      </c>
      <c r="H1446" s="23">
        <v>113600</v>
      </c>
    </row>
    <row r="1447" spans="7:8" x14ac:dyDescent="0.35">
      <c r="G1447" t="s">
        <v>1463</v>
      </c>
      <c r="H1447" s="23">
        <v>56400</v>
      </c>
    </row>
    <row r="1448" spans="7:8" x14ac:dyDescent="0.35">
      <c r="G1448" t="s">
        <v>1464</v>
      </c>
      <c r="H1448" s="23">
        <v>81900</v>
      </c>
    </row>
    <row r="1449" spans="7:8" x14ac:dyDescent="0.35">
      <c r="G1449" t="s">
        <v>1465</v>
      </c>
      <c r="H1449" s="23">
        <v>100800</v>
      </c>
    </row>
    <row r="1450" spans="7:8" x14ac:dyDescent="0.35">
      <c r="G1450" t="s">
        <v>1466</v>
      </c>
      <c r="H1450" s="23">
        <v>48800</v>
      </c>
    </row>
    <row r="1451" spans="7:8" x14ac:dyDescent="0.35">
      <c r="G1451" t="s">
        <v>1467</v>
      </c>
      <c r="H1451" s="23">
        <v>73800</v>
      </c>
    </row>
    <row r="1452" spans="7:8" x14ac:dyDescent="0.35">
      <c r="G1452" t="s">
        <v>1468</v>
      </c>
      <c r="H1452" s="23">
        <v>98900</v>
      </c>
    </row>
    <row r="1453" spans="7:8" x14ac:dyDescent="0.35">
      <c r="G1453" t="s">
        <v>1469</v>
      </c>
      <c r="H1453" s="23">
        <v>90100</v>
      </c>
    </row>
    <row r="1454" spans="7:8" x14ac:dyDescent="0.35">
      <c r="G1454" t="s">
        <v>1470</v>
      </c>
      <c r="H1454" s="23">
        <v>63500</v>
      </c>
    </row>
    <row r="1455" spans="7:8" x14ac:dyDescent="0.35">
      <c r="G1455" t="s">
        <v>1471</v>
      </c>
      <c r="H1455" s="23">
        <v>71400</v>
      </c>
    </row>
    <row r="1456" spans="7:8" x14ac:dyDescent="0.35">
      <c r="G1456" t="s">
        <v>1472</v>
      </c>
      <c r="H1456" s="23">
        <v>76300</v>
      </c>
    </row>
    <row r="1457" spans="7:8" x14ac:dyDescent="0.35">
      <c r="G1457" t="s">
        <v>1473</v>
      </c>
      <c r="H1457" s="23">
        <v>86900</v>
      </c>
    </row>
    <row r="1458" spans="7:8" x14ac:dyDescent="0.35">
      <c r="G1458" t="s">
        <v>1474</v>
      </c>
      <c r="H1458" s="23">
        <v>66800</v>
      </c>
    </row>
    <row r="1459" spans="7:8" x14ac:dyDescent="0.35">
      <c r="G1459" t="s">
        <v>1475</v>
      </c>
      <c r="H1459" s="23">
        <v>76400</v>
      </c>
    </row>
    <row r="1460" spans="7:8" x14ac:dyDescent="0.35">
      <c r="G1460" t="s">
        <v>1476</v>
      </c>
      <c r="H1460" s="23">
        <v>67800</v>
      </c>
    </row>
    <row r="1461" spans="7:8" x14ac:dyDescent="0.35">
      <c r="G1461" t="s">
        <v>1477</v>
      </c>
      <c r="H1461" s="23">
        <v>87800</v>
      </c>
    </row>
    <row r="1462" spans="7:8" x14ac:dyDescent="0.35">
      <c r="G1462" t="s">
        <v>1478</v>
      </c>
      <c r="H1462" s="23">
        <v>92600</v>
      </c>
    </row>
    <row r="1463" spans="7:8" x14ac:dyDescent="0.35">
      <c r="G1463" t="s">
        <v>1479</v>
      </c>
      <c r="H1463" s="23">
        <v>72400</v>
      </c>
    </row>
    <row r="1464" spans="7:8" x14ac:dyDescent="0.35">
      <c r="G1464" t="s">
        <v>1480</v>
      </c>
      <c r="H1464" s="23">
        <v>78900</v>
      </c>
    </row>
    <row r="1465" spans="7:8" x14ac:dyDescent="0.35">
      <c r="G1465" t="s">
        <v>1481</v>
      </c>
      <c r="H1465" s="23">
        <v>94100</v>
      </c>
    </row>
    <row r="1466" spans="7:8" x14ac:dyDescent="0.35">
      <c r="G1466" t="s">
        <v>1482</v>
      </c>
      <c r="H1466" s="23">
        <v>77000</v>
      </c>
    </row>
    <row r="1467" spans="7:8" x14ac:dyDescent="0.35">
      <c r="G1467" t="s">
        <v>1483</v>
      </c>
      <c r="H1467" s="23">
        <v>80000</v>
      </c>
    </row>
    <row r="1468" spans="7:8" x14ac:dyDescent="0.35">
      <c r="G1468" t="s">
        <v>1484</v>
      </c>
      <c r="H1468" s="23">
        <v>91400</v>
      </c>
    </row>
    <row r="1469" spans="7:8" x14ac:dyDescent="0.35">
      <c r="G1469" t="s">
        <v>1485</v>
      </c>
      <c r="H1469" s="23">
        <v>110900</v>
      </c>
    </row>
    <row r="1470" spans="7:8" x14ac:dyDescent="0.35">
      <c r="G1470" t="s">
        <v>1486</v>
      </c>
      <c r="H1470" s="23">
        <v>74100</v>
      </c>
    </row>
    <row r="1471" spans="7:8" x14ac:dyDescent="0.35">
      <c r="G1471" t="s">
        <v>1487</v>
      </c>
      <c r="H1471" s="23">
        <v>110500</v>
      </c>
    </row>
    <row r="1472" spans="7:8" x14ac:dyDescent="0.35">
      <c r="G1472" t="s">
        <v>1488</v>
      </c>
      <c r="H1472" s="23">
        <v>76700</v>
      </c>
    </row>
    <row r="1473" spans="7:8" x14ac:dyDescent="0.35">
      <c r="G1473" t="s">
        <v>1489</v>
      </c>
      <c r="H1473" s="23">
        <v>59100</v>
      </c>
    </row>
    <row r="1474" spans="7:8" x14ac:dyDescent="0.35">
      <c r="G1474" t="s">
        <v>1490</v>
      </c>
      <c r="H1474" s="23">
        <v>109000</v>
      </c>
    </row>
    <row r="1475" spans="7:8" x14ac:dyDescent="0.35">
      <c r="G1475" t="s">
        <v>1491</v>
      </c>
      <c r="H1475" s="23">
        <v>69200</v>
      </c>
    </row>
    <row r="1476" spans="7:8" x14ac:dyDescent="0.35">
      <c r="G1476" t="s">
        <v>1492</v>
      </c>
      <c r="H1476" s="23">
        <v>103300</v>
      </c>
    </row>
    <row r="1477" spans="7:8" x14ac:dyDescent="0.35">
      <c r="G1477" t="s">
        <v>1493</v>
      </c>
      <c r="H1477" s="23">
        <v>77700</v>
      </c>
    </row>
    <row r="1478" spans="7:8" x14ac:dyDescent="0.35">
      <c r="G1478" t="s">
        <v>1494</v>
      </c>
      <c r="H1478" s="23">
        <v>84800</v>
      </c>
    </row>
    <row r="1479" spans="7:8" x14ac:dyDescent="0.35">
      <c r="G1479" t="s">
        <v>1495</v>
      </c>
      <c r="H1479" s="23">
        <v>90100</v>
      </c>
    </row>
    <row r="1480" spans="7:8" x14ac:dyDescent="0.35">
      <c r="G1480" t="s">
        <v>1496</v>
      </c>
      <c r="H1480" s="23">
        <v>81400</v>
      </c>
    </row>
    <row r="1481" spans="7:8" x14ac:dyDescent="0.35">
      <c r="G1481" t="s">
        <v>1497</v>
      </c>
      <c r="H1481" s="23">
        <v>73400</v>
      </c>
    </row>
    <row r="1482" spans="7:8" x14ac:dyDescent="0.35">
      <c r="G1482" t="s">
        <v>1498</v>
      </c>
      <c r="H1482" s="23">
        <v>76100</v>
      </c>
    </row>
    <row r="1483" spans="7:8" x14ac:dyDescent="0.35">
      <c r="G1483" t="s">
        <v>1499</v>
      </c>
      <c r="H1483" s="23">
        <v>77500</v>
      </c>
    </row>
    <row r="1484" spans="7:8" x14ac:dyDescent="0.35">
      <c r="G1484" t="s">
        <v>1500</v>
      </c>
      <c r="H1484" s="23">
        <v>66900</v>
      </c>
    </row>
    <row r="1485" spans="7:8" x14ac:dyDescent="0.35">
      <c r="G1485" t="s">
        <v>1501</v>
      </c>
      <c r="H1485" s="23">
        <v>76700</v>
      </c>
    </row>
    <row r="1486" spans="7:8" x14ac:dyDescent="0.35">
      <c r="G1486" t="s">
        <v>1502</v>
      </c>
      <c r="H1486" s="23">
        <v>112600</v>
      </c>
    </row>
    <row r="1487" spans="7:8" x14ac:dyDescent="0.35">
      <c r="G1487" t="s">
        <v>1503</v>
      </c>
      <c r="H1487" s="23">
        <v>75700</v>
      </c>
    </row>
    <row r="1488" spans="7:8" x14ac:dyDescent="0.35">
      <c r="G1488" t="s">
        <v>1504</v>
      </c>
      <c r="H1488" s="23">
        <v>42300</v>
      </c>
    </row>
    <row r="1489" spans="7:8" x14ac:dyDescent="0.35">
      <c r="G1489" t="s">
        <v>1505</v>
      </c>
      <c r="H1489" s="23">
        <v>111000</v>
      </c>
    </row>
    <row r="1490" spans="7:8" x14ac:dyDescent="0.35">
      <c r="G1490" t="s">
        <v>1506</v>
      </c>
      <c r="H1490" s="23">
        <v>115000</v>
      </c>
    </row>
    <row r="1491" spans="7:8" x14ac:dyDescent="0.35">
      <c r="G1491" t="s">
        <v>1507</v>
      </c>
      <c r="H1491" s="23">
        <v>51300</v>
      </c>
    </row>
    <row r="1492" spans="7:8" x14ac:dyDescent="0.35">
      <c r="G1492" t="s">
        <v>1508</v>
      </c>
      <c r="H1492" s="23">
        <v>62800</v>
      </c>
    </row>
    <row r="1493" spans="7:8" x14ac:dyDescent="0.35">
      <c r="G1493" t="s">
        <v>1509</v>
      </c>
      <c r="H1493" s="23">
        <v>34700</v>
      </c>
    </row>
    <row r="1494" spans="7:8" x14ac:dyDescent="0.35">
      <c r="G1494" t="s">
        <v>1510</v>
      </c>
      <c r="H1494" s="23">
        <v>72400</v>
      </c>
    </row>
    <row r="1495" spans="7:8" x14ac:dyDescent="0.35">
      <c r="G1495" t="s">
        <v>1511</v>
      </c>
      <c r="H1495" s="23">
        <v>72300</v>
      </c>
    </row>
    <row r="1496" spans="7:8" x14ac:dyDescent="0.35">
      <c r="G1496" t="s">
        <v>1512</v>
      </c>
      <c r="H1496" s="23">
        <v>100800</v>
      </c>
    </row>
    <row r="1497" spans="7:8" x14ac:dyDescent="0.35">
      <c r="G1497" t="s">
        <v>1513</v>
      </c>
      <c r="H1497" s="23">
        <v>80700</v>
      </c>
    </row>
    <row r="1498" spans="7:8" x14ac:dyDescent="0.35">
      <c r="G1498" t="s">
        <v>1514</v>
      </c>
      <c r="H1498" s="23">
        <v>62500</v>
      </c>
    </row>
    <row r="1499" spans="7:8" x14ac:dyDescent="0.35">
      <c r="G1499" t="s">
        <v>1515</v>
      </c>
      <c r="H1499" s="23">
        <v>63700</v>
      </c>
    </row>
    <row r="1500" spans="7:8" x14ac:dyDescent="0.35">
      <c r="G1500" t="s">
        <v>1516</v>
      </c>
      <c r="H1500" s="23">
        <v>65700</v>
      </c>
    </row>
    <row r="1501" spans="7:8" x14ac:dyDescent="0.35">
      <c r="G1501" t="s">
        <v>1517</v>
      </c>
      <c r="H1501" s="23">
        <v>106400</v>
      </c>
    </row>
    <row r="1502" spans="7:8" x14ac:dyDescent="0.35">
      <c r="G1502" t="s">
        <v>1518</v>
      </c>
      <c r="H1502" s="23">
        <v>80400</v>
      </c>
    </row>
    <row r="1503" spans="7:8" x14ac:dyDescent="0.35">
      <c r="G1503" t="s">
        <v>1519</v>
      </c>
      <c r="H1503" s="23">
        <v>95200</v>
      </c>
    </row>
    <row r="1504" spans="7:8" x14ac:dyDescent="0.35">
      <c r="G1504" t="s">
        <v>1520</v>
      </c>
      <c r="H1504" s="23">
        <v>123400</v>
      </c>
    </row>
    <row r="1505" spans="7:8" x14ac:dyDescent="0.35">
      <c r="G1505" t="s">
        <v>1521</v>
      </c>
      <c r="H1505" s="23">
        <v>85700</v>
      </c>
    </row>
    <row r="1506" spans="7:8" x14ac:dyDescent="0.35">
      <c r="G1506" t="s">
        <v>1522</v>
      </c>
      <c r="H1506" s="23">
        <v>67400</v>
      </c>
    </row>
    <row r="1507" spans="7:8" x14ac:dyDescent="0.35">
      <c r="G1507" t="s">
        <v>1523</v>
      </c>
      <c r="H1507" s="23">
        <v>79200</v>
      </c>
    </row>
    <row r="1508" spans="7:8" x14ac:dyDescent="0.35">
      <c r="G1508" t="s">
        <v>1524</v>
      </c>
      <c r="H1508" s="23">
        <v>81900</v>
      </c>
    </row>
    <row r="1509" spans="7:8" x14ac:dyDescent="0.35">
      <c r="G1509" t="s">
        <v>1525</v>
      </c>
      <c r="H1509" s="23">
        <v>34900</v>
      </c>
    </row>
    <row r="1510" spans="7:8" x14ac:dyDescent="0.35">
      <c r="G1510" t="s">
        <v>1526</v>
      </c>
      <c r="H1510" s="23">
        <v>44900</v>
      </c>
    </row>
    <row r="1511" spans="7:8" x14ac:dyDescent="0.35">
      <c r="G1511" t="s">
        <v>1527</v>
      </c>
      <c r="H1511" s="23">
        <v>76200</v>
      </c>
    </row>
    <row r="1512" spans="7:8" x14ac:dyDescent="0.35">
      <c r="G1512" t="s">
        <v>1528</v>
      </c>
      <c r="H1512" s="23">
        <v>100200</v>
      </c>
    </row>
    <row r="1513" spans="7:8" x14ac:dyDescent="0.35">
      <c r="G1513" t="s">
        <v>1529</v>
      </c>
      <c r="H1513" s="23">
        <v>90300</v>
      </c>
    </row>
    <row r="1514" spans="7:8" x14ac:dyDescent="0.35">
      <c r="G1514" t="s">
        <v>1530</v>
      </c>
      <c r="H1514" s="23">
        <v>63800</v>
      </c>
    </row>
    <row r="1515" spans="7:8" x14ac:dyDescent="0.35">
      <c r="G1515" t="s">
        <v>1531</v>
      </c>
      <c r="H1515" s="23">
        <v>107700</v>
      </c>
    </row>
    <row r="1516" spans="7:8" x14ac:dyDescent="0.35">
      <c r="G1516" t="s">
        <v>1532</v>
      </c>
      <c r="H1516" s="23">
        <v>106800</v>
      </c>
    </row>
    <row r="1517" spans="7:8" x14ac:dyDescent="0.35">
      <c r="G1517" t="s">
        <v>1533</v>
      </c>
      <c r="H1517" s="23">
        <v>44100</v>
      </c>
    </row>
    <row r="1518" spans="7:8" x14ac:dyDescent="0.35">
      <c r="G1518" t="s">
        <v>1534</v>
      </c>
      <c r="H1518" s="23">
        <v>45900</v>
      </c>
    </row>
    <row r="1519" spans="7:8" x14ac:dyDescent="0.35">
      <c r="G1519" t="s">
        <v>1535</v>
      </c>
      <c r="H1519" s="23">
        <v>105100</v>
      </c>
    </row>
    <row r="1520" spans="7:8" x14ac:dyDescent="0.35">
      <c r="G1520" t="s">
        <v>1536</v>
      </c>
      <c r="H1520" s="23">
        <v>117900</v>
      </c>
    </row>
    <row r="1521" spans="7:8" x14ac:dyDescent="0.35">
      <c r="G1521" t="s">
        <v>1537</v>
      </c>
      <c r="H1521" s="23">
        <v>77700</v>
      </c>
    </row>
    <row r="1522" spans="7:8" x14ac:dyDescent="0.35">
      <c r="G1522" t="s">
        <v>1538</v>
      </c>
      <c r="H1522" s="23">
        <v>52900</v>
      </c>
    </row>
    <row r="1523" spans="7:8" x14ac:dyDescent="0.35">
      <c r="G1523" t="s">
        <v>1539</v>
      </c>
      <c r="H1523" s="23">
        <v>70800</v>
      </c>
    </row>
    <row r="1524" spans="7:8" x14ac:dyDescent="0.35">
      <c r="G1524" t="s">
        <v>1540</v>
      </c>
      <c r="H1524" s="23">
        <v>47300</v>
      </c>
    </row>
    <row r="1525" spans="7:8" x14ac:dyDescent="0.35">
      <c r="G1525" t="s">
        <v>1541</v>
      </c>
      <c r="H1525" s="23">
        <v>107000</v>
      </c>
    </row>
    <row r="1526" spans="7:8" x14ac:dyDescent="0.35">
      <c r="G1526" t="s">
        <v>1542</v>
      </c>
      <c r="H1526" s="23">
        <v>91800</v>
      </c>
    </row>
    <row r="1527" spans="7:8" x14ac:dyDescent="0.35">
      <c r="G1527" t="s">
        <v>1543</v>
      </c>
      <c r="H1527" s="23">
        <v>105900</v>
      </c>
    </row>
    <row r="1528" spans="7:8" x14ac:dyDescent="0.35">
      <c r="G1528" t="s">
        <v>1544</v>
      </c>
      <c r="H1528" s="23">
        <v>77100</v>
      </c>
    </row>
    <row r="1529" spans="7:8" x14ac:dyDescent="0.35">
      <c r="G1529" t="s">
        <v>1545</v>
      </c>
      <c r="H1529" s="23">
        <v>88000</v>
      </c>
    </row>
    <row r="1530" spans="7:8" x14ac:dyDescent="0.35">
      <c r="G1530" t="s">
        <v>1546</v>
      </c>
      <c r="H1530" s="23">
        <v>105200</v>
      </c>
    </row>
    <row r="1531" spans="7:8" x14ac:dyDescent="0.35">
      <c r="G1531" t="s">
        <v>1547</v>
      </c>
      <c r="H1531" s="23">
        <v>78900</v>
      </c>
    </row>
    <row r="1532" spans="7:8" x14ac:dyDescent="0.35">
      <c r="G1532" t="s">
        <v>1548</v>
      </c>
      <c r="H1532" s="23">
        <v>81600</v>
      </c>
    </row>
    <row r="1533" spans="7:8" x14ac:dyDescent="0.35">
      <c r="G1533" t="s">
        <v>1549</v>
      </c>
      <c r="H1533" s="23">
        <v>70100</v>
      </c>
    </row>
    <row r="1534" spans="7:8" x14ac:dyDescent="0.35">
      <c r="G1534" t="s">
        <v>1550</v>
      </c>
      <c r="H1534" s="23">
        <v>86600</v>
      </c>
    </row>
    <row r="1535" spans="7:8" x14ac:dyDescent="0.35">
      <c r="G1535" t="s">
        <v>1551</v>
      </c>
      <c r="H1535" s="23">
        <v>103800</v>
      </c>
    </row>
    <row r="1536" spans="7:8" x14ac:dyDescent="0.35">
      <c r="G1536" t="s">
        <v>1552</v>
      </c>
      <c r="H1536" s="23">
        <v>69700</v>
      </c>
    </row>
    <row r="1537" spans="7:8" x14ac:dyDescent="0.35">
      <c r="G1537" t="s">
        <v>1553</v>
      </c>
      <c r="H1537" s="23">
        <v>118500</v>
      </c>
    </row>
    <row r="1538" spans="7:8" x14ac:dyDescent="0.35">
      <c r="G1538" t="s">
        <v>1554</v>
      </c>
      <c r="H1538" s="23">
        <v>64400</v>
      </c>
    </row>
    <row r="1539" spans="7:8" x14ac:dyDescent="0.35">
      <c r="G1539" t="s">
        <v>1555</v>
      </c>
      <c r="H1539" s="23">
        <v>85300</v>
      </c>
    </row>
    <row r="1540" spans="7:8" x14ac:dyDescent="0.35">
      <c r="G1540" t="s">
        <v>1556</v>
      </c>
      <c r="H1540" s="23">
        <v>54400</v>
      </c>
    </row>
    <row r="1541" spans="7:8" x14ac:dyDescent="0.35">
      <c r="G1541" t="s">
        <v>1557</v>
      </c>
      <c r="H1541" s="23">
        <v>101400</v>
      </c>
    </row>
    <row r="1542" spans="7:8" x14ac:dyDescent="0.35">
      <c r="G1542" t="s">
        <v>1558</v>
      </c>
      <c r="H1542" s="23">
        <v>115000</v>
      </c>
    </row>
    <row r="1543" spans="7:8" x14ac:dyDescent="0.35">
      <c r="G1543" t="s">
        <v>1559</v>
      </c>
      <c r="H1543" s="23">
        <v>122400</v>
      </c>
    </row>
    <row r="1544" spans="7:8" x14ac:dyDescent="0.35">
      <c r="G1544" t="s">
        <v>1560</v>
      </c>
      <c r="H1544" s="23">
        <v>100800</v>
      </c>
    </row>
    <row r="1545" spans="7:8" x14ac:dyDescent="0.35">
      <c r="G1545" t="s">
        <v>1561</v>
      </c>
      <c r="H1545" s="23">
        <v>74500</v>
      </c>
    </row>
    <row r="1546" spans="7:8" x14ac:dyDescent="0.35">
      <c r="G1546" t="s">
        <v>1562</v>
      </c>
      <c r="H1546" s="23">
        <v>76700</v>
      </c>
    </row>
    <row r="1547" spans="7:8" x14ac:dyDescent="0.35">
      <c r="G1547" t="s">
        <v>1563</v>
      </c>
      <c r="H1547" s="23">
        <v>65000</v>
      </c>
    </row>
    <row r="1548" spans="7:8" x14ac:dyDescent="0.35">
      <c r="G1548" t="s">
        <v>1564</v>
      </c>
      <c r="H1548" s="23">
        <v>75100</v>
      </c>
    </row>
    <row r="1549" spans="7:8" x14ac:dyDescent="0.35">
      <c r="G1549" t="s">
        <v>1565</v>
      </c>
      <c r="H1549" s="23">
        <v>93000</v>
      </c>
    </row>
    <row r="1550" spans="7:8" x14ac:dyDescent="0.35">
      <c r="G1550" t="s">
        <v>1566</v>
      </c>
      <c r="H1550" s="23">
        <v>76700</v>
      </c>
    </row>
    <row r="1551" spans="7:8" x14ac:dyDescent="0.35">
      <c r="G1551" t="s">
        <v>1567</v>
      </c>
      <c r="H1551" s="23">
        <v>83800</v>
      </c>
    </row>
    <row r="1552" spans="7:8" x14ac:dyDescent="0.35">
      <c r="G1552" t="s">
        <v>1568</v>
      </c>
      <c r="H1552" s="23">
        <v>68000</v>
      </c>
    </row>
    <row r="1553" spans="7:8" x14ac:dyDescent="0.35">
      <c r="G1553" t="s">
        <v>1569</v>
      </c>
      <c r="H1553" s="23">
        <v>83800</v>
      </c>
    </row>
    <row r="1554" spans="7:8" x14ac:dyDescent="0.35">
      <c r="G1554" t="s">
        <v>1570</v>
      </c>
      <c r="H1554" s="23">
        <v>91700</v>
      </c>
    </row>
    <row r="1555" spans="7:8" x14ac:dyDescent="0.35">
      <c r="G1555" t="s">
        <v>1571</v>
      </c>
      <c r="H1555" s="23">
        <v>62100</v>
      </c>
    </row>
    <row r="1556" spans="7:8" x14ac:dyDescent="0.35">
      <c r="G1556" t="s">
        <v>1572</v>
      </c>
      <c r="H1556" s="23">
        <v>76200</v>
      </c>
    </row>
    <row r="1557" spans="7:8" x14ac:dyDescent="0.35">
      <c r="G1557" t="s">
        <v>1573</v>
      </c>
      <c r="H1557" s="23">
        <v>78100</v>
      </c>
    </row>
    <row r="1558" spans="7:8" x14ac:dyDescent="0.35">
      <c r="G1558" t="s">
        <v>1574</v>
      </c>
      <c r="H1558" s="23">
        <v>67200</v>
      </c>
    </row>
    <row r="1559" spans="7:8" x14ac:dyDescent="0.35">
      <c r="G1559" t="s">
        <v>1575</v>
      </c>
      <c r="H1559" s="23">
        <v>108200</v>
      </c>
    </row>
    <row r="1560" spans="7:8" x14ac:dyDescent="0.35">
      <c r="G1560" t="s">
        <v>1576</v>
      </c>
      <c r="H1560" s="23">
        <v>85100</v>
      </c>
    </row>
    <row r="1561" spans="7:8" x14ac:dyDescent="0.35">
      <c r="G1561" t="s">
        <v>1577</v>
      </c>
      <c r="H1561" s="23">
        <v>73800</v>
      </c>
    </row>
    <row r="1562" spans="7:8" x14ac:dyDescent="0.35">
      <c r="G1562" t="s">
        <v>1578</v>
      </c>
      <c r="H1562" s="23">
        <v>105300</v>
      </c>
    </row>
    <row r="1563" spans="7:8" x14ac:dyDescent="0.35">
      <c r="G1563" t="s">
        <v>1579</v>
      </c>
      <c r="H1563" s="23">
        <v>97400</v>
      </c>
    </row>
    <row r="1564" spans="7:8" x14ac:dyDescent="0.35">
      <c r="G1564" t="s">
        <v>1580</v>
      </c>
      <c r="H1564" s="23">
        <v>83100</v>
      </c>
    </row>
    <row r="1565" spans="7:8" x14ac:dyDescent="0.35">
      <c r="G1565" t="s">
        <v>1581</v>
      </c>
      <c r="H1565" s="23">
        <v>95900</v>
      </c>
    </row>
    <row r="1566" spans="7:8" x14ac:dyDescent="0.35">
      <c r="G1566" t="s">
        <v>1582</v>
      </c>
      <c r="H1566" s="23">
        <v>60900</v>
      </c>
    </row>
    <row r="1567" spans="7:8" x14ac:dyDescent="0.35">
      <c r="G1567" t="s">
        <v>1583</v>
      </c>
      <c r="H1567" s="23">
        <v>130800</v>
      </c>
    </row>
    <row r="1568" spans="7:8" x14ac:dyDescent="0.35">
      <c r="G1568" t="s">
        <v>1584</v>
      </c>
      <c r="H1568" s="23">
        <v>86800</v>
      </c>
    </row>
    <row r="1569" spans="7:8" x14ac:dyDescent="0.35">
      <c r="G1569" t="s">
        <v>1585</v>
      </c>
      <c r="H1569" s="23">
        <v>94800</v>
      </c>
    </row>
    <row r="1570" spans="7:8" x14ac:dyDescent="0.35">
      <c r="G1570" t="s">
        <v>1586</v>
      </c>
      <c r="H1570" s="23">
        <v>62100</v>
      </c>
    </row>
    <row r="1571" spans="7:8" x14ac:dyDescent="0.35">
      <c r="G1571" t="s">
        <v>1587</v>
      </c>
      <c r="H1571" s="23">
        <v>108300</v>
      </c>
    </row>
    <row r="1572" spans="7:8" x14ac:dyDescent="0.35">
      <c r="G1572" t="s">
        <v>1588</v>
      </c>
      <c r="H1572" s="23">
        <v>100500</v>
      </c>
    </row>
    <row r="1573" spans="7:8" x14ac:dyDescent="0.35">
      <c r="G1573" t="s">
        <v>1589</v>
      </c>
      <c r="H1573" s="23">
        <v>115000</v>
      </c>
    </row>
    <row r="1574" spans="7:8" x14ac:dyDescent="0.35">
      <c r="G1574" t="s">
        <v>1590</v>
      </c>
      <c r="H1574" s="23">
        <v>55400</v>
      </c>
    </row>
    <row r="1575" spans="7:8" x14ac:dyDescent="0.35">
      <c r="G1575" t="s">
        <v>1591</v>
      </c>
      <c r="H1575" s="23">
        <v>92400</v>
      </c>
    </row>
    <row r="1576" spans="7:8" x14ac:dyDescent="0.35">
      <c r="G1576" t="s">
        <v>1592</v>
      </c>
      <c r="H1576" s="23">
        <v>69400</v>
      </c>
    </row>
    <row r="1577" spans="7:8" x14ac:dyDescent="0.35">
      <c r="G1577" t="s">
        <v>1593</v>
      </c>
      <c r="H1577" s="23">
        <v>92500</v>
      </c>
    </row>
    <row r="1578" spans="7:8" x14ac:dyDescent="0.35">
      <c r="G1578" t="s">
        <v>1594</v>
      </c>
      <c r="H1578" s="23">
        <v>79600</v>
      </c>
    </row>
    <row r="1579" spans="7:8" x14ac:dyDescent="0.35">
      <c r="G1579" t="s">
        <v>1595</v>
      </c>
      <c r="H1579" s="23">
        <v>94600</v>
      </c>
    </row>
    <row r="1580" spans="7:8" x14ac:dyDescent="0.35">
      <c r="G1580" t="s">
        <v>1596</v>
      </c>
      <c r="H1580" s="23">
        <v>82600</v>
      </c>
    </row>
    <row r="1581" spans="7:8" x14ac:dyDescent="0.35">
      <c r="G1581" t="s">
        <v>1597</v>
      </c>
      <c r="H1581" s="23">
        <v>62700</v>
      </c>
    </row>
    <row r="1582" spans="7:8" x14ac:dyDescent="0.35">
      <c r="G1582" t="s">
        <v>1598</v>
      </c>
      <c r="H1582" s="23">
        <v>62200</v>
      </c>
    </row>
    <row r="1583" spans="7:8" x14ac:dyDescent="0.35">
      <c r="G1583" t="s">
        <v>1599</v>
      </c>
      <c r="H1583" s="23">
        <v>110500</v>
      </c>
    </row>
    <row r="1584" spans="7:8" x14ac:dyDescent="0.35">
      <c r="G1584" t="s">
        <v>1600</v>
      </c>
      <c r="H1584" s="23">
        <v>59600</v>
      </c>
    </row>
    <row r="1585" spans="7:8" x14ac:dyDescent="0.35">
      <c r="G1585" t="s">
        <v>1601</v>
      </c>
      <c r="H1585" s="23">
        <v>58200</v>
      </c>
    </row>
    <row r="1586" spans="7:8" x14ac:dyDescent="0.35">
      <c r="G1586" t="s">
        <v>1602</v>
      </c>
      <c r="H1586" s="23">
        <v>101400</v>
      </c>
    </row>
    <row r="1587" spans="7:8" x14ac:dyDescent="0.35">
      <c r="G1587" t="s">
        <v>1603</v>
      </c>
      <c r="H1587" s="23">
        <v>117200</v>
      </c>
    </row>
    <row r="1588" spans="7:8" x14ac:dyDescent="0.35">
      <c r="G1588" t="s">
        <v>1604</v>
      </c>
      <c r="H1588" s="23">
        <v>115200</v>
      </c>
    </row>
    <row r="1589" spans="7:8" x14ac:dyDescent="0.35">
      <c r="G1589" t="s">
        <v>1605</v>
      </c>
      <c r="H1589" s="23">
        <v>42200</v>
      </c>
    </row>
    <row r="1590" spans="7:8" x14ac:dyDescent="0.35">
      <c r="G1590" t="s">
        <v>1606</v>
      </c>
      <c r="H1590" s="23">
        <v>64700</v>
      </c>
    </row>
    <row r="1591" spans="7:8" x14ac:dyDescent="0.35">
      <c r="G1591" t="s">
        <v>1607</v>
      </c>
      <c r="H1591" s="23">
        <v>98400</v>
      </c>
    </row>
    <row r="1592" spans="7:8" x14ac:dyDescent="0.35">
      <c r="G1592" t="s">
        <v>1608</v>
      </c>
      <c r="H1592" s="23">
        <v>75600</v>
      </c>
    </row>
    <row r="1593" spans="7:8" x14ac:dyDescent="0.35">
      <c r="G1593" t="s">
        <v>1609</v>
      </c>
      <c r="H1593" s="23">
        <v>66800</v>
      </c>
    </row>
    <row r="1594" spans="7:8" x14ac:dyDescent="0.35">
      <c r="G1594" t="s">
        <v>1610</v>
      </c>
      <c r="H1594" s="23">
        <v>112100</v>
      </c>
    </row>
    <row r="1595" spans="7:8" x14ac:dyDescent="0.35">
      <c r="G1595" t="s">
        <v>1611</v>
      </c>
      <c r="H1595" s="23">
        <v>64200</v>
      </c>
    </row>
    <row r="1596" spans="7:8" x14ac:dyDescent="0.35">
      <c r="G1596" t="s">
        <v>1612</v>
      </c>
      <c r="H1596" s="23">
        <v>69500</v>
      </c>
    </row>
    <row r="1597" spans="7:8" x14ac:dyDescent="0.35">
      <c r="G1597" t="s">
        <v>1613</v>
      </c>
      <c r="H1597" s="23">
        <v>100600</v>
      </c>
    </row>
    <row r="1598" spans="7:8" x14ac:dyDescent="0.35">
      <c r="G1598" t="s">
        <v>1614</v>
      </c>
      <c r="H1598" s="23">
        <v>110300</v>
      </c>
    </row>
    <row r="1599" spans="7:8" x14ac:dyDescent="0.35">
      <c r="G1599" t="s">
        <v>1615</v>
      </c>
      <c r="H1599" s="23">
        <v>66000</v>
      </c>
    </row>
    <row r="1600" spans="7:8" x14ac:dyDescent="0.35">
      <c r="G1600" t="s">
        <v>1616</v>
      </c>
      <c r="H1600" s="23">
        <v>78100</v>
      </c>
    </row>
    <row r="1601" spans="7:8" x14ac:dyDescent="0.35">
      <c r="G1601" t="s">
        <v>1617</v>
      </c>
      <c r="H1601" s="23">
        <v>76000</v>
      </c>
    </row>
    <row r="1602" spans="7:8" x14ac:dyDescent="0.35">
      <c r="G1602" t="s">
        <v>1618</v>
      </c>
      <c r="H1602" s="23">
        <v>54600</v>
      </c>
    </row>
    <row r="1603" spans="7:8" x14ac:dyDescent="0.35">
      <c r="G1603" t="s">
        <v>1619</v>
      </c>
      <c r="H1603" s="23">
        <v>72600</v>
      </c>
    </row>
    <row r="1604" spans="7:8" x14ac:dyDescent="0.35">
      <c r="G1604" t="s">
        <v>1620</v>
      </c>
      <c r="H1604" s="23">
        <v>55300</v>
      </c>
    </row>
    <row r="1605" spans="7:8" x14ac:dyDescent="0.35">
      <c r="G1605" t="s">
        <v>1621</v>
      </c>
      <c r="H1605" s="23">
        <v>75800</v>
      </c>
    </row>
    <row r="1606" spans="7:8" x14ac:dyDescent="0.35">
      <c r="G1606" t="s">
        <v>1622</v>
      </c>
      <c r="H1606" s="23">
        <v>75400</v>
      </c>
    </row>
    <row r="1607" spans="7:8" x14ac:dyDescent="0.35">
      <c r="G1607" t="s">
        <v>1623</v>
      </c>
      <c r="H1607" s="23">
        <v>40700</v>
      </c>
    </row>
    <row r="1608" spans="7:8" x14ac:dyDescent="0.35">
      <c r="G1608" t="s">
        <v>1624</v>
      </c>
      <c r="H1608" s="23">
        <v>99600</v>
      </c>
    </row>
    <row r="1609" spans="7:8" x14ac:dyDescent="0.35">
      <c r="G1609" t="s">
        <v>1625</v>
      </c>
      <c r="H1609" s="23">
        <v>82400</v>
      </c>
    </row>
    <row r="1610" spans="7:8" x14ac:dyDescent="0.35">
      <c r="G1610" t="s">
        <v>1626</v>
      </c>
      <c r="H1610" s="23">
        <v>85100</v>
      </c>
    </row>
    <row r="1611" spans="7:8" x14ac:dyDescent="0.35">
      <c r="G1611" t="s">
        <v>1627</v>
      </c>
      <c r="H1611" s="23">
        <v>47700</v>
      </c>
    </row>
    <row r="1612" spans="7:8" x14ac:dyDescent="0.35">
      <c r="G1612" t="s">
        <v>1628</v>
      </c>
      <c r="H1612" s="23">
        <v>96900</v>
      </c>
    </row>
    <row r="1613" spans="7:8" x14ac:dyDescent="0.35">
      <c r="G1613" t="s">
        <v>1629</v>
      </c>
      <c r="H1613" s="23">
        <v>92400</v>
      </c>
    </row>
    <row r="1614" spans="7:8" x14ac:dyDescent="0.35">
      <c r="G1614" t="s">
        <v>1630</v>
      </c>
      <c r="H1614" s="23">
        <v>82100</v>
      </c>
    </row>
    <row r="1615" spans="7:8" x14ac:dyDescent="0.35">
      <c r="G1615" t="s">
        <v>1631</v>
      </c>
      <c r="H1615" s="23">
        <v>97000</v>
      </c>
    </row>
    <row r="1616" spans="7:8" x14ac:dyDescent="0.35">
      <c r="G1616" t="s">
        <v>1632</v>
      </c>
      <c r="H1616" s="23">
        <v>69000</v>
      </c>
    </row>
    <row r="1617" spans="7:8" x14ac:dyDescent="0.35">
      <c r="G1617" t="s">
        <v>1633</v>
      </c>
      <c r="H1617" s="23">
        <v>69800</v>
      </c>
    </row>
    <row r="1618" spans="7:8" x14ac:dyDescent="0.35">
      <c r="G1618" t="s">
        <v>1634</v>
      </c>
      <c r="H1618" s="23">
        <v>113400</v>
      </c>
    </row>
    <row r="1619" spans="7:8" x14ac:dyDescent="0.35">
      <c r="G1619" t="s">
        <v>1635</v>
      </c>
      <c r="H1619" s="23">
        <v>83400</v>
      </c>
    </row>
    <row r="1620" spans="7:8" x14ac:dyDescent="0.35">
      <c r="G1620" t="s">
        <v>1636</v>
      </c>
      <c r="H1620" s="23">
        <v>64600</v>
      </c>
    </row>
    <row r="1621" spans="7:8" x14ac:dyDescent="0.35">
      <c r="G1621" t="s">
        <v>1637</v>
      </c>
      <c r="H1621" s="23">
        <v>72900</v>
      </c>
    </row>
    <row r="1622" spans="7:8" x14ac:dyDescent="0.35">
      <c r="G1622" t="s">
        <v>1638</v>
      </c>
      <c r="H1622" s="23">
        <v>81300</v>
      </c>
    </row>
    <row r="1623" spans="7:8" x14ac:dyDescent="0.35">
      <c r="G1623" t="s">
        <v>1639</v>
      </c>
      <c r="H1623" s="23">
        <v>54300</v>
      </c>
    </row>
    <row r="1624" spans="7:8" x14ac:dyDescent="0.35">
      <c r="G1624" t="s">
        <v>1640</v>
      </c>
      <c r="H1624" s="23">
        <v>110100</v>
      </c>
    </row>
    <row r="1625" spans="7:8" x14ac:dyDescent="0.35">
      <c r="G1625" t="s">
        <v>1641</v>
      </c>
      <c r="H1625" s="23">
        <v>78000</v>
      </c>
    </row>
    <row r="1626" spans="7:8" x14ac:dyDescent="0.35">
      <c r="G1626" t="s">
        <v>1642</v>
      </c>
      <c r="H1626" s="23">
        <v>93900</v>
      </c>
    </row>
    <row r="1627" spans="7:8" x14ac:dyDescent="0.35">
      <c r="G1627" t="s">
        <v>1643</v>
      </c>
      <c r="H1627" s="23">
        <v>61400</v>
      </c>
    </row>
    <row r="1628" spans="7:8" x14ac:dyDescent="0.35">
      <c r="G1628" t="s">
        <v>1644</v>
      </c>
      <c r="H1628" s="23">
        <v>65400</v>
      </c>
    </row>
    <row r="1629" spans="7:8" x14ac:dyDescent="0.35">
      <c r="G1629" t="s">
        <v>1645</v>
      </c>
      <c r="H1629" s="23">
        <v>104100</v>
      </c>
    </row>
    <row r="1630" spans="7:8" x14ac:dyDescent="0.35">
      <c r="G1630" t="s">
        <v>1646</v>
      </c>
      <c r="H1630" s="23">
        <v>85300</v>
      </c>
    </row>
    <row r="1631" spans="7:8" x14ac:dyDescent="0.35">
      <c r="G1631" t="s">
        <v>1647</v>
      </c>
      <c r="H1631" s="23">
        <v>108700</v>
      </c>
    </row>
    <row r="1632" spans="7:8" x14ac:dyDescent="0.35">
      <c r="G1632" t="s">
        <v>1648</v>
      </c>
      <c r="H1632" s="23">
        <v>46600</v>
      </c>
    </row>
    <row r="1633" spans="7:8" x14ac:dyDescent="0.35">
      <c r="G1633" t="s">
        <v>1649</v>
      </c>
      <c r="H1633" s="23">
        <v>106200</v>
      </c>
    </row>
    <row r="1634" spans="7:8" x14ac:dyDescent="0.35">
      <c r="G1634" t="s">
        <v>1650</v>
      </c>
      <c r="H1634" s="23">
        <v>109200</v>
      </c>
    </row>
    <row r="1635" spans="7:8" x14ac:dyDescent="0.35">
      <c r="G1635" t="s">
        <v>1651</v>
      </c>
      <c r="H1635" s="23">
        <v>73600</v>
      </c>
    </row>
    <row r="1636" spans="7:8" x14ac:dyDescent="0.35">
      <c r="G1636" t="s">
        <v>1652</v>
      </c>
      <c r="H1636" s="23">
        <v>79400</v>
      </c>
    </row>
    <row r="1637" spans="7:8" x14ac:dyDescent="0.35">
      <c r="G1637" t="s">
        <v>1653</v>
      </c>
      <c r="H1637" s="23">
        <v>75800</v>
      </c>
    </row>
    <row r="1638" spans="7:8" x14ac:dyDescent="0.35">
      <c r="G1638" t="s">
        <v>1654</v>
      </c>
      <c r="H1638" s="23">
        <v>112200</v>
      </c>
    </row>
    <row r="1639" spans="7:8" x14ac:dyDescent="0.35">
      <c r="G1639" t="s">
        <v>1655</v>
      </c>
      <c r="H1639" s="23">
        <v>69600</v>
      </c>
    </row>
    <row r="1640" spans="7:8" x14ac:dyDescent="0.35">
      <c r="G1640" t="s">
        <v>1656</v>
      </c>
      <c r="H1640" s="23">
        <v>75400</v>
      </c>
    </row>
    <row r="1641" spans="7:8" x14ac:dyDescent="0.35">
      <c r="G1641" t="s">
        <v>1657</v>
      </c>
      <c r="H1641" s="23">
        <v>76700</v>
      </c>
    </row>
    <row r="1642" spans="7:8" x14ac:dyDescent="0.35">
      <c r="G1642" t="s">
        <v>1658</v>
      </c>
      <c r="H1642" s="23">
        <v>81500</v>
      </c>
    </row>
    <row r="1643" spans="7:8" x14ac:dyDescent="0.35">
      <c r="G1643" t="s">
        <v>1659</v>
      </c>
      <c r="H1643" s="23">
        <v>56200</v>
      </c>
    </row>
    <row r="1644" spans="7:8" x14ac:dyDescent="0.35">
      <c r="G1644" t="s">
        <v>1660</v>
      </c>
      <c r="H1644" s="23">
        <v>74000</v>
      </c>
    </row>
    <row r="1645" spans="7:8" x14ac:dyDescent="0.35">
      <c r="G1645" t="s">
        <v>1661</v>
      </c>
      <c r="H1645" s="23">
        <v>59300</v>
      </c>
    </row>
    <row r="1646" spans="7:8" x14ac:dyDescent="0.35">
      <c r="G1646" t="s">
        <v>1662</v>
      </c>
      <c r="H1646" s="23">
        <v>86300</v>
      </c>
    </row>
    <row r="1647" spans="7:8" x14ac:dyDescent="0.35">
      <c r="G1647" t="s">
        <v>1663</v>
      </c>
      <c r="H1647" s="23">
        <v>68000</v>
      </c>
    </row>
    <row r="1648" spans="7:8" x14ac:dyDescent="0.35">
      <c r="G1648" t="s">
        <v>1664</v>
      </c>
      <c r="H1648" s="23">
        <v>88300</v>
      </c>
    </row>
    <row r="1649" spans="7:8" x14ac:dyDescent="0.35">
      <c r="G1649" t="s">
        <v>1665</v>
      </c>
      <c r="H1649" s="23">
        <v>80700</v>
      </c>
    </row>
    <row r="1650" spans="7:8" x14ac:dyDescent="0.35">
      <c r="G1650" t="s">
        <v>1666</v>
      </c>
      <c r="H1650" s="23">
        <v>86100</v>
      </c>
    </row>
    <row r="1651" spans="7:8" x14ac:dyDescent="0.35">
      <c r="G1651" t="s">
        <v>1667</v>
      </c>
      <c r="H1651" s="23">
        <v>93300</v>
      </c>
    </row>
    <row r="1652" spans="7:8" x14ac:dyDescent="0.35">
      <c r="G1652" t="s">
        <v>1668</v>
      </c>
      <c r="H1652" s="23">
        <v>77100</v>
      </c>
    </row>
    <row r="1653" spans="7:8" x14ac:dyDescent="0.35">
      <c r="G1653" t="s">
        <v>1669</v>
      </c>
      <c r="H1653" s="23">
        <v>77900</v>
      </c>
    </row>
    <row r="1654" spans="7:8" x14ac:dyDescent="0.35">
      <c r="G1654" t="s">
        <v>1670</v>
      </c>
      <c r="H1654" s="23">
        <v>109200</v>
      </c>
    </row>
    <row r="1655" spans="7:8" x14ac:dyDescent="0.35">
      <c r="G1655" t="s">
        <v>1671</v>
      </c>
      <c r="H1655" s="23">
        <v>103600</v>
      </c>
    </row>
    <row r="1656" spans="7:8" x14ac:dyDescent="0.35">
      <c r="G1656" t="s">
        <v>1672</v>
      </c>
      <c r="H1656" s="23">
        <v>76100</v>
      </c>
    </row>
    <row r="1657" spans="7:8" x14ac:dyDescent="0.35">
      <c r="G1657" t="s">
        <v>1673</v>
      </c>
      <c r="H1657" s="23">
        <v>36400</v>
      </c>
    </row>
    <row r="1658" spans="7:8" x14ac:dyDescent="0.35">
      <c r="G1658" t="s">
        <v>1674</v>
      </c>
      <c r="H1658" s="23">
        <v>68600</v>
      </c>
    </row>
    <row r="1659" spans="7:8" x14ac:dyDescent="0.35">
      <c r="G1659" t="s">
        <v>1675</v>
      </c>
      <c r="H1659" s="23">
        <v>72400</v>
      </c>
    </row>
    <row r="1660" spans="7:8" x14ac:dyDescent="0.35">
      <c r="G1660" t="s">
        <v>1676</v>
      </c>
      <c r="H1660" s="23">
        <v>110700</v>
      </c>
    </row>
    <row r="1661" spans="7:8" x14ac:dyDescent="0.35">
      <c r="G1661" t="s">
        <v>1677</v>
      </c>
      <c r="H1661" s="23">
        <v>75600</v>
      </c>
    </row>
    <row r="1662" spans="7:8" x14ac:dyDescent="0.35">
      <c r="G1662" t="s">
        <v>1678</v>
      </c>
      <c r="H1662" s="23">
        <v>87400</v>
      </c>
    </row>
    <row r="1663" spans="7:8" x14ac:dyDescent="0.35">
      <c r="G1663" t="s">
        <v>1679</v>
      </c>
      <c r="H1663" s="23">
        <v>92000</v>
      </c>
    </row>
    <row r="1664" spans="7:8" x14ac:dyDescent="0.35">
      <c r="G1664" t="s">
        <v>1680</v>
      </c>
      <c r="H1664" s="23">
        <v>63000</v>
      </c>
    </row>
    <row r="1665" spans="7:8" x14ac:dyDescent="0.35">
      <c r="G1665" t="s">
        <v>1681</v>
      </c>
      <c r="H1665" s="23">
        <v>73800</v>
      </c>
    </row>
    <row r="1666" spans="7:8" x14ac:dyDescent="0.35">
      <c r="G1666" t="s">
        <v>1682</v>
      </c>
      <c r="H1666" s="23">
        <v>98500</v>
      </c>
    </row>
    <row r="1667" spans="7:8" x14ac:dyDescent="0.35">
      <c r="G1667" t="s">
        <v>1683</v>
      </c>
      <c r="H1667" s="23">
        <v>99800</v>
      </c>
    </row>
    <row r="1668" spans="7:8" x14ac:dyDescent="0.35">
      <c r="G1668" t="s">
        <v>1684</v>
      </c>
      <c r="H1668" s="23">
        <v>76500</v>
      </c>
    </row>
    <row r="1669" spans="7:8" x14ac:dyDescent="0.35">
      <c r="G1669" t="s">
        <v>1685</v>
      </c>
      <c r="H1669" s="23">
        <v>75300</v>
      </c>
    </row>
    <row r="1670" spans="7:8" x14ac:dyDescent="0.35">
      <c r="G1670" t="s">
        <v>1686</v>
      </c>
      <c r="H1670" s="23">
        <v>74600</v>
      </c>
    </row>
    <row r="1671" spans="7:8" x14ac:dyDescent="0.35">
      <c r="G1671" t="s">
        <v>1687</v>
      </c>
      <c r="H1671" s="23">
        <v>102400</v>
      </c>
    </row>
    <row r="1672" spans="7:8" x14ac:dyDescent="0.35">
      <c r="G1672" t="s">
        <v>1688</v>
      </c>
      <c r="H1672" s="23">
        <v>66200</v>
      </c>
    </row>
    <row r="1673" spans="7:8" x14ac:dyDescent="0.35">
      <c r="G1673" t="s">
        <v>1689</v>
      </c>
      <c r="H1673" s="23">
        <v>75000</v>
      </c>
    </row>
    <row r="1674" spans="7:8" x14ac:dyDescent="0.35">
      <c r="G1674" t="s">
        <v>1690</v>
      </c>
      <c r="H1674" s="23">
        <v>98000</v>
      </c>
    </row>
    <row r="1675" spans="7:8" x14ac:dyDescent="0.35">
      <c r="G1675" t="s">
        <v>1691</v>
      </c>
      <c r="H1675" s="23">
        <v>96200</v>
      </c>
    </row>
    <row r="1676" spans="7:8" x14ac:dyDescent="0.35">
      <c r="G1676" t="s">
        <v>1692</v>
      </c>
      <c r="H1676" s="23">
        <v>79300</v>
      </c>
    </row>
    <row r="1677" spans="7:8" x14ac:dyDescent="0.35">
      <c r="G1677" t="s">
        <v>1693</v>
      </c>
      <c r="H1677" s="23">
        <v>61400</v>
      </c>
    </row>
    <row r="1678" spans="7:8" x14ac:dyDescent="0.35">
      <c r="G1678" t="s">
        <v>1694</v>
      </c>
      <c r="H1678" s="23">
        <v>118400</v>
      </c>
    </row>
    <row r="1679" spans="7:8" x14ac:dyDescent="0.35">
      <c r="G1679" t="s">
        <v>1695</v>
      </c>
      <c r="H1679" s="23">
        <v>89300</v>
      </c>
    </row>
    <row r="1680" spans="7:8" x14ac:dyDescent="0.35">
      <c r="G1680" t="s">
        <v>1696</v>
      </c>
      <c r="H1680" s="23">
        <v>93100</v>
      </c>
    </row>
    <row r="1681" spans="7:8" x14ac:dyDescent="0.35">
      <c r="G1681" t="s">
        <v>1697</v>
      </c>
      <c r="H1681" s="23">
        <v>78200</v>
      </c>
    </row>
    <row r="1682" spans="7:8" x14ac:dyDescent="0.35">
      <c r="G1682" t="s">
        <v>1698</v>
      </c>
      <c r="H1682" s="23">
        <v>78800</v>
      </c>
    </row>
    <row r="1683" spans="7:8" x14ac:dyDescent="0.35">
      <c r="G1683" t="s">
        <v>1699</v>
      </c>
      <c r="H1683" s="23">
        <v>81500</v>
      </c>
    </row>
    <row r="1684" spans="7:8" x14ac:dyDescent="0.35">
      <c r="G1684" t="s">
        <v>1700</v>
      </c>
      <c r="H1684" s="23">
        <v>60900</v>
      </c>
    </row>
    <row r="1685" spans="7:8" x14ac:dyDescent="0.35">
      <c r="G1685" t="s">
        <v>1701</v>
      </c>
      <c r="H1685" s="23">
        <v>79100</v>
      </c>
    </row>
    <row r="1686" spans="7:8" x14ac:dyDescent="0.35">
      <c r="G1686" t="s">
        <v>1702</v>
      </c>
      <c r="H1686" s="23">
        <v>104600</v>
      </c>
    </row>
    <row r="1687" spans="7:8" x14ac:dyDescent="0.35">
      <c r="G1687" t="s">
        <v>1703</v>
      </c>
      <c r="H1687" s="23">
        <v>109700</v>
      </c>
    </row>
    <row r="1688" spans="7:8" x14ac:dyDescent="0.35">
      <c r="G1688" t="s">
        <v>1704</v>
      </c>
      <c r="H1688" s="23">
        <v>100000</v>
      </c>
    </row>
    <row r="1689" spans="7:8" x14ac:dyDescent="0.35">
      <c r="G1689" t="s">
        <v>1705</v>
      </c>
      <c r="H1689" s="23">
        <v>61200</v>
      </c>
    </row>
    <row r="1690" spans="7:8" x14ac:dyDescent="0.35">
      <c r="G1690" t="s">
        <v>1706</v>
      </c>
      <c r="H1690" s="23">
        <v>73200</v>
      </c>
    </row>
    <row r="1691" spans="7:8" x14ac:dyDescent="0.35">
      <c r="G1691" t="s">
        <v>1707</v>
      </c>
      <c r="H1691" s="23">
        <v>113500</v>
      </c>
    </row>
    <row r="1692" spans="7:8" x14ac:dyDescent="0.35">
      <c r="G1692" t="s">
        <v>1708</v>
      </c>
      <c r="H1692" s="23">
        <v>107600</v>
      </c>
    </row>
    <row r="1693" spans="7:8" x14ac:dyDescent="0.35">
      <c r="G1693" t="s">
        <v>1709</v>
      </c>
      <c r="H1693" s="23">
        <v>117800</v>
      </c>
    </row>
    <row r="1694" spans="7:8" x14ac:dyDescent="0.35">
      <c r="G1694" t="s">
        <v>1710</v>
      </c>
      <c r="H1694" s="23">
        <v>87400</v>
      </c>
    </row>
    <row r="1695" spans="7:8" x14ac:dyDescent="0.35">
      <c r="G1695" t="s">
        <v>1711</v>
      </c>
      <c r="H1695" s="23">
        <v>75100</v>
      </c>
    </row>
    <row r="1696" spans="7:8" x14ac:dyDescent="0.35">
      <c r="G1696" t="s">
        <v>1712</v>
      </c>
      <c r="H1696" s="23">
        <v>72000</v>
      </c>
    </row>
    <row r="1697" spans="7:8" x14ac:dyDescent="0.35">
      <c r="G1697" t="s">
        <v>1713</v>
      </c>
      <c r="H1697" s="23">
        <v>72200</v>
      </c>
    </row>
    <row r="1698" spans="7:8" x14ac:dyDescent="0.35">
      <c r="G1698" t="s">
        <v>1714</v>
      </c>
      <c r="H1698" s="23">
        <v>97200</v>
      </c>
    </row>
    <row r="1699" spans="7:8" x14ac:dyDescent="0.35">
      <c r="G1699" t="s">
        <v>1715</v>
      </c>
      <c r="H1699" s="23">
        <v>94700</v>
      </c>
    </row>
    <row r="1700" spans="7:8" x14ac:dyDescent="0.35">
      <c r="G1700" t="s">
        <v>1716</v>
      </c>
      <c r="H1700" s="23">
        <v>65700</v>
      </c>
    </row>
    <row r="1701" spans="7:8" x14ac:dyDescent="0.35">
      <c r="G1701" t="s">
        <v>1717</v>
      </c>
      <c r="H1701" s="23">
        <v>68400</v>
      </c>
    </row>
    <row r="1702" spans="7:8" x14ac:dyDescent="0.35">
      <c r="G1702" t="s">
        <v>1718</v>
      </c>
      <c r="H1702" s="23">
        <v>75100</v>
      </c>
    </row>
    <row r="1703" spans="7:8" x14ac:dyDescent="0.35">
      <c r="G1703" t="s">
        <v>1719</v>
      </c>
      <c r="H1703" s="23">
        <v>59300</v>
      </c>
    </row>
    <row r="1704" spans="7:8" x14ac:dyDescent="0.35">
      <c r="G1704" t="s">
        <v>1720</v>
      </c>
      <c r="H1704" s="23">
        <v>72600</v>
      </c>
    </row>
    <row r="1705" spans="7:8" x14ac:dyDescent="0.35">
      <c r="G1705" t="s">
        <v>1721</v>
      </c>
      <c r="H1705" s="23">
        <v>67100</v>
      </c>
    </row>
    <row r="1706" spans="7:8" x14ac:dyDescent="0.35">
      <c r="G1706" t="s">
        <v>1722</v>
      </c>
      <c r="H1706" s="23">
        <v>69300</v>
      </c>
    </row>
    <row r="1707" spans="7:8" x14ac:dyDescent="0.35">
      <c r="G1707" t="s">
        <v>1723</v>
      </c>
      <c r="H1707" s="23">
        <v>75000</v>
      </c>
    </row>
    <row r="1708" spans="7:8" x14ac:dyDescent="0.35">
      <c r="G1708" t="s">
        <v>1724</v>
      </c>
      <c r="H1708" s="23">
        <v>74700</v>
      </c>
    </row>
    <row r="1709" spans="7:8" x14ac:dyDescent="0.35">
      <c r="G1709" t="s">
        <v>1725</v>
      </c>
      <c r="H1709" s="23">
        <v>72700</v>
      </c>
    </row>
    <row r="1710" spans="7:8" x14ac:dyDescent="0.35">
      <c r="G1710" t="s">
        <v>1726</v>
      </c>
      <c r="H1710" s="23">
        <v>100100</v>
      </c>
    </row>
    <row r="1711" spans="7:8" x14ac:dyDescent="0.35">
      <c r="G1711" t="s">
        <v>1727</v>
      </c>
      <c r="H1711" s="23">
        <v>60300</v>
      </c>
    </row>
    <row r="1712" spans="7:8" x14ac:dyDescent="0.35">
      <c r="G1712" t="s">
        <v>1728</v>
      </c>
      <c r="H1712" s="23">
        <v>73600</v>
      </c>
    </row>
    <row r="1713" spans="7:8" x14ac:dyDescent="0.35">
      <c r="G1713" t="s">
        <v>1729</v>
      </c>
      <c r="H1713" s="23">
        <v>56800</v>
      </c>
    </row>
    <row r="1714" spans="7:8" x14ac:dyDescent="0.35">
      <c r="G1714" t="s">
        <v>1730</v>
      </c>
      <c r="H1714" s="23">
        <v>68300</v>
      </c>
    </row>
    <row r="1715" spans="7:8" x14ac:dyDescent="0.35">
      <c r="G1715" t="s">
        <v>1731</v>
      </c>
      <c r="H1715" s="23">
        <v>47700</v>
      </c>
    </row>
    <row r="1716" spans="7:8" x14ac:dyDescent="0.35">
      <c r="G1716" t="s">
        <v>1732</v>
      </c>
      <c r="H1716" s="23">
        <v>108000</v>
      </c>
    </row>
    <row r="1717" spans="7:8" x14ac:dyDescent="0.35">
      <c r="G1717" t="s">
        <v>1733</v>
      </c>
      <c r="H1717" s="23">
        <v>89500</v>
      </c>
    </row>
    <row r="1718" spans="7:8" x14ac:dyDescent="0.35">
      <c r="G1718" t="s">
        <v>1734</v>
      </c>
      <c r="H1718" s="23">
        <v>66600</v>
      </c>
    </row>
    <row r="1719" spans="7:8" x14ac:dyDescent="0.35">
      <c r="G1719" t="s">
        <v>1735</v>
      </c>
      <c r="H1719" s="23">
        <v>87200</v>
      </c>
    </row>
    <row r="1720" spans="7:8" x14ac:dyDescent="0.35">
      <c r="G1720" t="s">
        <v>1736</v>
      </c>
      <c r="H1720" s="23">
        <v>73800</v>
      </c>
    </row>
    <row r="1721" spans="7:8" x14ac:dyDescent="0.35">
      <c r="G1721" t="s">
        <v>1737</v>
      </c>
      <c r="H1721" s="23">
        <v>117300</v>
      </c>
    </row>
    <row r="1722" spans="7:8" x14ac:dyDescent="0.35">
      <c r="G1722" t="s">
        <v>1738</v>
      </c>
      <c r="H1722" s="23">
        <v>112000</v>
      </c>
    </row>
    <row r="1723" spans="7:8" x14ac:dyDescent="0.35">
      <c r="G1723" t="s">
        <v>1739</v>
      </c>
      <c r="H1723" s="23">
        <v>82500</v>
      </c>
    </row>
    <row r="1724" spans="7:8" x14ac:dyDescent="0.35">
      <c r="G1724" t="s">
        <v>1740</v>
      </c>
      <c r="H1724" s="23">
        <v>76500</v>
      </c>
    </row>
    <row r="1725" spans="7:8" x14ac:dyDescent="0.35">
      <c r="G1725" t="s">
        <v>1741</v>
      </c>
      <c r="H1725" s="23">
        <v>85800</v>
      </c>
    </row>
    <row r="1726" spans="7:8" x14ac:dyDescent="0.35">
      <c r="G1726" t="s">
        <v>1742</v>
      </c>
      <c r="H1726" s="23">
        <v>52100</v>
      </c>
    </row>
    <row r="1727" spans="7:8" x14ac:dyDescent="0.35">
      <c r="G1727" t="s">
        <v>1743</v>
      </c>
      <c r="H1727" s="23">
        <v>74200</v>
      </c>
    </row>
    <row r="1728" spans="7:8" x14ac:dyDescent="0.35">
      <c r="G1728" t="s">
        <v>1744</v>
      </c>
      <c r="H1728" s="23">
        <v>102200</v>
      </c>
    </row>
    <row r="1729" spans="7:8" x14ac:dyDescent="0.35">
      <c r="G1729" t="s">
        <v>1745</v>
      </c>
      <c r="H1729" s="23">
        <v>40800</v>
      </c>
    </row>
    <row r="1730" spans="7:8" x14ac:dyDescent="0.35">
      <c r="G1730" t="s">
        <v>1746</v>
      </c>
      <c r="H1730" s="23">
        <v>93400</v>
      </c>
    </row>
    <row r="1731" spans="7:8" x14ac:dyDescent="0.35">
      <c r="G1731" t="s">
        <v>1747</v>
      </c>
      <c r="H1731" s="23">
        <v>104700</v>
      </c>
    </row>
    <row r="1732" spans="7:8" x14ac:dyDescent="0.35">
      <c r="G1732" t="s">
        <v>1748</v>
      </c>
      <c r="H1732" s="23">
        <v>88800</v>
      </c>
    </row>
    <row r="1733" spans="7:8" x14ac:dyDescent="0.35">
      <c r="G1733" t="s">
        <v>1749</v>
      </c>
      <c r="H1733" s="23">
        <v>64300</v>
      </c>
    </row>
    <row r="1734" spans="7:8" x14ac:dyDescent="0.35">
      <c r="G1734" t="s">
        <v>1750</v>
      </c>
      <c r="H1734" s="23">
        <v>107600</v>
      </c>
    </row>
    <row r="1735" spans="7:8" x14ac:dyDescent="0.35">
      <c r="G1735" t="s">
        <v>1751</v>
      </c>
      <c r="H1735" s="23">
        <v>71700</v>
      </c>
    </row>
    <row r="1736" spans="7:8" x14ac:dyDescent="0.35">
      <c r="G1736" t="s">
        <v>1752</v>
      </c>
      <c r="H1736" s="23">
        <v>101200</v>
      </c>
    </row>
    <row r="1737" spans="7:8" x14ac:dyDescent="0.35">
      <c r="G1737" t="s">
        <v>1753</v>
      </c>
      <c r="H1737" s="23">
        <v>75100</v>
      </c>
    </row>
    <row r="1738" spans="7:8" x14ac:dyDescent="0.35">
      <c r="G1738" t="s">
        <v>1754</v>
      </c>
      <c r="H1738" s="23">
        <v>97700</v>
      </c>
    </row>
    <row r="1739" spans="7:8" x14ac:dyDescent="0.35">
      <c r="G1739" t="s">
        <v>1755</v>
      </c>
      <c r="H1739" s="23">
        <v>99900</v>
      </c>
    </row>
    <row r="1740" spans="7:8" x14ac:dyDescent="0.35">
      <c r="G1740" t="s">
        <v>1756</v>
      </c>
      <c r="H1740" s="23">
        <v>78300</v>
      </c>
    </row>
    <row r="1741" spans="7:8" x14ac:dyDescent="0.35">
      <c r="G1741" t="s">
        <v>1757</v>
      </c>
      <c r="H1741" s="23">
        <v>88800</v>
      </c>
    </row>
    <row r="1742" spans="7:8" x14ac:dyDescent="0.35">
      <c r="G1742" t="s">
        <v>1758</v>
      </c>
      <c r="H1742" s="23">
        <v>82600</v>
      </c>
    </row>
    <row r="1743" spans="7:8" x14ac:dyDescent="0.35">
      <c r="G1743" t="s">
        <v>1759</v>
      </c>
      <c r="H1743" s="23">
        <v>95000</v>
      </c>
    </row>
    <row r="1744" spans="7:8" x14ac:dyDescent="0.35">
      <c r="G1744" t="s">
        <v>1760</v>
      </c>
      <c r="H1744" s="23">
        <v>74200</v>
      </c>
    </row>
    <row r="1745" spans="7:8" x14ac:dyDescent="0.35">
      <c r="G1745" t="s">
        <v>1761</v>
      </c>
      <c r="H1745" s="23">
        <v>82000</v>
      </c>
    </row>
    <row r="1746" spans="7:8" x14ac:dyDescent="0.35">
      <c r="G1746" t="s">
        <v>1762</v>
      </c>
      <c r="H1746" s="23">
        <v>75300</v>
      </c>
    </row>
    <row r="1747" spans="7:8" x14ac:dyDescent="0.35">
      <c r="G1747" t="s">
        <v>1763</v>
      </c>
      <c r="H1747" s="23">
        <v>72600</v>
      </c>
    </row>
    <row r="1748" spans="7:8" x14ac:dyDescent="0.35">
      <c r="G1748" t="s">
        <v>1764</v>
      </c>
      <c r="H1748" s="23">
        <v>85300</v>
      </c>
    </row>
    <row r="1749" spans="7:8" x14ac:dyDescent="0.35">
      <c r="G1749" t="s">
        <v>1765</v>
      </c>
      <c r="H1749" s="23">
        <v>76200</v>
      </c>
    </row>
    <row r="1750" spans="7:8" x14ac:dyDescent="0.35">
      <c r="G1750" t="s">
        <v>1766</v>
      </c>
      <c r="H1750" s="23">
        <v>107800</v>
      </c>
    </row>
    <row r="1751" spans="7:8" x14ac:dyDescent="0.35">
      <c r="G1751" t="s">
        <v>1767</v>
      </c>
      <c r="H1751" s="23">
        <v>62200</v>
      </c>
    </row>
    <row r="1752" spans="7:8" x14ac:dyDescent="0.35">
      <c r="G1752" t="s">
        <v>1768</v>
      </c>
      <c r="H1752" s="23">
        <v>77000</v>
      </c>
    </row>
    <row r="1753" spans="7:8" x14ac:dyDescent="0.35">
      <c r="G1753" t="s">
        <v>1769</v>
      </c>
      <c r="H1753" s="23">
        <v>80600</v>
      </c>
    </row>
    <row r="1754" spans="7:8" x14ac:dyDescent="0.35">
      <c r="G1754" t="s">
        <v>1770</v>
      </c>
      <c r="H1754" s="23">
        <v>91800</v>
      </c>
    </row>
    <row r="1755" spans="7:8" x14ac:dyDescent="0.35">
      <c r="G1755" t="s">
        <v>1771</v>
      </c>
      <c r="H1755" s="23">
        <v>65100</v>
      </c>
    </row>
    <row r="1756" spans="7:8" x14ac:dyDescent="0.35">
      <c r="G1756" t="s">
        <v>1772</v>
      </c>
      <c r="H1756" s="23">
        <v>103000</v>
      </c>
    </row>
    <row r="1757" spans="7:8" x14ac:dyDescent="0.35">
      <c r="G1757" t="s">
        <v>1773</v>
      </c>
      <c r="H1757" s="23">
        <v>91600</v>
      </c>
    </row>
    <row r="1758" spans="7:8" x14ac:dyDescent="0.35">
      <c r="G1758" t="s">
        <v>1774</v>
      </c>
      <c r="H1758" s="23">
        <v>82500</v>
      </c>
    </row>
    <row r="1759" spans="7:8" x14ac:dyDescent="0.35">
      <c r="G1759" t="s">
        <v>1775</v>
      </c>
      <c r="H1759" s="23">
        <v>72700</v>
      </c>
    </row>
    <row r="1760" spans="7:8" x14ac:dyDescent="0.35">
      <c r="G1760" t="s">
        <v>1776</v>
      </c>
      <c r="H1760" s="23">
        <v>100200</v>
      </c>
    </row>
    <row r="1761" spans="7:8" x14ac:dyDescent="0.35">
      <c r="G1761" t="s">
        <v>1777</v>
      </c>
      <c r="H1761" s="23">
        <v>81900</v>
      </c>
    </row>
    <row r="1762" spans="7:8" x14ac:dyDescent="0.35">
      <c r="G1762" t="s">
        <v>1778</v>
      </c>
      <c r="H1762" s="23">
        <v>89800</v>
      </c>
    </row>
    <row r="1763" spans="7:8" x14ac:dyDescent="0.35">
      <c r="G1763" t="s">
        <v>1779</v>
      </c>
      <c r="H1763" s="23">
        <v>31500</v>
      </c>
    </row>
    <row r="1764" spans="7:8" x14ac:dyDescent="0.35">
      <c r="G1764" t="s">
        <v>1780</v>
      </c>
      <c r="H1764" s="23">
        <v>117100</v>
      </c>
    </row>
    <row r="1765" spans="7:8" x14ac:dyDescent="0.35">
      <c r="G1765" t="s">
        <v>1781</v>
      </c>
      <c r="H1765" s="23">
        <v>56500</v>
      </c>
    </row>
    <row r="1766" spans="7:8" x14ac:dyDescent="0.35">
      <c r="G1766" t="s">
        <v>1782</v>
      </c>
      <c r="H1766" s="23">
        <v>105700</v>
      </c>
    </row>
    <row r="1767" spans="7:8" x14ac:dyDescent="0.35">
      <c r="G1767" t="s">
        <v>1783</v>
      </c>
      <c r="H1767" s="23">
        <v>53100</v>
      </c>
    </row>
    <row r="1768" spans="7:8" x14ac:dyDescent="0.35">
      <c r="G1768" t="s">
        <v>1784</v>
      </c>
      <c r="H1768" s="23">
        <v>58600</v>
      </c>
    </row>
    <row r="1769" spans="7:8" x14ac:dyDescent="0.35">
      <c r="G1769" t="s">
        <v>1785</v>
      </c>
      <c r="H1769" s="23">
        <v>67200</v>
      </c>
    </row>
    <row r="1770" spans="7:8" x14ac:dyDescent="0.35">
      <c r="G1770" t="s">
        <v>1786</v>
      </c>
      <c r="H1770" s="23">
        <v>86600</v>
      </c>
    </row>
    <row r="1771" spans="7:8" x14ac:dyDescent="0.35">
      <c r="G1771" t="s">
        <v>1787</v>
      </c>
      <c r="H1771" s="23">
        <v>96300</v>
      </c>
    </row>
    <row r="1772" spans="7:8" x14ac:dyDescent="0.35">
      <c r="G1772" t="s">
        <v>1788</v>
      </c>
      <c r="H1772" s="23">
        <v>92200</v>
      </c>
    </row>
    <row r="1773" spans="7:8" x14ac:dyDescent="0.35">
      <c r="G1773" t="s">
        <v>1789</v>
      </c>
      <c r="H1773" s="23">
        <v>63200</v>
      </c>
    </row>
    <row r="1774" spans="7:8" x14ac:dyDescent="0.35">
      <c r="G1774" t="s">
        <v>1790</v>
      </c>
      <c r="H1774" s="23">
        <v>89400</v>
      </c>
    </row>
    <row r="1775" spans="7:8" x14ac:dyDescent="0.35">
      <c r="G1775" t="s">
        <v>1791</v>
      </c>
      <c r="H1775" s="23">
        <v>97300</v>
      </c>
    </row>
    <row r="1776" spans="7:8" x14ac:dyDescent="0.35">
      <c r="G1776" t="s">
        <v>1792</v>
      </c>
      <c r="H1776" s="23">
        <v>75500</v>
      </c>
    </row>
    <row r="1777" spans="7:8" x14ac:dyDescent="0.35">
      <c r="G1777" t="s">
        <v>1793</v>
      </c>
      <c r="H1777" s="23">
        <v>75300</v>
      </c>
    </row>
    <row r="1778" spans="7:8" x14ac:dyDescent="0.35">
      <c r="G1778" t="s">
        <v>1794</v>
      </c>
      <c r="H1778" s="23">
        <v>92500</v>
      </c>
    </row>
    <row r="1779" spans="7:8" x14ac:dyDescent="0.35">
      <c r="G1779" t="s">
        <v>1795</v>
      </c>
      <c r="H1779" s="23">
        <v>68000</v>
      </c>
    </row>
    <row r="1780" spans="7:8" x14ac:dyDescent="0.35">
      <c r="G1780" t="s">
        <v>1796</v>
      </c>
      <c r="H1780" s="23">
        <v>107800</v>
      </c>
    </row>
    <row r="1781" spans="7:8" x14ac:dyDescent="0.35">
      <c r="G1781" t="s">
        <v>1797</v>
      </c>
      <c r="H1781" s="23">
        <v>75600</v>
      </c>
    </row>
    <row r="1782" spans="7:8" x14ac:dyDescent="0.35">
      <c r="G1782" t="s">
        <v>1798</v>
      </c>
      <c r="H1782" s="23">
        <v>81800</v>
      </c>
    </row>
    <row r="1783" spans="7:8" x14ac:dyDescent="0.35">
      <c r="G1783" t="s">
        <v>1799</v>
      </c>
      <c r="H1783" s="23">
        <v>77900</v>
      </c>
    </row>
    <row r="1784" spans="7:8" x14ac:dyDescent="0.35">
      <c r="G1784" t="s">
        <v>1800</v>
      </c>
      <c r="H1784" s="23">
        <v>55200</v>
      </c>
    </row>
    <row r="1785" spans="7:8" x14ac:dyDescent="0.35">
      <c r="G1785" t="s">
        <v>1801</v>
      </c>
      <c r="H1785" s="23">
        <v>85900</v>
      </c>
    </row>
    <row r="1786" spans="7:8" x14ac:dyDescent="0.35">
      <c r="G1786" t="s">
        <v>1802</v>
      </c>
      <c r="H1786" s="23">
        <v>62100</v>
      </c>
    </row>
    <row r="1787" spans="7:8" x14ac:dyDescent="0.35">
      <c r="G1787" t="s">
        <v>1803</v>
      </c>
      <c r="H1787" s="23">
        <v>45000</v>
      </c>
    </row>
    <row r="1788" spans="7:8" x14ac:dyDescent="0.35">
      <c r="G1788" t="s">
        <v>1804</v>
      </c>
      <c r="H1788" s="23">
        <v>50900</v>
      </c>
    </row>
    <row r="1789" spans="7:8" x14ac:dyDescent="0.35">
      <c r="G1789" t="s">
        <v>1805</v>
      </c>
      <c r="H1789" s="23">
        <v>69700</v>
      </c>
    </row>
    <row r="1790" spans="7:8" x14ac:dyDescent="0.35">
      <c r="G1790" t="s">
        <v>1806</v>
      </c>
      <c r="H1790" s="23">
        <v>65900</v>
      </c>
    </row>
    <row r="1791" spans="7:8" x14ac:dyDescent="0.35">
      <c r="G1791" t="s">
        <v>1807</v>
      </c>
      <c r="H1791" s="23">
        <v>110900</v>
      </c>
    </row>
    <row r="1792" spans="7:8" x14ac:dyDescent="0.35">
      <c r="G1792" t="s">
        <v>1808</v>
      </c>
      <c r="H1792" s="23">
        <v>63300</v>
      </c>
    </row>
    <row r="1793" spans="7:8" x14ac:dyDescent="0.35">
      <c r="G1793" t="s">
        <v>1809</v>
      </c>
      <c r="H1793" s="23">
        <v>63100</v>
      </c>
    </row>
    <row r="1794" spans="7:8" x14ac:dyDescent="0.35">
      <c r="G1794" t="s">
        <v>1810</v>
      </c>
      <c r="H1794" s="23">
        <v>94200</v>
      </c>
    </row>
    <row r="1795" spans="7:8" x14ac:dyDescent="0.35">
      <c r="G1795" t="s">
        <v>1811</v>
      </c>
      <c r="H1795" s="23">
        <v>97400</v>
      </c>
    </row>
    <row r="1796" spans="7:8" x14ac:dyDescent="0.35">
      <c r="G1796" t="s">
        <v>1812</v>
      </c>
      <c r="H1796" s="23">
        <v>114100</v>
      </c>
    </row>
    <row r="1797" spans="7:8" x14ac:dyDescent="0.35">
      <c r="G1797" t="s">
        <v>1813</v>
      </c>
      <c r="H1797" s="23">
        <v>88000</v>
      </c>
    </row>
    <row r="1798" spans="7:8" x14ac:dyDescent="0.35">
      <c r="G1798" t="s">
        <v>1814</v>
      </c>
      <c r="H1798" s="23">
        <v>76200</v>
      </c>
    </row>
    <row r="1799" spans="7:8" x14ac:dyDescent="0.35">
      <c r="G1799" t="s">
        <v>1815</v>
      </c>
      <c r="H1799" s="23">
        <v>101600</v>
      </c>
    </row>
    <row r="1800" spans="7:8" x14ac:dyDescent="0.35">
      <c r="G1800" t="s">
        <v>1816</v>
      </c>
      <c r="H1800" s="23">
        <v>88300</v>
      </c>
    </row>
    <row r="1801" spans="7:8" x14ac:dyDescent="0.35">
      <c r="G1801" t="s">
        <v>1817</v>
      </c>
      <c r="H1801" s="23">
        <v>60300</v>
      </c>
    </row>
    <row r="1802" spans="7:8" x14ac:dyDescent="0.35">
      <c r="G1802" t="s">
        <v>1818</v>
      </c>
      <c r="H1802" s="23">
        <v>64000</v>
      </c>
    </row>
    <row r="1803" spans="7:8" x14ac:dyDescent="0.35">
      <c r="G1803" t="s">
        <v>1819</v>
      </c>
      <c r="H1803" s="23">
        <v>76800</v>
      </c>
    </row>
    <row r="1804" spans="7:8" x14ac:dyDescent="0.35">
      <c r="G1804" t="s">
        <v>1820</v>
      </c>
      <c r="H1804" s="23">
        <v>91800</v>
      </c>
    </row>
    <row r="1805" spans="7:8" x14ac:dyDescent="0.35">
      <c r="G1805" t="s">
        <v>1821</v>
      </c>
      <c r="H1805" s="23">
        <v>98700</v>
      </c>
    </row>
    <row r="1806" spans="7:8" x14ac:dyDescent="0.35">
      <c r="G1806" t="s">
        <v>1822</v>
      </c>
      <c r="H1806" s="23">
        <v>72100</v>
      </c>
    </row>
    <row r="1807" spans="7:8" x14ac:dyDescent="0.35">
      <c r="G1807" t="s">
        <v>1823</v>
      </c>
      <c r="H1807" s="23">
        <v>103900</v>
      </c>
    </row>
    <row r="1808" spans="7:8" x14ac:dyDescent="0.35">
      <c r="G1808" t="s">
        <v>1824</v>
      </c>
      <c r="H1808" s="23">
        <v>57200</v>
      </c>
    </row>
    <row r="1809" spans="7:8" x14ac:dyDescent="0.35">
      <c r="G1809" t="s">
        <v>1825</v>
      </c>
      <c r="H1809" s="23">
        <v>74800</v>
      </c>
    </row>
    <row r="1810" spans="7:8" x14ac:dyDescent="0.35">
      <c r="G1810" t="s">
        <v>1826</v>
      </c>
      <c r="H1810" s="23">
        <v>65900</v>
      </c>
    </row>
    <row r="1811" spans="7:8" x14ac:dyDescent="0.35">
      <c r="G1811" t="s">
        <v>1827</v>
      </c>
      <c r="H1811" s="23">
        <v>115900</v>
      </c>
    </row>
    <row r="1812" spans="7:8" x14ac:dyDescent="0.35">
      <c r="G1812" t="s">
        <v>1828</v>
      </c>
      <c r="H1812" s="23">
        <v>81800</v>
      </c>
    </row>
    <row r="1813" spans="7:8" x14ac:dyDescent="0.35">
      <c r="G1813" t="s">
        <v>1829</v>
      </c>
      <c r="H1813" s="23">
        <v>84300</v>
      </c>
    </row>
    <row r="1814" spans="7:8" x14ac:dyDescent="0.35">
      <c r="G1814" t="s">
        <v>1830</v>
      </c>
      <c r="H1814" s="23">
        <v>96000</v>
      </c>
    </row>
    <row r="1815" spans="7:8" x14ac:dyDescent="0.35">
      <c r="G1815" t="s">
        <v>1831</v>
      </c>
      <c r="H1815" s="23">
        <v>97500</v>
      </c>
    </row>
    <row r="1816" spans="7:8" x14ac:dyDescent="0.35">
      <c r="G1816" t="s">
        <v>1832</v>
      </c>
      <c r="H1816" s="23">
        <v>78400</v>
      </c>
    </row>
    <row r="1817" spans="7:8" x14ac:dyDescent="0.35">
      <c r="G1817" t="s">
        <v>1833</v>
      </c>
      <c r="H1817" s="23">
        <v>72200</v>
      </c>
    </row>
    <row r="1818" spans="7:8" x14ac:dyDescent="0.35">
      <c r="G1818" t="s">
        <v>1834</v>
      </c>
      <c r="H1818" s="23">
        <v>84600</v>
      </c>
    </row>
    <row r="1819" spans="7:8" x14ac:dyDescent="0.35">
      <c r="G1819" t="s">
        <v>1835</v>
      </c>
      <c r="H1819" s="23">
        <v>90300</v>
      </c>
    </row>
    <row r="1820" spans="7:8" x14ac:dyDescent="0.35">
      <c r="G1820" t="s">
        <v>1836</v>
      </c>
      <c r="H1820" s="23">
        <v>71700</v>
      </c>
    </row>
    <row r="1821" spans="7:8" x14ac:dyDescent="0.35">
      <c r="G1821" t="s">
        <v>1837</v>
      </c>
      <c r="H1821" s="23">
        <v>86600</v>
      </c>
    </row>
    <row r="1822" spans="7:8" x14ac:dyDescent="0.35">
      <c r="G1822" t="s">
        <v>1838</v>
      </c>
      <c r="H1822" s="23">
        <v>74400</v>
      </c>
    </row>
    <row r="1823" spans="7:8" x14ac:dyDescent="0.35">
      <c r="G1823" t="s">
        <v>1839</v>
      </c>
      <c r="H1823" s="23">
        <v>87500</v>
      </c>
    </row>
    <row r="1824" spans="7:8" x14ac:dyDescent="0.35">
      <c r="G1824" t="s">
        <v>1840</v>
      </c>
      <c r="H1824" s="23">
        <v>74300</v>
      </c>
    </row>
    <row r="1825" spans="7:8" x14ac:dyDescent="0.35">
      <c r="G1825" t="s">
        <v>1841</v>
      </c>
      <c r="H1825" s="23">
        <v>78700</v>
      </c>
    </row>
    <row r="1826" spans="7:8" x14ac:dyDescent="0.35">
      <c r="G1826" t="s">
        <v>1842</v>
      </c>
      <c r="H1826" s="23">
        <v>87700</v>
      </c>
    </row>
    <row r="1827" spans="7:8" x14ac:dyDescent="0.35">
      <c r="G1827" t="s">
        <v>1843</v>
      </c>
      <c r="H1827" s="23">
        <v>108400</v>
      </c>
    </row>
    <row r="1828" spans="7:8" x14ac:dyDescent="0.35">
      <c r="G1828" t="s">
        <v>1844</v>
      </c>
      <c r="H1828" s="23">
        <v>67900</v>
      </c>
    </row>
    <row r="1829" spans="7:8" x14ac:dyDescent="0.35">
      <c r="G1829" t="s">
        <v>1845</v>
      </c>
      <c r="H1829" s="23">
        <v>66700</v>
      </c>
    </row>
    <row r="1830" spans="7:8" x14ac:dyDescent="0.35">
      <c r="G1830" t="s">
        <v>1846</v>
      </c>
      <c r="H1830" s="23">
        <v>97700</v>
      </c>
    </row>
    <row r="1831" spans="7:8" x14ac:dyDescent="0.35">
      <c r="G1831" t="s">
        <v>1847</v>
      </c>
      <c r="H1831" s="23">
        <v>71400</v>
      </c>
    </row>
    <row r="1832" spans="7:8" x14ac:dyDescent="0.35">
      <c r="G1832" t="s">
        <v>1848</v>
      </c>
      <c r="H1832" s="23">
        <v>108900</v>
      </c>
    </row>
    <row r="1833" spans="7:8" x14ac:dyDescent="0.35">
      <c r="G1833" t="s">
        <v>1849</v>
      </c>
      <c r="H1833" s="23">
        <v>83300</v>
      </c>
    </row>
    <row r="1834" spans="7:8" x14ac:dyDescent="0.35">
      <c r="G1834" t="s">
        <v>1850</v>
      </c>
      <c r="H1834" s="23">
        <v>69600</v>
      </c>
    </row>
    <row r="1835" spans="7:8" x14ac:dyDescent="0.35">
      <c r="G1835" t="s">
        <v>1851</v>
      </c>
      <c r="H1835" s="23">
        <v>79600</v>
      </c>
    </row>
    <row r="1836" spans="7:8" x14ac:dyDescent="0.35">
      <c r="G1836" t="s">
        <v>1852</v>
      </c>
      <c r="H1836" s="23">
        <v>109300</v>
      </c>
    </row>
    <row r="1837" spans="7:8" x14ac:dyDescent="0.35">
      <c r="G1837" t="s">
        <v>1853</v>
      </c>
      <c r="H1837" s="23">
        <v>92000</v>
      </c>
    </row>
    <row r="1838" spans="7:8" x14ac:dyDescent="0.35">
      <c r="G1838" t="s">
        <v>1854</v>
      </c>
      <c r="H1838" s="23">
        <v>85500</v>
      </c>
    </row>
    <row r="1839" spans="7:8" x14ac:dyDescent="0.35">
      <c r="G1839" t="s">
        <v>1855</v>
      </c>
      <c r="H1839" s="23">
        <v>41800</v>
      </c>
    </row>
    <row r="1840" spans="7:8" x14ac:dyDescent="0.35">
      <c r="G1840" t="s">
        <v>1856</v>
      </c>
      <c r="H1840" s="23">
        <v>80800</v>
      </c>
    </row>
    <row r="1841" spans="7:8" x14ac:dyDescent="0.35">
      <c r="G1841" t="s">
        <v>1857</v>
      </c>
      <c r="H1841" s="23">
        <v>70300</v>
      </c>
    </row>
    <row r="1842" spans="7:8" x14ac:dyDescent="0.35">
      <c r="G1842" t="s">
        <v>1858</v>
      </c>
      <c r="H1842" s="23">
        <v>77200</v>
      </c>
    </row>
    <row r="1843" spans="7:8" x14ac:dyDescent="0.35">
      <c r="G1843" t="s">
        <v>1859</v>
      </c>
      <c r="H1843" s="23">
        <v>80500</v>
      </c>
    </row>
    <row r="1844" spans="7:8" x14ac:dyDescent="0.35">
      <c r="G1844" t="s">
        <v>1860</v>
      </c>
      <c r="H1844" s="23">
        <v>101200</v>
      </c>
    </row>
    <row r="1845" spans="7:8" x14ac:dyDescent="0.35">
      <c r="G1845" t="s">
        <v>1861</v>
      </c>
      <c r="H1845" s="23">
        <v>121400</v>
      </c>
    </row>
    <row r="1846" spans="7:8" x14ac:dyDescent="0.35">
      <c r="G1846" t="s">
        <v>1862</v>
      </c>
      <c r="H1846" s="23">
        <v>89900</v>
      </c>
    </row>
    <row r="1847" spans="7:8" x14ac:dyDescent="0.35">
      <c r="G1847" t="s">
        <v>1863</v>
      </c>
      <c r="H1847" s="23">
        <v>101800</v>
      </c>
    </row>
    <row r="1848" spans="7:8" x14ac:dyDescent="0.35">
      <c r="G1848" t="s">
        <v>1864</v>
      </c>
      <c r="H1848" s="23">
        <v>89000</v>
      </c>
    </row>
    <row r="1849" spans="7:8" x14ac:dyDescent="0.35">
      <c r="G1849" t="s">
        <v>1865</v>
      </c>
      <c r="H1849" s="23">
        <v>49200</v>
      </c>
    </row>
    <row r="1850" spans="7:8" x14ac:dyDescent="0.35">
      <c r="G1850" t="s">
        <v>1866</v>
      </c>
      <c r="H1850" s="23">
        <v>80600</v>
      </c>
    </row>
    <row r="1851" spans="7:8" x14ac:dyDescent="0.35">
      <c r="G1851" t="s">
        <v>1867</v>
      </c>
      <c r="H1851" s="23">
        <v>56400</v>
      </c>
    </row>
    <row r="1852" spans="7:8" x14ac:dyDescent="0.35">
      <c r="G1852" t="s">
        <v>1868</v>
      </c>
      <c r="H1852" s="23">
        <v>76200</v>
      </c>
    </row>
    <row r="1853" spans="7:8" x14ac:dyDescent="0.35">
      <c r="G1853" t="s">
        <v>1869</v>
      </c>
      <c r="H1853" s="23">
        <v>92200</v>
      </c>
    </row>
    <row r="1854" spans="7:8" x14ac:dyDescent="0.35">
      <c r="G1854" t="s">
        <v>1870</v>
      </c>
      <c r="H1854" s="23">
        <v>90900</v>
      </c>
    </row>
    <row r="1855" spans="7:8" x14ac:dyDescent="0.35">
      <c r="G1855" t="s">
        <v>1871</v>
      </c>
      <c r="H1855" s="23">
        <v>66400</v>
      </c>
    </row>
    <row r="1856" spans="7:8" x14ac:dyDescent="0.35">
      <c r="G1856" t="s">
        <v>1872</v>
      </c>
      <c r="H1856" s="23">
        <v>92400</v>
      </c>
    </row>
    <row r="1857" spans="7:8" x14ac:dyDescent="0.35">
      <c r="G1857" t="s">
        <v>1873</v>
      </c>
      <c r="H1857" s="23">
        <v>121600</v>
      </c>
    </row>
    <row r="1858" spans="7:8" x14ac:dyDescent="0.35">
      <c r="G1858" t="s">
        <v>1874</v>
      </c>
      <c r="H1858" s="23">
        <v>100000</v>
      </c>
    </row>
    <row r="1859" spans="7:8" x14ac:dyDescent="0.35">
      <c r="G1859" t="s">
        <v>1875</v>
      </c>
      <c r="H1859" s="23">
        <v>111600</v>
      </c>
    </row>
    <row r="1860" spans="7:8" x14ac:dyDescent="0.35">
      <c r="G1860" t="s">
        <v>1876</v>
      </c>
      <c r="H1860" s="23">
        <v>73500</v>
      </c>
    </row>
    <row r="1861" spans="7:8" x14ac:dyDescent="0.35">
      <c r="G1861" t="s">
        <v>1877</v>
      </c>
      <c r="H1861" s="23">
        <v>62900</v>
      </c>
    </row>
    <row r="1862" spans="7:8" x14ac:dyDescent="0.35">
      <c r="G1862" t="s">
        <v>1878</v>
      </c>
      <c r="H1862" s="23">
        <v>96300</v>
      </c>
    </row>
    <row r="1863" spans="7:8" x14ac:dyDescent="0.35">
      <c r="G1863" t="s">
        <v>1879</v>
      </c>
      <c r="H1863" s="23">
        <v>85000</v>
      </c>
    </row>
    <row r="1864" spans="7:8" x14ac:dyDescent="0.35">
      <c r="G1864" t="s">
        <v>1880</v>
      </c>
      <c r="H1864" s="23">
        <v>68600</v>
      </c>
    </row>
    <row r="1865" spans="7:8" x14ac:dyDescent="0.35">
      <c r="G1865" t="s">
        <v>1881</v>
      </c>
      <c r="H1865" s="23">
        <v>74500</v>
      </c>
    </row>
    <row r="1866" spans="7:8" x14ac:dyDescent="0.35">
      <c r="G1866" t="s">
        <v>1882</v>
      </c>
      <c r="H1866" s="23">
        <v>68900</v>
      </c>
    </row>
    <row r="1867" spans="7:8" x14ac:dyDescent="0.35">
      <c r="G1867" t="s">
        <v>1883</v>
      </c>
      <c r="H1867" s="23">
        <v>76700</v>
      </c>
    </row>
    <row r="1868" spans="7:8" x14ac:dyDescent="0.35">
      <c r="G1868" t="s">
        <v>1884</v>
      </c>
      <c r="H1868" s="23">
        <v>97800</v>
      </c>
    </row>
    <row r="1869" spans="7:8" x14ac:dyDescent="0.35">
      <c r="G1869" t="s">
        <v>1885</v>
      </c>
      <c r="H1869" s="23">
        <v>80800</v>
      </c>
    </row>
    <row r="1870" spans="7:8" x14ac:dyDescent="0.35">
      <c r="G1870" t="s">
        <v>1886</v>
      </c>
      <c r="H1870" s="23">
        <v>121500</v>
      </c>
    </row>
    <row r="1871" spans="7:8" x14ac:dyDescent="0.35">
      <c r="G1871" t="s">
        <v>1887</v>
      </c>
      <c r="H1871" s="23">
        <v>54900</v>
      </c>
    </row>
    <row r="1872" spans="7:8" x14ac:dyDescent="0.35">
      <c r="G1872" t="s">
        <v>1888</v>
      </c>
      <c r="H1872" s="23">
        <v>75900</v>
      </c>
    </row>
    <row r="1873" spans="7:8" x14ac:dyDescent="0.35">
      <c r="G1873" t="s">
        <v>1889</v>
      </c>
      <c r="H1873" s="23">
        <v>67700</v>
      </c>
    </row>
    <row r="1874" spans="7:8" x14ac:dyDescent="0.35">
      <c r="G1874" t="s">
        <v>1890</v>
      </c>
      <c r="H1874" s="23">
        <v>62100</v>
      </c>
    </row>
    <row r="1875" spans="7:8" x14ac:dyDescent="0.35">
      <c r="G1875" t="s">
        <v>1891</v>
      </c>
      <c r="H1875" s="23">
        <v>114200</v>
      </c>
    </row>
    <row r="1876" spans="7:8" x14ac:dyDescent="0.35">
      <c r="G1876" t="s">
        <v>1892</v>
      </c>
      <c r="H1876" s="23">
        <v>72100</v>
      </c>
    </row>
    <row r="1877" spans="7:8" x14ac:dyDescent="0.35">
      <c r="G1877" t="s">
        <v>1893</v>
      </c>
      <c r="H1877" s="23">
        <v>85700</v>
      </c>
    </row>
    <row r="1878" spans="7:8" x14ac:dyDescent="0.35">
      <c r="G1878" t="s">
        <v>1894</v>
      </c>
      <c r="H1878" s="23">
        <v>104800</v>
      </c>
    </row>
    <row r="1879" spans="7:8" x14ac:dyDescent="0.35">
      <c r="G1879" t="s">
        <v>1895</v>
      </c>
      <c r="H1879" s="23">
        <v>86000</v>
      </c>
    </row>
    <row r="1880" spans="7:8" x14ac:dyDescent="0.35">
      <c r="G1880" t="s">
        <v>1896</v>
      </c>
      <c r="H1880" s="23">
        <v>40900</v>
      </c>
    </row>
    <row r="1881" spans="7:8" x14ac:dyDescent="0.35">
      <c r="G1881" t="s">
        <v>1897</v>
      </c>
      <c r="H1881" s="23">
        <v>57300</v>
      </c>
    </row>
    <row r="1882" spans="7:8" x14ac:dyDescent="0.35">
      <c r="G1882" t="s">
        <v>1898</v>
      </c>
      <c r="H1882" s="23">
        <v>47600</v>
      </c>
    </row>
    <row r="1883" spans="7:8" x14ac:dyDescent="0.35">
      <c r="G1883" t="s">
        <v>1899</v>
      </c>
      <c r="H1883" s="23">
        <v>80400</v>
      </c>
    </row>
    <row r="1884" spans="7:8" x14ac:dyDescent="0.35">
      <c r="G1884" t="s">
        <v>1900</v>
      </c>
      <c r="H1884" s="23">
        <v>61700</v>
      </c>
    </row>
    <row r="1885" spans="7:8" x14ac:dyDescent="0.35">
      <c r="G1885" t="s">
        <v>1901</v>
      </c>
      <c r="H1885" s="23">
        <v>74200</v>
      </c>
    </row>
    <row r="1886" spans="7:8" x14ac:dyDescent="0.35">
      <c r="G1886" t="s">
        <v>1902</v>
      </c>
      <c r="H1886" s="23">
        <v>82100</v>
      </c>
    </row>
    <row r="1887" spans="7:8" x14ac:dyDescent="0.35">
      <c r="G1887" t="s">
        <v>1903</v>
      </c>
      <c r="H1887" s="23">
        <v>95500</v>
      </c>
    </row>
    <row r="1888" spans="7:8" x14ac:dyDescent="0.35">
      <c r="G1888" t="s">
        <v>1904</v>
      </c>
      <c r="H1888" s="23">
        <v>80600</v>
      </c>
    </row>
    <row r="1889" spans="7:8" x14ac:dyDescent="0.35">
      <c r="G1889" t="s">
        <v>1905</v>
      </c>
      <c r="H1889" s="23">
        <v>84900</v>
      </c>
    </row>
    <row r="1890" spans="7:8" x14ac:dyDescent="0.35">
      <c r="G1890" t="s">
        <v>1906</v>
      </c>
      <c r="H1890" s="23">
        <v>71300</v>
      </c>
    </row>
    <row r="1891" spans="7:8" x14ac:dyDescent="0.35">
      <c r="G1891" t="s">
        <v>1907</v>
      </c>
      <c r="H1891" s="23">
        <v>79400</v>
      </c>
    </row>
    <row r="1892" spans="7:8" x14ac:dyDescent="0.35">
      <c r="G1892" t="s">
        <v>1908</v>
      </c>
      <c r="H1892" s="23">
        <v>92100</v>
      </c>
    </row>
    <row r="1893" spans="7:8" x14ac:dyDescent="0.35">
      <c r="G1893" t="s">
        <v>1909</v>
      </c>
      <c r="H1893" s="23">
        <v>102000</v>
      </c>
    </row>
    <row r="1894" spans="7:8" x14ac:dyDescent="0.35">
      <c r="G1894" t="s">
        <v>1910</v>
      </c>
      <c r="H1894" s="23">
        <v>74000</v>
      </c>
    </row>
    <row r="1895" spans="7:8" x14ac:dyDescent="0.35">
      <c r="G1895" t="s">
        <v>1911</v>
      </c>
      <c r="H1895" s="23">
        <v>48600</v>
      </c>
    </row>
    <row r="1896" spans="7:8" x14ac:dyDescent="0.35">
      <c r="G1896" t="s">
        <v>1912</v>
      </c>
      <c r="H1896" s="23">
        <v>53500</v>
      </c>
    </row>
    <row r="1897" spans="7:8" x14ac:dyDescent="0.35">
      <c r="G1897" t="s">
        <v>1913</v>
      </c>
      <c r="H1897" s="23">
        <v>50800</v>
      </c>
    </row>
    <row r="1898" spans="7:8" x14ac:dyDescent="0.35">
      <c r="G1898" t="s">
        <v>1914</v>
      </c>
      <c r="H1898" s="23">
        <v>100600</v>
      </c>
    </row>
    <row r="1899" spans="7:8" x14ac:dyDescent="0.35">
      <c r="G1899" t="s">
        <v>1915</v>
      </c>
      <c r="H1899" s="23">
        <v>119400</v>
      </c>
    </row>
    <row r="1900" spans="7:8" x14ac:dyDescent="0.35">
      <c r="G1900" t="s">
        <v>1916</v>
      </c>
      <c r="H1900" s="23">
        <v>75800</v>
      </c>
    </row>
    <row r="1901" spans="7:8" x14ac:dyDescent="0.35">
      <c r="G1901" t="s">
        <v>1917</v>
      </c>
      <c r="H1901" s="23">
        <v>118200</v>
      </c>
    </row>
    <row r="1902" spans="7:8" x14ac:dyDescent="0.35">
      <c r="G1902" t="s">
        <v>1918</v>
      </c>
      <c r="H1902" s="23">
        <v>91600</v>
      </c>
    </row>
    <row r="1903" spans="7:8" x14ac:dyDescent="0.35">
      <c r="G1903" t="s">
        <v>1919</v>
      </c>
      <c r="H1903" s="23">
        <v>83100</v>
      </c>
    </row>
    <row r="1904" spans="7:8" x14ac:dyDescent="0.35">
      <c r="G1904" t="s">
        <v>1920</v>
      </c>
      <c r="H1904" s="23">
        <v>65900</v>
      </c>
    </row>
    <row r="1905" spans="7:8" x14ac:dyDescent="0.35">
      <c r="G1905" t="s">
        <v>1921</v>
      </c>
      <c r="H1905" s="23">
        <v>64400</v>
      </c>
    </row>
    <row r="1906" spans="7:8" x14ac:dyDescent="0.35">
      <c r="G1906" t="s">
        <v>1922</v>
      </c>
      <c r="H1906" s="23">
        <v>72200</v>
      </c>
    </row>
    <row r="1907" spans="7:8" x14ac:dyDescent="0.35">
      <c r="G1907" t="s">
        <v>1923</v>
      </c>
      <c r="H1907" s="23">
        <v>105300</v>
      </c>
    </row>
    <row r="1908" spans="7:8" x14ac:dyDescent="0.35">
      <c r="G1908" t="s">
        <v>1924</v>
      </c>
      <c r="H1908" s="23">
        <v>96100</v>
      </c>
    </row>
    <row r="1909" spans="7:8" x14ac:dyDescent="0.35">
      <c r="G1909" t="s">
        <v>1925</v>
      </c>
      <c r="H1909" s="23">
        <v>69500</v>
      </c>
    </row>
    <row r="1910" spans="7:8" x14ac:dyDescent="0.35">
      <c r="G1910" t="s">
        <v>1926</v>
      </c>
      <c r="H1910" s="23">
        <v>80200</v>
      </c>
    </row>
    <row r="1911" spans="7:8" x14ac:dyDescent="0.35">
      <c r="G1911" t="s">
        <v>1927</v>
      </c>
      <c r="H1911" s="23">
        <v>87400</v>
      </c>
    </row>
    <row r="1912" spans="7:8" x14ac:dyDescent="0.35">
      <c r="G1912" t="s">
        <v>1928</v>
      </c>
      <c r="H1912" s="23">
        <v>118500</v>
      </c>
    </row>
    <row r="1913" spans="7:8" x14ac:dyDescent="0.35">
      <c r="G1913" t="s">
        <v>1929</v>
      </c>
      <c r="H1913" s="23">
        <v>73300</v>
      </c>
    </row>
    <row r="1914" spans="7:8" x14ac:dyDescent="0.35">
      <c r="G1914" t="s">
        <v>1930</v>
      </c>
      <c r="H1914" s="23">
        <v>108600</v>
      </c>
    </row>
    <row r="1915" spans="7:8" x14ac:dyDescent="0.35">
      <c r="G1915" t="s">
        <v>1931</v>
      </c>
      <c r="H1915" s="23">
        <v>54200</v>
      </c>
    </row>
    <row r="1916" spans="7:8" x14ac:dyDescent="0.35">
      <c r="G1916" t="s">
        <v>1932</v>
      </c>
      <c r="H1916" s="23">
        <v>102200</v>
      </c>
    </row>
    <row r="1917" spans="7:8" x14ac:dyDescent="0.35">
      <c r="G1917" t="s">
        <v>1933</v>
      </c>
      <c r="H1917" s="23">
        <v>101400</v>
      </c>
    </row>
    <row r="1918" spans="7:8" x14ac:dyDescent="0.35">
      <c r="G1918" t="s">
        <v>1934</v>
      </c>
      <c r="H1918" s="23">
        <v>90200</v>
      </c>
    </row>
    <row r="1919" spans="7:8" x14ac:dyDescent="0.35">
      <c r="G1919" t="s">
        <v>1935</v>
      </c>
      <c r="H1919" s="23">
        <v>125200</v>
      </c>
    </row>
    <row r="1920" spans="7:8" x14ac:dyDescent="0.35">
      <c r="G1920" t="s">
        <v>1936</v>
      </c>
      <c r="H1920" s="23">
        <v>86500</v>
      </c>
    </row>
    <row r="1921" spans="7:8" x14ac:dyDescent="0.35">
      <c r="G1921" t="s">
        <v>1937</v>
      </c>
      <c r="H1921" s="23">
        <v>85800</v>
      </c>
    </row>
    <row r="1922" spans="7:8" x14ac:dyDescent="0.35">
      <c r="G1922" t="s">
        <v>1938</v>
      </c>
      <c r="H1922" s="23">
        <v>65600</v>
      </c>
    </row>
    <row r="1923" spans="7:8" x14ac:dyDescent="0.35">
      <c r="G1923" t="s">
        <v>1939</v>
      </c>
      <c r="H1923" s="23">
        <v>59000</v>
      </c>
    </row>
    <row r="1924" spans="7:8" x14ac:dyDescent="0.35">
      <c r="G1924" t="s">
        <v>1940</v>
      </c>
      <c r="H1924" s="23">
        <v>95800</v>
      </c>
    </row>
    <row r="1925" spans="7:8" x14ac:dyDescent="0.35">
      <c r="G1925" t="s">
        <v>1941</v>
      </c>
      <c r="H1925" s="23">
        <v>61800</v>
      </c>
    </row>
    <row r="1926" spans="7:8" x14ac:dyDescent="0.35">
      <c r="G1926" t="s">
        <v>1942</v>
      </c>
      <c r="H1926" s="23">
        <v>81800</v>
      </c>
    </row>
    <row r="1927" spans="7:8" x14ac:dyDescent="0.35">
      <c r="G1927" t="s">
        <v>1943</v>
      </c>
      <c r="H1927" s="23">
        <v>77400</v>
      </c>
    </row>
    <row r="1928" spans="7:8" x14ac:dyDescent="0.35">
      <c r="G1928" t="s">
        <v>1944</v>
      </c>
      <c r="H1928" s="23">
        <v>48800</v>
      </c>
    </row>
    <row r="1929" spans="7:8" x14ac:dyDescent="0.35">
      <c r="G1929" t="s">
        <v>1945</v>
      </c>
      <c r="H1929" s="23">
        <v>88200</v>
      </c>
    </row>
    <row r="1930" spans="7:8" x14ac:dyDescent="0.35">
      <c r="G1930" t="s">
        <v>1946</v>
      </c>
      <c r="H1930" s="23">
        <v>98300</v>
      </c>
    </row>
    <row r="1931" spans="7:8" x14ac:dyDescent="0.35">
      <c r="G1931" t="s">
        <v>1947</v>
      </c>
      <c r="H1931" s="23">
        <v>79300</v>
      </c>
    </row>
    <row r="1932" spans="7:8" x14ac:dyDescent="0.35">
      <c r="G1932" t="s">
        <v>1948</v>
      </c>
      <c r="H1932" s="23">
        <v>79100</v>
      </c>
    </row>
    <row r="1933" spans="7:8" x14ac:dyDescent="0.35">
      <c r="G1933" t="s">
        <v>1949</v>
      </c>
      <c r="H1933" s="23">
        <v>85600</v>
      </c>
    </row>
    <row r="1934" spans="7:8" x14ac:dyDescent="0.35">
      <c r="G1934" t="s">
        <v>1950</v>
      </c>
      <c r="H1934" s="23">
        <v>81600</v>
      </c>
    </row>
    <row r="1935" spans="7:8" x14ac:dyDescent="0.35">
      <c r="G1935" t="s">
        <v>1951</v>
      </c>
      <c r="H1935" s="23">
        <v>76500</v>
      </c>
    </row>
    <row r="1936" spans="7:8" x14ac:dyDescent="0.35">
      <c r="G1936" t="s">
        <v>1952</v>
      </c>
      <c r="H1936" s="23">
        <v>86000</v>
      </c>
    </row>
    <row r="1937" spans="7:8" x14ac:dyDescent="0.35">
      <c r="G1937" t="s">
        <v>1953</v>
      </c>
      <c r="H1937" s="23">
        <v>94400</v>
      </c>
    </row>
    <row r="1938" spans="7:8" x14ac:dyDescent="0.35">
      <c r="G1938" t="s">
        <v>1954</v>
      </c>
      <c r="H1938" s="23">
        <v>113000</v>
      </c>
    </row>
    <row r="1939" spans="7:8" x14ac:dyDescent="0.35">
      <c r="G1939" t="s">
        <v>1955</v>
      </c>
      <c r="H1939" s="23">
        <v>88900</v>
      </c>
    </row>
    <row r="1940" spans="7:8" x14ac:dyDescent="0.35">
      <c r="G1940" t="s">
        <v>1956</v>
      </c>
      <c r="H1940" s="23">
        <v>62000</v>
      </c>
    </row>
    <row r="1941" spans="7:8" x14ac:dyDescent="0.35">
      <c r="G1941" t="s">
        <v>1957</v>
      </c>
      <c r="H1941" s="23">
        <v>87500</v>
      </c>
    </row>
    <row r="1942" spans="7:8" x14ac:dyDescent="0.35">
      <c r="G1942" t="s">
        <v>1958</v>
      </c>
      <c r="H1942" s="23">
        <v>85700</v>
      </c>
    </row>
    <row r="1943" spans="7:8" x14ac:dyDescent="0.35">
      <c r="G1943" t="s">
        <v>1959</v>
      </c>
      <c r="H1943" s="23">
        <v>71200</v>
      </c>
    </row>
    <row r="1944" spans="7:8" x14ac:dyDescent="0.35">
      <c r="G1944" t="s">
        <v>1960</v>
      </c>
      <c r="H1944" s="23">
        <v>89000</v>
      </c>
    </row>
    <row r="1945" spans="7:8" x14ac:dyDescent="0.35">
      <c r="G1945" t="s">
        <v>1961</v>
      </c>
      <c r="H1945" s="23">
        <v>82700</v>
      </c>
    </row>
    <row r="1946" spans="7:8" x14ac:dyDescent="0.35">
      <c r="G1946" t="s">
        <v>1962</v>
      </c>
      <c r="H1946" s="23">
        <v>89600</v>
      </c>
    </row>
    <row r="1947" spans="7:8" x14ac:dyDescent="0.35">
      <c r="G1947" t="s">
        <v>1963</v>
      </c>
      <c r="H1947" s="23">
        <v>57200</v>
      </c>
    </row>
    <row r="1948" spans="7:8" x14ac:dyDescent="0.35">
      <c r="G1948" t="s">
        <v>1964</v>
      </c>
      <c r="H1948" s="23">
        <v>101800</v>
      </c>
    </row>
    <row r="1949" spans="7:8" x14ac:dyDescent="0.35">
      <c r="G1949" t="s">
        <v>1965</v>
      </c>
      <c r="H1949" s="23">
        <v>104700</v>
      </c>
    </row>
    <row r="1950" spans="7:8" x14ac:dyDescent="0.35">
      <c r="G1950" t="s">
        <v>1966</v>
      </c>
      <c r="H1950" s="23">
        <v>75600</v>
      </c>
    </row>
    <row r="1951" spans="7:8" x14ac:dyDescent="0.35">
      <c r="G1951" t="s">
        <v>1967</v>
      </c>
      <c r="H1951" s="23">
        <v>84600</v>
      </c>
    </row>
    <row r="1952" spans="7:8" x14ac:dyDescent="0.35">
      <c r="G1952" t="s">
        <v>1968</v>
      </c>
      <c r="H1952" s="23">
        <v>94300</v>
      </c>
    </row>
    <row r="1953" spans="7:8" x14ac:dyDescent="0.35">
      <c r="G1953" t="s">
        <v>1969</v>
      </c>
      <c r="H1953" s="23">
        <v>91500</v>
      </c>
    </row>
    <row r="1954" spans="7:8" x14ac:dyDescent="0.35">
      <c r="G1954" t="s">
        <v>1970</v>
      </c>
      <c r="H1954" s="23">
        <v>69900</v>
      </c>
    </row>
    <row r="1955" spans="7:8" x14ac:dyDescent="0.35">
      <c r="G1955" t="s">
        <v>1971</v>
      </c>
      <c r="H1955" s="23">
        <v>57000</v>
      </c>
    </row>
    <row r="1956" spans="7:8" x14ac:dyDescent="0.35">
      <c r="G1956" t="s">
        <v>1972</v>
      </c>
      <c r="H1956" s="23">
        <v>99600</v>
      </c>
    </row>
    <row r="1957" spans="7:8" x14ac:dyDescent="0.35">
      <c r="G1957" t="s">
        <v>1973</v>
      </c>
      <c r="H1957" s="23">
        <v>82600</v>
      </c>
    </row>
    <row r="1958" spans="7:8" x14ac:dyDescent="0.35">
      <c r="G1958" t="s">
        <v>1974</v>
      </c>
      <c r="H1958" s="23">
        <v>67500</v>
      </c>
    </row>
    <row r="1959" spans="7:8" x14ac:dyDescent="0.35">
      <c r="G1959" t="s">
        <v>1975</v>
      </c>
      <c r="H1959" s="23">
        <v>74500</v>
      </c>
    </row>
    <row r="1960" spans="7:8" x14ac:dyDescent="0.35">
      <c r="G1960" t="s">
        <v>1976</v>
      </c>
      <c r="H1960" s="23">
        <v>67300</v>
      </c>
    </row>
    <row r="1961" spans="7:8" x14ac:dyDescent="0.35">
      <c r="G1961" t="s">
        <v>1977</v>
      </c>
      <c r="H1961" s="23">
        <v>80200</v>
      </c>
    </row>
    <row r="1962" spans="7:8" x14ac:dyDescent="0.35">
      <c r="G1962" t="s">
        <v>1978</v>
      </c>
      <c r="H1962" s="23">
        <v>55500</v>
      </c>
    </row>
    <row r="1963" spans="7:8" x14ac:dyDescent="0.35">
      <c r="G1963" t="s">
        <v>1979</v>
      </c>
      <c r="H1963" s="23">
        <v>58300</v>
      </c>
    </row>
    <row r="1964" spans="7:8" x14ac:dyDescent="0.35">
      <c r="G1964" t="s">
        <v>1980</v>
      </c>
      <c r="H1964" s="23">
        <v>63800</v>
      </c>
    </row>
    <row r="1965" spans="7:8" x14ac:dyDescent="0.35">
      <c r="G1965" t="s">
        <v>1981</v>
      </c>
      <c r="H1965" s="23">
        <v>91300</v>
      </c>
    </row>
    <row r="1966" spans="7:8" x14ac:dyDescent="0.35">
      <c r="G1966" t="s">
        <v>1982</v>
      </c>
      <c r="H1966" s="23">
        <v>117700</v>
      </c>
    </row>
    <row r="1967" spans="7:8" x14ac:dyDescent="0.35">
      <c r="G1967" t="s">
        <v>1983</v>
      </c>
      <c r="H1967" s="23">
        <v>48800</v>
      </c>
    </row>
    <row r="1968" spans="7:8" x14ac:dyDescent="0.35">
      <c r="G1968" t="s">
        <v>1984</v>
      </c>
      <c r="H1968" s="23">
        <v>111300</v>
      </c>
    </row>
    <row r="1969" spans="7:8" x14ac:dyDescent="0.35">
      <c r="G1969" t="s">
        <v>1985</v>
      </c>
      <c r="H1969" s="23">
        <v>79600</v>
      </c>
    </row>
    <row r="1970" spans="7:8" x14ac:dyDescent="0.35">
      <c r="G1970" t="s">
        <v>1986</v>
      </c>
      <c r="H1970" s="23">
        <v>111600</v>
      </c>
    </row>
    <row r="1971" spans="7:8" x14ac:dyDescent="0.35">
      <c r="G1971" t="s">
        <v>1987</v>
      </c>
      <c r="H1971" s="23">
        <v>60700</v>
      </c>
    </row>
    <row r="1972" spans="7:8" x14ac:dyDescent="0.35">
      <c r="G1972" t="s">
        <v>1988</v>
      </c>
      <c r="H1972" s="23">
        <v>83600</v>
      </c>
    </row>
    <row r="1973" spans="7:8" x14ac:dyDescent="0.35">
      <c r="G1973" t="s">
        <v>1989</v>
      </c>
      <c r="H1973" s="23">
        <v>77400</v>
      </c>
    </row>
    <row r="1974" spans="7:8" x14ac:dyDescent="0.35">
      <c r="G1974" t="s">
        <v>1990</v>
      </c>
      <c r="H1974" s="23">
        <v>103000</v>
      </c>
    </row>
    <row r="1975" spans="7:8" x14ac:dyDescent="0.35">
      <c r="G1975" t="s">
        <v>1991</v>
      </c>
      <c r="H1975" s="23">
        <v>41800</v>
      </c>
    </row>
    <row r="1976" spans="7:8" x14ac:dyDescent="0.35">
      <c r="G1976" t="s">
        <v>1992</v>
      </c>
      <c r="H1976" s="23">
        <v>106300</v>
      </c>
    </row>
    <row r="1977" spans="7:8" x14ac:dyDescent="0.35">
      <c r="G1977" t="s">
        <v>1993</v>
      </c>
      <c r="H1977" s="23">
        <v>99500</v>
      </c>
    </row>
    <row r="1978" spans="7:8" x14ac:dyDescent="0.35">
      <c r="G1978" t="s">
        <v>1994</v>
      </c>
      <c r="H1978" s="23">
        <v>124900</v>
      </c>
    </row>
    <row r="1979" spans="7:8" x14ac:dyDescent="0.35">
      <c r="G1979" t="s">
        <v>1995</v>
      </c>
      <c r="H1979" s="23">
        <v>79900</v>
      </c>
    </row>
    <row r="1980" spans="7:8" x14ac:dyDescent="0.35">
      <c r="G1980" t="s">
        <v>1996</v>
      </c>
      <c r="H1980" s="23">
        <v>55300</v>
      </c>
    </row>
    <row r="1981" spans="7:8" x14ac:dyDescent="0.35">
      <c r="G1981" t="s">
        <v>1997</v>
      </c>
      <c r="H1981" s="23">
        <v>84400</v>
      </c>
    </row>
    <row r="1982" spans="7:8" x14ac:dyDescent="0.35">
      <c r="G1982" t="s">
        <v>1998</v>
      </c>
      <c r="H1982" s="23">
        <v>75900</v>
      </c>
    </row>
    <row r="1983" spans="7:8" x14ac:dyDescent="0.35">
      <c r="G1983" t="s">
        <v>1999</v>
      </c>
      <c r="H1983" s="23">
        <v>109300</v>
      </c>
    </row>
    <row r="1984" spans="7:8" x14ac:dyDescent="0.35">
      <c r="G1984" t="s">
        <v>2000</v>
      </c>
      <c r="H1984" s="23">
        <v>41000</v>
      </c>
    </row>
    <row r="1985" spans="7:8" x14ac:dyDescent="0.35">
      <c r="G1985" t="s">
        <v>2001</v>
      </c>
      <c r="H1985" s="23">
        <v>80600</v>
      </c>
    </row>
    <row r="1986" spans="7:8" x14ac:dyDescent="0.35">
      <c r="G1986" t="s">
        <v>2002</v>
      </c>
      <c r="H1986" s="23">
        <v>77900</v>
      </c>
    </row>
    <row r="1987" spans="7:8" x14ac:dyDescent="0.35">
      <c r="G1987" t="s">
        <v>2003</v>
      </c>
      <c r="H1987" s="23">
        <v>80300</v>
      </c>
    </row>
    <row r="1988" spans="7:8" x14ac:dyDescent="0.35">
      <c r="G1988" t="s">
        <v>2004</v>
      </c>
      <c r="H1988" s="23">
        <v>69300</v>
      </c>
    </row>
    <row r="1989" spans="7:8" x14ac:dyDescent="0.35">
      <c r="G1989" t="s">
        <v>2005</v>
      </c>
      <c r="H1989" s="23">
        <v>54200</v>
      </c>
    </row>
    <row r="1990" spans="7:8" x14ac:dyDescent="0.35">
      <c r="G1990" t="s">
        <v>2006</v>
      </c>
      <c r="H1990" s="23">
        <v>69800</v>
      </c>
    </row>
    <row r="1991" spans="7:8" x14ac:dyDescent="0.35">
      <c r="G1991" t="s">
        <v>2007</v>
      </c>
      <c r="H1991" s="23">
        <v>69200</v>
      </c>
    </row>
    <row r="1992" spans="7:8" x14ac:dyDescent="0.35">
      <c r="G1992" t="s">
        <v>2008</v>
      </c>
      <c r="H1992" s="23">
        <v>120200</v>
      </c>
    </row>
    <row r="1993" spans="7:8" x14ac:dyDescent="0.35">
      <c r="G1993" t="s">
        <v>2009</v>
      </c>
      <c r="H1993" s="23">
        <v>87100</v>
      </c>
    </row>
    <row r="1994" spans="7:8" x14ac:dyDescent="0.35">
      <c r="G1994" t="s">
        <v>2010</v>
      </c>
      <c r="H1994" s="23">
        <v>102400</v>
      </c>
    </row>
    <row r="1995" spans="7:8" x14ac:dyDescent="0.35">
      <c r="G1995" t="s">
        <v>2011</v>
      </c>
      <c r="H1995" s="23">
        <v>97200</v>
      </c>
    </row>
    <row r="1996" spans="7:8" x14ac:dyDescent="0.35">
      <c r="G1996" t="s">
        <v>2012</v>
      </c>
      <c r="H1996" s="23">
        <v>98200</v>
      </c>
    </row>
    <row r="1997" spans="7:8" x14ac:dyDescent="0.35">
      <c r="G1997" t="s">
        <v>2013</v>
      </c>
      <c r="H1997" s="23">
        <v>70600</v>
      </c>
    </row>
    <row r="1998" spans="7:8" x14ac:dyDescent="0.35">
      <c r="G1998" t="s">
        <v>2014</v>
      </c>
      <c r="H1998" s="23">
        <v>83000</v>
      </c>
    </row>
    <row r="1999" spans="7:8" x14ac:dyDescent="0.35">
      <c r="G1999" t="s">
        <v>2015</v>
      </c>
      <c r="H1999" s="23">
        <v>103200</v>
      </c>
    </row>
    <row r="2000" spans="7:8" x14ac:dyDescent="0.35">
      <c r="G2000" t="s">
        <v>2016</v>
      </c>
      <c r="H2000" s="23">
        <v>103800</v>
      </c>
    </row>
    <row r="2001" spans="7:8" x14ac:dyDescent="0.35">
      <c r="G2001" t="s">
        <v>2017</v>
      </c>
      <c r="H2001" s="23">
        <v>79500</v>
      </c>
    </row>
    <row r="2002" spans="7:8" x14ac:dyDescent="0.35">
      <c r="G2002" t="s">
        <v>2018</v>
      </c>
      <c r="H2002" s="23">
        <v>76900</v>
      </c>
    </row>
    <row r="2003" spans="7:8" x14ac:dyDescent="0.35">
      <c r="G2003" t="s">
        <v>2019</v>
      </c>
      <c r="H2003" s="23">
        <v>112000</v>
      </c>
    </row>
    <row r="2004" spans="7:8" x14ac:dyDescent="0.35">
      <c r="G2004" t="s">
        <v>2020</v>
      </c>
      <c r="H2004" s="23">
        <v>87600</v>
      </c>
    </row>
    <row r="2005" spans="7:8" x14ac:dyDescent="0.35">
      <c r="G2005" t="s">
        <v>2021</v>
      </c>
      <c r="H2005" s="23">
        <v>76000</v>
      </c>
    </row>
    <row r="2006" spans="7:8" x14ac:dyDescent="0.35">
      <c r="G2006" t="s">
        <v>2022</v>
      </c>
      <c r="H2006" s="23">
        <v>64400</v>
      </c>
    </row>
    <row r="2007" spans="7:8" x14ac:dyDescent="0.35">
      <c r="G2007" t="s">
        <v>2023</v>
      </c>
      <c r="H2007" s="23">
        <v>81500</v>
      </c>
    </row>
    <row r="2008" spans="7:8" x14ac:dyDescent="0.35">
      <c r="G2008" t="s">
        <v>2024</v>
      </c>
      <c r="H2008" s="23">
        <v>74700</v>
      </c>
    </row>
    <row r="2009" spans="7:8" x14ac:dyDescent="0.35">
      <c r="G2009" t="s">
        <v>2025</v>
      </c>
      <c r="H2009" s="23">
        <v>59000</v>
      </c>
    </row>
    <row r="2010" spans="7:8" x14ac:dyDescent="0.35">
      <c r="G2010" t="s">
        <v>2026</v>
      </c>
      <c r="H2010" s="23">
        <v>113200</v>
      </c>
    </row>
    <row r="2011" spans="7:8" x14ac:dyDescent="0.35">
      <c r="G2011" t="s">
        <v>2027</v>
      </c>
      <c r="H2011" s="23">
        <v>38900</v>
      </c>
    </row>
    <row r="2012" spans="7:8" x14ac:dyDescent="0.35">
      <c r="G2012" t="s">
        <v>2028</v>
      </c>
      <c r="H2012" s="23">
        <v>87700</v>
      </c>
    </row>
    <row r="2013" spans="7:8" x14ac:dyDescent="0.35">
      <c r="G2013" t="s">
        <v>2029</v>
      </c>
      <c r="H2013" s="23">
        <v>86200</v>
      </c>
    </row>
    <row r="2014" spans="7:8" x14ac:dyDescent="0.35">
      <c r="G2014" t="s">
        <v>2030</v>
      </c>
      <c r="H2014" s="23">
        <v>108000</v>
      </c>
    </row>
    <row r="2015" spans="7:8" x14ac:dyDescent="0.35">
      <c r="G2015" t="s">
        <v>2031</v>
      </c>
      <c r="H2015" s="23">
        <v>61500</v>
      </c>
    </row>
    <row r="2016" spans="7:8" x14ac:dyDescent="0.35">
      <c r="G2016" t="s">
        <v>2032</v>
      </c>
      <c r="H2016" s="23">
        <v>53700</v>
      </c>
    </row>
    <row r="2017" spans="7:8" x14ac:dyDescent="0.35">
      <c r="G2017" t="s">
        <v>2033</v>
      </c>
      <c r="H2017" s="23">
        <v>110800</v>
      </c>
    </row>
    <row r="2018" spans="7:8" x14ac:dyDescent="0.35">
      <c r="G2018" t="s">
        <v>2034</v>
      </c>
      <c r="H2018" s="23">
        <v>90800</v>
      </c>
    </row>
    <row r="2019" spans="7:8" x14ac:dyDescent="0.35">
      <c r="G2019" t="s">
        <v>2035</v>
      </c>
      <c r="H2019" s="23">
        <v>113700</v>
      </c>
    </row>
    <row r="2020" spans="7:8" x14ac:dyDescent="0.35">
      <c r="G2020" t="s">
        <v>2036</v>
      </c>
      <c r="H2020" s="23">
        <v>67600</v>
      </c>
    </row>
    <row r="2021" spans="7:8" x14ac:dyDescent="0.35">
      <c r="G2021" t="s">
        <v>2037</v>
      </c>
      <c r="H2021" s="23">
        <v>53900</v>
      </c>
    </row>
    <row r="2022" spans="7:8" x14ac:dyDescent="0.35">
      <c r="G2022" t="s">
        <v>2038</v>
      </c>
      <c r="H2022" s="23">
        <v>82900</v>
      </c>
    </row>
    <row r="2023" spans="7:8" x14ac:dyDescent="0.35">
      <c r="G2023" t="s">
        <v>2039</v>
      </c>
      <c r="H2023" s="23">
        <v>65500</v>
      </c>
    </row>
    <row r="2024" spans="7:8" x14ac:dyDescent="0.35">
      <c r="G2024" t="s">
        <v>2040</v>
      </c>
      <c r="H2024" s="23">
        <v>86000</v>
      </c>
    </row>
    <row r="2025" spans="7:8" x14ac:dyDescent="0.35">
      <c r="G2025" t="s">
        <v>2041</v>
      </c>
      <c r="H2025" s="23">
        <v>90400</v>
      </c>
    </row>
    <row r="2026" spans="7:8" x14ac:dyDescent="0.35">
      <c r="G2026" t="s">
        <v>2042</v>
      </c>
      <c r="H2026" s="23">
        <v>61100</v>
      </c>
    </row>
    <row r="2027" spans="7:8" x14ac:dyDescent="0.35">
      <c r="G2027" t="s">
        <v>2043</v>
      </c>
      <c r="H2027" s="23">
        <v>62800</v>
      </c>
    </row>
    <row r="2028" spans="7:8" x14ac:dyDescent="0.35">
      <c r="G2028" t="s">
        <v>2044</v>
      </c>
      <c r="H2028" s="23">
        <v>49700</v>
      </c>
    </row>
    <row r="2029" spans="7:8" x14ac:dyDescent="0.35">
      <c r="G2029" t="s">
        <v>2045</v>
      </c>
      <c r="H2029" s="23">
        <v>57200</v>
      </c>
    </row>
    <row r="2030" spans="7:8" x14ac:dyDescent="0.35">
      <c r="G2030" t="s">
        <v>2046</v>
      </c>
      <c r="H2030" s="23">
        <v>62000</v>
      </c>
    </row>
    <row r="2031" spans="7:8" x14ac:dyDescent="0.35">
      <c r="G2031" t="s">
        <v>2047</v>
      </c>
      <c r="H2031" s="23">
        <v>85000</v>
      </c>
    </row>
    <row r="2032" spans="7:8" x14ac:dyDescent="0.35">
      <c r="G2032" t="s">
        <v>2048</v>
      </c>
      <c r="H2032" s="23">
        <v>116800</v>
      </c>
    </row>
    <row r="2033" spans="7:8" x14ac:dyDescent="0.35">
      <c r="G2033" t="s">
        <v>2049</v>
      </c>
      <c r="H2033" s="23">
        <v>114000</v>
      </c>
    </row>
    <row r="2034" spans="7:8" x14ac:dyDescent="0.35">
      <c r="G2034" t="s">
        <v>2050</v>
      </c>
      <c r="H2034" s="23">
        <v>75400</v>
      </c>
    </row>
    <row r="2035" spans="7:8" x14ac:dyDescent="0.35">
      <c r="G2035" t="s">
        <v>2051</v>
      </c>
      <c r="H2035" s="23">
        <v>84700</v>
      </c>
    </row>
    <row r="2036" spans="7:8" x14ac:dyDescent="0.35">
      <c r="G2036" t="s">
        <v>2052</v>
      </c>
      <c r="H2036" s="23">
        <v>76000</v>
      </c>
    </row>
    <row r="2037" spans="7:8" x14ac:dyDescent="0.35">
      <c r="G2037" t="s">
        <v>2053</v>
      </c>
      <c r="H2037" s="23">
        <v>80300</v>
      </c>
    </row>
    <row r="2038" spans="7:8" x14ac:dyDescent="0.35">
      <c r="G2038" t="s">
        <v>2054</v>
      </c>
      <c r="H2038" s="23">
        <v>79200</v>
      </c>
    </row>
    <row r="2039" spans="7:8" x14ac:dyDescent="0.35">
      <c r="G2039" t="s">
        <v>2055</v>
      </c>
      <c r="H2039" s="23">
        <v>93000</v>
      </c>
    </row>
    <row r="2040" spans="7:8" x14ac:dyDescent="0.35">
      <c r="G2040" t="s">
        <v>2056</v>
      </c>
      <c r="H2040" s="23">
        <v>112400</v>
      </c>
    </row>
    <row r="2041" spans="7:8" x14ac:dyDescent="0.35">
      <c r="G2041" t="s">
        <v>2057</v>
      </c>
      <c r="H2041" s="23">
        <v>73200</v>
      </c>
    </row>
    <row r="2042" spans="7:8" x14ac:dyDescent="0.35">
      <c r="G2042" t="s">
        <v>2058</v>
      </c>
      <c r="H2042" s="23">
        <v>97000</v>
      </c>
    </row>
    <row r="2043" spans="7:8" x14ac:dyDescent="0.35">
      <c r="G2043" t="s">
        <v>2059</v>
      </c>
      <c r="H2043" s="23">
        <v>88300</v>
      </c>
    </row>
    <row r="2044" spans="7:8" x14ac:dyDescent="0.35">
      <c r="G2044" t="s">
        <v>2060</v>
      </c>
      <c r="H2044" s="23">
        <v>70400</v>
      </c>
    </row>
    <row r="2045" spans="7:8" x14ac:dyDescent="0.35">
      <c r="G2045" t="s">
        <v>2061</v>
      </c>
      <c r="H2045" s="23">
        <v>109300</v>
      </c>
    </row>
    <row r="2046" spans="7:8" x14ac:dyDescent="0.35">
      <c r="G2046" t="s">
        <v>2062</v>
      </c>
      <c r="H2046" s="23">
        <v>85100</v>
      </c>
    </row>
    <row r="2047" spans="7:8" x14ac:dyDescent="0.35">
      <c r="G2047" t="s">
        <v>2063</v>
      </c>
      <c r="H2047" s="23">
        <v>81000</v>
      </c>
    </row>
    <row r="2048" spans="7:8" x14ac:dyDescent="0.35">
      <c r="G2048" t="s">
        <v>2064</v>
      </c>
      <c r="H2048" s="23">
        <v>91800</v>
      </c>
    </row>
    <row r="2049" spans="7:8" x14ac:dyDescent="0.35">
      <c r="G2049" t="s">
        <v>2065</v>
      </c>
      <c r="H2049" s="23">
        <v>77000</v>
      </c>
    </row>
    <row r="2050" spans="7:8" x14ac:dyDescent="0.35">
      <c r="G2050" t="s">
        <v>2066</v>
      </c>
      <c r="H2050" s="23">
        <v>84900</v>
      </c>
    </row>
    <row r="2051" spans="7:8" x14ac:dyDescent="0.35">
      <c r="G2051" t="s">
        <v>2067</v>
      </c>
      <c r="H2051" s="23">
        <v>58600</v>
      </c>
    </row>
    <row r="2052" spans="7:8" x14ac:dyDescent="0.35">
      <c r="G2052" t="s">
        <v>2068</v>
      </c>
      <c r="H2052" s="23">
        <v>86600</v>
      </c>
    </row>
    <row r="2053" spans="7:8" x14ac:dyDescent="0.35">
      <c r="G2053" t="s">
        <v>2069</v>
      </c>
      <c r="H2053" s="23">
        <v>119800</v>
      </c>
    </row>
    <row r="2054" spans="7:8" x14ac:dyDescent="0.35">
      <c r="G2054" t="s">
        <v>2070</v>
      </c>
      <c r="H2054" s="23">
        <v>114600</v>
      </c>
    </row>
    <row r="2055" spans="7:8" x14ac:dyDescent="0.35">
      <c r="G2055" t="s">
        <v>2071</v>
      </c>
      <c r="H2055" s="23">
        <v>124300</v>
      </c>
    </row>
    <row r="2056" spans="7:8" x14ac:dyDescent="0.35">
      <c r="G2056" t="s">
        <v>2072</v>
      </c>
      <c r="H2056" s="23">
        <v>88000</v>
      </c>
    </row>
    <row r="2057" spans="7:8" x14ac:dyDescent="0.35">
      <c r="G2057" t="s">
        <v>2073</v>
      </c>
      <c r="H2057" s="23">
        <v>76600</v>
      </c>
    </row>
    <row r="2058" spans="7:8" x14ac:dyDescent="0.35">
      <c r="G2058" t="s">
        <v>2074</v>
      </c>
      <c r="H2058" s="23">
        <v>70600</v>
      </c>
    </row>
    <row r="2059" spans="7:8" x14ac:dyDescent="0.35">
      <c r="G2059" t="s">
        <v>2075</v>
      </c>
      <c r="H2059" s="23">
        <v>100300</v>
      </c>
    </row>
    <row r="2060" spans="7:8" x14ac:dyDescent="0.35">
      <c r="G2060" t="s">
        <v>2076</v>
      </c>
      <c r="H2060" s="23">
        <v>101500</v>
      </c>
    </row>
    <row r="2061" spans="7:8" x14ac:dyDescent="0.35">
      <c r="G2061" t="s">
        <v>2077</v>
      </c>
      <c r="H2061" s="23">
        <v>59500</v>
      </c>
    </row>
    <row r="2062" spans="7:8" x14ac:dyDescent="0.35">
      <c r="G2062" t="s">
        <v>2078</v>
      </c>
      <c r="H2062" s="23">
        <v>80200</v>
      </c>
    </row>
    <row r="2063" spans="7:8" x14ac:dyDescent="0.35">
      <c r="G2063" t="s">
        <v>2079</v>
      </c>
      <c r="H2063" s="23">
        <v>95700</v>
      </c>
    </row>
    <row r="2064" spans="7:8" x14ac:dyDescent="0.35">
      <c r="G2064" t="s">
        <v>2080</v>
      </c>
      <c r="H2064" s="23">
        <v>76800</v>
      </c>
    </row>
    <row r="2065" spans="7:8" x14ac:dyDescent="0.35">
      <c r="G2065" t="s">
        <v>2081</v>
      </c>
      <c r="H2065" s="23">
        <v>121500</v>
      </c>
    </row>
    <row r="2066" spans="7:8" x14ac:dyDescent="0.35">
      <c r="G2066" t="s">
        <v>2082</v>
      </c>
      <c r="H2066" s="23">
        <v>104100</v>
      </c>
    </row>
    <row r="2067" spans="7:8" x14ac:dyDescent="0.35">
      <c r="G2067" t="s">
        <v>2083</v>
      </c>
      <c r="H2067" s="23">
        <v>62400</v>
      </c>
    </row>
    <row r="2068" spans="7:8" x14ac:dyDescent="0.35">
      <c r="G2068" t="s">
        <v>2084</v>
      </c>
      <c r="H2068" s="23">
        <v>65900</v>
      </c>
    </row>
    <row r="2069" spans="7:8" x14ac:dyDescent="0.35">
      <c r="G2069" t="s">
        <v>2085</v>
      </c>
      <c r="H2069" s="23">
        <v>68800</v>
      </c>
    </row>
    <row r="2070" spans="7:8" x14ac:dyDescent="0.35">
      <c r="G2070" t="s">
        <v>2086</v>
      </c>
      <c r="H2070" s="23">
        <v>99500</v>
      </c>
    </row>
    <row r="2071" spans="7:8" x14ac:dyDescent="0.35">
      <c r="G2071" t="s">
        <v>2087</v>
      </c>
      <c r="H2071" s="23">
        <v>101100</v>
      </c>
    </row>
    <row r="2072" spans="7:8" x14ac:dyDescent="0.35">
      <c r="G2072" t="s">
        <v>2088</v>
      </c>
      <c r="H2072" s="23">
        <v>138400</v>
      </c>
    </row>
    <row r="2073" spans="7:8" x14ac:dyDescent="0.35">
      <c r="G2073" t="s">
        <v>2089</v>
      </c>
      <c r="H2073" s="23">
        <v>85500</v>
      </c>
    </row>
    <row r="2074" spans="7:8" x14ac:dyDescent="0.35">
      <c r="G2074" t="s">
        <v>2090</v>
      </c>
      <c r="H2074" s="23">
        <v>75100</v>
      </c>
    </row>
    <row r="2075" spans="7:8" x14ac:dyDescent="0.35">
      <c r="G2075" t="s">
        <v>2091</v>
      </c>
      <c r="H2075" s="23">
        <v>70700</v>
      </c>
    </row>
    <row r="2076" spans="7:8" x14ac:dyDescent="0.35">
      <c r="G2076" t="s">
        <v>2092</v>
      </c>
      <c r="H2076" s="23">
        <v>95800</v>
      </c>
    </row>
    <row r="2077" spans="7:8" x14ac:dyDescent="0.35">
      <c r="G2077" t="s">
        <v>2093</v>
      </c>
      <c r="H2077" s="23">
        <v>61300</v>
      </c>
    </row>
    <row r="2078" spans="7:8" x14ac:dyDescent="0.35">
      <c r="G2078" t="s">
        <v>2094</v>
      </c>
      <c r="H2078" s="23">
        <v>66100</v>
      </c>
    </row>
    <row r="2079" spans="7:8" x14ac:dyDescent="0.35">
      <c r="G2079" t="s">
        <v>2095</v>
      </c>
      <c r="H2079" s="23">
        <v>102600</v>
      </c>
    </row>
    <row r="2080" spans="7:8" x14ac:dyDescent="0.35">
      <c r="G2080" t="s">
        <v>2096</v>
      </c>
      <c r="H2080" s="23">
        <v>42100</v>
      </c>
    </row>
    <row r="2081" spans="7:8" x14ac:dyDescent="0.35">
      <c r="G2081" t="s">
        <v>2097</v>
      </c>
      <c r="H2081" s="23">
        <v>101700</v>
      </c>
    </row>
    <row r="2082" spans="7:8" x14ac:dyDescent="0.35">
      <c r="G2082" t="s">
        <v>2098</v>
      </c>
      <c r="H2082" s="23">
        <v>74000</v>
      </c>
    </row>
    <row r="2083" spans="7:8" x14ac:dyDescent="0.35">
      <c r="G2083" t="s">
        <v>2099</v>
      </c>
      <c r="H2083" s="23">
        <v>84300</v>
      </c>
    </row>
    <row r="2084" spans="7:8" x14ac:dyDescent="0.35">
      <c r="G2084" t="s">
        <v>2100</v>
      </c>
      <c r="H2084" s="23">
        <v>97400</v>
      </c>
    </row>
    <row r="2085" spans="7:8" x14ac:dyDescent="0.35">
      <c r="G2085" t="s">
        <v>2101</v>
      </c>
      <c r="H2085" s="23">
        <v>72500</v>
      </c>
    </row>
    <row r="2086" spans="7:8" x14ac:dyDescent="0.35">
      <c r="G2086" t="s">
        <v>2102</v>
      </c>
      <c r="H2086" s="23">
        <v>83700</v>
      </c>
    </row>
    <row r="2087" spans="7:8" x14ac:dyDescent="0.35">
      <c r="G2087" t="s">
        <v>2103</v>
      </c>
      <c r="H2087" s="23">
        <v>77900</v>
      </c>
    </row>
    <row r="2088" spans="7:8" x14ac:dyDescent="0.35">
      <c r="G2088" t="s">
        <v>2104</v>
      </c>
      <c r="H2088" s="23">
        <v>72800</v>
      </c>
    </row>
    <row r="2089" spans="7:8" x14ac:dyDescent="0.35">
      <c r="G2089" t="s">
        <v>2105</v>
      </c>
      <c r="H2089" s="23">
        <v>84700</v>
      </c>
    </row>
    <row r="2090" spans="7:8" x14ac:dyDescent="0.35">
      <c r="G2090" t="s">
        <v>2106</v>
      </c>
      <c r="H2090" s="23">
        <v>103400</v>
      </c>
    </row>
    <row r="2091" spans="7:8" x14ac:dyDescent="0.35">
      <c r="G2091" t="s">
        <v>2107</v>
      </c>
      <c r="H2091" s="23">
        <v>57100</v>
      </c>
    </row>
    <row r="2092" spans="7:8" x14ac:dyDescent="0.35">
      <c r="G2092" t="s">
        <v>2108</v>
      </c>
      <c r="H2092" s="23">
        <v>113100</v>
      </c>
    </row>
    <row r="2093" spans="7:8" x14ac:dyDescent="0.35">
      <c r="G2093" t="s">
        <v>2109</v>
      </c>
      <c r="H2093" s="23">
        <v>65200</v>
      </c>
    </row>
    <row r="2094" spans="7:8" x14ac:dyDescent="0.35">
      <c r="G2094" t="s">
        <v>2110</v>
      </c>
      <c r="H2094" s="23">
        <v>101700</v>
      </c>
    </row>
    <row r="2095" spans="7:8" x14ac:dyDescent="0.35">
      <c r="G2095" t="s">
        <v>2111</v>
      </c>
      <c r="H2095" s="23">
        <v>113800</v>
      </c>
    </row>
    <row r="2096" spans="7:8" x14ac:dyDescent="0.35">
      <c r="G2096" t="s">
        <v>2112</v>
      </c>
      <c r="H2096" s="23">
        <v>101500</v>
      </c>
    </row>
    <row r="2097" spans="7:8" x14ac:dyDescent="0.35">
      <c r="G2097" t="s">
        <v>2113</v>
      </c>
      <c r="H2097" s="23">
        <v>44800</v>
      </c>
    </row>
    <row r="2098" spans="7:8" x14ac:dyDescent="0.35">
      <c r="G2098" t="s">
        <v>2114</v>
      </c>
      <c r="H2098" s="23">
        <v>86100</v>
      </c>
    </row>
    <row r="2099" spans="7:8" x14ac:dyDescent="0.35">
      <c r="G2099" t="s">
        <v>2115</v>
      </c>
      <c r="H2099" s="23">
        <v>75200</v>
      </c>
    </row>
    <row r="2100" spans="7:8" x14ac:dyDescent="0.35">
      <c r="G2100" t="s">
        <v>2116</v>
      </c>
      <c r="H2100" s="23">
        <v>105400</v>
      </c>
    </row>
    <row r="2101" spans="7:8" x14ac:dyDescent="0.35">
      <c r="G2101" t="s">
        <v>2117</v>
      </c>
      <c r="H2101" s="23">
        <v>117100</v>
      </c>
    </row>
    <row r="2102" spans="7:8" x14ac:dyDescent="0.35">
      <c r="G2102" t="s">
        <v>2118</v>
      </c>
      <c r="H2102" s="23">
        <v>109200</v>
      </c>
    </row>
    <row r="2103" spans="7:8" x14ac:dyDescent="0.35">
      <c r="G2103" t="s">
        <v>2119</v>
      </c>
      <c r="H2103" s="23">
        <v>62300</v>
      </c>
    </row>
    <row r="2104" spans="7:8" x14ac:dyDescent="0.35">
      <c r="G2104" t="s">
        <v>2120</v>
      </c>
      <c r="H2104" s="23">
        <v>69700</v>
      </c>
    </row>
    <row r="2105" spans="7:8" x14ac:dyDescent="0.35">
      <c r="G2105" t="s">
        <v>2121</v>
      </c>
      <c r="H2105" s="23">
        <v>51900</v>
      </c>
    </row>
    <row r="2106" spans="7:8" x14ac:dyDescent="0.35">
      <c r="G2106" t="s">
        <v>2122</v>
      </c>
      <c r="H2106" s="23">
        <v>90500</v>
      </c>
    </row>
    <row r="2107" spans="7:8" x14ac:dyDescent="0.35">
      <c r="G2107" t="s">
        <v>2123</v>
      </c>
      <c r="H2107" s="23">
        <v>63800</v>
      </c>
    </row>
    <row r="2108" spans="7:8" x14ac:dyDescent="0.35">
      <c r="G2108" t="s">
        <v>2124</v>
      </c>
      <c r="H2108" s="23">
        <v>87200</v>
      </c>
    </row>
    <row r="2109" spans="7:8" x14ac:dyDescent="0.35">
      <c r="G2109" t="s">
        <v>2125</v>
      </c>
      <c r="H2109" s="23">
        <v>112000</v>
      </c>
    </row>
    <row r="2110" spans="7:8" x14ac:dyDescent="0.35">
      <c r="G2110" t="s">
        <v>2126</v>
      </c>
      <c r="H2110" s="23">
        <v>90800</v>
      </c>
    </row>
    <row r="2111" spans="7:8" x14ac:dyDescent="0.35">
      <c r="G2111" t="s">
        <v>2127</v>
      </c>
      <c r="H2111" s="23">
        <v>113700</v>
      </c>
    </row>
    <row r="2112" spans="7:8" x14ac:dyDescent="0.35">
      <c r="G2112" t="s">
        <v>2128</v>
      </c>
      <c r="H2112" s="23">
        <v>93500</v>
      </c>
    </row>
    <row r="2113" spans="7:8" x14ac:dyDescent="0.35">
      <c r="G2113" t="s">
        <v>2129</v>
      </c>
      <c r="H2113" s="23">
        <v>96300</v>
      </c>
    </row>
    <row r="2114" spans="7:8" x14ac:dyDescent="0.35">
      <c r="G2114" t="s">
        <v>2130</v>
      </c>
      <c r="H2114" s="23">
        <v>52000</v>
      </c>
    </row>
    <row r="2115" spans="7:8" x14ac:dyDescent="0.35">
      <c r="G2115" t="s">
        <v>2131</v>
      </c>
      <c r="H2115" s="23">
        <v>67700</v>
      </c>
    </row>
    <row r="2116" spans="7:8" x14ac:dyDescent="0.35">
      <c r="G2116" t="s">
        <v>2132</v>
      </c>
      <c r="H2116" s="23">
        <v>53300</v>
      </c>
    </row>
    <row r="2117" spans="7:8" x14ac:dyDescent="0.35">
      <c r="G2117" t="s">
        <v>2133</v>
      </c>
      <c r="H2117" s="23">
        <v>74500</v>
      </c>
    </row>
    <row r="2118" spans="7:8" x14ac:dyDescent="0.35">
      <c r="G2118" t="s">
        <v>2134</v>
      </c>
      <c r="H2118" s="23">
        <v>89600</v>
      </c>
    </row>
    <row r="2119" spans="7:8" x14ac:dyDescent="0.35">
      <c r="G2119" t="s">
        <v>2135</v>
      </c>
      <c r="H2119" s="23">
        <v>91500</v>
      </c>
    </row>
    <row r="2120" spans="7:8" x14ac:dyDescent="0.35">
      <c r="G2120" t="s">
        <v>2136</v>
      </c>
      <c r="H2120" s="23">
        <v>84100</v>
      </c>
    </row>
    <row r="2121" spans="7:8" x14ac:dyDescent="0.35">
      <c r="G2121" t="s">
        <v>2137</v>
      </c>
      <c r="H2121" s="23">
        <v>96600</v>
      </c>
    </row>
    <row r="2122" spans="7:8" x14ac:dyDescent="0.35">
      <c r="G2122" t="s">
        <v>2138</v>
      </c>
      <c r="H2122" s="23">
        <v>57500</v>
      </c>
    </row>
    <row r="2123" spans="7:8" x14ac:dyDescent="0.35">
      <c r="G2123" t="s">
        <v>2139</v>
      </c>
      <c r="H2123" s="23">
        <v>63500</v>
      </c>
    </row>
    <row r="2124" spans="7:8" x14ac:dyDescent="0.35">
      <c r="G2124" t="s">
        <v>2140</v>
      </c>
      <c r="H2124" s="23">
        <v>115400</v>
      </c>
    </row>
    <row r="2125" spans="7:8" x14ac:dyDescent="0.35">
      <c r="G2125" t="s">
        <v>2141</v>
      </c>
      <c r="H2125" s="23">
        <v>69700</v>
      </c>
    </row>
    <row r="2126" spans="7:8" x14ac:dyDescent="0.35">
      <c r="G2126" t="s">
        <v>2142</v>
      </c>
      <c r="H2126" s="23">
        <v>107200</v>
      </c>
    </row>
    <row r="2127" spans="7:8" x14ac:dyDescent="0.35">
      <c r="G2127" t="s">
        <v>2143</v>
      </c>
      <c r="H2127" s="23">
        <v>93600</v>
      </c>
    </row>
    <row r="2128" spans="7:8" x14ac:dyDescent="0.35">
      <c r="G2128" t="s">
        <v>2144</v>
      </c>
      <c r="H2128" s="23">
        <v>65600</v>
      </c>
    </row>
    <row r="2129" spans="7:8" x14ac:dyDescent="0.35">
      <c r="G2129" t="s">
        <v>2145</v>
      </c>
      <c r="H2129" s="23">
        <v>91600</v>
      </c>
    </row>
    <row r="2130" spans="7:8" x14ac:dyDescent="0.35">
      <c r="G2130" t="s">
        <v>2146</v>
      </c>
      <c r="H2130" s="23">
        <v>82400</v>
      </c>
    </row>
    <row r="2131" spans="7:8" x14ac:dyDescent="0.35">
      <c r="G2131" t="s">
        <v>2147</v>
      </c>
      <c r="H2131" s="23">
        <v>83400</v>
      </c>
    </row>
    <row r="2132" spans="7:8" x14ac:dyDescent="0.35">
      <c r="G2132" t="s">
        <v>2148</v>
      </c>
      <c r="H2132" s="23">
        <v>95700</v>
      </c>
    </row>
    <row r="2133" spans="7:8" x14ac:dyDescent="0.35">
      <c r="G2133" t="s">
        <v>2149</v>
      </c>
      <c r="H2133" s="23">
        <v>75900</v>
      </c>
    </row>
    <row r="2134" spans="7:8" x14ac:dyDescent="0.35">
      <c r="G2134" t="s">
        <v>2150</v>
      </c>
      <c r="H2134" s="23">
        <v>79100</v>
      </c>
    </row>
    <row r="2135" spans="7:8" x14ac:dyDescent="0.35">
      <c r="G2135" t="s">
        <v>2151</v>
      </c>
      <c r="H2135" s="23">
        <v>50000</v>
      </c>
    </row>
    <row r="2136" spans="7:8" x14ac:dyDescent="0.35">
      <c r="G2136" t="s">
        <v>2152</v>
      </c>
      <c r="H2136" s="23">
        <v>66900</v>
      </c>
    </row>
    <row r="2137" spans="7:8" x14ac:dyDescent="0.35">
      <c r="G2137" t="s">
        <v>2153</v>
      </c>
      <c r="H2137" s="23">
        <v>71100</v>
      </c>
    </row>
    <row r="2138" spans="7:8" x14ac:dyDescent="0.35">
      <c r="G2138" t="s">
        <v>2154</v>
      </c>
      <c r="H2138" s="23">
        <v>53700</v>
      </c>
    </row>
    <row r="2139" spans="7:8" x14ac:dyDescent="0.35">
      <c r="G2139" t="s">
        <v>2155</v>
      </c>
      <c r="H2139" s="23">
        <v>117500</v>
      </c>
    </row>
    <row r="2140" spans="7:8" x14ac:dyDescent="0.35">
      <c r="G2140" t="s">
        <v>2156</v>
      </c>
      <c r="H2140" s="23">
        <v>85700</v>
      </c>
    </row>
    <row r="2141" spans="7:8" x14ac:dyDescent="0.35">
      <c r="G2141" t="s">
        <v>2157</v>
      </c>
      <c r="H2141" s="23">
        <v>86700</v>
      </c>
    </row>
    <row r="2142" spans="7:8" x14ac:dyDescent="0.35">
      <c r="G2142" t="s">
        <v>2158</v>
      </c>
      <c r="H2142" s="23">
        <v>96100</v>
      </c>
    </row>
    <row r="2143" spans="7:8" x14ac:dyDescent="0.35">
      <c r="G2143" t="s">
        <v>2159</v>
      </c>
      <c r="H2143" s="23">
        <v>43500</v>
      </c>
    </row>
    <row r="2144" spans="7:8" x14ac:dyDescent="0.35">
      <c r="G2144" t="s">
        <v>2160</v>
      </c>
      <c r="H2144" s="23">
        <v>123700</v>
      </c>
    </row>
    <row r="2145" spans="7:8" x14ac:dyDescent="0.35">
      <c r="G2145" t="s">
        <v>2161</v>
      </c>
      <c r="H2145" s="23">
        <v>119500</v>
      </c>
    </row>
    <row r="2146" spans="7:8" x14ac:dyDescent="0.35">
      <c r="G2146" t="s">
        <v>2162</v>
      </c>
      <c r="H2146" s="23">
        <v>101700</v>
      </c>
    </row>
    <row r="2147" spans="7:8" x14ac:dyDescent="0.35">
      <c r="G2147" t="s">
        <v>2163</v>
      </c>
      <c r="H2147" s="23">
        <v>47700</v>
      </c>
    </row>
    <row r="2148" spans="7:8" x14ac:dyDescent="0.35">
      <c r="G2148" t="s">
        <v>2164</v>
      </c>
      <c r="H2148" s="23">
        <v>110000</v>
      </c>
    </row>
    <row r="2149" spans="7:8" x14ac:dyDescent="0.35">
      <c r="G2149" t="s">
        <v>2165</v>
      </c>
      <c r="H2149" s="23">
        <v>101600</v>
      </c>
    </row>
    <row r="2150" spans="7:8" x14ac:dyDescent="0.35">
      <c r="G2150" t="s">
        <v>2166</v>
      </c>
      <c r="H2150" s="23">
        <v>89000</v>
      </c>
    </row>
    <row r="2151" spans="7:8" x14ac:dyDescent="0.35">
      <c r="G2151" t="s">
        <v>2167</v>
      </c>
      <c r="H2151" s="23">
        <v>97600</v>
      </c>
    </row>
    <row r="2152" spans="7:8" x14ac:dyDescent="0.35">
      <c r="G2152" t="s">
        <v>2168</v>
      </c>
      <c r="H2152" s="23">
        <v>106600</v>
      </c>
    </row>
    <row r="2153" spans="7:8" x14ac:dyDescent="0.35">
      <c r="G2153" t="s">
        <v>2169</v>
      </c>
      <c r="H2153" s="23">
        <v>108600</v>
      </c>
    </row>
    <row r="2154" spans="7:8" x14ac:dyDescent="0.35">
      <c r="G2154" t="s">
        <v>2170</v>
      </c>
      <c r="H2154" s="23">
        <v>69800</v>
      </c>
    </row>
    <row r="2155" spans="7:8" x14ac:dyDescent="0.35">
      <c r="G2155" t="s">
        <v>2171</v>
      </c>
      <c r="H2155" s="23">
        <v>77900</v>
      </c>
    </row>
    <row r="2156" spans="7:8" x14ac:dyDescent="0.35">
      <c r="G2156" t="s">
        <v>2172</v>
      </c>
      <c r="H2156" s="23">
        <v>109200</v>
      </c>
    </row>
    <row r="2157" spans="7:8" x14ac:dyDescent="0.35">
      <c r="G2157" t="s">
        <v>2173</v>
      </c>
      <c r="H2157" s="23">
        <v>90900</v>
      </c>
    </row>
    <row r="2158" spans="7:8" x14ac:dyDescent="0.35">
      <c r="G2158" t="s">
        <v>2174</v>
      </c>
      <c r="H2158" s="23">
        <v>76700</v>
      </c>
    </row>
    <row r="2159" spans="7:8" x14ac:dyDescent="0.35">
      <c r="G2159" t="s">
        <v>2175</v>
      </c>
      <c r="H2159" s="23">
        <v>90100</v>
      </c>
    </row>
    <row r="2160" spans="7:8" x14ac:dyDescent="0.35">
      <c r="G2160" t="s">
        <v>2176</v>
      </c>
      <c r="H2160" s="23">
        <v>75500</v>
      </c>
    </row>
    <row r="2161" spans="7:8" x14ac:dyDescent="0.35">
      <c r="G2161" t="s">
        <v>2177</v>
      </c>
      <c r="H2161" s="23">
        <v>111100</v>
      </c>
    </row>
    <row r="2162" spans="7:8" x14ac:dyDescent="0.35">
      <c r="G2162" t="s">
        <v>2178</v>
      </c>
      <c r="H2162" s="23">
        <v>64500</v>
      </c>
    </row>
    <row r="2163" spans="7:8" x14ac:dyDescent="0.35">
      <c r="G2163" t="s">
        <v>2179</v>
      </c>
      <c r="H2163" s="23">
        <v>118800</v>
      </c>
    </row>
    <row r="2164" spans="7:8" x14ac:dyDescent="0.35">
      <c r="G2164" t="s">
        <v>2180</v>
      </c>
      <c r="H2164" s="23">
        <v>78100</v>
      </c>
    </row>
    <row r="2165" spans="7:8" x14ac:dyDescent="0.35">
      <c r="G2165" t="s">
        <v>2181</v>
      </c>
      <c r="H2165" s="23">
        <v>67200</v>
      </c>
    </row>
    <row r="2166" spans="7:8" x14ac:dyDescent="0.35">
      <c r="G2166" t="s">
        <v>2182</v>
      </c>
      <c r="H2166" s="23">
        <v>76700</v>
      </c>
    </row>
    <row r="2167" spans="7:8" x14ac:dyDescent="0.35">
      <c r="G2167" t="s">
        <v>2183</v>
      </c>
      <c r="H2167" s="23">
        <v>61100</v>
      </c>
    </row>
    <row r="2168" spans="7:8" x14ac:dyDescent="0.35">
      <c r="G2168" t="s">
        <v>2184</v>
      </c>
      <c r="H2168" s="23">
        <v>106600</v>
      </c>
    </row>
    <row r="2169" spans="7:8" x14ac:dyDescent="0.35">
      <c r="G2169" t="s">
        <v>2185</v>
      </c>
      <c r="H2169" s="23">
        <v>123100</v>
      </c>
    </row>
    <row r="2170" spans="7:8" x14ac:dyDescent="0.35">
      <c r="G2170" t="s">
        <v>2186</v>
      </c>
      <c r="H2170" s="23">
        <v>42300</v>
      </c>
    </row>
    <row r="2171" spans="7:8" x14ac:dyDescent="0.35">
      <c r="G2171" t="s">
        <v>2187</v>
      </c>
      <c r="H2171" s="23">
        <v>71000</v>
      </c>
    </row>
    <row r="2172" spans="7:8" x14ac:dyDescent="0.35">
      <c r="G2172" t="s">
        <v>2188</v>
      </c>
      <c r="H2172" s="23">
        <v>106400</v>
      </c>
    </row>
    <row r="2173" spans="7:8" x14ac:dyDescent="0.35">
      <c r="G2173" t="s">
        <v>2189</v>
      </c>
      <c r="H2173" s="23">
        <v>59400</v>
      </c>
    </row>
    <row r="2174" spans="7:8" x14ac:dyDescent="0.35">
      <c r="G2174" t="s">
        <v>2190</v>
      </c>
      <c r="H2174" s="23">
        <v>62700</v>
      </c>
    </row>
    <row r="2175" spans="7:8" x14ac:dyDescent="0.35">
      <c r="G2175" t="s">
        <v>2191</v>
      </c>
      <c r="H2175" s="23">
        <v>85500</v>
      </c>
    </row>
    <row r="2176" spans="7:8" x14ac:dyDescent="0.35">
      <c r="G2176" t="s">
        <v>2192</v>
      </c>
      <c r="H2176" s="23">
        <v>61300</v>
      </c>
    </row>
    <row r="2177" spans="7:8" x14ac:dyDescent="0.35">
      <c r="G2177" t="s">
        <v>2193</v>
      </c>
      <c r="H2177" s="23">
        <v>100300</v>
      </c>
    </row>
    <row r="2178" spans="7:8" x14ac:dyDescent="0.35">
      <c r="G2178" t="s">
        <v>2194</v>
      </c>
      <c r="H2178" s="23">
        <v>101200</v>
      </c>
    </row>
    <row r="2179" spans="7:8" x14ac:dyDescent="0.35">
      <c r="G2179" t="s">
        <v>2195</v>
      </c>
      <c r="H2179" s="23">
        <v>63600</v>
      </c>
    </row>
    <row r="2180" spans="7:8" x14ac:dyDescent="0.35">
      <c r="G2180" t="s">
        <v>2196</v>
      </c>
      <c r="H2180" s="23">
        <v>66600</v>
      </c>
    </row>
    <row r="2181" spans="7:8" x14ac:dyDescent="0.35">
      <c r="G2181" t="s">
        <v>2197</v>
      </c>
      <c r="H2181" s="23">
        <v>66100</v>
      </c>
    </row>
    <row r="2182" spans="7:8" x14ac:dyDescent="0.35">
      <c r="G2182" t="s">
        <v>2198</v>
      </c>
      <c r="H2182" s="23">
        <v>101500</v>
      </c>
    </row>
    <row r="2183" spans="7:8" x14ac:dyDescent="0.35">
      <c r="G2183" t="s">
        <v>2199</v>
      </c>
      <c r="H2183" s="23">
        <v>93000</v>
      </c>
    </row>
    <row r="2184" spans="7:8" x14ac:dyDescent="0.35">
      <c r="G2184" t="s">
        <v>2200</v>
      </c>
      <c r="H2184" s="23">
        <v>69100</v>
      </c>
    </row>
    <row r="2185" spans="7:8" x14ac:dyDescent="0.35">
      <c r="G2185" t="s">
        <v>2201</v>
      </c>
      <c r="H2185" s="23">
        <v>65100</v>
      </c>
    </row>
    <row r="2186" spans="7:8" x14ac:dyDescent="0.35">
      <c r="G2186" t="s">
        <v>2202</v>
      </c>
      <c r="H2186" s="23">
        <v>55800</v>
      </c>
    </row>
    <row r="2187" spans="7:8" x14ac:dyDescent="0.35">
      <c r="G2187" t="s">
        <v>2203</v>
      </c>
      <c r="H2187" s="23">
        <v>76800</v>
      </c>
    </row>
    <row r="2188" spans="7:8" x14ac:dyDescent="0.35">
      <c r="G2188" t="s">
        <v>2204</v>
      </c>
      <c r="H2188" s="23">
        <v>80200</v>
      </c>
    </row>
    <row r="2189" spans="7:8" x14ac:dyDescent="0.35">
      <c r="G2189" t="s">
        <v>2205</v>
      </c>
      <c r="H2189" s="23">
        <v>68300</v>
      </c>
    </row>
    <row r="2190" spans="7:8" x14ac:dyDescent="0.35">
      <c r="G2190" t="s">
        <v>2206</v>
      </c>
      <c r="H2190" s="23">
        <v>86400</v>
      </c>
    </row>
    <row r="2191" spans="7:8" x14ac:dyDescent="0.35">
      <c r="G2191" t="s">
        <v>2207</v>
      </c>
      <c r="H2191" s="23">
        <v>121200</v>
      </c>
    </row>
    <row r="2192" spans="7:8" x14ac:dyDescent="0.35">
      <c r="G2192" t="s">
        <v>2208</v>
      </c>
      <c r="H2192" s="23">
        <v>75500</v>
      </c>
    </row>
    <row r="2193" spans="7:8" x14ac:dyDescent="0.35">
      <c r="G2193" t="s">
        <v>2209</v>
      </c>
      <c r="H2193" s="23">
        <v>57700</v>
      </c>
    </row>
    <row r="2194" spans="7:8" x14ac:dyDescent="0.35">
      <c r="G2194" t="s">
        <v>2210</v>
      </c>
      <c r="H2194" s="23">
        <v>119000</v>
      </c>
    </row>
    <row r="2195" spans="7:8" x14ac:dyDescent="0.35">
      <c r="G2195" t="s">
        <v>2211</v>
      </c>
      <c r="H2195" s="23">
        <v>99800</v>
      </c>
    </row>
    <row r="2196" spans="7:8" x14ac:dyDescent="0.35">
      <c r="G2196" t="s">
        <v>2212</v>
      </c>
      <c r="H2196" s="23">
        <v>95500</v>
      </c>
    </row>
    <row r="2197" spans="7:8" x14ac:dyDescent="0.35">
      <c r="G2197" t="s">
        <v>2213</v>
      </c>
      <c r="H2197" s="23">
        <v>114900</v>
      </c>
    </row>
    <row r="2198" spans="7:8" x14ac:dyDescent="0.35">
      <c r="G2198" t="s">
        <v>2214</v>
      </c>
      <c r="H2198" s="23">
        <v>134600</v>
      </c>
    </row>
    <row r="2199" spans="7:8" x14ac:dyDescent="0.35">
      <c r="G2199" t="s">
        <v>2215</v>
      </c>
      <c r="H2199" s="23">
        <v>98200</v>
      </c>
    </row>
    <row r="2200" spans="7:8" x14ac:dyDescent="0.35">
      <c r="G2200" t="s">
        <v>2216</v>
      </c>
      <c r="H2200" s="23">
        <v>71200</v>
      </c>
    </row>
    <row r="2201" spans="7:8" x14ac:dyDescent="0.35">
      <c r="G2201" t="s">
        <v>2217</v>
      </c>
      <c r="H2201" s="23">
        <v>102200</v>
      </c>
    </row>
    <row r="2202" spans="7:8" x14ac:dyDescent="0.35">
      <c r="G2202" t="s">
        <v>2218</v>
      </c>
      <c r="H2202" s="23">
        <v>49100</v>
      </c>
    </row>
    <row r="2203" spans="7:8" x14ac:dyDescent="0.35">
      <c r="G2203" t="s">
        <v>2219</v>
      </c>
      <c r="H2203" s="23">
        <v>101200</v>
      </c>
    </row>
    <row r="2204" spans="7:8" x14ac:dyDescent="0.35">
      <c r="G2204" t="s">
        <v>2220</v>
      </c>
      <c r="H2204" s="23">
        <v>95000</v>
      </c>
    </row>
    <row r="2205" spans="7:8" x14ac:dyDescent="0.35">
      <c r="G2205" t="s">
        <v>2221</v>
      </c>
      <c r="H2205" s="23">
        <v>63000</v>
      </c>
    </row>
    <row r="2206" spans="7:8" x14ac:dyDescent="0.35">
      <c r="G2206" t="s">
        <v>2222</v>
      </c>
      <c r="H2206" s="23">
        <v>101000</v>
      </c>
    </row>
    <row r="2207" spans="7:8" x14ac:dyDescent="0.35">
      <c r="G2207" t="s">
        <v>2223</v>
      </c>
      <c r="H2207" s="23">
        <v>67200</v>
      </c>
    </row>
    <row r="2208" spans="7:8" x14ac:dyDescent="0.35">
      <c r="G2208" t="s">
        <v>2224</v>
      </c>
      <c r="H2208" s="23">
        <v>87300</v>
      </c>
    </row>
    <row r="2209" spans="7:8" x14ac:dyDescent="0.35">
      <c r="G2209" t="s">
        <v>2225</v>
      </c>
      <c r="H2209" s="23">
        <v>83300</v>
      </c>
    </row>
    <row r="2210" spans="7:8" x14ac:dyDescent="0.35">
      <c r="G2210" t="s">
        <v>2226</v>
      </c>
      <c r="H2210" s="23">
        <v>63800</v>
      </c>
    </row>
    <row r="2211" spans="7:8" x14ac:dyDescent="0.35">
      <c r="G2211" t="s">
        <v>2227</v>
      </c>
      <c r="H2211" s="23">
        <v>97900</v>
      </c>
    </row>
    <row r="2212" spans="7:8" x14ac:dyDescent="0.35">
      <c r="G2212" t="s">
        <v>2228</v>
      </c>
      <c r="H2212" s="23">
        <v>66700</v>
      </c>
    </row>
    <row r="2213" spans="7:8" x14ac:dyDescent="0.35">
      <c r="G2213" t="s">
        <v>2229</v>
      </c>
      <c r="H2213" s="23">
        <v>78700</v>
      </c>
    </row>
    <row r="2214" spans="7:8" x14ac:dyDescent="0.35">
      <c r="G2214" t="s">
        <v>2230</v>
      </c>
      <c r="H2214" s="23">
        <v>50600</v>
      </c>
    </row>
    <row r="2215" spans="7:8" x14ac:dyDescent="0.35">
      <c r="G2215" t="s">
        <v>2231</v>
      </c>
      <c r="H2215" s="23">
        <v>77800</v>
      </c>
    </row>
    <row r="2216" spans="7:8" x14ac:dyDescent="0.35">
      <c r="G2216" t="s">
        <v>2232</v>
      </c>
      <c r="H2216" s="23">
        <v>108900</v>
      </c>
    </row>
    <row r="2217" spans="7:8" x14ac:dyDescent="0.35">
      <c r="G2217" t="s">
        <v>2233</v>
      </c>
      <c r="H2217" s="23">
        <v>93000</v>
      </c>
    </row>
    <row r="2218" spans="7:8" x14ac:dyDescent="0.35">
      <c r="G2218" t="s">
        <v>2234</v>
      </c>
      <c r="H2218" s="23">
        <v>133700</v>
      </c>
    </row>
    <row r="2219" spans="7:8" x14ac:dyDescent="0.35">
      <c r="G2219" t="s">
        <v>2235</v>
      </c>
      <c r="H2219" s="23">
        <v>47700</v>
      </c>
    </row>
    <row r="2220" spans="7:8" x14ac:dyDescent="0.35">
      <c r="G2220" t="s">
        <v>2236</v>
      </c>
      <c r="H2220" s="23">
        <v>92800</v>
      </c>
    </row>
    <row r="2221" spans="7:8" x14ac:dyDescent="0.35">
      <c r="G2221" t="s">
        <v>2237</v>
      </c>
      <c r="H2221" s="23">
        <v>87600</v>
      </c>
    </row>
    <row r="2222" spans="7:8" x14ac:dyDescent="0.35">
      <c r="G2222" t="s">
        <v>2238</v>
      </c>
      <c r="H2222" s="23">
        <v>99700</v>
      </c>
    </row>
    <row r="2223" spans="7:8" x14ac:dyDescent="0.35">
      <c r="G2223" t="s">
        <v>2239</v>
      </c>
      <c r="H2223" s="23">
        <v>67400</v>
      </c>
    </row>
    <row r="2224" spans="7:8" x14ac:dyDescent="0.35">
      <c r="G2224" t="s">
        <v>2240</v>
      </c>
      <c r="H2224" s="23">
        <v>72600</v>
      </c>
    </row>
    <row r="2225" spans="7:8" x14ac:dyDescent="0.35">
      <c r="G2225" t="s">
        <v>2241</v>
      </c>
      <c r="H2225" s="23">
        <v>52800</v>
      </c>
    </row>
    <row r="2226" spans="7:8" x14ac:dyDescent="0.35">
      <c r="G2226" t="s">
        <v>2242</v>
      </c>
      <c r="H2226" s="23">
        <v>66700</v>
      </c>
    </row>
    <row r="2227" spans="7:8" x14ac:dyDescent="0.35">
      <c r="G2227" t="s">
        <v>2243</v>
      </c>
      <c r="H2227" s="23">
        <v>101800</v>
      </c>
    </row>
    <row r="2228" spans="7:8" x14ac:dyDescent="0.35">
      <c r="G2228" t="s">
        <v>2244</v>
      </c>
      <c r="H2228" s="23">
        <v>90400</v>
      </c>
    </row>
    <row r="2229" spans="7:8" x14ac:dyDescent="0.35">
      <c r="G2229" t="s">
        <v>2245</v>
      </c>
      <c r="H2229" s="23">
        <v>74800</v>
      </c>
    </row>
    <row r="2230" spans="7:8" x14ac:dyDescent="0.35">
      <c r="G2230" t="s">
        <v>2246</v>
      </c>
      <c r="H2230" s="23">
        <v>73800</v>
      </c>
    </row>
    <row r="2231" spans="7:8" x14ac:dyDescent="0.35">
      <c r="G2231" t="s">
        <v>2247</v>
      </c>
      <c r="H2231" s="23">
        <v>103700</v>
      </c>
    </row>
    <row r="2232" spans="7:8" x14ac:dyDescent="0.35">
      <c r="G2232" t="s">
        <v>2248</v>
      </c>
      <c r="H2232" s="23">
        <v>97500</v>
      </c>
    </row>
    <row r="2233" spans="7:8" x14ac:dyDescent="0.35">
      <c r="G2233" t="s">
        <v>2249</v>
      </c>
      <c r="H2233" s="23">
        <v>107600</v>
      </c>
    </row>
    <row r="2234" spans="7:8" x14ac:dyDescent="0.35">
      <c r="G2234" t="s">
        <v>2250</v>
      </c>
      <c r="H2234" s="23">
        <v>67400</v>
      </c>
    </row>
    <row r="2235" spans="7:8" x14ac:dyDescent="0.35">
      <c r="G2235" t="s">
        <v>2251</v>
      </c>
      <c r="H2235" s="23">
        <v>72200</v>
      </c>
    </row>
    <row r="2236" spans="7:8" x14ac:dyDescent="0.35">
      <c r="G2236" t="s">
        <v>2252</v>
      </c>
      <c r="H2236" s="23">
        <v>88700</v>
      </c>
    </row>
    <row r="2237" spans="7:8" x14ac:dyDescent="0.35">
      <c r="G2237" t="s">
        <v>2253</v>
      </c>
      <c r="H2237" s="23">
        <v>67800</v>
      </c>
    </row>
    <row r="2238" spans="7:8" x14ac:dyDescent="0.35">
      <c r="G2238" t="s">
        <v>2254</v>
      </c>
      <c r="H2238" s="23">
        <v>58300</v>
      </c>
    </row>
    <row r="2239" spans="7:8" x14ac:dyDescent="0.35">
      <c r="G2239" t="s">
        <v>2255</v>
      </c>
      <c r="H2239" s="23">
        <v>116300</v>
      </c>
    </row>
    <row r="2240" spans="7:8" x14ac:dyDescent="0.35">
      <c r="G2240" t="s">
        <v>2256</v>
      </c>
      <c r="H2240" s="23">
        <v>76700</v>
      </c>
    </row>
    <row r="2241" spans="7:8" x14ac:dyDescent="0.35">
      <c r="G2241" t="s">
        <v>2257</v>
      </c>
      <c r="H2241" s="23">
        <v>46100</v>
      </c>
    </row>
    <row r="2242" spans="7:8" x14ac:dyDescent="0.35">
      <c r="G2242" t="s">
        <v>2258</v>
      </c>
      <c r="H2242" s="23">
        <v>87800</v>
      </c>
    </row>
    <row r="2243" spans="7:8" x14ac:dyDescent="0.35">
      <c r="G2243" t="s">
        <v>2259</v>
      </c>
      <c r="H2243" s="23">
        <v>64900</v>
      </c>
    </row>
    <row r="2244" spans="7:8" x14ac:dyDescent="0.35">
      <c r="G2244" t="s">
        <v>2260</v>
      </c>
      <c r="H2244" s="23">
        <v>76600</v>
      </c>
    </row>
    <row r="2245" spans="7:8" x14ac:dyDescent="0.35">
      <c r="G2245" t="s">
        <v>2261</v>
      </c>
      <c r="H2245" s="23">
        <v>105100</v>
      </c>
    </row>
    <row r="2246" spans="7:8" x14ac:dyDescent="0.35">
      <c r="G2246" t="s">
        <v>2262</v>
      </c>
      <c r="H2246" s="23">
        <v>98000</v>
      </c>
    </row>
    <row r="2247" spans="7:8" x14ac:dyDescent="0.35">
      <c r="G2247" t="s">
        <v>2263</v>
      </c>
      <c r="H2247" s="23">
        <v>81700</v>
      </c>
    </row>
    <row r="2248" spans="7:8" x14ac:dyDescent="0.35">
      <c r="G2248" t="s">
        <v>2264</v>
      </c>
      <c r="H2248" s="23">
        <v>104300</v>
      </c>
    </row>
    <row r="2249" spans="7:8" x14ac:dyDescent="0.35">
      <c r="G2249" t="s">
        <v>2265</v>
      </c>
      <c r="H2249" s="23">
        <v>100900</v>
      </c>
    </row>
    <row r="2250" spans="7:8" x14ac:dyDescent="0.35">
      <c r="G2250" t="s">
        <v>2266</v>
      </c>
      <c r="H2250" s="23">
        <v>97500</v>
      </c>
    </row>
    <row r="2251" spans="7:8" x14ac:dyDescent="0.35">
      <c r="G2251" t="s">
        <v>2267</v>
      </c>
      <c r="H2251" s="23">
        <v>38600</v>
      </c>
    </row>
    <row r="2252" spans="7:8" x14ac:dyDescent="0.35">
      <c r="G2252" t="s">
        <v>2268</v>
      </c>
      <c r="H2252" s="23">
        <v>106100</v>
      </c>
    </row>
    <row r="2253" spans="7:8" x14ac:dyDescent="0.35">
      <c r="G2253" t="s">
        <v>2269</v>
      </c>
      <c r="H2253" s="23">
        <v>85000</v>
      </c>
    </row>
    <row r="2254" spans="7:8" x14ac:dyDescent="0.35">
      <c r="G2254" t="s">
        <v>2270</v>
      </c>
      <c r="H2254" s="23">
        <v>89200</v>
      </c>
    </row>
    <row r="2255" spans="7:8" x14ac:dyDescent="0.35">
      <c r="G2255" t="s">
        <v>2271</v>
      </c>
      <c r="H2255" s="23">
        <v>76800</v>
      </c>
    </row>
    <row r="2256" spans="7:8" x14ac:dyDescent="0.35">
      <c r="G2256" t="s">
        <v>2272</v>
      </c>
      <c r="H2256" s="23">
        <v>72800</v>
      </c>
    </row>
    <row r="2257" spans="7:8" x14ac:dyDescent="0.35">
      <c r="G2257" t="s">
        <v>2273</v>
      </c>
      <c r="H2257" s="23">
        <v>89100</v>
      </c>
    </row>
    <row r="2258" spans="7:8" x14ac:dyDescent="0.35">
      <c r="G2258" t="s">
        <v>2274</v>
      </c>
      <c r="H2258" s="23">
        <v>81600</v>
      </c>
    </row>
    <row r="2259" spans="7:8" x14ac:dyDescent="0.35">
      <c r="G2259" t="s">
        <v>2275</v>
      </c>
      <c r="H2259" s="23">
        <v>103700</v>
      </c>
    </row>
    <row r="2260" spans="7:8" x14ac:dyDescent="0.35">
      <c r="G2260" t="s">
        <v>2276</v>
      </c>
      <c r="H2260" s="23">
        <v>89900</v>
      </c>
    </row>
    <row r="2261" spans="7:8" x14ac:dyDescent="0.35">
      <c r="G2261" t="s">
        <v>2277</v>
      </c>
      <c r="H2261" s="23">
        <v>80600</v>
      </c>
    </row>
    <row r="2262" spans="7:8" x14ac:dyDescent="0.35">
      <c r="G2262" t="s">
        <v>2278</v>
      </c>
      <c r="H2262" s="23">
        <v>99800</v>
      </c>
    </row>
    <row r="2263" spans="7:8" x14ac:dyDescent="0.35">
      <c r="G2263" t="s">
        <v>2279</v>
      </c>
      <c r="H2263" s="23">
        <v>106300</v>
      </c>
    </row>
    <row r="2264" spans="7:8" x14ac:dyDescent="0.35">
      <c r="G2264" t="s">
        <v>2280</v>
      </c>
      <c r="H2264" s="23">
        <v>110900</v>
      </c>
    </row>
    <row r="2265" spans="7:8" x14ac:dyDescent="0.35">
      <c r="G2265" t="s">
        <v>2281</v>
      </c>
      <c r="H2265" s="23">
        <v>108300</v>
      </c>
    </row>
    <row r="2266" spans="7:8" x14ac:dyDescent="0.35">
      <c r="G2266" t="s">
        <v>2282</v>
      </c>
      <c r="H2266" s="23">
        <v>73900</v>
      </c>
    </row>
    <row r="2267" spans="7:8" x14ac:dyDescent="0.35">
      <c r="G2267" t="s">
        <v>2283</v>
      </c>
      <c r="H2267" s="23">
        <v>92200</v>
      </c>
    </row>
    <row r="2268" spans="7:8" x14ac:dyDescent="0.35">
      <c r="G2268" t="s">
        <v>2284</v>
      </c>
      <c r="H2268" s="23">
        <v>56200</v>
      </c>
    </row>
    <row r="2269" spans="7:8" x14ac:dyDescent="0.35">
      <c r="G2269" t="s">
        <v>2285</v>
      </c>
      <c r="H2269" s="23">
        <v>81300</v>
      </c>
    </row>
    <row r="2270" spans="7:8" x14ac:dyDescent="0.35">
      <c r="G2270" t="s">
        <v>2286</v>
      </c>
      <c r="H2270" s="23">
        <v>95800</v>
      </c>
    </row>
    <row r="2271" spans="7:8" x14ac:dyDescent="0.35">
      <c r="G2271" t="s">
        <v>2287</v>
      </c>
      <c r="H2271" s="23">
        <v>102400</v>
      </c>
    </row>
    <row r="2272" spans="7:8" x14ac:dyDescent="0.35">
      <c r="G2272" t="s">
        <v>2288</v>
      </c>
      <c r="H2272" s="23">
        <v>78200</v>
      </c>
    </row>
    <row r="2273" spans="7:8" x14ac:dyDescent="0.35">
      <c r="G2273" t="s">
        <v>2289</v>
      </c>
      <c r="H2273" s="23">
        <v>106100</v>
      </c>
    </row>
    <row r="2274" spans="7:8" x14ac:dyDescent="0.35">
      <c r="G2274" t="s">
        <v>2290</v>
      </c>
      <c r="H2274" s="23">
        <v>70300</v>
      </c>
    </row>
    <row r="2275" spans="7:8" x14ac:dyDescent="0.35">
      <c r="G2275" t="s">
        <v>2291</v>
      </c>
      <c r="H2275" s="23">
        <v>90200</v>
      </c>
    </row>
    <row r="2276" spans="7:8" x14ac:dyDescent="0.35">
      <c r="G2276" t="s">
        <v>2292</v>
      </c>
      <c r="H2276" s="23">
        <v>51800</v>
      </c>
    </row>
    <row r="2277" spans="7:8" x14ac:dyDescent="0.35">
      <c r="G2277" t="s">
        <v>2293</v>
      </c>
      <c r="H2277" s="23">
        <v>75100</v>
      </c>
    </row>
    <row r="2278" spans="7:8" x14ac:dyDescent="0.35">
      <c r="G2278" t="s">
        <v>2294</v>
      </c>
      <c r="H2278" s="23">
        <v>95800</v>
      </c>
    </row>
    <row r="2279" spans="7:8" x14ac:dyDescent="0.35">
      <c r="G2279" t="s">
        <v>2295</v>
      </c>
      <c r="H2279" s="23">
        <v>47200</v>
      </c>
    </row>
    <row r="2280" spans="7:8" x14ac:dyDescent="0.35">
      <c r="G2280" t="s">
        <v>2296</v>
      </c>
      <c r="H2280" s="23">
        <v>73900</v>
      </c>
    </row>
    <row r="2281" spans="7:8" x14ac:dyDescent="0.35">
      <c r="G2281" t="s">
        <v>2297</v>
      </c>
      <c r="H2281" s="23">
        <v>61600</v>
      </c>
    </row>
    <row r="2282" spans="7:8" x14ac:dyDescent="0.35">
      <c r="G2282" t="s">
        <v>2298</v>
      </c>
      <c r="H2282" s="23">
        <v>56600</v>
      </c>
    </row>
    <row r="2283" spans="7:8" x14ac:dyDescent="0.35">
      <c r="G2283" t="s">
        <v>2299</v>
      </c>
      <c r="H2283" s="23">
        <v>68700</v>
      </c>
    </row>
    <row r="2284" spans="7:8" x14ac:dyDescent="0.35">
      <c r="G2284" t="s">
        <v>2300</v>
      </c>
      <c r="H2284" s="23">
        <v>79900</v>
      </c>
    </row>
    <row r="2285" spans="7:8" x14ac:dyDescent="0.35">
      <c r="G2285" t="s">
        <v>2301</v>
      </c>
      <c r="H2285" s="23">
        <v>69400</v>
      </c>
    </row>
    <row r="2286" spans="7:8" x14ac:dyDescent="0.35">
      <c r="G2286" t="s">
        <v>2302</v>
      </c>
      <c r="H2286" s="23">
        <v>52900</v>
      </c>
    </row>
    <row r="2287" spans="7:8" x14ac:dyDescent="0.35">
      <c r="G2287" t="s">
        <v>2303</v>
      </c>
      <c r="H2287" s="23">
        <v>69000</v>
      </c>
    </row>
    <row r="2288" spans="7:8" x14ac:dyDescent="0.35">
      <c r="G2288" t="s">
        <v>2304</v>
      </c>
      <c r="H2288" s="23">
        <v>84100</v>
      </c>
    </row>
    <row r="2289" spans="7:8" x14ac:dyDescent="0.35">
      <c r="G2289" t="s">
        <v>2305</v>
      </c>
      <c r="H2289" s="23">
        <v>88500</v>
      </c>
    </row>
    <row r="2290" spans="7:8" x14ac:dyDescent="0.35">
      <c r="G2290" t="s">
        <v>2306</v>
      </c>
      <c r="H2290" s="23">
        <v>61200</v>
      </c>
    </row>
    <row r="2291" spans="7:8" x14ac:dyDescent="0.35">
      <c r="G2291" t="s">
        <v>2307</v>
      </c>
      <c r="H2291" s="23">
        <v>54800</v>
      </c>
    </row>
    <row r="2292" spans="7:8" x14ac:dyDescent="0.35">
      <c r="G2292" t="s">
        <v>2308</v>
      </c>
      <c r="H2292" s="23">
        <v>108800</v>
      </c>
    </row>
    <row r="2293" spans="7:8" x14ac:dyDescent="0.35">
      <c r="G2293" t="s">
        <v>2309</v>
      </c>
      <c r="H2293" s="23">
        <v>47900</v>
      </c>
    </row>
    <row r="2294" spans="7:8" x14ac:dyDescent="0.35">
      <c r="G2294" t="s">
        <v>2310</v>
      </c>
      <c r="H2294" s="23">
        <v>110700</v>
      </c>
    </row>
    <row r="2295" spans="7:8" x14ac:dyDescent="0.35">
      <c r="G2295" t="s">
        <v>2311</v>
      </c>
      <c r="H2295" s="23">
        <v>83600</v>
      </c>
    </row>
    <row r="2296" spans="7:8" x14ac:dyDescent="0.35">
      <c r="G2296" t="s">
        <v>2312</v>
      </c>
      <c r="H2296" s="23">
        <v>79800</v>
      </c>
    </row>
    <row r="2297" spans="7:8" x14ac:dyDescent="0.35">
      <c r="G2297" t="s">
        <v>2313</v>
      </c>
      <c r="H2297" s="23">
        <v>64200</v>
      </c>
    </row>
    <row r="2298" spans="7:8" x14ac:dyDescent="0.35">
      <c r="G2298" t="s">
        <v>2314</v>
      </c>
      <c r="H2298" s="23">
        <v>70500</v>
      </c>
    </row>
    <row r="2299" spans="7:8" x14ac:dyDescent="0.35">
      <c r="G2299" t="s">
        <v>2315</v>
      </c>
      <c r="H2299" s="23">
        <v>85300</v>
      </c>
    </row>
    <row r="2300" spans="7:8" x14ac:dyDescent="0.35">
      <c r="G2300" t="s">
        <v>2316</v>
      </c>
      <c r="H2300" s="23">
        <v>84900</v>
      </c>
    </row>
    <row r="2301" spans="7:8" x14ac:dyDescent="0.35">
      <c r="G2301" t="s">
        <v>2317</v>
      </c>
      <c r="H2301" s="23">
        <v>90800</v>
      </c>
    </row>
    <row r="2302" spans="7:8" x14ac:dyDescent="0.35">
      <c r="G2302" t="s">
        <v>2318</v>
      </c>
      <c r="H2302" s="23">
        <v>81200</v>
      </c>
    </row>
    <row r="2303" spans="7:8" x14ac:dyDescent="0.35">
      <c r="G2303" t="s">
        <v>2319</v>
      </c>
      <c r="H2303" s="23">
        <v>67000</v>
      </c>
    </row>
    <row r="2304" spans="7:8" x14ac:dyDescent="0.35">
      <c r="G2304" t="s">
        <v>2320</v>
      </c>
      <c r="H2304" s="23">
        <v>82300</v>
      </c>
    </row>
    <row r="2305" spans="7:8" x14ac:dyDescent="0.35">
      <c r="G2305" t="s">
        <v>2321</v>
      </c>
      <c r="H2305" s="23">
        <v>67900</v>
      </c>
    </row>
    <row r="2306" spans="7:8" x14ac:dyDescent="0.35">
      <c r="G2306" t="s">
        <v>2322</v>
      </c>
      <c r="H2306" s="23">
        <v>65400</v>
      </c>
    </row>
    <row r="2307" spans="7:8" x14ac:dyDescent="0.35">
      <c r="G2307" t="s">
        <v>2323</v>
      </c>
      <c r="H2307" s="23">
        <v>75900</v>
      </c>
    </row>
    <row r="2308" spans="7:8" x14ac:dyDescent="0.35">
      <c r="G2308" t="s">
        <v>2324</v>
      </c>
      <c r="H2308" s="23">
        <v>70200</v>
      </c>
    </row>
    <row r="2309" spans="7:8" x14ac:dyDescent="0.35">
      <c r="G2309" t="s">
        <v>2325</v>
      </c>
      <c r="H2309" s="23">
        <v>63700</v>
      </c>
    </row>
    <row r="2310" spans="7:8" x14ac:dyDescent="0.35">
      <c r="G2310" t="s">
        <v>2326</v>
      </c>
      <c r="H2310" s="23">
        <v>80800</v>
      </c>
    </row>
    <row r="2311" spans="7:8" x14ac:dyDescent="0.35">
      <c r="G2311" t="s">
        <v>2327</v>
      </c>
      <c r="H2311" s="23">
        <v>61800</v>
      </c>
    </row>
    <row r="2312" spans="7:8" x14ac:dyDescent="0.35">
      <c r="G2312" t="s">
        <v>2328</v>
      </c>
      <c r="H2312" s="23">
        <v>92200</v>
      </c>
    </row>
    <row r="2313" spans="7:8" x14ac:dyDescent="0.35">
      <c r="G2313" t="s">
        <v>2329</v>
      </c>
      <c r="H2313" s="23">
        <v>77500</v>
      </c>
    </row>
    <row r="2314" spans="7:8" x14ac:dyDescent="0.35">
      <c r="G2314" t="s">
        <v>2330</v>
      </c>
      <c r="H2314" s="23">
        <v>114800</v>
      </c>
    </row>
    <row r="2315" spans="7:8" x14ac:dyDescent="0.35">
      <c r="G2315" t="s">
        <v>2331</v>
      </c>
      <c r="H2315" s="23">
        <v>71600</v>
      </c>
    </row>
    <row r="2316" spans="7:8" x14ac:dyDescent="0.35">
      <c r="G2316" t="s">
        <v>2332</v>
      </c>
      <c r="H2316" s="23">
        <v>61900</v>
      </c>
    </row>
    <row r="2317" spans="7:8" x14ac:dyDescent="0.35">
      <c r="G2317" t="s">
        <v>2333</v>
      </c>
      <c r="H2317" s="23">
        <v>68400</v>
      </c>
    </row>
    <row r="2318" spans="7:8" x14ac:dyDescent="0.35">
      <c r="G2318" t="s">
        <v>2334</v>
      </c>
      <c r="H2318" s="23">
        <v>60800</v>
      </c>
    </row>
    <row r="2319" spans="7:8" x14ac:dyDescent="0.35">
      <c r="G2319" t="s">
        <v>2335</v>
      </c>
      <c r="H2319" s="23">
        <v>82000</v>
      </c>
    </row>
    <row r="2320" spans="7:8" x14ac:dyDescent="0.35">
      <c r="G2320" t="s">
        <v>2336</v>
      </c>
      <c r="H2320" s="23">
        <v>74700</v>
      </c>
    </row>
    <row r="2321" spans="7:8" x14ac:dyDescent="0.35">
      <c r="G2321" t="s">
        <v>2337</v>
      </c>
      <c r="H2321" s="23">
        <v>40300</v>
      </c>
    </row>
    <row r="2322" spans="7:8" x14ac:dyDescent="0.35">
      <c r="G2322" t="s">
        <v>2338</v>
      </c>
      <c r="H2322" s="23">
        <v>79400</v>
      </c>
    </row>
    <row r="2323" spans="7:8" x14ac:dyDescent="0.35">
      <c r="G2323" t="s">
        <v>2339</v>
      </c>
      <c r="H2323" s="23">
        <v>67900</v>
      </c>
    </row>
    <row r="2324" spans="7:8" x14ac:dyDescent="0.35">
      <c r="G2324" t="s">
        <v>2340</v>
      </c>
      <c r="H2324" s="23">
        <v>67600</v>
      </c>
    </row>
    <row r="2325" spans="7:8" x14ac:dyDescent="0.35">
      <c r="G2325" t="s">
        <v>2341</v>
      </c>
      <c r="H2325" s="23">
        <v>108800</v>
      </c>
    </row>
    <row r="2326" spans="7:8" x14ac:dyDescent="0.35">
      <c r="G2326" t="s">
        <v>2342</v>
      </c>
      <c r="H2326" s="23">
        <v>83000</v>
      </c>
    </row>
    <row r="2327" spans="7:8" x14ac:dyDescent="0.35">
      <c r="G2327" t="s">
        <v>2343</v>
      </c>
      <c r="H2327" s="23">
        <v>64900</v>
      </c>
    </row>
    <row r="2328" spans="7:8" x14ac:dyDescent="0.35">
      <c r="G2328" t="s">
        <v>2344</v>
      </c>
      <c r="H2328" s="23">
        <v>64600</v>
      </c>
    </row>
    <row r="2329" spans="7:8" x14ac:dyDescent="0.35">
      <c r="G2329" t="s">
        <v>2345</v>
      </c>
      <c r="H2329" s="23">
        <v>110300</v>
      </c>
    </row>
    <row r="2330" spans="7:8" x14ac:dyDescent="0.35">
      <c r="G2330" t="s">
        <v>2346</v>
      </c>
      <c r="H2330" s="23">
        <v>121500</v>
      </c>
    </row>
    <row r="2331" spans="7:8" x14ac:dyDescent="0.35">
      <c r="G2331" t="s">
        <v>2347</v>
      </c>
      <c r="H2331" s="23">
        <v>83800</v>
      </c>
    </row>
    <row r="2332" spans="7:8" x14ac:dyDescent="0.35">
      <c r="G2332" t="s">
        <v>2348</v>
      </c>
      <c r="H2332" s="23">
        <v>95200</v>
      </c>
    </row>
    <row r="2333" spans="7:8" x14ac:dyDescent="0.35">
      <c r="G2333" t="s">
        <v>2349</v>
      </c>
      <c r="H2333" s="23">
        <v>72000</v>
      </c>
    </row>
    <row r="2334" spans="7:8" x14ac:dyDescent="0.35">
      <c r="G2334" t="s">
        <v>2350</v>
      </c>
      <c r="H2334" s="23">
        <v>112300</v>
      </c>
    </row>
    <row r="2335" spans="7:8" x14ac:dyDescent="0.35">
      <c r="G2335" t="s">
        <v>2351</v>
      </c>
      <c r="H2335" s="23">
        <v>66400</v>
      </c>
    </row>
    <row r="2336" spans="7:8" x14ac:dyDescent="0.35">
      <c r="G2336" t="s">
        <v>2352</v>
      </c>
      <c r="H2336" s="23">
        <v>103500</v>
      </c>
    </row>
    <row r="2337" spans="7:8" x14ac:dyDescent="0.35">
      <c r="G2337" t="s">
        <v>2353</v>
      </c>
      <c r="H2337" s="23">
        <v>81600</v>
      </c>
    </row>
    <row r="2338" spans="7:8" x14ac:dyDescent="0.35">
      <c r="G2338" t="s">
        <v>2354</v>
      </c>
      <c r="H2338" s="23">
        <v>73800</v>
      </c>
    </row>
    <row r="2339" spans="7:8" x14ac:dyDescent="0.35">
      <c r="G2339" t="s">
        <v>2355</v>
      </c>
      <c r="H2339" s="23">
        <v>95500</v>
      </c>
    </row>
    <row r="2340" spans="7:8" x14ac:dyDescent="0.35">
      <c r="G2340" t="s">
        <v>2356</v>
      </c>
      <c r="H2340" s="23">
        <v>79800</v>
      </c>
    </row>
    <row r="2341" spans="7:8" x14ac:dyDescent="0.35">
      <c r="G2341" t="s">
        <v>2357</v>
      </c>
      <c r="H2341" s="23">
        <v>56200</v>
      </c>
    </row>
    <row r="2342" spans="7:8" x14ac:dyDescent="0.35">
      <c r="G2342" t="s">
        <v>2358</v>
      </c>
      <c r="H2342" s="23">
        <v>96700</v>
      </c>
    </row>
    <row r="2343" spans="7:8" x14ac:dyDescent="0.35">
      <c r="G2343" t="s">
        <v>2359</v>
      </c>
      <c r="H2343" s="23">
        <v>106200</v>
      </c>
    </row>
    <row r="2344" spans="7:8" x14ac:dyDescent="0.35">
      <c r="G2344" t="s">
        <v>2360</v>
      </c>
      <c r="H2344" s="23">
        <v>91300</v>
      </c>
    </row>
    <row r="2345" spans="7:8" x14ac:dyDescent="0.35">
      <c r="G2345" t="s">
        <v>2361</v>
      </c>
      <c r="H2345" s="23">
        <v>67300</v>
      </c>
    </row>
    <row r="2346" spans="7:8" x14ac:dyDescent="0.35">
      <c r="G2346" t="s">
        <v>2362</v>
      </c>
      <c r="H2346" s="23">
        <v>75000</v>
      </c>
    </row>
    <row r="2347" spans="7:8" x14ac:dyDescent="0.35">
      <c r="G2347" t="s">
        <v>2363</v>
      </c>
      <c r="H2347" s="23">
        <v>75500</v>
      </c>
    </row>
    <row r="2348" spans="7:8" x14ac:dyDescent="0.35">
      <c r="G2348" t="s">
        <v>2364</v>
      </c>
      <c r="H2348" s="23">
        <v>98000</v>
      </c>
    </row>
    <row r="2349" spans="7:8" x14ac:dyDescent="0.35">
      <c r="G2349" t="s">
        <v>2365</v>
      </c>
      <c r="H2349" s="23">
        <v>110300</v>
      </c>
    </row>
    <row r="2350" spans="7:8" x14ac:dyDescent="0.35">
      <c r="G2350" t="s">
        <v>2366</v>
      </c>
      <c r="H2350" s="23">
        <v>73000</v>
      </c>
    </row>
    <row r="2351" spans="7:8" x14ac:dyDescent="0.35">
      <c r="G2351" t="s">
        <v>2367</v>
      </c>
      <c r="H2351" s="23">
        <v>69200</v>
      </c>
    </row>
    <row r="2352" spans="7:8" x14ac:dyDescent="0.35">
      <c r="G2352" t="s">
        <v>2368</v>
      </c>
      <c r="H2352" s="23">
        <v>81000</v>
      </c>
    </row>
    <row r="2353" spans="7:8" x14ac:dyDescent="0.35">
      <c r="G2353" t="s">
        <v>2369</v>
      </c>
      <c r="H2353" s="23">
        <v>100300</v>
      </c>
    </row>
    <row r="2354" spans="7:8" x14ac:dyDescent="0.35">
      <c r="G2354" t="s">
        <v>2370</v>
      </c>
      <c r="H2354" s="23">
        <v>72200</v>
      </c>
    </row>
    <row r="2355" spans="7:8" x14ac:dyDescent="0.35">
      <c r="G2355" t="s">
        <v>2371</v>
      </c>
      <c r="H2355" s="23">
        <v>62700</v>
      </c>
    </row>
    <row r="2356" spans="7:8" x14ac:dyDescent="0.35">
      <c r="G2356" t="s">
        <v>2372</v>
      </c>
      <c r="H2356" s="23">
        <v>100500</v>
      </c>
    </row>
    <row r="2357" spans="7:8" x14ac:dyDescent="0.35">
      <c r="G2357" t="s">
        <v>2373</v>
      </c>
      <c r="H2357" s="23">
        <v>107600</v>
      </c>
    </row>
    <row r="2358" spans="7:8" x14ac:dyDescent="0.35">
      <c r="G2358" t="s">
        <v>2374</v>
      </c>
      <c r="H2358" s="23">
        <v>90000</v>
      </c>
    </row>
    <row r="2359" spans="7:8" x14ac:dyDescent="0.35">
      <c r="G2359" t="s">
        <v>2375</v>
      </c>
      <c r="H2359" s="23">
        <v>107400</v>
      </c>
    </row>
    <row r="2360" spans="7:8" x14ac:dyDescent="0.35">
      <c r="G2360" t="s">
        <v>2376</v>
      </c>
      <c r="H2360" s="23">
        <v>68800</v>
      </c>
    </row>
    <row r="2361" spans="7:8" x14ac:dyDescent="0.35">
      <c r="G2361" t="s">
        <v>2377</v>
      </c>
      <c r="H2361" s="23">
        <v>83600</v>
      </c>
    </row>
    <row r="2362" spans="7:8" x14ac:dyDescent="0.35">
      <c r="G2362" t="s">
        <v>2378</v>
      </c>
      <c r="H2362" s="23">
        <v>56900</v>
      </c>
    </row>
    <row r="2363" spans="7:8" x14ac:dyDescent="0.35">
      <c r="G2363" t="s">
        <v>2379</v>
      </c>
      <c r="H2363" s="23">
        <v>57200</v>
      </c>
    </row>
    <row r="2364" spans="7:8" x14ac:dyDescent="0.35">
      <c r="G2364" t="s">
        <v>2380</v>
      </c>
      <c r="H2364" s="23">
        <v>110000</v>
      </c>
    </row>
    <row r="2365" spans="7:8" x14ac:dyDescent="0.35">
      <c r="G2365" t="s">
        <v>2381</v>
      </c>
      <c r="H2365" s="23">
        <v>83200</v>
      </c>
    </row>
    <row r="2366" spans="7:8" x14ac:dyDescent="0.35">
      <c r="G2366" t="s">
        <v>2382</v>
      </c>
      <c r="H2366" s="23">
        <v>85400</v>
      </c>
    </row>
    <row r="2367" spans="7:8" x14ac:dyDescent="0.35">
      <c r="G2367" t="s">
        <v>2383</v>
      </c>
      <c r="H2367" s="23">
        <v>52200</v>
      </c>
    </row>
    <row r="2368" spans="7:8" x14ac:dyDescent="0.35">
      <c r="G2368" t="s">
        <v>2384</v>
      </c>
      <c r="H2368" s="23">
        <v>79600</v>
      </c>
    </row>
    <row r="2369" spans="7:8" x14ac:dyDescent="0.35">
      <c r="G2369" t="s">
        <v>2385</v>
      </c>
      <c r="H2369" s="23">
        <v>80500</v>
      </c>
    </row>
    <row r="2370" spans="7:8" x14ac:dyDescent="0.35">
      <c r="G2370" t="s">
        <v>2386</v>
      </c>
      <c r="H2370" s="23">
        <v>36400</v>
      </c>
    </row>
    <row r="2371" spans="7:8" x14ac:dyDescent="0.35">
      <c r="G2371" t="s">
        <v>2387</v>
      </c>
      <c r="H2371" s="23">
        <v>83000</v>
      </c>
    </row>
    <row r="2372" spans="7:8" x14ac:dyDescent="0.35">
      <c r="G2372" t="s">
        <v>2388</v>
      </c>
      <c r="H2372" s="23">
        <v>75800</v>
      </c>
    </row>
    <row r="2373" spans="7:8" x14ac:dyDescent="0.35">
      <c r="G2373" t="s">
        <v>2389</v>
      </c>
      <c r="H2373" s="23">
        <v>64700</v>
      </c>
    </row>
    <row r="2374" spans="7:8" x14ac:dyDescent="0.35">
      <c r="G2374" t="s">
        <v>2390</v>
      </c>
      <c r="H2374" s="23">
        <v>61700</v>
      </c>
    </row>
    <row r="2375" spans="7:8" x14ac:dyDescent="0.35">
      <c r="G2375" t="s">
        <v>2391</v>
      </c>
      <c r="H2375" s="23">
        <v>93500</v>
      </c>
    </row>
    <row r="2376" spans="7:8" x14ac:dyDescent="0.35">
      <c r="G2376" t="s">
        <v>2392</v>
      </c>
      <c r="H2376" s="23">
        <v>80400</v>
      </c>
    </row>
    <row r="2377" spans="7:8" x14ac:dyDescent="0.35">
      <c r="G2377" t="s">
        <v>2393</v>
      </c>
      <c r="H2377" s="23">
        <v>89800</v>
      </c>
    </row>
    <row r="2378" spans="7:8" x14ac:dyDescent="0.35">
      <c r="G2378" t="s">
        <v>2394</v>
      </c>
      <c r="H2378" s="23">
        <v>63900</v>
      </c>
    </row>
    <row r="2379" spans="7:8" x14ac:dyDescent="0.35">
      <c r="G2379" t="s">
        <v>2395</v>
      </c>
      <c r="H2379" s="23">
        <v>67700</v>
      </c>
    </row>
    <row r="2380" spans="7:8" x14ac:dyDescent="0.35">
      <c r="G2380" t="s">
        <v>2396</v>
      </c>
      <c r="H2380" s="23">
        <v>109600</v>
      </c>
    </row>
    <row r="2381" spans="7:8" x14ac:dyDescent="0.35">
      <c r="G2381" t="s">
        <v>2397</v>
      </c>
      <c r="H2381" s="23">
        <v>108500</v>
      </c>
    </row>
    <row r="2382" spans="7:8" x14ac:dyDescent="0.35">
      <c r="G2382" t="s">
        <v>2398</v>
      </c>
      <c r="H2382" s="23">
        <v>69000</v>
      </c>
    </row>
    <row r="2383" spans="7:8" x14ac:dyDescent="0.35">
      <c r="G2383" t="s">
        <v>2399</v>
      </c>
      <c r="H2383" s="23">
        <v>115800</v>
      </c>
    </row>
    <row r="2384" spans="7:8" x14ac:dyDescent="0.35">
      <c r="G2384" t="s">
        <v>2400</v>
      </c>
      <c r="H2384" s="23">
        <v>97600</v>
      </c>
    </row>
    <row r="2385" spans="7:8" x14ac:dyDescent="0.35">
      <c r="G2385" t="s">
        <v>2401</v>
      </c>
      <c r="H2385" s="23">
        <v>60200</v>
      </c>
    </row>
    <row r="2386" spans="7:8" x14ac:dyDescent="0.35">
      <c r="G2386" t="s">
        <v>2402</v>
      </c>
      <c r="H2386" s="23">
        <v>106700</v>
      </c>
    </row>
    <row r="2387" spans="7:8" x14ac:dyDescent="0.35">
      <c r="G2387" t="s">
        <v>2403</v>
      </c>
      <c r="H2387" s="23">
        <v>104800</v>
      </c>
    </row>
    <row r="2388" spans="7:8" x14ac:dyDescent="0.35">
      <c r="G2388" t="s">
        <v>2404</v>
      </c>
      <c r="H2388" s="23">
        <v>68600</v>
      </c>
    </row>
    <row r="2389" spans="7:8" x14ac:dyDescent="0.35">
      <c r="G2389" t="s">
        <v>2405</v>
      </c>
      <c r="H2389" s="23">
        <v>117200</v>
      </c>
    </row>
    <row r="2390" spans="7:8" x14ac:dyDescent="0.35">
      <c r="G2390" t="s">
        <v>2406</v>
      </c>
      <c r="H2390" s="23">
        <v>80400</v>
      </c>
    </row>
    <row r="2391" spans="7:8" x14ac:dyDescent="0.35">
      <c r="G2391" t="s">
        <v>2407</v>
      </c>
      <c r="H2391" s="23">
        <v>91300</v>
      </c>
    </row>
    <row r="2392" spans="7:8" x14ac:dyDescent="0.35">
      <c r="G2392" t="s">
        <v>2408</v>
      </c>
      <c r="H2392" s="23">
        <v>74500</v>
      </c>
    </row>
    <row r="2393" spans="7:8" x14ac:dyDescent="0.35">
      <c r="G2393" t="s">
        <v>2409</v>
      </c>
      <c r="H2393" s="23">
        <v>61800</v>
      </c>
    </row>
    <row r="2394" spans="7:8" x14ac:dyDescent="0.35">
      <c r="G2394" t="s">
        <v>2410</v>
      </c>
      <c r="H2394" s="23">
        <v>64900</v>
      </c>
    </row>
    <row r="2395" spans="7:8" x14ac:dyDescent="0.35">
      <c r="G2395" t="s">
        <v>2411</v>
      </c>
      <c r="H2395" s="23">
        <v>97900</v>
      </c>
    </row>
    <row r="2396" spans="7:8" x14ac:dyDescent="0.35">
      <c r="G2396" t="s">
        <v>2412</v>
      </c>
      <c r="H2396" s="23">
        <v>82100</v>
      </c>
    </row>
    <row r="2397" spans="7:8" x14ac:dyDescent="0.35">
      <c r="G2397" t="s">
        <v>2413</v>
      </c>
      <c r="H2397" s="23">
        <v>80200</v>
      </c>
    </row>
    <row r="2398" spans="7:8" x14ac:dyDescent="0.35">
      <c r="G2398" t="s">
        <v>2414</v>
      </c>
      <c r="H2398" s="23">
        <v>89200</v>
      </c>
    </row>
    <row r="2399" spans="7:8" x14ac:dyDescent="0.35">
      <c r="G2399" t="s">
        <v>2415</v>
      </c>
      <c r="H2399" s="23">
        <v>99600</v>
      </c>
    </row>
    <row r="2400" spans="7:8" x14ac:dyDescent="0.35">
      <c r="G2400" t="s">
        <v>2416</v>
      </c>
      <c r="H2400" s="23">
        <v>83600</v>
      </c>
    </row>
    <row r="2401" spans="7:8" x14ac:dyDescent="0.35">
      <c r="G2401" t="s">
        <v>2417</v>
      </c>
      <c r="H2401" s="23">
        <v>56100</v>
      </c>
    </row>
    <row r="2402" spans="7:8" x14ac:dyDescent="0.35">
      <c r="G2402" t="s">
        <v>2418</v>
      </c>
      <c r="H2402" s="23">
        <v>106200</v>
      </c>
    </row>
    <row r="2403" spans="7:8" x14ac:dyDescent="0.35">
      <c r="G2403" t="s">
        <v>2419</v>
      </c>
      <c r="H2403" s="23">
        <v>75500</v>
      </c>
    </row>
    <row r="2404" spans="7:8" x14ac:dyDescent="0.35">
      <c r="G2404" t="s">
        <v>2420</v>
      </c>
      <c r="H2404" s="23">
        <v>80900</v>
      </c>
    </row>
    <row r="2405" spans="7:8" x14ac:dyDescent="0.35">
      <c r="G2405" t="s">
        <v>2421</v>
      </c>
      <c r="H2405" s="23">
        <v>80900</v>
      </c>
    </row>
    <row r="2406" spans="7:8" x14ac:dyDescent="0.35">
      <c r="G2406" t="s">
        <v>2422</v>
      </c>
      <c r="H2406" s="23">
        <v>90300</v>
      </c>
    </row>
    <row r="2407" spans="7:8" x14ac:dyDescent="0.35">
      <c r="G2407" t="s">
        <v>2423</v>
      </c>
      <c r="H2407" s="23">
        <v>96600</v>
      </c>
    </row>
    <row r="2408" spans="7:8" x14ac:dyDescent="0.35">
      <c r="G2408" t="s">
        <v>2424</v>
      </c>
      <c r="H2408" s="23">
        <v>88400</v>
      </c>
    </row>
    <row r="2409" spans="7:8" x14ac:dyDescent="0.35">
      <c r="G2409" t="s">
        <v>2425</v>
      </c>
      <c r="H2409" s="23">
        <v>105700</v>
      </c>
    </row>
    <row r="2410" spans="7:8" x14ac:dyDescent="0.35">
      <c r="G2410" t="s">
        <v>2426</v>
      </c>
      <c r="H2410" s="23">
        <v>119600</v>
      </c>
    </row>
    <row r="2411" spans="7:8" x14ac:dyDescent="0.35">
      <c r="G2411" t="s">
        <v>2427</v>
      </c>
      <c r="H2411" s="23">
        <v>84100</v>
      </c>
    </row>
    <row r="2412" spans="7:8" x14ac:dyDescent="0.35">
      <c r="G2412" t="s">
        <v>2428</v>
      </c>
      <c r="H2412" s="23">
        <v>86900</v>
      </c>
    </row>
    <row r="2413" spans="7:8" x14ac:dyDescent="0.35">
      <c r="G2413" t="s">
        <v>2429</v>
      </c>
      <c r="H2413" s="23">
        <v>112800</v>
      </c>
    </row>
    <row r="2414" spans="7:8" x14ac:dyDescent="0.35">
      <c r="G2414" t="s">
        <v>2430</v>
      </c>
      <c r="H2414" s="23">
        <v>87500</v>
      </c>
    </row>
    <row r="2415" spans="7:8" x14ac:dyDescent="0.35">
      <c r="G2415" t="s">
        <v>2431</v>
      </c>
      <c r="H2415" s="23">
        <v>120500</v>
      </c>
    </row>
    <row r="2416" spans="7:8" x14ac:dyDescent="0.35">
      <c r="G2416" t="s">
        <v>2432</v>
      </c>
      <c r="H2416" s="23">
        <v>118100</v>
      </c>
    </row>
    <row r="2417" spans="7:8" x14ac:dyDescent="0.35">
      <c r="G2417" t="s">
        <v>2433</v>
      </c>
      <c r="H2417" s="23">
        <v>80600</v>
      </c>
    </row>
    <row r="2418" spans="7:8" x14ac:dyDescent="0.35">
      <c r="G2418" t="s">
        <v>2434</v>
      </c>
      <c r="H2418" s="23">
        <v>115300</v>
      </c>
    </row>
    <row r="2419" spans="7:8" x14ac:dyDescent="0.35">
      <c r="G2419" t="s">
        <v>2435</v>
      </c>
      <c r="H2419" s="23">
        <v>78400</v>
      </c>
    </row>
    <row r="2420" spans="7:8" x14ac:dyDescent="0.35">
      <c r="G2420" t="s">
        <v>2436</v>
      </c>
      <c r="H2420" s="23">
        <v>97400</v>
      </c>
    </row>
    <row r="2421" spans="7:8" x14ac:dyDescent="0.35">
      <c r="G2421" t="s">
        <v>2437</v>
      </c>
      <c r="H2421" s="23">
        <v>87400</v>
      </c>
    </row>
    <row r="2422" spans="7:8" x14ac:dyDescent="0.35">
      <c r="G2422" t="s">
        <v>2438</v>
      </c>
      <c r="H2422" s="23">
        <v>70600</v>
      </c>
    </row>
    <row r="2423" spans="7:8" x14ac:dyDescent="0.35">
      <c r="G2423" t="s">
        <v>2439</v>
      </c>
      <c r="H2423" s="23">
        <v>96700</v>
      </c>
    </row>
    <row r="2424" spans="7:8" x14ac:dyDescent="0.35">
      <c r="G2424" t="s">
        <v>2440</v>
      </c>
      <c r="H2424" s="23">
        <v>62800</v>
      </c>
    </row>
    <row r="2425" spans="7:8" x14ac:dyDescent="0.35">
      <c r="G2425" t="s">
        <v>2441</v>
      </c>
      <c r="H2425" s="23">
        <v>86700</v>
      </c>
    </row>
    <row r="2426" spans="7:8" x14ac:dyDescent="0.35">
      <c r="G2426" t="s">
        <v>2442</v>
      </c>
      <c r="H2426" s="23">
        <v>121500</v>
      </c>
    </row>
    <row r="2427" spans="7:8" x14ac:dyDescent="0.35">
      <c r="G2427" t="s">
        <v>2443</v>
      </c>
      <c r="H2427" s="23">
        <v>72100</v>
      </c>
    </row>
    <row r="2428" spans="7:8" x14ac:dyDescent="0.35">
      <c r="G2428" t="s">
        <v>2444</v>
      </c>
      <c r="H2428" s="23">
        <v>102400</v>
      </c>
    </row>
    <row r="2429" spans="7:8" x14ac:dyDescent="0.35">
      <c r="G2429" t="s">
        <v>2445</v>
      </c>
      <c r="H2429" s="23">
        <v>92400</v>
      </c>
    </row>
    <row r="2430" spans="7:8" x14ac:dyDescent="0.35">
      <c r="G2430" t="s">
        <v>2446</v>
      </c>
      <c r="H2430" s="23">
        <v>79800</v>
      </c>
    </row>
    <row r="2431" spans="7:8" x14ac:dyDescent="0.35">
      <c r="G2431" t="s">
        <v>2447</v>
      </c>
      <c r="H2431" s="23">
        <v>83800</v>
      </c>
    </row>
    <row r="2432" spans="7:8" x14ac:dyDescent="0.35">
      <c r="G2432" t="s">
        <v>2448</v>
      </c>
      <c r="H2432" s="23">
        <v>76900</v>
      </c>
    </row>
    <row r="2433" spans="7:8" x14ac:dyDescent="0.35">
      <c r="G2433" t="s">
        <v>2449</v>
      </c>
      <c r="H2433" s="23">
        <v>94200</v>
      </c>
    </row>
    <row r="2434" spans="7:8" x14ac:dyDescent="0.35">
      <c r="G2434" t="s">
        <v>2450</v>
      </c>
      <c r="H2434" s="23">
        <v>76100</v>
      </c>
    </row>
    <row r="2435" spans="7:8" x14ac:dyDescent="0.35">
      <c r="G2435" t="s">
        <v>2451</v>
      </c>
      <c r="H2435" s="23">
        <v>116600</v>
      </c>
    </row>
    <row r="2436" spans="7:8" x14ac:dyDescent="0.35">
      <c r="G2436" t="s">
        <v>2452</v>
      </c>
      <c r="H2436" s="23">
        <v>70700</v>
      </c>
    </row>
    <row r="2437" spans="7:8" x14ac:dyDescent="0.35">
      <c r="G2437" t="s">
        <v>2453</v>
      </c>
      <c r="H2437" s="23">
        <v>50800</v>
      </c>
    </row>
    <row r="2438" spans="7:8" x14ac:dyDescent="0.35">
      <c r="G2438" t="s">
        <v>2454</v>
      </c>
      <c r="H2438" s="23">
        <v>81500</v>
      </c>
    </row>
    <row r="2439" spans="7:8" x14ac:dyDescent="0.35">
      <c r="G2439" t="s">
        <v>2455</v>
      </c>
      <c r="H2439" s="23">
        <v>72300</v>
      </c>
    </row>
    <row r="2440" spans="7:8" x14ac:dyDescent="0.35">
      <c r="G2440" t="s">
        <v>2456</v>
      </c>
      <c r="H2440" s="23">
        <v>98300</v>
      </c>
    </row>
    <row r="2441" spans="7:8" x14ac:dyDescent="0.35">
      <c r="G2441" t="s">
        <v>2457</v>
      </c>
      <c r="H2441" s="23">
        <v>106800</v>
      </c>
    </row>
    <row r="2442" spans="7:8" x14ac:dyDescent="0.35">
      <c r="G2442" t="s">
        <v>2458</v>
      </c>
      <c r="H2442" s="23">
        <v>94500</v>
      </c>
    </row>
    <row r="2443" spans="7:8" x14ac:dyDescent="0.35">
      <c r="G2443" t="s">
        <v>2459</v>
      </c>
      <c r="H2443" s="23">
        <v>83200</v>
      </c>
    </row>
    <row r="2444" spans="7:8" x14ac:dyDescent="0.35">
      <c r="G2444" t="s">
        <v>2460</v>
      </c>
      <c r="H2444" s="23">
        <v>59000</v>
      </c>
    </row>
    <row r="2445" spans="7:8" x14ac:dyDescent="0.35">
      <c r="G2445" t="s">
        <v>2461</v>
      </c>
      <c r="H2445" s="23">
        <v>61900</v>
      </c>
    </row>
    <row r="2446" spans="7:8" x14ac:dyDescent="0.35">
      <c r="G2446" t="s">
        <v>2462</v>
      </c>
      <c r="H2446" s="23">
        <v>67000</v>
      </c>
    </row>
    <row r="2447" spans="7:8" x14ac:dyDescent="0.35">
      <c r="G2447" t="s">
        <v>2463</v>
      </c>
      <c r="H2447" s="23">
        <v>63200</v>
      </c>
    </row>
    <row r="2448" spans="7:8" x14ac:dyDescent="0.35">
      <c r="G2448" t="s">
        <v>2464</v>
      </c>
      <c r="H2448" s="23">
        <v>67300</v>
      </c>
    </row>
    <row r="2449" spans="7:8" x14ac:dyDescent="0.35">
      <c r="G2449" t="s">
        <v>2465</v>
      </c>
      <c r="H2449" s="23">
        <v>103700</v>
      </c>
    </row>
    <row r="2450" spans="7:8" x14ac:dyDescent="0.35">
      <c r="G2450" t="s">
        <v>2466</v>
      </c>
      <c r="H2450" s="23">
        <v>55200</v>
      </c>
    </row>
    <row r="2451" spans="7:8" x14ac:dyDescent="0.35">
      <c r="G2451" t="s">
        <v>2467</v>
      </c>
      <c r="H2451" s="23">
        <v>55000</v>
      </c>
    </row>
    <row r="2452" spans="7:8" x14ac:dyDescent="0.35">
      <c r="G2452" t="s">
        <v>2468</v>
      </c>
      <c r="H2452" s="23">
        <v>55900</v>
      </c>
    </row>
    <row r="2453" spans="7:8" x14ac:dyDescent="0.35">
      <c r="G2453" t="s">
        <v>2469</v>
      </c>
      <c r="H2453" s="23">
        <v>87100</v>
      </c>
    </row>
    <row r="2454" spans="7:8" x14ac:dyDescent="0.35">
      <c r="G2454" t="s">
        <v>2470</v>
      </c>
      <c r="H2454" s="23">
        <v>52800</v>
      </c>
    </row>
    <row r="2455" spans="7:8" x14ac:dyDescent="0.35">
      <c r="G2455" t="s">
        <v>2471</v>
      </c>
      <c r="H2455" s="23">
        <v>98100</v>
      </c>
    </row>
    <row r="2456" spans="7:8" x14ac:dyDescent="0.35">
      <c r="G2456" t="s">
        <v>2472</v>
      </c>
      <c r="H2456" s="23">
        <v>59500</v>
      </c>
    </row>
    <row r="2457" spans="7:8" x14ac:dyDescent="0.35">
      <c r="G2457" t="s">
        <v>2473</v>
      </c>
      <c r="H2457" s="23">
        <v>80600</v>
      </c>
    </row>
    <row r="2458" spans="7:8" x14ac:dyDescent="0.35">
      <c r="G2458" t="s">
        <v>2474</v>
      </c>
      <c r="H2458" s="23">
        <v>57100</v>
      </c>
    </row>
    <row r="2459" spans="7:8" x14ac:dyDescent="0.35">
      <c r="G2459" t="s">
        <v>2475</v>
      </c>
      <c r="H2459" s="23">
        <v>63800</v>
      </c>
    </row>
    <row r="2460" spans="7:8" x14ac:dyDescent="0.35">
      <c r="G2460" t="s">
        <v>2476</v>
      </c>
      <c r="H2460" s="23">
        <v>69900</v>
      </c>
    </row>
    <row r="2461" spans="7:8" x14ac:dyDescent="0.35">
      <c r="G2461" t="s">
        <v>2477</v>
      </c>
      <c r="H2461" s="23">
        <v>109900</v>
      </c>
    </row>
    <row r="2462" spans="7:8" x14ac:dyDescent="0.35">
      <c r="G2462" t="s">
        <v>2478</v>
      </c>
      <c r="H2462" s="23">
        <v>81600</v>
      </c>
    </row>
    <row r="2463" spans="7:8" x14ac:dyDescent="0.35">
      <c r="G2463" t="s">
        <v>2479</v>
      </c>
      <c r="H2463" s="23">
        <v>84700</v>
      </c>
    </row>
    <row r="2464" spans="7:8" x14ac:dyDescent="0.35">
      <c r="G2464" t="s">
        <v>2480</v>
      </c>
      <c r="H2464" s="23">
        <v>88400</v>
      </c>
    </row>
    <row r="2465" spans="7:8" x14ac:dyDescent="0.35">
      <c r="G2465" t="s">
        <v>2481</v>
      </c>
      <c r="H2465" s="23">
        <v>86700</v>
      </c>
    </row>
    <row r="2466" spans="7:8" x14ac:dyDescent="0.35">
      <c r="G2466" t="s">
        <v>2482</v>
      </c>
      <c r="H2466" s="23">
        <v>75600</v>
      </c>
    </row>
    <row r="2467" spans="7:8" x14ac:dyDescent="0.35">
      <c r="G2467" t="s">
        <v>2483</v>
      </c>
      <c r="H2467" s="23">
        <v>66900</v>
      </c>
    </row>
    <row r="2468" spans="7:8" x14ac:dyDescent="0.35">
      <c r="G2468" t="s">
        <v>2484</v>
      </c>
      <c r="H2468" s="23">
        <v>81600</v>
      </c>
    </row>
    <row r="2469" spans="7:8" x14ac:dyDescent="0.35">
      <c r="G2469" t="s">
        <v>2485</v>
      </c>
      <c r="H2469" s="23">
        <v>105100</v>
      </c>
    </row>
    <row r="2470" spans="7:8" x14ac:dyDescent="0.35">
      <c r="G2470" t="s">
        <v>2486</v>
      </c>
      <c r="H2470" s="23">
        <v>67900</v>
      </c>
    </row>
    <row r="2471" spans="7:8" x14ac:dyDescent="0.35">
      <c r="G2471" t="s">
        <v>2487</v>
      </c>
      <c r="H2471" s="23">
        <v>97300</v>
      </c>
    </row>
    <row r="2472" spans="7:8" x14ac:dyDescent="0.35">
      <c r="G2472" t="s">
        <v>2488</v>
      </c>
      <c r="H2472" s="23">
        <v>59400</v>
      </c>
    </row>
    <row r="2473" spans="7:8" x14ac:dyDescent="0.35">
      <c r="G2473" t="s">
        <v>2489</v>
      </c>
      <c r="H2473" s="23">
        <v>95500</v>
      </c>
    </row>
    <row r="2474" spans="7:8" x14ac:dyDescent="0.35">
      <c r="G2474" t="s">
        <v>2490</v>
      </c>
      <c r="H2474" s="23">
        <v>63400</v>
      </c>
    </row>
    <row r="2475" spans="7:8" x14ac:dyDescent="0.35">
      <c r="G2475" t="s">
        <v>2491</v>
      </c>
      <c r="H2475" s="23">
        <v>43200</v>
      </c>
    </row>
    <row r="2476" spans="7:8" x14ac:dyDescent="0.35">
      <c r="G2476" t="s">
        <v>2492</v>
      </c>
      <c r="H2476" s="23">
        <v>73300</v>
      </c>
    </row>
    <row r="2477" spans="7:8" x14ac:dyDescent="0.35">
      <c r="G2477" t="s">
        <v>2493</v>
      </c>
      <c r="H2477" s="23">
        <v>73500</v>
      </c>
    </row>
    <row r="2478" spans="7:8" x14ac:dyDescent="0.35">
      <c r="G2478" t="s">
        <v>2494</v>
      </c>
      <c r="H2478" s="23">
        <v>89300</v>
      </c>
    </row>
    <row r="2479" spans="7:8" x14ac:dyDescent="0.35">
      <c r="G2479" t="s">
        <v>2495</v>
      </c>
      <c r="H2479" s="23">
        <v>80900</v>
      </c>
    </row>
    <row r="2480" spans="7:8" x14ac:dyDescent="0.35">
      <c r="G2480" t="s">
        <v>2496</v>
      </c>
      <c r="H2480" s="23">
        <v>102900</v>
      </c>
    </row>
    <row r="2481" spans="7:8" x14ac:dyDescent="0.35">
      <c r="G2481" t="s">
        <v>2497</v>
      </c>
      <c r="H2481" s="23">
        <v>120900</v>
      </c>
    </row>
    <row r="2482" spans="7:8" x14ac:dyDescent="0.35">
      <c r="G2482" t="s">
        <v>2498</v>
      </c>
      <c r="H2482" s="23">
        <v>81100</v>
      </c>
    </row>
    <row r="2483" spans="7:8" x14ac:dyDescent="0.35">
      <c r="G2483" t="s">
        <v>2499</v>
      </c>
      <c r="H2483" s="23">
        <v>99400</v>
      </c>
    </row>
    <row r="2484" spans="7:8" x14ac:dyDescent="0.35">
      <c r="G2484" t="s">
        <v>2500</v>
      </c>
      <c r="H2484" s="23">
        <v>120700</v>
      </c>
    </row>
    <row r="2485" spans="7:8" x14ac:dyDescent="0.35">
      <c r="G2485" t="s">
        <v>2501</v>
      </c>
      <c r="H2485" s="23">
        <v>58000</v>
      </c>
    </row>
    <row r="2486" spans="7:8" x14ac:dyDescent="0.35">
      <c r="G2486" t="s">
        <v>2502</v>
      </c>
      <c r="H2486" s="23">
        <v>101200</v>
      </c>
    </row>
    <row r="2487" spans="7:8" x14ac:dyDescent="0.35">
      <c r="G2487" t="s">
        <v>2503</v>
      </c>
      <c r="H2487" s="23">
        <v>108900</v>
      </c>
    </row>
    <row r="2488" spans="7:8" x14ac:dyDescent="0.35">
      <c r="G2488" t="s">
        <v>2504</v>
      </c>
      <c r="H2488" s="23">
        <v>84400</v>
      </c>
    </row>
    <row r="2489" spans="7:8" x14ac:dyDescent="0.35">
      <c r="G2489" t="s">
        <v>2505</v>
      </c>
      <c r="H2489" s="23">
        <v>67800</v>
      </c>
    </row>
    <row r="2490" spans="7:8" x14ac:dyDescent="0.35">
      <c r="G2490" t="s">
        <v>2506</v>
      </c>
      <c r="H2490" s="23">
        <v>94700</v>
      </c>
    </row>
    <row r="2491" spans="7:8" x14ac:dyDescent="0.35">
      <c r="G2491" t="s">
        <v>2507</v>
      </c>
      <c r="H2491" s="23">
        <v>63000</v>
      </c>
    </row>
    <row r="2492" spans="7:8" x14ac:dyDescent="0.35">
      <c r="G2492" t="s">
        <v>2508</v>
      </c>
      <c r="H2492" s="23">
        <v>76600</v>
      </c>
    </row>
    <row r="2493" spans="7:8" x14ac:dyDescent="0.35">
      <c r="G2493" t="s">
        <v>2509</v>
      </c>
      <c r="H2493" s="23">
        <v>102600</v>
      </c>
    </row>
    <row r="2494" spans="7:8" x14ac:dyDescent="0.35">
      <c r="G2494" t="s">
        <v>2510</v>
      </c>
      <c r="H2494" s="23">
        <v>76100</v>
      </c>
    </row>
    <row r="2495" spans="7:8" x14ac:dyDescent="0.35">
      <c r="G2495" t="s">
        <v>2511</v>
      </c>
      <c r="H2495" s="23">
        <v>75200</v>
      </c>
    </row>
    <row r="2496" spans="7:8" x14ac:dyDescent="0.35">
      <c r="G2496" t="s">
        <v>2512</v>
      </c>
      <c r="H2496" s="23">
        <v>106100</v>
      </c>
    </row>
    <row r="2497" spans="7:8" x14ac:dyDescent="0.35">
      <c r="G2497" t="s">
        <v>2513</v>
      </c>
      <c r="H2497" s="23">
        <v>76200</v>
      </c>
    </row>
    <row r="2498" spans="7:8" x14ac:dyDescent="0.35">
      <c r="G2498" t="s">
        <v>2514</v>
      </c>
      <c r="H2498" s="23">
        <v>107400</v>
      </c>
    </row>
    <row r="2499" spans="7:8" x14ac:dyDescent="0.35">
      <c r="G2499" t="s">
        <v>2515</v>
      </c>
      <c r="H2499" s="23">
        <v>110900</v>
      </c>
    </row>
    <row r="2500" spans="7:8" x14ac:dyDescent="0.35">
      <c r="G2500" t="s">
        <v>2516</v>
      </c>
      <c r="H2500" s="23">
        <v>77000</v>
      </c>
    </row>
    <row r="2501" spans="7:8" x14ac:dyDescent="0.35">
      <c r="G2501" t="s">
        <v>2517</v>
      </c>
      <c r="H2501" s="23">
        <v>115900</v>
      </c>
    </row>
    <row r="2502" spans="7:8" x14ac:dyDescent="0.35">
      <c r="G2502" t="s">
        <v>2518</v>
      </c>
      <c r="H2502" s="23">
        <v>105000</v>
      </c>
    </row>
    <row r="2503" spans="7:8" x14ac:dyDescent="0.35">
      <c r="G2503" t="s">
        <v>2519</v>
      </c>
      <c r="H2503" s="23">
        <v>83800</v>
      </c>
    </row>
    <row r="2504" spans="7:8" x14ac:dyDescent="0.35">
      <c r="G2504" t="s">
        <v>2520</v>
      </c>
      <c r="H2504" s="23">
        <v>60000</v>
      </c>
    </row>
    <row r="2505" spans="7:8" x14ac:dyDescent="0.35">
      <c r="G2505" t="s">
        <v>2521</v>
      </c>
      <c r="H2505" s="23">
        <v>74000</v>
      </c>
    </row>
    <row r="2506" spans="7:8" x14ac:dyDescent="0.35">
      <c r="G2506" t="s">
        <v>2522</v>
      </c>
      <c r="H2506" s="23">
        <v>72500</v>
      </c>
    </row>
    <row r="2507" spans="7:8" x14ac:dyDescent="0.35">
      <c r="G2507" t="s">
        <v>2523</v>
      </c>
      <c r="H2507" s="23">
        <v>109200</v>
      </c>
    </row>
    <row r="2508" spans="7:8" x14ac:dyDescent="0.35">
      <c r="G2508" t="s">
        <v>2524</v>
      </c>
      <c r="H2508" s="23">
        <v>88200</v>
      </c>
    </row>
    <row r="2509" spans="7:8" x14ac:dyDescent="0.35">
      <c r="G2509" t="s">
        <v>2525</v>
      </c>
      <c r="H2509" s="23">
        <v>107400</v>
      </c>
    </row>
    <row r="2510" spans="7:8" x14ac:dyDescent="0.35">
      <c r="G2510" t="s">
        <v>2526</v>
      </c>
      <c r="H2510" s="23">
        <v>102400</v>
      </c>
    </row>
    <row r="2511" spans="7:8" x14ac:dyDescent="0.35">
      <c r="G2511" t="s">
        <v>2527</v>
      </c>
      <c r="H2511" s="23">
        <v>65900</v>
      </c>
    </row>
    <row r="2512" spans="7:8" x14ac:dyDescent="0.35">
      <c r="G2512" t="s">
        <v>2528</v>
      </c>
      <c r="H2512" s="23">
        <v>67900</v>
      </c>
    </row>
    <row r="2513" spans="7:8" x14ac:dyDescent="0.35">
      <c r="G2513" t="s">
        <v>2529</v>
      </c>
      <c r="H2513" s="23">
        <v>99600</v>
      </c>
    </row>
    <row r="2514" spans="7:8" x14ac:dyDescent="0.35">
      <c r="G2514" t="s">
        <v>2530</v>
      </c>
      <c r="H2514" s="23">
        <v>100400</v>
      </c>
    </row>
    <row r="2515" spans="7:8" x14ac:dyDescent="0.35">
      <c r="G2515" t="s">
        <v>2531</v>
      </c>
      <c r="H2515" s="23">
        <v>57500</v>
      </c>
    </row>
    <row r="2516" spans="7:8" x14ac:dyDescent="0.35">
      <c r="G2516" t="s">
        <v>2532</v>
      </c>
      <c r="H2516" s="23">
        <v>68500</v>
      </c>
    </row>
    <row r="2517" spans="7:8" x14ac:dyDescent="0.35">
      <c r="G2517" t="s">
        <v>2533</v>
      </c>
      <c r="H2517" s="23">
        <v>84000</v>
      </c>
    </row>
    <row r="2518" spans="7:8" x14ac:dyDescent="0.35">
      <c r="G2518" t="s">
        <v>2534</v>
      </c>
      <c r="H2518" s="23">
        <v>115200</v>
      </c>
    </row>
    <row r="2519" spans="7:8" x14ac:dyDescent="0.35">
      <c r="G2519" t="s">
        <v>2535</v>
      </c>
      <c r="H2519" s="23">
        <v>92400</v>
      </c>
    </row>
    <row r="2520" spans="7:8" x14ac:dyDescent="0.35">
      <c r="G2520" t="s">
        <v>2536</v>
      </c>
      <c r="H2520" s="23">
        <v>69700</v>
      </c>
    </row>
    <row r="2521" spans="7:8" x14ac:dyDescent="0.35">
      <c r="G2521" t="s">
        <v>2537</v>
      </c>
      <c r="H2521" s="23">
        <v>89800</v>
      </c>
    </row>
    <row r="2522" spans="7:8" x14ac:dyDescent="0.35">
      <c r="G2522" t="s">
        <v>2538</v>
      </c>
      <c r="H2522" s="23">
        <v>90700</v>
      </c>
    </row>
    <row r="2523" spans="7:8" x14ac:dyDescent="0.35">
      <c r="G2523" t="s">
        <v>2539</v>
      </c>
      <c r="H2523" s="23">
        <v>57900</v>
      </c>
    </row>
    <row r="2524" spans="7:8" x14ac:dyDescent="0.35">
      <c r="G2524" t="s">
        <v>2540</v>
      </c>
      <c r="H2524" s="23">
        <v>62600</v>
      </c>
    </row>
    <row r="2525" spans="7:8" x14ac:dyDescent="0.35">
      <c r="G2525" t="s">
        <v>2541</v>
      </c>
      <c r="H2525" s="23">
        <v>82600</v>
      </c>
    </row>
    <row r="2526" spans="7:8" x14ac:dyDescent="0.35">
      <c r="G2526" t="s">
        <v>2542</v>
      </c>
      <c r="H2526" s="23">
        <v>83200</v>
      </c>
    </row>
    <row r="2527" spans="7:8" x14ac:dyDescent="0.35">
      <c r="G2527" t="s">
        <v>2543</v>
      </c>
      <c r="H2527" s="23">
        <v>87400</v>
      </c>
    </row>
    <row r="2528" spans="7:8" x14ac:dyDescent="0.35">
      <c r="G2528" t="s">
        <v>2544</v>
      </c>
      <c r="H2528" s="23">
        <v>85200</v>
      </c>
    </row>
    <row r="2529" spans="7:8" x14ac:dyDescent="0.35">
      <c r="G2529" t="s">
        <v>2545</v>
      </c>
      <c r="H2529" s="23">
        <v>84700</v>
      </c>
    </row>
    <row r="2530" spans="7:8" x14ac:dyDescent="0.35">
      <c r="G2530" t="s">
        <v>2546</v>
      </c>
      <c r="H2530" s="23">
        <v>113600</v>
      </c>
    </row>
    <row r="2531" spans="7:8" x14ac:dyDescent="0.35">
      <c r="G2531" t="s">
        <v>2547</v>
      </c>
      <c r="H2531" s="23">
        <v>101600</v>
      </c>
    </row>
    <row r="2532" spans="7:8" x14ac:dyDescent="0.35">
      <c r="G2532" t="s">
        <v>2548</v>
      </c>
      <c r="H2532" s="23">
        <v>84800</v>
      </c>
    </row>
    <row r="2533" spans="7:8" x14ac:dyDescent="0.35">
      <c r="G2533" t="s">
        <v>2549</v>
      </c>
      <c r="H2533" s="23">
        <v>80100</v>
      </c>
    </row>
    <row r="2534" spans="7:8" x14ac:dyDescent="0.35">
      <c r="G2534" t="s">
        <v>2550</v>
      </c>
      <c r="H2534" s="23">
        <v>90600</v>
      </c>
    </row>
    <row r="2535" spans="7:8" x14ac:dyDescent="0.35">
      <c r="G2535" t="s">
        <v>2551</v>
      </c>
      <c r="H2535" s="23">
        <v>93800</v>
      </c>
    </row>
    <row r="2536" spans="7:8" x14ac:dyDescent="0.35">
      <c r="G2536" t="s">
        <v>2552</v>
      </c>
      <c r="H2536" s="23">
        <v>82200</v>
      </c>
    </row>
    <row r="2537" spans="7:8" x14ac:dyDescent="0.35">
      <c r="G2537" t="s">
        <v>2553</v>
      </c>
      <c r="H2537" s="23">
        <v>65300</v>
      </c>
    </row>
    <row r="2538" spans="7:8" x14ac:dyDescent="0.35">
      <c r="G2538" t="s">
        <v>2554</v>
      </c>
      <c r="H2538" s="23">
        <v>71800</v>
      </c>
    </row>
    <row r="2539" spans="7:8" x14ac:dyDescent="0.35">
      <c r="G2539" t="s">
        <v>2555</v>
      </c>
      <c r="H2539" s="23">
        <v>72000</v>
      </c>
    </row>
    <row r="2540" spans="7:8" x14ac:dyDescent="0.35">
      <c r="G2540" t="s">
        <v>2556</v>
      </c>
      <c r="H2540" s="23">
        <v>91100</v>
      </c>
    </row>
    <row r="2541" spans="7:8" x14ac:dyDescent="0.35">
      <c r="G2541" t="s">
        <v>2557</v>
      </c>
      <c r="H2541" s="23">
        <v>85300</v>
      </c>
    </row>
    <row r="2542" spans="7:8" x14ac:dyDescent="0.35">
      <c r="G2542" t="s">
        <v>2558</v>
      </c>
      <c r="H2542" s="23">
        <v>94200</v>
      </c>
    </row>
    <row r="2543" spans="7:8" x14ac:dyDescent="0.35">
      <c r="G2543" t="s">
        <v>2559</v>
      </c>
      <c r="H2543" s="23">
        <v>106600</v>
      </c>
    </row>
    <row r="2544" spans="7:8" x14ac:dyDescent="0.35">
      <c r="G2544" t="s">
        <v>2560</v>
      </c>
      <c r="H2544" s="23">
        <v>71600</v>
      </c>
    </row>
    <row r="2545" spans="7:8" x14ac:dyDescent="0.35">
      <c r="G2545" t="s">
        <v>2561</v>
      </c>
      <c r="H2545" s="23">
        <v>69400</v>
      </c>
    </row>
    <row r="2546" spans="7:8" x14ac:dyDescent="0.35">
      <c r="G2546" t="s">
        <v>2562</v>
      </c>
      <c r="H2546" s="23">
        <v>69300</v>
      </c>
    </row>
    <row r="2547" spans="7:8" x14ac:dyDescent="0.35">
      <c r="G2547" t="s">
        <v>2563</v>
      </c>
      <c r="H2547" s="23">
        <v>100300</v>
      </c>
    </row>
    <row r="2548" spans="7:8" x14ac:dyDescent="0.35">
      <c r="G2548" t="s">
        <v>2564</v>
      </c>
      <c r="H2548" s="23">
        <v>81500</v>
      </c>
    </row>
    <row r="2549" spans="7:8" x14ac:dyDescent="0.35">
      <c r="G2549" t="s">
        <v>2565</v>
      </c>
      <c r="H2549" s="23">
        <v>82900</v>
      </c>
    </row>
    <row r="2550" spans="7:8" x14ac:dyDescent="0.35">
      <c r="G2550" t="s">
        <v>2566</v>
      </c>
      <c r="H2550" s="23">
        <v>100000</v>
      </c>
    </row>
    <row r="2551" spans="7:8" x14ac:dyDescent="0.35">
      <c r="G2551" t="s">
        <v>2567</v>
      </c>
      <c r="H2551" s="23">
        <v>61500</v>
      </c>
    </row>
    <row r="2552" spans="7:8" x14ac:dyDescent="0.35">
      <c r="G2552" t="s">
        <v>2568</v>
      </c>
      <c r="H2552" s="23">
        <v>97600</v>
      </c>
    </row>
    <row r="2553" spans="7:8" x14ac:dyDescent="0.35">
      <c r="G2553" t="s">
        <v>2569</v>
      </c>
      <c r="H2553" s="23">
        <v>89200</v>
      </c>
    </row>
    <row r="2554" spans="7:8" x14ac:dyDescent="0.35">
      <c r="G2554" t="s">
        <v>2570</v>
      </c>
      <c r="H2554" s="23">
        <v>69600</v>
      </c>
    </row>
    <row r="2555" spans="7:8" x14ac:dyDescent="0.35">
      <c r="G2555" t="s">
        <v>2571</v>
      </c>
      <c r="H2555" s="23">
        <v>90700</v>
      </c>
    </row>
    <row r="2556" spans="7:8" x14ac:dyDescent="0.35">
      <c r="G2556" t="s">
        <v>2572</v>
      </c>
      <c r="H2556" s="23">
        <v>100100</v>
      </c>
    </row>
    <row r="2557" spans="7:8" x14ac:dyDescent="0.35">
      <c r="G2557" t="s">
        <v>2573</v>
      </c>
      <c r="H2557" s="23">
        <v>82800</v>
      </c>
    </row>
    <row r="2558" spans="7:8" x14ac:dyDescent="0.35">
      <c r="G2558" t="s">
        <v>2574</v>
      </c>
      <c r="H2558" s="23">
        <v>83800</v>
      </c>
    </row>
    <row r="2559" spans="7:8" x14ac:dyDescent="0.35">
      <c r="G2559" t="s">
        <v>2575</v>
      </c>
      <c r="H2559" s="23">
        <v>94700</v>
      </c>
    </row>
    <row r="2560" spans="7:8" x14ac:dyDescent="0.35">
      <c r="G2560" t="s">
        <v>2576</v>
      </c>
      <c r="H2560" s="23">
        <v>87500</v>
      </c>
    </row>
    <row r="2561" spans="7:8" x14ac:dyDescent="0.35">
      <c r="G2561" t="s">
        <v>2577</v>
      </c>
      <c r="H2561" s="23">
        <v>88400</v>
      </c>
    </row>
    <row r="2562" spans="7:8" x14ac:dyDescent="0.35">
      <c r="G2562" t="s">
        <v>2578</v>
      </c>
      <c r="H2562" s="23">
        <v>127300</v>
      </c>
    </row>
    <row r="2563" spans="7:8" x14ac:dyDescent="0.35">
      <c r="G2563" t="s">
        <v>2579</v>
      </c>
      <c r="H2563" s="23">
        <v>65700</v>
      </c>
    </row>
    <row r="2564" spans="7:8" x14ac:dyDescent="0.35">
      <c r="G2564" t="s">
        <v>2580</v>
      </c>
      <c r="H2564" s="23">
        <v>70000</v>
      </c>
    </row>
    <row r="2565" spans="7:8" x14ac:dyDescent="0.35">
      <c r="G2565" t="s">
        <v>2581</v>
      </c>
      <c r="H2565" s="23">
        <v>65900</v>
      </c>
    </row>
    <row r="2566" spans="7:8" x14ac:dyDescent="0.35">
      <c r="G2566" t="s">
        <v>2582</v>
      </c>
      <c r="H2566" s="23">
        <v>58100</v>
      </c>
    </row>
    <row r="2567" spans="7:8" x14ac:dyDescent="0.35">
      <c r="G2567" t="s">
        <v>2583</v>
      </c>
      <c r="H2567" s="23">
        <v>69300</v>
      </c>
    </row>
    <row r="2568" spans="7:8" x14ac:dyDescent="0.35">
      <c r="G2568" t="s">
        <v>2584</v>
      </c>
      <c r="H2568" s="23">
        <v>70800</v>
      </c>
    </row>
    <row r="2569" spans="7:8" x14ac:dyDescent="0.35">
      <c r="G2569" t="s">
        <v>2585</v>
      </c>
      <c r="H2569" s="23">
        <v>91100</v>
      </c>
    </row>
    <row r="2570" spans="7:8" x14ac:dyDescent="0.35">
      <c r="G2570" t="s">
        <v>2586</v>
      </c>
      <c r="H2570" s="23">
        <v>80400</v>
      </c>
    </row>
    <row r="2571" spans="7:8" x14ac:dyDescent="0.35">
      <c r="G2571" t="s">
        <v>2587</v>
      </c>
      <c r="H2571" s="23">
        <v>112800</v>
      </c>
    </row>
    <row r="2572" spans="7:8" x14ac:dyDescent="0.35">
      <c r="G2572" t="s">
        <v>2588</v>
      </c>
      <c r="H2572" s="23">
        <v>88800</v>
      </c>
    </row>
    <row r="2573" spans="7:8" x14ac:dyDescent="0.35">
      <c r="G2573" t="s">
        <v>2589</v>
      </c>
      <c r="H2573" s="23">
        <v>100300</v>
      </c>
    </row>
    <row r="2574" spans="7:8" x14ac:dyDescent="0.35">
      <c r="G2574" t="s">
        <v>2590</v>
      </c>
      <c r="H2574" s="23">
        <v>66000</v>
      </c>
    </row>
    <row r="2575" spans="7:8" x14ac:dyDescent="0.35">
      <c r="G2575" t="s">
        <v>2591</v>
      </c>
      <c r="H2575" s="23">
        <v>46300</v>
      </c>
    </row>
    <row r="2576" spans="7:8" x14ac:dyDescent="0.35">
      <c r="G2576" t="s">
        <v>2592</v>
      </c>
      <c r="H2576" s="23">
        <v>110800</v>
      </c>
    </row>
    <row r="2577" spans="7:8" x14ac:dyDescent="0.35">
      <c r="G2577" t="s">
        <v>2593</v>
      </c>
      <c r="H2577" s="23">
        <v>104300</v>
      </c>
    </row>
    <row r="2578" spans="7:8" x14ac:dyDescent="0.35">
      <c r="G2578" t="s">
        <v>2594</v>
      </c>
      <c r="H2578" s="23">
        <v>89600</v>
      </c>
    </row>
    <row r="2579" spans="7:8" x14ac:dyDescent="0.35">
      <c r="G2579" t="s">
        <v>2595</v>
      </c>
      <c r="H2579" s="23">
        <v>77400</v>
      </c>
    </row>
    <row r="2580" spans="7:8" x14ac:dyDescent="0.35">
      <c r="G2580" t="s">
        <v>2596</v>
      </c>
      <c r="H2580" s="23">
        <v>69800</v>
      </c>
    </row>
    <row r="2581" spans="7:8" x14ac:dyDescent="0.35">
      <c r="G2581" t="s">
        <v>2597</v>
      </c>
      <c r="H2581" s="23">
        <v>96000</v>
      </c>
    </row>
    <row r="2582" spans="7:8" x14ac:dyDescent="0.35">
      <c r="G2582" t="s">
        <v>2598</v>
      </c>
      <c r="H2582" s="23">
        <v>63500</v>
      </c>
    </row>
    <row r="2583" spans="7:8" x14ac:dyDescent="0.35">
      <c r="G2583" t="s">
        <v>2599</v>
      </c>
      <c r="H2583" s="23">
        <v>72200</v>
      </c>
    </row>
    <row r="2584" spans="7:8" x14ac:dyDescent="0.35">
      <c r="G2584" t="s">
        <v>2600</v>
      </c>
      <c r="H2584" s="23">
        <v>91100</v>
      </c>
    </row>
    <row r="2585" spans="7:8" x14ac:dyDescent="0.35">
      <c r="G2585" t="s">
        <v>2601</v>
      </c>
      <c r="H2585" s="23">
        <v>62300</v>
      </c>
    </row>
    <row r="2586" spans="7:8" x14ac:dyDescent="0.35">
      <c r="G2586" t="s">
        <v>2602</v>
      </c>
      <c r="H2586" s="23">
        <v>112100</v>
      </c>
    </row>
    <row r="2587" spans="7:8" x14ac:dyDescent="0.35">
      <c r="G2587" t="s">
        <v>2603</v>
      </c>
      <c r="H2587" s="23">
        <v>102400</v>
      </c>
    </row>
    <row r="2588" spans="7:8" x14ac:dyDescent="0.35">
      <c r="G2588" t="s">
        <v>2604</v>
      </c>
      <c r="H2588" s="23">
        <v>70400</v>
      </c>
    </row>
    <row r="2589" spans="7:8" x14ac:dyDescent="0.35">
      <c r="G2589" t="s">
        <v>2605</v>
      </c>
      <c r="H2589" s="23">
        <v>118100</v>
      </c>
    </row>
    <row r="2590" spans="7:8" x14ac:dyDescent="0.35">
      <c r="G2590" t="s">
        <v>2606</v>
      </c>
      <c r="H2590" s="23">
        <v>58200</v>
      </c>
    </row>
    <row r="2591" spans="7:8" x14ac:dyDescent="0.35">
      <c r="G2591" t="s">
        <v>2607</v>
      </c>
      <c r="H2591" s="23">
        <v>70300</v>
      </c>
    </row>
    <row r="2592" spans="7:8" x14ac:dyDescent="0.35">
      <c r="G2592" t="s">
        <v>2608</v>
      </c>
      <c r="H2592" s="23">
        <v>87000</v>
      </c>
    </row>
    <row r="2593" spans="7:8" x14ac:dyDescent="0.35">
      <c r="G2593" t="s">
        <v>2609</v>
      </c>
      <c r="H2593" s="23">
        <v>59000</v>
      </c>
    </row>
    <row r="2594" spans="7:8" x14ac:dyDescent="0.35">
      <c r="G2594" t="s">
        <v>2610</v>
      </c>
      <c r="H2594" s="23">
        <v>50400</v>
      </c>
    </row>
    <row r="2595" spans="7:8" x14ac:dyDescent="0.35">
      <c r="G2595" t="s">
        <v>2611</v>
      </c>
      <c r="H2595" s="23">
        <v>71200</v>
      </c>
    </row>
    <row r="2596" spans="7:8" x14ac:dyDescent="0.35">
      <c r="G2596" t="s">
        <v>2612</v>
      </c>
      <c r="H2596" s="23">
        <v>105000</v>
      </c>
    </row>
    <row r="2597" spans="7:8" x14ac:dyDescent="0.35">
      <c r="G2597" t="s">
        <v>2613</v>
      </c>
      <c r="H2597" s="23">
        <v>79600</v>
      </c>
    </row>
    <row r="2598" spans="7:8" x14ac:dyDescent="0.35">
      <c r="G2598" t="s">
        <v>2614</v>
      </c>
      <c r="H2598" s="23">
        <v>70500</v>
      </c>
    </row>
    <row r="2599" spans="7:8" x14ac:dyDescent="0.35">
      <c r="G2599" t="s">
        <v>2615</v>
      </c>
      <c r="H2599" s="23">
        <v>83100</v>
      </c>
    </row>
    <row r="2600" spans="7:8" x14ac:dyDescent="0.35">
      <c r="G2600" t="s">
        <v>2616</v>
      </c>
      <c r="H2600" s="23">
        <v>84000</v>
      </c>
    </row>
    <row r="2601" spans="7:8" x14ac:dyDescent="0.35">
      <c r="G2601" t="s">
        <v>2617</v>
      </c>
      <c r="H2601" s="23">
        <v>82100</v>
      </c>
    </row>
    <row r="2602" spans="7:8" x14ac:dyDescent="0.35">
      <c r="G2602" t="s">
        <v>2618</v>
      </c>
      <c r="H2602" s="23">
        <v>54300</v>
      </c>
    </row>
    <row r="2603" spans="7:8" x14ac:dyDescent="0.35">
      <c r="G2603" t="s">
        <v>2619</v>
      </c>
      <c r="H2603" s="23">
        <v>54500</v>
      </c>
    </row>
    <row r="2604" spans="7:8" x14ac:dyDescent="0.35">
      <c r="G2604" t="s">
        <v>2620</v>
      </c>
      <c r="H2604" s="23">
        <v>72500</v>
      </c>
    </row>
    <row r="2605" spans="7:8" x14ac:dyDescent="0.35">
      <c r="G2605" t="s">
        <v>2621</v>
      </c>
      <c r="H2605" s="23">
        <v>86300</v>
      </c>
    </row>
    <row r="2606" spans="7:8" x14ac:dyDescent="0.35">
      <c r="G2606" t="s">
        <v>2622</v>
      </c>
      <c r="H2606" s="23">
        <v>83000</v>
      </c>
    </row>
    <row r="2607" spans="7:8" x14ac:dyDescent="0.35">
      <c r="G2607" t="s">
        <v>2623</v>
      </c>
      <c r="H2607" s="23">
        <v>123800</v>
      </c>
    </row>
    <row r="2608" spans="7:8" x14ac:dyDescent="0.35">
      <c r="G2608" t="s">
        <v>2624</v>
      </c>
      <c r="H2608" s="23">
        <v>83700</v>
      </c>
    </row>
    <row r="2609" spans="7:8" x14ac:dyDescent="0.35">
      <c r="G2609" t="s">
        <v>2625</v>
      </c>
      <c r="H2609" s="23">
        <v>86700</v>
      </c>
    </row>
    <row r="2610" spans="7:8" x14ac:dyDescent="0.35">
      <c r="G2610" t="s">
        <v>2626</v>
      </c>
      <c r="H2610" s="23">
        <v>90600</v>
      </c>
    </row>
    <row r="2611" spans="7:8" x14ac:dyDescent="0.35">
      <c r="G2611" t="s">
        <v>2627</v>
      </c>
      <c r="H2611" s="23">
        <v>67500</v>
      </c>
    </row>
    <row r="2612" spans="7:8" x14ac:dyDescent="0.35">
      <c r="G2612" t="s">
        <v>2628</v>
      </c>
      <c r="H2612" s="23">
        <v>80200</v>
      </c>
    </row>
    <row r="2613" spans="7:8" x14ac:dyDescent="0.35">
      <c r="G2613" t="s">
        <v>2629</v>
      </c>
      <c r="H2613" s="23">
        <v>78200</v>
      </c>
    </row>
    <row r="2614" spans="7:8" x14ac:dyDescent="0.35">
      <c r="G2614" t="s">
        <v>2630</v>
      </c>
      <c r="H2614" s="23">
        <v>71700</v>
      </c>
    </row>
    <row r="2615" spans="7:8" x14ac:dyDescent="0.35">
      <c r="G2615" t="s">
        <v>2631</v>
      </c>
      <c r="H2615" s="23">
        <v>73700</v>
      </c>
    </row>
    <row r="2616" spans="7:8" x14ac:dyDescent="0.35">
      <c r="G2616" t="s">
        <v>2632</v>
      </c>
      <c r="H2616" s="23">
        <v>109300</v>
      </c>
    </row>
    <row r="2617" spans="7:8" x14ac:dyDescent="0.35">
      <c r="G2617" t="s">
        <v>2633</v>
      </c>
      <c r="H2617" s="23">
        <v>68400</v>
      </c>
    </row>
    <row r="2618" spans="7:8" x14ac:dyDescent="0.35">
      <c r="G2618" t="s">
        <v>2634</v>
      </c>
      <c r="H2618" s="23">
        <v>66500</v>
      </c>
    </row>
    <row r="2619" spans="7:8" x14ac:dyDescent="0.35">
      <c r="G2619" t="s">
        <v>2635</v>
      </c>
      <c r="H2619" s="23">
        <v>98700</v>
      </c>
    </row>
    <row r="2620" spans="7:8" x14ac:dyDescent="0.35">
      <c r="G2620" t="s">
        <v>2636</v>
      </c>
      <c r="H2620" s="23">
        <v>110300</v>
      </c>
    </row>
    <row r="2621" spans="7:8" x14ac:dyDescent="0.35">
      <c r="G2621" t="s">
        <v>2637</v>
      </c>
      <c r="H2621" s="23">
        <v>94800</v>
      </c>
    </row>
    <row r="2622" spans="7:8" x14ac:dyDescent="0.35">
      <c r="G2622" t="s">
        <v>2638</v>
      </c>
      <c r="H2622" s="23">
        <v>55800</v>
      </c>
    </row>
    <row r="2623" spans="7:8" x14ac:dyDescent="0.35">
      <c r="G2623" t="s">
        <v>2639</v>
      </c>
      <c r="H2623" s="23">
        <v>83900</v>
      </c>
    </row>
    <row r="2624" spans="7:8" x14ac:dyDescent="0.35">
      <c r="G2624" t="s">
        <v>2640</v>
      </c>
      <c r="H2624" s="23">
        <v>115300</v>
      </c>
    </row>
    <row r="2625" spans="7:8" x14ac:dyDescent="0.35">
      <c r="G2625" t="s">
        <v>2641</v>
      </c>
      <c r="H2625" s="23">
        <v>120300</v>
      </c>
    </row>
    <row r="2626" spans="7:8" x14ac:dyDescent="0.35">
      <c r="G2626" t="s">
        <v>2642</v>
      </c>
      <c r="H2626" s="23">
        <v>107600</v>
      </c>
    </row>
    <row r="2627" spans="7:8" x14ac:dyDescent="0.35">
      <c r="G2627" t="s">
        <v>2643</v>
      </c>
      <c r="H2627" s="23">
        <v>109400</v>
      </c>
    </row>
    <row r="2628" spans="7:8" x14ac:dyDescent="0.35">
      <c r="G2628" t="s">
        <v>2644</v>
      </c>
      <c r="H2628" s="23">
        <v>76700</v>
      </c>
    </row>
    <row r="2629" spans="7:8" x14ac:dyDescent="0.35">
      <c r="G2629" t="s">
        <v>2645</v>
      </c>
      <c r="H2629" s="23">
        <v>89800</v>
      </c>
    </row>
    <row r="2630" spans="7:8" x14ac:dyDescent="0.35">
      <c r="G2630" t="s">
        <v>2646</v>
      </c>
      <c r="H2630" s="23">
        <v>76000</v>
      </c>
    </row>
    <row r="2631" spans="7:8" x14ac:dyDescent="0.35">
      <c r="G2631" t="s">
        <v>2647</v>
      </c>
      <c r="H2631" s="23">
        <v>101300</v>
      </c>
    </row>
    <row r="2632" spans="7:8" x14ac:dyDescent="0.35">
      <c r="G2632" t="s">
        <v>2648</v>
      </c>
      <c r="H2632" s="23">
        <v>90900</v>
      </c>
    </row>
    <row r="2633" spans="7:8" x14ac:dyDescent="0.35">
      <c r="G2633" t="s">
        <v>2649</v>
      </c>
      <c r="H2633" s="23">
        <v>103100</v>
      </c>
    </row>
    <row r="2634" spans="7:8" x14ac:dyDescent="0.35">
      <c r="G2634" t="s">
        <v>2650</v>
      </c>
      <c r="H2634" s="23">
        <v>55400</v>
      </c>
    </row>
    <row r="2635" spans="7:8" x14ac:dyDescent="0.35">
      <c r="G2635" t="s">
        <v>2651</v>
      </c>
      <c r="H2635" s="23">
        <v>113900</v>
      </c>
    </row>
    <row r="2636" spans="7:8" x14ac:dyDescent="0.35">
      <c r="G2636" t="s">
        <v>2652</v>
      </c>
      <c r="H2636" s="23">
        <v>38800</v>
      </c>
    </row>
    <row r="2637" spans="7:8" x14ac:dyDescent="0.35">
      <c r="G2637" t="s">
        <v>2653</v>
      </c>
      <c r="H2637" s="23">
        <v>104500</v>
      </c>
    </row>
    <row r="2638" spans="7:8" x14ac:dyDescent="0.35">
      <c r="G2638" t="s">
        <v>2654</v>
      </c>
      <c r="H2638" s="23">
        <v>90400</v>
      </c>
    </row>
    <row r="2639" spans="7:8" x14ac:dyDescent="0.35">
      <c r="G2639" t="s">
        <v>2655</v>
      </c>
      <c r="H2639" s="23">
        <v>112100</v>
      </c>
    </row>
    <row r="2640" spans="7:8" x14ac:dyDescent="0.35">
      <c r="G2640" t="s">
        <v>2656</v>
      </c>
      <c r="H2640" s="23">
        <v>111400</v>
      </c>
    </row>
    <row r="2641" spans="7:8" x14ac:dyDescent="0.35">
      <c r="G2641" t="s">
        <v>2657</v>
      </c>
      <c r="H2641" s="23">
        <v>83600</v>
      </c>
    </row>
    <row r="2642" spans="7:8" x14ac:dyDescent="0.35">
      <c r="G2642" t="s">
        <v>2658</v>
      </c>
      <c r="H2642" s="23">
        <v>93400</v>
      </c>
    </row>
    <row r="2643" spans="7:8" x14ac:dyDescent="0.35">
      <c r="G2643" t="s">
        <v>2659</v>
      </c>
      <c r="H2643" s="23">
        <v>114400</v>
      </c>
    </row>
    <row r="2644" spans="7:8" x14ac:dyDescent="0.35">
      <c r="G2644" t="s">
        <v>2660</v>
      </c>
      <c r="H2644" s="23">
        <v>103300</v>
      </c>
    </row>
    <row r="2645" spans="7:8" x14ac:dyDescent="0.35">
      <c r="G2645" t="s">
        <v>2661</v>
      </c>
      <c r="H2645" s="23">
        <v>105300</v>
      </c>
    </row>
    <row r="2646" spans="7:8" x14ac:dyDescent="0.35">
      <c r="G2646" t="s">
        <v>2662</v>
      </c>
      <c r="H2646" s="23">
        <v>76800</v>
      </c>
    </row>
    <row r="2647" spans="7:8" x14ac:dyDescent="0.35">
      <c r="G2647" t="s">
        <v>2663</v>
      </c>
      <c r="H2647" s="23">
        <v>92800</v>
      </c>
    </row>
    <row r="2648" spans="7:8" x14ac:dyDescent="0.35">
      <c r="G2648" t="s">
        <v>2664</v>
      </c>
      <c r="H2648" s="23">
        <v>86500</v>
      </c>
    </row>
    <row r="2649" spans="7:8" x14ac:dyDescent="0.35">
      <c r="G2649" t="s">
        <v>2665</v>
      </c>
      <c r="H2649" s="23">
        <v>66400</v>
      </c>
    </row>
    <row r="2650" spans="7:8" x14ac:dyDescent="0.35">
      <c r="G2650" t="s">
        <v>2666</v>
      </c>
      <c r="H2650" s="23">
        <v>67400</v>
      </c>
    </row>
    <row r="2651" spans="7:8" x14ac:dyDescent="0.35">
      <c r="G2651" t="s">
        <v>2667</v>
      </c>
      <c r="H2651" s="23">
        <v>131800</v>
      </c>
    </row>
    <row r="2652" spans="7:8" x14ac:dyDescent="0.35">
      <c r="G2652" t="s">
        <v>2668</v>
      </c>
      <c r="H2652" s="23">
        <v>51300</v>
      </c>
    </row>
    <row r="2653" spans="7:8" x14ac:dyDescent="0.35">
      <c r="G2653" t="s">
        <v>2669</v>
      </c>
      <c r="H2653" s="23">
        <v>122500</v>
      </c>
    </row>
    <row r="2654" spans="7:8" x14ac:dyDescent="0.35">
      <c r="G2654" t="s">
        <v>2670</v>
      </c>
      <c r="H2654" s="23">
        <v>104800</v>
      </c>
    </row>
    <row r="2655" spans="7:8" x14ac:dyDescent="0.35">
      <c r="G2655" t="s">
        <v>2671</v>
      </c>
      <c r="H2655" s="23">
        <v>82300</v>
      </c>
    </row>
    <row r="2656" spans="7:8" x14ac:dyDescent="0.35">
      <c r="G2656" t="s">
        <v>2672</v>
      </c>
      <c r="H2656" s="23">
        <v>104800</v>
      </c>
    </row>
    <row r="2657" spans="7:8" x14ac:dyDescent="0.35">
      <c r="G2657" t="s">
        <v>2673</v>
      </c>
      <c r="H2657" s="23">
        <v>100800</v>
      </c>
    </row>
    <row r="2658" spans="7:8" x14ac:dyDescent="0.35">
      <c r="G2658" t="s">
        <v>2674</v>
      </c>
      <c r="H2658" s="23">
        <v>102700</v>
      </c>
    </row>
    <row r="2659" spans="7:8" x14ac:dyDescent="0.35">
      <c r="G2659" t="s">
        <v>2675</v>
      </c>
      <c r="H2659" s="23">
        <v>94800</v>
      </c>
    </row>
    <row r="2660" spans="7:8" x14ac:dyDescent="0.35">
      <c r="G2660" t="s">
        <v>2676</v>
      </c>
      <c r="H2660" s="23">
        <v>55000</v>
      </c>
    </row>
    <row r="2661" spans="7:8" x14ac:dyDescent="0.35">
      <c r="G2661" t="s">
        <v>2677</v>
      </c>
      <c r="H2661" s="23">
        <v>61600</v>
      </c>
    </row>
    <row r="2662" spans="7:8" x14ac:dyDescent="0.35">
      <c r="G2662" t="s">
        <v>2678</v>
      </c>
      <c r="H2662" s="23">
        <v>114500</v>
      </c>
    </row>
    <row r="2663" spans="7:8" x14ac:dyDescent="0.35">
      <c r="G2663" t="s">
        <v>2679</v>
      </c>
      <c r="H2663" s="23">
        <v>81000</v>
      </c>
    </row>
    <row r="2664" spans="7:8" x14ac:dyDescent="0.35">
      <c r="G2664" t="s">
        <v>2680</v>
      </c>
      <c r="H2664" s="23">
        <v>64600</v>
      </c>
    </row>
    <row r="2665" spans="7:8" x14ac:dyDescent="0.35">
      <c r="G2665" t="s">
        <v>2681</v>
      </c>
      <c r="H2665" s="23">
        <v>90600</v>
      </c>
    </row>
    <row r="2666" spans="7:8" x14ac:dyDescent="0.35">
      <c r="G2666" t="s">
        <v>2682</v>
      </c>
      <c r="H2666" s="23">
        <v>84800</v>
      </c>
    </row>
    <row r="2667" spans="7:8" x14ac:dyDescent="0.35">
      <c r="G2667" t="s">
        <v>2683</v>
      </c>
      <c r="H2667" s="23">
        <v>104300</v>
      </c>
    </row>
    <row r="2668" spans="7:8" x14ac:dyDescent="0.35">
      <c r="G2668" t="s">
        <v>2684</v>
      </c>
      <c r="H2668" s="23">
        <v>65700</v>
      </c>
    </row>
    <row r="2669" spans="7:8" x14ac:dyDescent="0.35">
      <c r="G2669" t="s">
        <v>2685</v>
      </c>
      <c r="H2669" s="23">
        <v>83900</v>
      </c>
    </row>
    <row r="2670" spans="7:8" x14ac:dyDescent="0.35">
      <c r="G2670" t="s">
        <v>2686</v>
      </c>
      <c r="H2670" s="23">
        <v>71900</v>
      </c>
    </row>
    <row r="2671" spans="7:8" x14ac:dyDescent="0.35">
      <c r="G2671" t="s">
        <v>2687</v>
      </c>
      <c r="H2671" s="23">
        <v>80500</v>
      </c>
    </row>
    <row r="2672" spans="7:8" x14ac:dyDescent="0.35">
      <c r="G2672" t="s">
        <v>2688</v>
      </c>
      <c r="H2672" s="23">
        <v>39000</v>
      </c>
    </row>
    <row r="2673" spans="7:8" x14ac:dyDescent="0.35">
      <c r="G2673" t="s">
        <v>2689</v>
      </c>
      <c r="H2673" s="23">
        <v>81800</v>
      </c>
    </row>
    <row r="2674" spans="7:8" x14ac:dyDescent="0.35">
      <c r="G2674" t="s">
        <v>2690</v>
      </c>
      <c r="H2674" s="23">
        <v>70100</v>
      </c>
    </row>
    <row r="2675" spans="7:8" x14ac:dyDescent="0.35">
      <c r="G2675" t="s">
        <v>2691</v>
      </c>
      <c r="H2675" s="23">
        <v>81500</v>
      </c>
    </row>
    <row r="2676" spans="7:8" x14ac:dyDescent="0.35">
      <c r="G2676" t="s">
        <v>2692</v>
      </c>
      <c r="H2676" s="23">
        <v>118600</v>
      </c>
    </row>
    <row r="2677" spans="7:8" x14ac:dyDescent="0.35">
      <c r="G2677" t="s">
        <v>2693</v>
      </c>
      <c r="H2677" s="23">
        <v>105700</v>
      </c>
    </row>
    <row r="2678" spans="7:8" x14ac:dyDescent="0.35">
      <c r="G2678" t="s">
        <v>2694</v>
      </c>
      <c r="H2678" s="23">
        <v>79800</v>
      </c>
    </row>
    <row r="2679" spans="7:8" x14ac:dyDescent="0.35">
      <c r="G2679" t="s">
        <v>2695</v>
      </c>
      <c r="H2679" s="23">
        <v>73200</v>
      </c>
    </row>
    <row r="2680" spans="7:8" x14ac:dyDescent="0.35">
      <c r="G2680" t="s">
        <v>2696</v>
      </c>
      <c r="H2680" s="23">
        <v>80500</v>
      </c>
    </row>
    <row r="2681" spans="7:8" x14ac:dyDescent="0.35">
      <c r="G2681" t="s">
        <v>2697</v>
      </c>
      <c r="H2681" s="23">
        <v>84000</v>
      </c>
    </row>
    <row r="2682" spans="7:8" x14ac:dyDescent="0.35">
      <c r="G2682" t="s">
        <v>2698</v>
      </c>
      <c r="H2682" s="23">
        <v>76200</v>
      </c>
    </row>
    <row r="2683" spans="7:8" x14ac:dyDescent="0.35">
      <c r="G2683" t="s">
        <v>2699</v>
      </c>
      <c r="H2683" s="23">
        <v>95600</v>
      </c>
    </row>
    <row r="2684" spans="7:8" x14ac:dyDescent="0.35">
      <c r="G2684" t="s">
        <v>2700</v>
      </c>
      <c r="H2684" s="23">
        <v>46600</v>
      </c>
    </row>
    <row r="2685" spans="7:8" x14ac:dyDescent="0.35">
      <c r="G2685" t="s">
        <v>2701</v>
      </c>
      <c r="H2685" s="23">
        <v>68000</v>
      </c>
    </row>
    <row r="2686" spans="7:8" x14ac:dyDescent="0.35">
      <c r="G2686" t="s">
        <v>2702</v>
      </c>
      <c r="H2686" s="23">
        <v>96300</v>
      </c>
    </row>
    <row r="2687" spans="7:8" x14ac:dyDescent="0.35">
      <c r="G2687" t="s">
        <v>2703</v>
      </c>
      <c r="H2687" s="23">
        <v>66000</v>
      </c>
    </row>
    <row r="2688" spans="7:8" x14ac:dyDescent="0.35">
      <c r="G2688" t="s">
        <v>2704</v>
      </c>
      <c r="H2688" s="23">
        <v>68100</v>
      </c>
    </row>
    <row r="2689" spans="7:8" x14ac:dyDescent="0.35">
      <c r="G2689" t="s">
        <v>2705</v>
      </c>
      <c r="H2689" s="23">
        <v>92900</v>
      </c>
    </row>
    <row r="2690" spans="7:8" x14ac:dyDescent="0.35">
      <c r="G2690" t="s">
        <v>2706</v>
      </c>
      <c r="H2690" s="23">
        <v>104700</v>
      </c>
    </row>
    <row r="2691" spans="7:8" x14ac:dyDescent="0.35">
      <c r="G2691" t="s">
        <v>2707</v>
      </c>
      <c r="H2691" s="23">
        <v>68500</v>
      </c>
    </row>
    <row r="2692" spans="7:8" x14ac:dyDescent="0.35">
      <c r="G2692" t="s">
        <v>2708</v>
      </c>
      <c r="H2692" s="23">
        <v>112700</v>
      </c>
    </row>
    <row r="2693" spans="7:8" x14ac:dyDescent="0.35">
      <c r="G2693" t="s">
        <v>2709</v>
      </c>
      <c r="H2693" s="23">
        <v>79500</v>
      </c>
    </row>
    <row r="2694" spans="7:8" x14ac:dyDescent="0.35">
      <c r="G2694" t="s">
        <v>2710</v>
      </c>
      <c r="H2694" s="23">
        <v>81900</v>
      </c>
    </row>
    <row r="2695" spans="7:8" x14ac:dyDescent="0.35">
      <c r="G2695" t="s">
        <v>2711</v>
      </c>
      <c r="H2695" s="23">
        <v>71000</v>
      </c>
    </row>
    <row r="2696" spans="7:8" x14ac:dyDescent="0.35">
      <c r="G2696" t="s">
        <v>2712</v>
      </c>
      <c r="H2696" s="23">
        <v>74600</v>
      </c>
    </row>
    <row r="2697" spans="7:8" x14ac:dyDescent="0.35">
      <c r="G2697" t="s">
        <v>2713</v>
      </c>
      <c r="H2697" s="23">
        <v>60800</v>
      </c>
    </row>
    <row r="2698" spans="7:8" x14ac:dyDescent="0.35">
      <c r="G2698" t="s">
        <v>2714</v>
      </c>
      <c r="H2698" s="23">
        <v>86300</v>
      </c>
    </row>
    <row r="2699" spans="7:8" x14ac:dyDescent="0.35">
      <c r="G2699" t="s">
        <v>2715</v>
      </c>
      <c r="H2699" s="23">
        <v>94100</v>
      </c>
    </row>
    <row r="2700" spans="7:8" x14ac:dyDescent="0.35">
      <c r="G2700" t="s">
        <v>2716</v>
      </c>
      <c r="H2700" s="23">
        <v>83600</v>
      </c>
    </row>
    <row r="2701" spans="7:8" x14ac:dyDescent="0.35">
      <c r="G2701" t="s">
        <v>2717</v>
      </c>
      <c r="H2701" s="23">
        <v>72800</v>
      </c>
    </row>
    <row r="2702" spans="7:8" x14ac:dyDescent="0.35">
      <c r="G2702" t="s">
        <v>2718</v>
      </c>
      <c r="H2702" s="23">
        <v>66400</v>
      </c>
    </row>
    <row r="2703" spans="7:8" x14ac:dyDescent="0.35">
      <c r="G2703" t="s">
        <v>2719</v>
      </c>
      <c r="H2703" s="23">
        <v>80600</v>
      </c>
    </row>
    <row r="2704" spans="7:8" x14ac:dyDescent="0.35">
      <c r="G2704" t="s">
        <v>2720</v>
      </c>
      <c r="H2704" s="23">
        <v>112700</v>
      </c>
    </row>
    <row r="2705" spans="7:8" x14ac:dyDescent="0.35">
      <c r="G2705" t="s">
        <v>2721</v>
      </c>
      <c r="H2705" s="23">
        <v>103200</v>
      </c>
    </row>
    <row r="2706" spans="7:8" x14ac:dyDescent="0.35">
      <c r="G2706" t="s">
        <v>2722</v>
      </c>
      <c r="H2706" s="23">
        <v>87100</v>
      </c>
    </row>
    <row r="2707" spans="7:8" x14ac:dyDescent="0.35">
      <c r="G2707" t="s">
        <v>2723</v>
      </c>
      <c r="H2707" s="23">
        <v>65300</v>
      </c>
    </row>
    <row r="2708" spans="7:8" x14ac:dyDescent="0.35">
      <c r="G2708" t="s">
        <v>2724</v>
      </c>
      <c r="H2708" s="23">
        <v>52300</v>
      </c>
    </row>
    <row r="2709" spans="7:8" x14ac:dyDescent="0.35">
      <c r="G2709" t="s">
        <v>2725</v>
      </c>
      <c r="H2709" s="23">
        <v>95200</v>
      </c>
    </row>
    <row r="2710" spans="7:8" x14ac:dyDescent="0.35">
      <c r="G2710" t="s">
        <v>2726</v>
      </c>
      <c r="H2710" s="23">
        <v>120100</v>
      </c>
    </row>
    <row r="2711" spans="7:8" x14ac:dyDescent="0.35">
      <c r="G2711" t="s">
        <v>2727</v>
      </c>
      <c r="H2711" s="23">
        <v>97900</v>
      </c>
    </row>
    <row r="2712" spans="7:8" x14ac:dyDescent="0.35">
      <c r="G2712" t="s">
        <v>2728</v>
      </c>
      <c r="H2712" s="23">
        <v>67900</v>
      </c>
    </row>
    <row r="2713" spans="7:8" x14ac:dyDescent="0.35">
      <c r="G2713" t="s">
        <v>2729</v>
      </c>
      <c r="H2713" s="23">
        <v>68800</v>
      </c>
    </row>
    <row r="2714" spans="7:8" x14ac:dyDescent="0.35">
      <c r="G2714" t="s">
        <v>2730</v>
      </c>
      <c r="H2714" s="23">
        <v>93500</v>
      </c>
    </row>
    <row r="2715" spans="7:8" x14ac:dyDescent="0.35">
      <c r="G2715" t="s">
        <v>2731</v>
      </c>
      <c r="H2715" s="23">
        <v>78300</v>
      </c>
    </row>
    <row r="2716" spans="7:8" x14ac:dyDescent="0.35">
      <c r="G2716" t="s">
        <v>2732</v>
      </c>
      <c r="H2716" s="23">
        <v>69200</v>
      </c>
    </row>
    <row r="2717" spans="7:8" x14ac:dyDescent="0.35">
      <c r="G2717" t="s">
        <v>2733</v>
      </c>
      <c r="H2717" s="23">
        <v>90200</v>
      </c>
    </row>
    <row r="2718" spans="7:8" x14ac:dyDescent="0.35">
      <c r="G2718" t="s">
        <v>2734</v>
      </c>
      <c r="H2718" s="23">
        <v>84800</v>
      </c>
    </row>
    <row r="2719" spans="7:8" x14ac:dyDescent="0.35">
      <c r="G2719" t="s">
        <v>2735</v>
      </c>
      <c r="H2719" s="23">
        <v>57700</v>
      </c>
    </row>
    <row r="2720" spans="7:8" x14ac:dyDescent="0.35">
      <c r="G2720" t="s">
        <v>2736</v>
      </c>
      <c r="H2720" s="23">
        <v>39500</v>
      </c>
    </row>
    <row r="2721" spans="7:8" x14ac:dyDescent="0.35">
      <c r="G2721" t="s">
        <v>2737</v>
      </c>
      <c r="H2721" s="23">
        <v>81500</v>
      </c>
    </row>
    <row r="2722" spans="7:8" x14ac:dyDescent="0.35">
      <c r="G2722" t="s">
        <v>2738</v>
      </c>
      <c r="H2722" s="23">
        <v>94900</v>
      </c>
    </row>
    <row r="2723" spans="7:8" x14ac:dyDescent="0.35">
      <c r="G2723" t="s">
        <v>2739</v>
      </c>
      <c r="H2723" s="23">
        <v>79600</v>
      </c>
    </row>
    <row r="2724" spans="7:8" x14ac:dyDescent="0.35">
      <c r="G2724" t="s">
        <v>2740</v>
      </c>
      <c r="H2724" s="23">
        <v>65700</v>
      </c>
    </row>
    <row r="2725" spans="7:8" x14ac:dyDescent="0.35">
      <c r="G2725" t="s">
        <v>2741</v>
      </c>
      <c r="H2725" s="23">
        <v>100800</v>
      </c>
    </row>
    <row r="2726" spans="7:8" x14ac:dyDescent="0.35">
      <c r="G2726" t="s">
        <v>2742</v>
      </c>
      <c r="H2726" s="23">
        <v>105200</v>
      </c>
    </row>
    <row r="2727" spans="7:8" x14ac:dyDescent="0.35">
      <c r="G2727" t="s">
        <v>2743</v>
      </c>
      <c r="H2727" s="23">
        <v>63000</v>
      </c>
    </row>
    <row r="2728" spans="7:8" x14ac:dyDescent="0.35">
      <c r="G2728" t="s">
        <v>2744</v>
      </c>
      <c r="H2728" s="23">
        <v>69300</v>
      </c>
    </row>
    <row r="2729" spans="7:8" x14ac:dyDescent="0.35">
      <c r="G2729" t="s">
        <v>2745</v>
      </c>
      <c r="H2729" s="23">
        <v>119100</v>
      </c>
    </row>
    <row r="2730" spans="7:8" x14ac:dyDescent="0.35">
      <c r="G2730" t="s">
        <v>2746</v>
      </c>
      <c r="H2730" s="23">
        <v>74500</v>
      </c>
    </row>
    <row r="2731" spans="7:8" x14ac:dyDescent="0.35">
      <c r="G2731" t="s">
        <v>2747</v>
      </c>
      <c r="H2731" s="23">
        <v>95200</v>
      </c>
    </row>
    <row r="2732" spans="7:8" x14ac:dyDescent="0.35">
      <c r="G2732" t="s">
        <v>2748</v>
      </c>
      <c r="H2732" s="23">
        <v>72800</v>
      </c>
    </row>
    <row r="2733" spans="7:8" x14ac:dyDescent="0.35">
      <c r="G2733" t="s">
        <v>2749</v>
      </c>
      <c r="H2733" s="23">
        <v>47100</v>
      </c>
    </row>
    <row r="2734" spans="7:8" x14ac:dyDescent="0.35">
      <c r="G2734" t="s">
        <v>2750</v>
      </c>
      <c r="H2734" s="23">
        <v>60700</v>
      </c>
    </row>
    <row r="2735" spans="7:8" x14ac:dyDescent="0.35">
      <c r="G2735" t="s">
        <v>2751</v>
      </c>
      <c r="H2735" s="23">
        <v>73600</v>
      </c>
    </row>
    <row r="2736" spans="7:8" x14ac:dyDescent="0.35">
      <c r="G2736" t="s">
        <v>2752</v>
      </c>
      <c r="H2736" s="23">
        <v>81900</v>
      </c>
    </row>
    <row r="2737" spans="7:8" x14ac:dyDescent="0.35">
      <c r="G2737" t="s">
        <v>2753</v>
      </c>
      <c r="H2737" s="23">
        <v>71500</v>
      </c>
    </row>
    <row r="2738" spans="7:8" x14ac:dyDescent="0.35">
      <c r="G2738" t="s">
        <v>2754</v>
      </c>
      <c r="H2738" s="23">
        <v>68100</v>
      </c>
    </row>
    <row r="2739" spans="7:8" x14ac:dyDescent="0.35">
      <c r="G2739" t="s">
        <v>2755</v>
      </c>
      <c r="H2739" s="23">
        <v>92600</v>
      </c>
    </row>
    <row r="2740" spans="7:8" x14ac:dyDescent="0.35">
      <c r="G2740" t="s">
        <v>2756</v>
      </c>
      <c r="H2740" s="23">
        <v>128900</v>
      </c>
    </row>
    <row r="2741" spans="7:8" x14ac:dyDescent="0.35">
      <c r="G2741" t="s">
        <v>2757</v>
      </c>
      <c r="H2741" s="23">
        <v>71300</v>
      </c>
    </row>
    <row r="2742" spans="7:8" x14ac:dyDescent="0.35">
      <c r="G2742" t="s">
        <v>2758</v>
      </c>
      <c r="H2742" s="23">
        <v>87700</v>
      </c>
    </row>
    <row r="2743" spans="7:8" x14ac:dyDescent="0.35">
      <c r="G2743" t="s">
        <v>2759</v>
      </c>
      <c r="H2743" s="23">
        <v>72500</v>
      </c>
    </row>
    <row r="2744" spans="7:8" x14ac:dyDescent="0.35">
      <c r="G2744" t="s">
        <v>2760</v>
      </c>
      <c r="H2744" s="23">
        <v>100900</v>
      </c>
    </row>
    <row r="2745" spans="7:8" x14ac:dyDescent="0.35">
      <c r="G2745" t="s">
        <v>2761</v>
      </c>
      <c r="H2745" s="23">
        <v>105300</v>
      </c>
    </row>
    <row r="2746" spans="7:8" x14ac:dyDescent="0.35">
      <c r="G2746" t="s">
        <v>2762</v>
      </c>
      <c r="H2746" s="23">
        <v>100200</v>
      </c>
    </row>
    <row r="2747" spans="7:8" x14ac:dyDescent="0.35">
      <c r="G2747" t="s">
        <v>2763</v>
      </c>
      <c r="H2747" s="23">
        <v>79800</v>
      </c>
    </row>
    <row r="2748" spans="7:8" x14ac:dyDescent="0.35">
      <c r="G2748" t="s">
        <v>2764</v>
      </c>
      <c r="H2748" s="23">
        <v>90900</v>
      </c>
    </row>
    <row r="2749" spans="7:8" x14ac:dyDescent="0.35">
      <c r="G2749" t="s">
        <v>2765</v>
      </c>
      <c r="H2749" s="23">
        <v>105400</v>
      </c>
    </row>
    <row r="2750" spans="7:8" x14ac:dyDescent="0.35">
      <c r="G2750" t="s">
        <v>2766</v>
      </c>
      <c r="H2750" s="23">
        <v>89900</v>
      </c>
    </row>
    <row r="2751" spans="7:8" x14ac:dyDescent="0.35">
      <c r="G2751" t="s">
        <v>2767</v>
      </c>
      <c r="H2751" s="23">
        <v>64000</v>
      </c>
    </row>
    <row r="2752" spans="7:8" x14ac:dyDescent="0.35">
      <c r="G2752" t="s">
        <v>2768</v>
      </c>
      <c r="H2752" s="23">
        <v>87300</v>
      </c>
    </row>
    <row r="2753" spans="7:8" x14ac:dyDescent="0.35">
      <c r="G2753" t="s">
        <v>2769</v>
      </c>
      <c r="H2753" s="23">
        <v>93800</v>
      </c>
    </row>
    <row r="2754" spans="7:8" x14ac:dyDescent="0.35">
      <c r="G2754" t="s">
        <v>2770</v>
      </c>
      <c r="H2754" s="23">
        <v>81500</v>
      </c>
    </row>
    <row r="2755" spans="7:8" x14ac:dyDescent="0.35">
      <c r="G2755" t="s">
        <v>2771</v>
      </c>
      <c r="H2755" s="23">
        <v>109700</v>
      </c>
    </row>
    <row r="2756" spans="7:8" x14ac:dyDescent="0.35">
      <c r="G2756" t="s">
        <v>2772</v>
      </c>
      <c r="H2756" s="23">
        <v>63400</v>
      </c>
    </row>
    <row r="2757" spans="7:8" x14ac:dyDescent="0.35">
      <c r="G2757" t="s">
        <v>2773</v>
      </c>
      <c r="H2757" s="23">
        <v>65200</v>
      </c>
    </row>
    <row r="2758" spans="7:8" x14ac:dyDescent="0.35">
      <c r="G2758" t="s">
        <v>2774</v>
      </c>
      <c r="H2758" s="23">
        <v>72500</v>
      </c>
    </row>
    <row r="2759" spans="7:8" x14ac:dyDescent="0.35">
      <c r="G2759" t="s">
        <v>2775</v>
      </c>
      <c r="H2759" s="23">
        <v>77800</v>
      </c>
    </row>
    <row r="2760" spans="7:8" x14ac:dyDescent="0.35">
      <c r="G2760" t="s">
        <v>2776</v>
      </c>
      <c r="H2760" s="23">
        <v>91400</v>
      </c>
    </row>
    <row r="2761" spans="7:8" x14ac:dyDescent="0.35">
      <c r="G2761" t="s">
        <v>2777</v>
      </c>
      <c r="H2761" s="23">
        <v>40800</v>
      </c>
    </row>
    <row r="2762" spans="7:8" x14ac:dyDescent="0.35">
      <c r="G2762" t="s">
        <v>2778</v>
      </c>
      <c r="H2762" s="23">
        <v>80300</v>
      </c>
    </row>
    <row r="2763" spans="7:8" x14ac:dyDescent="0.35">
      <c r="G2763" t="s">
        <v>2779</v>
      </c>
      <c r="H2763" s="23">
        <v>91500</v>
      </c>
    </row>
    <row r="2764" spans="7:8" x14ac:dyDescent="0.35">
      <c r="G2764" t="s">
        <v>2780</v>
      </c>
      <c r="H2764" s="23">
        <v>73200</v>
      </c>
    </row>
    <row r="2765" spans="7:8" x14ac:dyDescent="0.35">
      <c r="G2765" t="s">
        <v>2781</v>
      </c>
      <c r="H2765" s="23">
        <v>86400</v>
      </c>
    </row>
    <row r="2766" spans="7:8" x14ac:dyDescent="0.35">
      <c r="G2766" t="s">
        <v>2782</v>
      </c>
      <c r="H2766" s="23">
        <v>88000</v>
      </c>
    </row>
    <row r="2767" spans="7:8" x14ac:dyDescent="0.35">
      <c r="G2767" t="s">
        <v>2783</v>
      </c>
      <c r="H2767" s="23">
        <v>66700</v>
      </c>
    </row>
    <row r="2768" spans="7:8" x14ac:dyDescent="0.35">
      <c r="G2768" t="s">
        <v>2784</v>
      </c>
      <c r="H2768" s="23">
        <v>50500</v>
      </c>
    </row>
    <row r="2769" spans="7:8" x14ac:dyDescent="0.35">
      <c r="G2769" t="s">
        <v>2785</v>
      </c>
      <c r="H2769" s="23">
        <v>82100</v>
      </c>
    </row>
    <row r="2770" spans="7:8" x14ac:dyDescent="0.35">
      <c r="G2770" t="s">
        <v>2786</v>
      </c>
      <c r="H2770" s="23">
        <v>111700</v>
      </c>
    </row>
    <row r="2771" spans="7:8" x14ac:dyDescent="0.35">
      <c r="G2771" t="s">
        <v>2787</v>
      </c>
      <c r="H2771" s="23">
        <v>80400</v>
      </c>
    </row>
    <row r="2772" spans="7:8" x14ac:dyDescent="0.35">
      <c r="G2772" t="s">
        <v>2788</v>
      </c>
      <c r="H2772" s="23">
        <v>112100</v>
      </c>
    </row>
    <row r="2773" spans="7:8" x14ac:dyDescent="0.35">
      <c r="G2773" t="s">
        <v>2789</v>
      </c>
      <c r="H2773" s="23">
        <v>80300</v>
      </c>
    </row>
    <row r="2774" spans="7:8" x14ac:dyDescent="0.35">
      <c r="G2774" t="s">
        <v>2790</v>
      </c>
      <c r="H2774" s="23">
        <v>72100</v>
      </c>
    </row>
    <row r="2775" spans="7:8" x14ac:dyDescent="0.35">
      <c r="G2775" t="s">
        <v>2791</v>
      </c>
      <c r="H2775" s="23">
        <v>99600</v>
      </c>
    </row>
    <row r="2776" spans="7:8" x14ac:dyDescent="0.35">
      <c r="G2776" t="s">
        <v>2792</v>
      </c>
      <c r="H2776" s="23">
        <v>48900</v>
      </c>
    </row>
    <row r="2777" spans="7:8" x14ac:dyDescent="0.35">
      <c r="G2777" t="s">
        <v>2793</v>
      </c>
      <c r="H2777" s="23">
        <v>84400</v>
      </c>
    </row>
    <row r="2778" spans="7:8" x14ac:dyDescent="0.35">
      <c r="G2778" t="s">
        <v>2794</v>
      </c>
      <c r="H2778" s="23">
        <v>87900</v>
      </c>
    </row>
    <row r="2779" spans="7:8" x14ac:dyDescent="0.35">
      <c r="G2779" t="s">
        <v>2795</v>
      </c>
      <c r="H2779" s="23">
        <v>80600</v>
      </c>
    </row>
    <row r="2780" spans="7:8" x14ac:dyDescent="0.35">
      <c r="G2780" t="s">
        <v>2796</v>
      </c>
      <c r="H2780" s="23">
        <v>101000</v>
      </c>
    </row>
    <row r="2781" spans="7:8" x14ac:dyDescent="0.35">
      <c r="G2781" t="s">
        <v>2797</v>
      </c>
      <c r="H2781" s="23">
        <v>90500</v>
      </c>
    </row>
    <row r="2782" spans="7:8" x14ac:dyDescent="0.35">
      <c r="G2782" t="s">
        <v>2798</v>
      </c>
      <c r="H2782" s="23">
        <v>80500</v>
      </c>
    </row>
    <row r="2783" spans="7:8" x14ac:dyDescent="0.35">
      <c r="G2783" t="s">
        <v>2799</v>
      </c>
      <c r="H2783" s="23">
        <v>72300</v>
      </c>
    </row>
    <row r="2784" spans="7:8" x14ac:dyDescent="0.35">
      <c r="G2784" t="s">
        <v>2800</v>
      </c>
      <c r="H2784" s="23">
        <v>102100</v>
      </c>
    </row>
    <row r="2785" spans="7:8" x14ac:dyDescent="0.35">
      <c r="G2785" t="s">
        <v>2801</v>
      </c>
      <c r="H2785" s="23">
        <v>92600</v>
      </c>
    </row>
    <row r="2786" spans="7:8" x14ac:dyDescent="0.35">
      <c r="G2786" t="s">
        <v>2802</v>
      </c>
      <c r="H2786" s="23">
        <v>93700</v>
      </c>
    </row>
    <row r="2787" spans="7:8" x14ac:dyDescent="0.35">
      <c r="G2787" t="s">
        <v>2803</v>
      </c>
      <c r="H2787" s="23">
        <v>95100</v>
      </c>
    </row>
    <row r="2788" spans="7:8" x14ac:dyDescent="0.35">
      <c r="G2788" t="s">
        <v>2804</v>
      </c>
      <c r="H2788" s="23">
        <v>60200</v>
      </c>
    </row>
    <row r="2789" spans="7:8" x14ac:dyDescent="0.35">
      <c r="G2789" t="s">
        <v>2805</v>
      </c>
      <c r="H2789" s="23">
        <v>127800</v>
      </c>
    </row>
    <row r="2790" spans="7:8" x14ac:dyDescent="0.35">
      <c r="G2790" t="s">
        <v>2806</v>
      </c>
      <c r="H2790" s="23">
        <v>89400</v>
      </c>
    </row>
    <row r="2791" spans="7:8" x14ac:dyDescent="0.35">
      <c r="G2791" t="s">
        <v>2807</v>
      </c>
      <c r="H2791" s="23">
        <v>120200</v>
      </c>
    </row>
    <row r="2792" spans="7:8" x14ac:dyDescent="0.35">
      <c r="G2792" t="s">
        <v>2808</v>
      </c>
      <c r="H2792" s="23">
        <v>91200</v>
      </c>
    </row>
    <row r="2793" spans="7:8" x14ac:dyDescent="0.35">
      <c r="G2793" t="s">
        <v>2809</v>
      </c>
      <c r="H2793" s="23">
        <v>35700</v>
      </c>
    </row>
    <row r="2794" spans="7:8" x14ac:dyDescent="0.35">
      <c r="G2794" t="s">
        <v>2810</v>
      </c>
      <c r="H2794" s="23">
        <v>63900</v>
      </c>
    </row>
    <row r="2795" spans="7:8" x14ac:dyDescent="0.35">
      <c r="G2795" t="s">
        <v>2811</v>
      </c>
      <c r="H2795" s="23">
        <v>81600</v>
      </c>
    </row>
    <row r="2796" spans="7:8" x14ac:dyDescent="0.35">
      <c r="G2796" t="s">
        <v>2812</v>
      </c>
      <c r="H2796" s="23">
        <v>115500</v>
      </c>
    </row>
    <row r="2797" spans="7:8" x14ac:dyDescent="0.35">
      <c r="G2797" t="s">
        <v>2813</v>
      </c>
      <c r="H2797" s="23">
        <v>83600</v>
      </c>
    </row>
    <row r="2798" spans="7:8" x14ac:dyDescent="0.35">
      <c r="G2798" t="s">
        <v>2814</v>
      </c>
      <c r="H2798" s="23">
        <v>95900</v>
      </c>
    </row>
    <row r="2799" spans="7:8" x14ac:dyDescent="0.35">
      <c r="G2799" t="s">
        <v>2815</v>
      </c>
      <c r="H2799" s="23">
        <v>99800</v>
      </c>
    </row>
    <row r="2800" spans="7:8" x14ac:dyDescent="0.35">
      <c r="G2800" t="s">
        <v>2816</v>
      </c>
      <c r="H2800" s="23">
        <v>103400</v>
      </c>
    </row>
    <row r="2801" spans="7:8" x14ac:dyDescent="0.35">
      <c r="G2801" t="s">
        <v>2817</v>
      </c>
      <c r="H2801" s="23">
        <v>113100</v>
      </c>
    </row>
    <row r="2802" spans="7:8" x14ac:dyDescent="0.35">
      <c r="G2802" t="s">
        <v>2818</v>
      </c>
      <c r="H2802" s="23">
        <v>82200</v>
      </c>
    </row>
    <row r="2803" spans="7:8" x14ac:dyDescent="0.35">
      <c r="G2803" t="s">
        <v>2819</v>
      </c>
      <c r="H2803" s="23">
        <v>70600</v>
      </c>
    </row>
    <row r="2804" spans="7:8" x14ac:dyDescent="0.35">
      <c r="G2804" t="s">
        <v>2820</v>
      </c>
      <c r="H2804" s="23">
        <v>90100</v>
      </c>
    </row>
    <row r="2805" spans="7:8" x14ac:dyDescent="0.35">
      <c r="G2805" t="s">
        <v>2821</v>
      </c>
      <c r="H2805" s="23">
        <v>111200</v>
      </c>
    </row>
    <row r="2806" spans="7:8" x14ac:dyDescent="0.35">
      <c r="G2806" t="s">
        <v>2822</v>
      </c>
      <c r="H2806" s="23">
        <v>64000</v>
      </c>
    </row>
    <row r="2807" spans="7:8" x14ac:dyDescent="0.35">
      <c r="G2807" t="s">
        <v>2823</v>
      </c>
      <c r="H2807" s="23">
        <v>93400</v>
      </c>
    </row>
    <row r="2808" spans="7:8" x14ac:dyDescent="0.35">
      <c r="G2808" t="s">
        <v>2824</v>
      </c>
      <c r="H2808" s="23">
        <v>68900</v>
      </c>
    </row>
    <row r="2809" spans="7:8" x14ac:dyDescent="0.35">
      <c r="G2809" t="s">
        <v>2825</v>
      </c>
      <c r="H2809" s="23">
        <v>87400</v>
      </c>
    </row>
    <row r="2810" spans="7:8" x14ac:dyDescent="0.35">
      <c r="G2810" t="s">
        <v>2826</v>
      </c>
      <c r="H2810" s="23">
        <v>38900</v>
      </c>
    </row>
    <row r="2811" spans="7:8" x14ac:dyDescent="0.35">
      <c r="G2811" t="s">
        <v>2827</v>
      </c>
      <c r="H2811" s="23">
        <v>111400</v>
      </c>
    </row>
    <row r="2812" spans="7:8" x14ac:dyDescent="0.35">
      <c r="G2812" t="s">
        <v>2828</v>
      </c>
      <c r="H2812" s="23">
        <v>77300</v>
      </c>
    </row>
    <row r="2813" spans="7:8" x14ac:dyDescent="0.35">
      <c r="G2813" t="s">
        <v>2829</v>
      </c>
      <c r="H2813" s="23">
        <v>79900</v>
      </c>
    </row>
    <row r="2814" spans="7:8" x14ac:dyDescent="0.35">
      <c r="G2814" t="s">
        <v>2830</v>
      </c>
      <c r="H2814" s="23">
        <v>92100</v>
      </c>
    </row>
    <row r="2815" spans="7:8" x14ac:dyDescent="0.35">
      <c r="G2815" t="s">
        <v>2831</v>
      </c>
      <c r="H2815" s="23">
        <v>75200</v>
      </c>
    </row>
    <row r="2816" spans="7:8" x14ac:dyDescent="0.35">
      <c r="G2816" t="s">
        <v>2832</v>
      </c>
      <c r="H2816" s="23">
        <v>80500</v>
      </c>
    </row>
    <row r="2817" spans="7:8" x14ac:dyDescent="0.35">
      <c r="G2817" t="s">
        <v>2833</v>
      </c>
      <c r="H2817" s="23">
        <v>59100</v>
      </c>
    </row>
    <row r="2818" spans="7:8" x14ac:dyDescent="0.35">
      <c r="G2818" t="s">
        <v>2834</v>
      </c>
      <c r="H2818" s="23">
        <v>87600</v>
      </c>
    </row>
    <row r="2819" spans="7:8" x14ac:dyDescent="0.35">
      <c r="G2819" t="s">
        <v>2835</v>
      </c>
      <c r="H2819" s="23">
        <v>84700</v>
      </c>
    </row>
    <row r="2820" spans="7:8" x14ac:dyDescent="0.35">
      <c r="G2820" t="s">
        <v>2836</v>
      </c>
      <c r="H2820" s="23">
        <v>90400</v>
      </c>
    </row>
    <row r="2821" spans="7:8" x14ac:dyDescent="0.35">
      <c r="G2821" t="s">
        <v>2837</v>
      </c>
      <c r="H2821" s="23">
        <v>88300</v>
      </c>
    </row>
    <row r="2822" spans="7:8" x14ac:dyDescent="0.35">
      <c r="G2822" t="s">
        <v>2838</v>
      </c>
      <c r="H2822" s="23">
        <v>87100</v>
      </c>
    </row>
    <row r="2823" spans="7:8" x14ac:dyDescent="0.35">
      <c r="G2823" t="s">
        <v>2839</v>
      </c>
      <c r="H2823" s="23">
        <v>51700</v>
      </c>
    </row>
    <row r="2824" spans="7:8" x14ac:dyDescent="0.35">
      <c r="G2824" t="s">
        <v>2840</v>
      </c>
      <c r="H2824" s="23">
        <v>86700</v>
      </c>
    </row>
    <row r="2825" spans="7:8" x14ac:dyDescent="0.35">
      <c r="G2825" t="s">
        <v>2841</v>
      </c>
      <c r="H2825" s="23">
        <v>92900</v>
      </c>
    </row>
    <row r="2826" spans="7:8" x14ac:dyDescent="0.35">
      <c r="G2826" t="s">
        <v>2842</v>
      </c>
      <c r="H2826" s="23">
        <v>72000</v>
      </c>
    </row>
    <row r="2827" spans="7:8" x14ac:dyDescent="0.35">
      <c r="G2827" t="s">
        <v>2843</v>
      </c>
      <c r="H2827" s="23">
        <v>78800</v>
      </c>
    </row>
    <row r="2828" spans="7:8" x14ac:dyDescent="0.35">
      <c r="G2828" t="s">
        <v>2844</v>
      </c>
      <c r="H2828" s="23">
        <v>80600</v>
      </c>
    </row>
    <row r="2829" spans="7:8" x14ac:dyDescent="0.35">
      <c r="G2829" t="s">
        <v>2845</v>
      </c>
      <c r="H2829" s="23">
        <v>87800</v>
      </c>
    </row>
    <row r="2830" spans="7:8" x14ac:dyDescent="0.35">
      <c r="G2830" t="s">
        <v>2846</v>
      </c>
      <c r="H2830" s="23">
        <v>72000</v>
      </c>
    </row>
    <row r="2831" spans="7:8" x14ac:dyDescent="0.35">
      <c r="G2831" t="s">
        <v>2847</v>
      </c>
      <c r="H2831" s="23">
        <v>79700</v>
      </c>
    </row>
    <row r="2832" spans="7:8" x14ac:dyDescent="0.35">
      <c r="G2832" t="s">
        <v>2848</v>
      </c>
      <c r="H2832" s="23">
        <v>60300</v>
      </c>
    </row>
    <row r="2833" spans="7:8" x14ac:dyDescent="0.35">
      <c r="G2833" t="s">
        <v>2849</v>
      </c>
      <c r="H2833" s="23">
        <v>49000</v>
      </c>
    </row>
    <row r="2834" spans="7:8" x14ac:dyDescent="0.35">
      <c r="G2834" t="s">
        <v>2850</v>
      </c>
      <c r="H2834" s="23">
        <v>89700</v>
      </c>
    </row>
    <row r="2835" spans="7:8" x14ac:dyDescent="0.35">
      <c r="G2835" t="s">
        <v>2851</v>
      </c>
      <c r="H2835" s="23">
        <v>76400</v>
      </c>
    </row>
    <row r="2836" spans="7:8" x14ac:dyDescent="0.35">
      <c r="G2836" t="s">
        <v>2852</v>
      </c>
      <c r="H2836" s="23">
        <v>52900</v>
      </c>
    </row>
    <row r="2837" spans="7:8" x14ac:dyDescent="0.35">
      <c r="G2837" t="s">
        <v>2853</v>
      </c>
      <c r="H2837" s="23">
        <v>101800</v>
      </c>
    </row>
    <row r="2838" spans="7:8" x14ac:dyDescent="0.35">
      <c r="G2838" t="s">
        <v>2854</v>
      </c>
      <c r="H2838" s="23">
        <v>87800</v>
      </c>
    </row>
    <row r="2839" spans="7:8" x14ac:dyDescent="0.35">
      <c r="G2839" t="s">
        <v>2855</v>
      </c>
      <c r="H2839" s="23">
        <v>88900</v>
      </c>
    </row>
    <row r="2840" spans="7:8" x14ac:dyDescent="0.35">
      <c r="G2840" t="s">
        <v>2856</v>
      </c>
      <c r="H2840" s="23">
        <v>97900</v>
      </c>
    </row>
    <row r="2841" spans="7:8" x14ac:dyDescent="0.35">
      <c r="G2841" t="s">
        <v>2857</v>
      </c>
      <c r="H2841" s="23">
        <v>74200</v>
      </c>
    </row>
    <row r="2842" spans="7:8" x14ac:dyDescent="0.35">
      <c r="G2842" t="s">
        <v>2858</v>
      </c>
      <c r="H2842" s="23">
        <v>128300</v>
      </c>
    </row>
    <row r="2843" spans="7:8" x14ac:dyDescent="0.35">
      <c r="G2843" t="s">
        <v>2859</v>
      </c>
      <c r="H2843" s="23">
        <v>80300</v>
      </c>
    </row>
    <row r="2844" spans="7:8" x14ac:dyDescent="0.35">
      <c r="G2844" t="s">
        <v>2860</v>
      </c>
      <c r="H2844" s="23">
        <v>107200</v>
      </c>
    </row>
    <row r="2845" spans="7:8" x14ac:dyDescent="0.35">
      <c r="G2845" t="s">
        <v>2861</v>
      </c>
      <c r="H2845" s="23">
        <v>110600</v>
      </c>
    </row>
    <row r="2846" spans="7:8" x14ac:dyDescent="0.35">
      <c r="G2846" t="s">
        <v>2862</v>
      </c>
      <c r="H2846" s="23">
        <v>91300</v>
      </c>
    </row>
    <row r="2847" spans="7:8" x14ac:dyDescent="0.35">
      <c r="G2847" t="s">
        <v>2863</v>
      </c>
      <c r="H2847" s="23">
        <v>79300</v>
      </c>
    </row>
    <row r="2848" spans="7:8" x14ac:dyDescent="0.35">
      <c r="G2848" t="s">
        <v>2864</v>
      </c>
      <c r="H2848" s="23">
        <v>61800</v>
      </c>
    </row>
    <row r="2849" spans="7:8" x14ac:dyDescent="0.35">
      <c r="G2849" t="s">
        <v>2865</v>
      </c>
      <c r="H2849" s="23">
        <v>83900</v>
      </c>
    </row>
    <row r="2850" spans="7:8" x14ac:dyDescent="0.35">
      <c r="G2850" t="s">
        <v>2866</v>
      </c>
      <c r="H2850" s="23">
        <v>56700</v>
      </c>
    </row>
    <row r="2851" spans="7:8" x14ac:dyDescent="0.35">
      <c r="G2851" t="s">
        <v>2867</v>
      </c>
      <c r="H2851" s="23">
        <v>111600</v>
      </c>
    </row>
    <row r="2852" spans="7:8" x14ac:dyDescent="0.35">
      <c r="G2852" t="s">
        <v>2868</v>
      </c>
      <c r="H2852" s="23">
        <v>61300</v>
      </c>
    </row>
    <row r="2853" spans="7:8" x14ac:dyDescent="0.35">
      <c r="G2853" t="s">
        <v>2869</v>
      </c>
      <c r="H2853" s="23">
        <v>108300</v>
      </c>
    </row>
    <row r="2854" spans="7:8" x14ac:dyDescent="0.35">
      <c r="G2854" t="s">
        <v>2870</v>
      </c>
      <c r="H2854" s="23">
        <v>73200</v>
      </c>
    </row>
    <row r="2855" spans="7:8" x14ac:dyDescent="0.35">
      <c r="G2855" t="s">
        <v>2871</v>
      </c>
      <c r="H2855" s="23">
        <v>100300</v>
      </c>
    </row>
    <row r="2856" spans="7:8" x14ac:dyDescent="0.35">
      <c r="G2856" t="s">
        <v>2872</v>
      </c>
      <c r="H2856" s="23">
        <v>104700</v>
      </c>
    </row>
    <row r="2857" spans="7:8" x14ac:dyDescent="0.35">
      <c r="G2857" t="s">
        <v>2873</v>
      </c>
      <c r="H2857" s="23">
        <v>75700</v>
      </c>
    </row>
    <row r="2858" spans="7:8" x14ac:dyDescent="0.35">
      <c r="G2858" t="s">
        <v>2874</v>
      </c>
      <c r="H2858" s="23">
        <v>105600</v>
      </c>
    </row>
    <row r="2859" spans="7:8" x14ac:dyDescent="0.35">
      <c r="G2859" t="s">
        <v>2875</v>
      </c>
      <c r="H2859" s="23">
        <v>104300</v>
      </c>
    </row>
    <row r="2860" spans="7:8" x14ac:dyDescent="0.35">
      <c r="G2860" t="s">
        <v>2876</v>
      </c>
      <c r="H2860" s="23">
        <v>96100</v>
      </c>
    </row>
    <row r="2861" spans="7:8" x14ac:dyDescent="0.35">
      <c r="G2861" t="s">
        <v>2877</v>
      </c>
      <c r="H2861" s="23">
        <v>78000</v>
      </c>
    </row>
    <row r="2862" spans="7:8" x14ac:dyDescent="0.35">
      <c r="G2862" t="s">
        <v>2878</v>
      </c>
      <c r="H2862" s="23">
        <v>90500</v>
      </c>
    </row>
    <row r="2863" spans="7:8" x14ac:dyDescent="0.35">
      <c r="G2863" t="s">
        <v>2879</v>
      </c>
      <c r="H2863" s="23">
        <v>95600</v>
      </c>
    </row>
    <row r="2864" spans="7:8" x14ac:dyDescent="0.35">
      <c r="G2864" t="s">
        <v>2880</v>
      </c>
      <c r="H2864" s="23">
        <v>105100</v>
      </c>
    </row>
    <row r="2865" spans="7:8" x14ac:dyDescent="0.35">
      <c r="G2865" t="s">
        <v>2881</v>
      </c>
      <c r="H2865" s="23">
        <v>73300</v>
      </c>
    </row>
    <row r="2866" spans="7:8" x14ac:dyDescent="0.35">
      <c r="G2866" t="s">
        <v>2882</v>
      </c>
      <c r="H2866" s="23">
        <v>48700</v>
      </c>
    </row>
    <row r="2867" spans="7:8" x14ac:dyDescent="0.35">
      <c r="G2867" t="s">
        <v>2883</v>
      </c>
      <c r="H2867" s="23">
        <v>79400</v>
      </c>
    </row>
    <row r="2868" spans="7:8" x14ac:dyDescent="0.35">
      <c r="G2868" t="s">
        <v>2884</v>
      </c>
      <c r="H2868" s="23">
        <v>69300</v>
      </c>
    </row>
    <row r="2869" spans="7:8" x14ac:dyDescent="0.35">
      <c r="G2869" t="s">
        <v>2885</v>
      </c>
      <c r="H2869" s="23">
        <v>89200</v>
      </c>
    </row>
    <row r="2870" spans="7:8" x14ac:dyDescent="0.35">
      <c r="G2870" t="s">
        <v>2886</v>
      </c>
      <c r="H2870" s="23">
        <v>98400</v>
      </c>
    </row>
    <row r="2871" spans="7:8" x14ac:dyDescent="0.35">
      <c r="G2871" t="s">
        <v>2887</v>
      </c>
      <c r="H2871" s="23">
        <v>109100</v>
      </c>
    </row>
    <row r="2872" spans="7:8" x14ac:dyDescent="0.35">
      <c r="G2872" t="s">
        <v>2888</v>
      </c>
      <c r="H2872" s="23">
        <v>110100</v>
      </c>
    </row>
    <row r="2873" spans="7:8" x14ac:dyDescent="0.35">
      <c r="G2873" t="s">
        <v>2889</v>
      </c>
      <c r="H2873" s="23">
        <v>70700</v>
      </c>
    </row>
    <row r="2874" spans="7:8" x14ac:dyDescent="0.35">
      <c r="G2874" t="s">
        <v>2890</v>
      </c>
      <c r="H2874" s="23">
        <v>63700</v>
      </c>
    </row>
    <row r="2875" spans="7:8" x14ac:dyDescent="0.35">
      <c r="G2875" t="s">
        <v>2891</v>
      </c>
      <c r="H2875" s="23">
        <v>70400</v>
      </c>
    </row>
    <row r="2876" spans="7:8" x14ac:dyDescent="0.35">
      <c r="G2876" t="s">
        <v>2892</v>
      </c>
      <c r="H2876" s="23">
        <v>41900</v>
      </c>
    </row>
    <row r="2877" spans="7:8" x14ac:dyDescent="0.35">
      <c r="G2877" t="s">
        <v>2893</v>
      </c>
      <c r="H2877" s="23">
        <v>80200</v>
      </c>
    </row>
    <row r="2878" spans="7:8" x14ac:dyDescent="0.35">
      <c r="G2878" t="s">
        <v>2894</v>
      </c>
      <c r="H2878" s="23">
        <v>101900</v>
      </c>
    </row>
    <row r="2879" spans="7:8" x14ac:dyDescent="0.35">
      <c r="G2879" t="s">
        <v>2895</v>
      </c>
      <c r="H2879" s="23">
        <v>114200</v>
      </c>
    </row>
    <row r="2880" spans="7:8" x14ac:dyDescent="0.35">
      <c r="G2880" t="s">
        <v>2896</v>
      </c>
      <c r="H2880" s="23">
        <v>118700</v>
      </c>
    </row>
    <row r="2881" spans="7:8" x14ac:dyDescent="0.35">
      <c r="G2881" t="s">
        <v>2897</v>
      </c>
      <c r="H2881" s="23">
        <v>83300</v>
      </c>
    </row>
    <row r="2882" spans="7:8" x14ac:dyDescent="0.35">
      <c r="G2882" t="s">
        <v>2898</v>
      </c>
      <c r="H2882" s="23">
        <v>84100</v>
      </c>
    </row>
    <row r="2883" spans="7:8" x14ac:dyDescent="0.35">
      <c r="G2883" t="s">
        <v>2899</v>
      </c>
      <c r="H2883" s="23">
        <v>112800</v>
      </c>
    </row>
    <row r="2884" spans="7:8" x14ac:dyDescent="0.35">
      <c r="G2884" t="s">
        <v>2900</v>
      </c>
      <c r="H2884" s="23">
        <v>88100</v>
      </c>
    </row>
    <row r="2885" spans="7:8" x14ac:dyDescent="0.35">
      <c r="G2885" t="s">
        <v>2901</v>
      </c>
      <c r="H2885" s="23">
        <v>125600</v>
      </c>
    </row>
    <row r="2886" spans="7:8" x14ac:dyDescent="0.35">
      <c r="G2886" t="s">
        <v>2902</v>
      </c>
      <c r="H2886" s="23">
        <v>102300</v>
      </c>
    </row>
    <row r="2887" spans="7:8" x14ac:dyDescent="0.35">
      <c r="G2887" t="s">
        <v>2903</v>
      </c>
      <c r="H2887" s="23">
        <v>111400</v>
      </c>
    </row>
    <row r="2888" spans="7:8" x14ac:dyDescent="0.35">
      <c r="G2888" t="s">
        <v>2904</v>
      </c>
      <c r="H2888" s="23">
        <v>74600</v>
      </c>
    </row>
    <row r="2889" spans="7:8" x14ac:dyDescent="0.35">
      <c r="G2889" t="s">
        <v>2905</v>
      </c>
      <c r="H2889" s="23">
        <v>87300</v>
      </c>
    </row>
    <row r="2890" spans="7:8" x14ac:dyDescent="0.35">
      <c r="G2890" t="s">
        <v>2906</v>
      </c>
      <c r="H2890" s="23">
        <v>56500</v>
      </c>
    </row>
    <row r="2891" spans="7:8" x14ac:dyDescent="0.35">
      <c r="G2891" t="s">
        <v>2907</v>
      </c>
      <c r="H2891" s="23">
        <v>72100</v>
      </c>
    </row>
    <row r="2892" spans="7:8" x14ac:dyDescent="0.35">
      <c r="G2892" t="s">
        <v>2908</v>
      </c>
      <c r="H2892" s="23">
        <v>108900</v>
      </c>
    </row>
    <row r="2893" spans="7:8" x14ac:dyDescent="0.35">
      <c r="G2893" t="s">
        <v>2909</v>
      </c>
      <c r="H2893" s="23">
        <v>101700</v>
      </c>
    </row>
    <row r="2894" spans="7:8" x14ac:dyDescent="0.35">
      <c r="G2894" t="s">
        <v>2910</v>
      </c>
      <c r="H2894" s="23">
        <v>82900</v>
      </c>
    </row>
    <row r="2895" spans="7:8" x14ac:dyDescent="0.35">
      <c r="G2895" t="s">
        <v>2911</v>
      </c>
      <c r="H2895" s="23">
        <v>57800</v>
      </c>
    </row>
    <row r="2896" spans="7:8" x14ac:dyDescent="0.35">
      <c r="G2896" t="s">
        <v>2912</v>
      </c>
      <c r="H2896" s="23">
        <v>61400</v>
      </c>
    </row>
    <row r="2897" spans="7:8" x14ac:dyDescent="0.35">
      <c r="G2897" t="s">
        <v>2913</v>
      </c>
      <c r="H2897" s="23">
        <v>71300</v>
      </c>
    </row>
    <row r="2898" spans="7:8" x14ac:dyDescent="0.35">
      <c r="G2898" t="s">
        <v>2914</v>
      </c>
      <c r="H2898" s="23">
        <v>77800</v>
      </c>
    </row>
    <row r="2899" spans="7:8" x14ac:dyDescent="0.35">
      <c r="G2899" t="s">
        <v>2915</v>
      </c>
      <c r="H2899" s="23">
        <v>91500</v>
      </c>
    </row>
    <row r="2900" spans="7:8" x14ac:dyDescent="0.35">
      <c r="G2900" t="s">
        <v>2916</v>
      </c>
      <c r="H2900" s="23">
        <v>101600</v>
      </c>
    </row>
    <row r="2901" spans="7:8" x14ac:dyDescent="0.35">
      <c r="G2901" t="s">
        <v>2917</v>
      </c>
      <c r="H2901" s="23">
        <v>51000</v>
      </c>
    </row>
    <row r="2902" spans="7:8" x14ac:dyDescent="0.35">
      <c r="G2902" t="s">
        <v>2918</v>
      </c>
      <c r="H2902" s="23">
        <v>67800</v>
      </c>
    </row>
    <row r="2903" spans="7:8" x14ac:dyDescent="0.35">
      <c r="G2903" t="s">
        <v>2919</v>
      </c>
      <c r="H2903" s="23">
        <v>105500</v>
      </c>
    </row>
    <row r="2904" spans="7:8" x14ac:dyDescent="0.35">
      <c r="G2904" t="s">
        <v>2920</v>
      </c>
      <c r="H2904" s="23">
        <v>62400</v>
      </c>
    </row>
    <row r="2905" spans="7:8" x14ac:dyDescent="0.35">
      <c r="G2905" t="s">
        <v>2921</v>
      </c>
      <c r="H2905" s="23">
        <v>62700</v>
      </c>
    </row>
    <row r="2906" spans="7:8" x14ac:dyDescent="0.35">
      <c r="G2906" t="s">
        <v>2922</v>
      </c>
      <c r="H2906" s="23">
        <v>101000</v>
      </c>
    </row>
    <row r="2907" spans="7:8" x14ac:dyDescent="0.35">
      <c r="G2907" t="s">
        <v>2923</v>
      </c>
      <c r="H2907" s="23">
        <v>80700</v>
      </c>
    </row>
    <row r="2908" spans="7:8" x14ac:dyDescent="0.35">
      <c r="G2908" t="s">
        <v>2924</v>
      </c>
      <c r="H2908" s="23">
        <v>37900</v>
      </c>
    </row>
    <row r="2909" spans="7:8" x14ac:dyDescent="0.35">
      <c r="G2909" t="s">
        <v>2925</v>
      </c>
      <c r="H2909" s="23">
        <v>57300</v>
      </c>
    </row>
    <row r="2910" spans="7:8" x14ac:dyDescent="0.35">
      <c r="G2910" t="s">
        <v>2926</v>
      </c>
      <c r="H2910" s="23">
        <v>92400</v>
      </c>
    </row>
    <row r="2911" spans="7:8" x14ac:dyDescent="0.35">
      <c r="G2911" t="s">
        <v>2927</v>
      </c>
      <c r="H2911" s="23">
        <v>82400</v>
      </c>
    </row>
    <row r="2912" spans="7:8" x14ac:dyDescent="0.35">
      <c r="G2912" t="s">
        <v>2928</v>
      </c>
      <c r="H2912" s="23">
        <v>63400</v>
      </c>
    </row>
    <row r="2913" spans="7:8" x14ac:dyDescent="0.35">
      <c r="G2913" t="s">
        <v>2929</v>
      </c>
      <c r="H2913" s="23">
        <v>80100</v>
      </c>
    </row>
    <row r="2914" spans="7:8" x14ac:dyDescent="0.35">
      <c r="G2914" t="s">
        <v>2930</v>
      </c>
      <c r="H2914" s="23">
        <v>80400</v>
      </c>
    </row>
    <row r="2915" spans="7:8" x14ac:dyDescent="0.35">
      <c r="G2915" t="s">
        <v>2931</v>
      </c>
      <c r="H2915" s="23">
        <v>56300</v>
      </c>
    </row>
    <row r="2916" spans="7:8" x14ac:dyDescent="0.35">
      <c r="G2916" t="s">
        <v>2932</v>
      </c>
      <c r="H2916" s="23">
        <v>115100</v>
      </c>
    </row>
    <row r="2917" spans="7:8" x14ac:dyDescent="0.35">
      <c r="G2917" t="s">
        <v>2933</v>
      </c>
      <c r="H2917" s="23">
        <v>91000</v>
      </c>
    </row>
    <row r="2918" spans="7:8" x14ac:dyDescent="0.35">
      <c r="G2918" t="s">
        <v>2934</v>
      </c>
      <c r="H2918" s="23">
        <v>69400</v>
      </c>
    </row>
    <row r="2919" spans="7:8" x14ac:dyDescent="0.35">
      <c r="G2919" t="s">
        <v>2935</v>
      </c>
      <c r="H2919" s="23">
        <v>61800</v>
      </c>
    </row>
    <row r="2920" spans="7:8" x14ac:dyDescent="0.35">
      <c r="G2920" t="s">
        <v>2936</v>
      </c>
      <c r="H2920" s="23">
        <v>72300</v>
      </c>
    </row>
    <row r="2921" spans="7:8" x14ac:dyDescent="0.35">
      <c r="G2921" t="s">
        <v>2937</v>
      </c>
      <c r="H2921" s="23">
        <v>69400</v>
      </c>
    </row>
    <row r="2922" spans="7:8" x14ac:dyDescent="0.35">
      <c r="G2922" t="s">
        <v>2938</v>
      </c>
      <c r="H2922" s="23">
        <v>84400</v>
      </c>
    </row>
    <row r="2923" spans="7:8" x14ac:dyDescent="0.35">
      <c r="G2923" t="s">
        <v>2939</v>
      </c>
      <c r="H2923" s="23">
        <v>86800</v>
      </c>
    </row>
    <row r="2924" spans="7:8" x14ac:dyDescent="0.35">
      <c r="G2924" t="s">
        <v>2940</v>
      </c>
      <c r="H2924" s="23">
        <v>96500</v>
      </c>
    </row>
    <row r="2925" spans="7:8" x14ac:dyDescent="0.35">
      <c r="G2925" t="s">
        <v>2941</v>
      </c>
      <c r="H2925" s="23">
        <v>104200</v>
      </c>
    </row>
    <row r="2926" spans="7:8" x14ac:dyDescent="0.35">
      <c r="G2926" t="s">
        <v>2942</v>
      </c>
      <c r="H2926" s="23">
        <v>91300</v>
      </c>
    </row>
    <row r="2927" spans="7:8" x14ac:dyDescent="0.35">
      <c r="G2927" t="s">
        <v>2943</v>
      </c>
      <c r="H2927" s="23">
        <v>109500</v>
      </c>
    </row>
    <row r="2928" spans="7:8" x14ac:dyDescent="0.35">
      <c r="G2928" t="s">
        <v>2944</v>
      </c>
      <c r="H2928" s="23">
        <v>82000</v>
      </c>
    </row>
    <row r="2929" spans="7:8" x14ac:dyDescent="0.35">
      <c r="G2929" t="s">
        <v>2945</v>
      </c>
      <c r="H2929" s="23">
        <v>71400</v>
      </c>
    </row>
    <row r="2930" spans="7:8" x14ac:dyDescent="0.35">
      <c r="G2930" t="s">
        <v>2946</v>
      </c>
      <c r="H2930" s="23">
        <v>80500</v>
      </c>
    </row>
    <row r="2931" spans="7:8" x14ac:dyDescent="0.35">
      <c r="G2931" t="s">
        <v>2947</v>
      </c>
      <c r="H2931" s="23">
        <v>99800</v>
      </c>
    </row>
    <row r="2932" spans="7:8" x14ac:dyDescent="0.35">
      <c r="G2932" t="s">
        <v>2948</v>
      </c>
      <c r="H2932" s="23">
        <v>63600</v>
      </c>
    </row>
    <row r="2933" spans="7:8" x14ac:dyDescent="0.35">
      <c r="G2933" t="s">
        <v>2949</v>
      </c>
      <c r="H2933" s="23">
        <v>72300</v>
      </c>
    </row>
    <row r="2934" spans="7:8" x14ac:dyDescent="0.35">
      <c r="G2934" t="s">
        <v>2950</v>
      </c>
      <c r="H2934" s="23">
        <v>83800</v>
      </c>
    </row>
    <row r="2935" spans="7:8" x14ac:dyDescent="0.35">
      <c r="G2935" t="s">
        <v>2951</v>
      </c>
      <c r="H2935" s="23">
        <v>80700</v>
      </c>
    </row>
    <row r="2936" spans="7:8" x14ac:dyDescent="0.35">
      <c r="G2936" t="s">
        <v>2952</v>
      </c>
      <c r="H2936" s="23">
        <v>75200</v>
      </c>
    </row>
    <row r="2937" spans="7:8" x14ac:dyDescent="0.35">
      <c r="G2937" t="s">
        <v>2953</v>
      </c>
      <c r="H2937" s="23">
        <v>41100</v>
      </c>
    </row>
    <row r="2938" spans="7:8" x14ac:dyDescent="0.35">
      <c r="G2938" t="s">
        <v>2954</v>
      </c>
      <c r="H2938" s="23">
        <v>91100</v>
      </c>
    </row>
    <row r="2939" spans="7:8" x14ac:dyDescent="0.35">
      <c r="G2939" t="s">
        <v>2955</v>
      </c>
      <c r="H2939" s="23">
        <v>104700</v>
      </c>
    </row>
    <row r="2940" spans="7:8" x14ac:dyDescent="0.35">
      <c r="G2940" t="s">
        <v>2956</v>
      </c>
      <c r="H2940" s="23">
        <v>100100</v>
      </c>
    </row>
    <row r="2941" spans="7:8" x14ac:dyDescent="0.35">
      <c r="G2941" t="s">
        <v>2957</v>
      </c>
      <c r="H2941" s="23">
        <v>43500</v>
      </c>
    </row>
    <row r="2942" spans="7:8" x14ac:dyDescent="0.35">
      <c r="G2942" t="s">
        <v>2958</v>
      </c>
      <c r="H2942" s="23">
        <v>52800</v>
      </c>
    </row>
    <row r="2943" spans="7:8" x14ac:dyDescent="0.35">
      <c r="G2943" t="s">
        <v>2959</v>
      </c>
      <c r="H2943" s="23">
        <v>82400</v>
      </c>
    </row>
    <row r="2944" spans="7:8" x14ac:dyDescent="0.35">
      <c r="G2944" t="s">
        <v>2960</v>
      </c>
      <c r="H2944" s="23">
        <v>114900</v>
      </c>
    </row>
    <row r="2945" spans="7:8" x14ac:dyDescent="0.35">
      <c r="G2945" t="s">
        <v>2961</v>
      </c>
      <c r="H2945" s="23">
        <v>34800</v>
      </c>
    </row>
    <row r="2946" spans="7:8" x14ac:dyDescent="0.35">
      <c r="G2946" t="s">
        <v>2962</v>
      </c>
      <c r="H2946" s="23">
        <v>70600</v>
      </c>
    </row>
    <row r="2947" spans="7:8" x14ac:dyDescent="0.35">
      <c r="G2947" t="s">
        <v>2963</v>
      </c>
      <c r="H2947" s="23">
        <v>109900</v>
      </c>
    </row>
    <row r="2948" spans="7:8" x14ac:dyDescent="0.35">
      <c r="G2948" t="s">
        <v>2964</v>
      </c>
      <c r="H2948" s="23">
        <v>100700</v>
      </c>
    </row>
    <row r="2949" spans="7:8" x14ac:dyDescent="0.35">
      <c r="G2949" t="s">
        <v>2965</v>
      </c>
      <c r="H2949" s="23">
        <v>71000</v>
      </c>
    </row>
    <row r="2950" spans="7:8" x14ac:dyDescent="0.35">
      <c r="G2950" t="s">
        <v>2966</v>
      </c>
      <c r="H2950" s="23">
        <v>97400</v>
      </c>
    </row>
    <row r="2951" spans="7:8" x14ac:dyDescent="0.35">
      <c r="G2951" t="s">
        <v>2967</v>
      </c>
      <c r="H2951" s="23">
        <v>52100</v>
      </c>
    </row>
    <row r="2952" spans="7:8" x14ac:dyDescent="0.35">
      <c r="G2952" t="s">
        <v>2968</v>
      </c>
      <c r="H2952" s="23">
        <v>55800</v>
      </c>
    </row>
    <row r="2953" spans="7:8" x14ac:dyDescent="0.35">
      <c r="G2953" t="s">
        <v>2969</v>
      </c>
      <c r="H2953" s="23">
        <v>101400</v>
      </c>
    </row>
    <row r="2954" spans="7:8" x14ac:dyDescent="0.35">
      <c r="G2954" t="s">
        <v>2970</v>
      </c>
      <c r="H2954" s="23">
        <v>72000</v>
      </c>
    </row>
    <row r="2955" spans="7:8" x14ac:dyDescent="0.35">
      <c r="G2955" t="s">
        <v>2971</v>
      </c>
      <c r="H2955" s="23">
        <v>104000</v>
      </c>
    </row>
    <row r="2956" spans="7:8" x14ac:dyDescent="0.35">
      <c r="G2956" t="s">
        <v>2972</v>
      </c>
      <c r="H2956" s="23">
        <v>108200</v>
      </c>
    </row>
    <row r="2957" spans="7:8" x14ac:dyDescent="0.35">
      <c r="G2957" t="s">
        <v>2973</v>
      </c>
      <c r="H2957" s="23">
        <v>57800</v>
      </c>
    </row>
    <row r="2958" spans="7:8" x14ac:dyDescent="0.35">
      <c r="G2958" t="s">
        <v>2974</v>
      </c>
      <c r="H2958" s="23">
        <v>77900</v>
      </c>
    </row>
    <row r="2959" spans="7:8" x14ac:dyDescent="0.35">
      <c r="G2959" t="s">
        <v>2975</v>
      </c>
      <c r="H2959" s="23">
        <v>84200</v>
      </c>
    </row>
    <row r="2960" spans="7:8" x14ac:dyDescent="0.35">
      <c r="G2960" t="s">
        <v>2976</v>
      </c>
      <c r="H2960" s="23">
        <v>54500</v>
      </c>
    </row>
    <row r="2961" spans="7:8" x14ac:dyDescent="0.35">
      <c r="G2961" t="s">
        <v>2977</v>
      </c>
      <c r="H2961" s="23">
        <v>117800</v>
      </c>
    </row>
    <row r="2962" spans="7:8" x14ac:dyDescent="0.35">
      <c r="G2962" t="s">
        <v>2978</v>
      </c>
      <c r="H2962" s="23">
        <v>68000</v>
      </c>
    </row>
    <row r="2963" spans="7:8" x14ac:dyDescent="0.35">
      <c r="G2963" t="s">
        <v>2979</v>
      </c>
      <c r="H2963" s="23">
        <v>57700</v>
      </c>
    </row>
    <row r="2964" spans="7:8" x14ac:dyDescent="0.35">
      <c r="G2964" t="s">
        <v>2980</v>
      </c>
      <c r="H2964" s="23">
        <v>78100</v>
      </c>
    </row>
    <row r="2965" spans="7:8" x14ac:dyDescent="0.35">
      <c r="G2965" t="s">
        <v>2981</v>
      </c>
      <c r="H2965" s="23">
        <v>78000</v>
      </c>
    </row>
    <row r="2966" spans="7:8" x14ac:dyDescent="0.35">
      <c r="G2966" t="s">
        <v>2982</v>
      </c>
      <c r="H2966" s="23">
        <v>82900</v>
      </c>
    </row>
    <row r="2967" spans="7:8" x14ac:dyDescent="0.35">
      <c r="G2967" t="s">
        <v>2983</v>
      </c>
      <c r="H2967" s="23">
        <v>65600</v>
      </c>
    </row>
    <row r="2968" spans="7:8" x14ac:dyDescent="0.35">
      <c r="G2968" t="s">
        <v>2984</v>
      </c>
      <c r="H2968" s="23">
        <v>89600</v>
      </c>
    </row>
    <row r="2969" spans="7:8" x14ac:dyDescent="0.35">
      <c r="G2969" t="s">
        <v>2985</v>
      </c>
      <c r="H2969" s="23">
        <v>103800</v>
      </c>
    </row>
    <row r="2970" spans="7:8" x14ac:dyDescent="0.35">
      <c r="G2970" t="s">
        <v>2986</v>
      </c>
      <c r="H2970" s="23">
        <v>82700</v>
      </c>
    </row>
    <row r="2971" spans="7:8" x14ac:dyDescent="0.35">
      <c r="G2971" t="s">
        <v>2987</v>
      </c>
      <c r="H2971" s="23">
        <v>67500</v>
      </c>
    </row>
    <row r="2972" spans="7:8" x14ac:dyDescent="0.35">
      <c r="G2972" t="s">
        <v>2988</v>
      </c>
      <c r="H2972" s="23">
        <v>82100</v>
      </c>
    </row>
    <row r="2973" spans="7:8" x14ac:dyDescent="0.35">
      <c r="G2973" t="s">
        <v>2989</v>
      </c>
      <c r="H2973" s="23">
        <v>68000</v>
      </c>
    </row>
    <row r="2974" spans="7:8" x14ac:dyDescent="0.35">
      <c r="G2974" t="s">
        <v>2990</v>
      </c>
      <c r="H2974" s="23">
        <v>66900</v>
      </c>
    </row>
    <row r="2975" spans="7:8" x14ac:dyDescent="0.35">
      <c r="G2975" t="s">
        <v>2991</v>
      </c>
      <c r="H2975" s="23">
        <v>39000</v>
      </c>
    </row>
    <row r="2976" spans="7:8" x14ac:dyDescent="0.35">
      <c r="G2976" t="s">
        <v>2992</v>
      </c>
      <c r="H2976" s="23">
        <v>103100</v>
      </c>
    </row>
    <row r="2977" spans="7:8" x14ac:dyDescent="0.35">
      <c r="G2977" t="s">
        <v>2993</v>
      </c>
      <c r="H2977" s="23">
        <v>101000</v>
      </c>
    </row>
    <row r="2978" spans="7:8" x14ac:dyDescent="0.35">
      <c r="G2978" t="s">
        <v>2994</v>
      </c>
      <c r="H2978" s="23">
        <v>97500</v>
      </c>
    </row>
    <row r="2979" spans="7:8" x14ac:dyDescent="0.35">
      <c r="G2979" t="s">
        <v>2995</v>
      </c>
      <c r="H2979" s="23">
        <v>89900</v>
      </c>
    </row>
    <row r="2980" spans="7:8" x14ac:dyDescent="0.35">
      <c r="G2980" t="s">
        <v>2996</v>
      </c>
      <c r="H2980" s="23">
        <v>88500</v>
      </c>
    </row>
    <row r="2981" spans="7:8" x14ac:dyDescent="0.35">
      <c r="G2981" t="s">
        <v>2997</v>
      </c>
      <c r="H2981" s="23">
        <v>75100</v>
      </c>
    </row>
    <row r="2982" spans="7:8" x14ac:dyDescent="0.35">
      <c r="G2982" t="s">
        <v>2998</v>
      </c>
      <c r="H2982" s="23">
        <v>37300</v>
      </c>
    </row>
    <row r="2983" spans="7:8" x14ac:dyDescent="0.35">
      <c r="G2983" t="s">
        <v>2999</v>
      </c>
      <c r="H2983" s="23">
        <v>69500</v>
      </c>
    </row>
    <row r="2984" spans="7:8" x14ac:dyDescent="0.35">
      <c r="G2984" t="s">
        <v>3000</v>
      </c>
      <c r="H2984" s="23">
        <v>103800</v>
      </c>
    </row>
    <row r="2985" spans="7:8" x14ac:dyDescent="0.35">
      <c r="G2985" t="s">
        <v>3001</v>
      </c>
      <c r="H2985" s="23">
        <v>73800</v>
      </c>
    </row>
    <row r="2986" spans="7:8" x14ac:dyDescent="0.35">
      <c r="G2986" t="s">
        <v>3002</v>
      </c>
      <c r="H2986" s="23">
        <v>52600</v>
      </c>
    </row>
    <row r="2987" spans="7:8" x14ac:dyDescent="0.35">
      <c r="G2987" t="s">
        <v>3003</v>
      </c>
      <c r="H2987" s="23">
        <v>98200</v>
      </c>
    </row>
    <row r="2988" spans="7:8" x14ac:dyDescent="0.35">
      <c r="G2988" t="s">
        <v>3004</v>
      </c>
      <c r="H2988" s="23">
        <v>109300</v>
      </c>
    </row>
    <row r="2989" spans="7:8" x14ac:dyDescent="0.35">
      <c r="G2989" t="s">
        <v>3005</v>
      </c>
      <c r="H2989" s="23">
        <v>107500</v>
      </c>
    </row>
    <row r="2990" spans="7:8" x14ac:dyDescent="0.35">
      <c r="G2990" t="s">
        <v>3006</v>
      </c>
      <c r="H2990" s="23">
        <v>80500</v>
      </c>
    </row>
    <row r="2991" spans="7:8" x14ac:dyDescent="0.35">
      <c r="G2991" t="s">
        <v>3007</v>
      </c>
      <c r="H2991" s="23">
        <v>108100</v>
      </c>
    </row>
    <row r="2992" spans="7:8" x14ac:dyDescent="0.35">
      <c r="G2992" t="s">
        <v>3008</v>
      </c>
      <c r="H2992" s="23">
        <v>55600</v>
      </c>
    </row>
    <row r="2993" spans="7:8" x14ac:dyDescent="0.35">
      <c r="G2993" t="s">
        <v>3009</v>
      </c>
      <c r="H2993" s="23">
        <v>91200</v>
      </c>
    </row>
    <row r="2994" spans="7:8" x14ac:dyDescent="0.35">
      <c r="G2994" t="s">
        <v>3010</v>
      </c>
      <c r="H2994" s="23">
        <v>88400</v>
      </c>
    </row>
    <row r="2995" spans="7:8" x14ac:dyDescent="0.35">
      <c r="G2995" t="s">
        <v>3011</v>
      </c>
      <c r="H2995" s="23">
        <v>59900</v>
      </c>
    </row>
    <row r="2996" spans="7:8" x14ac:dyDescent="0.35">
      <c r="G2996" t="s">
        <v>3012</v>
      </c>
      <c r="H2996" s="23">
        <v>75400</v>
      </c>
    </row>
    <row r="2997" spans="7:8" x14ac:dyDescent="0.35">
      <c r="G2997" t="s">
        <v>3013</v>
      </c>
      <c r="H2997" s="23">
        <v>69400</v>
      </c>
    </row>
    <row r="2998" spans="7:8" x14ac:dyDescent="0.35">
      <c r="G2998" t="s">
        <v>3014</v>
      </c>
      <c r="H2998" s="23">
        <v>78300</v>
      </c>
    </row>
    <row r="2999" spans="7:8" x14ac:dyDescent="0.35">
      <c r="G2999" t="s">
        <v>3015</v>
      </c>
      <c r="H2999" s="23">
        <v>102100</v>
      </c>
    </row>
    <row r="3000" spans="7:8" x14ac:dyDescent="0.35">
      <c r="G3000" t="s">
        <v>3016</v>
      </c>
      <c r="H3000" s="23">
        <v>63900</v>
      </c>
    </row>
    <row r="3001" spans="7:8" x14ac:dyDescent="0.35">
      <c r="G3001" t="s">
        <v>3017</v>
      </c>
      <c r="H3001" s="23">
        <v>65700</v>
      </c>
    </row>
    <row r="3002" spans="7:8" x14ac:dyDescent="0.35">
      <c r="G3002" t="s">
        <v>3018</v>
      </c>
      <c r="H3002" s="23">
        <v>84200</v>
      </c>
    </row>
    <row r="3003" spans="7:8" x14ac:dyDescent="0.35">
      <c r="G3003" t="s">
        <v>3019</v>
      </c>
      <c r="H3003" s="23">
        <v>112600</v>
      </c>
    </row>
    <row r="3004" spans="7:8" x14ac:dyDescent="0.35">
      <c r="G3004" t="s">
        <v>3020</v>
      </c>
      <c r="H3004" s="23">
        <v>103700</v>
      </c>
    </row>
    <row r="3005" spans="7:8" x14ac:dyDescent="0.35">
      <c r="G3005" t="s">
        <v>3021</v>
      </c>
      <c r="H3005" s="23">
        <v>63300</v>
      </c>
    </row>
    <row r="3006" spans="7:8" x14ac:dyDescent="0.35">
      <c r="G3006" t="s">
        <v>3022</v>
      </c>
      <c r="H3006" s="23">
        <v>106600</v>
      </c>
    </row>
    <row r="3007" spans="7:8" x14ac:dyDescent="0.35">
      <c r="G3007" t="s">
        <v>3023</v>
      </c>
      <c r="H3007" s="23">
        <v>75300</v>
      </c>
    </row>
    <row r="3008" spans="7:8" x14ac:dyDescent="0.35">
      <c r="G3008" t="s">
        <v>3024</v>
      </c>
      <c r="H3008" s="23">
        <v>79900</v>
      </c>
    </row>
    <row r="3009" spans="7:8" x14ac:dyDescent="0.35">
      <c r="G3009" t="s">
        <v>3025</v>
      </c>
      <c r="H3009" s="23">
        <v>113800</v>
      </c>
    </row>
    <row r="3010" spans="7:8" x14ac:dyDescent="0.35">
      <c r="G3010" t="s">
        <v>3026</v>
      </c>
      <c r="H3010" s="23">
        <v>95300</v>
      </c>
    </row>
    <row r="3011" spans="7:8" x14ac:dyDescent="0.35">
      <c r="G3011" t="s">
        <v>3027</v>
      </c>
      <c r="H3011" s="23">
        <v>81500</v>
      </c>
    </row>
    <row r="3012" spans="7:8" x14ac:dyDescent="0.35">
      <c r="G3012" t="s">
        <v>3028</v>
      </c>
      <c r="H3012" s="23">
        <v>81400</v>
      </c>
    </row>
    <row r="3013" spans="7:8" x14ac:dyDescent="0.35">
      <c r="G3013" t="s">
        <v>3029</v>
      </c>
      <c r="H3013" s="23">
        <v>78300</v>
      </c>
    </row>
    <row r="3014" spans="7:8" x14ac:dyDescent="0.35">
      <c r="G3014" t="s">
        <v>3030</v>
      </c>
      <c r="H3014" s="23">
        <v>61900</v>
      </c>
    </row>
    <row r="3015" spans="7:8" x14ac:dyDescent="0.35">
      <c r="G3015" t="s">
        <v>3031</v>
      </c>
      <c r="H3015" s="23">
        <v>80300</v>
      </c>
    </row>
    <row r="3016" spans="7:8" x14ac:dyDescent="0.35">
      <c r="G3016" t="s">
        <v>3032</v>
      </c>
      <c r="H3016" s="23">
        <v>88400</v>
      </c>
    </row>
    <row r="3017" spans="7:8" x14ac:dyDescent="0.35">
      <c r="G3017" t="s">
        <v>3033</v>
      </c>
      <c r="H3017" s="23">
        <v>115200</v>
      </c>
    </row>
    <row r="3018" spans="7:8" x14ac:dyDescent="0.35">
      <c r="G3018" t="s">
        <v>3034</v>
      </c>
      <c r="H3018" s="23">
        <v>48400</v>
      </c>
    </row>
    <row r="3019" spans="7:8" x14ac:dyDescent="0.35">
      <c r="G3019" t="s">
        <v>3035</v>
      </c>
      <c r="H3019" s="23">
        <v>76900</v>
      </c>
    </row>
    <row r="3020" spans="7:8" x14ac:dyDescent="0.35">
      <c r="G3020" t="s">
        <v>3036</v>
      </c>
      <c r="H3020" s="23">
        <v>94000</v>
      </c>
    </row>
    <row r="3021" spans="7:8" x14ac:dyDescent="0.35">
      <c r="G3021" t="s">
        <v>3037</v>
      </c>
      <c r="H3021" s="23">
        <v>71900</v>
      </c>
    </row>
    <row r="3022" spans="7:8" x14ac:dyDescent="0.35">
      <c r="G3022" t="s">
        <v>3038</v>
      </c>
      <c r="H3022" s="23">
        <v>78700</v>
      </c>
    </row>
    <row r="3023" spans="7:8" x14ac:dyDescent="0.35">
      <c r="G3023" t="s">
        <v>3039</v>
      </c>
      <c r="H3023" s="23">
        <v>61000</v>
      </c>
    </row>
    <row r="3024" spans="7:8" x14ac:dyDescent="0.35">
      <c r="G3024" t="s">
        <v>3040</v>
      </c>
      <c r="H3024" s="23">
        <v>91100</v>
      </c>
    </row>
    <row r="3025" spans="7:8" x14ac:dyDescent="0.35">
      <c r="G3025" t="s">
        <v>3041</v>
      </c>
      <c r="H3025" s="23">
        <v>96800</v>
      </c>
    </row>
    <row r="3026" spans="7:8" x14ac:dyDescent="0.35">
      <c r="G3026" t="s">
        <v>3042</v>
      </c>
      <c r="H3026" s="23">
        <v>70800</v>
      </c>
    </row>
    <row r="3027" spans="7:8" x14ac:dyDescent="0.35">
      <c r="G3027" t="s">
        <v>3043</v>
      </c>
      <c r="H3027" s="23">
        <v>118100</v>
      </c>
    </row>
    <row r="3028" spans="7:8" x14ac:dyDescent="0.35">
      <c r="G3028" t="s">
        <v>3044</v>
      </c>
      <c r="H3028" s="23">
        <v>103400</v>
      </c>
    </row>
    <row r="3029" spans="7:8" x14ac:dyDescent="0.35">
      <c r="G3029" t="s">
        <v>3045</v>
      </c>
      <c r="H3029" s="23">
        <v>67700</v>
      </c>
    </row>
    <row r="3030" spans="7:8" x14ac:dyDescent="0.35">
      <c r="G3030" t="s">
        <v>3046</v>
      </c>
      <c r="H3030" s="23">
        <v>66100</v>
      </c>
    </row>
    <row r="3031" spans="7:8" x14ac:dyDescent="0.35">
      <c r="G3031" t="s">
        <v>3047</v>
      </c>
      <c r="H3031" s="23">
        <v>114900</v>
      </c>
    </row>
    <row r="3032" spans="7:8" x14ac:dyDescent="0.35">
      <c r="G3032" t="s">
        <v>3048</v>
      </c>
      <c r="H3032" s="23">
        <v>102900</v>
      </c>
    </row>
    <row r="3033" spans="7:8" x14ac:dyDescent="0.35">
      <c r="G3033" t="s">
        <v>3049</v>
      </c>
      <c r="H3033" s="23">
        <v>102900</v>
      </c>
    </row>
    <row r="3034" spans="7:8" x14ac:dyDescent="0.35">
      <c r="G3034" t="s">
        <v>3050</v>
      </c>
      <c r="H3034" s="23">
        <v>61000</v>
      </c>
    </row>
    <row r="3035" spans="7:8" x14ac:dyDescent="0.35">
      <c r="G3035" t="s">
        <v>3051</v>
      </c>
      <c r="H3035" s="23">
        <v>38700</v>
      </c>
    </row>
    <row r="3036" spans="7:8" x14ac:dyDescent="0.35">
      <c r="G3036" t="s">
        <v>3052</v>
      </c>
      <c r="H3036" s="23">
        <v>76700</v>
      </c>
    </row>
    <row r="3037" spans="7:8" x14ac:dyDescent="0.35">
      <c r="G3037" t="s">
        <v>3053</v>
      </c>
      <c r="H3037" s="23">
        <v>118500</v>
      </c>
    </row>
    <row r="3038" spans="7:8" x14ac:dyDescent="0.35">
      <c r="G3038" t="s">
        <v>3054</v>
      </c>
      <c r="H3038" s="23">
        <v>95900</v>
      </c>
    </row>
    <row r="3039" spans="7:8" x14ac:dyDescent="0.35">
      <c r="G3039" t="s">
        <v>3055</v>
      </c>
      <c r="H3039" s="23">
        <v>91000</v>
      </c>
    </row>
    <row r="3040" spans="7:8" x14ac:dyDescent="0.35">
      <c r="G3040" t="s">
        <v>3056</v>
      </c>
      <c r="H3040" s="23">
        <v>75600</v>
      </c>
    </row>
    <row r="3041" spans="7:8" x14ac:dyDescent="0.35">
      <c r="G3041" t="s">
        <v>3057</v>
      </c>
      <c r="H3041" s="23">
        <v>66800</v>
      </c>
    </row>
    <row r="3042" spans="7:8" x14ac:dyDescent="0.35">
      <c r="G3042" t="s">
        <v>3058</v>
      </c>
      <c r="H3042" s="23">
        <v>118900</v>
      </c>
    </row>
    <row r="3043" spans="7:8" x14ac:dyDescent="0.35">
      <c r="G3043" t="s">
        <v>3059</v>
      </c>
      <c r="H3043" s="23">
        <v>101900</v>
      </c>
    </row>
    <row r="3044" spans="7:8" x14ac:dyDescent="0.35">
      <c r="G3044" t="s">
        <v>3060</v>
      </c>
      <c r="H3044" s="23">
        <v>122900</v>
      </c>
    </row>
    <row r="3045" spans="7:8" x14ac:dyDescent="0.35">
      <c r="G3045" t="s">
        <v>3061</v>
      </c>
      <c r="H3045" s="23">
        <v>71400</v>
      </c>
    </row>
    <row r="3046" spans="7:8" x14ac:dyDescent="0.35">
      <c r="G3046" t="s">
        <v>3062</v>
      </c>
      <c r="H3046" s="23">
        <v>84300</v>
      </c>
    </row>
    <row r="3047" spans="7:8" x14ac:dyDescent="0.35">
      <c r="G3047" t="s">
        <v>3063</v>
      </c>
      <c r="H3047" s="23">
        <v>108000</v>
      </c>
    </row>
    <row r="3048" spans="7:8" x14ac:dyDescent="0.35">
      <c r="G3048" t="s">
        <v>3064</v>
      </c>
      <c r="H3048" s="23">
        <v>54100</v>
      </c>
    </row>
    <row r="3049" spans="7:8" x14ac:dyDescent="0.35">
      <c r="G3049" t="s">
        <v>3065</v>
      </c>
      <c r="H3049" s="23">
        <v>88700</v>
      </c>
    </row>
    <row r="3050" spans="7:8" x14ac:dyDescent="0.35">
      <c r="G3050" t="s">
        <v>3066</v>
      </c>
      <c r="H3050" s="23">
        <v>54500</v>
      </c>
    </row>
    <row r="3051" spans="7:8" x14ac:dyDescent="0.35">
      <c r="G3051" t="s">
        <v>3067</v>
      </c>
      <c r="H3051" s="23">
        <v>64500</v>
      </c>
    </row>
    <row r="3052" spans="7:8" x14ac:dyDescent="0.35">
      <c r="G3052" t="s">
        <v>3068</v>
      </c>
      <c r="H3052" s="23">
        <v>102500</v>
      </c>
    </row>
    <row r="3053" spans="7:8" x14ac:dyDescent="0.35">
      <c r="G3053" t="s">
        <v>3069</v>
      </c>
      <c r="H3053" s="23">
        <v>88300</v>
      </c>
    </row>
    <row r="3054" spans="7:8" x14ac:dyDescent="0.35">
      <c r="G3054" t="s">
        <v>3070</v>
      </c>
      <c r="H3054" s="23">
        <v>46800</v>
      </c>
    </row>
    <row r="3055" spans="7:8" x14ac:dyDescent="0.35">
      <c r="G3055" t="s">
        <v>3071</v>
      </c>
      <c r="H3055" s="23">
        <v>76800</v>
      </c>
    </row>
    <row r="3056" spans="7:8" x14ac:dyDescent="0.35">
      <c r="G3056" t="s">
        <v>3072</v>
      </c>
      <c r="H3056" s="23">
        <v>105800</v>
      </c>
    </row>
    <row r="3057" spans="7:8" x14ac:dyDescent="0.35">
      <c r="G3057" t="s">
        <v>3073</v>
      </c>
      <c r="H3057" s="23">
        <v>54600</v>
      </c>
    </row>
    <row r="3058" spans="7:8" x14ac:dyDescent="0.35">
      <c r="G3058" t="s">
        <v>3074</v>
      </c>
      <c r="H3058" s="23">
        <v>55100</v>
      </c>
    </row>
    <row r="3059" spans="7:8" x14ac:dyDescent="0.35">
      <c r="G3059" t="s">
        <v>3075</v>
      </c>
      <c r="H3059" s="23">
        <v>105600</v>
      </c>
    </row>
    <row r="3060" spans="7:8" x14ac:dyDescent="0.35">
      <c r="G3060" t="s">
        <v>3076</v>
      </c>
      <c r="H3060" s="23">
        <v>90100</v>
      </c>
    </row>
    <row r="3061" spans="7:8" x14ac:dyDescent="0.35">
      <c r="G3061" t="s">
        <v>3077</v>
      </c>
      <c r="H3061" s="23">
        <v>109900</v>
      </c>
    </row>
    <row r="3062" spans="7:8" x14ac:dyDescent="0.35">
      <c r="G3062" t="s">
        <v>3078</v>
      </c>
      <c r="H3062" s="23">
        <v>72000</v>
      </c>
    </row>
    <row r="3063" spans="7:8" x14ac:dyDescent="0.35">
      <c r="G3063" t="s">
        <v>3079</v>
      </c>
      <c r="H3063" s="23">
        <v>69400</v>
      </c>
    </row>
    <row r="3064" spans="7:8" x14ac:dyDescent="0.35">
      <c r="G3064" t="s">
        <v>3080</v>
      </c>
      <c r="H3064" s="23">
        <v>100500</v>
      </c>
    </row>
    <row r="3065" spans="7:8" x14ac:dyDescent="0.35">
      <c r="G3065" t="s">
        <v>3081</v>
      </c>
      <c r="H3065" s="23">
        <v>83400</v>
      </c>
    </row>
    <row r="3066" spans="7:8" x14ac:dyDescent="0.35">
      <c r="G3066" t="s">
        <v>3082</v>
      </c>
      <c r="H3066" s="23">
        <v>71100</v>
      </c>
    </row>
    <row r="3067" spans="7:8" x14ac:dyDescent="0.35">
      <c r="G3067" t="s">
        <v>3083</v>
      </c>
      <c r="H3067" s="23">
        <v>125100</v>
      </c>
    </row>
    <row r="3068" spans="7:8" x14ac:dyDescent="0.35">
      <c r="G3068" t="s">
        <v>3084</v>
      </c>
      <c r="H3068" s="23">
        <v>131600</v>
      </c>
    </row>
    <row r="3069" spans="7:8" x14ac:dyDescent="0.35">
      <c r="G3069" t="s">
        <v>3085</v>
      </c>
      <c r="H3069" s="23">
        <v>64800</v>
      </c>
    </row>
    <row r="3070" spans="7:8" x14ac:dyDescent="0.35">
      <c r="G3070" t="s">
        <v>3086</v>
      </c>
      <c r="H3070" s="23">
        <v>83400</v>
      </c>
    </row>
    <row r="3071" spans="7:8" x14ac:dyDescent="0.35">
      <c r="G3071" t="s">
        <v>3087</v>
      </c>
      <c r="H3071" s="23">
        <v>96100</v>
      </c>
    </row>
    <row r="3072" spans="7:8" x14ac:dyDescent="0.35">
      <c r="G3072" t="s">
        <v>3088</v>
      </c>
      <c r="H3072" s="23">
        <v>106800</v>
      </c>
    </row>
    <row r="3073" spans="7:8" x14ac:dyDescent="0.35">
      <c r="G3073" t="s">
        <v>3089</v>
      </c>
      <c r="H3073" s="23">
        <v>67100</v>
      </c>
    </row>
    <row r="3074" spans="7:8" x14ac:dyDescent="0.35">
      <c r="G3074" t="s">
        <v>3090</v>
      </c>
      <c r="H3074" s="23">
        <v>68500</v>
      </c>
    </row>
    <row r="3075" spans="7:8" x14ac:dyDescent="0.35">
      <c r="G3075" t="s">
        <v>3091</v>
      </c>
      <c r="H3075" s="23">
        <v>56900</v>
      </c>
    </row>
    <row r="3076" spans="7:8" x14ac:dyDescent="0.35">
      <c r="G3076" t="s">
        <v>3092</v>
      </c>
      <c r="H3076" s="23">
        <v>102300</v>
      </c>
    </row>
    <row r="3077" spans="7:8" x14ac:dyDescent="0.35">
      <c r="G3077" t="s">
        <v>3093</v>
      </c>
      <c r="H3077" s="23">
        <v>102300</v>
      </c>
    </row>
    <row r="3078" spans="7:8" x14ac:dyDescent="0.35">
      <c r="G3078" t="s">
        <v>3094</v>
      </c>
      <c r="H3078" s="23">
        <v>74700</v>
      </c>
    </row>
    <row r="3079" spans="7:8" x14ac:dyDescent="0.35">
      <c r="G3079" t="s">
        <v>3095</v>
      </c>
      <c r="H3079" s="23">
        <v>69600</v>
      </c>
    </row>
    <row r="3080" spans="7:8" x14ac:dyDescent="0.35">
      <c r="G3080" t="s">
        <v>3096</v>
      </c>
      <c r="H3080" s="23">
        <v>74300</v>
      </c>
    </row>
    <row r="3081" spans="7:8" x14ac:dyDescent="0.35">
      <c r="G3081" t="s">
        <v>3097</v>
      </c>
      <c r="H3081" s="23">
        <v>80400</v>
      </c>
    </row>
    <row r="3082" spans="7:8" x14ac:dyDescent="0.35">
      <c r="G3082" t="s">
        <v>3098</v>
      </c>
      <c r="H3082" s="23">
        <v>87100</v>
      </c>
    </row>
    <row r="3083" spans="7:8" x14ac:dyDescent="0.35">
      <c r="G3083" t="s">
        <v>3099</v>
      </c>
      <c r="H3083" s="23">
        <v>120200</v>
      </c>
    </row>
    <row r="3084" spans="7:8" x14ac:dyDescent="0.35">
      <c r="G3084" t="s">
        <v>3100</v>
      </c>
      <c r="H3084" s="23">
        <v>114500</v>
      </c>
    </row>
    <row r="3085" spans="7:8" x14ac:dyDescent="0.35">
      <c r="G3085" t="s">
        <v>3101</v>
      </c>
      <c r="H3085" s="23">
        <v>82100</v>
      </c>
    </row>
    <row r="3086" spans="7:8" x14ac:dyDescent="0.35">
      <c r="G3086" t="s">
        <v>3102</v>
      </c>
      <c r="H3086" s="23">
        <v>66200</v>
      </c>
    </row>
    <row r="3087" spans="7:8" x14ac:dyDescent="0.35">
      <c r="G3087" t="s">
        <v>3103</v>
      </c>
      <c r="H3087" s="23">
        <v>60300</v>
      </c>
    </row>
    <row r="3088" spans="7:8" x14ac:dyDescent="0.35">
      <c r="G3088" t="s">
        <v>3104</v>
      </c>
      <c r="H3088" s="23">
        <v>64400</v>
      </c>
    </row>
    <row r="3089" spans="7:8" x14ac:dyDescent="0.35">
      <c r="G3089" t="s">
        <v>3105</v>
      </c>
      <c r="H3089" s="23">
        <v>70100</v>
      </c>
    </row>
    <row r="3090" spans="7:8" x14ac:dyDescent="0.35">
      <c r="G3090" t="s">
        <v>3106</v>
      </c>
      <c r="H3090" s="23">
        <v>73600</v>
      </c>
    </row>
    <row r="3091" spans="7:8" x14ac:dyDescent="0.35">
      <c r="G3091" t="s">
        <v>3107</v>
      </c>
      <c r="H3091" s="23">
        <v>84200</v>
      </c>
    </row>
    <row r="3092" spans="7:8" x14ac:dyDescent="0.35">
      <c r="G3092" t="s">
        <v>3108</v>
      </c>
      <c r="H3092" s="23">
        <v>81300</v>
      </c>
    </row>
    <row r="3093" spans="7:8" x14ac:dyDescent="0.35">
      <c r="G3093" t="s">
        <v>3109</v>
      </c>
      <c r="H3093" s="23">
        <v>89200</v>
      </c>
    </row>
    <row r="3094" spans="7:8" x14ac:dyDescent="0.35">
      <c r="G3094" t="s">
        <v>3110</v>
      </c>
      <c r="H3094" s="23">
        <v>77000</v>
      </c>
    </row>
    <row r="3095" spans="7:8" x14ac:dyDescent="0.35">
      <c r="G3095" t="s">
        <v>3111</v>
      </c>
      <c r="H3095" s="23">
        <v>69300</v>
      </c>
    </row>
    <row r="3096" spans="7:8" x14ac:dyDescent="0.35">
      <c r="G3096" t="s">
        <v>3112</v>
      </c>
      <c r="H3096" s="23">
        <v>85800</v>
      </c>
    </row>
    <row r="3097" spans="7:8" x14ac:dyDescent="0.35">
      <c r="G3097" t="s">
        <v>3113</v>
      </c>
      <c r="H3097" s="23">
        <v>114300</v>
      </c>
    </row>
    <row r="3098" spans="7:8" x14ac:dyDescent="0.35">
      <c r="G3098" t="s">
        <v>3114</v>
      </c>
      <c r="H3098" s="23">
        <v>69200</v>
      </c>
    </row>
    <row r="3099" spans="7:8" x14ac:dyDescent="0.35">
      <c r="G3099" t="s">
        <v>3115</v>
      </c>
      <c r="H3099" s="23">
        <v>10860</v>
      </c>
    </row>
    <row r="3100" spans="7:8" x14ac:dyDescent="0.35">
      <c r="G3100" t="s">
        <v>3116</v>
      </c>
      <c r="H3100" s="23">
        <v>110800</v>
      </c>
    </row>
    <row r="3101" spans="7:8" x14ac:dyDescent="0.35">
      <c r="G3101" t="s">
        <v>3117</v>
      </c>
      <c r="H3101" s="23">
        <v>100200</v>
      </c>
    </row>
    <row r="3102" spans="7:8" x14ac:dyDescent="0.35">
      <c r="G3102" t="s">
        <v>3118</v>
      </c>
      <c r="H3102" s="23">
        <v>113300</v>
      </c>
    </row>
    <row r="3103" spans="7:8" x14ac:dyDescent="0.35">
      <c r="G3103" t="s">
        <v>3119</v>
      </c>
      <c r="H3103" s="23">
        <v>133300</v>
      </c>
    </row>
    <row r="3104" spans="7:8" x14ac:dyDescent="0.35">
      <c r="G3104" t="s">
        <v>3120</v>
      </c>
      <c r="H3104" s="23">
        <v>83900</v>
      </c>
    </row>
    <row r="3105" spans="7:8" x14ac:dyDescent="0.35">
      <c r="G3105" t="s">
        <v>3121</v>
      </c>
      <c r="H3105" s="23">
        <v>105500</v>
      </c>
    </row>
    <row r="3106" spans="7:8" x14ac:dyDescent="0.35">
      <c r="G3106" t="s">
        <v>3122</v>
      </c>
      <c r="H3106" s="23">
        <v>113700</v>
      </c>
    </row>
    <row r="3107" spans="7:8" x14ac:dyDescent="0.35">
      <c r="G3107" t="s">
        <v>3123</v>
      </c>
      <c r="H3107" s="23">
        <v>62600</v>
      </c>
    </row>
    <row r="3108" spans="7:8" x14ac:dyDescent="0.35">
      <c r="G3108" t="s">
        <v>3124</v>
      </c>
      <c r="H3108" s="23">
        <v>106100</v>
      </c>
    </row>
    <row r="3109" spans="7:8" x14ac:dyDescent="0.35">
      <c r="G3109" t="s">
        <v>3125</v>
      </c>
      <c r="H3109" s="23">
        <v>59000</v>
      </c>
    </row>
    <row r="3110" spans="7:8" x14ac:dyDescent="0.35">
      <c r="G3110" t="s">
        <v>3126</v>
      </c>
      <c r="H3110" s="23">
        <v>81000</v>
      </c>
    </row>
    <row r="3111" spans="7:8" x14ac:dyDescent="0.35">
      <c r="G3111" t="s">
        <v>3127</v>
      </c>
      <c r="H3111" s="23">
        <v>78400</v>
      </c>
    </row>
    <row r="3112" spans="7:8" x14ac:dyDescent="0.35">
      <c r="G3112" t="s">
        <v>3128</v>
      </c>
      <c r="H3112" s="23">
        <v>94800</v>
      </c>
    </row>
    <row r="3113" spans="7:8" x14ac:dyDescent="0.35">
      <c r="G3113" t="s">
        <v>3129</v>
      </c>
      <c r="H3113" s="23">
        <v>84400</v>
      </c>
    </row>
    <row r="3114" spans="7:8" x14ac:dyDescent="0.35">
      <c r="G3114" t="s">
        <v>3130</v>
      </c>
      <c r="H3114" s="23">
        <v>56500</v>
      </c>
    </row>
    <row r="3115" spans="7:8" x14ac:dyDescent="0.35">
      <c r="G3115" t="s">
        <v>3131</v>
      </c>
      <c r="H3115" s="23">
        <v>112500</v>
      </c>
    </row>
    <row r="3116" spans="7:8" x14ac:dyDescent="0.35">
      <c r="G3116" t="s">
        <v>3132</v>
      </c>
      <c r="H3116" s="23">
        <v>59600</v>
      </c>
    </row>
    <row r="3117" spans="7:8" x14ac:dyDescent="0.35">
      <c r="G3117" t="s">
        <v>3133</v>
      </c>
      <c r="H3117" s="23">
        <v>57000</v>
      </c>
    </row>
    <row r="3118" spans="7:8" x14ac:dyDescent="0.35">
      <c r="G3118" t="s">
        <v>3134</v>
      </c>
      <c r="H3118" s="23">
        <v>54500</v>
      </c>
    </row>
    <row r="3119" spans="7:8" x14ac:dyDescent="0.35">
      <c r="G3119" t="s">
        <v>3135</v>
      </c>
      <c r="H3119" s="23">
        <v>96100</v>
      </c>
    </row>
    <row r="3120" spans="7:8" x14ac:dyDescent="0.35">
      <c r="G3120" t="s">
        <v>3136</v>
      </c>
      <c r="H3120" s="23">
        <v>62800</v>
      </c>
    </row>
    <row r="3121" spans="7:8" x14ac:dyDescent="0.35">
      <c r="G3121" t="s">
        <v>3137</v>
      </c>
      <c r="H3121" s="23">
        <v>74500</v>
      </c>
    </row>
    <row r="3122" spans="7:8" x14ac:dyDescent="0.35">
      <c r="G3122" t="s">
        <v>3138</v>
      </c>
      <c r="H3122" s="23">
        <v>97900</v>
      </c>
    </row>
    <row r="3123" spans="7:8" x14ac:dyDescent="0.35">
      <c r="G3123" t="s">
        <v>3139</v>
      </c>
      <c r="H3123" s="23">
        <v>84500</v>
      </c>
    </row>
    <row r="3124" spans="7:8" x14ac:dyDescent="0.35">
      <c r="G3124" t="s">
        <v>3140</v>
      </c>
      <c r="H3124" s="23">
        <v>112500</v>
      </c>
    </row>
    <row r="3125" spans="7:8" x14ac:dyDescent="0.35">
      <c r="G3125" t="s">
        <v>3141</v>
      </c>
      <c r="H3125" s="23">
        <v>74400</v>
      </c>
    </row>
    <row r="3126" spans="7:8" x14ac:dyDescent="0.35">
      <c r="G3126" t="s">
        <v>3142</v>
      </c>
      <c r="H3126" s="23">
        <v>106700</v>
      </c>
    </row>
    <row r="3127" spans="7:8" x14ac:dyDescent="0.35">
      <c r="G3127" t="s">
        <v>3143</v>
      </c>
      <c r="H3127" s="23">
        <v>104500</v>
      </c>
    </row>
    <row r="3128" spans="7:8" x14ac:dyDescent="0.35">
      <c r="G3128" t="s">
        <v>3144</v>
      </c>
      <c r="H3128" s="23">
        <v>86000</v>
      </c>
    </row>
    <row r="3129" spans="7:8" x14ac:dyDescent="0.35">
      <c r="G3129" t="s">
        <v>3145</v>
      </c>
      <c r="H3129" s="23">
        <v>94200</v>
      </c>
    </row>
    <row r="3130" spans="7:8" x14ac:dyDescent="0.35">
      <c r="G3130" t="s">
        <v>3146</v>
      </c>
      <c r="H3130" s="23">
        <v>68500</v>
      </c>
    </row>
    <row r="3131" spans="7:8" x14ac:dyDescent="0.35">
      <c r="G3131" t="s">
        <v>3147</v>
      </c>
      <c r="H3131" s="23">
        <v>106900</v>
      </c>
    </row>
    <row r="3132" spans="7:8" x14ac:dyDescent="0.35">
      <c r="G3132" t="s">
        <v>3148</v>
      </c>
      <c r="H3132" s="23">
        <v>70600</v>
      </c>
    </row>
    <row r="3133" spans="7:8" x14ac:dyDescent="0.35">
      <c r="G3133" t="s">
        <v>3149</v>
      </c>
      <c r="H3133" s="23">
        <v>67600</v>
      </c>
    </row>
    <row r="3134" spans="7:8" x14ac:dyDescent="0.35">
      <c r="G3134" t="s">
        <v>3150</v>
      </c>
      <c r="H3134" s="23">
        <v>61400</v>
      </c>
    </row>
    <row r="3135" spans="7:8" x14ac:dyDescent="0.35">
      <c r="G3135" t="s">
        <v>3151</v>
      </c>
      <c r="H3135" s="23">
        <v>81500</v>
      </c>
    </row>
    <row r="3136" spans="7:8" x14ac:dyDescent="0.35">
      <c r="G3136" t="s">
        <v>3152</v>
      </c>
      <c r="H3136" s="23">
        <v>63100</v>
      </c>
    </row>
    <row r="3137" spans="7:8" x14ac:dyDescent="0.35">
      <c r="G3137" t="s">
        <v>3153</v>
      </c>
      <c r="H3137" s="23">
        <v>102500</v>
      </c>
    </row>
    <row r="3138" spans="7:8" x14ac:dyDescent="0.35">
      <c r="G3138" t="s">
        <v>3154</v>
      </c>
      <c r="H3138" s="23">
        <v>108900</v>
      </c>
    </row>
    <row r="3139" spans="7:8" x14ac:dyDescent="0.35">
      <c r="G3139" t="s">
        <v>3155</v>
      </c>
      <c r="H3139" s="23">
        <v>98100</v>
      </c>
    </row>
    <row r="3140" spans="7:8" x14ac:dyDescent="0.35">
      <c r="G3140" t="s">
        <v>3156</v>
      </c>
      <c r="H3140" s="23">
        <v>80900</v>
      </c>
    </row>
    <row r="3141" spans="7:8" x14ac:dyDescent="0.35">
      <c r="G3141" t="s">
        <v>3157</v>
      </c>
      <c r="H3141" s="23">
        <v>64500</v>
      </c>
    </row>
    <row r="3142" spans="7:8" x14ac:dyDescent="0.35">
      <c r="G3142" t="s">
        <v>3158</v>
      </c>
      <c r="H3142" s="23">
        <v>76200</v>
      </c>
    </row>
    <row r="3143" spans="7:8" x14ac:dyDescent="0.35">
      <c r="G3143" t="s">
        <v>3159</v>
      </c>
      <c r="H3143" s="23">
        <v>100500</v>
      </c>
    </row>
    <row r="3144" spans="7:8" x14ac:dyDescent="0.35">
      <c r="G3144" t="s">
        <v>3160</v>
      </c>
      <c r="H3144" s="23">
        <v>98300</v>
      </c>
    </row>
    <row r="3145" spans="7:8" x14ac:dyDescent="0.35">
      <c r="G3145" t="s">
        <v>3161</v>
      </c>
      <c r="H3145" s="23">
        <v>70200</v>
      </c>
    </row>
    <row r="3146" spans="7:8" x14ac:dyDescent="0.35">
      <c r="G3146" t="s">
        <v>3162</v>
      </c>
      <c r="H3146" s="23">
        <v>75600</v>
      </c>
    </row>
    <row r="3147" spans="7:8" x14ac:dyDescent="0.35">
      <c r="G3147" t="s">
        <v>3163</v>
      </c>
      <c r="H3147" s="23">
        <v>69300</v>
      </c>
    </row>
    <row r="3148" spans="7:8" x14ac:dyDescent="0.35">
      <c r="G3148" t="s">
        <v>3164</v>
      </c>
      <c r="H3148" s="23">
        <v>78000</v>
      </c>
    </row>
    <row r="3149" spans="7:8" x14ac:dyDescent="0.35">
      <c r="G3149" t="s">
        <v>3165</v>
      </c>
      <c r="H3149" s="23">
        <v>183600</v>
      </c>
    </row>
    <row r="3150" spans="7:8" x14ac:dyDescent="0.35">
      <c r="G3150" t="s">
        <v>3166</v>
      </c>
      <c r="H3150" s="23">
        <v>69500</v>
      </c>
    </row>
    <row r="3151" spans="7:8" x14ac:dyDescent="0.35">
      <c r="G3151" t="s">
        <v>3167</v>
      </c>
      <c r="H3151" s="23">
        <v>100400</v>
      </c>
    </row>
    <row r="3152" spans="7:8" x14ac:dyDescent="0.35">
      <c r="G3152" t="s">
        <v>3168</v>
      </c>
      <c r="H3152" s="23">
        <v>82800</v>
      </c>
    </row>
    <row r="3153" spans="7:8" x14ac:dyDescent="0.35">
      <c r="G3153" t="s">
        <v>3169</v>
      </c>
      <c r="H3153" s="23">
        <v>86400</v>
      </c>
    </row>
    <row r="3154" spans="7:8" x14ac:dyDescent="0.35">
      <c r="G3154" t="s">
        <v>3170</v>
      </c>
      <c r="H3154" s="23">
        <v>119500</v>
      </c>
    </row>
    <row r="3155" spans="7:8" x14ac:dyDescent="0.35">
      <c r="G3155" t="s">
        <v>3171</v>
      </c>
      <c r="H3155" s="23">
        <v>56600</v>
      </c>
    </row>
    <row r="3156" spans="7:8" x14ac:dyDescent="0.35">
      <c r="G3156" t="s">
        <v>3172</v>
      </c>
      <c r="H3156" s="23">
        <v>53800</v>
      </c>
    </row>
    <row r="3157" spans="7:8" x14ac:dyDescent="0.35">
      <c r="G3157" t="s">
        <v>3173</v>
      </c>
      <c r="H3157" s="23">
        <v>72400</v>
      </c>
    </row>
    <row r="3158" spans="7:8" x14ac:dyDescent="0.35">
      <c r="G3158" t="s">
        <v>3174</v>
      </c>
      <c r="H3158" s="23">
        <v>88100</v>
      </c>
    </row>
    <row r="3159" spans="7:8" x14ac:dyDescent="0.35">
      <c r="G3159" t="s">
        <v>3175</v>
      </c>
      <c r="H3159" s="23">
        <v>125800</v>
      </c>
    </row>
    <row r="3160" spans="7:8" x14ac:dyDescent="0.35">
      <c r="G3160" t="s">
        <v>3176</v>
      </c>
      <c r="H3160" s="23">
        <v>68100</v>
      </c>
    </row>
    <row r="3161" spans="7:8" x14ac:dyDescent="0.35">
      <c r="G3161" t="s">
        <v>3177</v>
      </c>
      <c r="H3161" s="23">
        <v>108500</v>
      </c>
    </row>
    <row r="3162" spans="7:8" x14ac:dyDescent="0.35">
      <c r="G3162" t="s">
        <v>3178</v>
      </c>
      <c r="H3162" s="23">
        <v>111900</v>
      </c>
    </row>
    <row r="3163" spans="7:8" x14ac:dyDescent="0.35">
      <c r="G3163" t="s">
        <v>3179</v>
      </c>
      <c r="H3163" s="23">
        <v>73800</v>
      </c>
    </row>
    <row r="3164" spans="7:8" x14ac:dyDescent="0.35">
      <c r="G3164" t="s">
        <v>3180</v>
      </c>
      <c r="H3164" s="23">
        <v>83900</v>
      </c>
    </row>
    <row r="3165" spans="7:8" x14ac:dyDescent="0.35">
      <c r="G3165" t="s">
        <v>3181</v>
      </c>
      <c r="H3165" s="23">
        <v>83200</v>
      </c>
    </row>
    <row r="3166" spans="7:8" x14ac:dyDescent="0.35">
      <c r="G3166" t="s">
        <v>3182</v>
      </c>
      <c r="H3166" s="23">
        <v>84200</v>
      </c>
    </row>
    <row r="3167" spans="7:8" x14ac:dyDescent="0.35">
      <c r="G3167" t="s">
        <v>3183</v>
      </c>
      <c r="H3167" s="23">
        <v>90600</v>
      </c>
    </row>
    <row r="3168" spans="7:8" x14ac:dyDescent="0.35">
      <c r="G3168" t="s">
        <v>3184</v>
      </c>
      <c r="H3168" s="23">
        <v>98500</v>
      </c>
    </row>
    <row r="3169" spans="7:8" x14ac:dyDescent="0.35">
      <c r="G3169" t="s">
        <v>3185</v>
      </c>
      <c r="H3169" s="23">
        <v>63300</v>
      </c>
    </row>
    <row r="3170" spans="7:8" x14ac:dyDescent="0.35">
      <c r="G3170" t="s">
        <v>3186</v>
      </c>
      <c r="H3170" s="23">
        <v>79800</v>
      </c>
    </row>
    <row r="3171" spans="7:8" x14ac:dyDescent="0.35">
      <c r="G3171" t="s">
        <v>3187</v>
      </c>
      <c r="H3171" s="23">
        <v>86300</v>
      </c>
    </row>
    <row r="3172" spans="7:8" x14ac:dyDescent="0.35">
      <c r="G3172" t="s">
        <v>3188</v>
      </c>
      <c r="H3172" s="23">
        <v>113300</v>
      </c>
    </row>
    <row r="3173" spans="7:8" x14ac:dyDescent="0.35">
      <c r="G3173" t="s">
        <v>3189</v>
      </c>
      <c r="H3173" s="23">
        <v>90300</v>
      </c>
    </row>
    <row r="3174" spans="7:8" x14ac:dyDescent="0.35">
      <c r="G3174" t="s">
        <v>3190</v>
      </c>
      <c r="H3174" s="23">
        <v>128000</v>
      </c>
    </row>
    <row r="3175" spans="7:8" x14ac:dyDescent="0.35">
      <c r="G3175" t="s">
        <v>3191</v>
      </c>
      <c r="H3175" s="23">
        <v>77200</v>
      </c>
    </row>
    <row r="3176" spans="7:8" x14ac:dyDescent="0.35">
      <c r="G3176" t="s">
        <v>3192</v>
      </c>
      <c r="H3176" s="23">
        <v>73900</v>
      </c>
    </row>
    <row r="3177" spans="7:8" x14ac:dyDescent="0.35">
      <c r="G3177" t="s">
        <v>3193</v>
      </c>
      <c r="H3177" s="23">
        <v>117200</v>
      </c>
    </row>
    <row r="3178" spans="7:8" x14ac:dyDescent="0.35">
      <c r="G3178" t="s">
        <v>3194</v>
      </c>
      <c r="H3178" s="23">
        <v>102000</v>
      </c>
    </row>
    <row r="3179" spans="7:8" x14ac:dyDescent="0.35">
      <c r="G3179" t="s">
        <v>3195</v>
      </c>
      <c r="H3179" s="23">
        <v>68400</v>
      </c>
    </row>
    <row r="3180" spans="7:8" x14ac:dyDescent="0.35">
      <c r="G3180" t="s">
        <v>3196</v>
      </c>
      <c r="H3180" s="23">
        <v>95500</v>
      </c>
    </row>
    <row r="3181" spans="7:8" x14ac:dyDescent="0.35">
      <c r="G3181" t="s">
        <v>3197</v>
      </c>
      <c r="H3181" s="23">
        <v>101100</v>
      </c>
    </row>
    <row r="3182" spans="7:8" x14ac:dyDescent="0.35">
      <c r="G3182" t="s">
        <v>3198</v>
      </c>
      <c r="H3182" s="23">
        <v>79000</v>
      </c>
    </row>
    <row r="3183" spans="7:8" x14ac:dyDescent="0.35">
      <c r="G3183" t="s">
        <v>3199</v>
      </c>
      <c r="H3183" s="23">
        <v>93300</v>
      </c>
    </row>
    <row r="3184" spans="7:8" x14ac:dyDescent="0.35">
      <c r="G3184" t="s">
        <v>3200</v>
      </c>
      <c r="H3184" s="23">
        <v>63100</v>
      </c>
    </row>
    <row r="3185" spans="7:8" x14ac:dyDescent="0.35">
      <c r="G3185" t="s">
        <v>3201</v>
      </c>
      <c r="H3185" s="23">
        <v>86800</v>
      </c>
    </row>
    <row r="3186" spans="7:8" x14ac:dyDescent="0.35">
      <c r="G3186" t="s">
        <v>3202</v>
      </c>
      <c r="H3186" s="23">
        <v>52500</v>
      </c>
    </row>
    <row r="3187" spans="7:8" x14ac:dyDescent="0.35">
      <c r="G3187" t="s">
        <v>3203</v>
      </c>
      <c r="H3187" s="23">
        <v>70100</v>
      </c>
    </row>
    <row r="3188" spans="7:8" x14ac:dyDescent="0.35">
      <c r="G3188" t="s">
        <v>3204</v>
      </c>
      <c r="H3188" s="23">
        <v>108100</v>
      </c>
    </row>
    <row r="3189" spans="7:8" x14ac:dyDescent="0.35">
      <c r="G3189" t="s">
        <v>3205</v>
      </c>
      <c r="H3189" s="23">
        <v>62500</v>
      </c>
    </row>
    <row r="3190" spans="7:8" x14ac:dyDescent="0.35">
      <c r="G3190" t="s">
        <v>3206</v>
      </c>
      <c r="H3190" s="23">
        <v>54300</v>
      </c>
    </row>
    <row r="3191" spans="7:8" x14ac:dyDescent="0.35">
      <c r="G3191" t="s">
        <v>3207</v>
      </c>
      <c r="H3191" s="23">
        <v>48700</v>
      </c>
    </row>
    <row r="3192" spans="7:8" x14ac:dyDescent="0.35">
      <c r="G3192" t="s">
        <v>3208</v>
      </c>
      <c r="H3192" s="23">
        <v>93200</v>
      </c>
    </row>
    <row r="3193" spans="7:8" x14ac:dyDescent="0.35">
      <c r="G3193" t="s">
        <v>3209</v>
      </c>
      <c r="H3193" s="23">
        <v>95300</v>
      </c>
    </row>
    <row r="3194" spans="7:8" x14ac:dyDescent="0.35">
      <c r="G3194" t="s">
        <v>3210</v>
      </c>
      <c r="H3194" s="23">
        <v>77000</v>
      </c>
    </row>
    <row r="3195" spans="7:8" x14ac:dyDescent="0.35">
      <c r="G3195" t="s">
        <v>3211</v>
      </c>
      <c r="H3195" s="23">
        <v>96100</v>
      </c>
    </row>
    <row r="3196" spans="7:8" x14ac:dyDescent="0.35">
      <c r="G3196" t="s">
        <v>3212</v>
      </c>
      <c r="H3196" s="23">
        <v>116100</v>
      </c>
    </row>
    <row r="3197" spans="7:8" x14ac:dyDescent="0.35">
      <c r="G3197" t="s">
        <v>3213</v>
      </c>
      <c r="H3197" s="23">
        <v>48100</v>
      </c>
    </row>
    <row r="3198" spans="7:8" x14ac:dyDescent="0.35">
      <c r="G3198" t="s">
        <v>3214</v>
      </c>
      <c r="H3198" s="23">
        <v>64700</v>
      </c>
    </row>
    <row r="3199" spans="7:8" x14ac:dyDescent="0.35">
      <c r="G3199" t="s">
        <v>3215</v>
      </c>
      <c r="H3199" s="23">
        <v>99000</v>
      </c>
    </row>
    <row r="3200" spans="7:8" x14ac:dyDescent="0.35">
      <c r="G3200" t="s">
        <v>3216</v>
      </c>
      <c r="H3200" s="23">
        <v>105400</v>
      </c>
    </row>
    <row r="3201" spans="7:8" x14ac:dyDescent="0.35">
      <c r="G3201" t="s">
        <v>3217</v>
      </c>
      <c r="H3201" s="23">
        <v>85100</v>
      </c>
    </row>
    <row r="3202" spans="7:8" x14ac:dyDescent="0.35">
      <c r="G3202" t="s">
        <v>3218</v>
      </c>
      <c r="H3202" s="23">
        <v>84400</v>
      </c>
    </row>
    <row r="3203" spans="7:8" x14ac:dyDescent="0.35">
      <c r="G3203" t="s">
        <v>3219</v>
      </c>
      <c r="H3203" s="23">
        <v>90100</v>
      </c>
    </row>
    <row r="3204" spans="7:8" x14ac:dyDescent="0.35">
      <c r="G3204" t="s">
        <v>3220</v>
      </c>
      <c r="H3204" s="23">
        <v>104400</v>
      </c>
    </row>
    <row r="3205" spans="7:8" x14ac:dyDescent="0.35">
      <c r="G3205" t="s">
        <v>3221</v>
      </c>
      <c r="H3205" s="23">
        <v>93400</v>
      </c>
    </row>
    <row r="3206" spans="7:8" x14ac:dyDescent="0.35">
      <c r="G3206" t="s">
        <v>3222</v>
      </c>
      <c r="H3206" s="23">
        <v>81400</v>
      </c>
    </row>
    <row r="3207" spans="7:8" x14ac:dyDescent="0.35">
      <c r="G3207" t="s">
        <v>3223</v>
      </c>
      <c r="H3207" s="23">
        <v>53300</v>
      </c>
    </row>
    <row r="3208" spans="7:8" x14ac:dyDescent="0.35">
      <c r="G3208" t="s">
        <v>3224</v>
      </c>
      <c r="H3208" s="23">
        <v>94900</v>
      </c>
    </row>
    <row r="3209" spans="7:8" x14ac:dyDescent="0.35">
      <c r="G3209" t="s">
        <v>3225</v>
      </c>
      <c r="H3209" s="23">
        <v>70200</v>
      </c>
    </row>
    <row r="3210" spans="7:8" x14ac:dyDescent="0.35">
      <c r="G3210" t="s">
        <v>3226</v>
      </c>
      <c r="H3210" s="23">
        <v>78200</v>
      </c>
    </row>
    <row r="3211" spans="7:8" x14ac:dyDescent="0.35">
      <c r="G3211" t="s">
        <v>3227</v>
      </c>
      <c r="H3211" s="23">
        <v>81700</v>
      </c>
    </row>
    <row r="3212" spans="7:8" x14ac:dyDescent="0.35">
      <c r="G3212" t="s">
        <v>3228</v>
      </c>
      <c r="H3212" s="23">
        <v>59100</v>
      </c>
    </row>
    <row r="3213" spans="7:8" x14ac:dyDescent="0.35">
      <c r="G3213" t="s">
        <v>3229</v>
      </c>
      <c r="H3213" s="23">
        <v>66700</v>
      </c>
    </row>
    <row r="3214" spans="7:8" x14ac:dyDescent="0.35">
      <c r="G3214" t="s">
        <v>3230</v>
      </c>
      <c r="H3214" s="23">
        <v>83400</v>
      </c>
    </row>
    <row r="3215" spans="7:8" x14ac:dyDescent="0.35">
      <c r="G3215" t="s">
        <v>3231</v>
      </c>
      <c r="H3215" s="23">
        <v>40600</v>
      </c>
    </row>
    <row r="3216" spans="7:8" x14ac:dyDescent="0.35">
      <c r="G3216" t="s">
        <v>3232</v>
      </c>
      <c r="H3216" s="23">
        <v>109700</v>
      </c>
    </row>
    <row r="3217" spans="7:8" x14ac:dyDescent="0.35">
      <c r="G3217" t="s">
        <v>3233</v>
      </c>
      <c r="H3217" s="23">
        <v>41800</v>
      </c>
    </row>
    <row r="3218" spans="7:8" x14ac:dyDescent="0.35">
      <c r="G3218" t="s">
        <v>3234</v>
      </c>
      <c r="H3218" s="23">
        <v>69600</v>
      </c>
    </row>
    <row r="3219" spans="7:8" x14ac:dyDescent="0.35">
      <c r="G3219" t="s">
        <v>3235</v>
      </c>
      <c r="H3219" s="23">
        <v>85700</v>
      </c>
    </row>
    <row r="3220" spans="7:8" x14ac:dyDescent="0.35">
      <c r="G3220" t="s">
        <v>3236</v>
      </c>
      <c r="H3220" s="23">
        <v>93900</v>
      </c>
    </row>
    <row r="3221" spans="7:8" x14ac:dyDescent="0.35">
      <c r="G3221" t="s">
        <v>3237</v>
      </c>
      <c r="H3221" s="23">
        <v>93600</v>
      </c>
    </row>
    <row r="3222" spans="7:8" x14ac:dyDescent="0.35">
      <c r="G3222" t="s">
        <v>3238</v>
      </c>
      <c r="H3222" s="23">
        <v>101400</v>
      </c>
    </row>
    <row r="3223" spans="7:8" x14ac:dyDescent="0.35">
      <c r="G3223" t="s">
        <v>3239</v>
      </c>
      <c r="H3223" s="23">
        <v>93900</v>
      </c>
    </row>
    <row r="3224" spans="7:8" x14ac:dyDescent="0.35">
      <c r="G3224" t="s">
        <v>3240</v>
      </c>
      <c r="H3224" s="23">
        <v>59300</v>
      </c>
    </row>
    <row r="3225" spans="7:8" x14ac:dyDescent="0.35">
      <c r="G3225" t="s">
        <v>3241</v>
      </c>
      <c r="H3225" s="23">
        <v>77700</v>
      </c>
    </row>
    <row r="3226" spans="7:8" x14ac:dyDescent="0.35">
      <c r="G3226" t="s">
        <v>3242</v>
      </c>
      <c r="H3226" s="23">
        <v>61800</v>
      </c>
    </row>
    <row r="3227" spans="7:8" x14ac:dyDescent="0.35">
      <c r="G3227" t="s">
        <v>3243</v>
      </c>
      <c r="H3227" s="23">
        <v>86100</v>
      </c>
    </row>
    <row r="3228" spans="7:8" x14ac:dyDescent="0.35">
      <c r="G3228" t="s">
        <v>3244</v>
      </c>
      <c r="H3228" s="23">
        <v>74800</v>
      </c>
    </row>
    <row r="3229" spans="7:8" x14ac:dyDescent="0.35">
      <c r="G3229" t="s">
        <v>3245</v>
      </c>
      <c r="H3229" s="23">
        <v>65800</v>
      </c>
    </row>
    <row r="3230" spans="7:8" x14ac:dyDescent="0.35">
      <c r="G3230" t="s">
        <v>3246</v>
      </c>
      <c r="H3230" s="23">
        <v>107800</v>
      </c>
    </row>
    <row r="3231" spans="7:8" x14ac:dyDescent="0.35">
      <c r="G3231" t="s">
        <v>3247</v>
      </c>
      <c r="H3231" s="23">
        <v>76100</v>
      </c>
    </row>
    <row r="3232" spans="7:8" x14ac:dyDescent="0.35">
      <c r="G3232" t="s">
        <v>3248</v>
      </c>
      <c r="H3232" s="23">
        <v>62400</v>
      </c>
    </row>
    <row r="3233" spans="7:8" x14ac:dyDescent="0.35">
      <c r="G3233" t="s">
        <v>3249</v>
      </c>
      <c r="H3233" s="23">
        <v>82100</v>
      </c>
    </row>
    <row r="3234" spans="7:8" x14ac:dyDescent="0.35">
      <c r="G3234" t="s">
        <v>3250</v>
      </c>
      <c r="H3234" s="23">
        <v>46200</v>
      </c>
    </row>
    <row r="3235" spans="7:8" x14ac:dyDescent="0.35">
      <c r="G3235" t="s">
        <v>3251</v>
      </c>
      <c r="H3235" s="23">
        <v>117100</v>
      </c>
    </row>
    <row r="3236" spans="7:8" x14ac:dyDescent="0.35">
      <c r="G3236" t="s">
        <v>3252</v>
      </c>
      <c r="H3236" s="23">
        <v>66800</v>
      </c>
    </row>
    <row r="3237" spans="7:8" x14ac:dyDescent="0.35">
      <c r="G3237" t="s">
        <v>3253</v>
      </c>
      <c r="H3237" s="23">
        <v>83600</v>
      </c>
    </row>
    <row r="3238" spans="7:8" x14ac:dyDescent="0.35">
      <c r="G3238" t="s">
        <v>3254</v>
      </c>
      <c r="H3238" s="23">
        <v>102300</v>
      </c>
    </row>
    <row r="3239" spans="7:8" x14ac:dyDescent="0.35">
      <c r="G3239" t="s">
        <v>3255</v>
      </c>
      <c r="H3239" s="23">
        <v>78300</v>
      </c>
    </row>
    <row r="3240" spans="7:8" x14ac:dyDescent="0.35">
      <c r="G3240" t="s">
        <v>3256</v>
      </c>
      <c r="H3240" s="23">
        <v>68300</v>
      </c>
    </row>
    <row r="3241" spans="7:8" x14ac:dyDescent="0.35">
      <c r="G3241" t="s">
        <v>3257</v>
      </c>
      <c r="H3241" s="23">
        <v>80300</v>
      </c>
    </row>
    <row r="3242" spans="7:8" x14ac:dyDescent="0.35">
      <c r="G3242" t="s">
        <v>3258</v>
      </c>
      <c r="H3242" s="23">
        <v>40700</v>
      </c>
    </row>
    <row r="3243" spans="7:8" x14ac:dyDescent="0.35">
      <c r="G3243" t="s">
        <v>3259</v>
      </c>
      <c r="H3243" s="23">
        <v>103300</v>
      </c>
    </row>
    <row r="3244" spans="7:8" x14ac:dyDescent="0.35">
      <c r="G3244" t="s">
        <v>3260</v>
      </c>
      <c r="H3244" s="23">
        <v>89000</v>
      </c>
    </row>
    <row r="3245" spans="7:8" x14ac:dyDescent="0.35">
      <c r="G3245" t="s">
        <v>3261</v>
      </c>
      <c r="H3245" s="23">
        <v>75500</v>
      </c>
    </row>
    <row r="3246" spans="7:8" x14ac:dyDescent="0.35">
      <c r="G3246" t="s">
        <v>3262</v>
      </c>
      <c r="H3246" s="23">
        <v>77300</v>
      </c>
    </row>
    <row r="3247" spans="7:8" x14ac:dyDescent="0.35">
      <c r="G3247" t="s">
        <v>3263</v>
      </c>
      <c r="H3247" s="23">
        <v>81300</v>
      </c>
    </row>
    <row r="3248" spans="7:8" x14ac:dyDescent="0.35">
      <c r="G3248" t="s">
        <v>3264</v>
      </c>
      <c r="H3248" s="23">
        <v>75600</v>
      </c>
    </row>
    <row r="3249" spans="7:8" x14ac:dyDescent="0.35">
      <c r="G3249" t="s">
        <v>3265</v>
      </c>
      <c r="H3249" s="23">
        <v>99700</v>
      </c>
    </row>
    <row r="3250" spans="7:8" x14ac:dyDescent="0.35">
      <c r="G3250" t="s">
        <v>3266</v>
      </c>
      <c r="H3250" s="23">
        <v>91900</v>
      </c>
    </row>
    <row r="3251" spans="7:8" x14ac:dyDescent="0.35">
      <c r="G3251" t="s">
        <v>3267</v>
      </c>
      <c r="H3251" s="23">
        <v>90100</v>
      </c>
    </row>
    <row r="3252" spans="7:8" x14ac:dyDescent="0.35">
      <c r="G3252" t="s">
        <v>3268</v>
      </c>
      <c r="H3252" s="23">
        <v>63200</v>
      </c>
    </row>
    <row r="3253" spans="7:8" x14ac:dyDescent="0.35">
      <c r="G3253" t="s">
        <v>3269</v>
      </c>
      <c r="H3253" s="23">
        <v>74800</v>
      </c>
    </row>
    <row r="3254" spans="7:8" x14ac:dyDescent="0.35">
      <c r="G3254" t="s">
        <v>3270</v>
      </c>
      <c r="H3254" s="23">
        <v>92000</v>
      </c>
    </row>
    <row r="3255" spans="7:8" x14ac:dyDescent="0.35">
      <c r="G3255" t="s">
        <v>3271</v>
      </c>
      <c r="H3255" s="23">
        <v>99200</v>
      </c>
    </row>
    <row r="3256" spans="7:8" x14ac:dyDescent="0.35">
      <c r="G3256" t="s">
        <v>3272</v>
      </c>
      <c r="H3256" s="23">
        <v>64400</v>
      </c>
    </row>
    <row r="3257" spans="7:8" x14ac:dyDescent="0.35">
      <c r="G3257" t="s">
        <v>3273</v>
      </c>
      <c r="H3257" s="23">
        <v>86200</v>
      </c>
    </row>
    <row r="3258" spans="7:8" x14ac:dyDescent="0.35">
      <c r="G3258" t="s">
        <v>3274</v>
      </c>
      <c r="H3258" s="23">
        <v>64300</v>
      </c>
    </row>
    <row r="3259" spans="7:8" x14ac:dyDescent="0.35">
      <c r="G3259" t="s">
        <v>3275</v>
      </c>
      <c r="H3259" s="23">
        <v>82200</v>
      </c>
    </row>
    <row r="3260" spans="7:8" x14ac:dyDescent="0.35">
      <c r="G3260" t="s">
        <v>3276</v>
      </c>
      <c r="H3260" s="23">
        <v>94100</v>
      </c>
    </row>
    <row r="3261" spans="7:8" x14ac:dyDescent="0.35">
      <c r="G3261" t="s">
        <v>3277</v>
      </c>
      <c r="H3261" s="23">
        <v>94600</v>
      </c>
    </row>
    <row r="3262" spans="7:8" x14ac:dyDescent="0.35">
      <c r="G3262" t="s">
        <v>3278</v>
      </c>
      <c r="H3262" s="23">
        <v>48700</v>
      </c>
    </row>
    <row r="3263" spans="7:8" x14ac:dyDescent="0.35">
      <c r="G3263" t="s">
        <v>3279</v>
      </c>
      <c r="H3263" s="23">
        <v>80200</v>
      </c>
    </row>
    <row r="3264" spans="7:8" x14ac:dyDescent="0.35">
      <c r="G3264" t="s">
        <v>3280</v>
      </c>
      <c r="H3264" s="23">
        <v>84800</v>
      </c>
    </row>
    <row r="3265" spans="7:8" x14ac:dyDescent="0.35">
      <c r="G3265" t="s">
        <v>3281</v>
      </c>
      <c r="H3265" s="23">
        <v>115700</v>
      </c>
    </row>
    <row r="3266" spans="7:8" x14ac:dyDescent="0.35">
      <c r="G3266" t="s">
        <v>3282</v>
      </c>
      <c r="H3266" s="23">
        <v>82400</v>
      </c>
    </row>
    <row r="3267" spans="7:8" x14ac:dyDescent="0.35">
      <c r="G3267" t="s">
        <v>3283</v>
      </c>
      <c r="H3267" s="23">
        <v>87600</v>
      </c>
    </row>
    <row r="3268" spans="7:8" x14ac:dyDescent="0.35">
      <c r="G3268" t="s">
        <v>3284</v>
      </c>
      <c r="H3268" s="23">
        <v>87600</v>
      </c>
    </row>
    <row r="3269" spans="7:8" x14ac:dyDescent="0.35">
      <c r="G3269" t="s">
        <v>3285</v>
      </c>
      <c r="H3269" s="23">
        <v>87700</v>
      </c>
    </row>
    <row r="3270" spans="7:8" x14ac:dyDescent="0.35">
      <c r="G3270" t="s">
        <v>3286</v>
      </c>
      <c r="H3270" s="23">
        <v>63100</v>
      </c>
    </row>
    <row r="3271" spans="7:8" x14ac:dyDescent="0.35">
      <c r="G3271" t="s">
        <v>3287</v>
      </c>
      <c r="H3271" s="23">
        <v>100300</v>
      </c>
    </row>
    <row r="3272" spans="7:8" x14ac:dyDescent="0.35">
      <c r="G3272" t="s">
        <v>3288</v>
      </c>
      <c r="H3272" s="23">
        <v>54600</v>
      </c>
    </row>
    <row r="3273" spans="7:8" x14ac:dyDescent="0.35">
      <c r="G3273" t="s">
        <v>3289</v>
      </c>
      <c r="H3273" s="23">
        <v>87800</v>
      </c>
    </row>
    <row r="3274" spans="7:8" x14ac:dyDescent="0.35">
      <c r="G3274" t="s">
        <v>3290</v>
      </c>
      <c r="H3274" s="23">
        <v>101300</v>
      </c>
    </row>
    <row r="3275" spans="7:8" x14ac:dyDescent="0.35">
      <c r="G3275" t="s">
        <v>3291</v>
      </c>
      <c r="H3275" s="23">
        <v>64700</v>
      </c>
    </row>
    <row r="3276" spans="7:8" x14ac:dyDescent="0.35">
      <c r="G3276" t="s">
        <v>3292</v>
      </c>
      <c r="H3276" s="23">
        <v>78100</v>
      </c>
    </row>
    <row r="3277" spans="7:8" x14ac:dyDescent="0.35">
      <c r="G3277" t="s">
        <v>3293</v>
      </c>
      <c r="H3277" s="23">
        <v>81000</v>
      </c>
    </row>
    <row r="3278" spans="7:8" x14ac:dyDescent="0.35">
      <c r="G3278" t="s">
        <v>3294</v>
      </c>
      <c r="H3278" s="23">
        <v>69700</v>
      </c>
    </row>
    <row r="3279" spans="7:8" x14ac:dyDescent="0.35">
      <c r="G3279" t="s">
        <v>3295</v>
      </c>
      <c r="H3279" s="23">
        <v>58500</v>
      </c>
    </row>
    <row r="3280" spans="7:8" x14ac:dyDescent="0.35">
      <c r="G3280" t="s">
        <v>3296</v>
      </c>
      <c r="H3280" s="23">
        <v>64600</v>
      </c>
    </row>
    <row r="3281" spans="7:8" x14ac:dyDescent="0.35">
      <c r="G3281" t="s">
        <v>3297</v>
      </c>
      <c r="H3281" s="23">
        <v>63700</v>
      </c>
    </row>
    <row r="3282" spans="7:8" x14ac:dyDescent="0.35">
      <c r="G3282" t="s">
        <v>3298</v>
      </c>
      <c r="H3282" s="23">
        <v>71400</v>
      </c>
    </row>
    <row r="3283" spans="7:8" x14ac:dyDescent="0.35">
      <c r="G3283" t="s">
        <v>3299</v>
      </c>
      <c r="H3283" s="23">
        <v>77400</v>
      </c>
    </row>
    <row r="3284" spans="7:8" x14ac:dyDescent="0.35">
      <c r="G3284" t="s">
        <v>3300</v>
      </c>
      <c r="H3284" s="23">
        <v>106700</v>
      </c>
    </row>
    <row r="3285" spans="7:8" x14ac:dyDescent="0.35">
      <c r="G3285" t="s">
        <v>3301</v>
      </c>
      <c r="H3285" s="23">
        <v>46200</v>
      </c>
    </row>
    <row r="3286" spans="7:8" x14ac:dyDescent="0.35">
      <c r="G3286" t="s">
        <v>3302</v>
      </c>
      <c r="H3286" s="23">
        <v>60700</v>
      </c>
    </row>
    <row r="3287" spans="7:8" x14ac:dyDescent="0.35">
      <c r="G3287" t="s">
        <v>3303</v>
      </c>
      <c r="H3287" s="23">
        <v>70600</v>
      </c>
    </row>
    <row r="3288" spans="7:8" x14ac:dyDescent="0.35">
      <c r="G3288" t="s">
        <v>3304</v>
      </c>
      <c r="H3288" s="23">
        <v>75200</v>
      </c>
    </row>
    <row r="3289" spans="7:8" x14ac:dyDescent="0.35">
      <c r="G3289" t="s">
        <v>3305</v>
      </c>
      <c r="H3289" s="23">
        <v>109800</v>
      </c>
    </row>
    <row r="3290" spans="7:8" x14ac:dyDescent="0.35">
      <c r="G3290" t="s">
        <v>3306</v>
      </c>
      <c r="H3290" s="23">
        <v>94800</v>
      </c>
    </row>
    <row r="3291" spans="7:8" x14ac:dyDescent="0.35">
      <c r="G3291" t="s">
        <v>3307</v>
      </c>
      <c r="H3291" s="23">
        <v>126000</v>
      </c>
    </row>
    <row r="3292" spans="7:8" x14ac:dyDescent="0.35">
      <c r="G3292" t="s">
        <v>3308</v>
      </c>
      <c r="H3292" s="23">
        <v>97100</v>
      </c>
    </row>
    <row r="3293" spans="7:8" x14ac:dyDescent="0.35">
      <c r="G3293" t="s">
        <v>3309</v>
      </c>
      <c r="H3293" s="23">
        <v>69500</v>
      </c>
    </row>
    <row r="3294" spans="7:8" x14ac:dyDescent="0.35">
      <c r="G3294" t="s">
        <v>3310</v>
      </c>
      <c r="H3294" s="23">
        <v>80200</v>
      </c>
    </row>
    <row r="3295" spans="7:8" x14ac:dyDescent="0.35">
      <c r="G3295" t="s">
        <v>3311</v>
      </c>
      <c r="H3295" s="23">
        <v>58100</v>
      </c>
    </row>
    <row r="3296" spans="7:8" x14ac:dyDescent="0.35">
      <c r="G3296" t="s">
        <v>3312</v>
      </c>
      <c r="H3296" s="23">
        <v>75600</v>
      </c>
    </row>
    <row r="3297" spans="7:8" x14ac:dyDescent="0.35">
      <c r="G3297" t="s">
        <v>3313</v>
      </c>
      <c r="H3297" s="23">
        <v>101300</v>
      </c>
    </row>
    <row r="3298" spans="7:8" x14ac:dyDescent="0.35">
      <c r="G3298" t="s">
        <v>3314</v>
      </c>
      <c r="H3298" s="23">
        <v>95500</v>
      </c>
    </row>
    <row r="3299" spans="7:8" x14ac:dyDescent="0.35">
      <c r="G3299" t="s">
        <v>3315</v>
      </c>
      <c r="H3299" s="23">
        <v>73400</v>
      </c>
    </row>
    <row r="3300" spans="7:8" x14ac:dyDescent="0.35">
      <c r="G3300" t="s">
        <v>3316</v>
      </c>
      <c r="H3300" s="23">
        <v>72900</v>
      </c>
    </row>
    <row r="3301" spans="7:8" x14ac:dyDescent="0.35">
      <c r="G3301" t="s">
        <v>3317</v>
      </c>
      <c r="H3301" s="23">
        <v>99700</v>
      </c>
    </row>
    <row r="3302" spans="7:8" x14ac:dyDescent="0.35">
      <c r="G3302" t="s">
        <v>3318</v>
      </c>
      <c r="H3302" s="23">
        <v>66500</v>
      </c>
    </row>
    <row r="3303" spans="7:8" x14ac:dyDescent="0.35">
      <c r="G3303" t="s">
        <v>3319</v>
      </c>
      <c r="H3303" s="23">
        <v>73400</v>
      </c>
    </row>
    <row r="3304" spans="7:8" x14ac:dyDescent="0.35">
      <c r="G3304" t="s">
        <v>3320</v>
      </c>
      <c r="H3304" s="23">
        <v>119800</v>
      </c>
    </row>
    <row r="3305" spans="7:8" x14ac:dyDescent="0.35">
      <c r="G3305" t="s">
        <v>3321</v>
      </c>
      <c r="H3305" s="23">
        <v>94900</v>
      </c>
    </row>
    <row r="3306" spans="7:8" x14ac:dyDescent="0.35">
      <c r="G3306" t="s">
        <v>3322</v>
      </c>
      <c r="H3306" s="23">
        <v>95100</v>
      </c>
    </row>
    <row r="3307" spans="7:8" x14ac:dyDescent="0.35">
      <c r="G3307" t="s">
        <v>3323</v>
      </c>
      <c r="H3307" s="23">
        <v>103500</v>
      </c>
    </row>
    <row r="3308" spans="7:8" x14ac:dyDescent="0.35">
      <c r="G3308" t="s">
        <v>3324</v>
      </c>
      <c r="H3308" s="23">
        <v>98400</v>
      </c>
    </row>
    <row r="3309" spans="7:8" x14ac:dyDescent="0.35">
      <c r="G3309" t="s">
        <v>3325</v>
      </c>
      <c r="H3309" s="23">
        <v>76400</v>
      </c>
    </row>
    <row r="3310" spans="7:8" x14ac:dyDescent="0.35">
      <c r="G3310" t="s">
        <v>3326</v>
      </c>
      <c r="H3310" s="23">
        <v>105200</v>
      </c>
    </row>
    <row r="3311" spans="7:8" x14ac:dyDescent="0.35">
      <c r="G3311" t="s">
        <v>3327</v>
      </c>
      <c r="H3311" s="23">
        <v>111600</v>
      </c>
    </row>
    <row r="3312" spans="7:8" x14ac:dyDescent="0.35">
      <c r="G3312" t="s">
        <v>3328</v>
      </c>
      <c r="H3312" s="23">
        <v>118700</v>
      </c>
    </row>
    <row r="3313" spans="7:8" x14ac:dyDescent="0.35">
      <c r="G3313" t="s">
        <v>3329</v>
      </c>
      <c r="H3313" s="23">
        <v>43900</v>
      </c>
    </row>
    <row r="3314" spans="7:8" x14ac:dyDescent="0.35">
      <c r="G3314" t="s">
        <v>3330</v>
      </c>
      <c r="H3314" s="23">
        <v>80900</v>
      </c>
    </row>
    <row r="3315" spans="7:8" x14ac:dyDescent="0.35">
      <c r="G3315" t="s">
        <v>3331</v>
      </c>
      <c r="H3315" s="23">
        <v>67000</v>
      </c>
    </row>
    <row r="3316" spans="7:8" x14ac:dyDescent="0.35">
      <c r="G3316" t="s">
        <v>3332</v>
      </c>
      <c r="H3316" s="23">
        <v>74200</v>
      </c>
    </row>
    <row r="3317" spans="7:8" x14ac:dyDescent="0.35">
      <c r="G3317" t="s">
        <v>3333</v>
      </c>
      <c r="H3317" s="23">
        <v>105400</v>
      </c>
    </row>
    <row r="3318" spans="7:8" x14ac:dyDescent="0.35">
      <c r="G3318" t="s">
        <v>3334</v>
      </c>
      <c r="H3318" s="23">
        <v>55700</v>
      </c>
    </row>
    <row r="3319" spans="7:8" x14ac:dyDescent="0.35">
      <c r="G3319" t="s">
        <v>3335</v>
      </c>
      <c r="H3319" s="23">
        <v>94500</v>
      </c>
    </row>
    <row r="3320" spans="7:8" x14ac:dyDescent="0.35">
      <c r="G3320" t="s">
        <v>3336</v>
      </c>
      <c r="H3320" s="23">
        <v>97600</v>
      </c>
    </row>
    <row r="3321" spans="7:8" x14ac:dyDescent="0.35">
      <c r="G3321" t="s">
        <v>3337</v>
      </c>
      <c r="H3321" s="23">
        <v>107300</v>
      </c>
    </row>
    <row r="3322" spans="7:8" x14ac:dyDescent="0.35">
      <c r="G3322" t="s">
        <v>3338</v>
      </c>
      <c r="H3322" s="23">
        <v>98500</v>
      </c>
    </row>
    <row r="3323" spans="7:8" x14ac:dyDescent="0.35">
      <c r="G3323" t="s">
        <v>3339</v>
      </c>
      <c r="H3323" s="23">
        <v>84100</v>
      </c>
    </row>
    <row r="3324" spans="7:8" x14ac:dyDescent="0.35">
      <c r="G3324" t="s">
        <v>3340</v>
      </c>
      <c r="H3324" s="23">
        <v>94700</v>
      </c>
    </row>
    <row r="3325" spans="7:8" x14ac:dyDescent="0.35">
      <c r="G3325" t="s">
        <v>3341</v>
      </c>
      <c r="H3325" s="23">
        <v>73600</v>
      </c>
    </row>
    <row r="3326" spans="7:8" x14ac:dyDescent="0.35">
      <c r="G3326" t="s">
        <v>3342</v>
      </c>
      <c r="H3326" s="23">
        <v>64800</v>
      </c>
    </row>
    <row r="3327" spans="7:8" x14ac:dyDescent="0.35">
      <c r="G3327" t="s">
        <v>3343</v>
      </c>
      <c r="H3327" s="23">
        <v>86900</v>
      </c>
    </row>
    <row r="3328" spans="7:8" x14ac:dyDescent="0.35">
      <c r="G3328" t="s">
        <v>3344</v>
      </c>
      <c r="H3328" s="23">
        <v>74900</v>
      </c>
    </row>
    <row r="3329" spans="7:8" x14ac:dyDescent="0.35">
      <c r="G3329" t="s">
        <v>3345</v>
      </c>
      <c r="H3329" s="23">
        <v>65800</v>
      </c>
    </row>
    <row r="3330" spans="7:8" x14ac:dyDescent="0.35">
      <c r="G3330" t="s">
        <v>3346</v>
      </c>
      <c r="H3330" s="23">
        <v>45500</v>
      </c>
    </row>
    <row r="3331" spans="7:8" x14ac:dyDescent="0.35">
      <c r="G3331" t="s">
        <v>3347</v>
      </c>
      <c r="H3331" s="23">
        <v>102700</v>
      </c>
    </row>
    <row r="3332" spans="7:8" x14ac:dyDescent="0.35">
      <c r="G3332" t="s">
        <v>3348</v>
      </c>
      <c r="H3332" s="23">
        <v>73800</v>
      </c>
    </row>
    <row r="3333" spans="7:8" x14ac:dyDescent="0.35">
      <c r="G3333" t="s">
        <v>3349</v>
      </c>
      <c r="H3333" s="23">
        <v>100000</v>
      </c>
    </row>
    <row r="3334" spans="7:8" x14ac:dyDescent="0.35">
      <c r="G3334" t="s">
        <v>3350</v>
      </c>
      <c r="H3334" s="23">
        <v>73100</v>
      </c>
    </row>
    <row r="3335" spans="7:8" x14ac:dyDescent="0.35">
      <c r="G3335" t="s">
        <v>3351</v>
      </c>
      <c r="H3335" s="23">
        <v>80500</v>
      </c>
    </row>
    <row r="3336" spans="7:8" x14ac:dyDescent="0.35">
      <c r="G3336" t="s">
        <v>3352</v>
      </c>
      <c r="H3336" s="23">
        <v>107500</v>
      </c>
    </row>
    <row r="3337" spans="7:8" x14ac:dyDescent="0.35">
      <c r="G3337" t="s">
        <v>3353</v>
      </c>
      <c r="H3337" s="23">
        <v>114200</v>
      </c>
    </row>
    <row r="3338" spans="7:8" x14ac:dyDescent="0.35">
      <c r="G3338" t="s">
        <v>3354</v>
      </c>
      <c r="H3338" s="23">
        <v>104300</v>
      </c>
    </row>
    <row r="3339" spans="7:8" x14ac:dyDescent="0.35">
      <c r="G3339" t="s">
        <v>3355</v>
      </c>
      <c r="H3339" s="23">
        <v>102700</v>
      </c>
    </row>
    <row r="3340" spans="7:8" x14ac:dyDescent="0.35">
      <c r="G3340" t="s">
        <v>3356</v>
      </c>
      <c r="H3340" s="23">
        <v>127800</v>
      </c>
    </row>
    <row r="3341" spans="7:8" x14ac:dyDescent="0.35">
      <c r="G3341" t="s">
        <v>3357</v>
      </c>
      <c r="H3341" s="23">
        <v>69400</v>
      </c>
    </row>
    <row r="3342" spans="7:8" x14ac:dyDescent="0.35">
      <c r="G3342" t="s">
        <v>3358</v>
      </c>
      <c r="H3342" s="23">
        <v>58300</v>
      </c>
    </row>
    <row r="3343" spans="7:8" x14ac:dyDescent="0.35">
      <c r="G3343" t="s">
        <v>3359</v>
      </c>
      <c r="H3343" s="23">
        <v>88200</v>
      </c>
    </row>
    <row r="3344" spans="7:8" x14ac:dyDescent="0.35">
      <c r="G3344" t="s">
        <v>3360</v>
      </c>
      <c r="H3344" s="23">
        <v>119100</v>
      </c>
    </row>
    <row r="3345" spans="7:8" x14ac:dyDescent="0.35">
      <c r="G3345" t="s">
        <v>3361</v>
      </c>
      <c r="H3345" s="23">
        <v>63200</v>
      </c>
    </row>
    <row r="3346" spans="7:8" x14ac:dyDescent="0.35">
      <c r="G3346" t="s">
        <v>3362</v>
      </c>
      <c r="H3346" s="23">
        <v>113200</v>
      </c>
    </row>
    <row r="3347" spans="7:8" x14ac:dyDescent="0.35">
      <c r="G3347" t="s">
        <v>3363</v>
      </c>
      <c r="H3347" s="23">
        <v>91400</v>
      </c>
    </row>
    <row r="3348" spans="7:8" x14ac:dyDescent="0.35">
      <c r="G3348" t="s">
        <v>3364</v>
      </c>
      <c r="H3348" s="23">
        <v>85400</v>
      </c>
    </row>
    <row r="3349" spans="7:8" x14ac:dyDescent="0.35">
      <c r="G3349" t="s">
        <v>3365</v>
      </c>
      <c r="H3349" s="23">
        <v>82500</v>
      </c>
    </row>
    <row r="3350" spans="7:8" x14ac:dyDescent="0.35">
      <c r="G3350" t="s">
        <v>3366</v>
      </c>
      <c r="H3350" s="23">
        <v>74700</v>
      </c>
    </row>
    <row r="3351" spans="7:8" x14ac:dyDescent="0.35">
      <c r="G3351" t="s">
        <v>3367</v>
      </c>
      <c r="H3351" s="23">
        <v>61600</v>
      </c>
    </row>
    <row r="3352" spans="7:8" x14ac:dyDescent="0.35">
      <c r="G3352" t="s">
        <v>3368</v>
      </c>
      <c r="H3352" s="23">
        <v>69000</v>
      </c>
    </row>
    <row r="3353" spans="7:8" x14ac:dyDescent="0.35">
      <c r="G3353" t="s">
        <v>3369</v>
      </c>
      <c r="H3353" s="23">
        <v>89100</v>
      </c>
    </row>
    <row r="3354" spans="7:8" x14ac:dyDescent="0.35">
      <c r="G3354" t="s">
        <v>3370</v>
      </c>
      <c r="H3354" s="23">
        <v>106700</v>
      </c>
    </row>
    <row r="3355" spans="7:8" x14ac:dyDescent="0.35">
      <c r="G3355" t="s">
        <v>3371</v>
      </c>
      <c r="H3355" s="23">
        <v>88400</v>
      </c>
    </row>
    <row r="3356" spans="7:8" x14ac:dyDescent="0.35">
      <c r="G3356" t="s">
        <v>3372</v>
      </c>
      <c r="H3356" s="23">
        <v>41100</v>
      </c>
    </row>
    <row r="3357" spans="7:8" x14ac:dyDescent="0.35">
      <c r="G3357" t="s">
        <v>3373</v>
      </c>
      <c r="H3357" s="23">
        <v>68300</v>
      </c>
    </row>
    <row r="3358" spans="7:8" x14ac:dyDescent="0.35">
      <c r="G3358" t="s">
        <v>3374</v>
      </c>
      <c r="H3358" s="23">
        <v>96100</v>
      </c>
    </row>
    <row r="3359" spans="7:8" x14ac:dyDescent="0.35">
      <c r="G3359" t="s">
        <v>3375</v>
      </c>
      <c r="H3359" s="23">
        <v>76200</v>
      </c>
    </row>
    <row r="3360" spans="7:8" x14ac:dyDescent="0.35">
      <c r="G3360" t="s">
        <v>3376</v>
      </c>
      <c r="H3360" s="23">
        <v>72700</v>
      </c>
    </row>
    <row r="3361" spans="7:8" x14ac:dyDescent="0.35">
      <c r="G3361" t="s">
        <v>3377</v>
      </c>
      <c r="H3361" s="23">
        <v>138700</v>
      </c>
    </row>
    <row r="3362" spans="7:8" x14ac:dyDescent="0.35">
      <c r="G3362" t="s">
        <v>3378</v>
      </c>
      <c r="H3362" s="23">
        <v>78100</v>
      </c>
    </row>
    <row r="3363" spans="7:8" x14ac:dyDescent="0.35">
      <c r="G3363" t="s">
        <v>3379</v>
      </c>
      <c r="H3363" s="23">
        <v>110700</v>
      </c>
    </row>
    <row r="3364" spans="7:8" x14ac:dyDescent="0.35">
      <c r="G3364" t="s">
        <v>3380</v>
      </c>
      <c r="H3364" s="23">
        <v>114600</v>
      </c>
    </row>
    <row r="3365" spans="7:8" x14ac:dyDescent="0.35">
      <c r="G3365" t="s">
        <v>3381</v>
      </c>
      <c r="H3365" s="23">
        <v>73700</v>
      </c>
    </row>
    <row r="3366" spans="7:8" x14ac:dyDescent="0.35">
      <c r="G3366" t="s">
        <v>3382</v>
      </c>
      <c r="H3366" s="23">
        <v>63300</v>
      </c>
    </row>
    <row r="3367" spans="7:8" x14ac:dyDescent="0.35">
      <c r="G3367" t="s">
        <v>3383</v>
      </c>
      <c r="H3367" s="23">
        <v>89600</v>
      </c>
    </row>
    <row r="3368" spans="7:8" x14ac:dyDescent="0.35">
      <c r="G3368" t="s">
        <v>3384</v>
      </c>
      <c r="H3368" s="23">
        <v>116400</v>
      </c>
    </row>
    <row r="3369" spans="7:8" x14ac:dyDescent="0.35">
      <c r="G3369" t="s">
        <v>3385</v>
      </c>
      <c r="H3369" s="23">
        <v>75700</v>
      </c>
    </row>
    <row r="3370" spans="7:8" x14ac:dyDescent="0.35">
      <c r="G3370" t="s">
        <v>3386</v>
      </c>
      <c r="H3370" s="23">
        <v>59000</v>
      </c>
    </row>
    <row r="3371" spans="7:8" x14ac:dyDescent="0.35">
      <c r="G3371" t="s">
        <v>3387</v>
      </c>
      <c r="H3371" s="23">
        <v>60900</v>
      </c>
    </row>
    <row r="3372" spans="7:8" x14ac:dyDescent="0.35">
      <c r="G3372" t="s">
        <v>3388</v>
      </c>
      <c r="H3372" s="23">
        <v>107600</v>
      </c>
    </row>
    <row r="3373" spans="7:8" x14ac:dyDescent="0.35">
      <c r="G3373" t="s">
        <v>3389</v>
      </c>
      <c r="H3373" s="23">
        <v>90200</v>
      </c>
    </row>
    <row r="3374" spans="7:8" x14ac:dyDescent="0.35">
      <c r="G3374" t="s">
        <v>3390</v>
      </c>
      <c r="H3374" s="23">
        <v>92200</v>
      </c>
    </row>
    <row r="3375" spans="7:8" x14ac:dyDescent="0.35">
      <c r="G3375" t="s">
        <v>3391</v>
      </c>
      <c r="H3375" s="23">
        <v>96100</v>
      </c>
    </row>
    <row r="3376" spans="7:8" x14ac:dyDescent="0.35">
      <c r="G3376" t="s">
        <v>3392</v>
      </c>
      <c r="H3376" s="23">
        <v>104300</v>
      </c>
    </row>
    <row r="3377" spans="7:8" x14ac:dyDescent="0.35">
      <c r="G3377" t="s">
        <v>3393</v>
      </c>
      <c r="H3377" s="23">
        <v>113100</v>
      </c>
    </row>
    <row r="3378" spans="7:8" x14ac:dyDescent="0.35">
      <c r="G3378" t="s">
        <v>3394</v>
      </c>
      <c r="H3378" s="23">
        <v>87600</v>
      </c>
    </row>
    <row r="3379" spans="7:8" x14ac:dyDescent="0.35">
      <c r="G3379" t="s">
        <v>3395</v>
      </c>
      <c r="H3379" s="23">
        <v>100600</v>
      </c>
    </row>
    <row r="3380" spans="7:8" x14ac:dyDescent="0.35">
      <c r="G3380" t="s">
        <v>3396</v>
      </c>
      <c r="H3380" s="23">
        <v>80500</v>
      </c>
    </row>
    <row r="3381" spans="7:8" x14ac:dyDescent="0.35">
      <c r="G3381" t="s">
        <v>3397</v>
      </c>
      <c r="H3381" s="23">
        <v>98900</v>
      </c>
    </row>
    <row r="3382" spans="7:8" x14ac:dyDescent="0.35">
      <c r="G3382" t="s">
        <v>3398</v>
      </c>
      <c r="H3382" s="23">
        <v>83200</v>
      </c>
    </row>
    <row r="3383" spans="7:8" x14ac:dyDescent="0.35">
      <c r="G3383" t="s">
        <v>3399</v>
      </c>
      <c r="H3383" s="23">
        <v>114000</v>
      </c>
    </row>
    <row r="3384" spans="7:8" x14ac:dyDescent="0.35">
      <c r="G3384" t="s">
        <v>3400</v>
      </c>
      <c r="H3384" s="23">
        <v>59700</v>
      </c>
    </row>
    <row r="3385" spans="7:8" x14ac:dyDescent="0.35">
      <c r="G3385" t="s">
        <v>3401</v>
      </c>
      <c r="H3385" s="23">
        <v>93600</v>
      </c>
    </row>
    <row r="3386" spans="7:8" x14ac:dyDescent="0.35">
      <c r="G3386" t="s">
        <v>3402</v>
      </c>
      <c r="H3386" s="23">
        <v>96200</v>
      </c>
    </row>
    <row r="3387" spans="7:8" x14ac:dyDescent="0.35">
      <c r="G3387" t="s">
        <v>3403</v>
      </c>
      <c r="H3387" s="23">
        <v>93600</v>
      </c>
    </row>
    <row r="3388" spans="7:8" x14ac:dyDescent="0.35">
      <c r="G3388" t="s">
        <v>3404</v>
      </c>
      <c r="H3388" s="23">
        <v>59400</v>
      </c>
    </row>
    <row r="3389" spans="7:8" x14ac:dyDescent="0.35">
      <c r="G3389" t="s">
        <v>3405</v>
      </c>
      <c r="H3389" s="23">
        <v>42900</v>
      </c>
    </row>
    <row r="3390" spans="7:8" x14ac:dyDescent="0.35">
      <c r="G3390" t="s">
        <v>3406</v>
      </c>
      <c r="H3390" s="23">
        <v>78600</v>
      </c>
    </row>
    <row r="3391" spans="7:8" x14ac:dyDescent="0.35">
      <c r="G3391" t="s">
        <v>3407</v>
      </c>
      <c r="H3391" s="23">
        <v>38000</v>
      </c>
    </row>
    <row r="3392" spans="7:8" x14ac:dyDescent="0.35">
      <c r="G3392" t="s">
        <v>3408</v>
      </c>
      <c r="H3392" s="23">
        <v>111400</v>
      </c>
    </row>
    <row r="3393" spans="7:8" x14ac:dyDescent="0.35">
      <c r="G3393" t="s">
        <v>3409</v>
      </c>
      <c r="H3393" s="23">
        <v>90400</v>
      </c>
    </row>
    <row r="3394" spans="7:8" x14ac:dyDescent="0.35">
      <c r="G3394" t="s">
        <v>3410</v>
      </c>
      <c r="H3394" s="23">
        <v>97900</v>
      </c>
    </row>
    <row r="3395" spans="7:8" x14ac:dyDescent="0.35">
      <c r="G3395" t="s">
        <v>3411</v>
      </c>
      <c r="H3395" s="23">
        <v>63200</v>
      </c>
    </row>
    <row r="3396" spans="7:8" x14ac:dyDescent="0.35">
      <c r="G3396" t="s">
        <v>3412</v>
      </c>
      <c r="H3396" s="23">
        <v>75000</v>
      </c>
    </row>
    <row r="3397" spans="7:8" x14ac:dyDescent="0.35">
      <c r="G3397" t="s">
        <v>3413</v>
      </c>
      <c r="H3397" s="23">
        <v>102600</v>
      </c>
    </row>
    <row r="3398" spans="7:8" x14ac:dyDescent="0.35">
      <c r="G3398" t="s">
        <v>3414</v>
      </c>
      <c r="H3398" s="23">
        <v>73800</v>
      </c>
    </row>
    <row r="3399" spans="7:8" x14ac:dyDescent="0.35">
      <c r="G3399" t="s">
        <v>3415</v>
      </c>
      <c r="H3399" s="23">
        <v>77800</v>
      </c>
    </row>
    <row r="3400" spans="7:8" x14ac:dyDescent="0.35">
      <c r="G3400" t="s">
        <v>3416</v>
      </c>
      <c r="H3400" s="23">
        <v>66800</v>
      </c>
    </row>
    <row r="3401" spans="7:8" x14ac:dyDescent="0.35">
      <c r="G3401" t="s">
        <v>3417</v>
      </c>
      <c r="H3401" s="23">
        <v>88400</v>
      </c>
    </row>
    <row r="3402" spans="7:8" x14ac:dyDescent="0.35">
      <c r="G3402" t="s">
        <v>3418</v>
      </c>
      <c r="H3402" s="23">
        <v>87400</v>
      </c>
    </row>
    <row r="3403" spans="7:8" x14ac:dyDescent="0.35">
      <c r="G3403" t="s">
        <v>3419</v>
      </c>
      <c r="H3403" s="23">
        <v>72000</v>
      </c>
    </row>
    <row r="3404" spans="7:8" x14ac:dyDescent="0.35">
      <c r="G3404" t="s">
        <v>3420</v>
      </c>
      <c r="H3404" s="23">
        <v>87900</v>
      </c>
    </row>
    <row r="3405" spans="7:8" x14ac:dyDescent="0.35">
      <c r="G3405" t="s">
        <v>3421</v>
      </c>
      <c r="H3405" s="23">
        <v>80100</v>
      </c>
    </row>
    <row r="3406" spans="7:8" x14ac:dyDescent="0.35">
      <c r="G3406" t="s">
        <v>3422</v>
      </c>
      <c r="H3406" s="23">
        <v>68500</v>
      </c>
    </row>
    <row r="3407" spans="7:8" x14ac:dyDescent="0.35">
      <c r="G3407" t="s">
        <v>3423</v>
      </c>
      <c r="H3407" s="23">
        <v>63400</v>
      </c>
    </row>
    <row r="3408" spans="7:8" x14ac:dyDescent="0.35">
      <c r="G3408" t="s">
        <v>3424</v>
      </c>
      <c r="H3408" s="23">
        <v>94700</v>
      </c>
    </row>
    <row r="3409" spans="7:8" x14ac:dyDescent="0.35">
      <c r="G3409" t="s">
        <v>3425</v>
      </c>
      <c r="H3409" s="23">
        <v>108400</v>
      </c>
    </row>
    <row r="3410" spans="7:8" x14ac:dyDescent="0.35">
      <c r="G3410" t="s">
        <v>3426</v>
      </c>
      <c r="H3410" s="23">
        <v>101800</v>
      </c>
    </row>
    <row r="3411" spans="7:8" x14ac:dyDescent="0.35">
      <c r="G3411" t="s">
        <v>3427</v>
      </c>
      <c r="H3411" s="23">
        <v>67900</v>
      </c>
    </row>
    <row r="3412" spans="7:8" x14ac:dyDescent="0.35">
      <c r="G3412" t="s">
        <v>3428</v>
      </c>
      <c r="H3412" s="23">
        <v>50700</v>
      </c>
    </row>
    <row r="3413" spans="7:8" x14ac:dyDescent="0.35">
      <c r="G3413" t="s">
        <v>3429</v>
      </c>
      <c r="H3413" s="23">
        <v>108600</v>
      </c>
    </row>
    <row r="3414" spans="7:8" x14ac:dyDescent="0.35">
      <c r="G3414" t="s">
        <v>3430</v>
      </c>
      <c r="H3414" s="23">
        <v>68500</v>
      </c>
    </row>
    <row r="3415" spans="7:8" x14ac:dyDescent="0.35">
      <c r="G3415" t="s">
        <v>3431</v>
      </c>
      <c r="H3415" s="23">
        <v>97700</v>
      </c>
    </row>
    <row r="3416" spans="7:8" x14ac:dyDescent="0.35">
      <c r="G3416" t="s">
        <v>3432</v>
      </c>
      <c r="H3416" s="23">
        <v>68800</v>
      </c>
    </row>
    <row r="3417" spans="7:8" x14ac:dyDescent="0.35">
      <c r="G3417" t="s">
        <v>3433</v>
      </c>
      <c r="H3417" s="23">
        <v>95800</v>
      </c>
    </row>
    <row r="3418" spans="7:8" x14ac:dyDescent="0.35">
      <c r="G3418" t="s">
        <v>3434</v>
      </c>
      <c r="H3418" s="23">
        <v>99400</v>
      </c>
    </row>
    <row r="3419" spans="7:8" x14ac:dyDescent="0.35">
      <c r="G3419" t="s">
        <v>3435</v>
      </c>
      <c r="H3419" s="23">
        <v>93200</v>
      </c>
    </row>
    <row r="3420" spans="7:8" x14ac:dyDescent="0.35">
      <c r="G3420" t="s">
        <v>3436</v>
      </c>
      <c r="H3420" s="23">
        <v>82600</v>
      </c>
    </row>
    <row r="3421" spans="7:8" x14ac:dyDescent="0.35">
      <c r="G3421" t="s">
        <v>3437</v>
      </c>
      <c r="H3421" s="23">
        <v>76300</v>
      </c>
    </row>
    <row r="3422" spans="7:8" x14ac:dyDescent="0.35">
      <c r="G3422" t="s">
        <v>3438</v>
      </c>
      <c r="H3422" s="23">
        <v>104800</v>
      </c>
    </row>
    <row r="3423" spans="7:8" x14ac:dyDescent="0.35">
      <c r="G3423" t="s">
        <v>3439</v>
      </c>
      <c r="H3423" s="23">
        <v>72100</v>
      </c>
    </row>
    <row r="3424" spans="7:8" x14ac:dyDescent="0.35">
      <c r="G3424" t="s">
        <v>3440</v>
      </c>
      <c r="H3424" s="23">
        <v>74300</v>
      </c>
    </row>
    <row r="3425" spans="7:8" x14ac:dyDescent="0.35">
      <c r="G3425" t="s">
        <v>3441</v>
      </c>
      <c r="H3425" s="23">
        <v>77700</v>
      </c>
    </row>
    <row r="3426" spans="7:8" x14ac:dyDescent="0.35">
      <c r="G3426" t="s">
        <v>3442</v>
      </c>
      <c r="H3426" s="23">
        <v>101600</v>
      </c>
    </row>
    <row r="3427" spans="7:8" x14ac:dyDescent="0.35">
      <c r="G3427" t="s">
        <v>3443</v>
      </c>
      <c r="H3427" s="23">
        <v>86500</v>
      </c>
    </row>
    <row r="3428" spans="7:8" x14ac:dyDescent="0.35">
      <c r="G3428" t="s">
        <v>3444</v>
      </c>
      <c r="H3428" s="23">
        <v>89800</v>
      </c>
    </row>
    <row r="3429" spans="7:8" x14ac:dyDescent="0.35">
      <c r="G3429" t="s">
        <v>3445</v>
      </c>
      <c r="H3429" s="23">
        <v>72100</v>
      </c>
    </row>
    <row r="3430" spans="7:8" x14ac:dyDescent="0.35">
      <c r="G3430" t="s">
        <v>3446</v>
      </c>
      <c r="H3430" s="23">
        <v>64200</v>
      </c>
    </row>
    <row r="3431" spans="7:8" x14ac:dyDescent="0.35">
      <c r="G3431" t="s">
        <v>3447</v>
      </c>
      <c r="H3431" s="23">
        <v>108000</v>
      </c>
    </row>
    <row r="3432" spans="7:8" x14ac:dyDescent="0.35">
      <c r="G3432" t="s">
        <v>3448</v>
      </c>
      <c r="H3432" s="23">
        <v>52500</v>
      </c>
    </row>
    <row r="3433" spans="7:8" x14ac:dyDescent="0.35">
      <c r="G3433" t="s">
        <v>3449</v>
      </c>
      <c r="H3433" s="23">
        <v>104700</v>
      </c>
    </row>
    <row r="3434" spans="7:8" x14ac:dyDescent="0.35">
      <c r="G3434" t="s">
        <v>3450</v>
      </c>
      <c r="H3434" s="23">
        <v>58300</v>
      </c>
    </row>
    <row r="3435" spans="7:8" x14ac:dyDescent="0.35">
      <c r="G3435" t="s">
        <v>3451</v>
      </c>
      <c r="H3435" s="23">
        <v>57600</v>
      </c>
    </row>
    <row r="3436" spans="7:8" x14ac:dyDescent="0.35">
      <c r="G3436" t="s">
        <v>3452</v>
      </c>
      <c r="H3436" s="23">
        <v>93900</v>
      </c>
    </row>
    <row r="3437" spans="7:8" x14ac:dyDescent="0.35">
      <c r="G3437" t="s">
        <v>3453</v>
      </c>
      <c r="H3437" s="23">
        <v>60500</v>
      </c>
    </row>
    <row r="3438" spans="7:8" x14ac:dyDescent="0.35">
      <c r="G3438" t="s">
        <v>3454</v>
      </c>
      <c r="H3438" s="23">
        <v>85300</v>
      </c>
    </row>
    <row r="3439" spans="7:8" x14ac:dyDescent="0.35">
      <c r="G3439" t="s">
        <v>3455</v>
      </c>
      <c r="H3439" s="23">
        <v>100600</v>
      </c>
    </row>
    <row r="3440" spans="7:8" x14ac:dyDescent="0.35">
      <c r="G3440" t="s">
        <v>3456</v>
      </c>
      <c r="H3440" s="23">
        <v>92100</v>
      </c>
    </row>
    <row r="3441" spans="7:8" x14ac:dyDescent="0.35">
      <c r="G3441" t="s">
        <v>3457</v>
      </c>
      <c r="H3441" s="23">
        <v>63700</v>
      </c>
    </row>
    <row r="3442" spans="7:8" x14ac:dyDescent="0.35">
      <c r="G3442" t="s">
        <v>3458</v>
      </c>
      <c r="H3442" s="23">
        <v>44000</v>
      </c>
    </row>
    <row r="3443" spans="7:8" x14ac:dyDescent="0.35">
      <c r="G3443" t="s">
        <v>3459</v>
      </c>
      <c r="H3443" s="23">
        <v>113300</v>
      </c>
    </row>
    <row r="3444" spans="7:8" x14ac:dyDescent="0.35">
      <c r="G3444" t="s">
        <v>3460</v>
      </c>
      <c r="H3444" s="23">
        <v>88200</v>
      </c>
    </row>
    <row r="3445" spans="7:8" x14ac:dyDescent="0.35">
      <c r="G3445" t="s">
        <v>3461</v>
      </c>
      <c r="H3445" s="23">
        <v>117100</v>
      </c>
    </row>
    <row r="3446" spans="7:8" x14ac:dyDescent="0.35">
      <c r="G3446" t="s">
        <v>3462</v>
      </c>
      <c r="H3446" s="23">
        <v>106200</v>
      </c>
    </row>
    <row r="3447" spans="7:8" x14ac:dyDescent="0.35">
      <c r="G3447" t="s">
        <v>3463</v>
      </c>
      <c r="H3447" s="23">
        <v>113500</v>
      </c>
    </row>
    <row r="3448" spans="7:8" x14ac:dyDescent="0.35">
      <c r="G3448" t="s">
        <v>3464</v>
      </c>
      <c r="H3448" s="23">
        <v>76800</v>
      </c>
    </row>
    <row r="3449" spans="7:8" x14ac:dyDescent="0.35">
      <c r="G3449" t="s">
        <v>3465</v>
      </c>
      <c r="H3449" s="23">
        <v>63800</v>
      </c>
    </row>
    <row r="3450" spans="7:8" x14ac:dyDescent="0.35">
      <c r="G3450" t="s">
        <v>3466</v>
      </c>
      <c r="H3450" s="23">
        <v>99900</v>
      </c>
    </row>
    <row r="3451" spans="7:8" x14ac:dyDescent="0.35">
      <c r="G3451" t="s">
        <v>3467</v>
      </c>
      <c r="H3451" s="23">
        <v>66100</v>
      </c>
    </row>
    <row r="3452" spans="7:8" x14ac:dyDescent="0.35">
      <c r="G3452" t="s">
        <v>3468</v>
      </c>
      <c r="H3452" s="23">
        <v>72600</v>
      </c>
    </row>
    <row r="3453" spans="7:8" x14ac:dyDescent="0.35">
      <c r="G3453" t="s">
        <v>3469</v>
      </c>
      <c r="H3453" s="23">
        <v>65100</v>
      </c>
    </row>
    <row r="3454" spans="7:8" x14ac:dyDescent="0.35">
      <c r="G3454" t="s">
        <v>3470</v>
      </c>
      <c r="H3454" s="23">
        <v>79100</v>
      </c>
    </row>
    <row r="3455" spans="7:8" x14ac:dyDescent="0.35">
      <c r="G3455" t="s">
        <v>3471</v>
      </c>
      <c r="H3455" s="23">
        <v>98400</v>
      </c>
    </row>
    <row r="3456" spans="7:8" x14ac:dyDescent="0.35">
      <c r="G3456" t="s">
        <v>3472</v>
      </c>
      <c r="H3456" s="23">
        <v>90000</v>
      </c>
    </row>
    <row r="3457" spans="7:8" x14ac:dyDescent="0.35">
      <c r="G3457" t="s">
        <v>3473</v>
      </c>
      <c r="H3457" s="23">
        <v>80000</v>
      </c>
    </row>
    <row r="3458" spans="7:8" x14ac:dyDescent="0.35">
      <c r="G3458" t="s">
        <v>3474</v>
      </c>
      <c r="H3458" s="23">
        <v>65400</v>
      </c>
    </row>
    <row r="3459" spans="7:8" x14ac:dyDescent="0.35">
      <c r="G3459" t="s">
        <v>3475</v>
      </c>
      <c r="H3459" s="23">
        <v>71900</v>
      </c>
    </row>
    <row r="3460" spans="7:8" x14ac:dyDescent="0.35">
      <c r="G3460" t="s">
        <v>3476</v>
      </c>
      <c r="H3460" s="23">
        <v>72100</v>
      </c>
    </row>
    <row r="3461" spans="7:8" x14ac:dyDescent="0.35">
      <c r="G3461" t="s">
        <v>3477</v>
      </c>
      <c r="H3461" s="23">
        <v>47300</v>
      </c>
    </row>
    <row r="3462" spans="7:8" x14ac:dyDescent="0.35">
      <c r="G3462" t="s">
        <v>3478</v>
      </c>
      <c r="H3462" s="23">
        <v>78800</v>
      </c>
    </row>
    <row r="3463" spans="7:8" x14ac:dyDescent="0.35">
      <c r="G3463" t="s">
        <v>3479</v>
      </c>
      <c r="H3463" s="23">
        <v>104400</v>
      </c>
    </row>
    <row r="3464" spans="7:8" x14ac:dyDescent="0.35">
      <c r="G3464" t="s">
        <v>3480</v>
      </c>
      <c r="H3464" s="23">
        <v>61300</v>
      </c>
    </row>
    <row r="3465" spans="7:8" x14ac:dyDescent="0.35">
      <c r="G3465" t="s">
        <v>3481</v>
      </c>
      <c r="H3465" s="23">
        <v>107100</v>
      </c>
    </row>
    <row r="3466" spans="7:8" x14ac:dyDescent="0.35">
      <c r="G3466" t="s">
        <v>3482</v>
      </c>
      <c r="H3466" s="23">
        <v>74200</v>
      </c>
    </row>
    <row r="3467" spans="7:8" x14ac:dyDescent="0.35">
      <c r="G3467" t="s">
        <v>3483</v>
      </c>
      <c r="H3467" s="23">
        <v>108600</v>
      </c>
    </row>
    <row r="3468" spans="7:8" x14ac:dyDescent="0.35">
      <c r="G3468" t="s">
        <v>3484</v>
      </c>
      <c r="H3468" s="23">
        <v>109900</v>
      </c>
    </row>
    <row r="3469" spans="7:8" x14ac:dyDescent="0.35">
      <c r="G3469" t="s">
        <v>3485</v>
      </c>
      <c r="H3469" s="23">
        <v>76700</v>
      </c>
    </row>
    <row r="3470" spans="7:8" x14ac:dyDescent="0.35">
      <c r="G3470" t="s">
        <v>3486</v>
      </c>
      <c r="H3470" s="23">
        <v>106300</v>
      </c>
    </row>
    <row r="3471" spans="7:8" x14ac:dyDescent="0.35">
      <c r="G3471" t="s">
        <v>3487</v>
      </c>
      <c r="H3471" s="23">
        <v>116400</v>
      </c>
    </row>
    <row r="3472" spans="7:8" x14ac:dyDescent="0.35">
      <c r="G3472" t="s">
        <v>3488</v>
      </c>
      <c r="H3472" s="23">
        <v>60600</v>
      </c>
    </row>
    <row r="3473" spans="7:8" x14ac:dyDescent="0.35">
      <c r="G3473" t="s">
        <v>3489</v>
      </c>
      <c r="H3473" s="23">
        <v>108400</v>
      </c>
    </row>
    <row r="3474" spans="7:8" x14ac:dyDescent="0.35">
      <c r="G3474" t="s">
        <v>3490</v>
      </c>
      <c r="H3474" s="23">
        <v>92400</v>
      </c>
    </row>
    <row r="3475" spans="7:8" x14ac:dyDescent="0.35">
      <c r="G3475" t="s">
        <v>3491</v>
      </c>
      <c r="H3475" s="23">
        <v>92300</v>
      </c>
    </row>
    <row r="3476" spans="7:8" x14ac:dyDescent="0.35">
      <c r="G3476" t="s">
        <v>3492</v>
      </c>
      <c r="H3476" s="23">
        <v>76900</v>
      </c>
    </row>
    <row r="3477" spans="7:8" x14ac:dyDescent="0.35">
      <c r="G3477" t="s">
        <v>3493</v>
      </c>
      <c r="H3477" s="23">
        <v>108500</v>
      </c>
    </row>
    <row r="3478" spans="7:8" x14ac:dyDescent="0.35">
      <c r="G3478" t="s">
        <v>3494</v>
      </c>
      <c r="H3478" s="23">
        <v>83100</v>
      </c>
    </row>
    <row r="3479" spans="7:8" x14ac:dyDescent="0.35">
      <c r="G3479" t="s">
        <v>3495</v>
      </c>
      <c r="H3479" s="23">
        <v>100700</v>
      </c>
    </row>
    <row r="3480" spans="7:8" x14ac:dyDescent="0.35">
      <c r="G3480" t="s">
        <v>3496</v>
      </c>
      <c r="H3480" s="23">
        <v>90700</v>
      </c>
    </row>
    <row r="3481" spans="7:8" x14ac:dyDescent="0.35">
      <c r="G3481" t="s">
        <v>3497</v>
      </c>
      <c r="H3481" s="23">
        <v>116500</v>
      </c>
    </row>
    <row r="3482" spans="7:8" x14ac:dyDescent="0.35">
      <c r="G3482" t="s">
        <v>3498</v>
      </c>
      <c r="H3482" s="23">
        <v>63600</v>
      </c>
    </row>
    <row r="3483" spans="7:8" x14ac:dyDescent="0.35">
      <c r="G3483" t="s">
        <v>3499</v>
      </c>
      <c r="H3483" s="23">
        <v>62000</v>
      </c>
    </row>
    <row r="3484" spans="7:8" x14ac:dyDescent="0.35">
      <c r="G3484" t="s">
        <v>3500</v>
      </c>
      <c r="H3484" s="23">
        <v>95700</v>
      </c>
    </row>
    <row r="3485" spans="7:8" x14ac:dyDescent="0.35">
      <c r="G3485" t="s">
        <v>3501</v>
      </c>
      <c r="H3485" s="23">
        <v>74700</v>
      </c>
    </row>
    <row r="3486" spans="7:8" x14ac:dyDescent="0.35">
      <c r="G3486" t="s">
        <v>3502</v>
      </c>
      <c r="H3486" s="23">
        <v>107000</v>
      </c>
    </row>
    <row r="3487" spans="7:8" x14ac:dyDescent="0.35">
      <c r="G3487" t="s">
        <v>3503</v>
      </c>
      <c r="H3487" s="23">
        <v>42900</v>
      </c>
    </row>
    <row r="3488" spans="7:8" x14ac:dyDescent="0.35">
      <c r="G3488" t="s">
        <v>3504</v>
      </c>
      <c r="H3488" s="23">
        <v>55500</v>
      </c>
    </row>
    <row r="3489" spans="7:8" x14ac:dyDescent="0.35">
      <c r="G3489" t="s">
        <v>3505</v>
      </c>
      <c r="H3489" s="23">
        <v>81300</v>
      </c>
    </row>
    <row r="3490" spans="7:8" x14ac:dyDescent="0.35">
      <c r="G3490" t="s">
        <v>3506</v>
      </c>
      <c r="H3490" s="23">
        <v>110200</v>
      </c>
    </row>
    <row r="3491" spans="7:8" x14ac:dyDescent="0.35">
      <c r="G3491" t="s">
        <v>3507</v>
      </c>
      <c r="H3491" s="23">
        <v>78800</v>
      </c>
    </row>
    <row r="3492" spans="7:8" x14ac:dyDescent="0.35">
      <c r="G3492" t="s">
        <v>3508</v>
      </c>
      <c r="H3492" s="23">
        <v>61000</v>
      </c>
    </row>
    <row r="3493" spans="7:8" x14ac:dyDescent="0.35">
      <c r="G3493" t="s">
        <v>3509</v>
      </c>
      <c r="H3493" s="23">
        <v>81200</v>
      </c>
    </row>
    <row r="3494" spans="7:8" x14ac:dyDescent="0.35">
      <c r="G3494" t="s">
        <v>3510</v>
      </c>
      <c r="H3494" s="23">
        <v>84300</v>
      </c>
    </row>
    <row r="3495" spans="7:8" x14ac:dyDescent="0.35">
      <c r="G3495" t="s">
        <v>3511</v>
      </c>
      <c r="H3495" s="23">
        <v>97700</v>
      </c>
    </row>
    <row r="3496" spans="7:8" x14ac:dyDescent="0.35">
      <c r="G3496" t="s">
        <v>3512</v>
      </c>
      <c r="H3496" s="23">
        <v>77800</v>
      </c>
    </row>
    <row r="3497" spans="7:8" x14ac:dyDescent="0.35">
      <c r="G3497" t="s">
        <v>3513</v>
      </c>
      <c r="H3497" s="23">
        <v>77700</v>
      </c>
    </row>
    <row r="3498" spans="7:8" x14ac:dyDescent="0.35">
      <c r="G3498" t="s">
        <v>3514</v>
      </c>
      <c r="H3498" s="23">
        <v>78900</v>
      </c>
    </row>
    <row r="3499" spans="7:8" x14ac:dyDescent="0.35">
      <c r="G3499" t="s">
        <v>3515</v>
      </c>
      <c r="H3499" s="23">
        <v>78800</v>
      </c>
    </row>
    <row r="3500" spans="7:8" x14ac:dyDescent="0.35">
      <c r="G3500" t="s">
        <v>3516</v>
      </c>
      <c r="H3500" s="23">
        <v>61100</v>
      </c>
    </row>
    <row r="3501" spans="7:8" x14ac:dyDescent="0.35">
      <c r="G3501" t="s">
        <v>3517</v>
      </c>
      <c r="H3501" s="23">
        <v>47700</v>
      </c>
    </row>
    <row r="3502" spans="7:8" x14ac:dyDescent="0.35">
      <c r="G3502" t="s">
        <v>3518</v>
      </c>
      <c r="H3502" s="23">
        <v>82400</v>
      </c>
    </row>
    <row r="3503" spans="7:8" x14ac:dyDescent="0.35">
      <c r="G3503" t="s">
        <v>3519</v>
      </c>
      <c r="H3503" s="23">
        <v>67900</v>
      </c>
    </row>
    <row r="3504" spans="7:8" x14ac:dyDescent="0.35">
      <c r="G3504" t="s">
        <v>3520</v>
      </c>
      <c r="H3504" s="23">
        <v>84600</v>
      </c>
    </row>
    <row r="3505" spans="7:8" x14ac:dyDescent="0.35">
      <c r="G3505" t="s">
        <v>3521</v>
      </c>
      <c r="H3505" s="23">
        <v>73900</v>
      </c>
    </row>
    <row r="3506" spans="7:8" x14ac:dyDescent="0.35">
      <c r="G3506" t="s">
        <v>3522</v>
      </c>
      <c r="H3506" s="23">
        <v>72200</v>
      </c>
    </row>
    <row r="3507" spans="7:8" x14ac:dyDescent="0.35">
      <c r="G3507" t="s">
        <v>3523</v>
      </c>
      <c r="H3507" s="23">
        <v>97200</v>
      </c>
    </row>
    <row r="3508" spans="7:8" x14ac:dyDescent="0.35">
      <c r="G3508" t="s">
        <v>3524</v>
      </c>
      <c r="H3508" s="23">
        <v>92700</v>
      </c>
    </row>
    <row r="3509" spans="7:8" x14ac:dyDescent="0.35">
      <c r="G3509" t="s">
        <v>3525</v>
      </c>
      <c r="H3509" s="23">
        <v>63900</v>
      </c>
    </row>
    <row r="3510" spans="7:8" x14ac:dyDescent="0.35">
      <c r="G3510" t="s">
        <v>3526</v>
      </c>
      <c r="H3510" s="23">
        <v>125700</v>
      </c>
    </row>
    <row r="3511" spans="7:8" x14ac:dyDescent="0.35">
      <c r="G3511" t="s">
        <v>3527</v>
      </c>
      <c r="H3511" s="23">
        <v>91700</v>
      </c>
    </row>
    <row r="3512" spans="7:8" x14ac:dyDescent="0.35">
      <c r="G3512" t="s">
        <v>3528</v>
      </c>
      <c r="H3512" s="23">
        <v>101000</v>
      </c>
    </row>
    <row r="3513" spans="7:8" x14ac:dyDescent="0.35">
      <c r="G3513" t="s">
        <v>3529</v>
      </c>
      <c r="H3513" s="23">
        <v>58300</v>
      </c>
    </row>
    <row r="3514" spans="7:8" x14ac:dyDescent="0.35">
      <c r="G3514" t="s">
        <v>3530</v>
      </c>
      <c r="H3514" s="23">
        <v>73000</v>
      </c>
    </row>
    <row r="3515" spans="7:8" x14ac:dyDescent="0.35">
      <c r="G3515" t="s">
        <v>3531</v>
      </c>
      <c r="H3515" s="23">
        <v>91000</v>
      </c>
    </row>
    <row r="3516" spans="7:8" x14ac:dyDescent="0.35">
      <c r="G3516" t="s">
        <v>3532</v>
      </c>
      <c r="H3516" s="23">
        <v>91500</v>
      </c>
    </row>
    <row r="3517" spans="7:8" x14ac:dyDescent="0.35">
      <c r="G3517" t="s">
        <v>3533</v>
      </c>
      <c r="H3517" s="23">
        <v>86900</v>
      </c>
    </row>
    <row r="3518" spans="7:8" x14ac:dyDescent="0.35">
      <c r="G3518" t="s">
        <v>3534</v>
      </c>
      <c r="H3518" s="23">
        <v>78300</v>
      </c>
    </row>
    <row r="3519" spans="7:8" x14ac:dyDescent="0.35">
      <c r="G3519" t="s">
        <v>3535</v>
      </c>
      <c r="H3519" s="23">
        <v>58300</v>
      </c>
    </row>
    <row r="3520" spans="7:8" x14ac:dyDescent="0.35">
      <c r="G3520" t="s">
        <v>3536</v>
      </c>
      <c r="H3520" s="23">
        <v>69900</v>
      </c>
    </row>
    <row r="3521" spans="7:8" x14ac:dyDescent="0.35">
      <c r="G3521" t="s">
        <v>3537</v>
      </c>
      <c r="H3521" s="23">
        <v>80500</v>
      </c>
    </row>
    <row r="3522" spans="7:8" x14ac:dyDescent="0.35">
      <c r="G3522" t="s">
        <v>3538</v>
      </c>
      <c r="H3522" s="23">
        <v>86200</v>
      </c>
    </row>
    <row r="3523" spans="7:8" x14ac:dyDescent="0.35">
      <c r="G3523" t="s">
        <v>3539</v>
      </c>
      <c r="H3523" s="23">
        <v>65000</v>
      </c>
    </row>
    <row r="3524" spans="7:8" x14ac:dyDescent="0.35">
      <c r="G3524" t="s">
        <v>3540</v>
      </c>
      <c r="H3524" s="23">
        <v>83000</v>
      </c>
    </row>
    <row r="3525" spans="7:8" x14ac:dyDescent="0.35">
      <c r="G3525" t="s">
        <v>3541</v>
      </c>
      <c r="H3525" s="23">
        <v>85100</v>
      </c>
    </row>
    <row r="3526" spans="7:8" x14ac:dyDescent="0.35">
      <c r="G3526" t="s">
        <v>3542</v>
      </c>
      <c r="H3526" s="23">
        <v>96000</v>
      </c>
    </row>
    <row r="3527" spans="7:8" x14ac:dyDescent="0.35">
      <c r="G3527" t="s">
        <v>3543</v>
      </c>
      <c r="H3527" s="23">
        <v>55000</v>
      </c>
    </row>
    <row r="3528" spans="7:8" x14ac:dyDescent="0.35">
      <c r="G3528" t="s">
        <v>3544</v>
      </c>
      <c r="H3528" s="23">
        <v>73300</v>
      </c>
    </row>
    <row r="3529" spans="7:8" x14ac:dyDescent="0.35">
      <c r="G3529" t="s">
        <v>3545</v>
      </c>
      <c r="H3529" s="23">
        <v>78100</v>
      </c>
    </row>
    <row r="3530" spans="7:8" x14ac:dyDescent="0.35">
      <c r="G3530" t="s">
        <v>3546</v>
      </c>
      <c r="H3530" s="23">
        <v>91900</v>
      </c>
    </row>
    <row r="3531" spans="7:8" x14ac:dyDescent="0.35">
      <c r="G3531" t="s">
        <v>3547</v>
      </c>
      <c r="H3531" s="23">
        <v>121400</v>
      </c>
    </row>
    <row r="3532" spans="7:8" x14ac:dyDescent="0.35">
      <c r="G3532" t="s">
        <v>3548</v>
      </c>
      <c r="H3532" s="23">
        <v>86400</v>
      </c>
    </row>
    <row r="3533" spans="7:8" x14ac:dyDescent="0.35">
      <c r="G3533" t="s">
        <v>3549</v>
      </c>
      <c r="H3533" s="23">
        <v>66500</v>
      </c>
    </row>
    <row r="3534" spans="7:8" x14ac:dyDescent="0.35">
      <c r="G3534" t="s">
        <v>3550</v>
      </c>
      <c r="H3534" s="23">
        <v>100500</v>
      </c>
    </row>
    <row r="3535" spans="7:8" x14ac:dyDescent="0.35">
      <c r="G3535" t="s">
        <v>3551</v>
      </c>
      <c r="H3535" s="23">
        <v>117300</v>
      </c>
    </row>
    <row r="3536" spans="7:8" x14ac:dyDescent="0.35">
      <c r="G3536" t="s">
        <v>3552</v>
      </c>
      <c r="H3536" s="23">
        <v>68200</v>
      </c>
    </row>
    <row r="3537" spans="7:8" x14ac:dyDescent="0.35">
      <c r="G3537" t="s">
        <v>3553</v>
      </c>
      <c r="H3537" s="23">
        <v>81200</v>
      </c>
    </row>
    <row r="3538" spans="7:8" x14ac:dyDescent="0.35">
      <c r="G3538" t="s">
        <v>3554</v>
      </c>
      <c r="H3538" s="23">
        <v>66800</v>
      </c>
    </row>
    <row r="3539" spans="7:8" x14ac:dyDescent="0.35">
      <c r="G3539" t="s">
        <v>3555</v>
      </c>
      <c r="H3539" s="23">
        <v>42900</v>
      </c>
    </row>
    <row r="3540" spans="7:8" x14ac:dyDescent="0.35">
      <c r="G3540" t="s">
        <v>3556</v>
      </c>
      <c r="H3540" s="23">
        <v>75800</v>
      </c>
    </row>
    <row r="3541" spans="7:8" x14ac:dyDescent="0.35">
      <c r="G3541" t="s">
        <v>3557</v>
      </c>
      <c r="H3541" s="23">
        <v>75600</v>
      </c>
    </row>
    <row r="3542" spans="7:8" x14ac:dyDescent="0.35">
      <c r="G3542" t="s">
        <v>3558</v>
      </c>
      <c r="H3542" s="23">
        <v>65600</v>
      </c>
    </row>
    <row r="3543" spans="7:8" x14ac:dyDescent="0.35">
      <c r="G3543" t="s">
        <v>3559</v>
      </c>
      <c r="H3543" s="23">
        <v>102700</v>
      </c>
    </row>
    <row r="3544" spans="7:8" x14ac:dyDescent="0.35">
      <c r="G3544" t="s">
        <v>3560</v>
      </c>
      <c r="H3544" s="23">
        <v>76400</v>
      </c>
    </row>
    <row r="3545" spans="7:8" x14ac:dyDescent="0.35">
      <c r="G3545" t="s">
        <v>3561</v>
      </c>
      <c r="H3545" s="23">
        <v>73400</v>
      </c>
    </row>
    <row r="3546" spans="7:8" x14ac:dyDescent="0.35">
      <c r="G3546" t="s">
        <v>3562</v>
      </c>
      <c r="H3546" s="23">
        <v>80100</v>
      </c>
    </row>
    <row r="3547" spans="7:8" x14ac:dyDescent="0.35">
      <c r="G3547" t="s">
        <v>3563</v>
      </c>
      <c r="H3547" s="23">
        <v>37100</v>
      </c>
    </row>
    <row r="3548" spans="7:8" x14ac:dyDescent="0.35">
      <c r="G3548" t="s">
        <v>3564</v>
      </c>
      <c r="H3548" s="23">
        <v>57500</v>
      </c>
    </row>
    <row r="3549" spans="7:8" x14ac:dyDescent="0.35">
      <c r="G3549" t="s">
        <v>3565</v>
      </c>
      <c r="H3549" s="23">
        <v>97000</v>
      </c>
    </row>
    <row r="3550" spans="7:8" x14ac:dyDescent="0.35">
      <c r="G3550" t="s">
        <v>3566</v>
      </c>
      <c r="H3550" s="23">
        <v>101200</v>
      </c>
    </row>
    <row r="3551" spans="7:8" x14ac:dyDescent="0.35">
      <c r="G3551" t="s">
        <v>3567</v>
      </c>
      <c r="H3551" s="23">
        <v>80500</v>
      </c>
    </row>
    <row r="3552" spans="7:8" x14ac:dyDescent="0.35">
      <c r="G3552" t="s">
        <v>3568</v>
      </c>
      <c r="H3552" s="23">
        <v>82000</v>
      </c>
    </row>
    <row r="3553" spans="7:8" x14ac:dyDescent="0.35">
      <c r="G3553" t="s">
        <v>3569</v>
      </c>
      <c r="H3553" s="23">
        <v>65300</v>
      </c>
    </row>
    <row r="3554" spans="7:8" x14ac:dyDescent="0.35">
      <c r="G3554" t="s">
        <v>3570</v>
      </c>
      <c r="H3554" s="23">
        <v>77500</v>
      </c>
    </row>
    <row r="3555" spans="7:8" x14ac:dyDescent="0.35">
      <c r="G3555" t="s">
        <v>3571</v>
      </c>
      <c r="H3555" s="23">
        <v>73400</v>
      </c>
    </row>
    <row r="3556" spans="7:8" x14ac:dyDescent="0.35">
      <c r="G3556" t="s">
        <v>3572</v>
      </c>
      <c r="H3556" s="23">
        <v>88500</v>
      </c>
    </row>
    <row r="3557" spans="7:8" x14ac:dyDescent="0.35">
      <c r="G3557" t="s">
        <v>3573</v>
      </c>
      <c r="H3557" s="23">
        <v>102900</v>
      </c>
    </row>
    <row r="3558" spans="7:8" x14ac:dyDescent="0.35">
      <c r="G3558" t="s">
        <v>3574</v>
      </c>
      <c r="H3558" s="23">
        <v>59200</v>
      </c>
    </row>
    <row r="3559" spans="7:8" x14ac:dyDescent="0.35">
      <c r="G3559" t="s">
        <v>3575</v>
      </c>
      <c r="H3559" s="23">
        <v>104500</v>
      </c>
    </row>
    <row r="3560" spans="7:8" x14ac:dyDescent="0.35">
      <c r="G3560" t="s">
        <v>3576</v>
      </c>
      <c r="H3560" s="23">
        <v>106200</v>
      </c>
    </row>
    <row r="3561" spans="7:8" x14ac:dyDescent="0.35">
      <c r="G3561" t="s">
        <v>3577</v>
      </c>
      <c r="H3561" s="23">
        <v>86500</v>
      </c>
    </row>
    <row r="3562" spans="7:8" x14ac:dyDescent="0.35">
      <c r="G3562" t="s">
        <v>3578</v>
      </c>
      <c r="H3562" s="23">
        <v>106400</v>
      </c>
    </row>
    <row r="3563" spans="7:8" x14ac:dyDescent="0.35">
      <c r="G3563" t="s">
        <v>3579</v>
      </c>
      <c r="H3563" s="23">
        <v>94900</v>
      </c>
    </row>
    <row r="3564" spans="7:8" x14ac:dyDescent="0.35">
      <c r="G3564" t="s">
        <v>3580</v>
      </c>
      <c r="H3564" s="23">
        <v>60300</v>
      </c>
    </row>
    <row r="3565" spans="7:8" x14ac:dyDescent="0.35">
      <c r="G3565" t="s">
        <v>3581</v>
      </c>
      <c r="H3565" s="23">
        <v>75500</v>
      </c>
    </row>
    <row r="3566" spans="7:8" x14ac:dyDescent="0.35">
      <c r="G3566" t="s">
        <v>3582</v>
      </c>
      <c r="H3566" s="23">
        <v>84300</v>
      </c>
    </row>
    <row r="3567" spans="7:8" x14ac:dyDescent="0.35">
      <c r="G3567" t="s">
        <v>3583</v>
      </c>
      <c r="H3567" s="23">
        <v>79400</v>
      </c>
    </row>
    <row r="3568" spans="7:8" x14ac:dyDescent="0.35">
      <c r="G3568" t="s">
        <v>3584</v>
      </c>
      <c r="H3568" s="23">
        <v>82400</v>
      </c>
    </row>
    <row r="3569" spans="7:8" x14ac:dyDescent="0.35">
      <c r="G3569" t="s">
        <v>3585</v>
      </c>
      <c r="H3569" s="23">
        <v>72100</v>
      </c>
    </row>
    <row r="3570" spans="7:8" x14ac:dyDescent="0.35">
      <c r="G3570" t="s">
        <v>3586</v>
      </c>
      <c r="H3570" s="23">
        <v>78300</v>
      </c>
    </row>
    <row r="3571" spans="7:8" x14ac:dyDescent="0.35">
      <c r="G3571" t="s">
        <v>3587</v>
      </c>
      <c r="H3571" s="23">
        <v>106700</v>
      </c>
    </row>
    <row r="3572" spans="7:8" x14ac:dyDescent="0.35">
      <c r="G3572" t="s">
        <v>3588</v>
      </c>
      <c r="H3572" s="23">
        <v>84300</v>
      </c>
    </row>
    <row r="3573" spans="7:8" x14ac:dyDescent="0.35">
      <c r="G3573" t="s">
        <v>3589</v>
      </c>
      <c r="H3573" s="23">
        <v>70400</v>
      </c>
    </row>
    <row r="3574" spans="7:8" x14ac:dyDescent="0.35">
      <c r="G3574" t="s">
        <v>3590</v>
      </c>
      <c r="H3574" s="23">
        <v>79800</v>
      </c>
    </row>
    <row r="3575" spans="7:8" x14ac:dyDescent="0.35">
      <c r="G3575" t="s">
        <v>3591</v>
      </c>
      <c r="H3575" s="23">
        <v>102900</v>
      </c>
    </row>
    <row r="3576" spans="7:8" x14ac:dyDescent="0.35">
      <c r="G3576" t="s">
        <v>3592</v>
      </c>
      <c r="H3576" s="23">
        <v>111700</v>
      </c>
    </row>
    <row r="3577" spans="7:8" x14ac:dyDescent="0.35">
      <c r="G3577" t="s">
        <v>3593</v>
      </c>
      <c r="H3577" s="23">
        <v>81400</v>
      </c>
    </row>
    <row r="3578" spans="7:8" x14ac:dyDescent="0.35">
      <c r="G3578" t="s">
        <v>3594</v>
      </c>
      <c r="H3578" s="23">
        <v>64900</v>
      </c>
    </row>
    <row r="3579" spans="7:8" x14ac:dyDescent="0.35">
      <c r="G3579" t="s">
        <v>3595</v>
      </c>
      <c r="H3579" s="23">
        <v>123200</v>
      </c>
    </row>
    <row r="3580" spans="7:8" x14ac:dyDescent="0.35">
      <c r="G3580" t="s">
        <v>3596</v>
      </c>
      <c r="H3580" s="23">
        <v>123400</v>
      </c>
    </row>
    <row r="3581" spans="7:8" x14ac:dyDescent="0.35">
      <c r="G3581" t="s">
        <v>3597</v>
      </c>
      <c r="H3581" s="23">
        <v>109800</v>
      </c>
    </row>
    <row r="3582" spans="7:8" x14ac:dyDescent="0.35">
      <c r="G3582" t="s">
        <v>3598</v>
      </c>
      <c r="H3582" s="23">
        <v>73800</v>
      </c>
    </row>
    <row r="3583" spans="7:8" x14ac:dyDescent="0.35">
      <c r="G3583" t="s">
        <v>3599</v>
      </c>
      <c r="H3583" s="23">
        <v>101700</v>
      </c>
    </row>
    <row r="3584" spans="7:8" x14ac:dyDescent="0.35">
      <c r="G3584" t="s">
        <v>3600</v>
      </c>
      <c r="H3584" s="23">
        <v>59900</v>
      </c>
    </row>
    <row r="3585" spans="7:8" x14ac:dyDescent="0.35">
      <c r="G3585" t="s">
        <v>3601</v>
      </c>
      <c r="H3585" s="23">
        <v>73500</v>
      </c>
    </row>
    <row r="3586" spans="7:8" x14ac:dyDescent="0.35">
      <c r="G3586" t="s">
        <v>3602</v>
      </c>
      <c r="H3586" s="23">
        <v>66500</v>
      </c>
    </row>
    <row r="3587" spans="7:8" x14ac:dyDescent="0.35">
      <c r="G3587" t="s">
        <v>3603</v>
      </c>
      <c r="H3587" s="23">
        <v>53300</v>
      </c>
    </row>
    <row r="3588" spans="7:8" x14ac:dyDescent="0.35">
      <c r="G3588" t="s">
        <v>3604</v>
      </c>
      <c r="H3588" s="23">
        <v>112200</v>
      </c>
    </row>
    <row r="3589" spans="7:8" x14ac:dyDescent="0.35">
      <c r="G3589" t="s">
        <v>3605</v>
      </c>
      <c r="H3589" s="23">
        <v>115200</v>
      </c>
    </row>
    <row r="3590" spans="7:8" x14ac:dyDescent="0.35">
      <c r="G3590" t="s">
        <v>3606</v>
      </c>
      <c r="H3590" s="23">
        <v>60900</v>
      </c>
    </row>
    <row r="3591" spans="7:8" x14ac:dyDescent="0.35">
      <c r="G3591" t="s">
        <v>3607</v>
      </c>
      <c r="H3591" s="23">
        <v>64800</v>
      </c>
    </row>
    <row r="3592" spans="7:8" x14ac:dyDescent="0.35">
      <c r="G3592" t="s">
        <v>3608</v>
      </c>
      <c r="H3592" s="23">
        <v>100600</v>
      </c>
    </row>
    <row r="3593" spans="7:8" x14ac:dyDescent="0.35">
      <c r="G3593" t="s">
        <v>3609</v>
      </c>
      <c r="H3593" s="23">
        <v>104300</v>
      </c>
    </row>
    <row r="3594" spans="7:8" x14ac:dyDescent="0.35">
      <c r="G3594" t="s">
        <v>3610</v>
      </c>
      <c r="H3594" s="23">
        <v>63700</v>
      </c>
    </row>
    <row r="3595" spans="7:8" x14ac:dyDescent="0.35">
      <c r="G3595" t="s">
        <v>3611</v>
      </c>
      <c r="H3595" s="23">
        <v>119100</v>
      </c>
    </row>
    <row r="3596" spans="7:8" x14ac:dyDescent="0.35">
      <c r="G3596" t="s">
        <v>3612</v>
      </c>
      <c r="H3596" s="23">
        <v>83100</v>
      </c>
    </row>
    <row r="3597" spans="7:8" x14ac:dyDescent="0.35">
      <c r="G3597" t="s">
        <v>3613</v>
      </c>
      <c r="H3597" s="23">
        <v>64600</v>
      </c>
    </row>
    <row r="3598" spans="7:8" x14ac:dyDescent="0.35">
      <c r="G3598" t="s">
        <v>3614</v>
      </c>
      <c r="H3598" s="23">
        <v>80900</v>
      </c>
    </row>
    <row r="3599" spans="7:8" x14ac:dyDescent="0.35">
      <c r="G3599" t="s">
        <v>3615</v>
      </c>
      <c r="H3599" s="23">
        <v>65700</v>
      </c>
    </row>
    <row r="3600" spans="7:8" x14ac:dyDescent="0.35">
      <c r="G3600" t="s">
        <v>3616</v>
      </c>
      <c r="H3600" s="23">
        <v>105900</v>
      </c>
    </row>
    <row r="3601" spans="7:8" x14ac:dyDescent="0.35">
      <c r="G3601" t="s">
        <v>3617</v>
      </c>
      <c r="H3601" s="23">
        <v>87100</v>
      </c>
    </row>
    <row r="3602" spans="7:8" x14ac:dyDescent="0.35">
      <c r="G3602" t="s">
        <v>3618</v>
      </c>
      <c r="H3602" s="23">
        <v>93600</v>
      </c>
    </row>
    <row r="3603" spans="7:8" x14ac:dyDescent="0.35">
      <c r="G3603" t="s">
        <v>3619</v>
      </c>
      <c r="H3603" s="23">
        <v>111700</v>
      </c>
    </row>
    <row r="3604" spans="7:8" x14ac:dyDescent="0.35">
      <c r="G3604" t="s">
        <v>3620</v>
      </c>
      <c r="H3604" s="23">
        <v>96400</v>
      </c>
    </row>
    <row r="3605" spans="7:8" x14ac:dyDescent="0.35">
      <c r="G3605" t="s">
        <v>3621</v>
      </c>
      <c r="H3605" s="23">
        <v>110600</v>
      </c>
    </row>
    <row r="3606" spans="7:8" x14ac:dyDescent="0.35">
      <c r="G3606" t="s">
        <v>3622</v>
      </c>
      <c r="H3606" s="23">
        <v>74600</v>
      </c>
    </row>
    <row r="3607" spans="7:8" x14ac:dyDescent="0.35">
      <c r="G3607" t="s">
        <v>3623</v>
      </c>
      <c r="H3607" s="23">
        <v>74900</v>
      </c>
    </row>
    <row r="3608" spans="7:8" x14ac:dyDescent="0.35">
      <c r="G3608" t="s">
        <v>3624</v>
      </c>
      <c r="H3608" s="23">
        <v>79400</v>
      </c>
    </row>
    <row r="3609" spans="7:8" x14ac:dyDescent="0.35">
      <c r="G3609" t="s">
        <v>3625</v>
      </c>
      <c r="H3609" s="23">
        <v>102300</v>
      </c>
    </row>
    <row r="3610" spans="7:8" x14ac:dyDescent="0.35">
      <c r="G3610" t="s">
        <v>3626</v>
      </c>
      <c r="H3610" s="23">
        <v>103300</v>
      </c>
    </row>
    <row r="3611" spans="7:8" x14ac:dyDescent="0.35">
      <c r="G3611" t="s">
        <v>3627</v>
      </c>
      <c r="H3611" s="23">
        <v>73900</v>
      </c>
    </row>
    <row r="3612" spans="7:8" x14ac:dyDescent="0.35">
      <c r="G3612" t="s">
        <v>3628</v>
      </c>
      <c r="H3612" s="23">
        <v>114000</v>
      </c>
    </row>
    <row r="3613" spans="7:8" x14ac:dyDescent="0.35">
      <c r="G3613" t="s">
        <v>3629</v>
      </c>
      <c r="H3613" s="23">
        <v>95700</v>
      </c>
    </row>
    <row r="3614" spans="7:8" x14ac:dyDescent="0.35">
      <c r="G3614" t="s">
        <v>3630</v>
      </c>
      <c r="H3614" s="23">
        <v>116200</v>
      </c>
    </row>
    <row r="3615" spans="7:8" x14ac:dyDescent="0.35">
      <c r="G3615" t="s">
        <v>3631</v>
      </c>
      <c r="H3615" s="23">
        <v>81600</v>
      </c>
    </row>
    <row r="3616" spans="7:8" x14ac:dyDescent="0.35">
      <c r="G3616" t="s">
        <v>3632</v>
      </c>
      <c r="H3616" s="23">
        <v>98000</v>
      </c>
    </row>
    <row r="3617" spans="7:8" x14ac:dyDescent="0.35">
      <c r="G3617" t="s">
        <v>3633</v>
      </c>
      <c r="H3617" s="23">
        <v>66200</v>
      </c>
    </row>
    <row r="3618" spans="7:8" x14ac:dyDescent="0.35">
      <c r="G3618" t="s">
        <v>3634</v>
      </c>
      <c r="H3618" s="23">
        <v>89200</v>
      </c>
    </row>
    <row r="3619" spans="7:8" x14ac:dyDescent="0.35">
      <c r="G3619" t="s">
        <v>3635</v>
      </c>
      <c r="H3619" s="23">
        <v>107200</v>
      </c>
    </row>
    <row r="3620" spans="7:8" x14ac:dyDescent="0.35">
      <c r="G3620" t="s">
        <v>3636</v>
      </c>
      <c r="H3620" s="23">
        <v>99600</v>
      </c>
    </row>
    <row r="3621" spans="7:8" x14ac:dyDescent="0.35">
      <c r="G3621" t="s">
        <v>3637</v>
      </c>
      <c r="H3621" s="23">
        <v>78900</v>
      </c>
    </row>
    <row r="3622" spans="7:8" x14ac:dyDescent="0.35">
      <c r="G3622" t="s">
        <v>3638</v>
      </c>
      <c r="H3622" s="23">
        <v>91100</v>
      </c>
    </row>
    <row r="3623" spans="7:8" x14ac:dyDescent="0.35">
      <c r="G3623" t="s">
        <v>3639</v>
      </c>
      <c r="H3623" s="23">
        <v>58300</v>
      </c>
    </row>
    <row r="3624" spans="7:8" x14ac:dyDescent="0.35">
      <c r="G3624" t="s">
        <v>3640</v>
      </c>
      <c r="H3624" s="23">
        <v>74300</v>
      </c>
    </row>
    <row r="3625" spans="7:8" x14ac:dyDescent="0.35">
      <c r="G3625" t="s">
        <v>3641</v>
      </c>
      <c r="H3625" s="23">
        <v>105100</v>
      </c>
    </row>
    <row r="3626" spans="7:8" x14ac:dyDescent="0.35">
      <c r="G3626" t="s">
        <v>3642</v>
      </c>
      <c r="H3626" s="23">
        <v>46800</v>
      </c>
    </row>
    <row r="3627" spans="7:8" x14ac:dyDescent="0.35">
      <c r="G3627" t="s">
        <v>3643</v>
      </c>
      <c r="H3627" s="23">
        <v>60300</v>
      </c>
    </row>
    <row r="3628" spans="7:8" x14ac:dyDescent="0.35">
      <c r="G3628" t="s">
        <v>3644</v>
      </c>
      <c r="H3628" s="23">
        <v>88200</v>
      </c>
    </row>
    <row r="3629" spans="7:8" x14ac:dyDescent="0.35">
      <c r="G3629" t="s">
        <v>3645</v>
      </c>
      <c r="H3629" s="23">
        <v>42800</v>
      </c>
    </row>
    <row r="3630" spans="7:8" x14ac:dyDescent="0.35">
      <c r="G3630" t="s">
        <v>3646</v>
      </c>
      <c r="H3630" s="23">
        <v>102100</v>
      </c>
    </row>
    <row r="3631" spans="7:8" x14ac:dyDescent="0.35">
      <c r="G3631" t="s">
        <v>3647</v>
      </c>
      <c r="H3631" s="23">
        <v>49000</v>
      </c>
    </row>
    <row r="3632" spans="7:8" x14ac:dyDescent="0.35">
      <c r="G3632" t="s">
        <v>3648</v>
      </c>
      <c r="H3632" s="23">
        <v>91900</v>
      </c>
    </row>
    <row r="3633" spans="7:8" x14ac:dyDescent="0.35">
      <c r="G3633" t="s">
        <v>3649</v>
      </c>
      <c r="H3633" s="23">
        <v>85900</v>
      </c>
    </row>
    <row r="3634" spans="7:8" x14ac:dyDescent="0.35">
      <c r="G3634" t="s">
        <v>3650</v>
      </c>
      <c r="H3634" s="23">
        <v>41300</v>
      </c>
    </row>
    <row r="3635" spans="7:8" x14ac:dyDescent="0.35">
      <c r="G3635" t="s">
        <v>3651</v>
      </c>
      <c r="H3635" s="23">
        <v>73100</v>
      </c>
    </row>
    <row r="3636" spans="7:8" x14ac:dyDescent="0.35">
      <c r="G3636" t="s">
        <v>3652</v>
      </c>
      <c r="H3636" s="23">
        <v>91100</v>
      </c>
    </row>
    <row r="3637" spans="7:8" x14ac:dyDescent="0.35">
      <c r="G3637" t="s">
        <v>3653</v>
      </c>
      <c r="H3637" s="23">
        <v>102900</v>
      </c>
    </row>
    <row r="3638" spans="7:8" x14ac:dyDescent="0.35">
      <c r="G3638" t="s">
        <v>3654</v>
      </c>
      <c r="H3638" s="23">
        <v>104000</v>
      </c>
    </row>
    <row r="3639" spans="7:8" x14ac:dyDescent="0.35">
      <c r="G3639" t="s">
        <v>3655</v>
      </c>
      <c r="H3639" s="23">
        <v>71300</v>
      </c>
    </row>
    <row r="3640" spans="7:8" x14ac:dyDescent="0.35">
      <c r="G3640" t="s">
        <v>3656</v>
      </c>
      <c r="H3640" s="23">
        <v>55000</v>
      </c>
    </row>
    <row r="3641" spans="7:8" x14ac:dyDescent="0.35">
      <c r="G3641" t="s">
        <v>3657</v>
      </c>
      <c r="H3641" s="23">
        <v>117300</v>
      </c>
    </row>
    <row r="3642" spans="7:8" x14ac:dyDescent="0.35">
      <c r="G3642" t="s">
        <v>3658</v>
      </c>
      <c r="H3642" s="23">
        <v>82800</v>
      </c>
    </row>
    <row r="3643" spans="7:8" x14ac:dyDescent="0.35">
      <c r="G3643" t="s">
        <v>3659</v>
      </c>
      <c r="H3643" s="23">
        <v>68700</v>
      </c>
    </row>
    <row r="3644" spans="7:8" x14ac:dyDescent="0.35">
      <c r="G3644" t="s">
        <v>3660</v>
      </c>
      <c r="H3644" s="23">
        <v>73000</v>
      </c>
    </row>
    <row r="3645" spans="7:8" x14ac:dyDescent="0.35">
      <c r="G3645" t="s">
        <v>3661</v>
      </c>
      <c r="H3645" s="23">
        <v>72400</v>
      </c>
    </row>
    <row r="3646" spans="7:8" x14ac:dyDescent="0.35">
      <c r="G3646" t="s">
        <v>3662</v>
      </c>
      <c r="H3646" s="23">
        <v>84200</v>
      </c>
    </row>
    <row r="3647" spans="7:8" x14ac:dyDescent="0.35">
      <c r="G3647" t="s">
        <v>3663</v>
      </c>
      <c r="H3647" s="23">
        <v>94100</v>
      </c>
    </row>
    <row r="3648" spans="7:8" x14ac:dyDescent="0.35">
      <c r="G3648" t="s">
        <v>3664</v>
      </c>
      <c r="H3648" s="23">
        <v>66300</v>
      </c>
    </row>
    <row r="3649" spans="7:8" x14ac:dyDescent="0.35">
      <c r="G3649" t="s">
        <v>3665</v>
      </c>
      <c r="H3649" s="23">
        <v>77500</v>
      </c>
    </row>
    <row r="3650" spans="7:8" x14ac:dyDescent="0.35">
      <c r="G3650" t="s">
        <v>3666</v>
      </c>
      <c r="H3650" s="23">
        <v>96100</v>
      </c>
    </row>
    <row r="3651" spans="7:8" x14ac:dyDescent="0.35">
      <c r="G3651" t="s">
        <v>3667</v>
      </c>
      <c r="H3651" s="23">
        <v>91300</v>
      </c>
    </row>
    <row r="3652" spans="7:8" x14ac:dyDescent="0.35">
      <c r="G3652" t="s">
        <v>3668</v>
      </c>
      <c r="H3652" s="23">
        <v>110500</v>
      </c>
    </row>
    <row r="3653" spans="7:8" x14ac:dyDescent="0.35">
      <c r="G3653" t="s">
        <v>3669</v>
      </c>
      <c r="H3653" s="23">
        <v>63700</v>
      </c>
    </row>
    <row r="3654" spans="7:8" x14ac:dyDescent="0.35">
      <c r="G3654" t="s">
        <v>3670</v>
      </c>
      <c r="H3654" s="23">
        <v>66000</v>
      </c>
    </row>
    <row r="3655" spans="7:8" x14ac:dyDescent="0.35">
      <c r="G3655" t="s">
        <v>3671</v>
      </c>
      <c r="H3655" s="23">
        <v>69300</v>
      </c>
    </row>
    <row r="3656" spans="7:8" x14ac:dyDescent="0.35">
      <c r="G3656" t="s">
        <v>3672</v>
      </c>
      <c r="H3656" s="23">
        <v>67300</v>
      </c>
    </row>
    <row r="3657" spans="7:8" x14ac:dyDescent="0.35">
      <c r="G3657" t="s">
        <v>3673</v>
      </c>
      <c r="H3657" s="23">
        <v>78000</v>
      </c>
    </row>
    <row r="3658" spans="7:8" x14ac:dyDescent="0.35">
      <c r="G3658" t="s">
        <v>3674</v>
      </c>
      <c r="H3658" s="23">
        <v>79700</v>
      </c>
    </row>
    <row r="3659" spans="7:8" x14ac:dyDescent="0.35">
      <c r="G3659" t="s">
        <v>3675</v>
      </c>
      <c r="H3659" s="23">
        <v>73800</v>
      </c>
    </row>
    <row r="3660" spans="7:8" x14ac:dyDescent="0.35">
      <c r="G3660" t="s">
        <v>3676</v>
      </c>
      <c r="H3660" s="23">
        <v>94800</v>
      </c>
    </row>
    <row r="3661" spans="7:8" x14ac:dyDescent="0.35">
      <c r="G3661" t="s">
        <v>3677</v>
      </c>
      <c r="H3661" s="23">
        <v>60500</v>
      </c>
    </row>
    <row r="3662" spans="7:8" x14ac:dyDescent="0.35">
      <c r="G3662" t="s">
        <v>3678</v>
      </c>
      <c r="H3662" s="23">
        <v>101600</v>
      </c>
    </row>
    <row r="3663" spans="7:8" x14ac:dyDescent="0.35">
      <c r="G3663" t="s">
        <v>3679</v>
      </c>
      <c r="H3663" s="23">
        <v>75600</v>
      </c>
    </row>
    <row r="3664" spans="7:8" x14ac:dyDescent="0.35">
      <c r="G3664" t="s">
        <v>3680</v>
      </c>
      <c r="H3664" s="23">
        <v>78700</v>
      </c>
    </row>
    <row r="3665" spans="7:8" x14ac:dyDescent="0.35">
      <c r="G3665" t="s">
        <v>3681</v>
      </c>
      <c r="H3665" s="23">
        <v>63500</v>
      </c>
    </row>
    <row r="3666" spans="7:8" x14ac:dyDescent="0.35">
      <c r="G3666" t="s">
        <v>3682</v>
      </c>
      <c r="H3666" s="23">
        <v>78800</v>
      </c>
    </row>
    <row r="3667" spans="7:8" x14ac:dyDescent="0.35">
      <c r="G3667" t="s">
        <v>3683</v>
      </c>
      <c r="H3667" s="23">
        <v>73500</v>
      </c>
    </row>
    <row r="3668" spans="7:8" x14ac:dyDescent="0.35">
      <c r="G3668" t="s">
        <v>3684</v>
      </c>
      <c r="H3668" s="23">
        <v>121600</v>
      </c>
    </row>
    <row r="3669" spans="7:8" x14ac:dyDescent="0.35">
      <c r="G3669" t="s">
        <v>3685</v>
      </c>
      <c r="H3669" s="23">
        <v>78900</v>
      </c>
    </row>
    <row r="3670" spans="7:8" x14ac:dyDescent="0.35">
      <c r="G3670" t="s">
        <v>3686</v>
      </c>
      <c r="H3670" s="23">
        <v>73200</v>
      </c>
    </row>
    <row r="3671" spans="7:8" x14ac:dyDescent="0.35">
      <c r="G3671" t="s">
        <v>3687</v>
      </c>
      <c r="H3671" s="23">
        <v>65900</v>
      </c>
    </row>
    <row r="3672" spans="7:8" x14ac:dyDescent="0.35">
      <c r="G3672" t="s">
        <v>3688</v>
      </c>
      <c r="H3672" s="23">
        <v>103600</v>
      </c>
    </row>
    <row r="3673" spans="7:8" x14ac:dyDescent="0.35">
      <c r="G3673" t="s">
        <v>3689</v>
      </c>
      <c r="H3673" s="23">
        <v>76400</v>
      </c>
    </row>
    <row r="3674" spans="7:8" x14ac:dyDescent="0.35">
      <c r="G3674" t="s">
        <v>3690</v>
      </c>
      <c r="H3674" s="23">
        <v>102400</v>
      </c>
    </row>
    <row r="3675" spans="7:8" x14ac:dyDescent="0.35">
      <c r="G3675" t="s">
        <v>3691</v>
      </c>
      <c r="H3675" s="23">
        <v>59000</v>
      </c>
    </row>
    <row r="3676" spans="7:8" x14ac:dyDescent="0.35">
      <c r="G3676" t="s">
        <v>3692</v>
      </c>
      <c r="H3676" s="23">
        <v>115600</v>
      </c>
    </row>
    <row r="3677" spans="7:8" x14ac:dyDescent="0.35">
      <c r="G3677" t="s">
        <v>3693</v>
      </c>
      <c r="H3677" s="23">
        <v>71700</v>
      </c>
    </row>
    <row r="3678" spans="7:8" x14ac:dyDescent="0.35">
      <c r="G3678" t="s">
        <v>3694</v>
      </c>
      <c r="H3678" s="23">
        <v>100900</v>
      </c>
    </row>
    <row r="3679" spans="7:8" x14ac:dyDescent="0.35">
      <c r="G3679" t="s">
        <v>3695</v>
      </c>
      <c r="H3679" s="23">
        <v>81600</v>
      </c>
    </row>
    <row r="3680" spans="7:8" x14ac:dyDescent="0.35">
      <c r="G3680" t="s">
        <v>3696</v>
      </c>
      <c r="H3680" s="23">
        <v>63000</v>
      </c>
    </row>
    <row r="3681" spans="7:8" x14ac:dyDescent="0.35">
      <c r="G3681" t="s">
        <v>3697</v>
      </c>
      <c r="H3681" s="23">
        <v>34700</v>
      </c>
    </row>
    <row r="3682" spans="7:8" x14ac:dyDescent="0.35">
      <c r="G3682" t="s">
        <v>3698</v>
      </c>
      <c r="H3682" s="23">
        <v>85400</v>
      </c>
    </row>
    <row r="3683" spans="7:8" x14ac:dyDescent="0.35">
      <c r="G3683" t="s">
        <v>3699</v>
      </c>
      <c r="H3683" s="23">
        <v>84100</v>
      </c>
    </row>
    <row r="3684" spans="7:8" x14ac:dyDescent="0.35">
      <c r="G3684" t="s">
        <v>3700</v>
      </c>
      <c r="H3684" s="23">
        <v>105000</v>
      </c>
    </row>
    <row r="3685" spans="7:8" x14ac:dyDescent="0.35">
      <c r="G3685" t="s">
        <v>3701</v>
      </c>
      <c r="H3685" s="23">
        <v>72200</v>
      </c>
    </row>
    <row r="3686" spans="7:8" x14ac:dyDescent="0.35">
      <c r="G3686" t="s">
        <v>3702</v>
      </c>
      <c r="H3686" s="23">
        <v>104500</v>
      </c>
    </row>
    <row r="3687" spans="7:8" x14ac:dyDescent="0.35">
      <c r="G3687" t="s">
        <v>3703</v>
      </c>
      <c r="H3687" s="23">
        <v>73500</v>
      </c>
    </row>
    <row r="3688" spans="7:8" x14ac:dyDescent="0.35">
      <c r="G3688" t="s">
        <v>3704</v>
      </c>
      <c r="H3688" s="23">
        <v>67700</v>
      </c>
    </row>
    <row r="3689" spans="7:8" x14ac:dyDescent="0.35">
      <c r="G3689" t="s">
        <v>3705</v>
      </c>
      <c r="H3689" s="23">
        <v>81900</v>
      </c>
    </row>
    <row r="3690" spans="7:8" x14ac:dyDescent="0.35">
      <c r="G3690" t="s">
        <v>3706</v>
      </c>
      <c r="H3690" s="23">
        <v>78300</v>
      </c>
    </row>
    <row r="3691" spans="7:8" x14ac:dyDescent="0.35">
      <c r="G3691" t="s">
        <v>3707</v>
      </c>
      <c r="H3691" s="23">
        <v>68700</v>
      </c>
    </row>
    <row r="3692" spans="7:8" x14ac:dyDescent="0.35">
      <c r="G3692" t="s">
        <v>3708</v>
      </c>
      <c r="H3692" s="23">
        <v>78500</v>
      </c>
    </row>
    <row r="3693" spans="7:8" x14ac:dyDescent="0.35">
      <c r="G3693" t="s">
        <v>3709</v>
      </c>
      <c r="H3693" s="23">
        <v>76900</v>
      </c>
    </row>
    <row r="3694" spans="7:8" x14ac:dyDescent="0.35">
      <c r="G3694" t="s">
        <v>3710</v>
      </c>
      <c r="H3694" s="23">
        <v>86900</v>
      </c>
    </row>
    <row r="3695" spans="7:8" x14ac:dyDescent="0.35">
      <c r="G3695" t="s">
        <v>3711</v>
      </c>
      <c r="H3695" s="23">
        <v>99800</v>
      </c>
    </row>
    <row r="3696" spans="7:8" x14ac:dyDescent="0.35">
      <c r="G3696" t="s">
        <v>3712</v>
      </c>
      <c r="H3696" s="23">
        <v>82600</v>
      </c>
    </row>
    <row r="3697" spans="7:8" x14ac:dyDescent="0.35">
      <c r="G3697" t="s">
        <v>3713</v>
      </c>
      <c r="H3697" s="23">
        <v>81300</v>
      </c>
    </row>
    <row r="3698" spans="7:8" x14ac:dyDescent="0.35">
      <c r="G3698" t="s">
        <v>3714</v>
      </c>
      <c r="H3698" s="23">
        <v>93900</v>
      </c>
    </row>
    <row r="3699" spans="7:8" x14ac:dyDescent="0.35">
      <c r="G3699" t="s">
        <v>3715</v>
      </c>
      <c r="H3699" s="23">
        <v>83500</v>
      </c>
    </row>
    <row r="3700" spans="7:8" x14ac:dyDescent="0.35">
      <c r="G3700" t="s">
        <v>3716</v>
      </c>
      <c r="H3700" s="23">
        <v>108000</v>
      </c>
    </row>
    <row r="3701" spans="7:8" x14ac:dyDescent="0.35">
      <c r="G3701" t="s">
        <v>3717</v>
      </c>
      <c r="H3701" s="23">
        <v>52000</v>
      </c>
    </row>
    <row r="3702" spans="7:8" x14ac:dyDescent="0.35">
      <c r="G3702" t="s">
        <v>3718</v>
      </c>
      <c r="H3702" s="23">
        <v>108600</v>
      </c>
    </row>
    <row r="3703" spans="7:8" x14ac:dyDescent="0.35">
      <c r="G3703" t="s">
        <v>3719</v>
      </c>
      <c r="H3703" s="23">
        <v>86100</v>
      </c>
    </row>
    <row r="3704" spans="7:8" x14ac:dyDescent="0.35">
      <c r="G3704" t="s">
        <v>3720</v>
      </c>
      <c r="H3704" s="23">
        <v>103600</v>
      </c>
    </row>
    <row r="3705" spans="7:8" x14ac:dyDescent="0.35">
      <c r="G3705" t="s">
        <v>3721</v>
      </c>
      <c r="H3705" s="23">
        <v>129500</v>
      </c>
    </row>
    <row r="3706" spans="7:8" x14ac:dyDescent="0.35">
      <c r="G3706" t="s">
        <v>3722</v>
      </c>
      <c r="H3706" s="23">
        <v>108700</v>
      </c>
    </row>
    <row r="3707" spans="7:8" x14ac:dyDescent="0.35">
      <c r="G3707" t="s">
        <v>3723</v>
      </c>
      <c r="H3707" s="23">
        <v>60400</v>
      </c>
    </row>
    <row r="3708" spans="7:8" x14ac:dyDescent="0.35">
      <c r="G3708" t="s">
        <v>3724</v>
      </c>
      <c r="H3708" s="23">
        <v>66300</v>
      </c>
    </row>
    <row r="3709" spans="7:8" x14ac:dyDescent="0.35">
      <c r="G3709" t="s">
        <v>3725</v>
      </c>
      <c r="H3709" s="23">
        <v>80600</v>
      </c>
    </row>
    <row r="3710" spans="7:8" x14ac:dyDescent="0.35">
      <c r="G3710" t="s">
        <v>3726</v>
      </c>
      <c r="H3710" s="23">
        <v>94800</v>
      </c>
    </row>
    <row r="3711" spans="7:8" x14ac:dyDescent="0.35">
      <c r="G3711" t="s">
        <v>3727</v>
      </c>
      <c r="H3711" s="23">
        <v>69000</v>
      </c>
    </row>
    <row r="3712" spans="7:8" x14ac:dyDescent="0.35">
      <c r="G3712" t="s">
        <v>3728</v>
      </c>
      <c r="H3712" s="23">
        <v>85800</v>
      </c>
    </row>
    <row r="3713" spans="7:8" x14ac:dyDescent="0.35">
      <c r="G3713" t="s">
        <v>3729</v>
      </c>
      <c r="H3713" s="23">
        <v>64800</v>
      </c>
    </row>
    <row r="3714" spans="7:8" x14ac:dyDescent="0.35">
      <c r="G3714" t="s">
        <v>3730</v>
      </c>
      <c r="H3714" s="23">
        <v>84600</v>
      </c>
    </row>
    <row r="3715" spans="7:8" x14ac:dyDescent="0.35">
      <c r="G3715" t="s">
        <v>3731</v>
      </c>
      <c r="H3715" s="23">
        <v>88200</v>
      </c>
    </row>
    <row r="3716" spans="7:8" x14ac:dyDescent="0.35">
      <c r="G3716" t="s">
        <v>3732</v>
      </c>
      <c r="H3716" s="23">
        <v>81000</v>
      </c>
    </row>
    <row r="3717" spans="7:8" x14ac:dyDescent="0.35">
      <c r="G3717" t="s">
        <v>3733</v>
      </c>
      <c r="H3717" s="23">
        <v>72600</v>
      </c>
    </row>
    <row r="3718" spans="7:8" x14ac:dyDescent="0.35">
      <c r="G3718" t="s">
        <v>3734</v>
      </c>
      <c r="H3718" s="23">
        <v>89100</v>
      </c>
    </row>
    <row r="3719" spans="7:8" x14ac:dyDescent="0.35">
      <c r="G3719" t="s">
        <v>3735</v>
      </c>
      <c r="H3719" s="23">
        <v>73800</v>
      </c>
    </row>
    <row r="3720" spans="7:8" x14ac:dyDescent="0.35">
      <c r="G3720" t="s">
        <v>3736</v>
      </c>
      <c r="H3720" s="23">
        <v>91100</v>
      </c>
    </row>
    <row r="3721" spans="7:8" x14ac:dyDescent="0.35">
      <c r="G3721" t="s">
        <v>3737</v>
      </c>
      <c r="H3721" s="23">
        <v>89200</v>
      </c>
    </row>
    <row r="3722" spans="7:8" x14ac:dyDescent="0.35">
      <c r="G3722" t="s">
        <v>3738</v>
      </c>
      <c r="H3722" s="23">
        <v>68900</v>
      </c>
    </row>
    <row r="3723" spans="7:8" x14ac:dyDescent="0.35">
      <c r="G3723" t="s">
        <v>3739</v>
      </c>
      <c r="H3723" s="23">
        <v>116500</v>
      </c>
    </row>
    <row r="3724" spans="7:8" x14ac:dyDescent="0.35">
      <c r="G3724" t="s">
        <v>3740</v>
      </c>
      <c r="H3724" s="23">
        <v>87500</v>
      </c>
    </row>
    <row r="3725" spans="7:8" x14ac:dyDescent="0.35">
      <c r="G3725" t="s">
        <v>3741</v>
      </c>
      <c r="H3725" s="23">
        <v>63200</v>
      </c>
    </row>
    <row r="3726" spans="7:8" x14ac:dyDescent="0.35">
      <c r="G3726" t="s">
        <v>3742</v>
      </c>
      <c r="H3726" s="23">
        <v>96400</v>
      </c>
    </row>
    <row r="3727" spans="7:8" x14ac:dyDescent="0.35">
      <c r="G3727" t="s">
        <v>3743</v>
      </c>
      <c r="H3727" s="23">
        <v>64400</v>
      </c>
    </row>
    <row r="3728" spans="7:8" x14ac:dyDescent="0.35">
      <c r="G3728" t="s">
        <v>3744</v>
      </c>
      <c r="H3728" s="23">
        <v>93400</v>
      </c>
    </row>
    <row r="3729" spans="7:8" x14ac:dyDescent="0.35">
      <c r="G3729" t="s">
        <v>3745</v>
      </c>
      <c r="H3729" s="23">
        <v>61900</v>
      </c>
    </row>
    <row r="3730" spans="7:8" x14ac:dyDescent="0.35">
      <c r="G3730" t="s">
        <v>3746</v>
      </c>
      <c r="H3730" s="23">
        <v>67400</v>
      </c>
    </row>
    <row r="3731" spans="7:8" x14ac:dyDescent="0.35">
      <c r="G3731" t="s">
        <v>3747</v>
      </c>
      <c r="H3731" s="23">
        <v>70200</v>
      </c>
    </row>
    <row r="3732" spans="7:8" x14ac:dyDescent="0.35">
      <c r="G3732" t="s">
        <v>3748</v>
      </c>
      <c r="H3732" s="23">
        <v>94400</v>
      </c>
    </row>
    <row r="3733" spans="7:8" x14ac:dyDescent="0.35">
      <c r="G3733" t="s">
        <v>3749</v>
      </c>
      <c r="H3733" s="23">
        <v>123200</v>
      </c>
    </row>
    <row r="3734" spans="7:8" x14ac:dyDescent="0.35">
      <c r="G3734" t="s">
        <v>3750</v>
      </c>
      <c r="H3734" s="23">
        <v>79300</v>
      </c>
    </row>
    <row r="3735" spans="7:8" x14ac:dyDescent="0.35">
      <c r="G3735" t="s">
        <v>3751</v>
      </c>
      <c r="H3735" s="23">
        <v>108000</v>
      </c>
    </row>
    <row r="3736" spans="7:8" x14ac:dyDescent="0.35">
      <c r="G3736" t="s">
        <v>3752</v>
      </c>
      <c r="H3736" s="23">
        <v>79000</v>
      </c>
    </row>
    <row r="3737" spans="7:8" x14ac:dyDescent="0.35">
      <c r="G3737" t="s">
        <v>3753</v>
      </c>
      <c r="H3737" s="23">
        <v>91900</v>
      </c>
    </row>
    <row r="3738" spans="7:8" x14ac:dyDescent="0.35">
      <c r="G3738" t="s">
        <v>3754</v>
      </c>
      <c r="H3738" s="23">
        <v>69100</v>
      </c>
    </row>
    <row r="3739" spans="7:8" x14ac:dyDescent="0.35">
      <c r="G3739" t="s">
        <v>3755</v>
      </c>
      <c r="H3739" s="23">
        <v>73600</v>
      </c>
    </row>
    <row r="3740" spans="7:8" x14ac:dyDescent="0.35">
      <c r="G3740" t="s">
        <v>3756</v>
      </c>
      <c r="H3740" s="23">
        <v>74400</v>
      </c>
    </row>
    <row r="3741" spans="7:8" x14ac:dyDescent="0.35">
      <c r="G3741" t="s">
        <v>3757</v>
      </c>
      <c r="H3741" s="23">
        <v>74300</v>
      </c>
    </row>
    <row r="3742" spans="7:8" x14ac:dyDescent="0.35">
      <c r="G3742" t="s">
        <v>3758</v>
      </c>
      <c r="H3742" s="23">
        <v>109200</v>
      </c>
    </row>
    <row r="3743" spans="7:8" x14ac:dyDescent="0.35">
      <c r="G3743" t="s">
        <v>3759</v>
      </c>
      <c r="H3743" s="23">
        <v>104300</v>
      </c>
    </row>
    <row r="3744" spans="7:8" x14ac:dyDescent="0.35">
      <c r="G3744" t="s">
        <v>3760</v>
      </c>
      <c r="H3744" s="23">
        <v>109900</v>
      </c>
    </row>
    <row r="3745" spans="7:8" x14ac:dyDescent="0.35">
      <c r="G3745" t="s">
        <v>3761</v>
      </c>
      <c r="H3745" s="23">
        <v>81000</v>
      </c>
    </row>
    <row r="3746" spans="7:8" x14ac:dyDescent="0.35">
      <c r="G3746" t="s">
        <v>3762</v>
      </c>
      <c r="H3746" s="23">
        <v>105700</v>
      </c>
    </row>
    <row r="3747" spans="7:8" x14ac:dyDescent="0.35">
      <c r="G3747" t="s">
        <v>3763</v>
      </c>
      <c r="H3747" s="23">
        <v>52100</v>
      </c>
    </row>
    <row r="3748" spans="7:8" x14ac:dyDescent="0.35">
      <c r="G3748" t="s">
        <v>3764</v>
      </c>
      <c r="H3748" s="23">
        <v>120600</v>
      </c>
    </row>
    <row r="3749" spans="7:8" x14ac:dyDescent="0.35">
      <c r="G3749" t="s">
        <v>3765</v>
      </c>
      <c r="H3749" s="23">
        <v>38400</v>
      </c>
    </row>
    <row r="3750" spans="7:8" x14ac:dyDescent="0.35">
      <c r="G3750" t="s">
        <v>3766</v>
      </c>
      <c r="H3750" s="23">
        <v>96300</v>
      </c>
    </row>
    <row r="3751" spans="7:8" x14ac:dyDescent="0.35">
      <c r="G3751" t="s">
        <v>3767</v>
      </c>
      <c r="H3751" s="23">
        <v>92500</v>
      </c>
    </row>
    <row r="3752" spans="7:8" x14ac:dyDescent="0.35">
      <c r="G3752" t="s">
        <v>3768</v>
      </c>
      <c r="H3752" s="23">
        <v>91900</v>
      </c>
    </row>
    <row r="3753" spans="7:8" x14ac:dyDescent="0.35">
      <c r="G3753" t="s">
        <v>3769</v>
      </c>
      <c r="H3753" s="23">
        <v>52000</v>
      </c>
    </row>
    <row r="3754" spans="7:8" x14ac:dyDescent="0.35">
      <c r="G3754" t="s">
        <v>3770</v>
      </c>
      <c r="H3754" s="23">
        <v>99900</v>
      </c>
    </row>
    <row r="3755" spans="7:8" x14ac:dyDescent="0.35">
      <c r="G3755" t="s">
        <v>3771</v>
      </c>
      <c r="H3755" s="23">
        <v>73100</v>
      </c>
    </row>
    <row r="3756" spans="7:8" x14ac:dyDescent="0.35">
      <c r="G3756" t="s">
        <v>3772</v>
      </c>
      <c r="H3756" s="23">
        <v>98700</v>
      </c>
    </row>
    <row r="3757" spans="7:8" x14ac:dyDescent="0.35">
      <c r="G3757" t="s">
        <v>3773</v>
      </c>
      <c r="H3757" s="23">
        <v>114300</v>
      </c>
    </row>
    <row r="3758" spans="7:8" x14ac:dyDescent="0.35">
      <c r="G3758" t="s">
        <v>3774</v>
      </c>
      <c r="H3758" s="23">
        <v>86700</v>
      </c>
    </row>
    <row r="3759" spans="7:8" x14ac:dyDescent="0.35">
      <c r="G3759" t="s">
        <v>3775</v>
      </c>
      <c r="H3759" s="23">
        <v>62800</v>
      </c>
    </row>
    <row r="3760" spans="7:8" x14ac:dyDescent="0.35">
      <c r="G3760" t="s">
        <v>3776</v>
      </c>
      <c r="H3760" s="23">
        <v>106100</v>
      </c>
    </row>
    <row r="3761" spans="7:8" x14ac:dyDescent="0.35">
      <c r="G3761" t="s">
        <v>3777</v>
      </c>
      <c r="H3761" s="23">
        <v>75000</v>
      </c>
    </row>
    <row r="3762" spans="7:8" x14ac:dyDescent="0.35">
      <c r="G3762" t="s">
        <v>3778</v>
      </c>
      <c r="H3762" s="23">
        <v>108300</v>
      </c>
    </row>
    <row r="3763" spans="7:8" x14ac:dyDescent="0.35">
      <c r="G3763" t="s">
        <v>3779</v>
      </c>
      <c r="H3763" s="23">
        <v>83300</v>
      </c>
    </row>
    <row r="3764" spans="7:8" x14ac:dyDescent="0.35">
      <c r="G3764" t="s">
        <v>3780</v>
      </c>
      <c r="H3764" s="23">
        <v>114900</v>
      </c>
    </row>
    <row r="3765" spans="7:8" x14ac:dyDescent="0.35">
      <c r="G3765" t="s">
        <v>3781</v>
      </c>
      <c r="H3765" s="23">
        <v>81500</v>
      </c>
    </row>
    <row r="3766" spans="7:8" x14ac:dyDescent="0.35">
      <c r="G3766" t="s">
        <v>3782</v>
      </c>
      <c r="H3766" s="23">
        <v>66800</v>
      </c>
    </row>
    <row r="3767" spans="7:8" x14ac:dyDescent="0.35">
      <c r="G3767" t="s">
        <v>3783</v>
      </c>
      <c r="H3767" s="23">
        <v>78200</v>
      </c>
    </row>
    <row r="3768" spans="7:8" x14ac:dyDescent="0.35">
      <c r="G3768" t="s">
        <v>3784</v>
      </c>
      <c r="H3768" s="23">
        <v>113000</v>
      </c>
    </row>
    <row r="3769" spans="7:8" x14ac:dyDescent="0.35">
      <c r="G3769" t="s">
        <v>3785</v>
      </c>
      <c r="H3769" s="23">
        <v>78700</v>
      </c>
    </row>
    <row r="3770" spans="7:8" x14ac:dyDescent="0.35">
      <c r="G3770" t="s">
        <v>3786</v>
      </c>
      <c r="H3770" s="23">
        <v>110400</v>
      </c>
    </row>
    <row r="3771" spans="7:8" x14ac:dyDescent="0.35">
      <c r="G3771" t="s">
        <v>3787</v>
      </c>
      <c r="H3771" s="23">
        <v>83000</v>
      </c>
    </row>
    <row r="3772" spans="7:8" x14ac:dyDescent="0.35">
      <c r="G3772" t="s">
        <v>3788</v>
      </c>
      <c r="H3772" s="23">
        <v>48600</v>
      </c>
    </row>
    <row r="3773" spans="7:8" x14ac:dyDescent="0.35">
      <c r="G3773" t="s">
        <v>3789</v>
      </c>
      <c r="H3773" s="23">
        <v>79400</v>
      </c>
    </row>
    <row r="3774" spans="7:8" x14ac:dyDescent="0.35">
      <c r="G3774" t="s">
        <v>3790</v>
      </c>
      <c r="H3774" s="23">
        <v>83600</v>
      </c>
    </row>
    <row r="3775" spans="7:8" x14ac:dyDescent="0.35">
      <c r="G3775" t="s">
        <v>3791</v>
      </c>
      <c r="H3775" s="23">
        <v>70800</v>
      </c>
    </row>
    <row r="3776" spans="7:8" x14ac:dyDescent="0.35">
      <c r="G3776" t="s">
        <v>3792</v>
      </c>
      <c r="H3776" s="23">
        <v>72700</v>
      </c>
    </row>
    <row r="3777" spans="7:8" x14ac:dyDescent="0.35">
      <c r="G3777" t="s">
        <v>3793</v>
      </c>
      <c r="H3777" s="23">
        <v>85300</v>
      </c>
    </row>
    <row r="3778" spans="7:8" x14ac:dyDescent="0.35">
      <c r="G3778" t="s">
        <v>3794</v>
      </c>
      <c r="H3778" s="23">
        <v>67400</v>
      </c>
    </row>
    <row r="3779" spans="7:8" x14ac:dyDescent="0.35">
      <c r="G3779" t="s">
        <v>3795</v>
      </c>
      <c r="H3779" s="23">
        <v>71300</v>
      </c>
    </row>
    <row r="3780" spans="7:8" x14ac:dyDescent="0.35">
      <c r="G3780" t="s">
        <v>3796</v>
      </c>
      <c r="H3780" s="23">
        <v>106300</v>
      </c>
    </row>
    <row r="3781" spans="7:8" x14ac:dyDescent="0.35">
      <c r="G3781" t="s">
        <v>3797</v>
      </c>
      <c r="H3781" s="23">
        <v>103600</v>
      </c>
    </row>
    <row r="3782" spans="7:8" x14ac:dyDescent="0.35">
      <c r="G3782" t="s">
        <v>3798</v>
      </c>
      <c r="H3782" s="23">
        <v>77000</v>
      </c>
    </row>
    <row r="3783" spans="7:8" x14ac:dyDescent="0.35">
      <c r="G3783" t="s">
        <v>3799</v>
      </c>
      <c r="H3783" s="23">
        <v>93100</v>
      </c>
    </row>
    <row r="3784" spans="7:8" x14ac:dyDescent="0.35">
      <c r="G3784" t="s">
        <v>3800</v>
      </c>
      <c r="H3784" s="23">
        <v>102700</v>
      </c>
    </row>
    <row r="3785" spans="7:8" x14ac:dyDescent="0.35">
      <c r="G3785" t="s">
        <v>3801</v>
      </c>
      <c r="H3785" s="23">
        <v>84600</v>
      </c>
    </row>
    <row r="3786" spans="7:8" x14ac:dyDescent="0.35">
      <c r="G3786" t="s">
        <v>3802</v>
      </c>
      <c r="H3786" s="23">
        <v>106700</v>
      </c>
    </row>
    <row r="3787" spans="7:8" x14ac:dyDescent="0.35">
      <c r="G3787" t="s">
        <v>3803</v>
      </c>
      <c r="H3787" s="23">
        <v>65600</v>
      </c>
    </row>
    <row r="3788" spans="7:8" x14ac:dyDescent="0.35">
      <c r="G3788" t="s">
        <v>3804</v>
      </c>
      <c r="H3788" s="23">
        <v>69900</v>
      </c>
    </row>
    <row r="3789" spans="7:8" x14ac:dyDescent="0.35">
      <c r="G3789" t="s">
        <v>3805</v>
      </c>
      <c r="H3789" s="23">
        <v>62400</v>
      </c>
    </row>
    <row r="3790" spans="7:8" x14ac:dyDescent="0.35">
      <c r="G3790" t="s">
        <v>3806</v>
      </c>
      <c r="H3790" s="23">
        <v>114000</v>
      </c>
    </row>
    <row r="3791" spans="7:8" x14ac:dyDescent="0.35">
      <c r="G3791" t="s">
        <v>3807</v>
      </c>
      <c r="H3791" s="23">
        <v>87800</v>
      </c>
    </row>
    <row r="3792" spans="7:8" x14ac:dyDescent="0.35">
      <c r="G3792" t="s">
        <v>3808</v>
      </c>
      <c r="H3792" s="23">
        <v>70500</v>
      </c>
    </row>
    <row r="3793" spans="7:8" x14ac:dyDescent="0.35">
      <c r="G3793" t="s">
        <v>3809</v>
      </c>
      <c r="H3793" s="23">
        <v>62100</v>
      </c>
    </row>
    <row r="3794" spans="7:8" x14ac:dyDescent="0.35">
      <c r="G3794" t="s">
        <v>3810</v>
      </c>
      <c r="H3794" s="23">
        <v>92500</v>
      </c>
    </row>
    <row r="3795" spans="7:8" x14ac:dyDescent="0.35">
      <c r="G3795" t="s">
        <v>3811</v>
      </c>
      <c r="H3795" s="23">
        <v>76000</v>
      </c>
    </row>
    <row r="3796" spans="7:8" x14ac:dyDescent="0.35">
      <c r="G3796" t="s">
        <v>3812</v>
      </c>
      <c r="H3796" s="23">
        <v>75000</v>
      </c>
    </row>
    <row r="3797" spans="7:8" x14ac:dyDescent="0.35">
      <c r="G3797" t="s">
        <v>3813</v>
      </c>
      <c r="H3797" s="23">
        <v>57700</v>
      </c>
    </row>
    <row r="3798" spans="7:8" x14ac:dyDescent="0.35">
      <c r="G3798" t="s">
        <v>3814</v>
      </c>
      <c r="H3798" s="23">
        <v>97700</v>
      </c>
    </row>
    <row r="3799" spans="7:8" x14ac:dyDescent="0.35">
      <c r="G3799" t="s">
        <v>3815</v>
      </c>
      <c r="H3799" s="23">
        <v>89200</v>
      </c>
    </row>
    <row r="3800" spans="7:8" x14ac:dyDescent="0.35">
      <c r="G3800" t="s">
        <v>3816</v>
      </c>
      <c r="H3800" s="23">
        <v>81600</v>
      </c>
    </row>
    <row r="3801" spans="7:8" x14ac:dyDescent="0.35">
      <c r="G3801" t="s">
        <v>3817</v>
      </c>
      <c r="H3801" s="23">
        <v>117600</v>
      </c>
    </row>
    <row r="3802" spans="7:8" x14ac:dyDescent="0.35">
      <c r="G3802" t="s">
        <v>3818</v>
      </c>
      <c r="H3802" s="23">
        <v>62400</v>
      </c>
    </row>
    <row r="3803" spans="7:8" x14ac:dyDescent="0.35">
      <c r="G3803" t="s">
        <v>3819</v>
      </c>
      <c r="H3803" s="23">
        <v>68500</v>
      </c>
    </row>
    <row r="3804" spans="7:8" x14ac:dyDescent="0.35">
      <c r="G3804" t="s">
        <v>3820</v>
      </c>
      <c r="H3804" s="23">
        <v>119600</v>
      </c>
    </row>
    <row r="3805" spans="7:8" x14ac:dyDescent="0.35">
      <c r="G3805" t="s">
        <v>3821</v>
      </c>
      <c r="H3805" s="23">
        <v>49800</v>
      </c>
    </row>
    <row r="3806" spans="7:8" x14ac:dyDescent="0.35">
      <c r="G3806" t="s">
        <v>3822</v>
      </c>
      <c r="H3806" s="23">
        <v>75100</v>
      </c>
    </row>
    <row r="3807" spans="7:8" x14ac:dyDescent="0.35">
      <c r="G3807" t="s">
        <v>3823</v>
      </c>
      <c r="H3807" s="23">
        <v>68200</v>
      </c>
    </row>
    <row r="3808" spans="7:8" x14ac:dyDescent="0.35">
      <c r="G3808" t="s">
        <v>3824</v>
      </c>
      <c r="H3808" s="23">
        <v>81600</v>
      </c>
    </row>
    <row r="3809" spans="7:8" x14ac:dyDescent="0.35">
      <c r="G3809" t="s">
        <v>3825</v>
      </c>
      <c r="H3809" s="23">
        <v>79000</v>
      </c>
    </row>
    <row r="3810" spans="7:8" x14ac:dyDescent="0.35">
      <c r="G3810" t="s">
        <v>3826</v>
      </c>
      <c r="H3810" s="23">
        <v>79300</v>
      </c>
    </row>
    <row r="3811" spans="7:8" x14ac:dyDescent="0.35">
      <c r="G3811" t="s">
        <v>3827</v>
      </c>
      <c r="H3811" s="23">
        <v>43600</v>
      </c>
    </row>
    <row r="3812" spans="7:8" x14ac:dyDescent="0.35">
      <c r="G3812" t="s">
        <v>3828</v>
      </c>
      <c r="H3812" s="23">
        <v>93200</v>
      </c>
    </row>
    <row r="3813" spans="7:8" x14ac:dyDescent="0.35">
      <c r="G3813" t="s">
        <v>3829</v>
      </c>
      <c r="H3813" s="23">
        <v>107600</v>
      </c>
    </row>
    <row r="3814" spans="7:8" x14ac:dyDescent="0.35">
      <c r="G3814" t="s">
        <v>3830</v>
      </c>
      <c r="H3814" s="23">
        <v>77300</v>
      </c>
    </row>
    <row r="3815" spans="7:8" x14ac:dyDescent="0.35">
      <c r="G3815" t="s">
        <v>3831</v>
      </c>
      <c r="H3815" s="23">
        <v>121700</v>
      </c>
    </row>
    <row r="3816" spans="7:8" x14ac:dyDescent="0.35">
      <c r="G3816" t="s">
        <v>3832</v>
      </c>
      <c r="H3816" s="23">
        <v>71600</v>
      </c>
    </row>
    <row r="3817" spans="7:8" x14ac:dyDescent="0.35">
      <c r="G3817" t="s">
        <v>3833</v>
      </c>
      <c r="H3817" s="23">
        <v>89300</v>
      </c>
    </row>
    <row r="3818" spans="7:8" x14ac:dyDescent="0.35">
      <c r="G3818" t="s">
        <v>3834</v>
      </c>
      <c r="H3818" s="23">
        <v>83500</v>
      </c>
    </row>
    <row r="3819" spans="7:8" x14ac:dyDescent="0.35">
      <c r="G3819" t="s">
        <v>3835</v>
      </c>
      <c r="H3819" s="23">
        <v>81400</v>
      </c>
    </row>
    <row r="3820" spans="7:8" x14ac:dyDescent="0.35">
      <c r="G3820" t="s">
        <v>3836</v>
      </c>
      <c r="H3820" s="23">
        <v>56700</v>
      </c>
    </row>
    <row r="3821" spans="7:8" x14ac:dyDescent="0.35">
      <c r="G3821" t="s">
        <v>3837</v>
      </c>
      <c r="H3821" s="23">
        <v>85200</v>
      </c>
    </row>
    <row r="3822" spans="7:8" x14ac:dyDescent="0.35">
      <c r="G3822" t="s">
        <v>3838</v>
      </c>
      <c r="H3822" s="23">
        <v>64100</v>
      </c>
    </row>
    <row r="3823" spans="7:8" x14ac:dyDescent="0.35">
      <c r="G3823" t="s">
        <v>3839</v>
      </c>
      <c r="H3823" s="23">
        <v>54300</v>
      </c>
    </row>
    <row r="3824" spans="7:8" x14ac:dyDescent="0.35">
      <c r="G3824" t="s">
        <v>3840</v>
      </c>
      <c r="H3824" s="23">
        <v>62900</v>
      </c>
    </row>
    <row r="3825" spans="7:8" x14ac:dyDescent="0.35">
      <c r="G3825" t="s">
        <v>3841</v>
      </c>
      <c r="H3825" s="23">
        <v>78500</v>
      </c>
    </row>
    <row r="3826" spans="7:8" x14ac:dyDescent="0.35">
      <c r="G3826" t="s">
        <v>3842</v>
      </c>
      <c r="H3826" s="23">
        <v>114100</v>
      </c>
    </row>
    <row r="3827" spans="7:8" x14ac:dyDescent="0.35">
      <c r="G3827" t="s">
        <v>3843</v>
      </c>
      <c r="H3827" s="23">
        <v>64000</v>
      </c>
    </row>
    <row r="3828" spans="7:8" x14ac:dyDescent="0.35">
      <c r="G3828" t="s">
        <v>3844</v>
      </c>
      <c r="H3828" s="23">
        <v>98500</v>
      </c>
    </row>
    <row r="3829" spans="7:8" x14ac:dyDescent="0.35">
      <c r="G3829" t="s">
        <v>3845</v>
      </c>
      <c r="H3829" s="23">
        <v>110900</v>
      </c>
    </row>
    <row r="3830" spans="7:8" x14ac:dyDescent="0.35">
      <c r="G3830" t="s">
        <v>3846</v>
      </c>
      <c r="H3830" s="23">
        <v>69400</v>
      </c>
    </row>
    <row r="3831" spans="7:8" x14ac:dyDescent="0.35">
      <c r="G3831" t="s">
        <v>3847</v>
      </c>
      <c r="H3831" s="23">
        <v>87500</v>
      </c>
    </row>
    <row r="3832" spans="7:8" x14ac:dyDescent="0.35">
      <c r="G3832" t="s">
        <v>3848</v>
      </c>
      <c r="H3832" s="23">
        <v>85700</v>
      </c>
    </row>
    <row r="3833" spans="7:8" x14ac:dyDescent="0.35">
      <c r="G3833" t="s">
        <v>3849</v>
      </c>
      <c r="H3833" s="23">
        <v>79600</v>
      </c>
    </row>
    <row r="3834" spans="7:8" x14ac:dyDescent="0.35">
      <c r="G3834" t="s">
        <v>3850</v>
      </c>
      <c r="H3834" s="23">
        <v>105600</v>
      </c>
    </row>
    <row r="3835" spans="7:8" x14ac:dyDescent="0.35">
      <c r="G3835" t="s">
        <v>3851</v>
      </c>
      <c r="H3835" s="23">
        <v>81300</v>
      </c>
    </row>
    <row r="3836" spans="7:8" x14ac:dyDescent="0.35">
      <c r="G3836" t="s">
        <v>3852</v>
      </c>
      <c r="H3836" s="23">
        <v>107000</v>
      </c>
    </row>
    <row r="3837" spans="7:8" x14ac:dyDescent="0.35">
      <c r="G3837" t="s">
        <v>3853</v>
      </c>
      <c r="H3837" s="23">
        <v>122500</v>
      </c>
    </row>
    <row r="3838" spans="7:8" x14ac:dyDescent="0.35">
      <c r="G3838" t="s">
        <v>3854</v>
      </c>
      <c r="H3838" s="23">
        <v>76900</v>
      </c>
    </row>
    <row r="3839" spans="7:8" x14ac:dyDescent="0.35">
      <c r="G3839" t="s">
        <v>3855</v>
      </c>
      <c r="H3839" s="23">
        <v>67400</v>
      </c>
    </row>
    <row r="3840" spans="7:8" x14ac:dyDescent="0.35">
      <c r="G3840" t="s">
        <v>3856</v>
      </c>
      <c r="H3840" s="23">
        <v>89100</v>
      </c>
    </row>
    <row r="3841" spans="7:8" x14ac:dyDescent="0.35">
      <c r="G3841" t="s">
        <v>3857</v>
      </c>
      <c r="H3841" s="23">
        <v>76700</v>
      </c>
    </row>
    <row r="3842" spans="7:8" x14ac:dyDescent="0.35">
      <c r="G3842" t="s">
        <v>3858</v>
      </c>
      <c r="H3842" s="23">
        <v>62800</v>
      </c>
    </row>
    <row r="3843" spans="7:8" x14ac:dyDescent="0.35">
      <c r="G3843" t="s">
        <v>3859</v>
      </c>
      <c r="H3843" s="23">
        <v>75000</v>
      </c>
    </row>
    <row r="3844" spans="7:8" x14ac:dyDescent="0.35">
      <c r="G3844" t="s">
        <v>3860</v>
      </c>
      <c r="H3844" s="23">
        <v>68300</v>
      </c>
    </row>
    <row r="3845" spans="7:8" x14ac:dyDescent="0.35">
      <c r="G3845" t="s">
        <v>3861</v>
      </c>
      <c r="H3845" s="23">
        <v>57700</v>
      </c>
    </row>
    <row r="3846" spans="7:8" x14ac:dyDescent="0.35">
      <c r="G3846" t="s">
        <v>3862</v>
      </c>
      <c r="H3846" s="23">
        <v>36200</v>
      </c>
    </row>
    <row r="3847" spans="7:8" x14ac:dyDescent="0.35">
      <c r="G3847" t="s">
        <v>3863</v>
      </c>
      <c r="H3847" s="23">
        <v>100700</v>
      </c>
    </row>
    <row r="3848" spans="7:8" x14ac:dyDescent="0.35">
      <c r="G3848" t="s">
        <v>3864</v>
      </c>
      <c r="H3848" s="23">
        <v>83100</v>
      </c>
    </row>
    <row r="3849" spans="7:8" x14ac:dyDescent="0.35">
      <c r="G3849" t="s">
        <v>3865</v>
      </c>
      <c r="H3849" s="23">
        <v>70600</v>
      </c>
    </row>
    <row r="3850" spans="7:8" x14ac:dyDescent="0.35">
      <c r="G3850" t="s">
        <v>3866</v>
      </c>
      <c r="H3850" s="23">
        <v>67500</v>
      </c>
    </row>
    <row r="3851" spans="7:8" x14ac:dyDescent="0.35">
      <c r="G3851" t="s">
        <v>3867</v>
      </c>
      <c r="H3851" s="23">
        <v>104700</v>
      </c>
    </row>
    <row r="3852" spans="7:8" x14ac:dyDescent="0.35">
      <c r="G3852" t="s">
        <v>3868</v>
      </c>
      <c r="H3852" s="23">
        <v>87500</v>
      </c>
    </row>
    <row r="3853" spans="7:8" x14ac:dyDescent="0.35">
      <c r="G3853" t="s">
        <v>3869</v>
      </c>
      <c r="H3853" s="23">
        <v>117900</v>
      </c>
    </row>
    <row r="3854" spans="7:8" x14ac:dyDescent="0.35">
      <c r="G3854" t="s">
        <v>3870</v>
      </c>
      <c r="H3854" s="23">
        <v>64000</v>
      </c>
    </row>
    <row r="3855" spans="7:8" x14ac:dyDescent="0.35">
      <c r="G3855" t="s">
        <v>3871</v>
      </c>
      <c r="H3855" s="23">
        <v>102900</v>
      </c>
    </row>
    <row r="3856" spans="7:8" x14ac:dyDescent="0.35">
      <c r="G3856" t="s">
        <v>3872</v>
      </c>
      <c r="H3856" s="23">
        <v>91300</v>
      </c>
    </row>
    <row r="3857" spans="7:8" x14ac:dyDescent="0.35">
      <c r="G3857" t="s">
        <v>3873</v>
      </c>
      <c r="H3857" s="23">
        <v>67600</v>
      </c>
    </row>
    <row r="3858" spans="7:8" x14ac:dyDescent="0.35">
      <c r="G3858" t="s">
        <v>3874</v>
      </c>
      <c r="H3858" s="23">
        <v>110700</v>
      </c>
    </row>
    <row r="3859" spans="7:8" x14ac:dyDescent="0.35">
      <c r="G3859" t="s">
        <v>3875</v>
      </c>
      <c r="H3859" s="23">
        <v>90500</v>
      </c>
    </row>
    <row r="3860" spans="7:8" x14ac:dyDescent="0.35">
      <c r="G3860" t="s">
        <v>3876</v>
      </c>
      <c r="H3860" s="23">
        <v>96700</v>
      </c>
    </row>
    <row r="3861" spans="7:8" x14ac:dyDescent="0.35">
      <c r="G3861" t="s">
        <v>3877</v>
      </c>
      <c r="H3861" s="23">
        <v>85500</v>
      </c>
    </row>
    <row r="3862" spans="7:8" x14ac:dyDescent="0.35">
      <c r="G3862" t="s">
        <v>3878</v>
      </c>
      <c r="H3862" s="23">
        <v>48500</v>
      </c>
    </row>
    <row r="3863" spans="7:8" x14ac:dyDescent="0.35">
      <c r="G3863" t="s">
        <v>3879</v>
      </c>
      <c r="H3863" s="23">
        <v>102400</v>
      </c>
    </row>
    <row r="3864" spans="7:8" x14ac:dyDescent="0.35">
      <c r="G3864" t="s">
        <v>3880</v>
      </c>
      <c r="H3864" s="23">
        <v>92400</v>
      </c>
    </row>
    <row r="3865" spans="7:8" x14ac:dyDescent="0.35">
      <c r="G3865" t="s">
        <v>3881</v>
      </c>
      <c r="H3865" s="23">
        <v>82600</v>
      </c>
    </row>
    <row r="3866" spans="7:8" x14ac:dyDescent="0.35">
      <c r="G3866" t="s">
        <v>3882</v>
      </c>
      <c r="H3866" s="23">
        <v>77300</v>
      </c>
    </row>
    <row r="3867" spans="7:8" x14ac:dyDescent="0.35">
      <c r="G3867" t="s">
        <v>3883</v>
      </c>
      <c r="H3867" s="23">
        <v>90300</v>
      </c>
    </row>
    <row r="3868" spans="7:8" x14ac:dyDescent="0.35">
      <c r="G3868" t="s">
        <v>3884</v>
      </c>
      <c r="H3868" s="23">
        <v>100500</v>
      </c>
    </row>
    <row r="3869" spans="7:8" x14ac:dyDescent="0.35">
      <c r="G3869" t="s">
        <v>3885</v>
      </c>
      <c r="H3869" s="23">
        <v>48700</v>
      </c>
    </row>
    <row r="3870" spans="7:8" x14ac:dyDescent="0.35">
      <c r="G3870" t="s">
        <v>3886</v>
      </c>
      <c r="H3870" s="23">
        <v>87200</v>
      </c>
    </row>
    <row r="3871" spans="7:8" x14ac:dyDescent="0.35">
      <c r="G3871" t="s">
        <v>3887</v>
      </c>
      <c r="H3871" s="23">
        <v>51400</v>
      </c>
    </row>
    <row r="3872" spans="7:8" x14ac:dyDescent="0.35">
      <c r="G3872" t="s">
        <v>3888</v>
      </c>
      <c r="H3872" s="23">
        <v>93400</v>
      </c>
    </row>
    <row r="3873" spans="7:8" x14ac:dyDescent="0.35">
      <c r="G3873" t="s">
        <v>3889</v>
      </c>
      <c r="H3873" s="23">
        <v>95000</v>
      </c>
    </row>
    <row r="3874" spans="7:8" x14ac:dyDescent="0.35">
      <c r="G3874" t="s">
        <v>3890</v>
      </c>
      <c r="H3874" s="23">
        <v>76200</v>
      </c>
    </row>
    <row r="3875" spans="7:8" x14ac:dyDescent="0.35">
      <c r="G3875" t="s">
        <v>3891</v>
      </c>
      <c r="H3875" s="23">
        <v>75500</v>
      </c>
    </row>
    <row r="3876" spans="7:8" x14ac:dyDescent="0.35">
      <c r="G3876" t="s">
        <v>3892</v>
      </c>
      <c r="H3876" s="23">
        <v>104400</v>
      </c>
    </row>
    <row r="3877" spans="7:8" x14ac:dyDescent="0.35">
      <c r="G3877" t="s">
        <v>3893</v>
      </c>
      <c r="H3877" s="23">
        <v>64000</v>
      </c>
    </row>
    <row r="3878" spans="7:8" x14ac:dyDescent="0.35">
      <c r="G3878" t="s">
        <v>3894</v>
      </c>
      <c r="H3878" s="23">
        <v>70500</v>
      </c>
    </row>
    <row r="3879" spans="7:8" x14ac:dyDescent="0.35">
      <c r="G3879" t="s">
        <v>3895</v>
      </c>
      <c r="H3879" s="23">
        <v>78700</v>
      </c>
    </row>
    <row r="3880" spans="7:8" x14ac:dyDescent="0.35">
      <c r="G3880" t="s">
        <v>3896</v>
      </c>
      <c r="H3880" s="23">
        <v>98700</v>
      </c>
    </row>
    <row r="3881" spans="7:8" x14ac:dyDescent="0.35">
      <c r="G3881" t="s">
        <v>3897</v>
      </c>
      <c r="H3881" s="23">
        <v>73200</v>
      </c>
    </row>
    <row r="3882" spans="7:8" x14ac:dyDescent="0.35">
      <c r="G3882" t="s">
        <v>3898</v>
      </c>
      <c r="H3882" s="23">
        <v>102700</v>
      </c>
    </row>
    <row r="3883" spans="7:8" x14ac:dyDescent="0.35">
      <c r="G3883" t="s">
        <v>3899</v>
      </c>
      <c r="H3883" s="23">
        <v>61500</v>
      </c>
    </row>
    <row r="3884" spans="7:8" x14ac:dyDescent="0.35">
      <c r="G3884" t="s">
        <v>3900</v>
      </c>
      <c r="H3884" s="23">
        <v>50000</v>
      </c>
    </row>
    <row r="3885" spans="7:8" x14ac:dyDescent="0.35">
      <c r="G3885" t="s">
        <v>3901</v>
      </c>
      <c r="H3885" s="23">
        <v>114000</v>
      </c>
    </row>
    <row r="3886" spans="7:8" x14ac:dyDescent="0.35">
      <c r="G3886" t="s">
        <v>3902</v>
      </c>
      <c r="H3886" s="23">
        <v>126000</v>
      </c>
    </row>
    <row r="3887" spans="7:8" x14ac:dyDescent="0.35">
      <c r="G3887" t="s">
        <v>3903</v>
      </c>
      <c r="H3887" s="23">
        <v>85200</v>
      </c>
    </row>
    <row r="3888" spans="7:8" x14ac:dyDescent="0.35">
      <c r="G3888" t="s">
        <v>3904</v>
      </c>
      <c r="H3888" s="23">
        <v>87000</v>
      </c>
    </row>
    <row r="3889" spans="7:8" x14ac:dyDescent="0.35">
      <c r="G3889" t="s">
        <v>3905</v>
      </c>
      <c r="H3889" s="23">
        <v>106500</v>
      </c>
    </row>
    <row r="3890" spans="7:8" x14ac:dyDescent="0.35">
      <c r="G3890" t="s">
        <v>3906</v>
      </c>
      <c r="H3890" s="23">
        <v>84600</v>
      </c>
    </row>
    <row r="3891" spans="7:8" x14ac:dyDescent="0.35">
      <c r="G3891" t="s">
        <v>3907</v>
      </c>
      <c r="H3891" s="23">
        <v>78400</v>
      </c>
    </row>
    <row r="3892" spans="7:8" x14ac:dyDescent="0.35">
      <c r="G3892" t="s">
        <v>3908</v>
      </c>
      <c r="H3892" s="23">
        <v>89000</v>
      </c>
    </row>
    <row r="3893" spans="7:8" x14ac:dyDescent="0.35">
      <c r="G3893" t="s">
        <v>3909</v>
      </c>
      <c r="H3893" s="23">
        <v>70900</v>
      </c>
    </row>
    <row r="3894" spans="7:8" x14ac:dyDescent="0.35">
      <c r="G3894" t="s">
        <v>3910</v>
      </c>
      <c r="H3894" s="23">
        <v>66000</v>
      </c>
    </row>
    <row r="3895" spans="7:8" x14ac:dyDescent="0.35">
      <c r="G3895" t="s">
        <v>3911</v>
      </c>
      <c r="H3895" s="23">
        <v>78900</v>
      </c>
    </row>
    <row r="3896" spans="7:8" x14ac:dyDescent="0.35">
      <c r="G3896" t="s">
        <v>3912</v>
      </c>
      <c r="H3896" s="23">
        <v>93600</v>
      </c>
    </row>
    <row r="3897" spans="7:8" x14ac:dyDescent="0.35">
      <c r="G3897" t="s">
        <v>3913</v>
      </c>
      <c r="H3897" s="23">
        <v>121800</v>
      </c>
    </row>
    <row r="3898" spans="7:8" x14ac:dyDescent="0.35">
      <c r="G3898" t="s">
        <v>3914</v>
      </c>
      <c r="H3898" s="23">
        <v>68100</v>
      </c>
    </row>
    <row r="3899" spans="7:8" x14ac:dyDescent="0.35">
      <c r="G3899" t="s">
        <v>3915</v>
      </c>
      <c r="H3899" s="23">
        <v>61600</v>
      </c>
    </row>
    <row r="3900" spans="7:8" x14ac:dyDescent="0.35">
      <c r="G3900" t="s">
        <v>3916</v>
      </c>
      <c r="H3900" s="23">
        <v>105100</v>
      </c>
    </row>
    <row r="3901" spans="7:8" x14ac:dyDescent="0.35">
      <c r="G3901" t="s">
        <v>3917</v>
      </c>
      <c r="H3901" s="23">
        <v>52100</v>
      </c>
    </row>
    <row r="3902" spans="7:8" x14ac:dyDescent="0.35">
      <c r="G3902" t="s">
        <v>3918</v>
      </c>
      <c r="H3902" s="23">
        <v>74400</v>
      </c>
    </row>
    <row r="3903" spans="7:8" x14ac:dyDescent="0.35">
      <c r="G3903" t="s">
        <v>3919</v>
      </c>
      <c r="H3903" s="23">
        <v>108700</v>
      </c>
    </row>
    <row r="3904" spans="7:8" x14ac:dyDescent="0.35">
      <c r="G3904" t="s">
        <v>3920</v>
      </c>
      <c r="H3904" s="23">
        <v>81000</v>
      </c>
    </row>
    <row r="3905" spans="7:8" x14ac:dyDescent="0.35">
      <c r="G3905" t="s">
        <v>3921</v>
      </c>
      <c r="H3905" s="23">
        <v>122700</v>
      </c>
    </row>
    <row r="3906" spans="7:8" x14ac:dyDescent="0.35">
      <c r="G3906" t="s">
        <v>3922</v>
      </c>
      <c r="H3906" s="23">
        <v>76300</v>
      </c>
    </row>
    <row r="3907" spans="7:8" x14ac:dyDescent="0.35">
      <c r="G3907" t="s">
        <v>3923</v>
      </c>
      <c r="H3907" s="23">
        <v>71800</v>
      </c>
    </row>
    <row r="3908" spans="7:8" x14ac:dyDescent="0.35">
      <c r="G3908" t="s">
        <v>3924</v>
      </c>
      <c r="H3908" s="23">
        <v>92200</v>
      </c>
    </row>
    <row r="3909" spans="7:8" x14ac:dyDescent="0.35">
      <c r="G3909" t="s">
        <v>3925</v>
      </c>
      <c r="H3909" s="23">
        <v>101000</v>
      </c>
    </row>
    <row r="3910" spans="7:8" x14ac:dyDescent="0.35">
      <c r="G3910" t="s">
        <v>3926</v>
      </c>
      <c r="H3910" s="23">
        <v>132400</v>
      </c>
    </row>
    <row r="3911" spans="7:8" x14ac:dyDescent="0.35">
      <c r="G3911" t="s">
        <v>3927</v>
      </c>
      <c r="H3911" s="23">
        <v>71000</v>
      </c>
    </row>
    <row r="3912" spans="7:8" x14ac:dyDescent="0.35">
      <c r="G3912" t="s">
        <v>3928</v>
      </c>
      <c r="H3912" s="23">
        <v>106300</v>
      </c>
    </row>
    <row r="3913" spans="7:8" x14ac:dyDescent="0.35">
      <c r="G3913" t="s">
        <v>3929</v>
      </c>
      <c r="H3913" s="23">
        <v>92000</v>
      </c>
    </row>
    <row r="3914" spans="7:8" x14ac:dyDescent="0.35">
      <c r="G3914" t="s">
        <v>3930</v>
      </c>
      <c r="H3914" s="23">
        <v>66000</v>
      </c>
    </row>
    <row r="3915" spans="7:8" x14ac:dyDescent="0.35">
      <c r="G3915" t="s">
        <v>3931</v>
      </c>
      <c r="H3915" s="23">
        <v>105600</v>
      </c>
    </row>
    <row r="3916" spans="7:8" x14ac:dyDescent="0.35">
      <c r="G3916" t="s">
        <v>3932</v>
      </c>
      <c r="H3916" s="23">
        <v>73900</v>
      </c>
    </row>
    <row r="3917" spans="7:8" x14ac:dyDescent="0.35">
      <c r="G3917" t="s">
        <v>3933</v>
      </c>
      <c r="H3917" s="23">
        <v>90500</v>
      </c>
    </row>
    <row r="3918" spans="7:8" x14ac:dyDescent="0.35">
      <c r="G3918" t="s">
        <v>3934</v>
      </c>
      <c r="H3918" s="23">
        <v>84200</v>
      </c>
    </row>
    <row r="3919" spans="7:8" x14ac:dyDescent="0.35">
      <c r="G3919" t="s">
        <v>3935</v>
      </c>
      <c r="H3919" s="23">
        <v>74500</v>
      </c>
    </row>
    <row r="3920" spans="7:8" x14ac:dyDescent="0.35">
      <c r="G3920" t="s">
        <v>3936</v>
      </c>
      <c r="H3920" s="23">
        <v>85600</v>
      </c>
    </row>
    <row r="3921" spans="7:8" x14ac:dyDescent="0.35">
      <c r="G3921" t="s">
        <v>3937</v>
      </c>
      <c r="H3921" s="23">
        <v>52500</v>
      </c>
    </row>
    <row r="3922" spans="7:8" x14ac:dyDescent="0.35">
      <c r="G3922" t="s">
        <v>3938</v>
      </c>
      <c r="H3922" s="23">
        <v>63700</v>
      </c>
    </row>
    <row r="3923" spans="7:8" x14ac:dyDescent="0.35">
      <c r="G3923" t="s">
        <v>3939</v>
      </c>
      <c r="H3923" s="23">
        <v>109200</v>
      </c>
    </row>
    <row r="3924" spans="7:8" x14ac:dyDescent="0.35">
      <c r="G3924" t="s">
        <v>3940</v>
      </c>
      <c r="H3924" s="23">
        <v>98500</v>
      </c>
    </row>
    <row r="3925" spans="7:8" x14ac:dyDescent="0.35">
      <c r="G3925" t="s">
        <v>3941</v>
      </c>
      <c r="H3925" s="23">
        <v>85700</v>
      </c>
    </row>
    <row r="3926" spans="7:8" x14ac:dyDescent="0.35">
      <c r="G3926" t="s">
        <v>3942</v>
      </c>
      <c r="H3926" s="23">
        <v>83200</v>
      </c>
    </row>
    <row r="3927" spans="7:8" x14ac:dyDescent="0.35">
      <c r="G3927" t="s">
        <v>3943</v>
      </c>
      <c r="H3927" s="23">
        <v>82700</v>
      </c>
    </row>
    <row r="3928" spans="7:8" x14ac:dyDescent="0.35">
      <c r="G3928" t="s">
        <v>3944</v>
      </c>
      <c r="H3928" s="23">
        <v>51900</v>
      </c>
    </row>
    <row r="3929" spans="7:8" x14ac:dyDescent="0.35">
      <c r="G3929" t="s">
        <v>3945</v>
      </c>
      <c r="H3929" s="23">
        <v>62500</v>
      </c>
    </row>
    <row r="3930" spans="7:8" x14ac:dyDescent="0.35">
      <c r="G3930" t="s">
        <v>3946</v>
      </c>
      <c r="H3930" s="23">
        <v>75700</v>
      </c>
    </row>
    <row r="3931" spans="7:8" x14ac:dyDescent="0.35">
      <c r="G3931" t="s">
        <v>3947</v>
      </c>
      <c r="H3931" s="23">
        <v>56700</v>
      </c>
    </row>
    <row r="3932" spans="7:8" x14ac:dyDescent="0.35">
      <c r="G3932" t="s">
        <v>3948</v>
      </c>
      <c r="H3932" s="23">
        <v>88200</v>
      </c>
    </row>
    <row r="3933" spans="7:8" x14ac:dyDescent="0.35">
      <c r="G3933" t="s">
        <v>3949</v>
      </c>
      <c r="H3933" s="23">
        <v>62500</v>
      </c>
    </row>
    <row r="3934" spans="7:8" x14ac:dyDescent="0.35">
      <c r="G3934" t="s">
        <v>3950</v>
      </c>
      <c r="H3934" s="23">
        <v>77100</v>
      </c>
    </row>
    <row r="3935" spans="7:8" x14ac:dyDescent="0.35">
      <c r="G3935" t="s">
        <v>3951</v>
      </c>
      <c r="H3935" s="23">
        <v>112300</v>
      </c>
    </row>
    <row r="3936" spans="7:8" x14ac:dyDescent="0.35">
      <c r="G3936" t="s">
        <v>3952</v>
      </c>
      <c r="H3936" s="23">
        <v>98900</v>
      </c>
    </row>
    <row r="3937" spans="7:8" x14ac:dyDescent="0.35">
      <c r="G3937" t="s">
        <v>3953</v>
      </c>
      <c r="H3937" s="23">
        <v>98300</v>
      </c>
    </row>
    <row r="3938" spans="7:8" x14ac:dyDescent="0.35">
      <c r="G3938" t="s">
        <v>3954</v>
      </c>
      <c r="H3938" s="23">
        <v>119400</v>
      </c>
    </row>
    <row r="3939" spans="7:8" x14ac:dyDescent="0.35">
      <c r="G3939" t="s">
        <v>3955</v>
      </c>
      <c r="H3939" s="23">
        <v>73200</v>
      </c>
    </row>
    <row r="3940" spans="7:8" x14ac:dyDescent="0.35">
      <c r="G3940" t="s">
        <v>3956</v>
      </c>
      <c r="H3940" s="23">
        <v>122400</v>
      </c>
    </row>
    <row r="3941" spans="7:8" x14ac:dyDescent="0.35">
      <c r="G3941" t="s">
        <v>3957</v>
      </c>
      <c r="H3941" s="23">
        <v>61200</v>
      </c>
    </row>
    <row r="3942" spans="7:8" x14ac:dyDescent="0.35">
      <c r="G3942" t="s">
        <v>3958</v>
      </c>
      <c r="H3942" s="23">
        <v>107300</v>
      </c>
    </row>
    <row r="3943" spans="7:8" x14ac:dyDescent="0.35">
      <c r="G3943" t="s">
        <v>3959</v>
      </c>
      <c r="H3943" s="23">
        <v>68800</v>
      </c>
    </row>
    <row r="3944" spans="7:8" x14ac:dyDescent="0.35">
      <c r="G3944" t="s">
        <v>3960</v>
      </c>
      <c r="H3944" s="23">
        <v>68100</v>
      </c>
    </row>
    <row r="3945" spans="7:8" x14ac:dyDescent="0.35">
      <c r="G3945" t="s">
        <v>3961</v>
      </c>
      <c r="H3945" s="23">
        <v>93300</v>
      </c>
    </row>
    <row r="3946" spans="7:8" x14ac:dyDescent="0.35">
      <c r="G3946" t="s">
        <v>3962</v>
      </c>
      <c r="H3946" s="23">
        <v>63800</v>
      </c>
    </row>
    <row r="3947" spans="7:8" x14ac:dyDescent="0.35">
      <c r="G3947" t="s">
        <v>3963</v>
      </c>
      <c r="H3947" s="23">
        <v>85500</v>
      </c>
    </row>
    <row r="3948" spans="7:8" x14ac:dyDescent="0.35">
      <c r="G3948" t="s">
        <v>3964</v>
      </c>
      <c r="H3948" s="23">
        <v>97600</v>
      </c>
    </row>
    <row r="3949" spans="7:8" x14ac:dyDescent="0.35">
      <c r="G3949" t="s">
        <v>3965</v>
      </c>
      <c r="H3949" s="23">
        <v>82200</v>
      </c>
    </row>
    <row r="3950" spans="7:8" x14ac:dyDescent="0.35">
      <c r="G3950" t="s">
        <v>3966</v>
      </c>
      <c r="H3950" s="23">
        <v>78600</v>
      </c>
    </row>
    <row r="3951" spans="7:8" x14ac:dyDescent="0.35">
      <c r="G3951" t="s">
        <v>3967</v>
      </c>
      <c r="H3951" s="23">
        <v>72600</v>
      </c>
    </row>
    <row r="3952" spans="7:8" x14ac:dyDescent="0.35">
      <c r="G3952" t="s">
        <v>3968</v>
      </c>
      <c r="H3952" s="23">
        <v>44400</v>
      </c>
    </row>
    <row r="3953" spans="7:8" x14ac:dyDescent="0.35">
      <c r="G3953" t="s">
        <v>3969</v>
      </c>
      <c r="H3953" s="23">
        <v>103900</v>
      </c>
    </row>
    <row r="3954" spans="7:8" x14ac:dyDescent="0.35">
      <c r="G3954" t="s">
        <v>3970</v>
      </c>
      <c r="H3954" s="23">
        <v>98500</v>
      </c>
    </row>
    <row r="3955" spans="7:8" x14ac:dyDescent="0.35">
      <c r="G3955" t="s">
        <v>3971</v>
      </c>
      <c r="H3955" s="23">
        <v>125700</v>
      </c>
    </row>
    <row r="3956" spans="7:8" x14ac:dyDescent="0.35">
      <c r="G3956" t="s">
        <v>3972</v>
      </c>
      <c r="H3956" s="23">
        <v>99100</v>
      </c>
    </row>
    <row r="3957" spans="7:8" x14ac:dyDescent="0.35">
      <c r="G3957" t="s">
        <v>3973</v>
      </c>
      <c r="H3957" s="23">
        <v>104600</v>
      </c>
    </row>
    <row r="3958" spans="7:8" x14ac:dyDescent="0.35">
      <c r="G3958" t="s">
        <v>3974</v>
      </c>
      <c r="H3958" s="23">
        <v>106600</v>
      </c>
    </row>
    <row r="3959" spans="7:8" x14ac:dyDescent="0.35">
      <c r="G3959" t="s">
        <v>3975</v>
      </c>
      <c r="H3959" s="23">
        <v>74100</v>
      </c>
    </row>
    <row r="3960" spans="7:8" x14ac:dyDescent="0.35">
      <c r="G3960" t="s">
        <v>3976</v>
      </c>
      <c r="H3960" s="23">
        <v>63100</v>
      </c>
    </row>
    <row r="3961" spans="7:8" x14ac:dyDescent="0.35">
      <c r="G3961" t="s">
        <v>3977</v>
      </c>
      <c r="H3961" s="23">
        <v>69900</v>
      </c>
    </row>
    <row r="3962" spans="7:8" x14ac:dyDescent="0.35">
      <c r="G3962" t="s">
        <v>3978</v>
      </c>
      <c r="H3962" s="23">
        <v>54000</v>
      </c>
    </row>
    <row r="3963" spans="7:8" x14ac:dyDescent="0.35">
      <c r="G3963" t="s">
        <v>3979</v>
      </c>
      <c r="H3963" s="23">
        <v>85700</v>
      </c>
    </row>
    <row r="3964" spans="7:8" x14ac:dyDescent="0.35">
      <c r="G3964" t="s">
        <v>3980</v>
      </c>
      <c r="H3964" s="23">
        <v>73200</v>
      </c>
    </row>
    <row r="3965" spans="7:8" x14ac:dyDescent="0.35">
      <c r="G3965" t="s">
        <v>3981</v>
      </c>
      <c r="H3965" s="23">
        <v>70900</v>
      </c>
    </row>
    <row r="3966" spans="7:8" x14ac:dyDescent="0.35">
      <c r="G3966" t="s">
        <v>3982</v>
      </c>
      <c r="H3966" s="23">
        <v>67900</v>
      </c>
    </row>
    <row r="3967" spans="7:8" x14ac:dyDescent="0.35">
      <c r="G3967" t="s">
        <v>3983</v>
      </c>
      <c r="H3967" s="23">
        <v>105500</v>
      </c>
    </row>
    <row r="3968" spans="7:8" x14ac:dyDescent="0.35">
      <c r="G3968" t="s">
        <v>3984</v>
      </c>
      <c r="H3968" s="23">
        <v>93800</v>
      </c>
    </row>
    <row r="3969" spans="7:8" x14ac:dyDescent="0.35">
      <c r="G3969" t="s">
        <v>3985</v>
      </c>
      <c r="H3969" s="23">
        <v>99100</v>
      </c>
    </row>
    <row r="3970" spans="7:8" x14ac:dyDescent="0.35">
      <c r="G3970" t="s">
        <v>3986</v>
      </c>
      <c r="H3970" s="23">
        <v>96200</v>
      </c>
    </row>
    <row r="3971" spans="7:8" x14ac:dyDescent="0.35">
      <c r="G3971" t="s">
        <v>3987</v>
      </c>
      <c r="H3971" s="23">
        <v>115000</v>
      </c>
    </row>
    <row r="3972" spans="7:8" x14ac:dyDescent="0.35">
      <c r="G3972" t="s">
        <v>3988</v>
      </c>
      <c r="H3972" s="23">
        <v>74500</v>
      </c>
    </row>
    <row r="3973" spans="7:8" x14ac:dyDescent="0.35">
      <c r="G3973" t="s">
        <v>3989</v>
      </c>
      <c r="H3973" s="23">
        <v>45000</v>
      </c>
    </row>
    <row r="3974" spans="7:8" x14ac:dyDescent="0.35">
      <c r="G3974" t="s">
        <v>3990</v>
      </c>
      <c r="H3974" s="23">
        <v>106000</v>
      </c>
    </row>
    <row r="3975" spans="7:8" x14ac:dyDescent="0.35">
      <c r="G3975" t="s">
        <v>3991</v>
      </c>
      <c r="H3975" s="23">
        <v>83300</v>
      </c>
    </row>
    <row r="3976" spans="7:8" x14ac:dyDescent="0.35">
      <c r="G3976" t="s">
        <v>3992</v>
      </c>
      <c r="H3976" s="23">
        <v>109700</v>
      </c>
    </row>
    <row r="3977" spans="7:8" x14ac:dyDescent="0.35">
      <c r="G3977" t="s">
        <v>3993</v>
      </c>
      <c r="H3977" s="23">
        <v>90300</v>
      </c>
    </row>
    <row r="3978" spans="7:8" x14ac:dyDescent="0.35">
      <c r="G3978" t="s">
        <v>3994</v>
      </c>
      <c r="H3978" s="23">
        <v>102600</v>
      </c>
    </row>
    <row r="3979" spans="7:8" x14ac:dyDescent="0.35">
      <c r="G3979" t="s">
        <v>3995</v>
      </c>
      <c r="H3979" s="23">
        <v>87300</v>
      </c>
    </row>
    <row r="3980" spans="7:8" x14ac:dyDescent="0.35">
      <c r="G3980" t="s">
        <v>3996</v>
      </c>
      <c r="H3980" s="23">
        <v>80900</v>
      </c>
    </row>
    <row r="3981" spans="7:8" x14ac:dyDescent="0.35">
      <c r="G3981" t="s">
        <v>3997</v>
      </c>
      <c r="H3981" s="23">
        <v>75900</v>
      </c>
    </row>
    <row r="3982" spans="7:8" x14ac:dyDescent="0.35">
      <c r="G3982" t="s">
        <v>3998</v>
      </c>
      <c r="H3982" s="23">
        <v>73900</v>
      </c>
    </row>
    <row r="3983" spans="7:8" x14ac:dyDescent="0.35">
      <c r="G3983" t="s">
        <v>3999</v>
      </c>
      <c r="H3983" s="23">
        <v>85700</v>
      </c>
    </row>
    <row r="3984" spans="7:8" x14ac:dyDescent="0.35">
      <c r="G3984" t="s">
        <v>4000</v>
      </c>
      <c r="H3984" s="23">
        <v>116700</v>
      </c>
    </row>
    <row r="3985" spans="7:8" x14ac:dyDescent="0.35">
      <c r="G3985" t="s">
        <v>4001</v>
      </c>
      <c r="H3985" s="23">
        <v>72200</v>
      </c>
    </row>
    <row r="3986" spans="7:8" x14ac:dyDescent="0.35">
      <c r="G3986" t="s">
        <v>4002</v>
      </c>
      <c r="H3986" s="23">
        <v>69300</v>
      </c>
    </row>
    <row r="3987" spans="7:8" x14ac:dyDescent="0.35">
      <c r="G3987" t="s">
        <v>4003</v>
      </c>
      <c r="H3987" s="23">
        <v>62400</v>
      </c>
    </row>
    <row r="3988" spans="7:8" x14ac:dyDescent="0.35">
      <c r="G3988" t="s">
        <v>4004</v>
      </c>
      <c r="H3988" s="23">
        <v>85200</v>
      </c>
    </row>
    <row r="3989" spans="7:8" x14ac:dyDescent="0.35">
      <c r="G3989" t="s">
        <v>4005</v>
      </c>
      <c r="H3989" s="23">
        <v>68600</v>
      </c>
    </row>
    <row r="3990" spans="7:8" x14ac:dyDescent="0.35">
      <c r="G3990" t="s">
        <v>4006</v>
      </c>
      <c r="H3990" s="23">
        <v>95200</v>
      </c>
    </row>
    <row r="3991" spans="7:8" x14ac:dyDescent="0.35">
      <c r="G3991" t="s">
        <v>4007</v>
      </c>
      <c r="H3991" s="23">
        <v>79600</v>
      </c>
    </row>
    <row r="3992" spans="7:8" x14ac:dyDescent="0.35">
      <c r="G3992" t="s">
        <v>4008</v>
      </c>
      <c r="H3992" s="23">
        <v>69800</v>
      </c>
    </row>
    <row r="3993" spans="7:8" x14ac:dyDescent="0.35">
      <c r="G3993" t="s">
        <v>4009</v>
      </c>
      <c r="H3993" s="23">
        <v>107000</v>
      </c>
    </row>
    <row r="3994" spans="7:8" x14ac:dyDescent="0.35">
      <c r="G3994" t="s">
        <v>4010</v>
      </c>
      <c r="H3994" s="23">
        <v>59100</v>
      </c>
    </row>
    <row r="3995" spans="7:8" x14ac:dyDescent="0.35">
      <c r="G3995" t="s">
        <v>4011</v>
      </c>
      <c r="H3995" s="23">
        <v>66100</v>
      </c>
    </row>
    <row r="3996" spans="7:8" x14ac:dyDescent="0.35">
      <c r="G3996" t="s">
        <v>4012</v>
      </c>
      <c r="H3996" s="23">
        <v>71100</v>
      </c>
    </row>
    <row r="3997" spans="7:8" x14ac:dyDescent="0.35">
      <c r="G3997" t="s">
        <v>4013</v>
      </c>
      <c r="H3997" s="23">
        <v>74700</v>
      </c>
    </row>
    <row r="3998" spans="7:8" x14ac:dyDescent="0.35">
      <c r="G3998" t="s">
        <v>4014</v>
      </c>
      <c r="H3998" s="23">
        <v>55900</v>
      </c>
    </row>
    <row r="3999" spans="7:8" x14ac:dyDescent="0.35">
      <c r="G3999" t="s">
        <v>4015</v>
      </c>
      <c r="H3999" s="23">
        <v>70800</v>
      </c>
    </row>
    <row r="4000" spans="7:8" x14ac:dyDescent="0.35">
      <c r="G4000" t="s">
        <v>4016</v>
      </c>
      <c r="H4000" s="23">
        <v>89100</v>
      </c>
    </row>
    <row r="4001" spans="7:8" x14ac:dyDescent="0.35">
      <c r="G4001" t="s">
        <v>4017</v>
      </c>
      <c r="H4001" s="23">
        <v>86500</v>
      </c>
    </row>
    <row r="4002" spans="7:8" x14ac:dyDescent="0.35">
      <c r="G4002" t="s">
        <v>4018</v>
      </c>
      <c r="H4002" s="23">
        <v>100700</v>
      </c>
    </row>
    <row r="4003" spans="7:8" x14ac:dyDescent="0.35">
      <c r="G4003" t="s">
        <v>4019</v>
      </c>
      <c r="H4003" s="23">
        <v>62200</v>
      </c>
    </row>
    <row r="4004" spans="7:8" x14ac:dyDescent="0.35">
      <c r="G4004" t="s">
        <v>4020</v>
      </c>
      <c r="H4004" s="23">
        <v>108900</v>
      </c>
    </row>
    <row r="4005" spans="7:8" x14ac:dyDescent="0.35">
      <c r="G4005" t="s">
        <v>4021</v>
      </c>
      <c r="H4005" s="23">
        <v>61000</v>
      </c>
    </row>
    <row r="4006" spans="7:8" x14ac:dyDescent="0.35">
      <c r="G4006" t="s">
        <v>4022</v>
      </c>
      <c r="H4006" s="23">
        <v>92800</v>
      </c>
    </row>
    <row r="4007" spans="7:8" x14ac:dyDescent="0.35">
      <c r="G4007" t="s">
        <v>4023</v>
      </c>
      <c r="H4007" s="23">
        <v>68300</v>
      </c>
    </row>
    <row r="4008" spans="7:8" x14ac:dyDescent="0.35">
      <c r="G4008" t="s">
        <v>4024</v>
      </c>
      <c r="H4008" s="23">
        <v>59100</v>
      </c>
    </row>
    <row r="4009" spans="7:8" x14ac:dyDescent="0.35">
      <c r="G4009" t="s">
        <v>4025</v>
      </c>
      <c r="H4009" s="23">
        <v>61500</v>
      </c>
    </row>
    <row r="4010" spans="7:8" x14ac:dyDescent="0.35">
      <c r="G4010" t="s">
        <v>4026</v>
      </c>
      <c r="H4010" s="23">
        <v>111700</v>
      </c>
    </row>
    <row r="4011" spans="7:8" x14ac:dyDescent="0.35">
      <c r="G4011" t="s">
        <v>4027</v>
      </c>
      <c r="H4011" s="23">
        <v>94800</v>
      </c>
    </row>
    <row r="4012" spans="7:8" x14ac:dyDescent="0.35">
      <c r="G4012" t="s">
        <v>4028</v>
      </c>
      <c r="H4012" s="23">
        <v>71200</v>
      </c>
    </row>
    <row r="4013" spans="7:8" x14ac:dyDescent="0.35">
      <c r="G4013" t="s">
        <v>4029</v>
      </c>
      <c r="H4013" s="23">
        <v>116900</v>
      </c>
    </row>
    <row r="4014" spans="7:8" x14ac:dyDescent="0.35">
      <c r="G4014" t="s">
        <v>4030</v>
      </c>
      <c r="H4014" s="23">
        <v>77000</v>
      </c>
    </row>
    <row r="4015" spans="7:8" x14ac:dyDescent="0.35">
      <c r="G4015" t="s">
        <v>4031</v>
      </c>
      <c r="H4015" s="23">
        <v>111700</v>
      </c>
    </row>
    <row r="4016" spans="7:8" x14ac:dyDescent="0.35">
      <c r="G4016" t="s">
        <v>4032</v>
      </c>
      <c r="H4016" s="23">
        <v>85700</v>
      </c>
    </row>
    <row r="4017" spans="7:8" x14ac:dyDescent="0.35">
      <c r="G4017" t="s">
        <v>4033</v>
      </c>
      <c r="H4017" s="23">
        <v>76500</v>
      </c>
    </row>
    <row r="4018" spans="7:8" x14ac:dyDescent="0.35">
      <c r="G4018" t="s">
        <v>4034</v>
      </c>
      <c r="H4018" s="23">
        <v>83000</v>
      </c>
    </row>
    <row r="4019" spans="7:8" x14ac:dyDescent="0.35">
      <c r="G4019" t="s">
        <v>4035</v>
      </c>
      <c r="H4019" s="23">
        <v>50300</v>
      </c>
    </row>
    <row r="4020" spans="7:8" x14ac:dyDescent="0.35">
      <c r="G4020" t="s">
        <v>4036</v>
      </c>
      <c r="H4020" s="23">
        <v>78400</v>
      </c>
    </row>
    <row r="4021" spans="7:8" x14ac:dyDescent="0.35">
      <c r="G4021" t="s">
        <v>4037</v>
      </c>
      <c r="H4021" s="23">
        <v>77900</v>
      </c>
    </row>
    <row r="4022" spans="7:8" x14ac:dyDescent="0.35">
      <c r="G4022" t="s">
        <v>4038</v>
      </c>
      <c r="H4022" s="23">
        <v>80000</v>
      </c>
    </row>
    <row r="4023" spans="7:8" x14ac:dyDescent="0.35">
      <c r="G4023" t="s">
        <v>4039</v>
      </c>
      <c r="H4023" s="23">
        <v>121000</v>
      </c>
    </row>
    <row r="4024" spans="7:8" x14ac:dyDescent="0.35">
      <c r="G4024" t="s">
        <v>4040</v>
      </c>
      <c r="H4024" s="23">
        <v>62200</v>
      </c>
    </row>
    <row r="4025" spans="7:8" x14ac:dyDescent="0.35">
      <c r="G4025" t="s">
        <v>4041</v>
      </c>
      <c r="H4025" s="23">
        <v>81700</v>
      </c>
    </row>
    <row r="4026" spans="7:8" x14ac:dyDescent="0.35">
      <c r="G4026" t="s">
        <v>4042</v>
      </c>
      <c r="H4026" s="23">
        <v>69300</v>
      </c>
    </row>
    <row r="4027" spans="7:8" x14ac:dyDescent="0.35">
      <c r="G4027" t="s">
        <v>4043</v>
      </c>
      <c r="H4027" s="23">
        <v>63700</v>
      </c>
    </row>
    <row r="4028" spans="7:8" x14ac:dyDescent="0.35">
      <c r="G4028" t="s">
        <v>4044</v>
      </c>
      <c r="H4028" s="23">
        <v>105500</v>
      </c>
    </row>
    <row r="4029" spans="7:8" x14ac:dyDescent="0.35">
      <c r="G4029" t="s">
        <v>4045</v>
      </c>
      <c r="H4029" s="23">
        <v>89100</v>
      </c>
    </row>
    <row r="4030" spans="7:8" x14ac:dyDescent="0.35">
      <c r="G4030" t="s">
        <v>4046</v>
      </c>
      <c r="H4030" s="23">
        <v>89700</v>
      </c>
    </row>
    <row r="4031" spans="7:8" x14ac:dyDescent="0.35">
      <c r="G4031" t="s">
        <v>4047</v>
      </c>
      <c r="H4031" s="23">
        <v>90100</v>
      </c>
    </row>
    <row r="4032" spans="7:8" x14ac:dyDescent="0.35">
      <c r="G4032" t="s">
        <v>4048</v>
      </c>
      <c r="H4032" s="23">
        <v>57600</v>
      </c>
    </row>
    <row r="4033" spans="7:8" x14ac:dyDescent="0.35">
      <c r="G4033" t="s">
        <v>4049</v>
      </c>
      <c r="H4033" s="23">
        <v>118300</v>
      </c>
    </row>
    <row r="4034" spans="7:8" x14ac:dyDescent="0.35">
      <c r="G4034" t="s">
        <v>4050</v>
      </c>
      <c r="H4034" s="23">
        <v>75900</v>
      </c>
    </row>
    <row r="4035" spans="7:8" x14ac:dyDescent="0.35">
      <c r="G4035" t="s">
        <v>4051</v>
      </c>
      <c r="H4035" s="23">
        <v>82300</v>
      </c>
    </row>
    <row r="4036" spans="7:8" x14ac:dyDescent="0.35">
      <c r="G4036" t="s">
        <v>4052</v>
      </c>
      <c r="H4036" s="23">
        <v>68000</v>
      </c>
    </row>
    <row r="4037" spans="7:8" x14ac:dyDescent="0.35">
      <c r="G4037" t="s">
        <v>4053</v>
      </c>
      <c r="H4037" s="23">
        <v>115500</v>
      </c>
    </row>
    <row r="4038" spans="7:8" x14ac:dyDescent="0.35">
      <c r="G4038" t="s">
        <v>4054</v>
      </c>
      <c r="H4038" s="23">
        <v>86000</v>
      </c>
    </row>
    <row r="4039" spans="7:8" x14ac:dyDescent="0.35">
      <c r="G4039" t="s">
        <v>4055</v>
      </c>
      <c r="H4039" s="23">
        <v>74500</v>
      </c>
    </row>
    <row r="4040" spans="7:8" x14ac:dyDescent="0.35">
      <c r="G4040" t="s">
        <v>4056</v>
      </c>
      <c r="H4040" s="23">
        <v>41100</v>
      </c>
    </row>
    <row r="4041" spans="7:8" x14ac:dyDescent="0.35">
      <c r="G4041" t="s">
        <v>4057</v>
      </c>
      <c r="H4041" s="23">
        <v>87100</v>
      </c>
    </row>
    <row r="4042" spans="7:8" x14ac:dyDescent="0.35">
      <c r="G4042" t="s">
        <v>4058</v>
      </c>
      <c r="H4042" s="23">
        <v>65100</v>
      </c>
    </row>
    <row r="4043" spans="7:8" x14ac:dyDescent="0.35">
      <c r="G4043" t="s">
        <v>4059</v>
      </c>
      <c r="H4043" s="23">
        <v>107200</v>
      </c>
    </row>
    <row r="4044" spans="7:8" x14ac:dyDescent="0.35">
      <c r="G4044" t="s">
        <v>4060</v>
      </c>
      <c r="H4044" s="23">
        <v>105400</v>
      </c>
    </row>
    <row r="4045" spans="7:8" x14ac:dyDescent="0.35">
      <c r="G4045" t="s">
        <v>4061</v>
      </c>
      <c r="H4045" s="23">
        <v>79400</v>
      </c>
    </row>
    <row r="4046" spans="7:8" x14ac:dyDescent="0.35">
      <c r="G4046" t="s">
        <v>4062</v>
      </c>
      <c r="H4046" s="23">
        <v>101300</v>
      </c>
    </row>
    <row r="4047" spans="7:8" x14ac:dyDescent="0.35">
      <c r="G4047" t="s">
        <v>4063</v>
      </c>
      <c r="H4047" s="23">
        <v>75200</v>
      </c>
    </row>
    <row r="4048" spans="7:8" x14ac:dyDescent="0.35">
      <c r="G4048" t="s">
        <v>4064</v>
      </c>
      <c r="H4048" s="23">
        <v>74100</v>
      </c>
    </row>
    <row r="4049" spans="7:8" x14ac:dyDescent="0.35">
      <c r="G4049" t="s">
        <v>4065</v>
      </c>
      <c r="H4049" s="23">
        <v>73100</v>
      </c>
    </row>
    <row r="4050" spans="7:8" x14ac:dyDescent="0.35">
      <c r="G4050" t="s">
        <v>4066</v>
      </c>
      <c r="H4050" s="23">
        <v>86600</v>
      </c>
    </row>
    <row r="4051" spans="7:8" x14ac:dyDescent="0.35">
      <c r="G4051" t="s">
        <v>4067</v>
      </c>
      <c r="H4051" s="23">
        <v>64800</v>
      </c>
    </row>
    <row r="4052" spans="7:8" x14ac:dyDescent="0.35">
      <c r="G4052" t="s">
        <v>4068</v>
      </c>
      <c r="H4052" s="23">
        <v>45400</v>
      </c>
    </row>
    <row r="4053" spans="7:8" x14ac:dyDescent="0.35">
      <c r="G4053" t="s">
        <v>4069</v>
      </c>
      <c r="H4053" s="23">
        <v>75900</v>
      </c>
    </row>
    <row r="4054" spans="7:8" x14ac:dyDescent="0.35">
      <c r="G4054" t="s">
        <v>4070</v>
      </c>
      <c r="H4054" s="23">
        <v>53000</v>
      </c>
    </row>
    <row r="4055" spans="7:8" x14ac:dyDescent="0.35">
      <c r="G4055" t="s">
        <v>4071</v>
      </c>
      <c r="H4055" s="23">
        <v>84800</v>
      </c>
    </row>
    <row r="4056" spans="7:8" x14ac:dyDescent="0.35">
      <c r="G4056" t="s">
        <v>4072</v>
      </c>
      <c r="H4056" s="23">
        <v>100600</v>
      </c>
    </row>
    <row r="4057" spans="7:8" x14ac:dyDescent="0.35">
      <c r="G4057" t="s">
        <v>4073</v>
      </c>
      <c r="H4057" s="23">
        <v>83900</v>
      </c>
    </row>
    <row r="4058" spans="7:8" x14ac:dyDescent="0.35">
      <c r="G4058" t="s">
        <v>4074</v>
      </c>
      <c r="H4058" s="23">
        <v>60300</v>
      </c>
    </row>
    <row r="4059" spans="7:8" x14ac:dyDescent="0.35">
      <c r="G4059" t="s">
        <v>4075</v>
      </c>
      <c r="H4059" s="23">
        <v>104600</v>
      </c>
    </row>
    <row r="4060" spans="7:8" x14ac:dyDescent="0.35">
      <c r="G4060" t="s">
        <v>4076</v>
      </c>
      <c r="H4060" s="23">
        <v>117300</v>
      </c>
    </row>
    <row r="4061" spans="7:8" x14ac:dyDescent="0.35">
      <c r="G4061" t="s">
        <v>4077</v>
      </c>
      <c r="H4061" s="23">
        <v>76900</v>
      </c>
    </row>
    <row r="4062" spans="7:8" x14ac:dyDescent="0.35">
      <c r="G4062" t="s">
        <v>4078</v>
      </c>
      <c r="H4062" s="23">
        <v>68200</v>
      </c>
    </row>
    <row r="4063" spans="7:8" x14ac:dyDescent="0.35">
      <c r="G4063" t="s">
        <v>4079</v>
      </c>
      <c r="H4063" s="23">
        <v>95500</v>
      </c>
    </row>
    <row r="4064" spans="7:8" x14ac:dyDescent="0.35">
      <c r="G4064" t="s">
        <v>4080</v>
      </c>
      <c r="H4064" s="23">
        <v>79300</v>
      </c>
    </row>
    <row r="4065" spans="7:8" x14ac:dyDescent="0.35">
      <c r="G4065" t="s">
        <v>4081</v>
      </c>
      <c r="H4065" s="23">
        <v>87700</v>
      </c>
    </row>
    <row r="4066" spans="7:8" x14ac:dyDescent="0.35">
      <c r="G4066" t="s">
        <v>4082</v>
      </c>
      <c r="H4066" s="23">
        <v>95900</v>
      </c>
    </row>
    <row r="4067" spans="7:8" x14ac:dyDescent="0.35">
      <c r="G4067" t="s">
        <v>4083</v>
      </c>
      <c r="H4067" s="23">
        <v>91900</v>
      </c>
    </row>
    <row r="4068" spans="7:8" x14ac:dyDescent="0.35">
      <c r="G4068" t="s">
        <v>4084</v>
      </c>
      <c r="H4068" s="23">
        <v>78000</v>
      </c>
    </row>
    <row r="4069" spans="7:8" x14ac:dyDescent="0.35">
      <c r="G4069" t="s">
        <v>4085</v>
      </c>
      <c r="H4069" s="23">
        <v>47800</v>
      </c>
    </row>
    <row r="4070" spans="7:8" x14ac:dyDescent="0.35">
      <c r="G4070" t="s">
        <v>4086</v>
      </c>
      <c r="H4070" s="23">
        <v>127200</v>
      </c>
    </row>
    <row r="4071" spans="7:8" x14ac:dyDescent="0.35">
      <c r="G4071" t="s">
        <v>4087</v>
      </c>
      <c r="H4071" s="23">
        <v>108600</v>
      </c>
    </row>
    <row r="4072" spans="7:8" x14ac:dyDescent="0.35">
      <c r="G4072" t="s">
        <v>4088</v>
      </c>
      <c r="H4072" s="23">
        <v>70800</v>
      </c>
    </row>
    <row r="4073" spans="7:8" x14ac:dyDescent="0.35">
      <c r="G4073" t="s">
        <v>4089</v>
      </c>
      <c r="H4073" s="23">
        <v>91200</v>
      </c>
    </row>
    <row r="4074" spans="7:8" x14ac:dyDescent="0.35">
      <c r="G4074" t="s">
        <v>4090</v>
      </c>
      <c r="H4074" s="23">
        <v>65000</v>
      </c>
    </row>
    <row r="4075" spans="7:8" x14ac:dyDescent="0.35">
      <c r="G4075" t="s">
        <v>4091</v>
      </c>
      <c r="H4075" s="23">
        <v>72000</v>
      </c>
    </row>
    <row r="4076" spans="7:8" x14ac:dyDescent="0.35">
      <c r="G4076" t="s">
        <v>4092</v>
      </c>
      <c r="H4076" s="23">
        <v>46800</v>
      </c>
    </row>
    <row r="4077" spans="7:8" x14ac:dyDescent="0.35">
      <c r="G4077" t="s">
        <v>4093</v>
      </c>
      <c r="H4077" s="23">
        <v>61100</v>
      </c>
    </row>
    <row r="4078" spans="7:8" x14ac:dyDescent="0.35">
      <c r="G4078" t="s">
        <v>4094</v>
      </c>
      <c r="H4078" s="23">
        <v>74400</v>
      </c>
    </row>
    <row r="4079" spans="7:8" x14ac:dyDescent="0.35">
      <c r="G4079" t="s">
        <v>4095</v>
      </c>
      <c r="H4079" s="23">
        <v>96100</v>
      </c>
    </row>
    <row r="4080" spans="7:8" x14ac:dyDescent="0.35">
      <c r="G4080" t="s">
        <v>4096</v>
      </c>
      <c r="H4080" s="23">
        <v>92300</v>
      </c>
    </row>
    <row r="4081" spans="7:8" x14ac:dyDescent="0.35">
      <c r="G4081" t="s">
        <v>4097</v>
      </c>
      <c r="H4081" s="23">
        <v>60900</v>
      </c>
    </row>
    <row r="4082" spans="7:8" x14ac:dyDescent="0.35">
      <c r="G4082" t="s">
        <v>4098</v>
      </c>
      <c r="H4082" s="23">
        <v>113000</v>
      </c>
    </row>
    <row r="4083" spans="7:8" x14ac:dyDescent="0.35">
      <c r="G4083" t="s">
        <v>4099</v>
      </c>
      <c r="H4083" s="23">
        <v>96900</v>
      </c>
    </row>
    <row r="4084" spans="7:8" x14ac:dyDescent="0.35">
      <c r="G4084" t="s">
        <v>4100</v>
      </c>
      <c r="H4084" s="23">
        <v>94100</v>
      </c>
    </row>
    <row r="4085" spans="7:8" x14ac:dyDescent="0.35">
      <c r="G4085" t="s">
        <v>4101</v>
      </c>
      <c r="H4085" s="23">
        <v>64300</v>
      </c>
    </row>
    <row r="4086" spans="7:8" x14ac:dyDescent="0.35">
      <c r="G4086" t="s">
        <v>4102</v>
      </c>
      <c r="H4086" s="23">
        <v>80500</v>
      </c>
    </row>
    <row r="4087" spans="7:8" x14ac:dyDescent="0.35">
      <c r="G4087" t="s">
        <v>4103</v>
      </c>
      <c r="H4087" s="23">
        <v>116500</v>
      </c>
    </row>
    <row r="4088" spans="7:8" x14ac:dyDescent="0.35">
      <c r="G4088" t="s">
        <v>4104</v>
      </c>
      <c r="H4088" s="23">
        <v>116800</v>
      </c>
    </row>
    <row r="4089" spans="7:8" x14ac:dyDescent="0.35">
      <c r="G4089" t="s">
        <v>4105</v>
      </c>
      <c r="H4089" s="23">
        <v>89100</v>
      </c>
    </row>
    <row r="4090" spans="7:8" x14ac:dyDescent="0.35">
      <c r="G4090" t="s">
        <v>4106</v>
      </c>
      <c r="H4090" s="23">
        <v>54600</v>
      </c>
    </row>
    <row r="4091" spans="7:8" x14ac:dyDescent="0.35">
      <c r="G4091" t="s">
        <v>4107</v>
      </c>
      <c r="H4091" s="23">
        <v>74000</v>
      </c>
    </row>
    <row r="4092" spans="7:8" x14ac:dyDescent="0.35">
      <c r="G4092" t="s">
        <v>4108</v>
      </c>
      <c r="H4092" s="23">
        <v>76500</v>
      </c>
    </row>
    <row r="4093" spans="7:8" x14ac:dyDescent="0.35">
      <c r="G4093" t="s">
        <v>4109</v>
      </c>
      <c r="H4093" s="23">
        <v>66000</v>
      </c>
    </row>
    <row r="4094" spans="7:8" x14ac:dyDescent="0.35">
      <c r="G4094" t="s">
        <v>4110</v>
      </c>
      <c r="H4094" s="23">
        <v>73100</v>
      </c>
    </row>
    <row r="4095" spans="7:8" x14ac:dyDescent="0.35">
      <c r="G4095" t="s">
        <v>4111</v>
      </c>
      <c r="H4095" s="23">
        <v>80300</v>
      </c>
    </row>
    <row r="4096" spans="7:8" x14ac:dyDescent="0.35">
      <c r="G4096" t="s">
        <v>4112</v>
      </c>
      <c r="H4096" s="23">
        <v>77400</v>
      </c>
    </row>
    <row r="4097" spans="7:8" x14ac:dyDescent="0.35">
      <c r="G4097" t="s">
        <v>4113</v>
      </c>
      <c r="H4097" s="23">
        <v>76600</v>
      </c>
    </row>
    <row r="4098" spans="7:8" x14ac:dyDescent="0.35">
      <c r="G4098" t="s">
        <v>4114</v>
      </c>
      <c r="H4098" s="23">
        <v>95600</v>
      </c>
    </row>
    <row r="4099" spans="7:8" x14ac:dyDescent="0.35">
      <c r="G4099" t="s">
        <v>4115</v>
      </c>
      <c r="H4099" s="23">
        <v>76600</v>
      </c>
    </row>
    <row r="4100" spans="7:8" x14ac:dyDescent="0.35">
      <c r="G4100" t="s">
        <v>4116</v>
      </c>
      <c r="H4100" s="23">
        <v>87500</v>
      </c>
    </row>
    <row r="4101" spans="7:8" x14ac:dyDescent="0.35">
      <c r="G4101" t="s">
        <v>4117</v>
      </c>
      <c r="H4101" s="23">
        <v>93400</v>
      </c>
    </row>
    <row r="4102" spans="7:8" x14ac:dyDescent="0.35">
      <c r="G4102" t="s">
        <v>4118</v>
      </c>
      <c r="H4102" s="23">
        <v>77700</v>
      </c>
    </row>
    <row r="4103" spans="7:8" x14ac:dyDescent="0.35">
      <c r="G4103" t="s">
        <v>4119</v>
      </c>
      <c r="H4103" s="23">
        <v>81800</v>
      </c>
    </row>
    <row r="4104" spans="7:8" x14ac:dyDescent="0.35">
      <c r="G4104" t="s">
        <v>4120</v>
      </c>
      <c r="H4104" s="23">
        <v>95800</v>
      </c>
    </row>
    <row r="4105" spans="7:8" x14ac:dyDescent="0.35">
      <c r="G4105" t="s">
        <v>4121</v>
      </c>
      <c r="H4105" s="23">
        <v>44900</v>
      </c>
    </row>
    <row r="4106" spans="7:8" x14ac:dyDescent="0.35">
      <c r="G4106" t="s">
        <v>4122</v>
      </c>
      <c r="H4106" s="23">
        <v>45500</v>
      </c>
    </row>
    <row r="4107" spans="7:8" x14ac:dyDescent="0.35">
      <c r="G4107" t="s">
        <v>4123</v>
      </c>
      <c r="H4107" s="23">
        <v>85500</v>
      </c>
    </row>
    <row r="4108" spans="7:8" x14ac:dyDescent="0.35">
      <c r="G4108" t="s">
        <v>4124</v>
      </c>
      <c r="H4108" s="23">
        <v>73600</v>
      </c>
    </row>
    <row r="4109" spans="7:8" x14ac:dyDescent="0.35">
      <c r="G4109" t="s">
        <v>4125</v>
      </c>
      <c r="H4109" s="23">
        <v>96600</v>
      </c>
    </row>
    <row r="4110" spans="7:8" x14ac:dyDescent="0.35">
      <c r="G4110" t="s">
        <v>4126</v>
      </c>
      <c r="H4110" s="23">
        <v>110600</v>
      </c>
    </row>
    <row r="4111" spans="7:8" x14ac:dyDescent="0.35">
      <c r="G4111" t="s">
        <v>4127</v>
      </c>
      <c r="H4111" s="23">
        <v>95200</v>
      </c>
    </row>
    <row r="4112" spans="7:8" x14ac:dyDescent="0.35">
      <c r="G4112" t="s">
        <v>4128</v>
      </c>
      <c r="H4112" s="23">
        <v>78700</v>
      </c>
    </row>
    <row r="4113" spans="7:8" x14ac:dyDescent="0.35">
      <c r="G4113" t="s">
        <v>4129</v>
      </c>
      <c r="H4113" s="23">
        <v>108600</v>
      </c>
    </row>
    <row r="4114" spans="7:8" x14ac:dyDescent="0.35">
      <c r="G4114" t="s">
        <v>4130</v>
      </c>
      <c r="H4114" s="23">
        <v>100500</v>
      </c>
    </row>
    <row r="4115" spans="7:8" x14ac:dyDescent="0.35">
      <c r="G4115" t="s">
        <v>4131</v>
      </c>
      <c r="H4115" s="23">
        <v>78800</v>
      </c>
    </row>
    <row r="4116" spans="7:8" x14ac:dyDescent="0.35">
      <c r="G4116" t="s">
        <v>4132</v>
      </c>
      <c r="H4116" s="23">
        <v>78300</v>
      </c>
    </row>
    <row r="4117" spans="7:8" x14ac:dyDescent="0.35">
      <c r="G4117" t="s">
        <v>4133</v>
      </c>
      <c r="H4117" s="23">
        <v>68200</v>
      </c>
    </row>
    <row r="4118" spans="7:8" x14ac:dyDescent="0.35">
      <c r="G4118" t="s">
        <v>4134</v>
      </c>
      <c r="H4118" s="23">
        <v>97400</v>
      </c>
    </row>
    <row r="4119" spans="7:8" x14ac:dyDescent="0.35">
      <c r="G4119" t="s">
        <v>4135</v>
      </c>
      <c r="H4119" s="23">
        <v>92100</v>
      </c>
    </row>
    <row r="4120" spans="7:8" x14ac:dyDescent="0.35">
      <c r="G4120" t="s">
        <v>4136</v>
      </c>
      <c r="H4120" s="23">
        <v>77500</v>
      </c>
    </row>
    <row r="4121" spans="7:8" x14ac:dyDescent="0.35">
      <c r="G4121" t="s">
        <v>4137</v>
      </c>
      <c r="H4121" s="23">
        <v>84600</v>
      </c>
    </row>
    <row r="4122" spans="7:8" x14ac:dyDescent="0.35">
      <c r="G4122" t="s">
        <v>4138</v>
      </c>
      <c r="H4122" s="23">
        <v>69500</v>
      </c>
    </row>
    <row r="4123" spans="7:8" x14ac:dyDescent="0.35">
      <c r="G4123" t="s">
        <v>4139</v>
      </c>
      <c r="H4123" s="23">
        <v>77700</v>
      </c>
    </row>
    <row r="4124" spans="7:8" x14ac:dyDescent="0.35">
      <c r="G4124" t="s">
        <v>4140</v>
      </c>
      <c r="H4124" s="23">
        <v>105500</v>
      </c>
    </row>
    <row r="4125" spans="7:8" x14ac:dyDescent="0.35">
      <c r="G4125" t="s">
        <v>4141</v>
      </c>
      <c r="H4125" s="23">
        <v>80400</v>
      </c>
    </row>
    <row r="4126" spans="7:8" x14ac:dyDescent="0.35">
      <c r="G4126" t="s">
        <v>4142</v>
      </c>
      <c r="H4126" s="23">
        <v>108200</v>
      </c>
    </row>
    <row r="4127" spans="7:8" x14ac:dyDescent="0.35">
      <c r="G4127" t="s">
        <v>4143</v>
      </c>
      <c r="H4127" s="23">
        <v>42200</v>
      </c>
    </row>
    <row r="4128" spans="7:8" x14ac:dyDescent="0.35">
      <c r="G4128" t="s">
        <v>4144</v>
      </c>
      <c r="H4128" s="23">
        <v>43700</v>
      </c>
    </row>
    <row r="4129" spans="7:8" x14ac:dyDescent="0.35">
      <c r="G4129" t="s">
        <v>4145</v>
      </c>
      <c r="H4129" s="23">
        <v>103900</v>
      </c>
    </row>
    <row r="4130" spans="7:8" x14ac:dyDescent="0.35">
      <c r="G4130" t="s">
        <v>4146</v>
      </c>
      <c r="H4130" s="23">
        <v>78600</v>
      </c>
    </row>
    <row r="4131" spans="7:8" x14ac:dyDescent="0.35">
      <c r="G4131" t="s">
        <v>4147</v>
      </c>
      <c r="H4131" s="23">
        <v>111400</v>
      </c>
    </row>
    <row r="4132" spans="7:8" x14ac:dyDescent="0.35">
      <c r="G4132" t="s">
        <v>4148</v>
      </c>
      <c r="H4132" s="23">
        <v>63400</v>
      </c>
    </row>
    <row r="4133" spans="7:8" x14ac:dyDescent="0.35">
      <c r="G4133" t="s">
        <v>4149</v>
      </c>
      <c r="H4133" s="23">
        <v>91000</v>
      </c>
    </row>
    <row r="4134" spans="7:8" x14ac:dyDescent="0.35">
      <c r="G4134" t="s">
        <v>4150</v>
      </c>
      <c r="H4134" s="23">
        <v>71900</v>
      </c>
    </row>
    <row r="4135" spans="7:8" x14ac:dyDescent="0.35">
      <c r="G4135" t="s">
        <v>4151</v>
      </c>
      <c r="H4135" s="23">
        <v>63700</v>
      </c>
    </row>
    <row r="4136" spans="7:8" x14ac:dyDescent="0.35">
      <c r="G4136" t="s">
        <v>4152</v>
      </c>
      <c r="H4136" s="23">
        <v>82100</v>
      </c>
    </row>
    <row r="4137" spans="7:8" x14ac:dyDescent="0.35">
      <c r="G4137" t="s">
        <v>4153</v>
      </c>
      <c r="H4137" s="23">
        <v>116900</v>
      </c>
    </row>
    <row r="4138" spans="7:8" x14ac:dyDescent="0.35">
      <c r="G4138" t="s">
        <v>4154</v>
      </c>
      <c r="H4138" s="23">
        <v>81800</v>
      </c>
    </row>
    <row r="4139" spans="7:8" x14ac:dyDescent="0.35">
      <c r="G4139" t="s">
        <v>4155</v>
      </c>
      <c r="H4139" s="23">
        <v>71800</v>
      </c>
    </row>
    <row r="4140" spans="7:8" x14ac:dyDescent="0.35">
      <c r="G4140" t="s">
        <v>4156</v>
      </c>
      <c r="H4140" s="23">
        <v>95300</v>
      </c>
    </row>
    <row r="4141" spans="7:8" x14ac:dyDescent="0.35">
      <c r="G4141" t="s">
        <v>4157</v>
      </c>
      <c r="H4141" s="23">
        <v>99000</v>
      </c>
    </row>
    <row r="4142" spans="7:8" x14ac:dyDescent="0.35">
      <c r="G4142" t="s">
        <v>4158</v>
      </c>
      <c r="H4142" s="23">
        <v>85800</v>
      </c>
    </row>
    <row r="4143" spans="7:8" x14ac:dyDescent="0.35">
      <c r="G4143" t="s">
        <v>4159</v>
      </c>
      <c r="H4143" s="23">
        <v>110500</v>
      </c>
    </row>
    <row r="4144" spans="7:8" x14ac:dyDescent="0.35">
      <c r="G4144" t="s">
        <v>4160</v>
      </c>
      <c r="H4144" s="23">
        <v>63500</v>
      </c>
    </row>
    <row r="4145" spans="7:8" x14ac:dyDescent="0.35">
      <c r="G4145" t="s">
        <v>4161</v>
      </c>
      <c r="H4145" s="23">
        <v>65600</v>
      </c>
    </row>
    <row r="4146" spans="7:8" x14ac:dyDescent="0.35">
      <c r="G4146" t="s">
        <v>4162</v>
      </c>
      <c r="H4146" s="23">
        <v>81000</v>
      </c>
    </row>
    <row r="4147" spans="7:8" x14ac:dyDescent="0.35">
      <c r="G4147" t="s">
        <v>4163</v>
      </c>
      <c r="H4147" s="23">
        <v>105600</v>
      </c>
    </row>
    <row r="4148" spans="7:8" x14ac:dyDescent="0.35">
      <c r="G4148" t="s">
        <v>4164</v>
      </c>
      <c r="H4148" s="23">
        <v>62300</v>
      </c>
    </row>
    <row r="4149" spans="7:8" x14ac:dyDescent="0.35">
      <c r="G4149" t="s">
        <v>4165</v>
      </c>
      <c r="H4149" s="23">
        <v>70600</v>
      </c>
    </row>
    <row r="4150" spans="7:8" x14ac:dyDescent="0.35">
      <c r="G4150" t="s">
        <v>4166</v>
      </c>
      <c r="H4150" s="23">
        <v>66200</v>
      </c>
    </row>
    <row r="4151" spans="7:8" x14ac:dyDescent="0.35">
      <c r="G4151" t="s">
        <v>4167</v>
      </c>
      <c r="H4151" s="23">
        <v>42300</v>
      </c>
    </row>
    <row r="4152" spans="7:8" x14ac:dyDescent="0.35">
      <c r="G4152" t="s">
        <v>4168</v>
      </c>
      <c r="H4152" s="23">
        <v>103700</v>
      </c>
    </row>
    <row r="4153" spans="7:8" x14ac:dyDescent="0.35">
      <c r="G4153" t="s">
        <v>4169</v>
      </c>
      <c r="H4153" s="23">
        <v>93900</v>
      </c>
    </row>
    <row r="4154" spans="7:8" x14ac:dyDescent="0.35">
      <c r="G4154" t="s">
        <v>4170</v>
      </c>
      <c r="H4154" s="23">
        <v>102300</v>
      </c>
    </row>
    <row r="4155" spans="7:8" x14ac:dyDescent="0.35">
      <c r="G4155" t="s">
        <v>4171</v>
      </c>
      <c r="H4155" s="23">
        <v>75000</v>
      </c>
    </row>
    <row r="4156" spans="7:8" x14ac:dyDescent="0.35">
      <c r="G4156" t="s">
        <v>4172</v>
      </c>
      <c r="H4156" s="23">
        <v>67300</v>
      </c>
    </row>
    <row r="4157" spans="7:8" x14ac:dyDescent="0.35">
      <c r="G4157" t="s">
        <v>4173</v>
      </c>
      <c r="H4157" s="23">
        <v>91700</v>
      </c>
    </row>
    <row r="4158" spans="7:8" x14ac:dyDescent="0.35">
      <c r="G4158" t="s">
        <v>4174</v>
      </c>
      <c r="H4158" s="23">
        <v>89100</v>
      </c>
    </row>
    <row r="4159" spans="7:8" x14ac:dyDescent="0.35">
      <c r="G4159" t="s">
        <v>4175</v>
      </c>
      <c r="H4159" s="23">
        <v>94000</v>
      </c>
    </row>
    <row r="4160" spans="7:8" x14ac:dyDescent="0.35">
      <c r="G4160" t="s">
        <v>4176</v>
      </c>
      <c r="H4160" s="23">
        <v>72500</v>
      </c>
    </row>
    <row r="4161" spans="7:8" x14ac:dyDescent="0.35">
      <c r="G4161" t="s">
        <v>4177</v>
      </c>
      <c r="H4161" s="23">
        <v>74700</v>
      </c>
    </row>
    <row r="4162" spans="7:8" x14ac:dyDescent="0.35">
      <c r="G4162" t="s">
        <v>4178</v>
      </c>
      <c r="H4162" s="23">
        <v>66600</v>
      </c>
    </row>
    <row r="4163" spans="7:8" x14ac:dyDescent="0.35">
      <c r="G4163" t="s">
        <v>4179</v>
      </c>
      <c r="H4163" s="23">
        <v>91200</v>
      </c>
    </row>
    <row r="4164" spans="7:8" x14ac:dyDescent="0.35">
      <c r="G4164" t="s">
        <v>4180</v>
      </c>
      <c r="H4164" s="23">
        <v>87900</v>
      </c>
    </row>
    <row r="4165" spans="7:8" x14ac:dyDescent="0.35">
      <c r="G4165" t="s">
        <v>4181</v>
      </c>
      <c r="H4165" s="23">
        <v>95200</v>
      </c>
    </row>
    <row r="4166" spans="7:8" x14ac:dyDescent="0.35">
      <c r="G4166" t="s">
        <v>4182</v>
      </c>
      <c r="H4166" s="23">
        <v>65300</v>
      </c>
    </row>
    <row r="4167" spans="7:8" x14ac:dyDescent="0.35">
      <c r="G4167" t="s">
        <v>4183</v>
      </c>
      <c r="H4167" s="23">
        <v>98600</v>
      </c>
    </row>
    <row r="4168" spans="7:8" x14ac:dyDescent="0.35">
      <c r="G4168" t="s">
        <v>4184</v>
      </c>
      <c r="H4168" s="23">
        <v>51700</v>
      </c>
    </row>
    <row r="4169" spans="7:8" x14ac:dyDescent="0.35">
      <c r="G4169" t="s">
        <v>4185</v>
      </c>
      <c r="H4169" s="23">
        <v>57500</v>
      </c>
    </row>
    <row r="4170" spans="7:8" x14ac:dyDescent="0.35">
      <c r="G4170" t="s">
        <v>4186</v>
      </c>
      <c r="H4170" s="23">
        <v>100600</v>
      </c>
    </row>
    <row r="4171" spans="7:8" x14ac:dyDescent="0.35">
      <c r="G4171" t="s">
        <v>4187</v>
      </c>
      <c r="H4171" s="23">
        <v>50400</v>
      </c>
    </row>
    <row r="4172" spans="7:8" x14ac:dyDescent="0.35">
      <c r="G4172" t="s">
        <v>4188</v>
      </c>
      <c r="H4172" s="23">
        <v>82900</v>
      </c>
    </row>
    <row r="4173" spans="7:8" x14ac:dyDescent="0.35">
      <c r="G4173" t="s">
        <v>4189</v>
      </c>
      <c r="H4173" s="23">
        <v>111900</v>
      </c>
    </row>
    <row r="4174" spans="7:8" x14ac:dyDescent="0.35">
      <c r="G4174" t="s">
        <v>4190</v>
      </c>
      <c r="H4174" s="23">
        <v>114400</v>
      </c>
    </row>
    <row r="4175" spans="7:8" x14ac:dyDescent="0.35">
      <c r="G4175" t="s">
        <v>4191</v>
      </c>
      <c r="H4175" s="23">
        <v>45900</v>
      </c>
    </row>
    <row r="4176" spans="7:8" x14ac:dyDescent="0.35">
      <c r="G4176" t="s">
        <v>4192</v>
      </c>
      <c r="H4176" s="23">
        <v>63000</v>
      </c>
    </row>
    <row r="4177" spans="7:8" x14ac:dyDescent="0.35">
      <c r="G4177" t="s">
        <v>4193</v>
      </c>
      <c r="H4177" s="23">
        <v>84800</v>
      </c>
    </row>
    <row r="4178" spans="7:8" x14ac:dyDescent="0.35">
      <c r="G4178" t="s">
        <v>4194</v>
      </c>
      <c r="H4178" s="23">
        <v>103100</v>
      </c>
    </row>
    <row r="4179" spans="7:8" x14ac:dyDescent="0.35">
      <c r="G4179" t="s">
        <v>4195</v>
      </c>
      <c r="H4179" s="23">
        <v>109900</v>
      </c>
    </row>
    <row r="4180" spans="7:8" x14ac:dyDescent="0.35">
      <c r="G4180" t="s">
        <v>4196</v>
      </c>
      <c r="H4180" s="23">
        <v>91800</v>
      </c>
    </row>
    <row r="4181" spans="7:8" x14ac:dyDescent="0.35">
      <c r="G4181" t="s">
        <v>4197</v>
      </c>
      <c r="H4181" s="23">
        <v>83800</v>
      </c>
    </row>
    <row r="4182" spans="7:8" x14ac:dyDescent="0.35">
      <c r="G4182" t="s">
        <v>4198</v>
      </c>
      <c r="H4182" s="23">
        <v>68800</v>
      </c>
    </row>
    <row r="4183" spans="7:8" x14ac:dyDescent="0.35">
      <c r="G4183" t="s">
        <v>4199</v>
      </c>
      <c r="H4183" s="23">
        <v>43500</v>
      </c>
    </row>
    <row r="4184" spans="7:8" x14ac:dyDescent="0.35">
      <c r="G4184" t="s">
        <v>4200</v>
      </c>
      <c r="H4184" s="23">
        <v>111500</v>
      </c>
    </row>
    <row r="4185" spans="7:8" x14ac:dyDescent="0.35">
      <c r="G4185" t="s">
        <v>4201</v>
      </c>
      <c r="H4185" s="23">
        <v>84700</v>
      </c>
    </row>
    <row r="4186" spans="7:8" x14ac:dyDescent="0.35">
      <c r="G4186" t="s">
        <v>4202</v>
      </c>
      <c r="H4186" s="23">
        <v>99300</v>
      </c>
    </row>
    <row r="4187" spans="7:8" x14ac:dyDescent="0.35">
      <c r="G4187" t="s">
        <v>4203</v>
      </c>
      <c r="H4187" s="23">
        <v>86800</v>
      </c>
    </row>
    <row r="4188" spans="7:8" x14ac:dyDescent="0.35">
      <c r="G4188" t="s">
        <v>4204</v>
      </c>
      <c r="H4188" s="23">
        <v>81400</v>
      </c>
    </row>
    <row r="4189" spans="7:8" x14ac:dyDescent="0.35">
      <c r="G4189" t="s">
        <v>4205</v>
      </c>
      <c r="H4189" s="23">
        <v>108600</v>
      </c>
    </row>
    <row r="4190" spans="7:8" x14ac:dyDescent="0.35">
      <c r="G4190" t="s">
        <v>4206</v>
      </c>
      <c r="H4190" s="23">
        <v>89400</v>
      </c>
    </row>
    <row r="4191" spans="7:8" x14ac:dyDescent="0.35">
      <c r="G4191" t="s">
        <v>4207</v>
      </c>
      <c r="H4191" s="23">
        <v>55200</v>
      </c>
    </row>
    <row r="4192" spans="7:8" x14ac:dyDescent="0.35">
      <c r="G4192" t="s">
        <v>4208</v>
      </c>
      <c r="H4192" s="23">
        <v>73500</v>
      </c>
    </row>
    <row r="4193" spans="7:8" x14ac:dyDescent="0.35">
      <c r="G4193" t="s">
        <v>4209</v>
      </c>
      <c r="H4193" s="23">
        <v>116900</v>
      </c>
    </row>
    <row r="4194" spans="7:8" x14ac:dyDescent="0.35">
      <c r="G4194" t="s">
        <v>4210</v>
      </c>
      <c r="H4194" s="23">
        <v>84200</v>
      </c>
    </row>
    <row r="4195" spans="7:8" x14ac:dyDescent="0.35">
      <c r="G4195" t="s">
        <v>4211</v>
      </c>
      <c r="H4195" s="23">
        <v>62800</v>
      </c>
    </row>
    <row r="4196" spans="7:8" x14ac:dyDescent="0.35">
      <c r="G4196" t="s">
        <v>4212</v>
      </c>
      <c r="H4196" s="23">
        <v>121400</v>
      </c>
    </row>
    <row r="4197" spans="7:8" x14ac:dyDescent="0.35">
      <c r="G4197" t="s">
        <v>4213</v>
      </c>
      <c r="H4197" s="23">
        <v>67800</v>
      </c>
    </row>
    <row r="4198" spans="7:8" x14ac:dyDescent="0.35">
      <c r="G4198" t="s">
        <v>4214</v>
      </c>
      <c r="H4198" s="23">
        <v>82600</v>
      </c>
    </row>
    <row r="4199" spans="7:8" x14ac:dyDescent="0.35">
      <c r="G4199" t="s">
        <v>4215</v>
      </c>
      <c r="H4199" s="23">
        <v>100200</v>
      </c>
    </row>
    <row r="4200" spans="7:8" x14ac:dyDescent="0.35">
      <c r="G4200" t="s">
        <v>4216</v>
      </c>
      <c r="H4200" s="23">
        <v>107700</v>
      </c>
    </row>
    <row r="4201" spans="7:8" x14ac:dyDescent="0.35">
      <c r="G4201" t="s">
        <v>4217</v>
      </c>
      <c r="H4201" s="23">
        <v>92700</v>
      </c>
    </row>
    <row r="4202" spans="7:8" x14ac:dyDescent="0.35">
      <c r="G4202" t="s">
        <v>4218</v>
      </c>
      <c r="H4202" s="23">
        <v>64100</v>
      </c>
    </row>
    <row r="4203" spans="7:8" x14ac:dyDescent="0.35">
      <c r="G4203" t="s">
        <v>4219</v>
      </c>
      <c r="H4203" s="23">
        <v>78000</v>
      </c>
    </row>
    <row r="4204" spans="7:8" x14ac:dyDescent="0.35">
      <c r="G4204" t="s">
        <v>4220</v>
      </c>
      <c r="H4204" s="23">
        <v>73700</v>
      </c>
    </row>
    <row r="4205" spans="7:8" x14ac:dyDescent="0.35">
      <c r="G4205" t="s">
        <v>4221</v>
      </c>
      <c r="H4205" s="23">
        <v>100300</v>
      </c>
    </row>
    <row r="4206" spans="7:8" x14ac:dyDescent="0.35">
      <c r="G4206" t="s">
        <v>4222</v>
      </c>
      <c r="H4206" s="23">
        <v>102000</v>
      </c>
    </row>
    <row r="4207" spans="7:8" x14ac:dyDescent="0.35">
      <c r="G4207" t="s">
        <v>4223</v>
      </c>
      <c r="H4207" s="23">
        <v>105800</v>
      </c>
    </row>
    <row r="4208" spans="7:8" x14ac:dyDescent="0.35">
      <c r="G4208" t="s">
        <v>4224</v>
      </c>
      <c r="H4208" s="23">
        <v>46100</v>
      </c>
    </row>
    <row r="4209" spans="7:8" x14ac:dyDescent="0.35">
      <c r="G4209" t="s">
        <v>4225</v>
      </c>
      <c r="H4209" s="23">
        <v>108500</v>
      </c>
    </row>
    <row r="4210" spans="7:8" x14ac:dyDescent="0.35">
      <c r="G4210" t="s">
        <v>4226</v>
      </c>
      <c r="H4210" s="23">
        <v>110300</v>
      </c>
    </row>
    <row r="4211" spans="7:8" x14ac:dyDescent="0.35">
      <c r="G4211" t="s">
        <v>4227</v>
      </c>
      <c r="H4211" s="23">
        <v>89500</v>
      </c>
    </row>
    <row r="4212" spans="7:8" x14ac:dyDescent="0.35">
      <c r="G4212" t="s">
        <v>4228</v>
      </c>
      <c r="H4212" s="23">
        <v>86900</v>
      </c>
    </row>
    <row r="4213" spans="7:8" x14ac:dyDescent="0.35">
      <c r="G4213" t="s">
        <v>4229</v>
      </c>
      <c r="H4213" s="23">
        <v>64200</v>
      </c>
    </row>
    <row r="4214" spans="7:8" x14ac:dyDescent="0.35">
      <c r="G4214" t="s">
        <v>4230</v>
      </c>
      <c r="H4214" s="23">
        <v>79900</v>
      </c>
    </row>
    <row r="4215" spans="7:8" x14ac:dyDescent="0.35">
      <c r="G4215" t="s">
        <v>4231</v>
      </c>
      <c r="H4215" s="23">
        <v>88000</v>
      </c>
    </row>
    <row r="4216" spans="7:8" x14ac:dyDescent="0.35">
      <c r="G4216" t="s">
        <v>4232</v>
      </c>
      <c r="H4216" s="23">
        <v>131300</v>
      </c>
    </row>
    <row r="4217" spans="7:8" x14ac:dyDescent="0.35">
      <c r="G4217" t="s">
        <v>4233</v>
      </c>
      <c r="H4217" s="23">
        <v>110900</v>
      </c>
    </row>
    <row r="4218" spans="7:8" x14ac:dyDescent="0.35">
      <c r="G4218" t="s">
        <v>4234</v>
      </c>
      <c r="H4218" s="23">
        <v>121100</v>
      </c>
    </row>
    <row r="4219" spans="7:8" x14ac:dyDescent="0.35">
      <c r="G4219" t="s">
        <v>4235</v>
      </c>
      <c r="H4219" s="23">
        <v>43500</v>
      </c>
    </row>
    <row r="4220" spans="7:8" x14ac:dyDescent="0.35">
      <c r="G4220" t="s">
        <v>4236</v>
      </c>
      <c r="H4220" s="23">
        <v>84600</v>
      </c>
    </row>
    <row r="4221" spans="7:8" x14ac:dyDescent="0.35">
      <c r="G4221" t="s">
        <v>4237</v>
      </c>
      <c r="H4221" s="23">
        <v>75700</v>
      </c>
    </row>
    <row r="4222" spans="7:8" x14ac:dyDescent="0.35">
      <c r="G4222" t="s">
        <v>4238</v>
      </c>
      <c r="H4222" s="23">
        <v>64400</v>
      </c>
    </row>
    <row r="4223" spans="7:8" x14ac:dyDescent="0.35">
      <c r="G4223" t="s">
        <v>4239</v>
      </c>
      <c r="H4223" s="23">
        <v>108600</v>
      </c>
    </row>
    <row r="4224" spans="7:8" x14ac:dyDescent="0.35">
      <c r="G4224" t="s">
        <v>4240</v>
      </c>
      <c r="H4224" s="23">
        <v>89100</v>
      </c>
    </row>
    <row r="4225" spans="7:8" x14ac:dyDescent="0.35">
      <c r="G4225" t="s">
        <v>4241</v>
      </c>
      <c r="H4225" s="23">
        <v>102800</v>
      </c>
    </row>
    <row r="4226" spans="7:8" x14ac:dyDescent="0.35">
      <c r="G4226" t="s">
        <v>4242</v>
      </c>
      <c r="H4226" s="23">
        <v>57900</v>
      </c>
    </row>
    <row r="4227" spans="7:8" x14ac:dyDescent="0.35">
      <c r="G4227" t="s">
        <v>4243</v>
      </c>
      <c r="H4227" s="23">
        <v>92200</v>
      </c>
    </row>
    <row r="4228" spans="7:8" x14ac:dyDescent="0.35">
      <c r="G4228" t="s">
        <v>4244</v>
      </c>
      <c r="H4228" s="23">
        <v>111200</v>
      </c>
    </row>
    <row r="4229" spans="7:8" x14ac:dyDescent="0.35">
      <c r="G4229" t="s">
        <v>4245</v>
      </c>
      <c r="H4229" s="23">
        <v>105600</v>
      </c>
    </row>
    <row r="4230" spans="7:8" x14ac:dyDescent="0.35">
      <c r="G4230" t="s">
        <v>4246</v>
      </c>
      <c r="H4230" s="23">
        <v>76100</v>
      </c>
    </row>
    <row r="4231" spans="7:8" x14ac:dyDescent="0.35">
      <c r="G4231" t="s">
        <v>4247</v>
      </c>
      <c r="H4231" s="23">
        <v>112800</v>
      </c>
    </row>
    <row r="4232" spans="7:8" x14ac:dyDescent="0.35">
      <c r="G4232" t="s">
        <v>4248</v>
      </c>
      <c r="H4232" s="23">
        <v>63500</v>
      </c>
    </row>
    <row r="4233" spans="7:8" x14ac:dyDescent="0.35">
      <c r="G4233" t="s">
        <v>4249</v>
      </c>
      <c r="H4233" s="23">
        <v>93400</v>
      </c>
    </row>
    <row r="4234" spans="7:8" x14ac:dyDescent="0.35">
      <c r="G4234" t="s">
        <v>4250</v>
      </c>
      <c r="H4234" s="23">
        <v>95100</v>
      </c>
    </row>
    <row r="4235" spans="7:8" x14ac:dyDescent="0.35">
      <c r="G4235" t="s">
        <v>4251</v>
      </c>
      <c r="H4235" s="23">
        <v>108400</v>
      </c>
    </row>
    <row r="4236" spans="7:8" x14ac:dyDescent="0.35">
      <c r="G4236" t="s">
        <v>4252</v>
      </c>
      <c r="H4236" s="23">
        <v>82500</v>
      </c>
    </row>
    <row r="4237" spans="7:8" x14ac:dyDescent="0.35">
      <c r="G4237" t="s">
        <v>4253</v>
      </c>
      <c r="H4237" s="23">
        <v>71800</v>
      </c>
    </row>
    <row r="4238" spans="7:8" x14ac:dyDescent="0.35">
      <c r="G4238" t="s">
        <v>4254</v>
      </c>
      <c r="H4238" s="23">
        <v>60400</v>
      </c>
    </row>
    <row r="4239" spans="7:8" x14ac:dyDescent="0.35">
      <c r="G4239" t="s">
        <v>4255</v>
      </c>
      <c r="H4239" s="23">
        <v>92400</v>
      </c>
    </row>
    <row r="4240" spans="7:8" x14ac:dyDescent="0.35">
      <c r="G4240" t="s">
        <v>4256</v>
      </c>
      <c r="H4240" s="23">
        <v>89600</v>
      </c>
    </row>
    <row r="4241" spans="7:8" x14ac:dyDescent="0.35">
      <c r="G4241" t="s">
        <v>4257</v>
      </c>
      <c r="H4241" s="23">
        <v>63100</v>
      </c>
    </row>
    <row r="4242" spans="7:8" x14ac:dyDescent="0.35">
      <c r="G4242" t="s">
        <v>4258</v>
      </c>
      <c r="H4242" s="23">
        <v>64000</v>
      </c>
    </row>
    <row r="4243" spans="7:8" x14ac:dyDescent="0.35">
      <c r="G4243" t="s">
        <v>4259</v>
      </c>
      <c r="H4243" s="23">
        <v>50800</v>
      </c>
    </row>
    <row r="4244" spans="7:8" x14ac:dyDescent="0.35">
      <c r="G4244" t="s">
        <v>4260</v>
      </c>
      <c r="H4244" s="23">
        <v>105200</v>
      </c>
    </row>
    <row r="4245" spans="7:8" x14ac:dyDescent="0.35">
      <c r="G4245" t="s">
        <v>4261</v>
      </c>
      <c r="H4245" s="23">
        <v>111500</v>
      </c>
    </row>
    <row r="4246" spans="7:8" x14ac:dyDescent="0.35">
      <c r="G4246" t="s">
        <v>4262</v>
      </c>
      <c r="H4246" s="23">
        <v>115800</v>
      </c>
    </row>
    <row r="4247" spans="7:8" x14ac:dyDescent="0.35">
      <c r="G4247" t="s">
        <v>4263</v>
      </c>
      <c r="H4247" s="23">
        <v>62600</v>
      </c>
    </row>
    <row r="4248" spans="7:8" x14ac:dyDescent="0.35">
      <c r="G4248" t="s">
        <v>4264</v>
      </c>
      <c r="H4248" s="23">
        <v>71200</v>
      </c>
    </row>
    <row r="4249" spans="7:8" x14ac:dyDescent="0.35">
      <c r="G4249" t="s">
        <v>4265</v>
      </c>
      <c r="H4249" s="23">
        <v>86700</v>
      </c>
    </row>
    <row r="4250" spans="7:8" x14ac:dyDescent="0.35">
      <c r="G4250" t="s">
        <v>4266</v>
      </c>
      <c r="H4250" s="23">
        <v>88900</v>
      </c>
    </row>
    <row r="4251" spans="7:8" x14ac:dyDescent="0.35">
      <c r="G4251" t="s">
        <v>4267</v>
      </c>
      <c r="H4251" s="23">
        <v>116500</v>
      </c>
    </row>
    <row r="4252" spans="7:8" x14ac:dyDescent="0.35">
      <c r="G4252" t="s">
        <v>4268</v>
      </c>
      <c r="H4252" s="23">
        <v>78000</v>
      </c>
    </row>
    <row r="4253" spans="7:8" x14ac:dyDescent="0.35">
      <c r="G4253" t="s">
        <v>4269</v>
      </c>
      <c r="H4253" s="23">
        <v>65600</v>
      </c>
    </row>
    <row r="4254" spans="7:8" x14ac:dyDescent="0.35">
      <c r="G4254" t="s">
        <v>4270</v>
      </c>
      <c r="H4254" s="23">
        <v>62000</v>
      </c>
    </row>
    <row r="4255" spans="7:8" x14ac:dyDescent="0.35">
      <c r="G4255" t="s">
        <v>4271</v>
      </c>
      <c r="H4255" s="23">
        <v>80200</v>
      </c>
    </row>
    <row r="4256" spans="7:8" x14ac:dyDescent="0.35">
      <c r="G4256" t="s">
        <v>4272</v>
      </c>
      <c r="H4256" s="23">
        <v>61800</v>
      </c>
    </row>
    <row r="4257" spans="7:8" x14ac:dyDescent="0.35">
      <c r="G4257" t="s">
        <v>4273</v>
      </c>
      <c r="H4257" s="23">
        <v>70000</v>
      </c>
    </row>
    <row r="4258" spans="7:8" x14ac:dyDescent="0.35">
      <c r="G4258" t="s">
        <v>4274</v>
      </c>
      <c r="H4258" s="23">
        <v>87100</v>
      </c>
    </row>
    <row r="4259" spans="7:8" x14ac:dyDescent="0.35">
      <c r="G4259" t="s">
        <v>4275</v>
      </c>
      <c r="H4259" s="23">
        <v>47300</v>
      </c>
    </row>
    <row r="4260" spans="7:8" x14ac:dyDescent="0.35">
      <c r="G4260" t="s">
        <v>4276</v>
      </c>
      <c r="H4260" s="23">
        <v>41700</v>
      </c>
    </row>
    <row r="4261" spans="7:8" x14ac:dyDescent="0.35">
      <c r="G4261" t="s">
        <v>4277</v>
      </c>
      <c r="H4261" s="23">
        <v>99200</v>
      </c>
    </row>
    <row r="4262" spans="7:8" x14ac:dyDescent="0.35">
      <c r="G4262" t="s">
        <v>4278</v>
      </c>
      <c r="H4262" s="23">
        <v>70100</v>
      </c>
    </row>
    <row r="4263" spans="7:8" x14ac:dyDescent="0.35">
      <c r="G4263" t="s">
        <v>4279</v>
      </c>
      <c r="H4263" s="23">
        <v>65400</v>
      </c>
    </row>
    <row r="4264" spans="7:8" x14ac:dyDescent="0.35">
      <c r="G4264" t="s">
        <v>4280</v>
      </c>
      <c r="H4264" s="23">
        <v>85300</v>
      </c>
    </row>
    <row r="4265" spans="7:8" x14ac:dyDescent="0.35">
      <c r="G4265" t="s">
        <v>4281</v>
      </c>
      <c r="H4265" s="23">
        <v>66600</v>
      </c>
    </row>
    <row r="4266" spans="7:8" x14ac:dyDescent="0.35">
      <c r="G4266" t="s">
        <v>4282</v>
      </c>
      <c r="H4266" s="23">
        <v>44300</v>
      </c>
    </row>
    <row r="4267" spans="7:8" x14ac:dyDescent="0.35">
      <c r="G4267" t="s">
        <v>4283</v>
      </c>
      <c r="H4267" s="23">
        <v>114100</v>
      </c>
    </row>
    <row r="4268" spans="7:8" x14ac:dyDescent="0.35">
      <c r="G4268" t="s">
        <v>4284</v>
      </c>
      <c r="H4268" s="23">
        <v>76800</v>
      </c>
    </row>
    <row r="4269" spans="7:8" x14ac:dyDescent="0.35">
      <c r="G4269" t="s">
        <v>4285</v>
      </c>
      <c r="H4269" s="23">
        <v>71600</v>
      </c>
    </row>
    <row r="4270" spans="7:8" x14ac:dyDescent="0.35">
      <c r="G4270" t="s">
        <v>4286</v>
      </c>
      <c r="H4270" s="23">
        <v>72600</v>
      </c>
    </row>
    <row r="4271" spans="7:8" x14ac:dyDescent="0.35">
      <c r="G4271" t="s">
        <v>4287</v>
      </c>
      <c r="H4271" s="23">
        <v>65100</v>
      </c>
    </row>
    <row r="4272" spans="7:8" x14ac:dyDescent="0.35">
      <c r="G4272" t="s">
        <v>4288</v>
      </c>
      <c r="H4272" s="23">
        <v>102200</v>
      </c>
    </row>
    <row r="4273" spans="7:8" x14ac:dyDescent="0.35">
      <c r="G4273" t="s">
        <v>4289</v>
      </c>
      <c r="H4273" s="23">
        <v>74000</v>
      </c>
    </row>
    <row r="4274" spans="7:8" x14ac:dyDescent="0.35">
      <c r="G4274" t="s">
        <v>4290</v>
      </c>
      <c r="H4274" s="23">
        <v>111600</v>
      </c>
    </row>
    <row r="4275" spans="7:8" x14ac:dyDescent="0.35">
      <c r="G4275" t="s">
        <v>4291</v>
      </c>
      <c r="H4275" s="23">
        <v>90900</v>
      </c>
    </row>
    <row r="4276" spans="7:8" x14ac:dyDescent="0.35">
      <c r="G4276" t="s">
        <v>4292</v>
      </c>
      <c r="H4276" s="23">
        <v>110500</v>
      </c>
    </row>
    <row r="4277" spans="7:8" x14ac:dyDescent="0.35">
      <c r="G4277" t="s">
        <v>4293</v>
      </c>
      <c r="H4277" s="23">
        <v>75100</v>
      </c>
    </row>
    <row r="4278" spans="7:8" x14ac:dyDescent="0.35">
      <c r="G4278" t="s">
        <v>4294</v>
      </c>
      <c r="H4278" s="23">
        <v>105500</v>
      </c>
    </row>
    <row r="4279" spans="7:8" x14ac:dyDescent="0.35">
      <c r="G4279" t="s">
        <v>4295</v>
      </c>
      <c r="H4279" s="23">
        <v>89100</v>
      </c>
    </row>
    <row r="4280" spans="7:8" x14ac:dyDescent="0.35">
      <c r="G4280" t="s">
        <v>4296</v>
      </c>
      <c r="H4280" s="23">
        <v>87400</v>
      </c>
    </row>
    <row r="4281" spans="7:8" x14ac:dyDescent="0.35">
      <c r="G4281" t="s">
        <v>4297</v>
      </c>
      <c r="H4281" s="23">
        <v>98200</v>
      </c>
    </row>
    <row r="4282" spans="7:8" x14ac:dyDescent="0.35">
      <c r="G4282" t="s">
        <v>4298</v>
      </c>
      <c r="H4282" s="23">
        <v>111200</v>
      </c>
    </row>
    <row r="4283" spans="7:8" x14ac:dyDescent="0.35">
      <c r="G4283" t="s">
        <v>4299</v>
      </c>
      <c r="H4283" s="23">
        <v>63900</v>
      </c>
    </row>
    <row r="4284" spans="7:8" x14ac:dyDescent="0.35">
      <c r="G4284" t="s">
        <v>4300</v>
      </c>
      <c r="H4284" s="23">
        <v>80200</v>
      </c>
    </row>
    <row r="4285" spans="7:8" x14ac:dyDescent="0.35">
      <c r="G4285" t="s">
        <v>4301</v>
      </c>
      <c r="H4285" s="23">
        <v>118900</v>
      </c>
    </row>
    <row r="4286" spans="7:8" x14ac:dyDescent="0.35">
      <c r="G4286" t="s">
        <v>4302</v>
      </c>
      <c r="H4286" s="23">
        <v>79400</v>
      </c>
    </row>
    <row r="4287" spans="7:8" x14ac:dyDescent="0.35">
      <c r="G4287" t="s">
        <v>4303</v>
      </c>
      <c r="H4287" s="23">
        <v>107400</v>
      </c>
    </row>
    <row r="4288" spans="7:8" x14ac:dyDescent="0.35">
      <c r="G4288" t="s">
        <v>4304</v>
      </c>
      <c r="H4288" s="23">
        <v>68200</v>
      </c>
    </row>
    <row r="4289" spans="7:8" x14ac:dyDescent="0.35">
      <c r="G4289" t="s">
        <v>4305</v>
      </c>
      <c r="H4289" s="23">
        <v>97300</v>
      </c>
    </row>
    <row r="4290" spans="7:8" x14ac:dyDescent="0.35">
      <c r="G4290" t="s">
        <v>4306</v>
      </c>
      <c r="H4290" s="23">
        <v>78200</v>
      </c>
    </row>
    <row r="4291" spans="7:8" x14ac:dyDescent="0.35">
      <c r="G4291" t="s">
        <v>4307</v>
      </c>
      <c r="H4291" s="23">
        <v>77600</v>
      </c>
    </row>
    <row r="4292" spans="7:8" x14ac:dyDescent="0.35">
      <c r="G4292" t="s">
        <v>4308</v>
      </c>
      <c r="H4292" s="23">
        <v>75900</v>
      </c>
    </row>
    <row r="4293" spans="7:8" x14ac:dyDescent="0.35">
      <c r="G4293" t="s">
        <v>4309</v>
      </c>
      <c r="H4293" s="23">
        <v>47500</v>
      </c>
    </row>
    <row r="4294" spans="7:8" x14ac:dyDescent="0.35">
      <c r="G4294" t="s">
        <v>4310</v>
      </c>
      <c r="H4294" s="23">
        <v>108600</v>
      </c>
    </row>
    <row r="4295" spans="7:8" x14ac:dyDescent="0.35">
      <c r="G4295" t="s">
        <v>4311</v>
      </c>
      <c r="H4295" s="23">
        <v>58000</v>
      </c>
    </row>
    <row r="4296" spans="7:8" x14ac:dyDescent="0.35">
      <c r="G4296" t="s">
        <v>4312</v>
      </c>
      <c r="H4296" s="23">
        <v>95600</v>
      </c>
    </row>
    <row r="4297" spans="7:8" x14ac:dyDescent="0.35">
      <c r="G4297" t="s">
        <v>4313</v>
      </c>
      <c r="H4297" s="23">
        <v>75000</v>
      </c>
    </row>
    <row r="4298" spans="7:8" x14ac:dyDescent="0.35">
      <c r="G4298" t="s">
        <v>4314</v>
      </c>
      <c r="H4298" s="23">
        <v>79500</v>
      </c>
    </row>
    <row r="4299" spans="7:8" x14ac:dyDescent="0.35">
      <c r="G4299" t="s">
        <v>4315</v>
      </c>
      <c r="H4299" s="23">
        <v>61800</v>
      </c>
    </row>
    <row r="4300" spans="7:8" x14ac:dyDescent="0.35">
      <c r="G4300" t="s">
        <v>4316</v>
      </c>
      <c r="H4300" s="23">
        <v>90700</v>
      </c>
    </row>
    <row r="4301" spans="7:8" x14ac:dyDescent="0.35">
      <c r="G4301" t="s">
        <v>4317</v>
      </c>
      <c r="H4301" s="23">
        <v>60200</v>
      </c>
    </row>
    <row r="4302" spans="7:8" x14ac:dyDescent="0.35">
      <c r="G4302" t="s">
        <v>4318</v>
      </c>
      <c r="H4302" s="23">
        <v>79400</v>
      </c>
    </row>
    <row r="4303" spans="7:8" x14ac:dyDescent="0.35">
      <c r="G4303" t="s">
        <v>4319</v>
      </c>
      <c r="H4303" s="23">
        <v>45700</v>
      </c>
    </row>
    <row r="4304" spans="7:8" x14ac:dyDescent="0.35">
      <c r="G4304" t="s">
        <v>4320</v>
      </c>
      <c r="H4304" s="23">
        <v>87300</v>
      </c>
    </row>
    <row r="4305" spans="7:8" x14ac:dyDescent="0.35">
      <c r="G4305" t="s">
        <v>4321</v>
      </c>
      <c r="H4305" s="23">
        <v>74100</v>
      </c>
    </row>
    <row r="4306" spans="7:8" x14ac:dyDescent="0.35">
      <c r="G4306" t="s">
        <v>4322</v>
      </c>
      <c r="H4306" s="23">
        <v>49900</v>
      </c>
    </row>
    <row r="4307" spans="7:8" x14ac:dyDescent="0.35">
      <c r="G4307" t="s">
        <v>4323</v>
      </c>
      <c r="H4307" s="23">
        <v>72500</v>
      </c>
    </row>
    <row r="4308" spans="7:8" x14ac:dyDescent="0.35">
      <c r="G4308" t="s">
        <v>4324</v>
      </c>
      <c r="H4308" s="23">
        <v>90400</v>
      </c>
    </row>
    <row r="4309" spans="7:8" x14ac:dyDescent="0.35">
      <c r="G4309" t="s">
        <v>4325</v>
      </c>
      <c r="H4309" s="23">
        <v>82400</v>
      </c>
    </row>
    <row r="4310" spans="7:8" x14ac:dyDescent="0.35">
      <c r="G4310" t="s">
        <v>4326</v>
      </c>
      <c r="H4310" s="23">
        <v>99000</v>
      </c>
    </row>
    <row r="4311" spans="7:8" x14ac:dyDescent="0.35">
      <c r="G4311" t="s">
        <v>4327</v>
      </c>
      <c r="H4311" s="23">
        <v>99600</v>
      </c>
    </row>
    <row r="4312" spans="7:8" x14ac:dyDescent="0.35">
      <c r="G4312" t="s">
        <v>4328</v>
      </c>
      <c r="H4312" s="23">
        <v>78400</v>
      </c>
    </row>
    <row r="4313" spans="7:8" x14ac:dyDescent="0.35">
      <c r="G4313" t="s">
        <v>4329</v>
      </c>
      <c r="H4313" s="23">
        <v>75500</v>
      </c>
    </row>
    <row r="4314" spans="7:8" x14ac:dyDescent="0.35">
      <c r="G4314" t="s">
        <v>4330</v>
      </c>
      <c r="H4314" s="23">
        <v>99300</v>
      </c>
    </row>
    <row r="4315" spans="7:8" x14ac:dyDescent="0.35">
      <c r="G4315" t="s">
        <v>4331</v>
      </c>
      <c r="H4315" s="23">
        <v>103400</v>
      </c>
    </row>
    <row r="4316" spans="7:8" x14ac:dyDescent="0.35">
      <c r="G4316" t="s">
        <v>4332</v>
      </c>
      <c r="H4316" s="23">
        <v>64400</v>
      </c>
    </row>
    <row r="4317" spans="7:8" x14ac:dyDescent="0.35">
      <c r="G4317" t="s">
        <v>4333</v>
      </c>
      <c r="H4317" s="23">
        <v>83800</v>
      </c>
    </row>
    <row r="4318" spans="7:8" x14ac:dyDescent="0.35">
      <c r="G4318" t="s">
        <v>4334</v>
      </c>
      <c r="H4318" s="23">
        <v>106200</v>
      </c>
    </row>
    <row r="4319" spans="7:8" x14ac:dyDescent="0.35">
      <c r="G4319" t="s">
        <v>4335</v>
      </c>
      <c r="H4319" s="23">
        <v>43400</v>
      </c>
    </row>
    <row r="4320" spans="7:8" x14ac:dyDescent="0.35">
      <c r="G4320" t="s">
        <v>4336</v>
      </c>
      <c r="H4320" s="23">
        <v>81400</v>
      </c>
    </row>
    <row r="4321" spans="7:8" x14ac:dyDescent="0.35">
      <c r="G4321" t="s">
        <v>4337</v>
      </c>
      <c r="H4321" s="23">
        <v>85400</v>
      </c>
    </row>
    <row r="4322" spans="7:8" x14ac:dyDescent="0.35">
      <c r="G4322" t="s">
        <v>4338</v>
      </c>
      <c r="H4322" s="23">
        <v>115600</v>
      </c>
    </row>
    <row r="4323" spans="7:8" x14ac:dyDescent="0.35">
      <c r="G4323" t="s">
        <v>4339</v>
      </c>
      <c r="H4323" s="23">
        <v>102600</v>
      </c>
    </row>
    <row r="4324" spans="7:8" x14ac:dyDescent="0.35">
      <c r="G4324" t="s">
        <v>4340</v>
      </c>
      <c r="H4324" s="23">
        <v>83100</v>
      </c>
    </row>
    <row r="4325" spans="7:8" x14ac:dyDescent="0.35">
      <c r="G4325" t="s">
        <v>4341</v>
      </c>
      <c r="H4325" s="23">
        <v>87900</v>
      </c>
    </row>
    <row r="4326" spans="7:8" x14ac:dyDescent="0.35">
      <c r="G4326" t="s">
        <v>4342</v>
      </c>
      <c r="H4326" s="23">
        <v>60900</v>
      </c>
    </row>
    <row r="4327" spans="7:8" x14ac:dyDescent="0.35">
      <c r="G4327" t="s">
        <v>4343</v>
      </c>
      <c r="H4327" s="23">
        <v>114500</v>
      </c>
    </row>
    <row r="4328" spans="7:8" x14ac:dyDescent="0.35">
      <c r="G4328" t="s">
        <v>4344</v>
      </c>
      <c r="H4328" s="23">
        <v>81600</v>
      </c>
    </row>
    <row r="4329" spans="7:8" x14ac:dyDescent="0.35">
      <c r="G4329" t="s">
        <v>4345</v>
      </c>
      <c r="H4329" s="23">
        <v>66800</v>
      </c>
    </row>
    <row r="4330" spans="7:8" x14ac:dyDescent="0.35">
      <c r="G4330" t="s">
        <v>4346</v>
      </c>
      <c r="H4330" s="23">
        <v>55800</v>
      </c>
    </row>
    <row r="4331" spans="7:8" x14ac:dyDescent="0.35">
      <c r="G4331" t="s">
        <v>4347</v>
      </c>
      <c r="H4331" s="23">
        <v>91200</v>
      </c>
    </row>
    <row r="4332" spans="7:8" x14ac:dyDescent="0.35">
      <c r="G4332" t="s">
        <v>4348</v>
      </c>
      <c r="H4332" s="23">
        <v>101600</v>
      </c>
    </row>
    <row r="4333" spans="7:8" x14ac:dyDescent="0.35">
      <c r="G4333" t="s">
        <v>4349</v>
      </c>
      <c r="H4333" s="23">
        <v>91500</v>
      </c>
    </row>
    <row r="4334" spans="7:8" x14ac:dyDescent="0.35">
      <c r="G4334" t="s">
        <v>4350</v>
      </c>
      <c r="H4334" s="23">
        <v>67300</v>
      </c>
    </row>
    <row r="4335" spans="7:8" x14ac:dyDescent="0.35">
      <c r="G4335" t="s">
        <v>4351</v>
      </c>
      <c r="H4335" s="23">
        <v>101400</v>
      </c>
    </row>
    <row r="4336" spans="7:8" x14ac:dyDescent="0.35">
      <c r="G4336" t="s">
        <v>4352</v>
      </c>
      <c r="H4336" s="23">
        <v>108500</v>
      </c>
    </row>
    <row r="4337" spans="7:8" x14ac:dyDescent="0.35">
      <c r="G4337" t="s">
        <v>4353</v>
      </c>
      <c r="H4337" s="23">
        <v>82200</v>
      </c>
    </row>
    <row r="4338" spans="7:8" x14ac:dyDescent="0.35">
      <c r="G4338" t="s">
        <v>4354</v>
      </c>
      <c r="H4338" s="23">
        <v>89500</v>
      </c>
    </row>
    <row r="4339" spans="7:8" x14ac:dyDescent="0.35">
      <c r="G4339" t="s">
        <v>4355</v>
      </c>
      <c r="H4339" s="23">
        <v>70700</v>
      </c>
    </row>
    <row r="4340" spans="7:8" x14ac:dyDescent="0.35">
      <c r="G4340" t="s">
        <v>4356</v>
      </c>
      <c r="H4340" s="23">
        <v>91900</v>
      </c>
    </row>
    <row r="4341" spans="7:8" x14ac:dyDescent="0.35">
      <c r="G4341" t="s">
        <v>4357</v>
      </c>
      <c r="H4341" s="23">
        <v>73200</v>
      </c>
    </row>
    <row r="4342" spans="7:8" x14ac:dyDescent="0.35">
      <c r="G4342" t="s">
        <v>4358</v>
      </c>
      <c r="H4342" s="23">
        <v>88600</v>
      </c>
    </row>
    <row r="4343" spans="7:8" x14ac:dyDescent="0.35">
      <c r="G4343" t="s">
        <v>4359</v>
      </c>
      <c r="H4343" s="23">
        <v>83400</v>
      </c>
    </row>
    <row r="4344" spans="7:8" x14ac:dyDescent="0.35">
      <c r="G4344" t="s">
        <v>4360</v>
      </c>
      <c r="H4344" s="23">
        <v>76700</v>
      </c>
    </row>
    <row r="4345" spans="7:8" x14ac:dyDescent="0.35">
      <c r="G4345" t="s">
        <v>4361</v>
      </c>
      <c r="H4345" s="23">
        <v>58400</v>
      </c>
    </row>
    <row r="4346" spans="7:8" x14ac:dyDescent="0.35">
      <c r="G4346" t="s">
        <v>4362</v>
      </c>
      <c r="H4346" s="23">
        <v>86600</v>
      </c>
    </row>
    <row r="4347" spans="7:8" x14ac:dyDescent="0.35">
      <c r="G4347" t="s">
        <v>4363</v>
      </c>
      <c r="H4347" s="23">
        <v>59900</v>
      </c>
    </row>
    <row r="4348" spans="7:8" x14ac:dyDescent="0.35">
      <c r="G4348" t="s">
        <v>4364</v>
      </c>
      <c r="H4348" s="23">
        <v>68800</v>
      </c>
    </row>
    <row r="4349" spans="7:8" x14ac:dyDescent="0.35">
      <c r="G4349" t="s">
        <v>4365</v>
      </c>
      <c r="H4349" s="23">
        <v>50200</v>
      </c>
    </row>
    <row r="4350" spans="7:8" x14ac:dyDescent="0.35">
      <c r="G4350" t="s">
        <v>4366</v>
      </c>
      <c r="H4350" s="23">
        <v>74500</v>
      </c>
    </row>
    <row r="4351" spans="7:8" x14ac:dyDescent="0.35">
      <c r="G4351" t="s">
        <v>4367</v>
      </c>
      <c r="H4351" s="23">
        <v>110600</v>
      </c>
    </row>
    <row r="4352" spans="7:8" x14ac:dyDescent="0.35">
      <c r="G4352" t="s">
        <v>4368</v>
      </c>
      <c r="H4352" s="23">
        <v>64900</v>
      </c>
    </row>
    <row r="4353" spans="7:8" x14ac:dyDescent="0.35">
      <c r="G4353" t="s">
        <v>4369</v>
      </c>
      <c r="H4353" s="23">
        <v>89000</v>
      </c>
    </row>
    <row r="4354" spans="7:8" x14ac:dyDescent="0.35">
      <c r="G4354" t="s">
        <v>4370</v>
      </c>
      <c r="H4354" s="23">
        <v>29400</v>
      </c>
    </row>
    <row r="4355" spans="7:8" x14ac:dyDescent="0.35">
      <c r="G4355" t="s">
        <v>4371</v>
      </c>
      <c r="H4355" s="23">
        <v>105700</v>
      </c>
    </row>
    <row r="4356" spans="7:8" x14ac:dyDescent="0.35">
      <c r="G4356" t="s">
        <v>4372</v>
      </c>
      <c r="H4356" s="23">
        <v>122700</v>
      </c>
    </row>
    <row r="4357" spans="7:8" x14ac:dyDescent="0.35">
      <c r="G4357" t="s">
        <v>4373</v>
      </c>
      <c r="H4357" s="23">
        <v>64100</v>
      </c>
    </row>
    <row r="4358" spans="7:8" x14ac:dyDescent="0.35">
      <c r="G4358" t="s">
        <v>4374</v>
      </c>
      <c r="H4358" s="23">
        <v>63600</v>
      </c>
    </row>
    <row r="4359" spans="7:8" x14ac:dyDescent="0.35">
      <c r="G4359" t="s">
        <v>4375</v>
      </c>
      <c r="H4359" s="23">
        <v>72400</v>
      </c>
    </row>
    <row r="4360" spans="7:8" x14ac:dyDescent="0.35">
      <c r="G4360" t="s">
        <v>4376</v>
      </c>
      <c r="H4360" s="23">
        <v>77500</v>
      </c>
    </row>
    <row r="4361" spans="7:8" x14ac:dyDescent="0.35">
      <c r="G4361" t="s">
        <v>4377</v>
      </c>
      <c r="H4361" s="23">
        <v>81100</v>
      </c>
    </row>
    <row r="4362" spans="7:8" x14ac:dyDescent="0.35">
      <c r="G4362" t="s">
        <v>4378</v>
      </c>
      <c r="H4362" s="23">
        <v>81100</v>
      </c>
    </row>
    <row r="4363" spans="7:8" x14ac:dyDescent="0.35">
      <c r="G4363" t="s">
        <v>4379</v>
      </c>
      <c r="H4363" s="23">
        <v>65500</v>
      </c>
    </row>
    <row r="4364" spans="7:8" x14ac:dyDescent="0.35">
      <c r="G4364" t="s">
        <v>4380</v>
      </c>
      <c r="H4364" s="23">
        <v>55500</v>
      </c>
    </row>
    <row r="4365" spans="7:8" x14ac:dyDescent="0.35">
      <c r="G4365" t="s">
        <v>4381</v>
      </c>
      <c r="H4365" s="23">
        <v>47400</v>
      </c>
    </row>
    <row r="4366" spans="7:8" x14ac:dyDescent="0.35">
      <c r="G4366" t="s">
        <v>4382</v>
      </c>
      <c r="H4366" s="23">
        <v>78300</v>
      </c>
    </row>
    <row r="4367" spans="7:8" x14ac:dyDescent="0.35">
      <c r="G4367" t="s">
        <v>4383</v>
      </c>
      <c r="H4367" s="23">
        <v>80100</v>
      </c>
    </row>
    <row r="4368" spans="7:8" x14ac:dyDescent="0.35">
      <c r="G4368" t="s">
        <v>4384</v>
      </c>
      <c r="H4368" s="23">
        <v>43500</v>
      </c>
    </row>
    <row r="4369" spans="7:8" x14ac:dyDescent="0.35">
      <c r="G4369" t="s">
        <v>4385</v>
      </c>
      <c r="H4369" s="23">
        <v>44800</v>
      </c>
    </row>
    <row r="4370" spans="7:8" x14ac:dyDescent="0.35">
      <c r="G4370" t="s">
        <v>4386</v>
      </c>
      <c r="H4370" s="23">
        <v>88400</v>
      </c>
    </row>
    <row r="4371" spans="7:8" x14ac:dyDescent="0.35">
      <c r="G4371" t="s">
        <v>4387</v>
      </c>
      <c r="H4371" s="23">
        <v>77100</v>
      </c>
    </row>
    <row r="4372" spans="7:8" x14ac:dyDescent="0.35">
      <c r="G4372" t="s">
        <v>4388</v>
      </c>
      <c r="H4372" s="23">
        <v>92600</v>
      </c>
    </row>
    <row r="4373" spans="7:8" x14ac:dyDescent="0.35">
      <c r="G4373" t="s">
        <v>4389</v>
      </c>
      <c r="H4373" s="23">
        <v>51300</v>
      </c>
    </row>
    <row r="4374" spans="7:8" x14ac:dyDescent="0.35">
      <c r="G4374" t="s">
        <v>4390</v>
      </c>
      <c r="H4374" s="23">
        <v>94800</v>
      </c>
    </row>
    <row r="4375" spans="7:8" x14ac:dyDescent="0.35">
      <c r="G4375" t="s">
        <v>4391</v>
      </c>
      <c r="H4375" s="23">
        <v>72800</v>
      </c>
    </row>
    <row r="4376" spans="7:8" x14ac:dyDescent="0.35">
      <c r="G4376" t="s">
        <v>4392</v>
      </c>
      <c r="H4376" s="23">
        <v>63000</v>
      </c>
    </row>
    <row r="4377" spans="7:8" x14ac:dyDescent="0.35">
      <c r="G4377" t="s">
        <v>4393</v>
      </c>
      <c r="H4377" s="23">
        <v>68200</v>
      </c>
    </row>
    <row r="4378" spans="7:8" x14ac:dyDescent="0.35">
      <c r="G4378" t="s">
        <v>4394</v>
      </c>
      <c r="H4378" s="23">
        <v>79200</v>
      </c>
    </row>
    <row r="4379" spans="7:8" x14ac:dyDescent="0.35">
      <c r="G4379" t="s">
        <v>4395</v>
      </c>
      <c r="H4379" s="23">
        <v>69900</v>
      </c>
    </row>
    <row r="4380" spans="7:8" x14ac:dyDescent="0.35">
      <c r="G4380" t="s">
        <v>4396</v>
      </c>
      <c r="H4380" s="23">
        <v>65400</v>
      </c>
    </row>
    <row r="4381" spans="7:8" x14ac:dyDescent="0.35">
      <c r="G4381" t="s">
        <v>4397</v>
      </c>
      <c r="H4381" s="23">
        <v>91300</v>
      </c>
    </row>
    <row r="4382" spans="7:8" x14ac:dyDescent="0.35">
      <c r="G4382" t="s">
        <v>4398</v>
      </c>
      <c r="H4382" s="23">
        <v>86700</v>
      </c>
    </row>
    <row r="4383" spans="7:8" x14ac:dyDescent="0.35">
      <c r="G4383" t="s">
        <v>4399</v>
      </c>
      <c r="H4383" s="23">
        <v>69400</v>
      </c>
    </row>
    <row r="4384" spans="7:8" x14ac:dyDescent="0.35">
      <c r="G4384" t="s">
        <v>4400</v>
      </c>
      <c r="H4384" s="23">
        <v>65000</v>
      </c>
    </row>
    <row r="4385" spans="7:8" x14ac:dyDescent="0.35">
      <c r="G4385" t="s">
        <v>4401</v>
      </c>
      <c r="H4385" s="23">
        <v>112800</v>
      </c>
    </row>
    <row r="4386" spans="7:8" x14ac:dyDescent="0.35">
      <c r="G4386" t="s">
        <v>4402</v>
      </c>
      <c r="H4386" s="23">
        <v>70500</v>
      </c>
    </row>
    <row r="4387" spans="7:8" x14ac:dyDescent="0.35">
      <c r="G4387" t="s">
        <v>4403</v>
      </c>
      <c r="H4387" s="23">
        <v>68000</v>
      </c>
    </row>
    <row r="4388" spans="7:8" x14ac:dyDescent="0.35">
      <c r="G4388" t="s">
        <v>4404</v>
      </c>
      <c r="H4388" s="23">
        <v>59900</v>
      </c>
    </row>
    <row r="4389" spans="7:8" x14ac:dyDescent="0.35">
      <c r="G4389" t="s">
        <v>4405</v>
      </c>
      <c r="H4389" s="23">
        <v>62400</v>
      </c>
    </row>
    <row r="4390" spans="7:8" x14ac:dyDescent="0.35">
      <c r="G4390" t="s">
        <v>4406</v>
      </c>
      <c r="H4390" s="23">
        <v>72000</v>
      </c>
    </row>
    <row r="4391" spans="7:8" x14ac:dyDescent="0.35">
      <c r="G4391" t="s">
        <v>4407</v>
      </c>
      <c r="H4391" s="23">
        <v>31500</v>
      </c>
    </row>
    <row r="4392" spans="7:8" x14ac:dyDescent="0.35">
      <c r="G4392" t="s">
        <v>4408</v>
      </c>
      <c r="H4392" s="23">
        <v>121400</v>
      </c>
    </row>
    <row r="4393" spans="7:8" x14ac:dyDescent="0.35">
      <c r="G4393" t="s">
        <v>4409</v>
      </c>
      <c r="H4393" s="23">
        <v>67200</v>
      </c>
    </row>
    <row r="4394" spans="7:8" x14ac:dyDescent="0.35">
      <c r="G4394" t="s">
        <v>4410</v>
      </c>
      <c r="H4394" s="23">
        <v>72500</v>
      </c>
    </row>
    <row r="4395" spans="7:8" x14ac:dyDescent="0.35">
      <c r="G4395" t="s">
        <v>4411</v>
      </c>
      <c r="H4395" s="23">
        <v>103100</v>
      </c>
    </row>
    <row r="4396" spans="7:8" x14ac:dyDescent="0.35">
      <c r="G4396" t="s">
        <v>4412</v>
      </c>
      <c r="H4396" s="23">
        <v>89100</v>
      </c>
    </row>
    <row r="4397" spans="7:8" x14ac:dyDescent="0.35">
      <c r="G4397" t="s">
        <v>4413</v>
      </c>
      <c r="H4397" s="23">
        <v>87400</v>
      </c>
    </row>
    <row r="4398" spans="7:8" x14ac:dyDescent="0.35">
      <c r="G4398" t="s">
        <v>4414</v>
      </c>
      <c r="H4398" s="23">
        <v>116500</v>
      </c>
    </row>
    <row r="4399" spans="7:8" x14ac:dyDescent="0.35">
      <c r="G4399" t="s">
        <v>4415</v>
      </c>
      <c r="H4399" s="23">
        <v>88700</v>
      </c>
    </row>
    <row r="4400" spans="7:8" x14ac:dyDescent="0.35">
      <c r="G4400" t="s">
        <v>4416</v>
      </c>
      <c r="H4400" s="23">
        <v>104300</v>
      </c>
    </row>
    <row r="4401" spans="7:8" x14ac:dyDescent="0.35">
      <c r="G4401" t="s">
        <v>4417</v>
      </c>
      <c r="H4401" s="23">
        <v>85900</v>
      </c>
    </row>
    <row r="4402" spans="7:8" x14ac:dyDescent="0.35">
      <c r="G4402" t="s">
        <v>4418</v>
      </c>
      <c r="H4402" s="23">
        <v>110100</v>
      </c>
    </row>
    <row r="4403" spans="7:8" x14ac:dyDescent="0.35">
      <c r="G4403" t="s">
        <v>4419</v>
      </c>
      <c r="H4403" s="23">
        <v>49200</v>
      </c>
    </row>
    <row r="4404" spans="7:8" x14ac:dyDescent="0.35">
      <c r="G4404" t="s">
        <v>4420</v>
      </c>
      <c r="H4404" s="23">
        <v>69300</v>
      </c>
    </row>
    <row r="4405" spans="7:8" x14ac:dyDescent="0.35">
      <c r="G4405" t="s">
        <v>4421</v>
      </c>
      <c r="H4405" s="23">
        <v>62900</v>
      </c>
    </row>
    <row r="4406" spans="7:8" x14ac:dyDescent="0.35">
      <c r="G4406" t="s">
        <v>4422</v>
      </c>
      <c r="H4406" s="23">
        <v>104200</v>
      </c>
    </row>
    <row r="4407" spans="7:8" x14ac:dyDescent="0.35">
      <c r="G4407" t="s">
        <v>4423</v>
      </c>
      <c r="H4407" s="23">
        <v>60800</v>
      </c>
    </row>
    <row r="4408" spans="7:8" x14ac:dyDescent="0.35">
      <c r="G4408" t="s">
        <v>4424</v>
      </c>
      <c r="H4408" s="23">
        <v>71400</v>
      </c>
    </row>
    <row r="4409" spans="7:8" x14ac:dyDescent="0.35">
      <c r="G4409" t="s">
        <v>4425</v>
      </c>
      <c r="H4409" s="23">
        <v>59200</v>
      </c>
    </row>
    <row r="4410" spans="7:8" x14ac:dyDescent="0.35">
      <c r="G4410" t="s">
        <v>4426</v>
      </c>
      <c r="H4410" s="23">
        <v>77400</v>
      </c>
    </row>
    <row r="4411" spans="7:8" x14ac:dyDescent="0.35">
      <c r="G4411" t="s">
        <v>4427</v>
      </c>
      <c r="H4411" s="23">
        <v>68300</v>
      </c>
    </row>
    <row r="4412" spans="7:8" x14ac:dyDescent="0.35">
      <c r="G4412" t="s">
        <v>4428</v>
      </c>
      <c r="H4412" s="23">
        <v>71900</v>
      </c>
    </row>
    <row r="4413" spans="7:8" x14ac:dyDescent="0.35">
      <c r="G4413" t="s">
        <v>4429</v>
      </c>
      <c r="H4413" s="23">
        <v>122300</v>
      </c>
    </row>
    <row r="4414" spans="7:8" x14ac:dyDescent="0.35">
      <c r="G4414" t="s">
        <v>4430</v>
      </c>
      <c r="H4414" s="23">
        <v>77800</v>
      </c>
    </row>
    <row r="4415" spans="7:8" x14ac:dyDescent="0.35">
      <c r="G4415" t="s">
        <v>4431</v>
      </c>
      <c r="H4415" s="23">
        <v>79100</v>
      </c>
    </row>
    <row r="4416" spans="7:8" x14ac:dyDescent="0.35">
      <c r="G4416" t="s">
        <v>4432</v>
      </c>
      <c r="H4416" s="23">
        <v>67600</v>
      </c>
    </row>
    <row r="4417" spans="7:8" x14ac:dyDescent="0.35">
      <c r="G4417" t="s">
        <v>4433</v>
      </c>
      <c r="H4417" s="23">
        <v>77300</v>
      </c>
    </row>
    <row r="4418" spans="7:8" x14ac:dyDescent="0.35">
      <c r="G4418" t="s">
        <v>4434</v>
      </c>
      <c r="H4418" s="23">
        <v>63800</v>
      </c>
    </row>
    <row r="4419" spans="7:8" x14ac:dyDescent="0.35">
      <c r="G4419" t="s">
        <v>4435</v>
      </c>
      <c r="H4419" s="23">
        <v>54400</v>
      </c>
    </row>
    <row r="4420" spans="7:8" x14ac:dyDescent="0.35">
      <c r="G4420" t="s">
        <v>4436</v>
      </c>
      <c r="H4420" s="23">
        <v>47200</v>
      </c>
    </row>
    <row r="4421" spans="7:8" x14ac:dyDescent="0.35">
      <c r="G4421" t="s">
        <v>4437</v>
      </c>
      <c r="H4421" s="23">
        <v>49600</v>
      </c>
    </row>
    <row r="4422" spans="7:8" x14ac:dyDescent="0.35">
      <c r="G4422" t="s">
        <v>4438</v>
      </c>
      <c r="H4422" s="23">
        <v>114800</v>
      </c>
    </row>
    <row r="4423" spans="7:8" x14ac:dyDescent="0.35">
      <c r="G4423" t="s">
        <v>4439</v>
      </c>
      <c r="H4423" s="23">
        <v>97100</v>
      </c>
    </row>
    <row r="4424" spans="7:8" x14ac:dyDescent="0.35">
      <c r="G4424" t="s">
        <v>4440</v>
      </c>
      <c r="H4424" s="23">
        <v>87300</v>
      </c>
    </row>
    <row r="4425" spans="7:8" x14ac:dyDescent="0.35">
      <c r="G4425" t="s">
        <v>4441</v>
      </c>
      <c r="H4425" s="23">
        <v>78100</v>
      </c>
    </row>
    <row r="4426" spans="7:8" x14ac:dyDescent="0.35">
      <c r="G4426" t="s">
        <v>4442</v>
      </c>
      <c r="H4426" s="23">
        <v>92100</v>
      </c>
    </row>
    <row r="4427" spans="7:8" x14ac:dyDescent="0.35">
      <c r="G4427" t="s">
        <v>4443</v>
      </c>
      <c r="H4427" s="23">
        <v>83900</v>
      </c>
    </row>
    <row r="4428" spans="7:8" x14ac:dyDescent="0.35">
      <c r="G4428" t="s">
        <v>4444</v>
      </c>
      <c r="H4428" s="23">
        <v>90200</v>
      </c>
    </row>
    <row r="4429" spans="7:8" x14ac:dyDescent="0.35">
      <c r="G4429" t="s">
        <v>4445</v>
      </c>
      <c r="H4429" s="23">
        <v>119500</v>
      </c>
    </row>
    <row r="4430" spans="7:8" x14ac:dyDescent="0.35">
      <c r="G4430" t="s">
        <v>4446</v>
      </c>
      <c r="H4430" s="23">
        <v>71200</v>
      </c>
    </row>
    <row r="4431" spans="7:8" x14ac:dyDescent="0.35">
      <c r="G4431" t="s">
        <v>4447</v>
      </c>
      <c r="H4431" s="23">
        <v>70200</v>
      </c>
    </row>
    <row r="4432" spans="7:8" x14ac:dyDescent="0.35">
      <c r="G4432" t="s">
        <v>4448</v>
      </c>
      <c r="H4432" s="23">
        <v>58800</v>
      </c>
    </row>
    <row r="4433" spans="7:8" x14ac:dyDescent="0.35">
      <c r="G4433" t="s">
        <v>4449</v>
      </c>
      <c r="H4433" s="23">
        <v>75700</v>
      </c>
    </row>
    <row r="4434" spans="7:8" x14ac:dyDescent="0.35">
      <c r="G4434" t="s">
        <v>4450</v>
      </c>
      <c r="H4434" s="23">
        <v>76100</v>
      </c>
    </row>
    <row r="4435" spans="7:8" x14ac:dyDescent="0.35">
      <c r="G4435" t="s">
        <v>4451</v>
      </c>
      <c r="H4435" s="23">
        <v>63900</v>
      </c>
    </row>
    <row r="4436" spans="7:8" x14ac:dyDescent="0.35">
      <c r="G4436" t="s">
        <v>4452</v>
      </c>
      <c r="H4436" s="23">
        <v>108300</v>
      </c>
    </row>
    <row r="4437" spans="7:8" x14ac:dyDescent="0.35">
      <c r="G4437" t="s">
        <v>4453</v>
      </c>
      <c r="H4437" s="23">
        <v>102000</v>
      </c>
    </row>
    <row r="4438" spans="7:8" x14ac:dyDescent="0.35">
      <c r="G4438" t="s">
        <v>4454</v>
      </c>
      <c r="H4438" s="23">
        <v>84000</v>
      </c>
    </row>
    <row r="4439" spans="7:8" x14ac:dyDescent="0.35">
      <c r="G4439" t="s">
        <v>4455</v>
      </c>
      <c r="H4439" s="23">
        <v>80300</v>
      </c>
    </row>
    <row r="4440" spans="7:8" x14ac:dyDescent="0.35">
      <c r="G4440" t="s">
        <v>4456</v>
      </c>
      <c r="H4440" s="23">
        <v>102600</v>
      </c>
    </row>
    <row r="4441" spans="7:8" x14ac:dyDescent="0.35">
      <c r="G4441" t="s">
        <v>4457</v>
      </c>
      <c r="H4441" s="23">
        <v>71000</v>
      </c>
    </row>
    <row r="4442" spans="7:8" x14ac:dyDescent="0.35">
      <c r="G4442" t="s">
        <v>4458</v>
      </c>
      <c r="H4442" s="23">
        <v>85900</v>
      </c>
    </row>
    <row r="4443" spans="7:8" x14ac:dyDescent="0.35">
      <c r="G4443" t="s">
        <v>4459</v>
      </c>
      <c r="H4443" s="23">
        <v>75300</v>
      </c>
    </row>
    <row r="4444" spans="7:8" x14ac:dyDescent="0.35">
      <c r="G4444" t="s">
        <v>4460</v>
      </c>
      <c r="H4444" s="23">
        <v>54100</v>
      </c>
    </row>
    <row r="4445" spans="7:8" x14ac:dyDescent="0.35">
      <c r="G4445" t="s">
        <v>4461</v>
      </c>
      <c r="H4445" s="23">
        <v>94300</v>
      </c>
    </row>
    <row r="4446" spans="7:8" x14ac:dyDescent="0.35">
      <c r="G4446" t="s">
        <v>4462</v>
      </c>
      <c r="H4446" s="23">
        <v>71700</v>
      </c>
    </row>
    <row r="4447" spans="7:8" x14ac:dyDescent="0.35">
      <c r="G4447" t="s">
        <v>4463</v>
      </c>
      <c r="H4447" s="23">
        <v>90300</v>
      </c>
    </row>
    <row r="4448" spans="7:8" x14ac:dyDescent="0.35">
      <c r="G4448" t="s">
        <v>4464</v>
      </c>
      <c r="H4448" s="23">
        <v>98600</v>
      </c>
    </row>
    <row r="4449" spans="7:8" x14ac:dyDescent="0.35">
      <c r="G4449" t="s">
        <v>4465</v>
      </c>
      <c r="H4449" s="23">
        <v>115000</v>
      </c>
    </row>
    <row r="4450" spans="7:8" x14ac:dyDescent="0.35">
      <c r="G4450" t="s">
        <v>4466</v>
      </c>
      <c r="H4450" s="23">
        <v>87300</v>
      </c>
    </row>
    <row r="4451" spans="7:8" x14ac:dyDescent="0.35">
      <c r="G4451" t="s">
        <v>4467</v>
      </c>
      <c r="H4451" s="23">
        <v>64400</v>
      </c>
    </row>
    <row r="4452" spans="7:8" x14ac:dyDescent="0.35">
      <c r="G4452" t="s">
        <v>4468</v>
      </c>
      <c r="H4452" s="23">
        <v>62400</v>
      </c>
    </row>
    <row r="4453" spans="7:8" x14ac:dyDescent="0.35">
      <c r="G4453" t="s">
        <v>4469</v>
      </c>
      <c r="H4453" s="23">
        <v>106100</v>
      </c>
    </row>
    <row r="4454" spans="7:8" x14ac:dyDescent="0.35">
      <c r="G4454" t="s">
        <v>4470</v>
      </c>
      <c r="H4454" s="23">
        <v>61700</v>
      </c>
    </row>
    <row r="4455" spans="7:8" x14ac:dyDescent="0.35">
      <c r="G4455" t="s">
        <v>4471</v>
      </c>
      <c r="H4455" s="23">
        <v>79500</v>
      </c>
    </row>
    <row r="4456" spans="7:8" x14ac:dyDescent="0.35">
      <c r="G4456" t="s">
        <v>4472</v>
      </c>
      <c r="H4456" s="23">
        <v>81500</v>
      </c>
    </row>
    <row r="4457" spans="7:8" x14ac:dyDescent="0.35">
      <c r="G4457" t="s">
        <v>4473</v>
      </c>
      <c r="H4457" s="23">
        <v>78500</v>
      </c>
    </row>
    <row r="4458" spans="7:8" x14ac:dyDescent="0.35">
      <c r="G4458" t="s">
        <v>4474</v>
      </c>
      <c r="H4458" s="23">
        <v>77200</v>
      </c>
    </row>
    <row r="4459" spans="7:8" x14ac:dyDescent="0.35">
      <c r="G4459" t="s">
        <v>4475</v>
      </c>
      <c r="H4459" s="23">
        <v>57700</v>
      </c>
    </row>
    <row r="4460" spans="7:8" x14ac:dyDescent="0.35">
      <c r="G4460" t="s">
        <v>4476</v>
      </c>
      <c r="H4460" s="23">
        <v>84500</v>
      </c>
    </row>
    <row r="4461" spans="7:8" x14ac:dyDescent="0.35">
      <c r="G4461" t="s">
        <v>4477</v>
      </c>
      <c r="H4461" s="23">
        <v>72100</v>
      </c>
    </row>
    <row r="4462" spans="7:8" x14ac:dyDescent="0.35">
      <c r="G4462" t="s">
        <v>4478</v>
      </c>
      <c r="H4462" s="23">
        <v>76700</v>
      </c>
    </row>
    <row r="4463" spans="7:8" x14ac:dyDescent="0.35">
      <c r="G4463" t="s">
        <v>4479</v>
      </c>
      <c r="H4463" s="23">
        <v>69600</v>
      </c>
    </row>
    <row r="4464" spans="7:8" x14ac:dyDescent="0.35">
      <c r="G4464" t="s">
        <v>4480</v>
      </c>
      <c r="H4464" s="23">
        <v>86000</v>
      </c>
    </row>
    <row r="4465" spans="7:8" x14ac:dyDescent="0.35">
      <c r="G4465" t="s">
        <v>4481</v>
      </c>
      <c r="H4465" s="23">
        <v>60100</v>
      </c>
    </row>
    <row r="4466" spans="7:8" x14ac:dyDescent="0.35">
      <c r="G4466" t="s">
        <v>4482</v>
      </c>
      <c r="H4466" s="23">
        <v>75400</v>
      </c>
    </row>
    <row r="4467" spans="7:8" x14ac:dyDescent="0.35">
      <c r="G4467" t="s">
        <v>4483</v>
      </c>
      <c r="H4467" s="23">
        <v>103400</v>
      </c>
    </row>
    <row r="4468" spans="7:8" x14ac:dyDescent="0.35">
      <c r="G4468" t="s">
        <v>4484</v>
      </c>
      <c r="H4468" s="23">
        <v>75400</v>
      </c>
    </row>
    <row r="4469" spans="7:8" x14ac:dyDescent="0.35">
      <c r="G4469" t="s">
        <v>4485</v>
      </c>
      <c r="H4469" s="23">
        <v>75300</v>
      </c>
    </row>
    <row r="4470" spans="7:8" x14ac:dyDescent="0.35">
      <c r="G4470" t="s">
        <v>4486</v>
      </c>
      <c r="H4470" s="23">
        <v>91900</v>
      </c>
    </row>
    <row r="4471" spans="7:8" x14ac:dyDescent="0.35">
      <c r="G4471" t="s">
        <v>4487</v>
      </c>
      <c r="H4471" s="23">
        <v>120400</v>
      </c>
    </row>
    <row r="4472" spans="7:8" x14ac:dyDescent="0.35">
      <c r="G4472" t="s">
        <v>4488</v>
      </c>
      <c r="H4472" s="23">
        <v>72200</v>
      </c>
    </row>
    <row r="4473" spans="7:8" x14ac:dyDescent="0.35">
      <c r="G4473" t="s">
        <v>4489</v>
      </c>
      <c r="H4473" s="23">
        <v>48000</v>
      </c>
    </row>
    <row r="4474" spans="7:8" x14ac:dyDescent="0.35">
      <c r="G4474" t="s">
        <v>4490</v>
      </c>
      <c r="H4474" s="23">
        <v>118800</v>
      </c>
    </row>
    <row r="4475" spans="7:8" x14ac:dyDescent="0.35">
      <c r="G4475" t="s">
        <v>4491</v>
      </c>
      <c r="H4475" s="23">
        <v>91400</v>
      </c>
    </row>
    <row r="4476" spans="7:8" x14ac:dyDescent="0.35">
      <c r="G4476" t="s">
        <v>4492</v>
      </c>
      <c r="H4476" s="23">
        <v>63500</v>
      </c>
    </row>
    <row r="4477" spans="7:8" x14ac:dyDescent="0.35">
      <c r="G4477" t="s">
        <v>4493</v>
      </c>
      <c r="H4477" s="23">
        <v>95500</v>
      </c>
    </row>
    <row r="4478" spans="7:8" x14ac:dyDescent="0.35">
      <c r="G4478" t="s">
        <v>4494</v>
      </c>
      <c r="H4478" s="23">
        <v>53700</v>
      </c>
    </row>
    <row r="4479" spans="7:8" x14ac:dyDescent="0.35">
      <c r="G4479" t="s">
        <v>4495</v>
      </c>
      <c r="H4479" s="23">
        <v>84100</v>
      </c>
    </row>
    <row r="4480" spans="7:8" x14ac:dyDescent="0.35">
      <c r="G4480" t="s">
        <v>4496</v>
      </c>
      <c r="H4480" s="23">
        <v>77600</v>
      </c>
    </row>
    <row r="4481" spans="7:8" x14ac:dyDescent="0.35">
      <c r="G4481" t="s">
        <v>4497</v>
      </c>
      <c r="H4481" s="23">
        <v>84800</v>
      </c>
    </row>
    <row r="4482" spans="7:8" x14ac:dyDescent="0.35">
      <c r="G4482" t="s">
        <v>4498</v>
      </c>
      <c r="H4482" s="23">
        <v>70600</v>
      </c>
    </row>
    <row r="4483" spans="7:8" x14ac:dyDescent="0.35">
      <c r="G4483" t="s">
        <v>4499</v>
      </c>
      <c r="H4483" s="23">
        <v>91300</v>
      </c>
    </row>
    <row r="4484" spans="7:8" x14ac:dyDescent="0.35">
      <c r="G4484" t="s">
        <v>4500</v>
      </c>
      <c r="H4484" s="23">
        <v>88200</v>
      </c>
    </row>
    <row r="4485" spans="7:8" x14ac:dyDescent="0.35">
      <c r="G4485" t="s">
        <v>4501</v>
      </c>
      <c r="H4485" s="23">
        <v>75700</v>
      </c>
    </row>
    <row r="4486" spans="7:8" x14ac:dyDescent="0.35">
      <c r="G4486" t="s">
        <v>4502</v>
      </c>
      <c r="H4486" s="23">
        <v>121800</v>
      </c>
    </row>
    <row r="4487" spans="7:8" x14ac:dyDescent="0.35">
      <c r="G4487" t="s">
        <v>4503</v>
      </c>
      <c r="H4487" s="23">
        <v>84700</v>
      </c>
    </row>
    <row r="4488" spans="7:8" x14ac:dyDescent="0.35">
      <c r="G4488" t="s">
        <v>4504</v>
      </c>
      <c r="H4488" s="23">
        <v>81500</v>
      </c>
    </row>
    <row r="4489" spans="7:8" x14ac:dyDescent="0.35">
      <c r="G4489" t="s">
        <v>4505</v>
      </c>
      <c r="H4489" s="23">
        <v>92800</v>
      </c>
    </row>
    <row r="4490" spans="7:8" x14ac:dyDescent="0.35">
      <c r="G4490" t="s">
        <v>4506</v>
      </c>
      <c r="H4490" s="23">
        <v>36300</v>
      </c>
    </row>
    <row r="4491" spans="7:8" x14ac:dyDescent="0.35">
      <c r="G4491" t="s">
        <v>4507</v>
      </c>
      <c r="H4491" s="23">
        <v>57100</v>
      </c>
    </row>
    <row r="4492" spans="7:8" x14ac:dyDescent="0.35">
      <c r="G4492" t="s">
        <v>4508</v>
      </c>
      <c r="H4492" s="23">
        <v>72200</v>
      </c>
    </row>
    <row r="4493" spans="7:8" x14ac:dyDescent="0.35">
      <c r="G4493" t="s">
        <v>4509</v>
      </c>
      <c r="H4493" s="23">
        <v>100600</v>
      </c>
    </row>
    <row r="4494" spans="7:8" x14ac:dyDescent="0.35">
      <c r="G4494" t="s">
        <v>4510</v>
      </c>
      <c r="H4494" s="23">
        <v>26915</v>
      </c>
    </row>
    <row r="4495" spans="7:8" x14ac:dyDescent="0.35">
      <c r="G4495" t="s">
        <v>4511</v>
      </c>
      <c r="H4495" s="23">
        <v>56900</v>
      </c>
    </row>
    <row r="4496" spans="7:8" x14ac:dyDescent="0.35">
      <c r="G4496" t="s">
        <v>4512</v>
      </c>
      <c r="H4496" s="23">
        <v>101400</v>
      </c>
    </row>
    <row r="4497" spans="7:8" x14ac:dyDescent="0.35">
      <c r="G4497" t="s">
        <v>4513</v>
      </c>
      <c r="H4497" s="23">
        <v>96200</v>
      </c>
    </row>
    <row r="4498" spans="7:8" x14ac:dyDescent="0.35">
      <c r="G4498" t="s">
        <v>4514</v>
      </c>
      <c r="H4498" s="23">
        <v>98900</v>
      </c>
    </row>
    <row r="4499" spans="7:8" x14ac:dyDescent="0.35">
      <c r="G4499" t="s">
        <v>4515</v>
      </c>
      <c r="H4499" s="23">
        <v>96300</v>
      </c>
    </row>
    <row r="4500" spans="7:8" x14ac:dyDescent="0.35">
      <c r="G4500" t="s">
        <v>4516</v>
      </c>
      <c r="H4500" s="23">
        <v>93900</v>
      </c>
    </row>
    <row r="4501" spans="7:8" x14ac:dyDescent="0.35">
      <c r="G4501" t="s">
        <v>4517</v>
      </c>
      <c r="H4501" s="23">
        <v>107900</v>
      </c>
    </row>
    <row r="4502" spans="7:8" x14ac:dyDescent="0.35">
      <c r="G4502" t="s">
        <v>4518</v>
      </c>
      <c r="H4502" s="23">
        <v>61900</v>
      </c>
    </row>
    <row r="4503" spans="7:8" x14ac:dyDescent="0.35">
      <c r="G4503" t="s">
        <v>4519</v>
      </c>
      <c r="H4503" s="23">
        <v>75000</v>
      </c>
    </row>
    <row r="4504" spans="7:8" x14ac:dyDescent="0.35">
      <c r="G4504" t="s">
        <v>4520</v>
      </c>
      <c r="H4504" s="23">
        <v>77600</v>
      </c>
    </row>
    <row r="4505" spans="7:8" x14ac:dyDescent="0.35">
      <c r="G4505" t="s">
        <v>4521</v>
      </c>
      <c r="H4505" s="23">
        <v>77000</v>
      </c>
    </row>
    <row r="4506" spans="7:8" x14ac:dyDescent="0.35">
      <c r="G4506" t="s">
        <v>4522</v>
      </c>
      <c r="H4506" s="23">
        <v>72900</v>
      </c>
    </row>
    <row r="4507" spans="7:8" x14ac:dyDescent="0.35">
      <c r="G4507" t="s">
        <v>4523</v>
      </c>
      <c r="H4507" s="23">
        <v>77500</v>
      </c>
    </row>
    <row r="4508" spans="7:8" x14ac:dyDescent="0.35">
      <c r="G4508" t="s">
        <v>4524</v>
      </c>
      <c r="H4508" s="23">
        <v>91200</v>
      </c>
    </row>
    <row r="4509" spans="7:8" x14ac:dyDescent="0.35">
      <c r="G4509" t="s">
        <v>4525</v>
      </c>
      <c r="H4509" s="23">
        <v>113400</v>
      </c>
    </row>
    <row r="4510" spans="7:8" x14ac:dyDescent="0.35">
      <c r="G4510" t="s">
        <v>4526</v>
      </c>
      <c r="H4510" s="23">
        <v>125300</v>
      </c>
    </row>
    <row r="4511" spans="7:8" x14ac:dyDescent="0.35">
      <c r="G4511" t="s">
        <v>4527</v>
      </c>
      <c r="H4511" s="23">
        <v>78900</v>
      </c>
    </row>
    <row r="4512" spans="7:8" x14ac:dyDescent="0.35">
      <c r="G4512" t="s">
        <v>4528</v>
      </c>
      <c r="H4512" s="23">
        <v>108100</v>
      </c>
    </row>
    <row r="4513" spans="7:8" x14ac:dyDescent="0.35">
      <c r="G4513" t="s">
        <v>4529</v>
      </c>
      <c r="H4513" s="23">
        <v>116800</v>
      </c>
    </row>
    <row r="4514" spans="7:8" x14ac:dyDescent="0.35">
      <c r="G4514" t="s">
        <v>4530</v>
      </c>
      <c r="H4514" s="23">
        <v>108700</v>
      </c>
    </row>
    <row r="4515" spans="7:8" x14ac:dyDescent="0.35">
      <c r="G4515" t="s">
        <v>4531</v>
      </c>
      <c r="H4515" s="23">
        <v>65000</v>
      </c>
    </row>
    <row r="4516" spans="7:8" x14ac:dyDescent="0.35">
      <c r="G4516" t="s">
        <v>4532</v>
      </c>
      <c r="H4516" s="23">
        <v>76700</v>
      </c>
    </row>
    <row r="4517" spans="7:8" x14ac:dyDescent="0.35">
      <c r="G4517" t="s">
        <v>4533</v>
      </c>
      <c r="H4517" s="23">
        <v>79700</v>
      </c>
    </row>
    <row r="4518" spans="7:8" x14ac:dyDescent="0.35">
      <c r="G4518" t="s">
        <v>4534</v>
      </c>
      <c r="H4518" s="23">
        <v>85200</v>
      </c>
    </row>
    <row r="4519" spans="7:8" x14ac:dyDescent="0.35">
      <c r="G4519" t="s">
        <v>4535</v>
      </c>
      <c r="H4519" s="23">
        <v>58000</v>
      </c>
    </row>
    <row r="4520" spans="7:8" x14ac:dyDescent="0.35">
      <c r="G4520" t="s">
        <v>4536</v>
      </c>
      <c r="H4520" s="23">
        <v>108200</v>
      </c>
    </row>
    <row r="4521" spans="7:8" x14ac:dyDescent="0.35">
      <c r="G4521" t="s">
        <v>4537</v>
      </c>
      <c r="H4521" s="23">
        <v>101300</v>
      </c>
    </row>
    <row r="4522" spans="7:8" x14ac:dyDescent="0.35">
      <c r="G4522" t="s">
        <v>4538</v>
      </c>
      <c r="H4522" s="23">
        <v>65500</v>
      </c>
    </row>
    <row r="4523" spans="7:8" x14ac:dyDescent="0.35">
      <c r="G4523" t="s">
        <v>4539</v>
      </c>
      <c r="H4523" s="23">
        <v>86900</v>
      </c>
    </row>
    <row r="4524" spans="7:8" x14ac:dyDescent="0.35">
      <c r="G4524" t="s">
        <v>4540</v>
      </c>
      <c r="H4524" s="23">
        <v>107900</v>
      </c>
    </row>
    <row r="4525" spans="7:8" x14ac:dyDescent="0.35">
      <c r="G4525" t="s">
        <v>4541</v>
      </c>
      <c r="H4525" s="23">
        <v>104500</v>
      </c>
    </row>
    <row r="4526" spans="7:8" x14ac:dyDescent="0.35">
      <c r="G4526" t="s">
        <v>4542</v>
      </c>
      <c r="H4526" s="23">
        <v>121500</v>
      </c>
    </row>
    <row r="4527" spans="7:8" x14ac:dyDescent="0.35">
      <c r="G4527" t="s">
        <v>4543</v>
      </c>
      <c r="H4527" s="23">
        <v>86800</v>
      </c>
    </row>
    <row r="4528" spans="7:8" x14ac:dyDescent="0.35">
      <c r="G4528" t="s">
        <v>4544</v>
      </c>
      <c r="H4528" s="23">
        <v>78500</v>
      </c>
    </row>
    <row r="4529" spans="7:8" x14ac:dyDescent="0.35">
      <c r="G4529" t="s">
        <v>4545</v>
      </c>
      <c r="H4529" s="23">
        <v>84100</v>
      </c>
    </row>
    <row r="4530" spans="7:8" x14ac:dyDescent="0.35">
      <c r="G4530" t="s">
        <v>4546</v>
      </c>
      <c r="H4530" s="23">
        <v>80600</v>
      </c>
    </row>
    <row r="4531" spans="7:8" x14ac:dyDescent="0.35">
      <c r="G4531" t="s">
        <v>4547</v>
      </c>
      <c r="H4531" s="23">
        <v>80900</v>
      </c>
    </row>
    <row r="4532" spans="7:8" x14ac:dyDescent="0.35">
      <c r="G4532" t="s">
        <v>4548</v>
      </c>
      <c r="H4532" s="23">
        <v>65200</v>
      </c>
    </row>
    <row r="4533" spans="7:8" x14ac:dyDescent="0.35">
      <c r="G4533" t="s">
        <v>4549</v>
      </c>
      <c r="H4533" s="23">
        <v>70300</v>
      </c>
    </row>
    <row r="4534" spans="7:8" x14ac:dyDescent="0.35">
      <c r="G4534" t="s">
        <v>4550</v>
      </c>
      <c r="H4534" s="23">
        <v>77200</v>
      </c>
    </row>
    <row r="4535" spans="7:8" x14ac:dyDescent="0.35">
      <c r="G4535" t="s">
        <v>4551</v>
      </c>
      <c r="H4535" s="23">
        <v>56800</v>
      </c>
    </row>
    <row r="4536" spans="7:8" x14ac:dyDescent="0.35">
      <c r="G4536" t="s">
        <v>4552</v>
      </c>
      <c r="H4536" s="23">
        <v>87700</v>
      </c>
    </row>
    <row r="4537" spans="7:8" x14ac:dyDescent="0.35">
      <c r="G4537" t="s">
        <v>4553</v>
      </c>
      <c r="H4537" s="23">
        <v>125100</v>
      </c>
    </row>
    <row r="4538" spans="7:8" x14ac:dyDescent="0.35">
      <c r="G4538" t="s">
        <v>4554</v>
      </c>
      <c r="H4538" s="23">
        <v>93100</v>
      </c>
    </row>
    <row r="4539" spans="7:8" x14ac:dyDescent="0.35">
      <c r="G4539" t="s">
        <v>4555</v>
      </c>
      <c r="H4539" s="23">
        <v>92200</v>
      </c>
    </row>
    <row r="4540" spans="7:8" x14ac:dyDescent="0.35">
      <c r="G4540" t="s">
        <v>4556</v>
      </c>
      <c r="H4540" s="23">
        <v>63800</v>
      </c>
    </row>
    <row r="4541" spans="7:8" x14ac:dyDescent="0.35">
      <c r="G4541" t="s">
        <v>4557</v>
      </c>
      <c r="H4541" s="23">
        <v>71400</v>
      </c>
    </row>
    <row r="4542" spans="7:8" x14ac:dyDescent="0.35">
      <c r="G4542" t="s">
        <v>4558</v>
      </c>
      <c r="H4542" s="23">
        <v>64500</v>
      </c>
    </row>
    <row r="4543" spans="7:8" x14ac:dyDescent="0.35">
      <c r="G4543" t="s">
        <v>4559</v>
      </c>
      <c r="H4543" s="23">
        <v>110800</v>
      </c>
    </row>
    <row r="4544" spans="7:8" x14ac:dyDescent="0.35">
      <c r="G4544" t="s">
        <v>4560</v>
      </c>
      <c r="H4544" s="23">
        <v>62700</v>
      </c>
    </row>
    <row r="4545" spans="7:8" x14ac:dyDescent="0.35">
      <c r="G4545" t="s">
        <v>4561</v>
      </c>
      <c r="H4545" s="23">
        <v>81300</v>
      </c>
    </row>
    <row r="4546" spans="7:8" x14ac:dyDescent="0.35">
      <c r="G4546" t="s">
        <v>4562</v>
      </c>
      <c r="H4546" s="23">
        <v>92500</v>
      </c>
    </row>
    <row r="4547" spans="7:8" x14ac:dyDescent="0.35">
      <c r="G4547" t="s">
        <v>4563</v>
      </c>
      <c r="H4547" s="23">
        <v>107700</v>
      </c>
    </row>
    <row r="4548" spans="7:8" x14ac:dyDescent="0.35">
      <c r="G4548" t="s">
        <v>4564</v>
      </c>
      <c r="H4548" s="23">
        <v>51900</v>
      </c>
    </row>
    <row r="4549" spans="7:8" x14ac:dyDescent="0.35">
      <c r="G4549" t="s">
        <v>4565</v>
      </c>
      <c r="H4549" s="23">
        <v>73300</v>
      </c>
    </row>
    <row r="4550" spans="7:8" x14ac:dyDescent="0.35">
      <c r="G4550" t="s">
        <v>4566</v>
      </c>
      <c r="H4550" s="23">
        <v>102400</v>
      </c>
    </row>
    <row r="4551" spans="7:8" x14ac:dyDescent="0.35">
      <c r="G4551" t="s">
        <v>4567</v>
      </c>
      <c r="H4551" s="23">
        <v>103700</v>
      </c>
    </row>
    <row r="4552" spans="7:8" x14ac:dyDescent="0.35">
      <c r="G4552" t="s">
        <v>4568</v>
      </c>
      <c r="H4552" s="23">
        <v>55000</v>
      </c>
    </row>
    <row r="4553" spans="7:8" x14ac:dyDescent="0.35">
      <c r="G4553" t="s">
        <v>4569</v>
      </c>
      <c r="H4553" s="23">
        <v>86000</v>
      </c>
    </row>
    <row r="4554" spans="7:8" x14ac:dyDescent="0.35">
      <c r="G4554" t="s">
        <v>4570</v>
      </c>
      <c r="H4554" s="23">
        <v>84700</v>
      </c>
    </row>
    <row r="4555" spans="7:8" x14ac:dyDescent="0.35">
      <c r="G4555" t="s">
        <v>4571</v>
      </c>
      <c r="H4555" s="23">
        <v>82300</v>
      </c>
    </row>
    <row r="4556" spans="7:8" x14ac:dyDescent="0.35">
      <c r="G4556" t="s">
        <v>4572</v>
      </c>
      <c r="H4556" s="23">
        <v>95900</v>
      </c>
    </row>
    <row r="4557" spans="7:8" x14ac:dyDescent="0.35">
      <c r="G4557" t="s">
        <v>4573</v>
      </c>
      <c r="H4557" s="23">
        <v>112800</v>
      </c>
    </row>
    <row r="4558" spans="7:8" x14ac:dyDescent="0.35">
      <c r="G4558" t="s">
        <v>4574</v>
      </c>
      <c r="H4558" s="23">
        <v>55900</v>
      </c>
    </row>
    <row r="4559" spans="7:8" x14ac:dyDescent="0.35">
      <c r="G4559" t="s">
        <v>4575</v>
      </c>
      <c r="H4559" s="23">
        <v>82100</v>
      </c>
    </row>
    <row r="4560" spans="7:8" x14ac:dyDescent="0.35">
      <c r="G4560" t="s">
        <v>4576</v>
      </c>
      <c r="H4560" s="23">
        <v>55900</v>
      </c>
    </row>
    <row r="4561" spans="7:8" x14ac:dyDescent="0.35">
      <c r="G4561" t="s">
        <v>4577</v>
      </c>
      <c r="H4561" s="23">
        <v>97200</v>
      </c>
    </row>
    <row r="4562" spans="7:8" x14ac:dyDescent="0.35">
      <c r="G4562" t="s">
        <v>4578</v>
      </c>
      <c r="H4562" s="23">
        <v>73700</v>
      </c>
    </row>
    <row r="4563" spans="7:8" x14ac:dyDescent="0.35">
      <c r="G4563" t="s">
        <v>4579</v>
      </c>
      <c r="H4563" s="23">
        <v>66300</v>
      </c>
    </row>
    <row r="4564" spans="7:8" x14ac:dyDescent="0.35">
      <c r="G4564" t="s">
        <v>4580</v>
      </c>
      <c r="H4564" s="23">
        <v>75400</v>
      </c>
    </row>
    <row r="4565" spans="7:8" x14ac:dyDescent="0.35">
      <c r="G4565" t="s">
        <v>4581</v>
      </c>
      <c r="H4565" s="23">
        <v>111500</v>
      </c>
    </row>
    <row r="4566" spans="7:8" x14ac:dyDescent="0.35">
      <c r="G4566" t="s">
        <v>4582</v>
      </c>
      <c r="H4566" s="23">
        <v>61300</v>
      </c>
    </row>
    <row r="4567" spans="7:8" x14ac:dyDescent="0.35">
      <c r="G4567" t="s">
        <v>4583</v>
      </c>
      <c r="H4567" s="23">
        <v>46800</v>
      </c>
    </row>
    <row r="4568" spans="7:8" x14ac:dyDescent="0.35">
      <c r="G4568" t="s">
        <v>4584</v>
      </c>
      <c r="H4568" s="23">
        <v>75500</v>
      </c>
    </row>
    <row r="4569" spans="7:8" x14ac:dyDescent="0.35">
      <c r="G4569" t="s">
        <v>4585</v>
      </c>
      <c r="H4569" s="23">
        <v>66600</v>
      </c>
    </row>
    <row r="4570" spans="7:8" x14ac:dyDescent="0.35">
      <c r="G4570" t="s">
        <v>4586</v>
      </c>
      <c r="H4570" s="23">
        <v>101500</v>
      </c>
    </row>
    <row r="4571" spans="7:8" x14ac:dyDescent="0.35">
      <c r="G4571" t="s">
        <v>4587</v>
      </c>
      <c r="H4571" s="23">
        <v>96300</v>
      </c>
    </row>
    <row r="4572" spans="7:8" x14ac:dyDescent="0.35">
      <c r="G4572" t="s">
        <v>4588</v>
      </c>
      <c r="H4572" s="23">
        <v>90600</v>
      </c>
    </row>
    <row r="4573" spans="7:8" x14ac:dyDescent="0.35">
      <c r="G4573" t="s">
        <v>4589</v>
      </c>
      <c r="H4573" s="23">
        <v>54400</v>
      </c>
    </row>
    <row r="4574" spans="7:8" x14ac:dyDescent="0.35">
      <c r="G4574" t="s">
        <v>4590</v>
      </c>
      <c r="H4574" s="23">
        <v>49800</v>
      </c>
    </row>
    <row r="4575" spans="7:8" x14ac:dyDescent="0.35">
      <c r="G4575" t="s">
        <v>4591</v>
      </c>
      <c r="H4575" s="23">
        <v>72200</v>
      </c>
    </row>
    <row r="4576" spans="7:8" x14ac:dyDescent="0.35">
      <c r="G4576" t="s">
        <v>4592</v>
      </c>
      <c r="H4576" s="23">
        <v>129200</v>
      </c>
    </row>
    <row r="4577" spans="7:8" x14ac:dyDescent="0.35">
      <c r="G4577" t="s">
        <v>4593</v>
      </c>
      <c r="H4577" s="23">
        <v>90200</v>
      </c>
    </row>
    <row r="4578" spans="7:8" x14ac:dyDescent="0.35">
      <c r="G4578" t="s">
        <v>4594</v>
      </c>
      <c r="H4578" s="23">
        <v>101100</v>
      </c>
    </row>
    <row r="4579" spans="7:8" x14ac:dyDescent="0.35">
      <c r="G4579" t="s">
        <v>4595</v>
      </c>
      <c r="H4579" s="23">
        <v>66300</v>
      </c>
    </row>
    <row r="4580" spans="7:8" x14ac:dyDescent="0.35">
      <c r="G4580" t="s">
        <v>4596</v>
      </c>
      <c r="H4580" s="23">
        <v>98500</v>
      </c>
    </row>
    <row r="4581" spans="7:8" x14ac:dyDescent="0.35">
      <c r="G4581" t="s">
        <v>4597</v>
      </c>
      <c r="H4581" s="23">
        <v>94500</v>
      </c>
    </row>
    <row r="4582" spans="7:8" x14ac:dyDescent="0.35">
      <c r="G4582" t="s">
        <v>4598</v>
      </c>
      <c r="H4582" s="23">
        <v>111000</v>
      </c>
    </row>
    <row r="4583" spans="7:8" x14ac:dyDescent="0.35">
      <c r="G4583" t="s">
        <v>4599</v>
      </c>
      <c r="H4583" s="23">
        <v>78100</v>
      </c>
    </row>
    <row r="4584" spans="7:8" x14ac:dyDescent="0.35">
      <c r="G4584" t="s">
        <v>4600</v>
      </c>
      <c r="H4584" s="23">
        <v>110700</v>
      </c>
    </row>
    <row r="4585" spans="7:8" x14ac:dyDescent="0.35">
      <c r="G4585" t="s">
        <v>4601</v>
      </c>
      <c r="H4585" s="23">
        <v>61500</v>
      </c>
    </row>
    <row r="4586" spans="7:8" x14ac:dyDescent="0.35">
      <c r="G4586" t="s">
        <v>4602</v>
      </c>
      <c r="H4586" s="23">
        <v>75800</v>
      </c>
    </row>
    <row r="4587" spans="7:8" x14ac:dyDescent="0.35">
      <c r="G4587" t="s">
        <v>4603</v>
      </c>
      <c r="H4587" s="23">
        <v>101500</v>
      </c>
    </row>
    <row r="4588" spans="7:8" x14ac:dyDescent="0.35">
      <c r="G4588" t="s">
        <v>4604</v>
      </c>
      <c r="H4588" s="23">
        <v>68600</v>
      </c>
    </row>
    <row r="4589" spans="7:8" x14ac:dyDescent="0.35">
      <c r="G4589" t="s">
        <v>4605</v>
      </c>
      <c r="H4589" s="23">
        <v>52600</v>
      </c>
    </row>
    <row r="4590" spans="7:8" x14ac:dyDescent="0.35">
      <c r="G4590" t="s">
        <v>4606</v>
      </c>
      <c r="H4590" s="23">
        <v>61500</v>
      </c>
    </row>
    <row r="4591" spans="7:8" x14ac:dyDescent="0.35">
      <c r="G4591" t="s">
        <v>4607</v>
      </c>
      <c r="H4591" s="23">
        <v>68000</v>
      </c>
    </row>
    <row r="4592" spans="7:8" x14ac:dyDescent="0.35">
      <c r="G4592" t="s">
        <v>4608</v>
      </c>
      <c r="H4592" s="23">
        <v>49400</v>
      </c>
    </row>
    <row r="4593" spans="7:8" x14ac:dyDescent="0.35">
      <c r="G4593" t="s">
        <v>4609</v>
      </c>
      <c r="H4593" s="23">
        <v>76900</v>
      </c>
    </row>
    <row r="4594" spans="7:8" x14ac:dyDescent="0.35">
      <c r="G4594" t="s">
        <v>4610</v>
      </c>
      <c r="H4594" s="23">
        <v>121800</v>
      </c>
    </row>
    <row r="4595" spans="7:8" x14ac:dyDescent="0.35">
      <c r="G4595" t="s">
        <v>4611</v>
      </c>
      <c r="H4595" s="23">
        <v>73700</v>
      </c>
    </row>
    <row r="4596" spans="7:8" x14ac:dyDescent="0.35">
      <c r="G4596" t="s">
        <v>4612</v>
      </c>
      <c r="H4596" s="23">
        <v>100400</v>
      </c>
    </row>
    <row r="4597" spans="7:8" x14ac:dyDescent="0.35">
      <c r="G4597" t="s">
        <v>4613</v>
      </c>
      <c r="H4597" s="23">
        <v>77300</v>
      </c>
    </row>
    <row r="4598" spans="7:8" x14ac:dyDescent="0.35">
      <c r="G4598" t="s">
        <v>4614</v>
      </c>
      <c r="H4598" s="23">
        <v>63000</v>
      </c>
    </row>
    <row r="4599" spans="7:8" x14ac:dyDescent="0.35">
      <c r="G4599" t="s">
        <v>4615</v>
      </c>
      <c r="H4599" s="23">
        <v>100700</v>
      </c>
    </row>
    <row r="4600" spans="7:8" x14ac:dyDescent="0.35">
      <c r="G4600" t="s">
        <v>4616</v>
      </c>
      <c r="H4600" s="23">
        <v>101700</v>
      </c>
    </row>
    <row r="4601" spans="7:8" x14ac:dyDescent="0.35">
      <c r="G4601" t="s">
        <v>4617</v>
      </c>
      <c r="H4601" s="23">
        <v>66100</v>
      </c>
    </row>
    <row r="4602" spans="7:8" x14ac:dyDescent="0.35">
      <c r="G4602" t="s">
        <v>4618</v>
      </c>
      <c r="H4602" s="23">
        <v>75600</v>
      </c>
    </row>
    <row r="4603" spans="7:8" x14ac:dyDescent="0.35">
      <c r="G4603" t="s">
        <v>4619</v>
      </c>
      <c r="H4603" s="23">
        <v>116400</v>
      </c>
    </row>
    <row r="4604" spans="7:8" x14ac:dyDescent="0.35">
      <c r="G4604" t="s">
        <v>4620</v>
      </c>
      <c r="H4604" s="23">
        <v>70600</v>
      </c>
    </row>
    <row r="4605" spans="7:8" x14ac:dyDescent="0.35">
      <c r="G4605" t="s">
        <v>4621</v>
      </c>
      <c r="H4605" s="23">
        <v>113000</v>
      </c>
    </row>
    <row r="4606" spans="7:8" x14ac:dyDescent="0.35">
      <c r="G4606" t="s">
        <v>4622</v>
      </c>
      <c r="H4606" s="23">
        <v>110600</v>
      </c>
    </row>
    <row r="4607" spans="7:8" x14ac:dyDescent="0.35">
      <c r="G4607" t="s">
        <v>4623</v>
      </c>
      <c r="H4607" s="23">
        <v>102100</v>
      </c>
    </row>
    <row r="4608" spans="7:8" x14ac:dyDescent="0.35">
      <c r="G4608" t="s">
        <v>4624</v>
      </c>
      <c r="H4608" s="23">
        <v>101800</v>
      </c>
    </row>
    <row r="4609" spans="7:8" x14ac:dyDescent="0.35">
      <c r="G4609" t="s">
        <v>4625</v>
      </c>
      <c r="H4609" s="23">
        <v>108200</v>
      </c>
    </row>
    <row r="4610" spans="7:8" x14ac:dyDescent="0.35">
      <c r="G4610" t="s">
        <v>4626</v>
      </c>
      <c r="H4610" s="23">
        <v>70500</v>
      </c>
    </row>
    <row r="4611" spans="7:8" x14ac:dyDescent="0.35">
      <c r="G4611" t="s">
        <v>4627</v>
      </c>
      <c r="H4611" s="23">
        <v>99900</v>
      </c>
    </row>
    <row r="4612" spans="7:8" x14ac:dyDescent="0.35">
      <c r="G4612" t="s">
        <v>4628</v>
      </c>
      <c r="H4612" s="23">
        <v>57700</v>
      </c>
    </row>
    <row r="4613" spans="7:8" x14ac:dyDescent="0.35">
      <c r="G4613" t="s">
        <v>4629</v>
      </c>
      <c r="H4613" s="23">
        <v>92800</v>
      </c>
    </row>
    <row r="4614" spans="7:8" x14ac:dyDescent="0.35">
      <c r="G4614" t="s">
        <v>4630</v>
      </c>
      <c r="H4614" s="23">
        <v>62400</v>
      </c>
    </row>
    <row r="4615" spans="7:8" x14ac:dyDescent="0.35">
      <c r="G4615" t="s">
        <v>4631</v>
      </c>
      <c r="H4615" s="23">
        <v>68600</v>
      </c>
    </row>
    <row r="4616" spans="7:8" x14ac:dyDescent="0.35">
      <c r="G4616" t="s">
        <v>4632</v>
      </c>
      <c r="H4616" s="23">
        <v>68100</v>
      </c>
    </row>
    <row r="4617" spans="7:8" x14ac:dyDescent="0.35">
      <c r="G4617" t="s">
        <v>4633</v>
      </c>
      <c r="H4617" s="23">
        <v>86400</v>
      </c>
    </row>
    <row r="4618" spans="7:8" x14ac:dyDescent="0.35">
      <c r="G4618" t="s">
        <v>4634</v>
      </c>
      <c r="H4618" s="23">
        <v>88800</v>
      </c>
    </row>
    <row r="4619" spans="7:8" x14ac:dyDescent="0.35">
      <c r="G4619" t="s">
        <v>4635</v>
      </c>
      <c r="H4619" s="23">
        <v>65000</v>
      </c>
    </row>
    <row r="4620" spans="7:8" x14ac:dyDescent="0.35">
      <c r="G4620" t="s">
        <v>4636</v>
      </c>
      <c r="H4620" s="23">
        <v>120100</v>
      </c>
    </row>
    <row r="4621" spans="7:8" x14ac:dyDescent="0.35">
      <c r="G4621" t="s">
        <v>4637</v>
      </c>
      <c r="H4621" s="23">
        <v>83100</v>
      </c>
    </row>
    <row r="4622" spans="7:8" x14ac:dyDescent="0.35">
      <c r="G4622" t="s">
        <v>4638</v>
      </c>
      <c r="H4622" s="23">
        <v>83200</v>
      </c>
    </row>
    <row r="4623" spans="7:8" x14ac:dyDescent="0.35">
      <c r="G4623" t="s">
        <v>4639</v>
      </c>
      <c r="H4623" s="23">
        <v>85500</v>
      </c>
    </row>
    <row r="4624" spans="7:8" x14ac:dyDescent="0.35">
      <c r="G4624" t="s">
        <v>4640</v>
      </c>
      <c r="H4624" s="23">
        <v>96500</v>
      </c>
    </row>
    <row r="4625" spans="7:8" x14ac:dyDescent="0.35">
      <c r="G4625" t="s">
        <v>4641</v>
      </c>
      <c r="H4625" s="23">
        <v>82700</v>
      </c>
    </row>
    <row r="4626" spans="7:8" x14ac:dyDescent="0.35">
      <c r="G4626" t="s">
        <v>4642</v>
      </c>
      <c r="H4626" s="23">
        <v>64800</v>
      </c>
    </row>
    <row r="4627" spans="7:8" x14ac:dyDescent="0.35">
      <c r="G4627" t="s">
        <v>4643</v>
      </c>
      <c r="H4627" s="23">
        <v>82800</v>
      </c>
    </row>
    <row r="4628" spans="7:8" x14ac:dyDescent="0.35">
      <c r="G4628" t="s">
        <v>4644</v>
      </c>
      <c r="H4628" s="23">
        <v>58100</v>
      </c>
    </row>
    <row r="4629" spans="7:8" x14ac:dyDescent="0.35">
      <c r="G4629" t="s">
        <v>4645</v>
      </c>
      <c r="H4629" s="23">
        <v>59600</v>
      </c>
    </row>
    <row r="4630" spans="7:8" x14ac:dyDescent="0.35">
      <c r="G4630" t="s">
        <v>4646</v>
      </c>
      <c r="H4630" s="23">
        <v>86400</v>
      </c>
    </row>
    <row r="4631" spans="7:8" x14ac:dyDescent="0.35">
      <c r="G4631" t="s">
        <v>4647</v>
      </c>
      <c r="H4631" s="23">
        <v>88600</v>
      </c>
    </row>
    <row r="4632" spans="7:8" x14ac:dyDescent="0.35">
      <c r="G4632" t="s">
        <v>4648</v>
      </c>
      <c r="H4632" s="23">
        <v>75900</v>
      </c>
    </row>
    <row r="4633" spans="7:8" x14ac:dyDescent="0.35">
      <c r="G4633" t="s">
        <v>4649</v>
      </c>
      <c r="H4633" s="23">
        <v>108200</v>
      </c>
    </row>
    <row r="4634" spans="7:8" x14ac:dyDescent="0.35">
      <c r="G4634" t="s">
        <v>4650</v>
      </c>
      <c r="H4634" s="23">
        <v>98500</v>
      </c>
    </row>
    <row r="4635" spans="7:8" x14ac:dyDescent="0.35">
      <c r="G4635" t="s">
        <v>4651</v>
      </c>
      <c r="H4635" s="23">
        <v>61700</v>
      </c>
    </row>
    <row r="4636" spans="7:8" x14ac:dyDescent="0.35">
      <c r="G4636" t="s">
        <v>4652</v>
      </c>
      <c r="H4636" s="23">
        <v>59500</v>
      </c>
    </row>
    <row r="4637" spans="7:8" x14ac:dyDescent="0.35">
      <c r="G4637" t="s">
        <v>4653</v>
      </c>
      <c r="H4637" s="23">
        <v>125200</v>
      </c>
    </row>
    <row r="4638" spans="7:8" x14ac:dyDescent="0.35">
      <c r="G4638" t="s">
        <v>4654</v>
      </c>
      <c r="H4638" s="23">
        <v>87200</v>
      </c>
    </row>
    <row r="4639" spans="7:8" x14ac:dyDescent="0.35">
      <c r="G4639" t="s">
        <v>4655</v>
      </c>
      <c r="H4639" s="23">
        <v>108700</v>
      </c>
    </row>
    <row r="4640" spans="7:8" x14ac:dyDescent="0.35">
      <c r="G4640" t="s">
        <v>4656</v>
      </c>
      <c r="H4640" s="23">
        <v>54800</v>
      </c>
    </row>
    <row r="4641" spans="7:8" x14ac:dyDescent="0.35">
      <c r="G4641" t="s">
        <v>4657</v>
      </c>
      <c r="H4641" s="23">
        <v>49900</v>
      </c>
    </row>
    <row r="4642" spans="7:8" x14ac:dyDescent="0.35">
      <c r="G4642" t="s">
        <v>4658</v>
      </c>
      <c r="H4642" s="23">
        <v>97400</v>
      </c>
    </row>
    <row r="4643" spans="7:8" x14ac:dyDescent="0.35">
      <c r="G4643" t="s">
        <v>4659</v>
      </c>
      <c r="H4643" s="23">
        <v>69900</v>
      </c>
    </row>
    <row r="4644" spans="7:8" x14ac:dyDescent="0.35">
      <c r="G4644" t="s">
        <v>4660</v>
      </c>
      <c r="H4644" s="23">
        <v>112500</v>
      </c>
    </row>
    <row r="4645" spans="7:8" x14ac:dyDescent="0.35">
      <c r="G4645" t="s">
        <v>4661</v>
      </c>
      <c r="H4645" s="23">
        <v>102000</v>
      </c>
    </row>
    <row r="4646" spans="7:8" x14ac:dyDescent="0.35">
      <c r="G4646" t="s">
        <v>4662</v>
      </c>
      <c r="H4646" s="23">
        <v>42700</v>
      </c>
    </row>
    <row r="4647" spans="7:8" x14ac:dyDescent="0.35">
      <c r="G4647" t="s">
        <v>4663</v>
      </c>
      <c r="H4647" s="23">
        <v>74700</v>
      </c>
    </row>
    <row r="4648" spans="7:8" x14ac:dyDescent="0.35">
      <c r="G4648" t="s">
        <v>4664</v>
      </c>
      <c r="H4648" s="23">
        <v>84600</v>
      </c>
    </row>
    <row r="4649" spans="7:8" x14ac:dyDescent="0.35">
      <c r="G4649" t="s">
        <v>4665</v>
      </c>
      <c r="H4649" s="23">
        <v>101200</v>
      </c>
    </row>
    <row r="4650" spans="7:8" x14ac:dyDescent="0.35">
      <c r="G4650" t="s">
        <v>4666</v>
      </c>
      <c r="H4650" s="23">
        <v>94200</v>
      </c>
    </row>
    <row r="4651" spans="7:8" x14ac:dyDescent="0.35">
      <c r="G4651" t="s">
        <v>4667</v>
      </c>
      <c r="H4651" s="23">
        <v>81000</v>
      </c>
    </row>
    <row r="4652" spans="7:8" x14ac:dyDescent="0.35">
      <c r="G4652" t="s">
        <v>4668</v>
      </c>
      <c r="H4652" s="23">
        <v>68100</v>
      </c>
    </row>
    <row r="4653" spans="7:8" x14ac:dyDescent="0.35">
      <c r="G4653" t="s">
        <v>4669</v>
      </c>
      <c r="H4653" s="23">
        <v>95000</v>
      </c>
    </row>
    <row r="4654" spans="7:8" x14ac:dyDescent="0.35">
      <c r="G4654" t="s">
        <v>4670</v>
      </c>
      <c r="H4654" s="23">
        <v>81100</v>
      </c>
    </row>
    <row r="4655" spans="7:8" x14ac:dyDescent="0.35">
      <c r="G4655" t="s">
        <v>4671</v>
      </c>
      <c r="H4655" s="23">
        <v>81400</v>
      </c>
    </row>
    <row r="4656" spans="7:8" x14ac:dyDescent="0.35">
      <c r="G4656" t="s">
        <v>4672</v>
      </c>
      <c r="H4656" s="23">
        <v>107000</v>
      </c>
    </row>
    <row r="4657" spans="7:8" x14ac:dyDescent="0.35">
      <c r="G4657" t="s">
        <v>4673</v>
      </c>
      <c r="H4657" s="23">
        <v>100300</v>
      </c>
    </row>
    <row r="4658" spans="7:8" x14ac:dyDescent="0.35">
      <c r="G4658" t="s">
        <v>4674</v>
      </c>
      <c r="H4658" s="23">
        <v>78400</v>
      </c>
    </row>
    <row r="4659" spans="7:8" x14ac:dyDescent="0.35">
      <c r="G4659" t="s">
        <v>4675</v>
      </c>
      <c r="H4659" s="23">
        <v>96200</v>
      </c>
    </row>
    <row r="4660" spans="7:8" x14ac:dyDescent="0.35">
      <c r="G4660" t="s">
        <v>4676</v>
      </c>
      <c r="H4660" s="23">
        <v>68800</v>
      </c>
    </row>
    <row r="4661" spans="7:8" x14ac:dyDescent="0.35">
      <c r="G4661" t="s">
        <v>4677</v>
      </c>
      <c r="H4661" s="23">
        <v>86800</v>
      </c>
    </row>
    <row r="4662" spans="7:8" x14ac:dyDescent="0.35">
      <c r="G4662" t="s">
        <v>4678</v>
      </c>
      <c r="H4662" s="23">
        <v>104300</v>
      </c>
    </row>
    <row r="4663" spans="7:8" x14ac:dyDescent="0.35">
      <c r="G4663" t="s">
        <v>4679</v>
      </c>
      <c r="H4663" s="23">
        <v>85600</v>
      </c>
    </row>
    <row r="4664" spans="7:8" x14ac:dyDescent="0.35">
      <c r="G4664" t="s">
        <v>4680</v>
      </c>
      <c r="H4664" s="23">
        <v>34500</v>
      </c>
    </row>
    <row r="4665" spans="7:8" x14ac:dyDescent="0.35">
      <c r="G4665" t="s">
        <v>4681</v>
      </c>
      <c r="H4665" s="23">
        <v>99600</v>
      </c>
    </row>
    <row r="4666" spans="7:8" x14ac:dyDescent="0.35">
      <c r="G4666" t="s">
        <v>4682</v>
      </c>
      <c r="H4666" s="23">
        <v>94000</v>
      </c>
    </row>
    <row r="4667" spans="7:8" x14ac:dyDescent="0.35">
      <c r="G4667" t="s">
        <v>4683</v>
      </c>
      <c r="H4667" s="23">
        <v>77300</v>
      </c>
    </row>
    <row r="4668" spans="7:8" x14ac:dyDescent="0.35">
      <c r="G4668" t="s">
        <v>4684</v>
      </c>
      <c r="H4668" s="23">
        <v>90800</v>
      </c>
    </row>
    <row r="4669" spans="7:8" x14ac:dyDescent="0.35">
      <c r="G4669" t="s">
        <v>4685</v>
      </c>
      <c r="H4669" s="23">
        <v>93900</v>
      </c>
    </row>
    <row r="4670" spans="7:8" x14ac:dyDescent="0.35">
      <c r="G4670" t="s">
        <v>4686</v>
      </c>
      <c r="H4670" s="23">
        <v>72600</v>
      </c>
    </row>
    <row r="4671" spans="7:8" x14ac:dyDescent="0.35">
      <c r="G4671" t="s">
        <v>4687</v>
      </c>
      <c r="H4671" s="23">
        <v>67100</v>
      </c>
    </row>
    <row r="4672" spans="7:8" x14ac:dyDescent="0.35">
      <c r="G4672" t="s">
        <v>4688</v>
      </c>
      <c r="H4672" s="23">
        <v>71500</v>
      </c>
    </row>
    <row r="4673" spans="7:8" x14ac:dyDescent="0.35">
      <c r="G4673" t="s">
        <v>4689</v>
      </c>
      <c r="H4673" s="23">
        <v>124200</v>
      </c>
    </row>
    <row r="4674" spans="7:8" x14ac:dyDescent="0.35">
      <c r="G4674" t="s">
        <v>4690</v>
      </c>
      <c r="H4674" s="23">
        <v>100000</v>
      </c>
    </row>
    <row r="4675" spans="7:8" x14ac:dyDescent="0.35">
      <c r="G4675" t="s">
        <v>4691</v>
      </c>
      <c r="H4675" s="23">
        <v>63200</v>
      </c>
    </row>
    <row r="4676" spans="7:8" x14ac:dyDescent="0.35">
      <c r="G4676" t="s">
        <v>4692</v>
      </c>
      <c r="H4676" s="23">
        <v>64000</v>
      </c>
    </row>
    <row r="4677" spans="7:8" x14ac:dyDescent="0.35">
      <c r="G4677" t="s">
        <v>4693</v>
      </c>
      <c r="H4677" s="23">
        <v>71600</v>
      </c>
    </row>
    <row r="4678" spans="7:8" x14ac:dyDescent="0.35">
      <c r="G4678" t="s">
        <v>4694</v>
      </c>
      <c r="H4678" s="23">
        <v>83500</v>
      </c>
    </row>
    <row r="4679" spans="7:8" x14ac:dyDescent="0.35">
      <c r="G4679" t="s">
        <v>4695</v>
      </c>
      <c r="H4679" s="23">
        <v>99600</v>
      </c>
    </row>
    <row r="4680" spans="7:8" x14ac:dyDescent="0.35">
      <c r="G4680" t="s">
        <v>4696</v>
      </c>
      <c r="H4680" s="23">
        <v>57300</v>
      </c>
    </row>
    <row r="4681" spans="7:8" x14ac:dyDescent="0.35">
      <c r="G4681" t="s">
        <v>4697</v>
      </c>
      <c r="H4681" s="23">
        <v>72400</v>
      </c>
    </row>
    <row r="4682" spans="7:8" x14ac:dyDescent="0.35">
      <c r="G4682" t="s">
        <v>4698</v>
      </c>
      <c r="H4682" s="23">
        <v>66200</v>
      </c>
    </row>
    <row r="4683" spans="7:8" x14ac:dyDescent="0.35">
      <c r="G4683" t="s">
        <v>4699</v>
      </c>
      <c r="H4683" s="23">
        <v>95200</v>
      </c>
    </row>
    <row r="4684" spans="7:8" x14ac:dyDescent="0.35">
      <c r="G4684" t="s">
        <v>4700</v>
      </c>
      <c r="H4684" s="23">
        <v>68500</v>
      </c>
    </row>
    <row r="4685" spans="7:8" x14ac:dyDescent="0.35">
      <c r="G4685" t="s">
        <v>4701</v>
      </c>
      <c r="H4685" s="23">
        <v>89600</v>
      </c>
    </row>
    <row r="4686" spans="7:8" x14ac:dyDescent="0.35">
      <c r="G4686" t="s">
        <v>4702</v>
      </c>
      <c r="H4686" s="23">
        <v>73300</v>
      </c>
    </row>
    <row r="4687" spans="7:8" x14ac:dyDescent="0.35">
      <c r="G4687" t="s">
        <v>4703</v>
      </c>
      <c r="H4687" s="23">
        <v>99100</v>
      </c>
    </row>
    <row r="4688" spans="7:8" x14ac:dyDescent="0.35">
      <c r="G4688" t="s">
        <v>4704</v>
      </c>
      <c r="H4688" s="23">
        <v>80900</v>
      </c>
    </row>
    <row r="4689" spans="7:8" x14ac:dyDescent="0.35">
      <c r="G4689" t="s">
        <v>4705</v>
      </c>
      <c r="H4689" s="23">
        <v>110700</v>
      </c>
    </row>
    <row r="4690" spans="7:8" x14ac:dyDescent="0.35">
      <c r="G4690" t="s">
        <v>4706</v>
      </c>
      <c r="H4690" s="23">
        <v>80000</v>
      </c>
    </row>
    <row r="4691" spans="7:8" x14ac:dyDescent="0.35">
      <c r="G4691" t="s">
        <v>4707</v>
      </c>
      <c r="H4691" s="23">
        <v>77700</v>
      </c>
    </row>
    <row r="4692" spans="7:8" x14ac:dyDescent="0.35">
      <c r="G4692" t="s">
        <v>4708</v>
      </c>
      <c r="H4692" s="23">
        <v>83000</v>
      </c>
    </row>
    <row r="4693" spans="7:8" x14ac:dyDescent="0.35">
      <c r="G4693" t="s">
        <v>4709</v>
      </c>
      <c r="H4693" s="23">
        <v>97900</v>
      </c>
    </row>
    <row r="4694" spans="7:8" x14ac:dyDescent="0.35">
      <c r="G4694" t="s">
        <v>4710</v>
      </c>
      <c r="H4694" s="23">
        <v>78300</v>
      </c>
    </row>
    <row r="4695" spans="7:8" x14ac:dyDescent="0.35">
      <c r="G4695" t="s">
        <v>4711</v>
      </c>
      <c r="H4695" s="23">
        <v>66100</v>
      </c>
    </row>
    <row r="4696" spans="7:8" x14ac:dyDescent="0.35">
      <c r="G4696" t="s">
        <v>4712</v>
      </c>
      <c r="H4696" s="23">
        <v>65700</v>
      </c>
    </row>
    <row r="4697" spans="7:8" x14ac:dyDescent="0.35">
      <c r="G4697" t="s">
        <v>4713</v>
      </c>
      <c r="H4697" s="23">
        <v>106000</v>
      </c>
    </row>
    <row r="4698" spans="7:8" x14ac:dyDescent="0.35">
      <c r="G4698" t="s">
        <v>4714</v>
      </c>
      <c r="H4698" s="23">
        <v>106200</v>
      </c>
    </row>
    <row r="4699" spans="7:8" x14ac:dyDescent="0.35">
      <c r="G4699" t="s">
        <v>4715</v>
      </c>
      <c r="H4699" s="23">
        <v>70400</v>
      </c>
    </row>
    <row r="4700" spans="7:8" x14ac:dyDescent="0.35">
      <c r="G4700" t="s">
        <v>4716</v>
      </c>
      <c r="H4700" s="23">
        <v>51700</v>
      </c>
    </row>
    <row r="4701" spans="7:8" x14ac:dyDescent="0.35">
      <c r="G4701" t="s">
        <v>4717</v>
      </c>
      <c r="H4701" s="23">
        <v>57100</v>
      </c>
    </row>
    <row r="4702" spans="7:8" x14ac:dyDescent="0.35">
      <c r="G4702" t="s">
        <v>4718</v>
      </c>
      <c r="H4702" s="23">
        <v>81400</v>
      </c>
    </row>
    <row r="4703" spans="7:8" x14ac:dyDescent="0.35">
      <c r="G4703" t="s">
        <v>4719</v>
      </c>
      <c r="H4703" s="23">
        <v>85100</v>
      </c>
    </row>
    <row r="4704" spans="7:8" x14ac:dyDescent="0.35">
      <c r="G4704" t="s">
        <v>4720</v>
      </c>
      <c r="H4704" s="23">
        <v>82000</v>
      </c>
    </row>
    <row r="4705" spans="7:8" x14ac:dyDescent="0.35">
      <c r="G4705" t="s">
        <v>4721</v>
      </c>
      <c r="H4705" s="23">
        <v>100800</v>
      </c>
    </row>
    <row r="4706" spans="7:8" x14ac:dyDescent="0.35">
      <c r="G4706" t="s">
        <v>4722</v>
      </c>
      <c r="H4706" s="23">
        <v>96100</v>
      </c>
    </row>
    <row r="4707" spans="7:8" x14ac:dyDescent="0.35">
      <c r="G4707" t="s">
        <v>4723</v>
      </c>
      <c r="H4707" s="23">
        <v>76500</v>
      </c>
    </row>
    <row r="4708" spans="7:8" x14ac:dyDescent="0.35">
      <c r="G4708" t="s">
        <v>4724</v>
      </c>
      <c r="H4708" s="23">
        <v>70100</v>
      </c>
    </row>
    <row r="4709" spans="7:8" x14ac:dyDescent="0.35">
      <c r="G4709" t="s">
        <v>4725</v>
      </c>
      <c r="H4709" s="23">
        <v>108100</v>
      </c>
    </row>
    <row r="4710" spans="7:8" x14ac:dyDescent="0.35">
      <c r="G4710" t="s">
        <v>4726</v>
      </c>
      <c r="H4710" s="23">
        <v>87000</v>
      </c>
    </row>
    <row r="4711" spans="7:8" x14ac:dyDescent="0.35">
      <c r="G4711" t="s">
        <v>4727</v>
      </c>
      <c r="H4711" s="23">
        <v>70100</v>
      </c>
    </row>
    <row r="4712" spans="7:8" x14ac:dyDescent="0.35">
      <c r="G4712" t="s">
        <v>4728</v>
      </c>
      <c r="H4712" s="23">
        <v>102700</v>
      </c>
    </row>
    <row r="4713" spans="7:8" x14ac:dyDescent="0.35">
      <c r="G4713" t="s">
        <v>4729</v>
      </c>
      <c r="H4713" s="23">
        <v>82400</v>
      </c>
    </row>
    <row r="4714" spans="7:8" x14ac:dyDescent="0.35">
      <c r="G4714" t="s">
        <v>4730</v>
      </c>
      <c r="H4714" s="23">
        <v>66700</v>
      </c>
    </row>
    <row r="4715" spans="7:8" x14ac:dyDescent="0.35">
      <c r="G4715" t="s">
        <v>4731</v>
      </c>
      <c r="H4715" s="23">
        <v>102800</v>
      </c>
    </row>
    <row r="4716" spans="7:8" x14ac:dyDescent="0.35">
      <c r="G4716" t="s">
        <v>4732</v>
      </c>
      <c r="H4716" s="23">
        <v>77700</v>
      </c>
    </row>
    <row r="4717" spans="7:8" x14ac:dyDescent="0.35">
      <c r="G4717" t="s">
        <v>4733</v>
      </c>
      <c r="H4717" s="23">
        <v>65700</v>
      </c>
    </row>
    <row r="4718" spans="7:8" x14ac:dyDescent="0.35">
      <c r="G4718" t="s">
        <v>4734</v>
      </c>
      <c r="H4718" s="23">
        <v>65500</v>
      </c>
    </row>
    <row r="4719" spans="7:8" x14ac:dyDescent="0.35">
      <c r="G4719" t="s">
        <v>4735</v>
      </c>
      <c r="H4719" s="23">
        <v>109400</v>
      </c>
    </row>
    <row r="4720" spans="7:8" x14ac:dyDescent="0.35">
      <c r="G4720" t="s">
        <v>4736</v>
      </c>
      <c r="H4720" s="23">
        <v>110600</v>
      </c>
    </row>
    <row r="4721" spans="7:8" x14ac:dyDescent="0.35">
      <c r="G4721" t="s">
        <v>4737</v>
      </c>
      <c r="H4721" s="23">
        <v>63300</v>
      </c>
    </row>
    <row r="4722" spans="7:8" x14ac:dyDescent="0.35">
      <c r="G4722" t="s">
        <v>4738</v>
      </c>
      <c r="H4722" s="23">
        <v>114500</v>
      </c>
    </row>
    <row r="4723" spans="7:8" x14ac:dyDescent="0.35">
      <c r="G4723" t="s">
        <v>4739</v>
      </c>
      <c r="H4723" s="23">
        <v>98300</v>
      </c>
    </row>
    <row r="4724" spans="7:8" x14ac:dyDescent="0.35">
      <c r="G4724" t="s">
        <v>4740</v>
      </c>
      <c r="H4724" s="23">
        <v>96300</v>
      </c>
    </row>
    <row r="4725" spans="7:8" x14ac:dyDescent="0.35">
      <c r="G4725" t="s">
        <v>4741</v>
      </c>
      <c r="H4725" s="23">
        <v>81000</v>
      </c>
    </row>
    <row r="4726" spans="7:8" x14ac:dyDescent="0.35">
      <c r="G4726" t="s">
        <v>4742</v>
      </c>
      <c r="H4726" s="23">
        <v>82200</v>
      </c>
    </row>
    <row r="4727" spans="7:8" x14ac:dyDescent="0.35">
      <c r="G4727" t="s">
        <v>4743</v>
      </c>
      <c r="H4727" s="23">
        <v>48200</v>
      </c>
    </row>
    <row r="4728" spans="7:8" x14ac:dyDescent="0.35">
      <c r="G4728" t="s">
        <v>4744</v>
      </c>
      <c r="H4728" s="23">
        <v>72700</v>
      </c>
    </row>
    <row r="4729" spans="7:8" x14ac:dyDescent="0.35">
      <c r="G4729" t="s">
        <v>4745</v>
      </c>
      <c r="H4729" s="23">
        <v>91600</v>
      </c>
    </row>
    <row r="4730" spans="7:8" x14ac:dyDescent="0.35">
      <c r="G4730" t="s">
        <v>4746</v>
      </c>
      <c r="H4730" s="23">
        <v>49500</v>
      </c>
    </row>
    <row r="4731" spans="7:8" x14ac:dyDescent="0.35">
      <c r="G4731" t="s">
        <v>4747</v>
      </c>
      <c r="H4731" s="23">
        <v>56900</v>
      </c>
    </row>
    <row r="4732" spans="7:8" x14ac:dyDescent="0.35">
      <c r="G4732" t="s">
        <v>4748</v>
      </c>
      <c r="H4732" s="23">
        <v>93800</v>
      </c>
    </row>
    <row r="4733" spans="7:8" x14ac:dyDescent="0.35">
      <c r="G4733" t="s">
        <v>4749</v>
      </c>
      <c r="H4733" s="23">
        <v>88900</v>
      </c>
    </row>
    <row r="4734" spans="7:8" x14ac:dyDescent="0.35">
      <c r="G4734" t="s">
        <v>4750</v>
      </c>
      <c r="H4734" s="23">
        <v>72600</v>
      </c>
    </row>
    <row r="4735" spans="7:8" x14ac:dyDescent="0.35">
      <c r="G4735" t="s">
        <v>4751</v>
      </c>
      <c r="H4735" s="23">
        <v>57100</v>
      </c>
    </row>
    <row r="4736" spans="7:8" x14ac:dyDescent="0.35">
      <c r="G4736" t="s">
        <v>4752</v>
      </c>
      <c r="H4736" s="23">
        <v>114000</v>
      </c>
    </row>
    <row r="4737" spans="7:8" x14ac:dyDescent="0.35">
      <c r="G4737" t="s">
        <v>4753</v>
      </c>
      <c r="H4737" s="23">
        <v>91600</v>
      </c>
    </row>
    <row r="4738" spans="7:8" x14ac:dyDescent="0.35">
      <c r="G4738" t="s">
        <v>4754</v>
      </c>
      <c r="H4738" s="23">
        <v>81700</v>
      </c>
    </row>
    <row r="4739" spans="7:8" x14ac:dyDescent="0.35">
      <c r="G4739" t="s">
        <v>4755</v>
      </c>
      <c r="H4739" s="23">
        <v>106200</v>
      </c>
    </row>
    <row r="4740" spans="7:8" x14ac:dyDescent="0.35">
      <c r="G4740" t="s">
        <v>4756</v>
      </c>
      <c r="H4740" s="23">
        <v>77200</v>
      </c>
    </row>
    <row r="4741" spans="7:8" x14ac:dyDescent="0.35">
      <c r="G4741" t="s">
        <v>4757</v>
      </c>
      <c r="H4741" s="23">
        <v>92900</v>
      </c>
    </row>
    <row r="4742" spans="7:8" x14ac:dyDescent="0.35">
      <c r="G4742" t="s">
        <v>4758</v>
      </c>
      <c r="H4742" s="23">
        <v>42700</v>
      </c>
    </row>
    <row r="4743" spans="7:8" x14ac:dyDescent="0.35">
      <c r="G4743" t="s">
        <v>4759</v>
      </c>
      <c r="H4743" s="23">
        <v>73000</v>
      </c>
    </row>
    <row r="4744" spans="7:8" x14ac:dyDescent="0.35">
      <c r="G4744" t="s">
        <v>4760</v>
      </c>
      <c r="H4744" s="23">
        <v>59800</v>
      </c>
    </row>
    <row r="4745" spans="7:8" x14ac:dyDescent="0.35">
      <c r="G4745" t="s">
        <v>4761</v>
      </c>
      <c r="H4745" s="23">
        <v>71200</v>
      </c>
    </row>
    <row r="4746" spans="7:8" x14ac:dyDescent="0.35">
      <c r="G4746" t="s">
        <v>4762</v>
      </c>
      <c r="H4746" s="23">
        <v>99100</v>
      </c>
    </row>
    <row r="4747" spans="7:8" x14ac:dyDescent="0.35">
      <c r="G4747" t="s">
        <v>4763</v>
      </c>
      <c r="H4747" s="23">
        <v>76200</v>
      </c>
    </row>
    <row r="4748" spans="7:8" x14ac:dyDescent="0.35">
      <c r="G4748" t="s">
        <v>4764</v>
      </c>
      <c r="H4748" s="23">
        <v>103400</v>
      </c>
    </row>
    <row r="4749" spans="7:8" x14ac:dyDescent="0.35">
      <c r="G4749" t="s">
        <v>4765</v>
      </c>
      <c r="H4749" s="23">
        <v>85700</v>
      </c>
    </row>
    <row r="4750" spans="7:8" x14ac:dyDescent="0.35">
      <c r="G4750" t="s">
        <v>4766</v>
      </c>
      <c r="H4750" s="23">
        <v>92300</v>
      </c>
    </row>
    <row r="4751" spans="7:8" x14ac:dyDescent="0.35">
      <c r="G4751" t="s">
        <v>4767</v>
      </c>
      <c r="H4751" s="23">
        <v>84700</v>
      </c>
    </row>
    <row r="4752" spans="7:8" x14ac:dyDescent="0.35">
      <c r="G4752" t="s">
        <v>4768</v>
      </c>
      <c r="H4752" s="23">
        <v>110500</v>
      </c>
    </row>
    <row r="4753" spans="7:8" x14ac:dyDescent="0.35">
      <c r="G4753" t="s">
        <v>4769</v>
      </c>
      <c r="H4753" s="23">
        <v>62700</v>
      </c>
    </row>
    <row r="4754" spans="7:8" x14ac:dyDescent="0.35">
      <c r="G4754" t="s">
        <v>4770</v>
      </c>
      <c r="H4754" s="23">
        <v>49100</v>
      </c>
    </row>
    <row r="4755" spans="7:8" x14ac:dyDescent="0.35">
      <c r="G4755" t="s">
        <v>4771</v>
      </c>
      <c r="H4755" s="23">
        <v>109600</v>
      </c>
    </row>
    <row r="4756" spans="7:8" x14ac:dyDescent="0.35">
      <c r="G4756" t="s">
        <v>4772</v>
      </c>
      <c r="H4756" s="23">
        <v>87600</v>
      </c>
    </row>
    <row r="4757" spans="7:8" x14ac:dyDescent="0.35">
      <c r="G4757" t="s">
        <v>4773</v>
      </c>
      <c r="H4757" s="23">
        <v>104800</v>
      </c>
    </row>
    <row r="4758" spans="7:8" x14ac:dyDescent="0.35">
      <c r="G4758" t="s">
        <v>4774</v>
      </c>
      <c r="H4758" s="23">
        <v>107800</v>
      </c>
    </row>
    <row r="4759" spans="7:8" x14ac:dyDescent="0.35">
      <c r="G4759" t="s">
        <v>4775</v>
      </c>
      <c r="H4759" s="23">
        <v>57000</v>
      </c>
    </row>
    <row r="4760" spans="7:8" x14ac:dyDescent="0.35">
      <c r="G4760" t="s">
        <v>4776</v>
      </c>
      <c r="H4760" s="23">
        <v>66100</v>
      </c>
    </row>
    <row r="4761" spans="7:8" x14ac:dyDescent="0.35">
      <c r="G4761" t="s">
        <v>4777</v>
      </c>
      <c r="H4761" s="23">
        <v>68000</v>
      </c>
    </row>
    <row r="4762" spans="7:8" x14ac:dyDescent="0.35">
      <c r="G4762" t="s">
        <v>4778</v>
      </c>
      <c r="H4762" s="23">
        <v>82300</v>
      </c>
    </row>
    <row r="4763" spans="7:8" x14ac:dyDescent="0.35">
      <c r="G4763" t="s">
        <v>4779</v>
      </c>
      <c r="H4763" s="23">
        <v>127900</v>
      </c>
    </row>
    <row r="4764" spans="7:8" x14ac:dyDescent="0.35">
      <c r="G4764" t="s">
        <v>4780</v>
      </c>
      <c r="H4764" s="23">
        <v>76400</v>
      </c>
    </row>
    <row r="4765" spans="7:8" x14ac:dyDescent="0.35">
      <c r="G4765" t="s">
        <v>4781</v>
      </c>
      <c r="H4765" s="23">
        <v>107500</v>
      </c>
    </row>
    <row r="4766" spans="7:8" x14ac:dyDescent="0.35">
      <c r="G4766" t="s">
        <v>4782</v>
      </c>
      <c r="H4766" s="23">
        <v>91900</v>
      </c>
    </row>
    <row r="4767" spans="7:8" x14ac:dyDescent="0.35">
      <c r="G4767" t="s">
        <v>4783</v>
      </c>
      <c r="H4767" s="23">
        <v>108600</v>
      </c>
    </row>
    <row r="4768" spans="7:8" x14ac:dyDescent="0.35">
      <c r="G4768" t="s">
        <v>4784</v>
      </c>
      <c r="H4768" s="23">
        <v>70700</v>
      </c>
    </row>
    <row r="4769" spans="7:8" x14ac:dyDescent="0.35">
      <c r="G4769" t="s">
        <v>4785</v>
      </c>
      <c r="H4769" s="23">
        <v>72000</v>
      </c>
    </row>
    <row r="4770" spans="7:8" x14ac:dyDescent="0.35">
      <c r="G4770" t="s">
        <v>4786</v>
      </c>
      <c r="H4770" s="23">
        <v>108100</v>
      </c>
    </row>
    <row r="4771" spans="7:8" x14ac:dyDescent="0.35">
      <c r="G4771" t="s">
        <v>4787</v>
      </c>
      <c r="H4771" s="23">
        <v>70900</v>
      </c>
    </row>
    <row r="4772" spans="7:8" x14ac:dyDescent="0.35">
      <c r="G4772" t="s">
        <v>4788</v>
      </c>
      <c r="H4772" s="23">
        <v>98100</v>
      </c>
    </row>
    <row r="4773" spans="7:8" x14ac:dyDescent="0.35">
      <c r="G4773" t="s">
        <v>4789</v>
      </c>
      <c r="H4773" s="23">
        <v>80200</v>
      </c>
    </row>
    <row r="4774" spans="7:8" x14ac:dyDescent="0.35">
      <c r="G4774" t="s">
        <v>4790</v>
      </c>
      <c r="H4774" s="23">
        <v>97800</v>
      </c>
    </row>
    <row r="4775" spans="7:8" x14ac:dyDescent="0.35">
      <c r="G4775" t="s">
        <v>4791</v>
      </c>
      <c r="H4775" s="23">
        <v>38500</v>
      </c>
    </row>
    <row r="4776" spans="7:8" x14ac:dyDescent="0.35">
      <c r="G4776" t="s">
        <v>4792</v>
      </c>
      <c r="H4776" s="23">
        <v>73900</v>
      </c>
    </row>
    <row r="4777" spans="7:8" x14ac:dyDescent="0.35">
      <c r="G4777" t="s">
        <v>4793</v>
      </c>
      <c r="H4777" s="23">
        <v>107000</v>
      </c>
    </row>
    <row r="4778" spans="7:8" x14ac:dyDescent="0.35">
      <c r="G4778" t="s">
        <v>4794</v>
      </c>
      <c r="H4778" s="23">
        <v>102500</v>
      </c>
    </row>
    <row r="4779" spans="7:8" x14ac:dyDescent="0.35">
      <c r="G4779" t="s">
        <v>4795</v>
      </c>
      <c r="H4779" s="23">
        <v>99800</v>
      </c>
    </row>
    <row r="4780" spans="7:8" x14ac:dyDescent="0.35">
      <c r="G4780" t="s">
        <v>4796</v>
      </c>
      <c r="H4780" s="23">
        <v>68800</v>
      </c>
    </row>
    <row r="4781" spans="7:8" x14ac:dyDescent="0.35">
      <c r="G4781" t="s">
        <v>4797</v>
      </c>
      <c r="H4781" s="23">
        <v>49200</v>
      </c>
    </row>
    <row r="4782" spans="7:8" x14ac:dyDescent="0.35">
      <c r="G4782" t="s">
        <v>4798</v>
      </c>
      <c r="H4782" s="23">
        <v>64900</v>
      </c>
    </row>
    <row r="4783" spans="7:8" x14ac:dyDescent="0.35">
      <c r="G4783" t="s">
        <v>4799</v>
      </c>
      <c r="H4783" s="23">
        <v>73200</v>
      </c>
    </row>
    <row r="4784" spans="7:8" x14ac:dyDescent="0.35">
      <c r="G4784" t="s">
        <v>4800</v>
      </c>
      <c r="H4784" s="23">
        <v>105900</v>
      </c>
    </row>
    <row r="4785" spans="7:8" x14ac:dyDescent="0.35">
      <c r="G4785" t="s">
        <v>4801</v>
      </c>
      <c r="H4785" s="23">
        <v>81600</v>
      </c>
    </row>
    <row r="4786" spans="7:8" x14ac:dyDescent="0.35">
      <c r="G4786" t="s">
        <v>4802</v>
      </c>
      <c r="H4786" s="23">
        <v>63600</v>
      </c>
    </row>
    <row r="4787" spans="7:8" x14ac:dyDescent="0.35">
      <c r="G4787" t="s">
        <v>4803</v>
      </c>
      <c r="H4787" s="23">
        <v>75000</v>
      </c>
    </row>
    <row r="4788" spans="7:8" x14ac:dyDescent="0.35">
      <c r="G4788" t="s">
        <v>4804</v>
      </c>
      <c r="H4788" s="23">
        <v>46500</v>
      </c>
    </row>
    <row r="4789" spans="7:8" x14ac:dyDescent="0.35">
      <c r="G4789" t="s">
        <v>4805</v>
      </c>
      <c r="H4789" s="23">
        <v>103300</v>
      </c>
    </row>
    <row r="4790" spans="7:8" x14ac:dyDescent="0.35">
      <c r="G4790" t="s">
        <v>4806</v>
      </c>
      <c r="H4790" s="23">
        <v>92500</v>
      </c>
    </row>
    <row r="4791" spans="7:8" x14ac:dyDescent="0.35">
      <c r="G4791" t="s">
        <v>4807</v>
      </c>
      <c r="H4791" s="23">
        <v>87100</v>
      </c>
    </row>
    <row r="4792" spans="7:8" x14ac:dyDescent="0.35">
      <c r="G4792" t="s">
        <v>4808</v>
      </c>
      <c r="H4792" s="23">
        <v>77700</v>
      </c>
    </row>
    <row r="4793" spans="7:8" x14ac:dyDescent="0.35">
      <c r="G4793" t="s">
        <v>4809</v>
      </c>
      <c r="H4793" s="23">
        <v>78500</v>
      </c>
    </row>
    <row r="4794" spans="7:8" x14ac:dyDescent="0.35">
      <c r="G4794" t="s">
        <v>4810</v>
      </c>
      <c r="H4794" s="23">
        <v>56700</v>
      </c>
    </row>
    <row r="4795" spans="7:8" x14ac:dyDescent="0.35">
      <c r="G4795" t="s">
        <v>4811</v>
      </c>
      <c r="H4795" s="23">
        <v>44100</v>
      </c>
    </row>
    <row r="4796" spans="7:8" x14ac:dyDescent="0.35">
      <c r="G4796" t="s">
        <v>4812</v>
      </c>
      <c r="H4796" s="23">
        <v>77900</v>
      </c>
    </row>
    <row r="4797" spans="7:8" x14ac:dyDescent="0.35">
      <c r="G4797" t="s">
        <v>4813</v>
      </c>
      <c r="H4797" s="23">
        <v>80800</v>
      </c>
    </row>
    <row r="4798" spans="7:8" x14ac:dyDescent="0.35">
      <c r="G4798" t="s">
        <v>4814</v>
      </c>
      <c r="H4798" s="23">
        <v>72000</v>
      </c>
    </row>
    <row r="4799" spans="7:8" x14ac:dyDescent="0.35">
      <c r="G4799" t="s">
        <v>4815</v>
      </c>
      <c r="H4799" s="23">
        <v>85200</v>
      </c>
    </row>
    <row r="4800" spans="7:8" x14ac:dyDescent="0.35">
      <c r="G4800" t="s">
        <v>4816</v>
      </c>
      <c r="H4800" s="23">
        <v>56200</v>
      </c>
    </row>
    <row r="4801" spans="7:8" x14ac:dyDescent="0.35">
      <c r="G4801" t="s">
        <v>4817</v>
      </c>
      <c r="H4801" s="23">
        <v>61700</v>
      </c>
    </row>
    <row r="4802" spans="7:8" x14ac:dyDescent="0.35">
      <c r="G4802" t="s">
        <v>4818</v>
      </c>
      <c r="H4802" s="23">
        <v>63300</v>
      </c>
    </row>
    <row r="4803" spans="7:8" x14ac:dyDescent="0.35">
      <c r="G4803" t="s">
        <v>4819</v>
      </c>
      <c r="H4803" s="23">
        <v>91100</v>
      </c>
    </row>
    <row r="4804" spans="7:8" x14ac:dyDescent="0.35">
      <c r="G4804" t="s">
        <v>4820</v>
      </c>
      <c r="H4804" s="23">
        <v>60100</v>
      </c>
    </row>
    <row r="4805" spans="7:8" x14ac:dyDescent="0.35">
      <c r="G4805" t="s">
        <v>4821</v>
      </c>
      <c r="H4805" s="23">
        <v>100300</v>
      </c>
    </row>
    <row r="4806" spans="7:8" x14ac:dyDescent="0.35">
      <c r="G4806" t="s">
        <v>4822</v>
      </c>
      <c r="H4806" s="23">
        <v>81800</v>
      </c>
    </row>
    <row r="4807" spans="7:8" x14ac:dyDescent="0.35">
      <c r="G4807" t="s">
        <v>4823</v>
      </c>
      <c r="H4807" s="23">
        <v>75800</v>
      </c>
    </row>
    <row r="4808" spans="7:8" x14ac:dyDescent="0.35">
      <c r="G4808" t="s">
        <v>4824</v>
      </c>
      <c r="H4808" s="23">
        <v>126400</v>
      </c>
    </row>
    <row r="4809" spans="7:8" x14ac:dyDescent="0.35">
      <c r="G4809" t="s">
        <v>4825</v>
      </c>
      <c r="H4809" s="23">
        <v>76600</v>
      </c>
    </row>
    <row r="4810" spans="7:8" x14ac:dyDescent="0.35">
      <c r="G4810" t="s">
        <v>4826</v>
      </c>
      <c r="H4810" s="23">
        <v>68900</v>
      </c>
    </row>
    <row r="4811" spans="7:8" x14ac:dyDescent="0.35">
      <c r="G4811" t="s">
        <v>4827</v>
      </c>
      <c r="H4811" s="23">
        <v>88200</v>
      </c>
    </row>
    <row r="4812" spans="7:8" x14ac:dyDescent="0.35">
      <c r="G4812" t="s">
        <v>4828</v>
      </c>
      <c r="H4812" s="23">
        <v>118400</v>
      </c>
    </row>
    <row r="4813" spans="7:8" x14ac:dyDescent="0.35">
      <c r="G4813" t="s">
        <v>4829</v>
      </c>
      <c r="H4813" s="23">
        <v>99400</v>
      </c>
    </row>
    <row r="4814" spans="7:8" x14ac:dyDescent="0.35">
      <c r="G4814" t="s">
        <v>4830</v>
      </c>
      <c r="H4814" s="23">
        <v>69900</v>
      </c>
    </row>
    <row r="4815" spans="7:8" x14ac:dyDescent="0.35">
      <c r="G4815" t="s">
        <v>4831</v>
      </c>
      <c r="H4815" s="23">
        <v>59100</v>
      </c>
    </row>
    <row r="4816" spans="7:8" x14ac:dyDescent="0.35">
      <c r="G4816" t="s">
        <v>4832</v>
      </c>
      <c r="H4816" s="23">
        <v>74700</v>
      </c>
    </row>
    <row r="4817" spans="7:8" x14ac:dyDescent="0.35">
      <c r="G4817" t="s">
        <v>4833</v>
      </c>
      <c r="H4817" s="23">
        <v>110000</v>
      </c>
    </row>
    <row r="4818" spans="7:8" x14ac:dyDescent="0.35">
      <c r="G4818" t="s">
        <v>4834</v>
      </c>
      <c r="H4818" s="23">
        <v>83000</v>
      </c>
    </row>
    <row r="4819" spans="7:8" x14ac:dyDescent="0.35">
      <c r="G4819" t="s">
        <v>4835</v>
      </c>
      <c r="H4819" s="23">
        <v>59900</v>
      </c>
    </row>
    <row r="4820" spans="7:8" x14ac:dyDescent="0.35">
      <c r="G4820" t="s">
        <v>4836</v>
      </c>
      <c r="H4820" s="23">
        <v>56600</v>
      </c>
    </row>
    <row r="4821" spans="7:8" x14ac:dyDescent="0.35">
      <c r="G4821" t="s">
        <v>4837</v>
      </c>
      <c r="H4821" s="23">
        <v>105800</v>
      </c>
    </row>
    <row r="4822" spans="7:8" x14ac:dyDescent="0.35">
      <c r="G4822" t="s">
        <v>4838</v>
      </c>
      <c r="H4822" s="23">
        <v>54900</v>
      </c>
    </row>
    <row r="4823" spans="7:8" x14ac:dyDescent="0.35">
      <c r="G4823" t="s">
        <v>4839</v>
      </c>
      <c r="H4823" s="23">
        <v>64500</v>
      </c>
    </row>
    <row r="4824" spans="7:8" x14ac:dyDescent="0.35">
      <c r="G4824" t="s">
        <v>4840</v>
      </c>
      <c r="H4824" s="23">
        <v>80100</v>
      </c>
    </row>
    <row r="4825" spans="7:8" x14ac:dyDescent="0.35">
      <c r="G4825" t="s">
        <v>4841</v>
      </c>
      <c r="H4825" s="23">
        <v>105400</v>
      </c>
    </row>
    <row r="4826" spans="7:8" x14ac:dyDescent="0.35">
      <c r="G4826" t="s">
        <v>4842</v>
      </c>
      <c r="H4826" s="23">
        <v>117600</v>
      </c>
    </row>
    <row r="4827" spans="7:8" x14ac:dyDescent="0.35">
      <c r="G4827" t="s">
        <v>4843</v>
      </c>
      <c r="H4827" s="23">
        <v>111400</v>
      </c>
    </row>
    <row r="4828" spans="7:8" x14ac:dyDescent="0.35">
      <c r="G4828" t="s">
        <v>4844</v>
      </c>
      <c r="H4828" s="23">
        <v>69400</v>
      </c>
    </row>
    <row r="4829" spans="7:8" x14ac:dyDescent="0.35">
      <c r="G4829" t="s">
        <v>4845</v>
      </c>
      <c r="H4829" s="23">
        <v>46900</v>
      </c>
    </row>
    <row r="4830" spans="7:8" x14ac:dyDescent="0.35">
      <c r="G4830" t="s">
        <v>4846</v>
      </c>
      <c r="H4830" s="23">
        <v>76700</v>
      </c>
    </row>
    <row r="4831" spans="7:8" x14ac:dyDescent="0.35">
      <c r="G4831" t="s">
        <v>4847</v>
      </c>
      <c r="H4831" s="23">
        <v>63200</v>
      </c>
    </row>
    <row r="4832" spans="7:8" x14ac:dyDescent="0.35">
      <c r="G4832" t="s">
        <v>4848</v>
      </c>
      <c r="H4832" s="23">
        <v>53400</v>
      </c>
    </row>
    <row r="4833" spans="7:8" x14ac:dyDescent="0.35">
      <c r="G4833" t="s">
        <v>4849</v>
      </c>
      <c r="H4833" s="23">
        <v>94500</v>
      </c>
    </row>
    <row r="4834" spans="7:8" x14ac:dyDescent="0.35">
      <c r="G4834" t="s">
        <v>4850</v>
      </c>
      <c r="H4834" s="23">
        <v>116900</v>
      </c>
    </row>
    <row r="4835" spans="7:8" x14ac:dyDescent="0.35">
      <c r="G4835" t="s">
        <v>4851</v>
      </c>
      <c r="H4835" s="23">
        <v>92600</v>
      </c>
    </row>
    <row r="4836" spans="7:8" x14ac:dyDescent="0.35">
      <c r="G4836" t="s">
        <v>4852</v>
      </c>
      <c r="H4836" s="23">
        <v>48400</v>
      </c>
    </row>
    <row r="4837" spans="7:8" x14ac:dyDescent="0.35">
      <c r="G4837" t="s">
        <v>4853</v>
      </c>
      <c r="H4837" s="23">
        <v>61300</v>
      </c>
    </row>
    <row r="4838" spans="7:8" x14ac:dyDescent="0.35">
      <c r="G4838" t="s">
        <v>4854</v>
      </c>
      <c r="H4838" s="23">
        <v>53800</v>
      </c>
    </row>
    <row r="4839" spans="7:8" x14ac:dyDescent="0.35">
      <c r="G4839" t="s">
        <v>4855</v>
      </c>
      <c r="H4839" s="23">
        <v>86100</v>
      </c>
    </row>
    <row r="4840" spans="7:8" x14ac:dyDescent="0.35">
      <c r="G4840" t="s">
        <v>4856</v>
      </c>
      <c r="H4840" s="23">
        <v>107900</v>
      </c>
    </row>
    <row r="4841" spans="7:8" x14ac:dyDescent="0.35">
      <c r="G4841" t="s">
        <v>4857</v>
      </c>
      <c r="H4841" s="23">
        <v>95200</v>
      </c>
    </row>
    <row r="4842" spans="7:8" x14ac:dyDescent="0.35">
      <c r="G4842" t="s">
        <v>4858</v>
      </c>
      <c r="H4842" s="23">
        <v>100100</v>
      </c>
    </row>
    <row r="4843" spans="7:8" x14ac:dyDescent="0.35">
      <c r="G4843" t="s">
        <v>4859</v>
      </c>
      <c r="H4843" s="23">
        <v>70600</v>
      </c>
    </row>
    <row r="4844" spans="7:8" x14ac:dyDescent="0.35">
      <c r="G4844" t="s">
        <v>4860</v>
      </c>
      <c r="H4844" s="23">
        <v>77300</v>
      </c>
    </row>
    <row r="4845" spans="7:8" x14ac:dyDescent="0.35">
      <c r="G4845" t="s">
        <v>4861</v>
      </c>
      <c r="H4845" s="23">
        <v>78000</v>
      </c>
    </row>
    <row r="4846" spans="7:8" x14ac:dyDescent="0.35">
      <c r="G4846" t="s">
        <v>4862</v>
      </c>
      <c r="H4846" s="23">
        <v>67300</v>
      </c>
    </row>
    <row r="4847" spans="7:8" x14ac:dyDescent="0.35">
      <c r="G4847" t="s">
        <v>4863</v>
      </c>
      <c r="H4847" s="23">
        <v>73500</v>
      </c>
    </row>
    <row r="4848" spans="7:8" x14ac:dyDescent="0.35">
      <c r="G4848" t="s">
        <v>4864</v>
      </c>
      <c r="H4848" s="23">
        <v>74700</v>
      </c>
    </row>
    <row r="4849" spans="7:8" x14ac:dyDescent="0.35">
      <c r="G4849" t="s">
        <v>4865</v>
      </c>
      <c r="H4849" s="23">
        <v>66000</v>
      </c>
    </row>
    <row r="4850" spans="7:8" x14ac:dyDescent="0.35">
      <c r="G4850" t="s">
        <v>4866</v>
      </c>
      <c r="H4850" s="23">
        <v>115800</v>
      </c>
    </row>
    <row r="4851" spans="7:8" x14ac:dyDescent="0.35">
      <c r="G4851" t="s">
        <v>4867</v>
      </c>
      <c r="H4851" s="23">
        <v>61100</v>
      </c>
    </row>
    <row r="4852" spans="7:8" x14ac:dyDescent="0.35">
      <c r="G4852" t="s">
        <v>4868</v>
      </c>
      <c r="H4852" s="23">
        <v>83800</v>
      </c>
    </row>
    <row r="4853" spans="7:8" x14ac:dyDescent="0.35">
      <c r="G4853" t="s">
        <v>4869</v>
      </c>
      <c r="H4853" s="23">
        <v>85700</v>
      </c>
    </row>
    <row r="4854" spans="7:8" x14ac:dyDescent="0.35">
      <c r="G4854" t="s">
        <v>4870</v>
      </c>
      <c r="H4854" s="23">
        <v>88900</v>
      </c>
    </row>
    <row r="4855" spans="7:8" x14ac:dyDescent="0.35">
      <c r="G4855" t="s">
        <v>4871</v>
      </c>
      <c r="H4855" s="23">
        <v>105500</v>
      </c>
    </row>
    <row r="4856" spans="7:8" x14ac:dyDescent="0.35">
      <c r="G4856" t="s">
        <v>4872</v>
      </c>
      <c r="H4856" s="23">
        <v>86100</v>
      </c>
    </row>
    <row r="4857" spans="7:8" x14ac:dyDescent="0.35">
      <c r="G4857" t="s">
        <v>4873</v>
      </c>
      <c r="H4857" s="23">
        <v>78200</v>
      </c>
    </row>
    <row r="4858" spans="7:8" x14ac:dyDescent="0.35">
      <c r="G4858" t="s">
        <v>4874</v>
      </c>
      <c r="H4858" s="23">
        <v>113700</v>
      </c>
    </row>
    <row r="4859" spans="7:8" x14ac:dyDescent="0.35">
      <c r="G4859" t="s">
        <v>4875</v>
      </c>
      <c r="H4859" s="23">
        <v>60200</v>
      </c>
    </row>
    <row r="4860" spans="7:8" x14ac:dyDescent="0.35">
      <c r="G4860" t="s">
        <v>4876</v>
      </c>
      <c r="H4860" s="23">
        <v>106200</v>
      </c>
    </row>
    <row r="4861" spans="7:8" x14ac:dyDescent="0.35">
      <c r="G4861" t="s">
        <v>4877</v>
      </c>
      <c r="H4861" s="23">
        <v>65100</v>
      </c>
    </row>
    <row r="4862" spans="7:8" x14ac:dyDescent="0.35">
      <c r="G4862" t="s">
        <v>4878</v>
      </c>
      <c r="H4862" s="23">
        <v>100100</v>
      </c>
    </row>
    <row r="4863" spans="7:8" x14ac:dyDescent="0.35">
      <c r="G4863" t="s">
        <v>4879</v>
      </c>
      <c r="H4863" s="23">
        <v>86300</v>
      </c>
    </row>
    <row r="4864" spans="7:8" x14ac:dyDescent="0.35">
      <c r="G4864" t="s">
        <v>4880</v>
      </c>
      <c r="H4864" s="23">
        <v>64400</v>
      </c>
    </row>
    <row r="4865" spans="7:8" x14ac:dyDescent="0.35">
      <c r="G4865" t="s">
        <v>4881</v>
      </c>
      <c r="H4865" s="23">
        <v>55700</v>
      </c>
    </row>
    <row r="4866" spans="7:8" x14ac:dyDescent="0.35">
      <c r="G4866" t="s">
        <v>4882</v>
      </c>
      <c r="H4866" s="23">
        <v>97600</v>
      </c>
    </row>
    <row r="4867" spans="7:8" x14ac:dyDescent="0.35">
      <c r="G4867" t="s">
        <v>4883</v>
      </c>
      <c r="H4867" s="23">
        <v>68900</v>
      </c>
    </row>
    <row r="4868" spans="7:8" x14ac:dyDescent="0.35">
      <c r="G4868" t="s">
        <v>4884</v>
      </c>
      <c r="H4868" s="23">
        <v>65300</v>
      </c>
    </row>
    <row r="4869" spans="7:8" x14ac:dyDescent="0.35">
      <c r="G4869" t="s">
        <v>4885</v>
      </c>
      <c r="H4869" s="23">
        <v>80000</v>
      </c>
    </row>
    <row r="4870" spans="7:8" x14ac:dyDescent="0.35">
      <c r="G4870" t="s">
        <v>4886</v>
      </c>
      <c r="H4870" s="23">
        <v>55700</v>
      </c>
    </row>
    <row r="4871" spans="7:8" x14ac:dyDescent="0.35">
      <c r="G4871" t="s">
        <v>4887</v>
      </c>
      <c r="H4871" s="23">
        <v>82500</v>
      </c>
    </row>
    <row r="4872" spans="7:8" x14ac:dyDescent="0.35">
      <c r="G4872" t="s">
        <v>4888</v>
      </c>
      <c r="H4872" s="23">
        <v>75800</v>
      </c>
    </row>
    <row r="4873" spans="7:8" x14ac:dyDescent="0.35">
      <c r="G4873" t="s">
        <v>4889</v>
      </c>
      <c r="H4873" s="23">
        <v>134600</v>
      </c>
    </row>
    <row r="4874" spans="7:8" x14ac:dyDescent="0.35">
      <c r="G4874" t="s">
        <v>4890</v>
      </c>
      <c r="H4874" s="23">
        <v>114500</v>
      </c>
    </row>
    <row r="4875" spans="7:8" x14ac:dyDescent="0.35">
      <c r="G4875" t="s">
        <v>4891</v>
      </c>
      <c r="H4875" s="23">
        <v>85300</v>
      </c>
    </row>
    <row r="4876" spans="7:8" x14ac:dyDescent="0.35">
      <c r="G4876" t="s">
        <v>4892</v>
      </c>
      <c r="H4876" s="23">
        <v>76400</v>
      </c>
    </row>
    <row r="4877" spans="7:8" x14ac:dyDescent="0.35">
      <c r="G4877" t="s">
        <v>4893</v>
      </c>
      <c r="H4877" s="23">
        <v>90300</v>
      </c>
    </row>
    <row r="4878" spans="7:8" x14ac:dyDescent="0.35">
      <c r="G4878" t="s">
        <v>4894</v>
      </c>
      <c r="H4878" s="23">
        <v>116000</v>
      </c>
    </row>
    <row r="4879" spans="7:8" x14ac:dyDescent="0.35">
      <c r="G4879" t="s">
        <v>4895</v>
      </c>
      <c r="H4879" s="23">
        <v>107700</v>
      </c>
    </row>
    <row r="4880" spans="7:8" x14ac:dyDescent="0.35">
      <c r="G4880" t="s">
        <v>4896</v>
      </c>
      <c r="H4880" s="23">
        <v>56600</v>
      </c>
    </row>
    <row r="4881" spans="7:8" x14ac:dyDescent="0.35">
      <c r="G4881" t="s">
        <v>4897</v>
      </c>
      <c r="H4881" s="23">
        <v>86600</v>
      </c>
    </row>
    <row r="4882" spans="7:8" x14ac:dyDescent="0.35">
      <c r="G4882" t="s">
        <v>4898</v>
      </c>
      <c r="H4882" s="23">
        <v>102700</v>
      </c>
    </row>
    <row r="4883" spans="7:8" x14ac:dyDescent="0.35">
      <c r="G4883" t="s">
        <v>4899</v>
      </c>
      <c r="H4883" s="23">
        <v>80100</v>
      </c>
    </row>
    <row r="4884" spans="7:8" x14ac:dyDescent="0.35">
      <c r="G4884" t="s">
        <v>4900</v>
      </c>
      <c r="H4884" s="23">
        <v>69400</v>
      </c>
    </row>
    <row r="4885" spans="7:8" x14ac:dyDescent="0.35">
      <c r="G4885" t="s">
        <v>4901</v>
      </c>
      <c r="H4885" s="23">
        <v>90200</v>
      </c>
    </row>
    <row r="4886" spans="7:8" x14ac:dyDescent="0.35">
      <c r="G4886" t="s">
        <v>4902</v>
      </c>
      <c r="H4886" s="23">
        <v>130000</v>
      </c>
    </row>
    <row r="4887" spans="7:8" x14ac:dyDescent="0.35">
      <c r="G4887" t="s">
        <v>4903</v>
      </c>
      <c r="H4887" s="23">
        <v>67500</v>
      </c>
    </row>
    <row r="4888" spans="7:8" x14ac:dyDescent="0.35">
      <c r="G4888" t="s">
        <v>4904</v>
      </c>
      <c r="H4888" s="23">
        <v>60000</v>
      </c>
    </row>
    <row r="4889" spans="7:8" x14ac:dyDescent="0.35">
      <c r="G4889" t="s">
        <v>4905</v>
      </c>
      <c r="H4889" s="23">
        <v>95500</v>
      </c>
    </row>
    <row r="4890" spans="7:8" x14ac:dyDescent="0.35">
      <c r="G4890" t="s">
        <v>4906</v>
      </c>
      <c r="H4890" s="23">
        <v>43500</v>
      </c>
    </row>
    <row r="4891" spans="7:8" x14ac:dyDescent="0.35">
      <c r="G4891" t="s">
        <v>4907</v>
      </c>
      <c r="H4891" s="23">
        <v>104600</v>
      </c>
    </row>
    <row r="4892" spans="7:8" x14ac:dyDescent="0.35">
      <c r="G4892" t="s">
        <v>4908</v>
      </c>
      <c r="H4892" s="23">
        <v>117200</v>
      </c>
    </row>
    <row r="4893" spans="7:8" x14ac:dyDescent="0.35">
      <c r="G4893" t="s">
        <v>4909</v>
      </c>
      <c r="H4893" s="23">
        <v>99400</v>
      </c>
    </row>
    <row r="4894" spans="7:8" x14ac:dyDescent="0.35">
      <c r="G4894" t="s">
        <v>4910</v>
      </c>
      <c r="H4894" s="23">
        <v>74100</v>
      </c>
    </row>
    <row r="4895" spans="7:8" x14ac:dyDescent="0.35">
      <c r="G4895" t="s">
        <v>4911</v>
      </c>
      <c r="H4895" s="23">
        <v>98300</v>
      </c>
    </row>
    <row r="4896" spans="7:8" x14ac:dyDescent="0.35">
      <c r="G4896" t="s">
        <v>4912</v>
      </c>
      <c r="H4896" s="23">
        <v>114200</v>
      </c>
    </row>
    <row r="4897" spans="7:8" x14ac:dyDescent="0.35">
      <c r="G4897" t="s">
        <v>4913</v>
      </c>
      <c r="H4897" s="23">
        <v>88900</v>
      </c>
    </row>
    <row r="4898" spans="7:8" x14ac:dyDescent="0.35">
      <c r="G4898" t="s">
        <v>4914</v>
      </c>
      <c r="H4898" s="23">
        <v>67200</v>
      </c>
    </row>
    <row r="4899" spans="7:8" x14ac:dyDescent="0.35">
      <c r="G4899" t="s">
        <v>4915</v>
      </c>
      <c r="H4899" s="23">
        <v>48300</v>
      </c>
    </row>
    <row r="4900" spans="7:8" x14ac:dyDescent="0.35">
      <c r="G4900" t="s">
        <v>4916</v>
      </c>
      <c r="H4900" s="23">
        <v>61100</v>
      </c>
    </row>
    <row r="4901" spans="7:8" x14ac:dyDescent="0.35">
      <c r="G4901" t="s">
        <v>4917</v>
      </c>
      <c r="H4901" s="23">
        <v>54600</v>
      </c>
    </row>
    <row r="4902" spans="7:8" x14ac:dyDescent="0.35">
      <c r="G4902" t="s">
        <v>4918</v>
      </c>
      <c r="H4902" s="23">
        <v>81800</v>
      </c>
    </row>
    <row r="4903" spans="7:8" x14ac:dyDescent="0.35">
      <c r="G4903" t="s">
        <v>4919</v>
      </c>
      <c r="H4903" s="23">
        <v>83800</v>
      </c>
    </row>
    <row r="4904" spans="7:8" x14ac:dyDescent="0.35">
      <c r="G4904" t="s">
        <v>4920</v>
      </c>
      <c r="H4904" s="23">
        <v>114400</v>
      </c>
    </row>
    <row r="4905" spans="7:8" x14ac:dyDescent="0.35">
      <c r="G4905" t="s">
        <v>4921</v>
      </c>
      <c r="H4905" s="23">
        <v>96800</v>
      </c>
    </row>
    <row r="4906" spans="7:8" x14ac:dyDescent="0.35">
      <c r="G4906" t="s">
        <v>4922</v>
      </c>
      <c r="H4906" s="23">
        <v>58800</v>
      </c>
    </row>
    <row r="4907" spans="7:8" x14ac:dyDescent="0.35">
      <c r="G4907" t="s">
        <v>4923</v>
      </c>
      <c r="H4907" s="23">
        <v>65900</v>
      </c>
    </row>
    <row r="4908" spans="7:8" x14ac:dyDescent="0.35">
      <c r="G4908" t="s">
        <v>4924</v>
      </c>
      <c r="H4908" s="23">
        <v>98600</v>
      </c>
    </row>
    <row r="4909" spans="7:8" x14ac:dyDescent="0.35">
      <c r="G4909" t="s">
        <v>4925</v>
      </c>
      <c r="H4909" s="23">
        <v>51600</v>
      </c>
    </row>
    <row r="4910" spans="7:8" x14ac:dyDescent="0.35">
      <c r="G4910" t="s">
        <v>4926</v>
      </c>
      <c r="H4910" s="23">
        <v>100500</v>
      </c>
    </row>
    <row r="4911" spans="7:8" x14ac:dyDescent="0.35">
      <c r="G4911" t="s">
        <v>4927</v>
      </c>
      <c r="H4911" s="23">
        <v>84300</v>
      </c>
    </row>
    <row r="4912" spans="7:8" x14ac:dyDescent="0.35">
      <c r="G4912" t="s">
        <v>4928</v>
      </c>
      <c r="H4912" s="23">
        <v>79400</v>
      </c>
    </row>
    <row r="4913" spans="7:8" x14ac:dyDescent="0.35">
      <c r="G4913" t="s">
        <v>4929</v>
      </c>
      <c r="H4913" s="23">
        <v>52000</v>
      </c>
    </row>
    <row r="4914" spans="7:8" x14ac:dyDescent="0.35">
      <c r="G4914" t="s">
        <v>4930</v>
      </c>
      <c r="H4914" s="23">
        <v>79200</v>
      </c>
    </row>
    <row r="4915" spans="7:8" x14ac:dyDescent="0.35">
      <c r="G4915" t="s">
        <v>4931</v>
      </c>
      <c r="H4915" s="23">
        <v>105300</v>
      </c>
    </row>
    <row r="4916" spans="7:8" x14ac:dyDescent="0.35">
      <c r="G4916" t="s">
        <v>4932</v>
      </c>
      <c r="H4916" s="23">
        <v>87800</v>
      </c>
    </row>
    <row r="4917" spans="7:8" x14ac:dyDescent="0.35">
      <c r="G4917" t="s">
        <v>4933</v>
      </c>
      <c r="H4917" s="23">
        <v>72800</v>
      </c>
    </row>
    <row r="4918" spans="7:8" x14ac:dyDescent="0.35">
      <c r="G4918" t="s">
        <v>4934</v>
      </c>
      <c r="H4918" s="23">
        <v>104800</v>
      </c>
    </row>
    <row r="4919" spans="7:8" x14ac:dyDescent="0.35">
      <c r="G4919" t="s">
        <v>4935</v>
      </c>
      <c r="H4919" s="23">
        <v>129900</v>
      </c>
    </row>
    <row r="4920" spans="7:8" x14ac:dyDescent="0.35">
      <c r="G4920" t="s">
        <v>4936</v>
      </c>
      <c r="H4920" s="23">
        <v>108600</v>
      </c>
    </row>
    <row r="4921" spans="7:8" x14ac:dyDescent="0.35">
      <c r="G4921" t="s">
        <v>4937</v>
      </c>
      <c r="H4921" s="23">
        <v>89700</v>
      </c>
    </row>
    <row r="4922" spans="7:8" x14ac:dyDescent="0.35">
      <c r="G4922" t="s">
        <v>4938</v>
      </c>
      <c r="H4922" s="23">
        <v>46800</v>
      </c>
    </row>
    <row r="4923" spans="7:8" x14ac:dyDescent="0.35">
      <c r="G4923" t="s">
        <v>4939</v>
      </c>
      <c r="H4923" s="23">
        <v>57900</v>
      </c>
    </row>
    <row r="4924" spans="7:8" x14ac:dyDescent="0.35">
      <c r="G4924" t="s">
        <v>4940</v>
      </c>
      <c r="H4924" s="23">
        <v>99700</v>
      </c>
    </row>
    <row r="4925" spans="7:8" x14ac:dyDescent="0.35">
      <c r="G4925" t="s">
        <v>4941</v>
      </c>
      <c r="H4925" s="23">
        <v>68800</v>
      </c>
    </row>
    <row r="4926" spans="7:8" x14ac:dyDescent="0.35">
      <c r="G4926" t="s">
        <v>4942</v>
      </c>
      <c r="H4926" s="23">
        <v>70100</v>
      </c>
    </row>
    <row r="4927" spans="7:8" x14ac:dyDescent="0.35">
      <c r="G4927" t="s">
        <v>4943</v>
      </c>
      <c r="H4927" s="23">
        <v>64400</v>
      </c>
    </row>
    <row r="4928" spans="7:8" x14ac:dyDescent="0.35">
      <c r="G4928" t="s">
        <v>4944</v>
      </c>
      <c r="H4928" s="23">
        <v>113800</v>
      </c>
    </row>
    <row r="4929" spans="7:8" x14ac:dyDescent="0.35">
      <c r="G4929" t="s">
        <v>4945</v>
      </c>
      <c r="H4929" s="23">
        <v>46100</v>
      </c>
    </row>
    <row r="4930" spans="7:8" x14ac:dyDescent="0.35">
      <c r="G4930" t="s">
        <v>4946</v>
      </c>
      <c r="H4930" s="23">
        <v>114000</v>
      </c>
    </row>
    <row r="4931" spans="7:8" x14ac:dyDescent="0.35">
      <c r="G4931" t="s">
        <v>4947</v>
      </c>
      <c r="H4931" s="23">
        <v>110900</v>
      </c>
    </row>
    <row r="4932" spans="7:8" x14ac:dyDescent="0.35">
      <c r="G4932" t="s">
        <v>4948</v>
      </c>
      <c r="H4932" s="23">
        <v>94700</v>
      </c>
    </row>
    <row r="4933" spans="7:8" x14ac:dyDescent="0.35">
      <c r="G4933" t="s">
        <v>4949</v>
      </c>
      <c r="H4933" s="23">
        <v>59300</v>
      </c>
    </row>
    <row r="4934" spans="7:8" x14ac:dyDescent="0.35">
      <c r="G4934" t="s">
        <v>4950</v>
      </c>
      <c r="H4934" s="23">
        <v>102900</v>
      </c>
    </row>
    <row r="4935" spans="7:8" x14ac:dyDescent="0.35">
      <c r="G4935" t="s">
        <v>4951</v>
      </c>
      <c r="H4935" s="23">
        <v>84700</v>
      </c>
    </row>
    <row r="4936" spans="7:8" x14ac:dyDescent="0.35">
      <c r="G4936" t="s">
        <v>4952</v>
      </c>
      <c r="H4936" s="23">
        <v>55300</v>
      </c>
    </row>
    <row r="4937" spans="7:8" x14ac:dyDescent="0.35">
      <c r="G4937" t="s">
        <v>4953</v>
      </c>
      <c r="H4937" s="23">
        <v>66000</v>
      </c>
    </row>
    <row r="4938" spans="7:8" x14ac:dyDescent="0.35">
      <c r="G4938" t="s">
        <v>4954</v>
      </c>
      <c r="H4938" s="23">
        <v>60500</v>
      </c>
    </row>
    <row r="4939" spans="7:8" x14ac:dyDescent="0.35">
      <c r="G4939" t="s">
        <v>4955</v>
      </c>
      <c r="H4939" s="23">
        <v>99800</v>
      </c>
    </row>
    <row r="4940" spans="7:8" x14ac:dyDescent="0.35">
      <c r="G4940" t="s">
        <v>4956</v>
      </c>
      <c r="H4940" s="23">
        <v>77000</v>
      </c>
    </row>
    <row r="4941" spans="7:8" x14ac:dyDescent="0.35">
      <c r="G4941" t="s">
        <v>4957</v>
      </c>
      <c r="H4941" s="23">
        <v>57500</v>
      </c>
    </row>
    <row r="4942" spans="7:8" x14ac:dyDescent="0.35">
      <c r="G4942" t="s">
        <v>4958</v>
      </c>
      <c r="H4942" s="23">
        <v>85100</v>
      </c>
    </row>
    <row r="4943" spans="7:8" x14ac:dyDescent="0.35">
      <c r="G4943" t="s">
        <v>4959</v>
      </c>
      <c r="H4943" s="23">
        <v>102100</v>
      </c>
    </row>
    <row r="4944" spans="7:8" x14ac:dyDescent="0.35">
      <c r="G4944" t="s">
        <v>4960</v>
      </c>
      <c r="H4944" s="23">
        <v>91000</v>
      </c>
    </row>
    <row r="4945" spans="7:8" x14ac:dyDescent="0.35">
      <c r="G4945" t="s">
        <v>4961</v>
      </c>
      <c r="H4945" s="23">
        <v>69400</v>
      </c>
    </row>
    <row r="4946" spans="7:8" x14ac:dyDescent="0.35">
      <c r="G4946" t="s">
        <v>4962</v>
      </c>
      <c r="H4946" s="23">
        <v>45600</v>
      </c>
    </row>
    <row r="4947" spans="7:8" x14ac:dyDescent="0.35">
      <c r="G4947" t="s">
        <v>4963</v>
      </c>
      <c r="H4947" s="23">
        <v>90200</v>
      </c>
    </row>
    <row r="4948" spans="7:8" x14ac:dyDescent="0.35">
      <c r="G4948" t="s">
        <v>4964</v>
      </c>
      <c r="H4948" s="23">
        <v>109200</v>
      </c>
    </row>
    <row r="4949" spans="7:8" x14ac:dyDescent="0.35">
      <c r="G4949" t="s">
        <v>4965</v>
      </c>
      <c r="H4949" s="23">
        <v>71400</v>
      </c>
    </row>
    <row r="4950" spans="7:8" x14ac:dyDescent="0.35">
      <c r="G4950" t="s">
        <v>4966</v>
      </c>
      <c r="H4950" s="23">
        <v>64900</v>
      </c>
    </row>
    <row r="4951" spans="7:8" x14ac:dyDescent="0.35">
      <c r="G4951" t="s">
        <v>4967</v>
      </c>
      <c r="H4951" s="23">
        <v>100600</v>
      </c>
    </row>
    <row r="4952" spans="7:8" x14ac:dyDescent="0.35">
      <c r="G4952" t="s">
        <v>4968</v>
      </c>
      <c r="H4952" s="23">
        <v>65200</v>
      </c>
    </row>
    <row r="4953" spans="7:8" x14ac:dyDescent="0.35">
      <c r="G4953" t="s">
        <v>4969</v>
      </c>
      <c r="H4953" s="23">
        <v>70400</v>
      </c>
    </row>
    <row r="4954" spans="7:8" x14ac:dyDescent="0.35">
      <c r="G4954" t="s">
        <v>4970</v>
      </c>
      <c r="H4954" s="23">
        <v>79800</v>
      </c>
    </row>
    <row r="4955" spans="7:8" x14ac:dyDescent="0.35">
      <c r="G4955" t="s">
        <v>4971</v>
      </c>
      <c r="H4955" s="23">
        <v>107800</v>
      </c>
    </row>
    <row r="4956" spans="7:8" x14ac:dyDescent="0.35">
      <c r="G4956" t="s">
        <v>4972</v>
      </c>
      <c r="H4956" s="23">
        <v>109100</v>
      </c>
    </row>
    <row r="4957" spans="7:8" x14ac:dyDescent="0.35">
      <c r="G4957" t="s">
        <v>4973</v>
      </c>
      <c r="H4957" s="23">
        <v>109300</v>
      </c>
    </row>
    <row r="4958" spans="7:8" x14ac:dyDescent="0.35">
      <c r="G4958" t="s">
        <v>4974</v>
      </c>
      <c r="H4958" s="23">
        <v>79000</v>
      </c>
    </row>
    <row r="4959" spans="7:8" x14ac:dyDescent="0.35">
      <c r="G4959" t="s">
        <v>4975</v>
      </c>
      <c r="H4959" s="23">
        <v>104800</v>
      </c>
    </row>
    <row r="4960" spans="7:8" x14ac:dyDescent="0.35">
      <c r="G4960" t="s">
        <v>4976</v>
      </c>
      <c r="H4960" s="23">
        <v>93100</v>
      </c>
    </row>
    <row r="4961" spans="7:8" x14ac:dyDescent="0.35">
      <c r="G4961" t="s">
        <v>4977</v>
      </c>
      <c r="H4961" s="23">
        <v>68100</v>
      </c>
    </row>
    <row r="4962" spans="7:8" x14ac:dyDescent="0.35">
      <c r="G4962" t="s">
        <v>4978</v>
      </c>
      <c r="H4962" s="23">
        <v>101000</v>
      </c>
    </row>
    <row r="4963" spans="7:8" x14ac:dyDescent="0.35">
      <c r="G4963" t="s">
        <v>4979</v>
      </c>
      <c r="H4963" s="23">
        <v>75300</v>
      </c>
    </row>
    <row r="4964" spans="7:8" x14ac:dyDescent="0.35">
      <c r="G4964" t="s">
        <v>4980</v>
      </c>
      <c r="H4964" s="23">
        <v>53400</v>
      </c>
    </row>
    <row r="4965" spans="7:8" x14ac:dyDescent="0.35">
      <c r="G4965" t="s">
        <v>4981</v>
      </c>
      <c r="H4965" s="23">
        <v>66100</v>
      </c>
    </row>
    <row r="4966" spans="7:8" x14ac:dyDescent="0.35">
      <c r="G4966" t="s">
        <v>4982</v>
      </c>
      <c r="H4966" s="23">
        <v>53200</v>
      </c>
    </row>
    <row r="4967" spans="7:8" x14ac:dyDescent="0.35">
      <c r="G4967" t="s">
        <v>4983</v>
      </c>
      <c r="H4967" s="23">
        <v>94500</v>
      </c>
    </row>
    <row r="4968" spans="7:8" x14ac:dyDescent="0.35">
      <c r="G4968" t="s">
        <v>4984</v>
      </c>
      <c r="H4968" s="23">
        <v>68600</v>
      </c>
    </row>
    <row r="4969" spans="7:8" x14ac:dyDescent="0.35">
      <c r="G4969" t="s">
        <v>4985</v>
      </c>
      <c r="H4969" s="23">
        <v>49700</v>
      </c>
    </row>
    <row r="4970" spans="7:8" x14ac:dyDescent="0.35">
      <c r="G4970" t="s">
        <v>4986</v>
      </c>
      <c r="H4970" s="23">
        <v>77500</v>
      </c>
    </row>
    <row r="4971" spans="7:8" x14ac:dyDescent="0.35">
      <c r="G4971" t="s">
        <v>4987</v>
      </c>
      <c r="H4971" s="23">
        <v>113300</v>
      </c>
    </row>
    <row r="4972" spans="7:8" x14ac:dyDescent="0.35">
      <c r="G4972" t="s">
        <v>4988</v>
      </c>
      <c r="H4972" s="23">
        <v>99200</v>
      </c>
    </row>
    <row r="4973" spans="7:8" x14ac:dyDescent="0.35">
      <c r="G4973" t="s">
        <v>4989</v>
      </c>
      <c r="H4973" s="23">
        <v>90300</v>
      </c>
    </row>
    <row r="4974" spans="7:8" x14ac:dyDescent="0.35">
      <c r="G4974" t="s">
        <v>4990</v>
      </c>
      <c r="H4974" s="23">
        <v>96300</v>
      </c>
    </row>
    <row r="4975" spans="7:8" x14ac:dyDescent="0.35">
      <c r="G4975" t="s">
        <v>4991</v>
      </c>
      <c r="H4975" s="23">
        <v>118700</v>
      </c>
    </row>
    <row r="4976" spans="7:8" x14ac:dyDescent="0.35">
      <c r="G4976" t="s">
        <v>4992</v>
      </c>
      <c r="H4976" s="23">
        <v>72700</v>
      </c>
    </row>
    <row r="4977" spans="7:8" x14ac:dyDescent="0.35">
      <c r="G4977" t="s">
        <v>4993</v>
      </c>
      <c r="H4977" s="23">
        <v>74200</v>
      </c>
    </row>
    <row r="4978" spans="7:8" x14ac:dyDescent="0.35">
      <c r="G4978" t="s">
        <v>4994</v>
      </c>
      <c r="H4978" s="23">
        <v>77500</v>
      </c>
    </row>
    <row r="4979" spans="7:8" x14ac:dyDescent="0.35">
      <c r="G4979" t="s">
        <v>4995</v>
      </c>
      <c r="H4979" s="23">
        <v>49600</v>
      </c>
    </row>
    <row r="4980" spans="7:8" x14ac:dyDescent="0.35">
      <c r="G4980" t="s">
        <v>4996</v>
      </c>
      <c r="H4980" s="23">
        <v>82800</v>
      </c>
    </row>
    <row r="4981" spans="7:8" x14ac:dyDescent="0.35">
      <c r="G4981" t="s">
        <v>4997</v>
      </c>
      <c r="H4981" s="23">
        <v>89000</v>
      </c>
    </row>
    <row r="4982" spans="7:8" x14ac:dyDescent="0.35">
      <c r="G4982" t="s">
        <v>4998</v>
      </c>
      <c r="H4982" s="23">
        <v>112100</v>
      </c>
    </row>
    <row r="4983" spans="7:8" x14ac:dyDescent="0.35">
      <c r="G4983" t="s">
        <v>4999</v>
      </c>
      <c r="H4983" s="23">
        <v>61400</v>
      </c>
    </row>
    <row r="4984" spans="7:8" x14ac:dyDescent="0.35">
      <c r="G4984" t="s">
        <v>5000</v>
      </c>
      <c r="H4984" s="23">
        <v>107200</v>
      </c>
    </row>
    <row r="4985" spans="7:8" x14ac:dyDescent="0.35">
      <c r="G4985" t="s">
        <v>5001</v>
      </c>
      <c r="H4985" s="23">
        <v>95700</v>
      </c>
    </row>
    <row r="4986" spans="7:8" x14ac:dyDescent="0.35">
      <c r="G4986" t="s">
        <v>5002</v>
      </c>
      <c r="H4986" s="23">
        <v>83400</v>
      </c>
    </row>
    <row r="4987" spans="7:8" x14ac:dyDescent="0.35">
      <c r="G4987" t="s">
        <v>5003</v>
      </c>
      <c r="H4987" s="23">
        <v>101700</v>
      </c>
    </row>
    <row r="4988" spans="7:8" x14ac:dyDescent="0.35">
      <c r="G4988" t="s">
        <v>5004</v>
      </c>
      <c r="H4988" s="23">
        <v>61200</v>
      </c>
    </row>
    <row r="4989" spans="7:8" x14ac:dyDescent="0.35">
      <c r="G4989" t="s">
        <v>5005</v>
      </c>
      <c r="H4989" s="23">
        <v>113800</v>
      </c>
    </row>
    <row r="4990" spans="7:8" x14ac:dyDescent="0.35">
      <c r="G4990" t="s">
        <v>5006</v>
      </c>
      <c r="H4990" s="23">
        <v>67100</v>
      </c>
    </row>
    <row r="4991" spans="7:8" x14ac:dyDescent="0.35">
      <c r="G4991" t="s">
        <v>5007</v>
      </c>
      <c r="H4991" s="23">
        <v>70400</v>
      </c>
    </row>
    <row r="4992" spans="7:8" x14ac:dyDescent="0.35">
      <c r="G4992" t="s">
        <v>5008</v>
      </c>
      <c r="H4992" s="23">
        <v>80700</v>
      </c>
    </row>
    <row r="4993" spans="7:8" x14ac:dyDescent="0.35">
      <c r="G4993" t="s">
        <v>5009</v>
      </c>
      <c r="H4993" s="23">
        <v>46100</v>
      </c>
    </row>
    <row r="4994" spans="7:8" x14ac:dyDescent="0.35">
      <c r="G4994" t="s">
        <v>5010</v>
      </c>
      <c r="H4994" s="23">
        <v>56700</v>
      </c>
    </row>
    <row r="4995" spans="7:8" x14ac:dyDescent="0.35">
      <c r="G4995" t="s">
        <v>5011</v>
      </c>
      <c r="H4995" s="23">
        <v>59400</v>
      </c>
    </row>
    <row r="4996" spans="7:8" x14ac:dyDescent="0.35">
      <c r="G4996" t="s">
        <v>5012</v>
      </c>
      <c r="H4996" s="23">
        <v>73500</v>
      </c>
    </row>
    <row r="4997" spans="7:8" x14ac:dyDescent="0.35">
      <c r="G4997" t="s">
        <v>5013</v>
      </c>
      <c r="H4997" s="23">
        <v>86100</v>
      </c>
    </row>
    <row r="4998" spans="7:8" x14ac:dyDescent="0.35">
      <c r="G4998" t="s">
        <v>5014</v>
      </c>
      <c r="H4998" s="23">
        <v>42700</v>
      </c>
    </row>
    <row r="4999" spans="7:8" x14ac:dyDescent="0.35">
      <c r="G4999" t="s">
        <v>5015</v>
      </c>
      <c r="H4999" s="23">
        <v>86400</v>
      </c>
    </row>
    <row r="5000" spans="7:8" x14ac:dyDescent="0.35">
      <c r="G5000" t="s">
        <v>5016</v>
      </c>
      <c r="H5000" s="23">
        <v>85300</v>
      </c>
    </row>
    <row r="5001" spans="7:8" x14ac:dyDescent="0.35">
      <c r="G5001" t="s">
        <v>5017</v>
      </c>
      <c r="H5001" s="23">
        <v>80000</v>
      </c>
    </row>
    <row r="5002" spans="7:8" x14ac:dyDescent="0.35">
      <c r="G5002" t="s">
        <v>5018</v>
      </c>
      <c r="H5002" s="23">
        <v>64400</v>
      </c>
    </row>
    <row r="5003" spans="7:8" x14ac:dyDescent="0.35">
      <c r="G5003" t="s">
        <v>5019</v>
      </c>
      <c r="H5003" s="23">
        <v>66200</v>
      </c>
    </row>
    <row r="5004" spans="7:8" x14ac:dyDescent="0.35">
      <c r="G5004" t="s">
        <v>5020</v>
      </c>
      <c r="H5004" s="23">
        <v>83000</v>
      </c>
    </row>
    <row r="5005" spans="7:8" x14ac:dyDescent="0.35">
      <c r="G5005" t="s">
        <v>5021</v>
      </c>
      <c r="H5005" s="23">
        <v>116900</v>
      </c>
    </row>
    <row r="5006" spans="7:8" x14ac:dyDescent="0.35">
      <c r="G5006" t="s">
        <v>5022</v>
      </c>
      <c r="H5006" s="23">
        <v>81400</v>
      </c>
    </row>
    <row r="5007" spans="7:8" x14ac:dyDescent="0.35">
      <c r="G5007" t="s">
        <v>5023</v>
      </c>
      <c r="H5007" s="23">
        <v>104400</v>
      </c>
    </row>
    <row r="5008" spans="7:8" x14ac:dyDescent="0.35">
      <c r="G5008" t="s">
        <v>5024</v>
      </c>
      <c r="H5008" s="23">
        <v>92600</v>
      </c>
    </row>
    <row r="5009" spans="7:8" x14ac:dyDescent="0.35">
      <c r="G5009" t="s">
        <v>5025</v>
      </c>
      <c r="H5009" s="23">
        <v>64400</v>
      </c>
    </row>
    <row r="5010" spans="7:8" x14ac:dyDescent="0.35">
      <c r="G5010" t="s">
        <v>5026</v>
      </c>
      <c r="H5010" s="23">
        <v>92600</v>
      </c>
    </row>
    <row r="5011" spans="7:8" x14ac:dyDescent="0.35">
      <c r="G5011" t="s">
        <v>5027</v>
      </c>
      <c r="H5011" s="23">
        <v>74600</v>
      </c>
    </row>
    <row r="5012" spans="7:8" x14ac:dyDescent="0.35">
      <c r="G5012" t="s">
        <v>5028</v>
      </c>
      <c r="H5012" s="23">
        <v>58900</v>
      </c>
    </row>
    <row r="5013" spans="7:8" x14ac:dyDescent="0.35">
      <c r="G5013" t="s">
        <v>5029</v>
      </c>
      <c r="H5013" s="23">
        <v>79300</v>
      </c>
    </row>
    <row r="5014" spans="7:8" x14ac:dyDescent="0.35">
      <c r="G5014" t="s">
        <v>5030</v>
      </c>
      <c r="H5014" s="23">
        <v>74800</v>
      </c>
    </row>
    <row r="5015" spans="7:8" x14ac:dyDescent="0.35">
      <c r="G5015" t="s">
        <v>5031</v>
      </c>
      <c r="H5015" s="23">
        <v>93300</v>
      </c>
    </row>
    <row r="5016" spans="7:8" x14ac:dyDescent="0.35">
      <c r="G5016" t="s">
        <v>5032</v>
      </c>
      <c r="H5016" s="23">
        <v>88800</v>
      </c>
    </row>
    <row r="5017" spans="7:8" x14ac:dyDescent="0.35">
      <c r="G5017" t="s">
        <v>5033</v>
      </c>
      <c r="H5017" s="23">
        <v>61400</v>
      </c>
    </row>
    <row r="5018" spans="7:8" x14ac:dyDescent="0.35">
      <c r="G5018" t="s">
        <v>5034</v>
      </c>
      <c r="H5018" s="23">
        <v>97600</v>
      </c>
    </row>
    <row r="5019" spans="7:8" x14ac:dyDescent="0.35">
      <c r="G5019" t="s">
        <v>5035</v>
      </c>
      <c r="H5019" s="23">
        <v>106100</v>
      </c>
    </row>
    <row r="5020" spans="7:8" x14ac:dyDescent="0.35">
      <c r="G5020" t="s">
        <v>5036</v>
      </c>
      <c r="H5020" s="23">
        <v>46100</v>
      </c>
    </row>
    <row r="5021" spans="7:8" x14ac:dyDescent="0.35">
      <c r="G5021" t="s">
        <v>5037</v>
      </c>
      <c r="H5021" s="23">
        <v>116700</v>
      </c>
    </row>
    <row r="5022" spans="7:8" x14ac:dyDescent="0.35">
      <c r="G5022" t="s">
        <v>5038</v>
      </c>
      <c r="H5022" s="23">
        <v>99300</v>
      </c>
    </row>
    <row r="5023" spans="7:8" x14ac:dyDescent="0.35">
      <c r="G5023" t="s">
        <v>5039</v>
      </c>
      <c r="H5023" s="23">
        <v>54200</v>
      </c>
    </row>
    <row r="5024" spans="7:8" x14ac:dyDescent="0.35">
      <c r="G5024" t="s">
        <v>5040</v>
      </c>
      <c r="H5024" s="23">
        <v>83600</v>
      </c>
    </row>
    <row r="5025" spans="7:8" x14ac:dyDescent="0.35">
      <c r="G5025" t="s">
        <v>5041</v>
      </c>
      <c r="H5025" s="23">
        <v>76100</v>
      </c>
    </row>
    <row r="5026" spans="7:8" x14ac:dyDescent="0.35">
      <c r="G5026" t="s">
        <v>5042</v>
      </c>
      <c r="H5026" s="23">
        <v>76600</v>
      </c>
    </row>
    <row r="5027" spans="7:8" x14ac:dyDescent="0.35">
      <c r="G5027" t="s">
        <v>5043</v>
      </c>
      <c r="H5027" s="23">
        <v>76000</v>
      </c>
    </row>
    <row r="5028" spans="7:8" x14ac:dyDescent="0.35">
      <c r="G5028" t="s">
        <v>5049</v>
      </c>
      <c r="H5028" s="23">
        <v>415173395</v>
      </c>
    </row>
  </sheetData>
  <mergeCells count="1">
    <mergeCell ref="A2:C2"/>
  </mergeCells>
  <pageMargins left="0.7" right="0.7" top="0.75" bottom="0.75" header="0.3" footer="0.3"/>
  <tableParts count="1">
    <tablePart r:id="rId1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E0E23-231A-4E25-ACF0-D86995DD5453}">
  <dimension ref="A1:S28"/>
  <sheetViews>
    <sheetView showGridLines="0" showRowColHeaders="0" tabSelected="1" workbookViewId="0">
      <selection activeCell="P34" sqref="P34"/>
    </sheetView>
  </sheetViews>
  <sheetFormatPr defaultRowHeight="14.5" x14ac:dyDescent="0.35"/>
  <sheetData>
    <row r="1" spans="1:19" ht="23.5" x14ac:dyDescent="0.55000000000000004">
      <c r="A1" s="16"/>
      <c r="B1" s="16"/>
      <c r="C1" s="16"/>
      <c r="D1" s="21" t="s">
        <v>5100</v>
      </c>
      <c r="E1" s="21"/>
      <c r="F1" s="21"/>
      <c r="G1" s="21"/>
      <c r="H1" s="21"/>
      <c r="I1" s="21"/>
      <c r="J1" s="21"/>
      <c r="K1" s="21"/>
      <c r="L1" s="21"/>
      <c r="M1" s="21"/>
      <c r="N1" s="21"/>
      <c r="O1" s="21"/>
      <c r="P1" s="21"/>
      <c r="Q1" s="16"/>
      <c r="R1" s="16"/>
      <c r="S1" s="16"/>
    </row>
    <row r="2" spans="1:19" ht="18.5" x14ac:dyDescent="0.45">
      <c r="A2" s="16"/>
      <c r="B2" s="16"/>
      <c r="C2" s="16"/>
      <c r="D2" s="22" t="s">
        <v>5101</v>
      </c>
      <c r="E2" s="22"/>
      <c r="F2" s="22"/>
      <c r="G2" s="22"/>
      <c r="H2" s="22"/>
      <c r="I2" s="22"/>
      <c r="J2" s="22"/>
      <c r="K2" s="22"/>
      <c r="L2" s="22"/>
      <c r="M2" s="22"/>
      <c r="N2" s="22"/>
      <c r="O2" s="22"/>
      <c r="P2" s="22"/>
      <c r="Q2" s="16"/>
      <c r="R2" s="16"/>
      <c r="S2" s="16"/>
    </row>
    <row r="3" spans="1:19" x14ac:dyDescent="0.35">
      <c r="D3" s="19"/>
      <c r="E3" s="19"/>
      <c r="F3" s="19"/>
      <c r="G3" s="19"/>
      <c r="H3" s="19"/>
      <c r="I3" s="19"/>
      <c r="J3" s="19"/>
      <c r="K3" s="19"/>
      <c r="L3" s="19"/>
      <c r="M3" s="19"/>
      <c r="N3" s="19"/>
      <c r="O3" s="19"/>
      <c r="P3" s="19"/>
    </row>
    <row r="28" spans="1:1" x14ac:dyDescent="0.35">
      <c r="A28" s="17"/>
    </row>
  </sheetData>
  <sheetProtection sheet="1" objects="1" scenarios="1" selectLockedCells="1" pivotTables="0" selectUnlockedCells="1"/>
  <mergeCells count="3">
    <mergeCell ref="D1:P1"/>
    <mergeCell ref="D2:P2"/>
    <mergeCell ref="D3:P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73478D2-F221-4EE2-84DA-D44FA2B005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Compensation_Cleaned</vt:lpstr>
      <vt:lpstr>Dashboard_Plan</vt:lpstr>
      <vt:lpstr>Supporting_Pivots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Barbara Dixon</cp:lastModifiedBy>
  <cp:lastPrinted>2026-10-11T18:17:52Z</cp:lastPrinted>
  <dcterms:created xsi:type="dcterms:W3CDTF">2026-09-22T15:01:37Z</dcterms:created>
  <dcterms:modified xsi:type="dcterms:W3CDTF">2026-10-21T09:16:44Z</dcterms:modified>
</cp:coreProperties>
</file>